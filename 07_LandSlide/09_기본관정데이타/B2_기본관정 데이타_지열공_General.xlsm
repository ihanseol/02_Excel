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1AB915AE-D87B-4484-A2EB-298F245A7BAA}" xr6:coauthVersionLast="47" xr6:coauthVersionMax="47" xr10:uidLastSave="{00000000-0000-0000-0000-000000000000}"/>
  <bookViews>
    <workbookView xWindow="5880" yWindow="570" windowWidth="27960" windowHeight="19605" tabRatio="61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1" sheetId="55" r:id="rId10"/>
    <sheet name="Q1" sheetId="100" r:id="rId11"/>
    <sheet name="Q2" sheetId="117" r:id="rId12"/>
    <sheet name="Q3" sheetId="115" r:id="rId13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0">'Q1'!$C$7</definedName>
    <definedName name="baseTemp" localSheetId="11">'Q2'!$C$7</definedName>
    <definedName name="baseTemp" localSheetId="12">'Q3'!$C$7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D42" i="23" l="1"/>
  <c r="D43" i="23" s="1"/>
  <c r="C42" i="23"/>
  <c r="C43" i="23" s="1"/>
  <c r="B42" i="23"/>
  <c r="B43" i="23" s="1"/>
  <c r="B49" i="23" l="1"/>
  <c r="B46" i="23"/>
  <c r="B47" i="23" s="1"/>
  <c r="C49" i="23"/>
  <c r="C46" i="23"/>
  <c r="C47" i="23" s="1"/>
  <c r="D49" i="23"/>
  <c r="D46" i="23"/>
  <c r="D47" i="23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6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D25" i="115" l="1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55" l="1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<sst xmlns="http://schemas.openxmlformats.org/spreadsheetml/2006/main" count="514" uniqueCount="309">
  <si>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</si>
  <si>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</si>
  <si>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</si>
  <si>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</si>
  <si>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</si>
  <si>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</si>
  <si>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</si>
  <si>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</si>
  <si>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</si>
  <si>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</si>
  <si>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</si>
  <si>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</si>
  <si>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</si>
  <si>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</si>
  <si>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</si>
  <si>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</si>
  <si>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</si>
  <si>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</si>
  <si>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</si>
  <si>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</si>
  <si>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</si>
  <si>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</si>
  <si>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</si>
  <si>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</si>
  <si>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</si>
  <si>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</si>
  <si>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</si>
  <si>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</si>
  <si>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</si>
  <si>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</si>
  <si>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</si>
  <si>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</si>
  <si>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</si>
  <si>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</si>
  <si>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</si>
  <si>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</si>
  <si>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</si>
  <si>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</si>
  <si>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</si>
  <si>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</si>
  <si>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</si>
  <si>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</si>
  <si>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</si>
  <si>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</si>
  <si>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</si>
  <si>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</si>
  <si>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</si>
  <si>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</si>
  <si>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</si>
  <si>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</si>
  <si>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</si>
  <si>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</si>
  <si>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</si>
  <si>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</si>
  <si>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</si>
  <si>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</si>
  <si>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</si>
  <si>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</si>
  <si>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</si>
  <si>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</si>
  <si>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</si>
  <si>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</si>
  <si>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</si>
  <si>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</si>
  <si>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</si>
  <si>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</si>
  <si>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</si>
  <si>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</si>
  <si>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</si>
  <si>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</si>
  <si>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</si>
  <si>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</si>
  <si>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</si>
  <si>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</si>
  <si>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</si>
  <si>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</si>
  <si>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</si>
  <si>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</si>
  <si>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</si>
  <si>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</si>
  <si>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</si>
  <si>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</si>
  <si>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</si>
  <si>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</si>
  <si>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</si>
  <si>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</si>
  <si>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</si>
  <si>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</si>
  <si>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</si>
  <si>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</si>
  <si>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</si>
  <si>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</si>
  <si>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</si>
  <si>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</si>
  <si>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</si>
  <si>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</si>
  <si>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</si>
  <si>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</si>
  <si>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</si>
  <si>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</si>
  <si>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</si>
  <si>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</si>
  <si>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</si>
  <si>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</si>
  <si>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</si>
  <si>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</si>
  <si>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</si>
  <si>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</si>
  <si>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</si>
  <si>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</si>
  <si>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</si>
  <si>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</si>
  <si>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</si>
  <si>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</si>
  <si>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</si>
  <si>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</si>
  <si>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</si>
  <si>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</si>
  <si>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</si>
  <si>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</si>
  <si>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</si>
  <si>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</si>
  <si>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</si>
  <si>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</si>
  <si>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</si>
  <si>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</si>
  <si>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</si>
  <si>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</si>
  <si>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</si>
  <si>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</si>
  <si>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</si>
  <si>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</si>
  <si>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</si>
  <si>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</si>
  <si>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</si>
  <si>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</si>
  <si>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</si>
  <si>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</si>
  <si>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</si>
  <si>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</si>
  <si>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</si>
  <si>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</si>
  <si>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</si>
  <si>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</si>
  <si>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</si>
  <si>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</si>
  <si>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</si>
  <si>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</si>
  <si>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</si>
  <si>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</si>
  <si>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</si>
  <si>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</si>
  <si>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</si>
  <si>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</si>
  <si>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</si>
  <si>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</si>
  <si>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</si>
  <si>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</si>
  <si>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</si>
  <si>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</si>
  <si>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</si>
  <si>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</si>
  <si>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</si>
  <si>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</si>
  <si>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</si>
  <si>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</si>
  <si>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</si>
  <si>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</si>
  <si>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</si>
  <si>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</si>
  <si>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</si>
  <si>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</si>
  <si>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</si>
  <si>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</si>
  <si>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</si>
  <si>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</si>
  <si>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</si>
  <si>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</si>
  <si>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</si>
  <si>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</si>
  <si>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</si>
  <si>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</si>
  <si>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</si>
  <si>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</si>
  <si>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</si>
  <si>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</si>
  <si>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</si>
  <si>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</si>
  <si>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</si>
  <si>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</si>
  <si>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</si>
  <si>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</si>
  <si>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</si>
  <si>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</si>
  <si>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</si>
  <si>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</si>
  <si>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</si>
  <si>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</si>
  <si>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</si>
  <si>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</si>
  <si>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</si>
  <si>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</si>
  <si>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</si>
  <si>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</si>
  <si>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</si>
  <si>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</si>
  <si>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</si>
  <si>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</si>
  <si>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</si>
  <si>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</si>
  <si>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</si>
  <si>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</si>
  <si>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</si>
  <si>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</si>
  <si>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</si>
  <si>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</si>
  <si>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</si>
  <si>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</si>
  <si>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</si>
  <si>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</si>
  <si>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</si>
  <si>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</si>
  <si>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</si>
  <si>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</si>
  <si>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</si>
  <si>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</si>
  <si>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</si>
  <si>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</si>
  <si>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</si>
  <si>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</si>
  <si>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</si>
  <si>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</si>
  <si>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</si>
  <si>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</si>
  <si>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</si>
  <si>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</si>
  <si>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</si>
  <si>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</si>
  <si>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</si>
  <si>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</si>
  <si>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</si>
  <si>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</si>
  <si>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</si>
  <si>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</si>
  <si>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</si>
  <si>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</si>
  <si>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</si>
  <si>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</si>
  <si>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</si>
  <si>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</si>
  <si>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</si>
  <si>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</si>
  <si>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</si>
  <si>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</si>
  <si>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</si>
  <si>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</si>
  <si>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금강서해</t>
  </si>
  <si>
    <t>2023년 건양개발, 생활용 연장허가</t>
  </si>
  <si>
    <t>보령시 웅천읍 수부리 산 6-2</t>
  </si>
  <si>
    <t>낮 음</t>
  </si>
  <si>
    <t>비교적낮음</t>
  </si>
  <si>
    <t>△s</t>
    <phoneticPr fontId="8" type="noConversion"/>
  </si>
  <si>
    <t>W-4</t>
    <phoneticPr fontId="7" type="noConversion"/>
  </si>
  <si>
    <t>W1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</si>
  <si>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</si>
  <si>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</si>
  <si>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</si>
  <si>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</si>
  <si>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</si>
  <si>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</si>
  <si>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</si>
  <si>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W-4</t>
  </si>
  <si>
    <t>W-5</t>
  </si>
  <si>
    <t>3-6, 조사공의 적정취수량및 취수계획량</t>
    <phoneticPr fontId="7" type="noConversion"/>
  </si>
  <si>
    <t>W-12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</si>
  <si>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</si>
  <si>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</si>
  <si>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</si>
  <si>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</si>
  <si>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</si>
  <si>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</si>
  <si>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</si>
  <si>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</si>
  <si>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</si>
  <si>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</si>
  <si>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</si>
  <si>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</si>
  <si>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</si>
  <si>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</si>
  <si>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</si>
  <si>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</si>
  <si>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</si>
  <si>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</si>
  <si>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5년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</si>
  <si>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</si>
  <si>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</si>
  <si>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</si>
  <si>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</si>
  <si>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</si>
  <si>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슐츠</t>
    <phoneticPr fontId="7" type="noConversion"/>
  </si>
  <si>
    <t>웨버</t>
    <phoneticPr fontId="7" type="noConversion"/>
  </si>
  <si>
    <t>제이콥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</si>
  <si>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</si>
  <si>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</si>
  <si>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</si>
  <si>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</si>
  <si>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</si>
  <si>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최대값</t>
    <phoneticPr fontId="7" type="noConversion"/>
  </si>
  <si>
    <t>2023/3/15일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</si>
</sst>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</numFmts>
  <fonts count="5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name val="Consolas"/>
      <family val="3"/>
    </font>
    <font>
      <sz val="1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b/>
      <i/>
      <sz val="12"/>
      <color theme="1"/>
      <name val="맑은 고딕"/>
      <family val="2"/>
      <scheme val="minor"/>
    </font>
    <font>
      <b/>
      <i/>
      <sz val="12"/>
      <color rgb="FFFF0000"/>
      <name val="맑은 고딕"/>
      <family val="2"/>
      <scheme val="minor"/>
    </font>
    <font>
      <b/>
      <i/>
      <sz val="14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name val="돋움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5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96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7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40" fillId="8" borderId="37" xfId="18" applyFont="1" applyFill="1" applyBorder="1" applyAlignment="1">
      <alignment horizontal="center" vertical="center" wrapText="1"/>
    </xf>
    <xf numFmtId="0" fontId="40" fillId="8" borderId="34" xfId="18" applyFont="1" applyFill="1" applyBorder="1" applyAlignment="1">
      <alignment horizontal="center" vertical="center" wrapText="1"/>
    </xf>
    <xf numFmtId="0" fontId="40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7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0" fontId="42" fillId="0" borderId="0" xfId="0" applyNumberFormat="1" applyFont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8" fillId="10" borderId="26" xfId="18" applyNumberFormat="1" applyFont="1" applyFill="1" applyBorder="1">
      <alignment vertical="center"/>
    </xf>
    <xf numFmtId="185" fontId="38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3" fillId="0" borderId="0" xfId="0" applyFont="1"/>
    <xf numFmtId="0" fontId="44" fillId="0" borderId="0" xfId="0" applyFont="1" applyAlignment="1">
      <alignment horizontal="center"/>
    </xf>
    <xf numFmtId="200" fontId="44" fillId="0" borderId="0" xfId="25" applyNumberFormat="1" applyFont="1" applyAlignment="1">
      <alignment horizontal="center"/>
    </xf>
    <xf numFmtId="201" fontId="44" fillId="0" borderId="0" xfId="0" applyNumberFormat="1" applyFont="1" applyAlignment="1">
      <alignment horizontal="center"/>
    </xf>
    <xf numFmtId="200" fontId="46" fillId="0" borderId="89" xfId="25" applyNumberFormat="1" applyFont="1" applyBorder="1" applyAlignment="1">
      <alignment horizontal="center"/>
    </xf>
    <xf numFmtId="201" fontId="46" fillId="0" borderId="89" xfId="0" applyNumberFormat="1" applyFont="1" applyBorder="1" applyAlignment="1">
      <alignment horizontal="center"/>
    </xf>
    <xf numFmtId="200" fontId="45" fillId="23" borderId="90" xfId="25" applyNumberFormat="1" applyFont="1" applyFill="1" applyBorder="1" applyAlignment="1">
      <alignment horizontal="center" vertical="center"/>
    </xf>
    <xf numFmtId="200" fontId="45" fillId="23" borderId="91" xfId="25" applyNumberFormat="1" applyFont="1" applyFill="1" applyBorder="1" applyAlignment="1">
      <alignment horizontal="center" vertical="center"/>
    </xf>
    <xf numFmtId="200" fontId="45" fillId="23" borderId="92" xfId="25" applyNumberFormat="1" applyFont="1" applyFill="1" applyBorder="1" applyAlignment="1">
      <alignment horizontal="center" vertical="center"/>
    </xf>
    <xf numFmtId="200" fontId="45" fillId="23" borderId="93" xfId="25" applyNumberFormat="1" applyFont="1" applyFill="1" applyBorder="1" applyAlignment="1">
      <alignment horizontal="center" vertical="center"/>
    </xf>
    <xf numFmtId="200" fontId="46" fillId="0" borderId="94" xfId="25" applyNumberFormat="1" applyFont="1" applyBorder="1" applyAlignment="1">
      <alignment horizontal="center"/>
    </xf>
    <xf numFmtId="201" fontId="46" fillId="0" borderId="94" xfId="0" applyNumberFormat="1" applyFont="1" applyBorder="1" applyAlignment="1">
      <alignment horizontal="center"/>
    </xf>
    <xf numFmtId="200" fontId="45" fillId="23" borderId="95" xfId="25" applyNumberFormat="1" applyFont="1" applyFill="1" applyBorder="1" applyAlignment="1">
      <alignment horizontal="center" vertical="center"/>
    </xf>
    <xf numFmtId="0" fontId="46" fillId="0" borderId="96" xfId="0" applyFont="1" applyBorder="1" applyAlignment="1">
      <alignment horizontal="center"/>
    </xf>
    <xf numFmtId="0" fontId="46" fillId="0" borderId="97" xfId="0" applyFont="1" applyBorder="1" applyAlignment="1">
      <alignment horizontal="center"/>
    </xf>
    <xf numFmtId="0" fontId="47" fillId="25" borderId="41" xfId="18" applyFont="1" applyFill="1" applyBorder="1" applyAlignment="1">
      <alignment horizontal="center" vertical="center" wrapText="1"/>
    </xf>
    <xf numFmtId="193" fontId="47" fillId="26" borderId="40" xfId="18" applyNumberFormat="1" applyFont="1" applyFill="1" applyBorder="1" applyAlignment="1">
      <alignment horizontal="center" vertical="center" wrapText="1"/>
    </xf>
    <xf numFmtId="0" fontId="46" fillId="0" borderId="89" xfId="25" applyNumberFormat="1" applyFont="1" applyBorder="1" applyAlignment="1">
      <alignment horizontal="center"/>
    </xf>
    <xf numFmtId="201" fontId="46" fillId="29" borderId="89" xfId="0" applyNumberFormat="1" applyFont="1" applyFill="1" applyBorder="1" applyAlignment="1">
      <alignment horizontal="center"/>
    </xf>
    <xf numFmtId="0" fontId="46" fillId="29" borderId="89" xfId="0" applyFont="1" applyFill="1" applyBorder="1" applyAlignment="1">
      <alignment horizontal="center"/>
    </xf>
    <xf numFmtId="0" fontId="46" fillId="0" borderId="89" xfId="0" applyFont="1" applyBorder="1" applyAlignment="1">
      <alignment horizontal="center"/>
    </xf>
    <xf numFmtId="0" fontId="44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89" fontId="25" fillId="13" borderId="98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49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91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84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91" fontId="18" fillId="4" borderId="103" xfId="0" applyNumberFormat="1" applyFont="1" applyFill="1" applyBorder="1" applyAlignment="1">
      <alignment horizontal="center" vertical="center"/>
    </xf>
    <xf numFmtId="10" fontId="37" fillId="23" borderId="9" xfId="16" applyNumberFormat="1" applyFont="1" applyFill="1" applyBorder="1">
      <alignment vertical="center"/>
    </xf>
    <xf numFmtId="10" fontId="37" fillId="23" borderId="10" xfId="16" applyNumberFormat="1" applyFont="1" applyFill="1" applyBorder="1">
      <alignment vertical="center"/>
    </xf>
    <xf numFmtId="10" fontId="37" fillId="24" borderId="9" xfId="16" applyNumberFormat="1" applyFont="1" applyFill="1" applyBorder="1">
      <alignment vertical="center"/>
    </xf>
    <xf numFmtId="10" fontId="37" fillId="24" borderId="10" xfId="16" applyNumberFormat="1" applyFont="1" applyFill="1" applyBorder="1">
      <alignment vertical="center"/>
    </xf>
    <xf numFmtId="10" fontId="37" fillId="20" borderId="9" xfId="16" applyNumberFormat="1" applyFont="1" applyFill="1" applyBorder="1">
      <alignment vertical="center"/>
    </xf>
    <xf numFmtId="10" fontId="37" fillId="20" borderId="10" xfId="16" applyNumberFormat="1" applyFont="1" applyFill="1" applyBorder="1">
      <alignment vertical="center"/>
    </xf>
    <xf numFmtId="0" fontId="18" fillId="0" borderId="16" xfId="16" applyFont="1" applyBorder="1">
      <alignment vertical="center"/>
    </xf>
    <xf numFmtId="0" fontId="18" fillId="0" borderId="106" xfId="16" applyFont="1" applyBorder="1">
      <alignment vertical="center"/>
    </xf>
    <xf numFmtId="0" fontId="50" fillId="0" borderId="72" xfId="16" applyFont="1" applyBorder="1" applyAlignment="1">
      <alignment horizontal="right" vertical="center"/>
    </xf>
    <xf numFmtId="0" fontId="50" fillId="0" borderId="17" xfId="16" applyFont="1" applyBorder="1" applyAlignment="1">
      <alignment horizontal="right" vertical="center"/>
    </xf>
    <xf numFmtId="0" fontId="53" fillId="0" borderId="110" xfId="16" applyFont="1" applyBorder="1" applyAlignment="1">
      <alignment horizontal="right" vertical="center"/>
    </xf>
    <xf numFmtId="0" fontId="53" fillId="0" borderId="111" xfId="16" applyFont="1" applyBorder="1" applyAlignment="1">
      <alignment horizontal="right" vertical="center"/>
    </xf>
    <xf numFmtId="0" fontId="53" fillId="0" borderId="112" xfId="16" applyFont="1" applyBorder="1" applyAlignment="1">
      <alignment horizontal="right" vertical="center"/>
    </xf>
    <xf numFmtId="0" fontId="52" fillId="31" borderId="113" xfId="16" applyFont="1" applyFill="1" applyBorder="1" applyAlignment="1">
      <alignment horizontal="right" vertical="center"/>
    </xf>
    <xf numFmtId="0" fontId="52" fillId="31" borderId="114" xfId="16" applyFont="1" applyFill="1" applyBorder="1" applyAlignment="1">
      <alignment horizontal="right" vertical="center"/>
    </xf>
    <xf numFmtId="0" fontId="52" fillId="31" borderId="115" xfId="16" applyFont="1" applyFill="1" applyBorder="1" applyAlignment="1">
      <alignment horizontal="right" vertical="center"/>
    </xf>
    <xf numFmtId="0" fontId="50" fillId="31" borderId="113" xfId="16" applyFont="1" applyFill="1" applyBorder="1" applyAlignment="1">
      <alignment horizontal="right" vertical="center"/>
    </xf>
    <xf numFmtId="0" fontId="50" fillId="31" borderId="114" xfId="16" applyFont="1" applyFill="1" applyBorder="1" applyAlignment="1">
      <alignment horizontal="right" vertical="center"/>
    </xf>
    <xf numFmtId="0" fontId="50" fillId="31" borderId="115" xfId="16" applyFont="1" applyFill="1" applyBorder="1" applyAlignment="1">
      <alignment horizontal="right" vertical="center"/>
    </xf>
    <xf numFmtId="0" fontId="50" fillId="0" borderId="113" xfId="16" applyFont="1" applyBorder="1" applyAlignment="1">
      <alignment horizontal="right" vertical="center"/>
    </xf>
    <xf numFmtId="0" fontId="50" fillId="0" borderId="114" xfId="16" applyFont="1" applyBorder="1" applyAlignment="1">
      <alignment horizontal="right" vertical="center"/>
    </xf>
    <xf numFmtId="0" fontId="50" fillId="0" borderId="115" xfId="16" applyFont="1" applyBorder="1" applyAlignment="1">
      <alignment horizontal="right" vertical="center"/>
    </xf>
    <xf numFmtId="0" fontId="52" fillId="0" borderId="113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2" fontId="50" fillId="0" borderId="113" xfId="16" applyNumberFormat="1" applyFont="1" applyBorder="1" applyAlignment="1">
      <alignment horizontal="right" vertical="center"/>
    </xf>
    <xf numFmtId="2" fontId="50" fillId="0" borderId="114" xfId="16" applyNumberFormat="1" applyFont="1" applyBorder="1" applyAlignment="1">
      <alignment horizontal="right" vertical="center"/>
    </xf>
    <xf numFmtId="2" fontId="50" fillId="0" borderId="115" xfId="16" applyNumberFormat="1" applyFont="1" applyBorder="1" applyAlignment="1">
      <alignment horizontal="right" vertical="center"/>
    </xf>
    <xf numFmtId="0" fontId="54" fillId="32" borderId="116" xfId="16" applyFont="1" applyFill="1" applyBorder="1" applyAlignment="1">
      <alignment horizontal="right" vertical="center"/>
    </xf>
    <xf numFmtId="0" fontId="54" fillId="32" borderId="117" xfId="16" applyFont="1" applyFill="1" applyBorder="1" applyAlignment="1">
      <alignment horizontal="right" vertical="center"/>
    </xf>
    <xf numFmtId="0" fontId="54" fillId="32" borderId="118" xfId="16" applyFont="1" applyFill="1" applyBorder="1" applyAlignment="1">
      <alignment horizontal="right" vertical="center"/>
    </xf>
    <xf numFmtId="0" fontId="53" fillId="0" borderId="116" xfId="16" applyFont="1" applyBorder="1" applyAlignment="1">
      <alignment horizontal="right" vertical="center"/>
    </xf>
    <xf numFmtId="0" fontId="53" fillId="0" borderId="117" xfId="16" applyFont="1" applyBorder="1" applyAlignment="1">
      <alignment horizontal="right" vertical="center"/>
    </xf>
    <xf numFmtId="0" fontId="53" fillId="0" borderId="118" xfId="16" applyFont="1" applyBorder="1" applyAlignment="1">
      <alignment horizontal="right" vertical="center"/>
    </xf>
    <xf numFmtId="0" fontId="55" fillId="0" borderId="107" xfId="16" applyFont="1" applyBorder="1" applyAlignment="1">
      <alignment horizontal="center" vertical="center"/>
    </xf>
    <xf numFmtId="0" fontId="55" fillId="31" borderId="108" xfId="16" applyFont="1" applyFill="1" applyBorder="1" applyAlignment="1">
      <alignment horizontal="center" vertical="center"/>
    </xf>
    <xf numFmtId="0" fontId="55" fillId="0" borderId="108" xfId="16" applyFont="1" applyBorder="1" applyAlignment="1">
      <alignment horizontal="center" vertical="center"/>
    </xf>
    <xf numFmtId="0" fontId="55" fillId="0" borderId="109" xfId="16" applyFont="1" applyBorder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3" borderId="35" xfId="18" applyFont="1" applyFill="1" applyBorder="1" applyAlignment="1">
      <alignment horizontal="center" vertical="center"/>
    </xf>
    <xf numFmtId="195" fontId="37" fillId="27" borderId="50" xfId="16" applyNumberFormat="1" applyFont="1" applyFill="1" applyBorder="1" applyAlignment="1">
      <alignment horizontal="center" vertical="center"/>
    </xf>
    <xf numFmtId="195" fontId="18" fillId="28" borderId="0" xfId="16" applyNumberFormat="1" applyFont="1" applyFill="1">
      <alignment vertical="center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17" fontId="34" fillId="0" borderId="117" xfId="0" applyNumberFormat="1" applyFont="1" applyBorder="1" applyAlignment="1">
      <alignment horizontal="center" vertical="center"/>
    </xf>
    <xf numFmtId="0" fontId="15" fillId="0" borderId="117" xfId="0" applyFont="1" applyBorder="1" applyAlignment="1">
      <alignment horizontal="center" vertical="center" wrapText="1"/>
    </xf>
    <xf numFmtId="0" fontId="15" fillId="0" borderId="117" xfId="0" applyFont="1" applyBorder="1" applyAlignment="1">
      <alignment horizontal="center" vertical="center"/>
    </xf>
    <xf numFmtId="41" fontId="34" fillId="0" borderId="117" xfId="20" applyFont="1" applyBorder="1">
      <alignment vertical="center"/>
    </xf>
    <xf numFmtId="0" fontId="34" fillId="0" borderId="118" xfId="0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19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4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79" xfId="0" applyBorder="1"/>
    <xf numFmtId="0" fontId="0" fillId="0" borderId="72" xfId="0" applyBorder="1"/>
    <xf numFmtId="0" fontId="0" fillId="0" borderId="17" xfId="0" applyBorder="1"/>
    <xf numFmtId="0" fontId="44" fillId="0" borderId="126" xfId="0" applyFont="1" applyBorder="1" applyAlignment="1">
      <alignment horizontal="center" vertical="center"/>
    </xf>
    <xf numFmtId="0" fontId="44" fillId="21" borderId="2" xfId="0" applyFont="1" applyFill="1" applyBorder="1" applyAlignment="1">
      <alignment horizontal="center" vertical="center"/>
    </xf>
    <xf numFmtId="201" fontId="44" fillId="21" borderId="2" xfId="0" applyNumberFormat="1" applyFont="1" applyFill="1" applyBorder="1" applyAlignment="1">
      <alignment horizontal="center" vertical="center"/>
    </xf>
    <xf numFmtId="200" fontId="44" fillId="21" borderId="2" xfId="25" applyNumberFormat="1" applyFont="1" applyFill="1" applyBorder="1" applyAlignment="1">
      <alignment horizontal="center" vertical="center"/>
    </xf>
    <xf numFmtId="0" fontId="44" fillId="21" borderId="36" xfId="0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/>
    </xf>
    <xf numFmtId="200" fontId="44" fillId="0" borderId="0" xfId="25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44" fillId="0" borderId="0" xfId="0" applyNumberFormat="1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44" fillId="0" borderId="106" xfId="0" applyFont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4" fillId="0" borderId="72" xfId="0" applyFont="1" applyBorder="1" applyAlignment="1">
      <alignment horizontal="center" vertical="center"/>
    </xf>
    <xf numFmtId="0" fontId="43" fillId="0" borderId="126" xfId="0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106" xfId="0" applyFont="1" applyBorder="1" applyAlignment="1">
      <alignment horizontal="center" vertical="center"/>
    </xf>
    <xf numFmtId="0" fontId="43" fillId="0" borderId="79" xfId="0" applyFont="1" applyBorder="1" applyAlignment="1">
      <alignment horizontal="center" vertical="center"/>
    </xf>
    <xf numFmtId="0" fontId="43" fillId="0" borderId="18" xfId="0" applyFont="1" applyBorder="1" applyAlignment="1">
      <alignment horizontal="center" vertical="center"/>
    </xf>
    <xf numFmtId="0" fontId="43" fillId="0" borderId="17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9" xfId="0" applyFont="1" applyBorder="1"/>
    <xf numFmtId="0" fontId="43" fillId="0" borderId="72" xfId="0" applyFont="1" applyBorder="1" applyAlignment="1">
      <alignment horizontal="center" vertical="center"/>
    </xf>
    <xf numFmtId="0" fontId="43" fillId="0" borderId="72" xfId="0" applyFont="1" applyBorder="1"/>
    <xf numFmtId="0" fontId="43" fillId="0" borderId="17" xfId="0" applyFont="1" applyBorder="1"/>
    <xf numFmtId="0" fontId="44" fillId="0" borderId="0" xfId="0" applyFont="1"/>
    <xf numFmtId="0" fontId="0" fillId="0" borderId="0" xfId="0" applyAlignment="1">
      <alignment vertical="center"/>
    </xf>
    <xf numFmtId="0" fontId="44" fillId="0" borderId="77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44" fillId="0" borderId="78" xfId="0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/>
    </xf>
    <xf numFmtId="2" fontId="44" fillId="0" borderId="106" xfId="0" applyNumberFormat="1" applyFont="1" applyBorder="1" applyAlignment="1">
      <alignment horizontal="center" vertical="center"/>
    </xf>
    <xf numFmtId="0" fontId="48" fillId="30" borderId="14" xfId="0" applyFont="1" applyFill="1" applyBorder="1" applyAlignment="1">
      <alignment horizontal="center" vertical="center"/>
    </xf>
    <xf numFmtId="0" fontId="48" fillId="30" borderId="71" xfId="0" applyFont="1" applyFill="1" applyBorder="1" applyAlignment="1">
      <alignment horizontal="center" vertical="center"/>
    </xf>
    <xf numFmtId="0" fontId="48" fillId="30" borderId="16" xfId="0" applyFont="1" applyFill="1" applyBorder="1" applyAlignment="1">
      <alignment horizontal="center" vertical="center"/>
    </xf>
    <xf numFmtId="2" fontId="44" fillId="0" borderId="79" xfId="0" applyNumberFormat="1" applyFont="1" applyBorder="1" applyAlignment="1">
      <alignment horizontal="center" vertical="center"/>
    </xf>
    <xf numFmtId="2" fontId="44" fillId="0" borderId="17" xfId="0" applyNumberFormat="1" applyFont="1" applyBorder="1" applyAlignment="1">
      <alignment horizontal="center" vertical="center"/>
    </xf>
    <xf numFmtId="0" fontId="48" fillId="30" borderId="126" xfId="0" applyFont="1" applyFill="1" applyBorder="1" applyAlignment="1">
      <alignment horizontal="center" vertical="center"/>
    </xf>
    <xf numFmtId="2" fontId="44" fillId="0" borderId="77" xfId="0" applyNumberFormat="1" applyFont="1" applyBorder="1" applyAlignment="1">
      <alignment horizontal="center" vertical="center"/>
    </xf>
    <xf numFmtId="2" fontId="44" fillId="0" borderId="72" xfId="0" applyNumberFormat="1" applyFont="1" applyBorder="1" applyAlignment="1">
      <alignment horizontal="center" vertical="center"/>
    </xf>
    <xf numFmtId="0" fontId="45" fillId="23" borderId="14" xfId="16" applyFont="1" applyFill="1" applyBorder="1" applyAlignment="1">
      <alignment horizontal="center" vertical="center"/>
    </xf>
    <xf numFmtId="0" fontId="45" fillId="23" borderId="71" xfId="16" applyFont="1" applyFill="1" applyBorder="1" applyAlignment="1">
      <alignment horizontal="center" vertical="center"/>
    </xf>
    <xf numFmtId="201" fontId="45" fillId="23" borderId="71" xfId="16" applyNumberFormat="1" applyFont="1" applyFill="1" applyBorder="1" applyAlignment="1">
      <alignment horizontal="center" vertical="center"/>
    </xf>
    <xf numFmtId="200" fontId="45" fillId="23" borderId="16" xfId="25" applyNumberFormat="1" applyFont="1" applyFill="1" applyBorder="1" applyAlignment="1">
      <alignment horizontal="center" vertical="center"/>
    </xf>
    <xf numFmtId="0" fontId="44" fillId="0" borderId="77" xfId="0" applyFont="1" applyBorder="1" applyAlignment="1">
      <alignment horizontal="center"/>
    </xf>
    <xf numFmtId="200" fontId="44" fillId="0" borderId="79" xfId="25" applyNumberFormat="1" applyFont="1" applyBorder="1" applyAlignment="1">
      <alignment horizontal="center"/>
    </xf>
    <xf numFmtId="0" fontId="44" fillId="0" borderId="78" xfId="0" applyFont="1" applyBorder="1" applyAlignment="1">
      <alignment horizontal="center"/>
    </xf>
    <xf numFmtId="0" fontId="44" fillId="0" borderId="72" xfId="0" applyFont="1" applyBorder="1" applyAlignment="1">
      <alignment horizontal="center"/>
    </xf>
    <xf numFmtId="201" fontId="44" fillId="0" borderId="72" xfId="0" applyNumberFormat="1" applyFont="1" applyBorder="1" applyAlignment="1">
      <alignment horizontal="center"/>
    </xf>
    <xf numFmtId="200" fontId="44" fillId="0" borderId="17" xfId="25" applyNumberFormat="1" applyFont="1" applyBorder="1" applyAlignment="1">
      <alignment horizontal="center"/>
    </xf>
    <xf numFmtId="0" fontId="45" fillId="23" borderId="90" xfId="16" applyFont="1" applyFill="1" applyBorder="1" applyAlignment="1">
      <alignment horizontal="center" vertical="center"/>
    </xf>
    <xf numFmtId="200" fontId="45" fillId="23" borderId="71" xfId="25" applyNumberFormat="1" applyFont="1" applyFill="1" applyBorder="1" applyAlignment="1">
      <alignment horizontal="center" vertical="center"/>
    </xf>
    <xf numFmtId="200" fontId="46" fillId="0" borderId="127" xfId="25" applyNumberFormat="1" applyFont="1" applyBorder="1" applyAlignment="1">
      <alignment horizontal="center"/>
    </xf>
    <xf numFmtId="0" fontId="46" fillId="0" borderId="94" xfId="25" applyNumberFormat="1" applyFont="1" applyBorder="1" applyAlignment="1">
      <alignment horizontal="center"/>
    </xf>
    <xf numFmtId="0" fontId="0" fillId="0" borderId="77" xfId="0" applyBorder="1"/>
    <xf numFmtId="0" fontId="0" fillId="0" borderId="78" xfId="0" applyBorder="1"/>
    <xf numFmtId="0" fontId="44" fillId="0" borderId="0" xfId="0" applyFont="1" applyAlignment="1">
      <alignment vertical="center"/>
    </xf>
    <xf numFmtId="0" fontId="44" fillId="0" borderId="2" xfId="0" applyFont="1" applyBorder="1" applyAlignment="1">
      <alignment horizontal="center" vertical="center"/>
    </xf>
    <xf numFmtId="0" fontId="44" fillId="9" borderId="35" xfId="0" applyFont="1" applyFill="1" applyBorder="1" applyAlignment="1">
      <alignment horizontal="center" vertical="center"/>
    </xf>
    <xf numFmtId="0" fontId="44" fillId="9" borderId="2" xfId="0" applyFont="1" applyFill="1" applyBorder="1" applyAlignment="1">
      <alignment horizontal="center" vertical="center"/>
    </xf>
    <xf numFmtId="0" fontId="44" fillId="9" borderId="36" xfId="0" applyFont="1" applyFill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201" fontId="44" fillId="0" borderId="36" xfId="0" applyNumberFormat="1" applyFont="1" applyBorder="1" applyAlignment="1">
      <alignment horizontal="center" vertical="center"/>
    </xf>
    <xf numFmtId="200" fontId="44" fillId="0" borderId="0" xfId="25" applyNumberFormat="1" applyFont="1" applyAlignment="1">
      <alignment horizontal="center" vertical="center"/>
    </xf>
    <xf numFmtId="0" fontId="48" fillId="9" borderId="40" xfId="0" applyFont="1" applyFill="1" applyBorder="1" applyAlignment="1">
      <alignment horizontal="center" vertical="center"/>
    </xf>
    <xf numFmtId="0" fontId="48" fillId="9" borderId="35" xfId="0" applyFont="1" applyFill="1" applyBorder="1" applyAlignment="1">
      <alignment horizontal="center" vertical="center"/>
    </xf>
    <xf numFmtId="0" fontId="48" fillId="9" borderId="36" xfId="0" applyFont="1" applyFill="1" applyBorder="1" applyAlignment="1">
      <alignment horizontal="center" vertical="center"/>
    </xf>
    <xf numFmtId="2" fontId="48" fillId="9" borderId="35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8" fillId="21" borderId="35" xfId="0" applyFont="1" applyFill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18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23" borderId="70" xfId="16" applyFont="1" applyFill="1" applyBorder="1" applyAlignment="1">
      <alignment horizontal="center" vertical="center"/>
    </xf>
    <xf numFmtId="0" fontId="37" fillId="23" borderId="29" xfId="16" applyFont="1" applyFill="1" applyBorder="1" applyAlignment="1">
      <alignment horizontal="center" vertical="center"/>
    </xf>
    <xf numFmtId="0" fontId="37" fillId="24" borderId="70" xfId="16" applyFont="1" applyFill="1" applyBorder="1" applyAlignment="1">
      <alignment horizontal="center" vertical="center"/>
    </xf>
    <xf numFmtId="0" fontId="37" fillId="24" borderId="29" xfId="16" applyFont="1" applyFill="1" applyBorder="1" applyAlignment="1">
      <alignment horizontal="center" vertical="center"/>
    </xf>
    <xf numFmtId="0" fontId="37" fillId="20" borderId="70" xfId="16" applyFont="1" applyFill="1" applyBorder="1" applyAlignment="1">
      <alignment horizontal="center" vertical="center"/>
    </xf>
    <xf numFmtId="0" fontId="37" fillId="20" borderId="29" xfId="16" applyFont="1" applyFill="1" applyBorder="1" applyAlignment="1">
      <alignment horizontal="center" vertical="center"/>
    </xf>
    <xf numFmtId="0" fontId="51" fillId="0" borderId="14" xfId="16" applyFont="1" applyBorder="1" applyAlignment="1">
      <alignment horizontal="center" vertical="center"/>
    </xf>
    <xf numFmtId="0" fontId="51" fillId="0" borderId="71" xfId="16" applyFont="1" applyBorder="1" applyAlignment="1">
      <alignment horizontal="center" vertical="center"/>
    </xf>
    <xf numFmtId="0" fontId="34" fillId="9" borderId="121" xfId="0" applyFont="1" applyFill="1" applyBorder="1" applyAlignment="1">
      <alignment horizontal="center" vertical="center"/>
    </xf>
    <xf numFmtId="0" fontId="34" fillId="9" borderId="124" xfId="0" applyFont="1" applyFill="1" applyBorder="1" applyAlignment="1">
      <alignment horizontal="center" vertical="center"/>
    </xf>
    <xf numFmtId="0" fontId="34" fillId="9" borderId="122" xfId="0" applyFont="1" applyFill="1" applyBorder="1" applyAlignment="1">
      <alignment horizontal="center" vertical="center"/>
    </xf>
    <xf numFmtId="0" fontId="34" fillId="9" borderId="125" xfId="0" applyFont="1" applyFill="1" applyBorder="1" applyAlignment="1">
      <alignment horizontal="center" vertical="center"/>
    </xf>
    <xf numFmtId="0" fontId="34" fillId="9" borderId="121" xfId="0" applyFont="1" applyFill="1" applyBorder="1" applyAlignment="1">
      <alignment horizontal="center" vertical="center" wrapText="1"/>
    </xf>
    <xf numFmtId="0" fontId="34" fillId="9" borderId="124" xfId="0" applyFont="1" applyFill="1" applyBorder="1" applyAlignment="1">
      <alignment horizontal="center" vertical="center" wrapText="1"/>
    </xf>
    <xf numFmtId="41" fontId="34" fillId="9" borderId="121" xfId="20" applyFont="1" applyFill="1" applyBorder="1" applyAlignment="1">
      <alignment horizontal="center" vertical="center" wrapText="1"/>
    </xf>
    <xf numFmtId="41" fontId="34" fillId="9" borderId="124" xfId="20" applyFont="1" applyFill="1" applyBorder="1" applyAlignment="1">
      <alignment horizontal="center" vertical="center" wrapText="1"/>
    </xf>
    <xf numFmtId="0" fontId="35" fillId="9" borderId="121" xfId="21" applyFont="1" applyFill="1" applyBorder="1" applyAlignment="1">
      <alignment horizontal="center" vertical="center" wrapText="1"/>
    </xf>
    <xf numFmtId="0" fontId="35" fillId="9" borderId="124" xfId="21" applyFont="1" applyFill="1" applyBorder="1" applyAlignment="1">
      <alignment horizontal="center" vertical="center" wrapText="1"/>
    </xf>
    <xf numFmtId="0" fontId="34" fillId="9" borderId="120" xfId="0" applyFont="1" applyFill="1" applyBorder="1" applyAlignment="1">
      <alignment horizontal="center" vertical="center"/>
    </xf>
    <xf numFmtId="0" fontId="34" fillId="9" borderId="123" xfId="0" applyFont="1" applyFill="1" applyBorder="1" applyAlignment="1">
      <alignment horizontal="center" vertical="center"/>
    </xf>
    <xf numFmtId="0" fontId="44" fillId="0" borderId="126" xfId="0" applyFont="1" applyBorder="1" applyAlignment="1">
      <alignment horizontal="center" vertical="center"/>
    </xf>
    <xf numFmtId="0" fontId="44" fillId="0" borderId="18" xfId="0" applyFont="1" applyBorder="1" applyAlignment="1">
      <alignment horizontal="center" vertical="center"/>
    </xf>
    <xf numFmtId="201" fontId="44" fillId="0" borderId="16" xfId="0" applyNumberFormat="1" applyFont="1" applyBorder="1" applyAlignment="1">
      <alignment horizontal="center" vertical="center"/>
    </xf>
    <xf numFmtId="201" fontId="44" fillId="0" borderId="17" xfId="0" applyNumberFormat="1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78" xfId="0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0" fontId="48" fillId="0" borderId="77" xfId="0" applyFont="1" applyBorder="1" applyAlignment="1">
      <alignment horizontal="center" vertical="center"/>
    </xf>
    <xf numFmtId="0" fontId="48" fillId="0" borderId="78" xfId="0" applyFont="1" applyBorder="1" applyAlignment="1">
      <alignment horizontal="center" vertical="center"/>
    </xf>
    <xf numFmtId="0" fontId="44" fillId="0" borderId="106" xfId="0" applyFont="1" applyBorder="1" applyAlignment="1">
      <alignment horizontal="center" vertical="center"/>
    </xf>
    <xf numFmtId="193" fontId="44" fillId="0" borderId="126" xfId="0" applyNumberFormat="1" applyFont="1" applyBorder="1" applyAlignment="1">
      <alignment horizontal="center" vertical="center"/>
    </xf>
    <xf numFmtId="193" fontId="44" fillId="0" borderId="106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7" fillId="6" borderId="54" xfId="16" applyFont="1" applyFill="1" applyBorder="1" applyAlignment="1">
      <alignment horizontal="center" vertical="center"/>
    </xf>
    <xf numFmtId="0" fontId="37" fillId="6" borderId="56" xfId="16" applyFont="1" applyFill="1" applyBorder="1" applyAlignment="1">
      <alignment horizontal="center" vertical="center"/>
    </xf>
    <xf numFmtId="0" fontId="39" fillId="19" borderId="40" xfId="18" applyFont="1" applyFill="1" applyBorder="1" applyAlignment="1">
      <alignment horizontal="center" vertical="center" wrapText="1"/>
    </xf>
    <xf numFmtId="0" fontId="39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198" fontId="28" fillId="34" borderId="0" xfId="0" applyNumberFormat="1" applyFont="1" applyFill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0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1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27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0</xdr:row>
          <xdr:rowOff>428625</xdr:rowOff>
        </xdr:from>
        <xdr:to>
          <xdr:col>15</xdr:col>
          <xdr:colOff>285750</xdr:colOff>
          <xdr:row>0</xdr:row>
          <xdr:rowOff>742950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0</xdr:row>
          <xdr:rowOff>419100</xdr:rowOff>
        </xdr:from>
        <xdr:to>
          <xdr:col>16</xdr:col>
          <xdr:colOff>609600</xdr:colOff>
          <xdr:row>0</xdr:row>
          <xdr:rowOff>733425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666750</xdr:colOff>
          <xdr:row>0</xdr:row>
          <xdr:rowOff>409575</xdr:rowOff>
        </xdr:from>
        <xdr:to>
          <xdr:col>17</xdr:col>
          <xdr:colOff>504825</xdr:colOff>
          <xdr:row>0</xdr:row>
          <xdr:rowOff>723900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47625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0</xdr:rowOff>
        </xdr:from>
        <xdr:to>
          <xdr:col>2</xdr:col>
          <xdr:colOff>342900</xdr:colOff>
          <xdr:row>4</xdr:row>
          <xdr:rowOff>142875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209550</xdr:rowOff>
        </xdr:from>
        <xdr:to>
          <xdr:col>2</xdr:col>
          <xdr:colOff>342900</xdr:colOff>
          <xdr:row>6</xdr:row>
          <xdr:rowOff>104775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85725</xdr:rowOff>
        </xdr:from>
        <xdr:to>
          <xdr:col>1</xdr:col>
          <xdr:colOff>600075</xdr:colOff>
          <xdr:row>1</xdr:row>
          <xdr:rowOff>400050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438150</xdr:rowOff>
        </xdr:from>
        <xdr:to>
          <xdr:col>1</xdr:col>
          <xdr:colOff>590550</xdr:colOff>
          <xdr:row>2</xdr:row>
          <xdr:rowOff>266700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9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9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9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9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9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9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9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9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9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A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A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A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B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B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C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C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5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19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Relationship Id="rId2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abSelected="1" zoomScaleNormal="100" workbookViewId="0">
      <selection activeCell="R21" sqref="R21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97" t="s">
        <v>238</v>
      </c>
      <c r="C2" s="497"/>
      <c r="D2" s="497"/>
      <c r="E2" s="497"/>
      <c r="F2" s="497"/>
      <c r="G2" s="497"/>
      <c r="H2" s="497"/>
      <c r="I2" s="497"/>
      <c r="J2" s="497"/>
      <c r="K2" s="497"/>
      <c r="L2" s="497"/>
    </row>
    <row r="3" spans="2:23" ht="17.25" thickBot="1">
      <c r="I3"/>
      <c r="J3"/>
      <c r="K3"/>
    </row>
    <row r="4" spans="2:23" s="77" customFormat="1" ht="22.5" customHeight="1">
      <c r="B4" s="254" t="s">
        <v>42</v>
      </c>
      <c r="C4" s="256" t="s">
        <v>43</v>
      </c>
      <c r="D4" s="256" t="s">
        <v>32</v>
      </c>
      <c r="E4" s="256" t="s">
        <v>33</v>
      </c>
      <c r="F4" s="256" t="s">
        <v>34</v>
      </c>
      <c r="G4" s="256" t="s">
        <v>35</v>
      </c>
      <c r="H4" s="256" t="s">
        <v>12</v>
      </c>
      <c r="I4" s="256" t="s">
        <v>13</v>
      </c>
      <c r="J4" s="256" t="s">
        <v>14</v>
      </c>
      <c r="K4" s="256" t="s">
        <v>15</v>
      </c>
      <c r="L4" s="256" t="s">
        <v>16</v>
      </c>
      <c r="M4" s="256" t="s">
        <v>17</v>
      </c>
      <c r="N4" s="257" t="s">
        <v>18</v>
      </c>
      <c r="O4" s="327" t="s">
        <v>45</v>
      </c>
      <c r="P4" s="257" t="s">
        <v>46</v>
      </c>
    </row>
    <row r="5" spans="2:23" ht="22.5" customHeight="1">
      <c r="B5" s="258">
        <v>1993</v>
      </c>
      <c r="C5" s="259">
        <v>4.5999999999999996</v>
      </c>
      <c r="D5" s="259">
        <v>66.7</v>
      </c>
      <c r="E5" s="259">
        <v>21.6</v>
      </c>
      <c r="F5" s="259">
        <v>32.6</v>
      </c>
      <c r="G5" s="259">
        <v>68.5</v>
      </c>
      <c r="H5" s="259">
        <v>225.5</v>
      </c>
      <c r="I5" s="259">
        <v>241.5</v>
      </c>
      <c r="J5" s="259">
        <v>206.5</v>
      </c>
      <c r="K5" s="259">
        <v>141.5</v>
      </c>
      <c r="L5" s="259">
        <v>32</v>
      </c>
      <c r="M5" s="259">
        <v>87.4</v>
      </c>
      <c r="N5" s="260">
        <v>33.700000000000003</v>
      </c>
      <c r="O5" s="328">
        <f>ROUND(SUM(C5:N5),1)</f>
        <v>1162.0999999999999</v>
      </c>
      <c r="P5" s="261">
        <f>ROUND(O5/12,1)</f>
        <v>96.8</v>
      </c>
      <c r="Q5" s="78"/>
      <c r="R5" s="248"/>
      <c r="S5" s="247"/>
      <c r="T5" s="248"/>
      <c r="U5" s="247"/>
      <c r="V5" s="248"/>
      <c r="W5" s="247"/>
    </row>
    <row r="6" spans="2:23" ht="22.5" customHeight="1">
      <c r="B6" s="262">
        <v>1994</v>
      </c>
      <c r="C6" s="255">
        <v>17.899999999999999</v>
      </c>
      <c r="D6" s="255">
        <v>6</v>
      </c>
      <c r="E6" s="255">
        <v>58.2</v>
      </c>
      <c r="F6" s="255">
        <v>51.5</v>
      </c>
      <c r="G6" s="255">
        <v>135.5</v>
      </c>
      <c r="H6" s="255">
        <v>207</v>
      </c>
      <c r="I6" s="255">
        <v>137</v>
      </c>
      <c r="J6" s="255">
        <v>443.5</v>
      </c>
      <c r="K6" s="255">
        <v>21</v>
      </c>
      <c r="L6" s="255">
        <v>155</v>
      </c>
      <c r="M6" s="255">
        <v>17.5</v>
      </c>
      <c r="N6" s="263">
        <v>18.899999999999999</v>
      </c>
      <c r="O6" s="329">
        <f t="shared" ref="O6:O34" si="0">ROUND(SUM(C6:N6),1)</f>
        <v>1269</v>
      </c>
      <c r="P6" s="264">
        <f t="shared" ref="P6:P34" si="1">ROUND(O6/12,1)</f>
        <v>105.8</v>
      </c>
      <c r="Q6" s="78"/>
      <c r="R6" s="248"/>
      <c r="S6" s="247"/>
      <c r="T6" s="248"/>
      <c r="U6" s="247"/>
      <c r="V6" s="248"/>
      <c r="W6" s="247"/>
    </row>
    <row r="7" spans="2:23" ht="22.5" customHeight="1">
      <c r="B7" s="262">
        <v>1995</v>
      </c>
      <c r="C7" s="255">
        <v>15.7</v>
      </c>
      <c r="D7" s="255">
        <v>11</v>
      </c>
      <c r="E7" s="255">
        <v>19.600000000000001</v>
      </c>
      <c r="F7" s="255">
        <v>65.5</v>
      </c>
      <c r="G7" s="255">
        <v>49.5</v>
      </c>
      <c r="H7" s="255">
        <v>26.5</v>
      </c>
      <c r="I7" s="255">
        <v>144.5</v>
      </c>
      <c r="J7" s="255">
        <v>996.5</v>
      </c>
      <c r="K7" s="255">
        <v>70.5</v>
      </c>
      <c r="L7" s="255">
        <v>24.5</v>
      </c>
      <c r="M7" s="255">
        <v>23</v>
      </c>
      <c r="N7" s="263">
        <v>12.7</v>
      </c>
      <c r="O7" s="329">
        <f t="shared" si="0"/>
        <v>1459.5</v>
      </c>
      <c r="P7" s="264">
        <f t="shared" si="1"/>
        <v>121.6</v>
      </c>
      <c r="Q7" s="78"/>
      <c r="R7" s="248"/>
      <c r="S7" s="247"/>
      <c r="T7" s="248"/>
      <c r="U7" s="247"/>
      <c r="V7" s="248"/>
      <c r="W7" s="247"/>
    </row>
    <row r="8" spans="2:23" ht="22.5" customHeight="1">
      <c r="B8" s="262">
        <v>1996</v>
      </c>
      <c r="C8" s="255">
        <v>33.4</v>
      </c>
      <c r="D8" s="255">
        <v>6.8</v>
      </c>
      <c r="E8" s="255">
        <v>104.5</v>
      </c>
      <c r="F8" s="255">
        <v>34</v>
      </c>
      <c r="G8" s="255">
        <v>22.5</v>
      </c>
      <c r="H8" s="255">
        <v>235</v>
      </c>
      <c r="I8" s="255">
        <v>192.5</v>
      </c>
      <c r="J8" s="255">
        <v>44.5</v>
      </c>
      <c r="K8" s="255">
        <v>14</v>
      </c>
      <c r="L8" s="255">
        <v>106.5</v>
      </c>
      <c r="M8" s="255">
        <v>74.2</v>
      </c>
      <c r="N8" s="263">
        <v>31.7</v>
      </c>
      <c r="O8" s="329">
        <f t="shared" si="0"/>
        <v>899.6</v>
      </c>
      <c r="P8" s="264">
        <f t="shared" si="1"/>
        <v>75</v>
      </c>
      <c r="Q8" s="78"/>
      <c r="R8" s="549" t="s">
        <v>308</v>
      </c>
      <c r="S8" s="247"/>
      <c r="T8" s="248"/>
      <c r="U8" s="247"/>
      <c r="V8" s="248"/>
      <c r="W8" s="247"/>
    </row>
    <row r="9" spans="2:23" ht="22.5" customHeight="1">
      <c r="B9" s="262">
        <v>1997</v>
      </c>
      <c r="C9" s="255">
        <v>15.1</v>
      </c>
      <c r="D9" s="255">
        <v>38.4</v>
      </c>
      <c r="E9" s="255">
        <v>30.5</v>
      </c>
      <c r="F9" s="255">
        <v>57.5</v>
      </c>
      <c r="G9" s="255">
        <v>203</v>
      </c>
      <c r="H9" s="255">
        <v>272</v>
      </c>
      <c r="I9" s="255">
        <v>353.5</v>
      </c>
      <c r="J9" s="255">
        <v>211.5</v>
      </c>
      <c r="K9" s="255">
        <v>23</v>
      </c>
      <c r="L9" s="255">
        <v>10</v>
      </c>
      <c r="M9" s="255">
        <v>193.5</v>
      </c>
      <c r="N9" s="263">
        <v>34.299999999999997</v>
      </c>
      <c r="O9" s="329">
        <f t="shared" si="0"/>
        <v>1442.3</v>
      </c>
      <c r="P9" s="264">
        <f t="shared" si="1"/>
        <v>120.2</v>
      </c>
      <c r="Q9" s="78"/>
      <c r="R9" s="248"/>
      <c r="S9" s="247"/>
      <c r="T9" s="248"/>
      <c r="U9" s="247"/>
      <c r="V9" s="248"/>
      <c r="W9" s="247"/>
    </row>
    <row r="10" spans="2:23" ht="22.5" customHeight="1">
      <c r="B10" s="262">
        <v>1998</v>
      </c>
      <c r="C10" s="255">
        <v>29.9</v>
      </c>
      <c r="D10" s="255">
        <v>40.200000000000003</v>
      </c>
      <c r="E10" s="255">
        <v>30.5</v>
      </c>
      <c r="F10" s="255">
        <v>138</v>
      </c>
      <c r="G10" s="255">
        <v>100</v>
      </c>
      <c r="H10" s="255">
        <v>209.5</v>
      </c>
      <c r="I10" s="255">
        <v>263</v>
      </c>
      <c r="J10" s="255">
        <v>341.7</v>
      </c>
      <c r="K10" s="255">
        <v>150.30000000000001</v>
      </c>
      <c r="L10" s="255">
        <v>61</v>
      </c>
      <c r="M10" s="255">
        <v>29.3</v>
      </c>
      <c r="N10" s="263">
        <v>3.8</v>
      </c>
      <c r="O10" s="329">
        <f t="shared" si="0"/>
        <v>1397.2</v>
      </c>
      <c r="P10" s="264">
        <f t="shared" si="1"/>
        <v>116.4</v>
      </c>
      <c r="Q10" s="78"/>
      <c r="R10" s="248"/>
      <c r="S10" s="247"/>
      <c r="T10" s="248"/>
      <c r="U10" s="247"/>
      <c r="V10" s="248"/>
      <c r="W10" s="247"/>
    </row>
    <row r="11" spans="2:23" ht="22.5" customHeight="1">
      <c r="B11" s="262">
        <v>1999</v>
      </c>
      <c r="C11" s="255">
        <v>7.9</v>
      </c>
      <c r="D11" s="255">
        <v>9.5</v>
      </c>
      <c r="E11" s="255">
        <v>71</v>
      </c>
      <c r="F11" s="255">
        <v>88.5</v>
      </c>
      <c r="G11" s="255">
        <v>124.5</v>
      </c>
      <c r="H11" s="255">
        <v>192.5</v>
      </c>
      <c r="I11" s="255">
        <v>98</v>
      </c>
      <c r="J11" s="255">
        <v>180</v>
      </c>
      <c r="K11" s="255">
        <v>292.5</v>
      </c>
      <c r="L11" s="255">
        <v>169</v>
      </c>
      <c r="M11" s="255">
        <v>24.9</v>
      </c>
      <c r="N11" s="263">
        <v>25.8</v>
      </c>
      <c r="O11" s="329">
        <f t="shared" si="0"/>
        <v>1284.0999999999999</v>
      </c>
      <c r="P11" s="264">
        <f t="shared" si="1"/>
        <v>107</v>
      </c>
      <c r="R11" s="248"/>
      <c r="S11" s="247"/>
      <c r="T11" s="248"/>
      <c r="U11" s="247"/>
      <c r="V11" s="248"/>
      <c r="W11" s="247"/>
    </row>
    <row r="12" spans="2:23" ht="22.5" customHeight="1">
      <c r="B12" s="262">
        <v>2000</v>
      </c>
      <c r="C12" s="255">
        <v>42.1</v>
      </c>
      <c r="D12" s="255">
        <v>3.2</v>
      </c>
      <c r="E12" s="255">
        <v>7</v>
      </c>
      <c r="F12" s="255">
        <v>35</v>
      </c>
      <c r="G12" s="255">
        <v>53.5</v>
      </c>
      <c r="H12" s="255">
        <v>159.5</v>
      </c>
      <c r="I12" s="255">
        <v>155</v>
      </c>
      <c r="J12" s="255">
        <v>701.5</v>
      </c>
      <c r="K12" s="255">
        <v>241</v>
      </c>
      <c r="L12" s="255">
        <v>46</v>
      </c>
      <c r="M12" s="255">
        <v>39.5</v>
      </c>
      <c r="N12" s="263">
        <v>32.1</v>
      </c>
      <c r="O12" s="329">
        <f t="shared" si="0"/>
        <v>1515.4</v>
      </c>
      <c r="P12" s="264">
        <f t="shared" si="1"/>
        <v>126.3</v>
      </c>
      <c r="R12" s="248"/>
      <c r="S12" s="247"/>
      <c r="T12" s="248"/>
      <c r="U12" s="247"/>
      <c r="V12" s="248"/>
      <c r="W12" s="247"/>
    </row>
    <row r="13" spans="2:23" ht="22.5" customHeight="1">
      <c r="B13" s="262">
        <v>2001</v>
      </c>
      <c r="C13" s="255">
        <v>73.3</v>
      </c>
      <c r="D13" s="255">
        <v>46</v>
      </c>
      <c r="E13" s="255">
        <v>15.9</v>
      </c>
      <c r="F13" s="255">
        <v>26</v>
      </c>
      <c r="G13" s="255">
        <v>17</v>
      </c>
      <c r="H13" s="255">
        <v>129</v>
      </c>
      <c r="I13" s="255">
        <v>286.5</v>
      </c>
      <c r="J13" s="255">
        <v>170</v>
      </c>
      <c r="K13" s="255">
        <v>10</v>
      </c>
      <c r="L13" s="255">
        <v>85</v>
      </c>
      <c r="M13" s="255">
        <v>13</v>
      </c>
      <c r="N13" s="263">
        <v>32</v>
      </c>
      <c r="O13" s="329">
        <f t="shared" si="0"/>
        <v>903.7</v>
      </c>
      <c r="P13" s="264">
        <f t="shared" si="1"/>
        <v>75.3</v>
      </c>
      <c r="R13" s="248"/>
      <c r="S13" s="247"/>
      <c r="T13" s="248"/>
      <c r="U13" s="247"/>
      <c r="V13" s="248"/>
      <c r="W13" s="247"/>
    </row>
    <row r="14" spans="2:23" ht="22.5" customHeight="1">
      <c r="B14" s="262">
        <v>2002</v>
      </c>
      <c r="C14" s="255">
        <v>50.8</v>
      </c>
      <c r="D14" s="255">
        <v>5.5</v>
      </c>
      <c r="E14" s="255">
        <v>32</v>
      </c>
      <c r="F14" s="255">
        <v>169</v>
      </c>
      <c r="G14" s="255">
        <v>155.5</v>
      </c>
      <c r="H14" s="255">
        <v>72</v>
      </c>
      <c r="I14" s="255">
        <v>217.5</v>
      </c>
      <c r="J14" s="255">
        <v>477</v>
      </c>
      <c r="K14" s="255">
        <v>27</v>
      </c>
      <c r="L14" s="255">
        <v>134</v>
      </c>
      <c r="M14" s="255">
        <v>61.1</v>
      </c>
      <c r="N14" s="263">
        <v>51.8</v>
      </c>
      <c r="O14" s="329">
        <f t="shared" si="0"/>
        <v>1453.2</v>
      </c>
      <c r="P14" s="264">
        <f t="shared" si="1"/>
        <v>121.1</v>
      </c>
      <c r="R14" s="248"/>
      <c r="S14" s="247"/>
      <c r="T14" s="248"/>
      <c r="U14" s="247"/>
      <c r="V14" s="248"/>
      <c r="W14" s="247"/>
    </row>
    <row r="15" spans="2:23" ht="22.5" customHeight="1">
      <c r="B15" s="262">
        <v>2003</v>
      </c>
      <c r="C15" s="255">
        <v>30.7</v>
      </c>
      <c r="D15" s="255">
        <v>44.5</v>
      </c>
      <c r="E15" s="255">
        <v>39.5</v>
      </c>
      <c r="F15" s="255">
        <v>168.5</v>
      </c>
      <c r="G15" s="255">
        <v>78.5</v>
      </c>
      <c r="H15" s="255">
        <v>153</v>
      </c>
      <c r="I15" s="255">
        <v>309.5</v>
      </c>
      <c r="J15" s="255">
        <v>310</v>
      </c>
      <c r="K15" s="255">
        <v>128</v>
      </c>
      <c r="L15" s="255">
        <v>23</v>
      </c>
      <c r="M15" s="255">
        <v>45.5</v>
      </c>
      <c r="N15" s="263">
        <v>13</v>
      </c>
      <c r="O15" s="329">
        <f t="shared" si="0"/>
        <v>1343.7</v>
      </c>
      <c r="P15" s="264">
        <f t="shared" si="1"/>
        <v>112</v>
      </c>
    </row>
    <row r="16" spans="2:23" ht="22.5" customHeight="1">
      <c r="B16" s="262">
        <v>2004</v>
      </c>
      <c r="C16" s="255">
        <v>22.1</v>
      </c>
      <c r="D16" s="255">
        <v>28.5</v>
      </c>
      <c r="E16" s="255">
        <v>45.7</v>
      </c>
      <c r="F16" s="255">
        <v>58</v>
      </c>
      <c r="G16" s="255">
        <v>105.5</v>
      </c>
      <c r="H16" s="255">
        <v>234.5</v>
      </c>
      <c r="I16" s="255">
        <v>263.5</v>
      </c>
      <c r="J16" s="255">
        <v>164</v>
      </c>
      <c r="K16" s="255">
        <v>195</v>
      </c>
      <c r="L16" s="255">
        <v>4</v>
      </c>
      <c r="M16" s="255">
        <v>56.5</v>
      </c>
      <c r="N16" s="263">
        <v>38.9</v>
      </c>
      <c r="O16" s="329">
        <f t="shared" si="0"/>
        <v>1216.2</v>
      </c>
      <c r="P16" s="264">
        <f t="shared" si="1"/>
        <v>101.4</v>
      </c>
    </row>
    <row r="17" spans="2:16" ht="22.5" customHeight="1">
      <c r="B17" s="262">
        <v>2005</v>
      </c>
      <c r="C17" s="255">
        <v>5.8</v>
      </c>
      <c r="D17" s="255">
        <v>35.799999999999997</v>
      </c>
      <c r="E17" s="255">
        <v>30</v>
      </c>
      <c r="F17" s="255">
        <v>73.5</v>
      </c>
      <c r="G17" s="255">
        <v>48.5</v>
      </c>
      <c r="H17" s="255">
        <v>156</v>
      </c>
      <c r="I17" s="255">
        <v>260.5</v>
      </c>
      <c r="J17" s="255">
        <v>291.5</v>
      </c>
      <c r="K17" s="255">
        <v>282.5</v>
      </c>
      <c r="L17" s="255">
        <v>21</v>
      </c>
      <c r="M17" s="255">
        <v>18</v>
      </c>
      <c r="N17" s="263">
        <v>43.4</v>
      </c>
      <c r="O17" s="329">
        <f t="shared" si="0"/>
        <v>1266.5</v>
      </c>
      <c r="P17" s="264">
        <f t="shared" si="1"/>
        <v>105.5</v>
      </c>
    </row>
    <row r="18" spans="2:16" ht="22.5" customHeight="1">
      <c r="B18" s="262">
        <v>2006</v>
      </c>
      <c r="C18" s="255">
        <v>27</v>
      </c>
      <c r="D18" s="255">
        <v>25.9</v>
      </c>
      <c r="E18" s="255">
        <v>10.6</v>
      </c>
      <c r="F18" s="255">
        <v>81.5</v>
      </c>
      <c r="G18" s="255">
        <v>94.5</v>
      </c>
      <c r="H18" s="255">
        <v>114.5</v>
      </c>
      <c r="I18" s="255">
        <v>321</v>
      </c>
      <c r="J18" s="255">
        <v>21.5</v>
      </c>
      <c r="K18" s="255">
        <v>23.5</v>
      </c>
      <c r="L18" s="255">
        <v>24.5</v>
      </c>
      <c r="M18" s="255">
        <v>61.5</v>
      </c>
      <c r="N18" s="263">
        <v>25.4</v>
      </c>
      <c r="O18" s="329">
        <f t="shared" si="0"/>
        <v>831.4</v>
      </c>
      <c r="P18" s="264">
        <f t="shared" si="1"/>
        <v>69.3</v>
      </c>
    </row>
    <row r="19" spans="2:16" ht="22.5" customHeight="1">
      <c r="B19" s="262">
        <v>2007</v>
      </c>
      <c r="C19" s="255">
        <v>23.4</v>
      </c>
      <c r="D19" s="255">
        <v>29.8</v>
      </c>
      <c r="E19" s="255">
        <v>102</v>
      </c>
      <c r="F19" s="255">
        <v>29.5</v>
      </c>
      <c r="G19" s="255">
        <v>79</v>
      </c>
      <c r="H19" s="255">
        <v>85</v>
      </c>
      <c r="I19" s="255">
        <v>214</v>
      </c>
      <c r="J19" s="255">
        <v>239.5</v>
      </c>
      <c r="K19" s="255">
        <v>384</v>
      </c>
      <c r="L19" s="255">
        <v>59</v>
      </c>
      <c r="M19" s="255">
        <v>17.5</v>
      </c>
      <c r="N19" s="263">
        <v>33.1</v>
      </c>
      <c r="O19" s="329">
        <f t="shared" si="0"/>
        <v>1295.8</v>
      </c>
      <c r="P19" s="264">
        <f t="shared" si="1"/>
        <v>108</v>
      </c>
    </row>
    <row r="20" spans="2:16" ht="22.5" customHeight="1">
      <c r="B20" s="262">
        <v>2008</v>
      </c>
      <c r="C20" s="255">
        <v>20.9</v>
      </c>
      <c r="D20" s="255">
        <v>10.8</v>
      </c>
      <c r="E20" s="255">
        <v>48.2</v>
      </c>
      <c r="F20" s="255">
        <v>40.5</v>
      </c>
      <c r="G20" s="255">
        <v>78.900000000000006</v>
      </c>
      <c r="H20" s="255">
        <v>101.3</v>
      </c>
      <c r="I20" s="255">
        <v>257.2</v>
      </c>
      <c r="J20" s="255">
        <v>119.5</v>
      </c>
      <c r="K20" s="255">
        <v>46.9</v>
      </c>
      <c r="L20" s="255">
        <v>26.7</v>
      </c>
      <c r="M20" s="255">
        <v>37.6</v>
      </c>
      <c r="N20" s="263">
        <v>25</v>
      </c>
      <c r="O20" s="329">
        <f t="shared" si="0"/>
        <v>813.5</v>
      </c>
      <c r="P20" s="264">
        <f t="shared" si="1"/>
        <v>67.8</v>
      </c>
    </row>
    <row r="21" spans="2:16" ht="22.5" customHeight="1">
      <c r="B21" s="262">
        <v>2009</v>
      </c>
      <c r="C21" s="255">
        <v>18.5</v>
      </c>
      <c r="D21" s="255">
        <v>23.3</v>
      </c>
      <c r="E21" s="255">
        <v>55.1</v>
      </c>
      <c r="F21" s="255">
        <v>41.5</v>
      </c>
      <c r="G21" s="255">
        <v>154.5</v>
      </c>
      <c r="H21" s="255">
        <v>115.1</v>
      </c>
      <c r="I21" s="255">
        <v>320.89999999999998</v>
      </c>
      <c r="J21" s="255">
        <v>176.6</v>
      </c>
      <c r="K21" s="255">
        <v>25.5</v>
      </c>
      <c r="L21" s="255">
        <v>39.5</v>
      </c>
      <c r="M21" s="255">
        <v>52.9</v>
      </c>
      <c r="N21" s="263">
        <v>58</v>
      </c>
      <c r="O21" s="329">
        <f t="shared" si="0"/>
        <v>1081.4000000000001</v>
      </c>
      <c r="P21" s="264">
        <f t="shared" si="1"/>
        <v>90.1</v>
      </c>
    </row>
    <row r="22" spans="2:16" ht="22.5" customHeight="1">
      <c r="B22" s="262">
        <v>2010</v>
      </c>
      <c r="C22" s="255">
        <v>30.1</v>
      </c>
      <c r="D22" s="255">
        <v>73.5</v>
      </c>
      <c r="E22" s="255">
        <v>75.900000000000006</v>
      </c>
      <c r="F22" s="255">
        <v>58.5</v>
      </c>
      <c r="G22" s="255">
        <v>122.8</v>
      </c>
      <c r="H22" s="255">
        <v>60.8</v>
      </c>
      <c r="I22" s="255">
        <v>396.5</v>
      </c>
      <c r="J22" s="255">
        <v>402.7</v>
      </c>
      <c r="K22" s="255">
        <v>213.1</v>
      </c>
      <c r="L22" s="255">
        <v>19.2</v>
      </c>
      <c r="M22" s="255">
        <v>16.3</v>
      </c>
      <c r="N22" s="263">
        <v>32.9</v>
      </c>
      <c r="O22" s="329">
        <f t="shared" si="0"/>
        <v>1502.3</v>
      </c>
      <c r="P22" s="264">
        <f t="shared" si="1"/>
        <v>125.2</v>
      </c>
    </row>
    <row r="23" spans="2:16" ht="22.5" customHeight="1">
      <c r="B23" s="262">
        <v>2011</v>
      </c>
      <c r="C23" s="255">
        <v>11.1</v>
      </c>
      <c r="D23" s="255">
        <v>37.5</v>
      </c>
      <c r="E23" s="255">
        <v>18</v>
      </c>
      <c r="F23" s="255">
        <v>72.099999999999994</v>
      </c>
      <c r="G23" s="255">
        <v>115.3</v>
      </c>
      <c r="H23" s="255">
        <v>318</v>
      </c>
      <c r="I23" s="255">
        <v>723.1</v>
      </c>
      <c r="J23" s="255">
        <v>289.39999999999998</v>
      </c>
      <c r="K23" s="255">
        <v>70.8</v>
      </c>
      <c r="L23" s="255">
        <v>13.9</v>
      </c>
      <c r="M23" s="255">
        <v>61.3</v>
      </c>
      <c r="N23" s="263">
        <v>12.5</v>
      </c>
      <c r="O23" s="329">
        <f t="shared" si="0"/>
        <v>1743</v>
      </c>
      <c r="P23" s="264">
        <f t="shared" si="1"/>
        <v>145.30000000000001</v>
      </c>
    </row>
    <row r="24" spans="2:16" ht="22.5" customHeight="1">
      <c r="B24" s="262">
        <v>2012</v>
      </c>
      <c r="C24" s="255">
        <v>24.2</v>
      </c>
      <c r="D24" s="255">
        <v>9.1999999999999993</v>
      </c>
      <c r="E24" s="255">
        <v>45</v>
      </c>
      <c r="F24" s="255">
        <v>68.900000000000006</v>
      </c>
      <c r="G24" s="255">
        <v>14.6</v>
      </c>
      <c r="H24" s="255">
        <v>76.8</v>
      </c>
      <c r="I24" s="255">
        <v>231.1</v>
      </c>
      <c r="J24" s="255">
        <v>450.2</v>
      </c>
      <c r="K24" s="255">
        <v>207.7</v>
      </c>
      <c r="L24" s="255">
        <v>65</v>
      </c>
      <c r="M24" s="255">
        <v>61.1</v>
      </c>
      <c r="N24" s="263">
        <v>65.2</v>
      </c>
      <c r="O24" s="329">
        <f t="shared" si="0"/>
        <v>1319</v>
      </c>
      <c r="P24" s="264">
        <f t="shared" si="1"/>
        <v>109.9</v>
      </c>
    </row>
    <row r="25" spans="2:16" ht="22.5" customHeight="1">
      <c r="B25" s="262">
        <v>2013</v>
      </c>
      <c r="C25" s="255">
        <v>28.4</v>
      </c>
      <c r="D25" s="255">
        <v>40.700000000000003</v>
      </c>
      <c r="E25" s="255">
        <v>53.4</v>
      </c>
      <c r="F25" s="255">
        <v>68.2</v>
      </c>
      <c r="G25" s="255">
        <v>116.6</v>
      </c>
      <c r="H25" s="255">
        <v>159.9</v>
      </c>
      <c r="I25" s="255">
        <v>267.5</v>
      </c>
      <c r="J25" s="255">
        <v>214.6</v>
      </c>
      <c r="K25" s="255">
        <v>320</v>
      </c>
      <c r="L25" s="255">
        <v>10.9</v>
      </c>
      <c r="M25" s="255">
        <v>81.099999999999994</v>
      </c>
      <c r="N25" s="263">
        <v>26.4</v>
      </c>
      <c r="O25" s="329">
        <f t="shared" si="0"/>
        <v>1387.7</v>
      </c>
      <c r="P25" s="264">
        <f t="shared" si="1"/>
        <v>115.6</v>
      </c>
    </row>
    <row r="26" spans="2:16" ht="22.5" customHeight="1">
      <c r="B26" s="262">
        <v>2014</v>
      </c>
      <c r="C26" s="255">
        <v>3.4</v>
      </c>
      <c r="D26" s="255">
        <v>20.5</v>
      </c>
      <c r="E26" s="255">
        <v>56.3</v>
      </c>
      <c r="F26" s="255">
        <v>70</v>
      </c>
      <c r="G26" s="255">
        <v>47.1</v>
      </c>
      <c r="H26" s="255">
        <v>125.8</v>
      </c>
      <c r="I26" s="255">
        <v>104</v>
      </c>
      <c r="J26" s="255">
        <v>168.5</v>
      </c>
      <c r="K26" s="255">
        <v>152</v>
      </c>
      <c r="L26" s="255">
        <v>156</v>
      </c>
      <c r="M26" s="255">
        <v>39.9</v>
      </c>
      <c r="N26" s="263">
        <v>66.599999999999994</v>
      </c>
      <c r="O26" s="329">
        <f t="shared" si="0"/>
        <v>1010.1</v>
      </c>
      <c r="P26" s="264">
        <f t="shared" si="1"/>
        <v>84.2</v>
      </c>
    </row>
    <row r="27" spans="2:16" ht="22.5" customHeight="1">
      <c r="B27" s="262">
        <v>2015</v>
      </c>
      <c r="C27" s="255">
        <v>29.9</v>
      </c>
      <c r="D27" s="255">
        <v>23.4</v>
      </c>
      <c r="E27" s="255">
        <v>30.9</v>
      </c>
      <c r="F27" s="255">
        <v>129.69999999999999</v>
      </c>
      <c r="G27" s="255">
        <v>38.799999999999997</v>
      </c>
      <c r="H27" s="255">
        <v>83.9</v>
      </c>
      <c r="I27" s="255">
        <v>94.7</v>
      </c>
      <c r="J27" s="255">
        <v>30.2</v>
      </c>
      <c r="K27" s="255">
        <v>13.3</v>
      </c>
      <c r="L27" s="255">
        <v>90</v>
      </c>
      <c r="M27" s="255">
        <v>155.6</v>
      </c>
      <c r="N27" s="263">
        <v>65</v>
      </c>
      <c r="O27" s="329">
        <f t="shared" si="0"/>
        <v>785.4</v>
      </c>
      <c r="P27" s="264">
        <f t="shared" si="1"/>
        <v>65.5</v>
      </c>
    </row>
    <row r="28" spans="2:16" ht="22.5" customHeight="1">
      <c r="B28" s="262">
        <v>2016</v>
      </c>
      <c r="C28" s="255">
        <v>7.8</v>
      </c>
      <c r="D28" s="255">
        <v>54.2</v>
      </c>
      <c r="E28" s="255">
        <v>18.7</v>
      </c>
      <c r="F28" s="255">
        <v>105.1</v>
      </c>
      <c r="G28" s="255">
        <v>146.5</v>
      </c>
      <c r="H28" s="255">
        <v>23.7</v>
      </c>
      <c r="I28" s="255">
        <v>200.2</v>
      </c>
      <c r="J28" s="255">
        <v>5.0999999999999996</v>
      </c>
      <c r="K28" s="255">
        <v>73.400000000000006</v>
      </c>
      <c r="L28" s="255">
        <v>108</v>
      </c>
      <c r="M28" s="255">
        <v>5.6</v>
      </c>
      <c r="N28" s="263">
        <v>44.5</v>
      </c>
      <c r="O28" s="329">
        <f t="shared" si="0"/>
        <v>792.8</v>
      </c>
      <c r="P28" s="264">
        <f t="shared" si="1"/>
        <v>66.099999999999994</v>
      </c>
    </row>
    <row r="29" spans="2:16" ht="22.5" customHeight="1">
      <c r="B29" s="262">
        <v>2017</v>
      </c>
      <c r="C29" s="255">
        <v>14.8</v>
      </c>
      <c r="D29" s="255">
        <v>30.2</v>
      </c>
      <c r="E29" s="255">
        <v>14.4</v>
      </c>
      <c r="F29" s="255">
        <v>57.6</v>
      </c>
      <c r="G29" s="255">
        <v>58.9</v>
      </c>
      <c r="H29" s="255">
        <v>21.1</v>
      </c>
      <c r="I29" s="255">
        <v>278.10000000000002</v>
      </c>
      <c r="J29" s="255">
        <v>210</v>
      </c>
      <c r="K29" s="255">
        <v>90</v>
      </c>
      <c r="L29" s="255">
        <v>26.6</v>
      </c>
      <c r="M29" s="255">
        <v>15.9</v>
      </c>
      <c r="N29" s="263">
        <v>38.6</v>
      </c>
      <c r="O29" s="329">
        <f t="shared" si="0"/>
        <v>856.2</v>
      </c>
      <c r="P29" s="264">
        <f t="shared" si="1"/>
        <v>71.400000000000006</v>
      </c>
    </row>
    <row r="30" spans="2:16" ht="22.5" customHeight="1">
      <c r="B30" s="262">
        <v>2018</v>
      </c>
      <c r="C30" s="255">
        <v>15</v>
      </c>
      <c r="D30" s="255">
        <v>33.6</v>
      </c>
      <c r="E30" s="255">
        <v>92</v>
      </c>
      <c r="F30" s="255">
        <v>128.1</v>
      </c>
      <c r="G30" s="255">
        <v>104.5</v>
      </c>
      <c r="H30" s="255">
        <v>71</v>
      </c>
      <c r="I30" s="255">
        <v>262.7</v>
      </c>
      <c r="J30" s="255">
        <v>239.6</v>
      </c>
      <c r="K30" s="255">
        <v>158.19999999999999</v>
      </c>
      <c r="L30" s="255">
        <v>154.69999999999999</v>
      </c>
      <c r="M30" s="255">
        <v>46.7</v>
      </c>
      <c r="N30" s="263">
        <v>31.1</v>
      </c>
      <c r="O30" s="329">
        <f t="shared" si="0"/>
        <v>1337.2</v>
      </c>
      <c r="P30" s="264">
        <f t="shared" si="1"/>
        <v>111.4</v>
      </c>
    </row>
    <row r="31" spans="2:16" ht="22.5" customHeight="1">
      <c r="B31" s="262">
        <v>2019</v>
      </c>
      <c r="C31" s="255">
        <v>1.9</v>
      </c>
      <c r="D31" s="255">
        <v>17.8</v>
      </c>
      <c r="E31" s="255">
        <v>18.2</v>
      </c>
      <c r="F31" s="255">
        <v>71.900000000000006</v>
      </c>
      <c r="G31" s="255">
        <v>31.3</v>
      </c>
      <c r="H31" s="255">
        <v>56</v>
      </c>
      <c r="I31" s="255">
        <v>149</v>
      </c>
      <c r="J31" s="255">
        <v>131.30000000000001</v>
      </c>
      <c r="K31" s="255">
        <v>118.7</v>
      </c>
      <c r="L31" s="255">
        <v>63.9</v>
      </c>
      <c r="M31" s="255">
        <v>130.6</v>
      </c>
      <c r="N31" s="263">
        <v>31.3</v>
      </c>
      <c r="O31" s="329">
        <f t="shared" si="0"/>
        <v>821.9</v>
      </c>
      <c r="P31" s="264">
        <f t="shared" si="1"/>
        <v>68.5</v>
      </c>
    </row>
    <row r="32" spans="2:16" ht="22.5" customHeight="1">
      <c r="B32" s="262">
        <v>2020</v>
      </c>
      <c r="C32" s="255">
        <v>49.4</v>
      </c>
      <c r="D32" s="255">
        <v>75.3</v>
      </c>
      <c r="E32" s="255">
        <v>22.8</v>
      </c>
      <c r="F32" s="255">
        <v>16.5</v>
      </c>
      <c r="G32" s="255">
        <v>92.4</v>
      </c>
      <c r="H32" s="255">
        <v>139.69999999999999</v>
      </c>
      <c r="I32" s="255">
        <v>345.9</v>
      </c>
      <c r="J32" s="255">
        <v>321.5</v>
      </c>
      <c r="K32" s="255">
        <v>177.1</v>
      </c>
      <c r="L32" s="255">
        <v>16.2</v>
      </c>
      <c r="M32" s="255">
        <v>35.4</v>
      </c>
      <c r="N32" s="263">
        <v>9.6999999999999993</v>
      </c>
      <c r="O32" s="329">
        <f t="shared" si="0"/>
        <v>1301.9000000000001</v>
      </c>
      <c r="P32" s="264">
        <f t="shared" si="1"/>
        <v>108.5</v>
      </c>
    </row>
    <row r="33" spans="2:16" ht="22.5" customHeight="1">
      <c r="B33" s="262">
        <v>2021</v>
      </c>
      <c r="C33" s="255">
        <v>32</v>
      </c>
      <c r="D33" s="255">
        <v>18.7</v>
      </c>
      <c r="E33" s="255">
        <v>76.099999999999994</v>
      </c>
      <c r="F33" s="255">
        <v>43.4</v>
      </c>
      <c r="G33" s="255">
        <v>110</v>
      </c>
      <c r="H33" s="255">
        <v>55</v>
      </c>
      <c r="I33" s="255">
        <v>131.30000000000001</v>
      </c>
      <c r="J33" s="255">
        <v>253.7</v>
      </c>
      <c r="K33" s="255">
        <v>215.9</v>
      </c>
      <c r="L33" s="255">
        <v>39.6</v>
      </c>
      <c r="M33" s="255">
        <v>117.8</v>
      </c>
      <c r="N33" s="263">
        <v>14.4</v>
      </c>
      <c r="O33" s="329">
        <f t="shared" si="0"/>
        <v>1107.9000000000001</v>
      </c>
      <c r="P33" s="264">
        <f t="shared" si="1"/>
        <v>92.3</v>
      </c>
    </row>
    <row r="34" spans="2:16" ht="22.5" customHeight="1" thickBot="1">
      <c r="B34" s="265">
        <v>2022</v>
      </c>
      <c r="C34" s="266">
        <v>8.4</v>
      </c>
      <c r="D34" s="266">
        <v>5.3</v>
      </c>
      <c r="E34" s="266">
        <v>60.9</v>
      </c>
      <c r="F34" s="266">
        <v>34.799999999999997</v>
      </c>
      <c r="G34" s="266">
        <v>5.7</v>
      </c>
      <c r="H34" s="266">
        <v>225</v>
      </c>
      <c r="I34" s="266">
        <v>119.9</v>
      </c>
      <c r="J34" s="266">
        <v>637.1</v>
      </c>
      <c r="K34" s="266">
        <v>102</v>
      </c>
      <c r="L34" s="266">
        <v>112</v>
      </c>
      <c r="M34" s="266">
        <v>23.3</v>
      </c>
      <c r="N34" s="267">
        <v>14</v>
      </c>
      <c r="O34" s="330">
        <f t="shared" si="0"/>
        <v>1348.4</v>
      </c>
      <c r="P34" s="268">
        <f t="shared" si="1"/>
        <v>112.4</v>
      </c>
    </row>
    <row r="35" spans="2:16" ht="22.5" customHeight="1">
      <c r="B35" s="269" t="s">
        <v>36</v>
      </c>
      <c r="C35" s="270">
        <f>MAX(C5:C34)</f>
        <v>73.3</v>
      </c>
      <c r="D35" s="270">
        <f t="shared" ref="D35:N35" si="2">MAX(D5:D34)</f>
        <v>75.3</v>
      </c>
      <c r="E35" s="270">
        <f t="shared" si="2"/>
        <v>104.5</v>
      </c>
      <c r="F35" s="270">
        <f t="shared" si="2"/>
        <v>169</v>
      </c>
      <c r="G35" s="270">
        <f t="shared" si="2"/>
        <v>203</v>
      </c>
      <c r="H35" s="270">
        <f t="shared" si="2"/>
        <v>318</v>
      </c>
      <c r="I35" s="270">
        <f t="shared" si="2"/>
        <v>723.1</v>
      </c>
      <c r="J35" s="270">
        <f t="shared" si="2"/>
        <v>996.5</v>
      </c>
      <c r="K35" s="270">
        <f t="shared" si="2"/>
        <v>384</v>
      </c>
      <c r="L35" s="270">
        <f t="shared" si="2"/>
        <v>169</v>
      </c>
      <c r="M35" s="270">
        <f t="shared" si="2"/>
        <v>193.5</v>
      </c>
      <c r="N35" s="271">
        <f t="shared" si="2"/>
        <v>66.599999999999994</v>
      </c>
      <c r="O35" s="331">
        <f t="shared" ref="O35" si="3">MAX(O5:O34)</f>
        <v>1743</v>
      </c>
      <c r="P35" s="271">
        <f>MAX(P5:P34)</f>
        <v>145.30000000000001</v>
      </c>
    </row>
    <row r="36" spans="2:16" ht="22.5" customHeight="1">
      <c r="B36" s="272" t="s">
        <v>37</v>
      </c>
      <c r="C36" s="273">
        <f>ROUND(MIN(C5:C34),1)</f>
        <v>1.9</v>
      </c>
      <c r="D36" s="273">
        <f t="shared" ref="D36:N36" si="4">ROUND(MIN(D5:D34),1)</f>
        <v>3.2</v>
      </c>
      <c r="E36" s="273">
        <f t="shared" si="4"/>
        <v>7</v>
      </c>
      <c r="F36" s="273">
        <f t="shared" si="4"/>
        <v>16.5</v>
      </c>
      <c r="G36" s="273">
        <f t="shared" si="4"/>
        <v>5.7</v>
      </c>
      <c r="H36" s="273">
        <f t="shared" si="4"/>
        <v>21.1</v>
      </c>
      <c r="I36" s="273">
        <f t="shared" si="4"/>
        <v>94.7</v>
      </c>
      <c r="J36" s="273">
        <f t="shared" si="4"/>
        <v>5.0999999999999996</v>
      </c>
      <c r="K36" s="273">
        <f t="shared" si="4"/>
        <v>10</v>
      </c>
      <c r="L36" s="273">
        <f t="shared" si="4"/>
        <v>4</v>
      </c>
      <c r="M36" s="273">
        <f t="shared" si="4"/>
        <v>5.6</v>
      </c>
      <c r="N36" s="274">
        <f t="shared" si="4"/>
        <v>3.8</v>
      </c>
      <c r="O36" s="287">
        <f>ROUND(MIN(O5:O34),1)</f>
        <v>785.4</v>
      </c>
      <c r="P36" s="275">
        <f>ROUND(MIN(P5:P34),1)</f>
        <v>65.5</v>
      </c>
    </row>
    <row r="37" spans="2:16" ht="22.5" customHeight="1" thickBot="1">
      <c r="B37" s="276" t="s">
        <v>46</v>
      </c>
      <c r="C37" s="277">
        <f>ROUND(AVERAGE(C5:C34),1)</f>
        <v>23.2</v>
      </c>
      <c r="D37" s="277">
        <f t="shared" ref="D37:N37" si="5">ROUND(AVERAGE(D5:D34),1)</f>
        <v>29.1</v>
      </c>
      <c r="E37" s="277">
        <f t="shared" si="5"/>
        <v>43.5</v>
      </c>
      <c r="F37" s="277">
        <f t="shared" si="5"/>
        <v>70.5</v>
      </c>
      <c r="G37" s="277">
        <f t="shared" si="5"/>
        <v>85.8</v>
      </c>
      <c r="H37" s="277">
        <f t="shared" si="5"/>
        <v>136.80000000000001</v>
      </c>
      <c r="I37" s="277">
        <f t="shared" si="5"/>
        <v>244.7</v>
      </c>
      <c r="J37" s="277">
        <f t="shared" si="5"/>
        <v>281.60000000000002</v>
      </c>
      <c r="K37" s="277">
        <f t="shared" si="5"/>
        <v>132.9</v>
      </c>
      <c r="L37" s="277">
        <f t="shared" si="5"/>
        <v>63.2</v>
      </c>
      <c r="M37" s="277">
        <f t="shared" si="5"/>
        <v>54.8</v>
      </c>
      <c r="N37" s="278">
        <f t="shared" si="5"/>
        <v>32.200000000000003</v>
      </c>
      <c r="O37" s="291">
        <f>ROUND(AVERAGE(O5:O34),1)</f>
        <v>1198.3</v>
      </c>
      <c r="P37" s="279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1" t="s">
        <v>41</v>
      </c>
      <c r="C40" s="282" t="s">
        <v>31</v>
      </c>
      <c r="D40" s="282" t="s">
        <v>32</v>
      </c>
      <c r="E40" s="282" t="s">
        <v>33</v>
      </c>
      <c r="F40" s="282" t="s">
        <v>34</v>
      </c>
      <c r="G40" s="282" t="s">
        <v>35</v>
      </c>
      <c r="H40" s="282" t="s">
        <v>12</v>
      </c>
      <c r="I40" s="282" t="s">
        <v>13</v>
      </c>
      <c r="J40" s="282" t="s">
        <v>14</v>
      </c>
      <c r="K40" s="282" t="s">
        <v>15</v>
      </c>
      <c r="L40" s="282" t="s">
        <v>16</v>
      </c>
      <c r="M40" s="282" t="s">
        <v>17</v>
      </c>
      <c r="N40" s="283" t="s">
        <v>18</v>
      </c>
      <c r="O40" s="284" t="s">
        <v>44</v>
      </c>
      <c r="P40" s="283" t="s">
        <v>30</v>
      </c>
    </row>
    <row r="41" spans="2:16" ht="22.5" customHeight="1">
      <c r="B41" s="285">
        <f>B25</f>
        <v>2013</v>
      </c>
      <c r="C41" s="280">
        <f t="shared" ref="C41:N41" si="6">C25</f>
        <v>28.4</v>
      </c>
      <c r="D41" s="280">
        <f t="shared" si="6"/>
        <v>40.700000000000003</v>
      </c>
      <c r="E41" s="280">
        <f t="shared" si="6"/>
        <v>53.4</v>
      </c>
      <c r="F41" s="280">
        <f t="shared" si="6"/>
        <v>68.2</v>
      </c>
      <c r="G41" s="280">
        <f t="shared" si="6"/>
        <v>116.6</v>
      </c>
      <c r="H41" s="280">
        <f t="shared" si="6"/>
        <v>159.9</v>
      </c>
      <c r="I41" s="280">
        <f t="shared" si="6"/>
        <v>267.5</v>
      </c>
      <c r="J41" s="280">
        <f t="shared" si="6"/>
        <v>214.6</v>
      </c>
      <c r="K41" s="280">
        <f t="shared" si="6"/>
        <v>320</v>
      </c>
      <c r="L41" s="280">
        <f t="shared" si="6"/>
        <v>10.9</v>
      </c>
      <c r="M41" s="280">
        <f t="shared" si="6"/>
        <v>81.099999999999994</v>
      </c>
      <c r="N41" s="286">
        <f t="shared" si="6"/>
        <v>26.4</v>
      </c>
      <c r="O41" s="287">
        <f>ROUND(SUM(C41:N41),1)</f>
        <v>1387.7</v>
      </c>
      <c r="P41" s="275">
        <f>ROUND(O41/12,1)</f>
        <v>115.6</v>
      </c>
    </row>
    <row r="42" spans="2:16" ht="22.5" customHeight="1">
      <c r="B42" s="285">
        <f t="shared" ref="B42:N42" si="7">B26</f>
        <v>2014</v>
      </c>
      <c r="C42" s="280">
        <f t="shared" si="7"/>
        <v>3.4</v>
      </c>
      <c r="D42" s="280">
        <f t="shared" si="7"/>
        <v>20.5</v>
      </c>
      <c r="E42" s="280">
        <f t="shared" si="7"/>
        <v>56.3</v>
      </c>
      <c r="F42" s="280">
        <f t="shared" si="7"/>
        <v>70</v>
      </c>
      <c r="G42" s="280">
        <f t="shared" si="7"/>
        <v>47.1</v>
      </c>
      <c r="H42" s="280">
        <f t="shared" si="7"/>
        <v>125.8</v>
      </c>
      <c r="I42" s="280">
        <f t="shared" si="7"/>
        <v>104</v>
      </c>
      <c r="J42" s="280">
        <f t="shared" si="7"/>
        <v>168.5</v>
      </c>
      <c r="K42" s="280">
        <f t="shared" si="7"/>
        <v>152</v>
      </c>
      <c r="L42" s="280">
        <f t="shared" si="7"/>
        <v>156</v>
      </c>
      <c r="M42" s="280">
        <f t="shared" si="7"/>
        <v>39.9</v>
      </c>
      <c r="N42" s="286">
        <f t="shared" si="7"/>
        <v>66.599999999999994</v>
      </c>
      <c r="O42" s="287">
        <f t="shared" ref="O42:O50" si="8">ROUND(SUM(C42:N42),1)</f>
        <v>1010.1</v>
      </c>
      <c r="P42" s="275">
        <f t="shared" ref="P42:P50" si="9">ROUND(O42/12,1)</f>
        <v>84.2</v>
      </c>
    </row>
    <row r="43" spans="2:16" ht="22.5" customHeight="1">
      <c r="B43" s="285">
        <f t="shared" ref="B43:N43" si="10">B27</f>
        <v>2015</v>
      </c>
      <c r="C43" s="280">
        <f t="shared" si="10"/>
        <v>29.9</v>
      </c>
      <c r="D43" s="280">
        <f t="shared" si="10"/>
        <v>23.4</v>
      </c>
      <c r="E43" s="280">
        <f t="shared" si="10"/>
        <v>30.9</v>
      </c>
      <c r="F43" s="280">
        <f t="shared" si="10"/>
        <v>129.69999999999999</v>
      </c>
      <c r="G43" s="280">
        <f t="shared" si="10"/>
        <v>38.799999999999997</v>
      </c>
      <c r="H43" s="280">
        <f t="shared" si="10"/>
        <v>83.9</v>
      </c>
      <c r="I43" s="280">
        <f t="shared" si="10"/>
        <v>94.7</v>
      </c>
      <c r="J43" s="280">
        <f t="shared" si="10"/>
        <v>30.2</v>
      </c>
      <c r="K43" s="280">
        <f t="shared" si="10"/>
        <v>13.3</v>
      </c>
      <c r="L43" s="280">
        <f t="shared" si="10"/>
        <v>90</v>
      </c>
      <c r="M43" s="280">
        <f t="shared" si="10"/>
        <v>155.6</v>
      </c>
      <c r="N43" s="286">
        <f t="shared" si="10"/>
        <v>65</v>
      </c>
      <c r="O43" s="287">
        <f t="shared" si="8"/>
        <v>785.4</v>
      </c>
      <c r="P43" s="275">
        <f t="shared" si="9"/>
        <v>65.5</v>
      </c>
    </row>
    <row r="44" spans="2:16" ht="22.5" customHeight="1">
      <c r="B44" s="285">
        <f t="shared" ref="B44:N44" si="11">B28</f>
        <v>2016</v>
      </c>
      <c r="C44" s="280">
        <f t="shared" si="11"/>
        <v>7.8</v>
      </c>
      <c r="D44" s="280">
        <f t="shared" si="11"/>
        <v>54.2</v>
      </c>
      <c r="E44" s="280">
        <f t="shared" si="11"/>
        <v>18.7</v>
      </c>
      <c r="F44" s="280">
        <f t="shared" si="11"/>
        <v>105.1</v>
      </c>
      <c r="G44" s="280">
        <f t="shared" si="11"/>
        <v>146.5</v>
      </c>
      <c r="H44" s="280">
        <f t="shared" si="11"/>
        <v>23.7</v>
      </c>
      <c r="I44" s="280">
        <f t="shared" si="11"/>
        <v>200.2</v>
      </c>
      <c r="J44" s="280">
        <f t="shared" si="11"/>
        <v>5.0999999999999996</v>
      </c>
      <c r="K44" s="280">
        <f t="shared" si="11"/>
        <v>73.400000000000006</v>
      </c>
      <c r="L44" s="280">
        <f t="shared" si="11"/>
        <v>108</v>
      </c>
      <c r="M44" s="280">
        <f t="shared" si="11"/>
        <v>5.6</v>
      </c>
      <c r="N44" s="286">
        <f t="shared" si="11"/>
        <v>44.5</v>
      </c>
      <c r="O44" s="287">
        <f t="shared" si="8"/>
        <v>792.8</v>
      </c>
      <c r="P44" s="275">
        <f t="shared" si="9"/>
        <v>66.099999999999994</v>
      </c>
    </row>
    <row r="45" spans="2:16" ht="22.5" customHeight="1">
      <c r="B45" s="285">
        <f t="shared" ref="B45:N45" si="12">B29</f>
        <v>2017</v>
      </c>
      <c r="C45" s="280">
        <f t="shared" si="12"/>
        <v>14.8</v>
      </c>
      <c r="D45" s="280">
        <f t="shared" si="12"/>
        <v>30.2</v>
      </c>
      <c r="E45" s="280">
        <f t="shared" si="12"/>
        <v>14.4</v>
      </c>
      <c r="F45" s="280">
        <f t="shared" si="12"/>
        <v>57.6</v>
      </c>
      <c r="G45" s="280">
        <f t="shared" si="12"/>
        <v>58.9</v>
      </c>
      <c r="H45" s="280">
        <f t="shared" si="12"/>
        <v>21.1</v>
      </c>
      <c r="I45" s="280">
        <f t="shared" si="12"/>
        <v>278.10000000000002</v>
      </c>
      <c r="J45" s="280">
        <f t="shared" si="12"/>
        <v>210</v>
      </c>
      <c r="K45" s="280">
        <f t="shared" si="12"/>
        <v>90</v>
      </c>
      <c r="L45" s="280">
        <f t="shared" si="12"/>
        <v>26.6</v>
      </c>
      <c r="M45" s="280">
        <f t="shared" si="12"/>
        <v>15.9</v>
      </c>
      <c r="N45" s="286">
        <f t="shared" si="12"/>
        <v>38.6</v>
      </c>
      <c r="O45" s="287">
        <f t="shared" si="8"/>
        <v>856.2</v>
      </c>
      <c r="P45" s="275">
        <f t="shared" si="9"/>
        <v>71.400000000000006</v>
      </c>
    </row>
    <row r="46" spans="2:16" ht="22.5" customHeight="1">
      <c r="B46" s="285">
        <f t="shared" ref="B46:N46" si="13">B30</f>
        <v>2018</v>
      </c>
      <c r="C46" s="280">
        <f t="shared" si="13"/>
        <v>15</v>
      </c>
      <c r="D46" s="280">
        <f t="shared" si="13"/>
        <v>33.6</v>
      </c>
      <c r="E46" s="280">
        <f t="shared" si="13"/>
        <v>92</v>
      </c>
      <c r="F46" s="280">
        <f t="shared" si="13"/>
        <v>128.1</v>
      </c>
      <c r="G46" s="280">
        <f t="shared" si="13"/>
        <v>104.5</v>
      </c>
      <c r="H46" s="280">
        <f t="shared" si="13"/>
        <v>71</v>
      </c>
      <c r="I46" s="280">
        <f t="shared" si="13"/>
        <v>262.7</v>
      </c>
      <c r="J46" s="280">
        <f t="shared" si="13"/>
        <v>239.6</v>
      </c>
      <c r="K46" s="280">
        <f t="shared" si="13"/>
        <v>158.19999999999999</v>
      </c>
      <c r="L46" s="280">
        <f t="shared" si="13"/>
        <v>154.69999999999999</v>
      </c>
      <c r="M46" s="280">
        <f t="shared" si="13"/>
        <v>46.7</v>
      </c>
      <c r="N46" s="286">
        <f t="shared" si="13"/>
        <v>31.1</v>
      </c>
      <c r="O46" s="287">
        <f t="shared" si="8"/>
        <v>1337.2</v>
      </c>
      <c r="P46" s="275">
        <f t="shared" si="9"/>
        <v>111.4</v>
      </c>
    </row>
    <row r="47" spans="2:16" ht="22.5" customHeight="1">
      <c r="B47" s="285">
        <f t="shared" ref="B47:N47" si="14">B31</f>
        <v>2019</v>
      </c>
      <c r="C47" s="280">
        <f t="shared" si="14"/>
        <v>1.9</v>
      </c>
      <c r="D47" s="280">
        <f t="shared" si="14"/>
        <v>17.8</v>
      </c>
      <c r="E47" s="280">
        <f t="shared" si="14"/>
        <v>18.2</v>
      </c>
      <c r="F47" s="280">
        <f t="shared" si="14"/>
        <v>71.900000000000006</v>
      </c>
      <c r="G47" s="280">
        <f t="shared" si="14"/>
        <v>31.3</v>
      </c>
      <c r="H47" s="280">
        <f t="shared" si="14"/>
        <v>56</v>
      </c>
      <c r="I47" s="280">
        <f t="shared" si="14"/>
        <v>149</v>
      </c>
      <c r="J47" s="280">
        <f t="shared" si="14"/>
        <v>131.30000000000001</v>
      </c>
      <c r="K47" s="280">
        <f t="shared" si="14"/>
        <v>118.7</v>
      </c>
      <c r="L47" s="280">
        <f t="shared" si="14"/>
        <v>63.9</v>
      </c>
      <c r="M47" s="280">
        <f t="shared" si="14"/>
        <v>130.6</v>
      </c>
      <c r="N47" s="286">
        <f t="shared" si="14"/>
        <v>31.3</v>
      </c>
      <c r="O47" s="287">
        <f t="shared" si="8"/>
        <v>821.9</v>
      </c>
      <c r="P47" s="275">
        <f t="shared" si="9"/>
        <v>68.5</v>
      </c>
    </row>
    <row r="48" spans="2:16" ht="22.5" customHeight="1">
      <c r="B48" s="285">
        <f t="shared" ref="B48:N48" si="15">B32</f>
        <v>2020</v>
      </c>
      <c r="C48" s="280">
        <f t="shared" si="15"/>
        <v>49.4</v>
      </c>
      <c r="D48" s="280">
        <f t="shared" si="15"/>
        <v>75.3</v>
      </c>
      <c r="E48" s="280">
        <f t="shared" si="15"/>
        <v>22.8</v>
      </c>
      <c r="F48" s="280">
        <f t="shared" si="15"/>
        <v>16.5</v>
      </c>
      <c r="G48" s="280">
        <f t="shared" si="15"/>
        <v>92.4</v>
      </c>
      <c r="H48" s="280">
        <f t="shared" si="15"/>
        <v>139.69999999999999</v>
      </c>
      <c r="I48" s="280">
        <f t="shared" si="15"/>
        <v>345.9</v>
      </c>
      <c r="J48" s="280">
        <f t="shared" si="15"/>
        <v>321.5</v>
      </c>
      <c r="K48" s="280">
        <f t="shared" si="15"/>
        <v>177.1</v>
      </c>
      <c r="L48" s="280">
        <f t="shared" si="15"/>
        <v>16.2</v>
      </c>
      <c r="M48" s="280">
        <f t="shared" si="15"/>
        <v>35.4</v>
      </c>
      <c r="N48" s="286">
        <f t="shared" si="15"/>
        <v>9.6999999999999993</v>
      </c>
      <c r="O48" s="287">
        <f t="shared" si="8"/>
        <v>1301.9000000000001</v>
      </c>
      <c r="P48" s="275">
        <f t="shared" si="9"/>
        <v>108.5</v>
      </c>
    </row>
    <row r="49" spans="2:16" ht="22.5" customHeight="1">
      <c r="B49" s="285">
        <f t="shared" ref="B49:N49" si="16">B33</f>
        <v>2021</v>
      </c>
      <c r="C49" s="280">
        <f t="shared" si="16"/>
        <v>32</v>
      </c>
      <c r="D49" s="280">
        <f t="shared" si="16"/>
        <v>18.7</v>
      </c>
      <c r="E49" s="280">
        <f t="shared" si="16"/>
        <v>76.099999999999994</v>
      </c>
      <c r="F49" s="280">
        <f t="shared" si="16"/>
        <v>43.4</v>
      </c>
      <c r="G49" s="280">
        <f t="shared" si="16"/>
        <v>110</v>
      </c>
      <c r="H49" s="280">
        <f t="shared" si="16"/>
        <v>55</v>
      </c>
      <c r="I49" s="280">
        <f t="shared" si="16"/>
        <v>131.30000000000001</v>
      </c>
      <c r="J49" s="280">
        <f t="shared" si="16"/>
        <v>253.7</v>
      </c>
      <c r="K49" s="280">
        <f t="shared" si="16"/>
        <v>215.9</v>
      </c>
      <c r="L49" s="280">
        <f t="shared" si="16"/>
        <v>39.6</v>
      </c>
      <c r="M49" s="280">
        <f t="shared" si="16"/>
        <v>117.8</v>
      </c>
      <c r="N49" s="286">
        <f t="shared" si="16"/>
        <v>14.4</v>
      </c>
      <c r="O49" s="287">
        <f t="shared" si="8"/>
        <v>1107.9000000000001</v>
      </c>
      <c r="P49" s="275">
        <f t="shared" si="9"/>
        <v>92.3</v>
      </c>
    </row>
    <row r="50" spans="2:16" ht="22.5" customHeight="1" thickBot="1">
      <c r="B50" s="288">
        <f t="shared" ref="B50:N50" si="17">B34</f>
        <v>2022</v>
      </c>
      <c r="C50" s="289">
        <f t="shared" si="17"/>
        <v>8.4</v>
      </c>
      <c r="D50" s="289">
        <f t="shared" si="17"/>
        <v>5.3</v>
      </c>
      <c r="E50" s="289">
        <f>E34</f>
        <v>60.9</v>
      </c>
      <c r="F50" s="289">
        <f t="shared" si="17"/>
        <v>34.799999999999997</v>
      </c>
      <c r="G50" s="289">
        <f t="shared" si="17"/>
        <v>5.7</v>
      </c>
      <c r="H50" s="289">
        <f t="shared" si="17"/>
        <v>225</v>
      </c>
      <c r="I50" s="289">
        <f t="shared" si="17"/>
        <v>119.9</v>
      </c>
      <c r="J50" s="289">
        <f t="shared" si="17"/>
        <v>637.1</v>
      </c>
      <c r="K50" s="289">
        <f t="shared" si="17"/>
        <v>102</v>
      </c>
      <c r="L50" s="289">
        <f t="shared" si="17"/>
        <v>112</v>
      </c>
      <c r="M50" s="289">
        <f t="shared" si="17"/>
        <v>23.3</v>
      </c>
      <c r="N50" s="290">
        <f t="shared" si="17"/>
        <v>14</v>
      </c>
      <c r="O50" s="291">
        <f t="shared" si="8"/>
        <v>1348.4</v>
      </c>
      <c r="P50" s="279">
        <f t="shared" si="9"/>
        <v>112.4</v>
      </c>
    </row>
    <row r="51" spans="2:16" ht="22.5" customHeight="1">
      <c r="B51" s="292" t="s">
        <v>47</v>
      </c>
      <c r="C51" s="293">
        <f>MAX(C41:C50)</f>
        <v>49.4</v>
      </c>
      <c r="D51" s="293">
        <f t="shared" ref="D51:P51" si="18">MAX(D41:D50)</f>
        <v>75.3</v>
      </c>
      <c r="E51" s="293">
        <f t="shared" si="18"/>
        <v>92</v>
      </c>
      <c r="F51" s="293">
        <f t="shared" si="18"/>
        <v>129.69999999999999</v>
      </c>
      <c r="G51" s="293">
        <f t="shared" si="18"/>
        <v>146.5</v>
      </c>
      <c r="H51" s="293">
        <f t="shared" si="18"/>
        <v>225</v>
      </c>
      <c r="I51" s="293">
        <f t="shared" si="18"/>
        <v>345.9</v>
      </c>
      <c r="J51" s="293">
        <f t="shared" si="18"/>
        <v>637.1</v>
      </c>
      <c r="K51" s="293">
        <f t="shared" si="18"/>
        <v>320</v>
      </c>
      <c r="L51" s="293">
        <f t="shared" si="18"/>
        <v>156</v>
      </c>
      <c r="M51" s="293">
        <f t="shared" si="18"/>
        <v>155.6</v>
      </c>
      <c r="N51" s="294">
        <f t="shared" si="18"/>
        <v>66.599999999999994</v>
      </c>
      <c r="O51" s="295">
        <f t="shared" si="18"/>
        <v>1387.7</v>
      </c>
      <c r="P51" s="296">
        <f t="shared" si="18"/>
        <v>115.6</v>
      </c>
    </row>
    <row r="52" spans="2:16" ht="22.5" customHeight="1">
      <c r="B52" s="297" t="s">
        <v>48</v>
      </c>
      <c r="C52" s="298">
        <f>MIN(C41:C50)</f>
        <v>1.9</v>
      </c>
      <c r="D52" s="298">
        <f t="shared" ref="D52:P52" si="19">MIN(D41:D50)</f>
        <v>5.3</v>
      </c>
      <c r="E52" s="298">
        <f t="shared" si="19"/>
        <v>14.4</v>
      </c>
      <c r="F52" s="298">
        <f t="shared" si="19"/>
        <v>16.5</v>
      </c>
      <c r="G52" s="298">
        <f t="shared" si="19"/>
        <v>5.7</v>
      </c>
      <c r="H52" s="298">
        <f t="shared" si="19"/>
        <v>21.1</v>
      </c>
      <c r="I52" s="298">
        <f t="shared" si="19"/>
        <v>94.7</v>
      </c>
      <c r="J52" s="298">
        <f t="shared" si="19"/>
        <v>5.0999999999999996</v>
      </c>
      <c r="K52" s="298">
        <f t="shared" si="19"/>
        <v>13.3</v>
      </c>
      <c r="L52" s="298">
        <f t="shared" si="19"/>
        <v>10.9</v>
      </c>
      <c r="M52" s="298">
        <f t="shared" si="19"/>
        <v>5.6</v>
      </c>
      <c r="N52" s="299">
        <f t="shared" si="19"/>
        <v>9.6999999999999993</v>
      </c>
      <c r="O52" s="287">
        <f>MIN(O41:O50)</f>
        <v>785.4</v>
      </c>
      <c r="P52" s="275">
        <f t="shared" si="19"/>
        <v>65.5</v>
      </c>
    </row>
    <row r="53" spans="2:16" ht="22.5" customHeight="1" thickBot="1">
      <c r="B53" s="300" t="s">
        <v>30</v>
      </c>
      <c r="C53" s="301">
        <f>ROUND(AVERAGE(C41:C50),1)</f>
        <v>19.100000000000001</v>
      </c>
      <c r="D53" s="301">
        <f t="shared" ref="D53:N53" si="20">ROUND(AVERAGE(D41:D50),1)</f>
        <v>32</v>
      </c>
      <c r="E53" s="301">
        <f t="shared" si="20"/>
        <v>44.4</v>
      </c>
      <c r="F53" s="301">
        <f t="shared" si="20"/>
        <v>72.5</v>
      </c>
      <c r="G53" s="301">
        <f t="shared" si="20"/>
        <v>75.2</v>
      </c>
      <c r="H53" s="301">
        <f t="shared" si="20"/>
        <v>96.1</v>
      </c>
      <c r="I53" s="301">
        <f t="shared" si="20"/>
        <v>195.3</v>
      </c>
      <c r="J53" s="301">
        <f t="shared" si="20"/>
        <v>221.2</v>
      </c>
      <c r="K53" s="301">
        <f t="shared" si="20"/>
        <v>142.1</v>
      </c>
      <c r="L53" s="301">
        <f t="shared" si="20"/>
        <v>77.8</v>
      </c>
      <c r="M53" s="301">
        <f t="shared" si="20"/>
        <v>65.2</v>
      </c>
      <c r="N53" s="302">
        <f t="shared" si="20"/>
        <v>34.200000000000003</v>
      </c>
      <c r="O53" s="291">
        <f>ROUND(AVERAGE(O41:O50),1)</f>
        <v>1075</v>
      </c>
      <c r="P53" s="279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23" sqref="V23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181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180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164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48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182</v>
      </c>
      <c r="C51" s="169" t="s">
        <v>164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zoomScaleNormal="100" workbookViewId="0">
      <selection activeCell="V23" sqref="V23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170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47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40" t="s">
        <v>24</v>
      </c>
      <c r="C20" s="237"/>
      <c r="D20" s="241">
        <f>SUM(G17:K17)</f>
        <v>729.9</v>
      </c>
      <c r="F20" s="123"/>
    </row>
    <row r="21" spans="1:16">
      <c r="B21" s="242" t="s">
        <v>171</v>
      </c>
      <c r="D21" s="243">
        <f>O17</f>
        <v>1075</v>
      </c>
    </row>
    <row r="22" spans="1:16" ht="17.25" thickBot="1">
      <c r="B22" s="238"/>
      <c r="C22" s="239"/>
      <c r="D22" s="244">
        <f>D20/D21</f>
        <v>0.67897674418604648</v>
      </c>
    </row>
    <row r="23" spans="1:16" ht="33.75" customHeight="1" thickBot="1">
      <c r="C23" s="246" t="s">
        <v>194</v>
      </c>
      <c r="D23" s="246" t="s">
        <v>195</v>
      </c>
      <c r="E23" s="246" t="s">
        <v>196</v>
      </c>
    </row>
    <row r="24" spans="1:16" ht="21.95" customHeight="1" thickBot="1">
      <c r="B24" s="227" t="s">
        <v>97</v>
      </c>
      <c r="C24" s="230">
        <f>O16</f>
        <v>785.4</v>
      </c>
      <c r="D24" s="217"/>
      <c r="E24" s="207"/>
      <c r="H24" s="215" t="s">
        <v>191</v>
      </c>
      <c r="I24" s="498" t="s">
        <v>239</v>
      </c>
      <c r="J24" s="499"/>
      <c r="K24" s="356">
        <f>INDEX(Location[recharge], MATCH(I24,Location[name],0))</f>
        <v>0.17499999999999999</v>
      </c>
      <c r="L24" s="357">
        <f>INDEX(Location[ratio], MATCH(I24,Location[name],0))</f>
        <v>0.67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192</v>
      </c>
      <c r="I25" s="500" t="s">
        <v>210</v>
      </c>
      <c r="J25" s="501"/>
      <c r="K25" s="358">
        <f>INDEX(Location[recharge], MATCH(I25,Location[name],0))</f>
        <v>0.128</v>
      </c>
      <c r="L25" s="359">
        <f>INDEX(Location[ratio], MATCH(I25,Location[name],0))</f>
        <v>0.64</v>
      </c>
    </row>
    <row r="26" spans="1:16" ht="21.95" customHeight="1">
      <c r="B26" s="208" t="s">
        <v>169</v>
      </c>
      <c r="C26" s="225">
        <f>L24</f>
        <v>0.67</v>
      </c>
      <c r="D26" s="224">
        <f>L25</f>
        <v>0.64</v>
      </c>
      <c r="E26" s="223">
        <f>L26</f>
        <v>0.66849999999999998</v>
      </c>
      <c r="H26" s="215" t="s">
        <v>193</v>
      </c>
      <c r="I26" s="502" t="s">
        <v>211</v>
      </c>
      <c r="J26" s="503"/>
      <c r="K26" s="360">
        <f>INDEX(Location[recharge], MATCH(I26,Location[name],0))</f>
        <v>0.17299999999999999</v>
      </c>
      <c r="L26" s="361">
        <f>INDEX(Location[ratio], MATCH(I26,Location[name],0))</f>
        <v>0.66849999999999998</v>
      </c>
    </row>
    <row r="27" spans="1:16" ht="21.95" customHeight="1">
      <c r="B27" s="210" t="s">
        <v>26</v>
      </c>
      <c r="C27" s="219">
        <f>Well!P4</f>
        <v>8602111</v>
      </c>
      <c r="D27" s="218"/>
      <c r="E27" s="216"/>
    </row>
    <row r="28" spans="1:16" ht="21.95" customHeight="1" thickBot="1">
      <c r="B28" s="226" t="s">
        <v>27</v>
      </c>
      <c r="C28" s="220">
        <f>K24</f>
        <v>0.17499999999999999</v>
      </c>
      <c r="D28" s="221">
        <f>K25</f>
        <v>0.128</v>
      </c>
      <c r="E28" s="222">
        <f>K26</f>
        <v>0.17299999999999999</v>
      </c>
    </row>
    <row r="29" spans="1:16" ht="17.25" thickBot="1">
      <c r="E29" s="124"/>
    </row>
    <row r="30" spans="1:16" ht="22.15" customHeight="1" thickBot="1">
      <c r="B30" s="206" t="s">
        <v>172</v>
      </c>
      <c r="C30" s="235">
        <f>max*rf_1/10</f>
        <v>20.97025</v>
      </c>
      <c r="D30" s="235">
        <f>max*rf_2/10</f>
        <v>15.338239999999999</v>
      </c>
      <c r="E30" s="236">
        <f>max*rf_3/10</f>
        <v>20.730589999999999</v>
      </c>
    </row>
    <row r="31" spans="1:16" ht="22.15" customHeight="1">
      <c r="E31" s="124"/>
    </row>
    <row r="32" spans="1:16" ht="17.25" customHeight="1">
      <c r="A32" s="79" t="s">
        <v>173</v>
      </c>
      <c r="B32"/>
      <c r="C32"/>
      <c r="D32"/>
    </row>
    <row r="33" spans="1:6" ht="17.25" customHeight="1">
      <c r="A33" s="79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 ht="17.25">
      <c r="A37" s="504" t="s">
        <v>243</v>
      </c>
      <c r="B37" s="505"/>
      <c r="C37" s="237"/>
      <c r="D37" s="362"/>
    </row>
    <row r="38" spans="1:6" ht="18" thickBot="1">
      <c r="A38" s="363"/>
      <c r="B38" s="364" t="s">
        <v>253</v>
      </c>
      <c r="C38" s="364" t="s">
        <v>254</v>
      </c>
      <c r="D38" s="365" t="s">
        <v>255</v>
      </c>
    </row>
    <row r="39" spans="1:6" ht="17.25">
      <c r="A39" s="390" t="s">
        <v>244</v>
      </c>
      <c r="B39" s="366">
        <v>100</v>
      </c>
      <c r="C39" s="367">
        <v>120</v>
      </c>
      <c r="D39" s="368">
        <v>110</v>
      </c>
    </row>
    <row r="40" spans="1:6" ht="17.25">
      <c r="A40" s="391" t="s">
        <v>245</v>
      </c>
      <c r="B40" s="369">
        <v>200</v>
      </c>
      <c r="C40" s="370">
        <v>200</v>
      </c>
      <c r="D40" s="371">
        <v>500</v>
      </c>
    </row>
    <row r="41" spans="1:6" ht="17.25">
      <c r="A41" s="391" t="s">
        <v>246</v>
      </c>
      <c r="B41" s="372">
        <v>80</v>
      </c>
      <c r="C41" s="373">
        <v>80</v>
      </c>
      <c r="D41" s="374">
        <v>70</v>
      </c>
    </row>
    <row r="42" spans="1:6" ht="17.25">
      <c r="A42" s="392" t="s">
        <v>247</v>
      </c>
      <c r="B42" s="375">
        <f>ROUND(B41/10,1)</f>
        <v>8</v>
      </c>
      <c r="C42" s="376">
        <f>ROUND(C41/10,1)</f>
        <v>8</v>
      </c>
      <c r="D42" s="377">
        <f>ROUND(D41/10,1)</f>
        <v>7</v>
      </c>
    </row>
    <row r="43" spans="1:6" ht="17.25">
      <c r="A43" s="392" t="s">
        <v>248</v>
      </c>
      <c r="B43" s="378">
        <f>B41+B42</f>
        <v>88</v>
      </c>
      <c r="C43" s="379">
        <f>C41+C42</f>
        <v>88</v>
      </c>
      <c r="D43" s="380">
        <f>D41+D42</f>
        <v>77</v>
      </c>
    </row>
    <row r="44" spans="1:6" ht="17.25">
      <c r="A44" s="392" t="s">
        <v>249</v>
      </c>
      <c r="B44" s="381">
        <v>0.47</v>
      </c>
      <c r="C44" s="382">
        <v>0.47</v>
      </c>
      <c r="D44" s="383">
        <v>0.53500000000000003</v>
      </c>
    </row>
    <row r="45" spans="1:6" ht="17.25">
      <c r="A45" s="392"/>
      <c r="B45" s="375"/>
      <c r="C45" s="376"/>
      <c r="D45" s="377"/>
    </row>
    <row r="46" spans="1:6" ht="17.25">
      <c r="A46" s="392" t="s">
        <v>250</v>
      </c>
      <c r="B46" s="375">
        <f>ROUND((B40*B43)/(6572.5*B44),4)</f>
        <v>5.6974999999999998</v>
      </c>
      <c r="C46" s="376">
        <f>ROUND((C40*C43)/(6572.5*C44),4)</f>
        <v>5.6974999999999998</v>
      </c>
      <c r="D46" s="377">
        <f>ROUND((D40*D43)/(6572.5*D44),4)</f>
        <v>10.949</v>
      </c>
    </row>
    <row r="47" spans="1:6" ht="21" thickBot="1">
      <c r="A47" s="393"/>
      <c r="B47" s="384">
        <f>ROUNDUP(B46,0)</f>
        <v>6</v>
      </c>
      <c r="C47" s="385">
        <f>ROUNDUP(C46,0)</f>
        <v>6</v>
      </c>
      <c r="D47" s="386">
        <f>ROUNDUP(D46,0)</f>
        <v>11</v>
      </c>
    </row>
    <row r="48" spans="1:6" ht="17.25">
      <c r="A48" s="390" t="s">
        <v>251</v>
      </c>
      <c r="B48" s="366">
        <v>5</v>
      </c>
      <c r="C48" s="367">
        <v>7.5</v>
      </c>
      <c r="D48" s="368">
        <v>10</v>
      </c>
    </row>
    <row r="49" spans="1:4" ht="18" thickBot="1">
      <c r="A49" s="393" t="s">
        <v>252</v>
      </c>
      <c r="B49" s="387">
        <f>ROUND((B48*B44*6572.5)/B43,1)</f>
        <v>175.5</v>
      </c>
      <c r="C49" s="388">
        <f>ROUND((C48*C44*6572.5)/C43,1)</f>
        <v>263.3</v>
      </c>
      <c r="D49" s="389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1" customWidth="1"/>
    <col min="2" max="2" width="11.5546875" style="231" customWidth="1"/>
    <col min="3" max="3" width="13" style="231" customWidth="1"/>
    <col min="4" max="16384" width="8.88671875" style="232"/>
  </cols>
  <sheetData>
    <row r="1" spans="1:12" ht="18" customHeight="1">
      <c r="A1" s="231" t="s">
        <v>206</v>
      </c>
      <c r="B1" s="231" t="s">
        <v>207</v>
      </c>
      <c r="C1" s="231" t="s">
        <v>208</v>
      </c>
    </row>
    <row r="2" spans="1:12" ht="18" customHeight="1">
      <c r="A2" s="231" t="s">
        <v>205</v>
      </c>
      <c r="B2" s="233">
        <v>0.13600000000000001</v>
      </c>
      <c r="C2" s="233">
        <v>0.66</v>
      </c>
    </row>
    <row r="3" spans="1:12" ht="18" customHeight="1">
      <c r="A3" s="231" t="s">
        <v>197</v>
      </c>
      <c r="B3" s="233">
        <v>0.151</v>
      </c>
      <c r="C3" s="233">
        <v>0.65</v>
      </c>
    </row>
    <row r="4" spans="1:12" ht="18" customHeight="1">
      <c r="A4" s="231" t="s">
        <v>187</v>
      </c>
      <c r="B4" s="233">
        <v>0.16700000000000001</v>
      </c>
      <c r="C4" s="233">
        <v>0.65</v>
      </c>
      <c r="J4" s="232" t="s">
        <v>199</v>
      </c>
      <c r="K4" s="232">
        <f>INDEX(Location[recharge],MATCH(J4,Location[name],0))</f>
        <v>0.16600000000000001</v>
      </c>
      <c r="L4" s="232">
        <f>INDEX(Location[ratio], MATCH(J4,Location[name]))</f>
        <v>0.64</v>
      </c>
    </row>
    <row r="5" spans="1:12" ht="18" customHeight="1">
      <c r="A5" s="231" t="s">
        <v>188</v>
      </c>
      <c r="B5" s="233">
        <v>0.17299999999999999</v>
      </c>
      <c r="C5" s="233">
        <v>0.66849999999999998</v>
      </c>
    </row>
    <row r="6" spans="1:12" ht="18" customHeight="1">
      <c r="A6" s="231" t="s">
        <v>198</v>
      </c>
      <c r="B6" s="233">
        <v>0.16300000000000001</v>
      </c>
      <c r="C6" s="233">
        <v>0.67</v>
      </c>
    </row>
    <row r="7" spans="1:12" ht="18" customHeight="1">
      <c r="A7" s="231" t="s">
        <v>200</v>
      </c>
      <c r="B7" s="233">
        <v>0.16600000000000001</v>
      </c>
      <c r="C7" s="233">
        <v>0.64</v>
      </c>
      <c r="E7" s="232" t="s">
        <v>209</v>
      </c>
    </row>
    <row r="8" spans="1:12" ht="18" customHeight="1">
      <c r="A8" s="231" t="s">
        <v>201</v>
      </c>
      <c r="B8" s="233">
        <v>0.16600000000000001</v>
      </c>
      <c r="C8" s="233">
        <v>0.64</v>
      </c>
    </row>
    <row r="9" spans="1:12" ht="18" customHeight="1">
      <c r="A9" s="231" t="s">
        <v>189</v>
      </c>
      <c r="B9" s="233">
        <v>0.125</v>
      </c>
      <c r="C9" s="233">
        <v>0.67</v>
      </c>
    </row>
    <row r="10" spans="1:12" ht="18" customHeight="1">
      <c r="A10" s="231" t="s">
        <v>202</v>
      </c>
      <c r="B10" s="233">
        <v>0.127</v>
      </c>
      <c r="C10" s="233">
        <v>0.65</v>
      </c>
    </row>
    <row r="11" spans="1:12" ht="18" customHeight="1">
      <c r="A11" s="231" t="s">
        <v>203</v>
      </c>
      <c r="B11" s="233">
        <v>0.128</v>
      </c>
      <c r="C11" s="233">
        <v>0.64</v>
      </c>
    </row>
    <row r="12" spans="1:12" ht="18" customHeight="1">
      <c r="A12" s="231" t="s">
        <v>204</v>
      </c>
      <c r="B12" s="233">
        <v>0.17499999999999999</v>
      </c>
      <c r="C12" s="233">
        <v>0.67</v>
      </c>
    </row>
    <row r="13" spans="1:12" ht="18" customHeight="1">
      <c r="A13" s="231" t="s">
        <v>219</v>
      </c>
      <c r="B13" s="233">
        <v>0.13</v>
      </c>
      <c r="C13" s="233">
        <v>0.63</v>
      </c>
    </row>
    <row r="14" spans="1:12" ht="18" customHeight="1">
      <c r="A14" s="231" t="s">
        <v>220</v>
      </c>
      <c r="B14" s="233">
        <v>0.13400000000000001</v>
      </c>
      <c r="C14" s="233">
        <v>0.65</v>
      </c>
    </row>
    <row r="15" spans="1:12" ht="18" customHeight="1">
      <c r="A15" s="231" t="s">
        <v>221</v>
      </c>
      <c r="B15" s="233">
        <v>0.16500000000000001</v>
      </c>
      <c r="C15" s="233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6"/>
  <sheetViews>
    <sheetView zoomScaleNormal="100" workbookViewId="0">
      <selection activeCell="D1" sqref="D1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56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257</v>
      </c>
      <c r="J1" s="68"/>
    </row>
    <row r="2" spans="1:18" s="349" customFormat="1" ht="23.1" customHeight="1">
      <c r="A2" s="516" t="s">
        <v>0</v>
      </c>
      <c r="B2" s="506" t="s">
        <v>39</v>
      </c>
      <c r="C2" s="506" t="s">
        <v>6</v>
      </c>
      <c r="D2" s="506" t="s">
        <v>38</v>
      </c>
      <c r="E2" s="506" t="s">
        <v>213</v>
      </c>
      <c r="F2" s="506" t="s">
        <v>212</v>
      </c>
      <c r="G2" s="510" t="s">
        <v>1</v>
      </c>
      <c r="H2" s="510" t="s">
        <v>2</v>
      </c>
      <c r="I2" s="510" t="s">
        <v>177</v>
      </c>
      <c r="J2" s="514" t="s">
        <v>178</v>
      </c>
      <c r="K2" s="510" t="s">
        <v>179</v>
      </c>
      <c r="L2" s="510" t="s">
        <v>3</v>
      </c>
      <c r="M2" s="510" t="s">
        <v>4</v>
      </c>
      <c r="N2" s="510" t="s">
        <v>5</v>
      </c>
      <c r="O2" s="510" t="s">
        <v>100</v>
      </c>
      <c r="P2" s="512" t="s">
        <v>40</v>
      </c>
      <c r="Q2" s="506" t="s">
        <v>163</v>
      </c>
      <c r="R2" s="508" t="s">
        <v>94</v>
      </c>
    </row>
    <row r="3" spans="1:18" s="349" customFormat="1" ht="27" customHeight="1">
      <c r="A3" s="517"/>
      <c r="B3" s="507"/>
      <c r="C3" s="507"/>
      <c r="D3" s="507"/>
      <c r="E3" s="507"/>
      <c r="F3" s="507"/>
      <c r="G3" s="511"/>
      <c r="H3" s="511"/>
      <c r="I3" s="511"/>
      <c r="J3" s="515"/>
      <c r="K3" s="511"/>
      <c r="L3" s="511"/>
      <c r="M3" s="511"/>
      <c r="N3" s="511"/>
      <c r="O3" s="511"/>
      <c r="P3" s="513"/>
      <c r="Q3" s="507"/>
      <c r="R3" s="509"/>
    </row>
    <row r="4" spans="1:18" ht="23.1" customHeight="1" thickBot="1">
      <c r="A4" s="400" t="s">
        <v>263</v>
      </c>
      <c r="B4" s="401" t="s">
        <v>240</v>
      </c>
      <c r="C4" s="402"/>
      <c r="D4" s="401" t="s">
        <v>258</v>
      </c>
      <c r="E4" s="401" t="s">
        <v>256</v>
      </c>
      <c r="F4" s="401" t="s">
        <v>241</v>
      </c>
      <c r="G4" s="401">
        <v>150</v>
      </c>
      <c r="H4" s="401">
        <v>100</v>
      </c>
      <c r="I4" s="401">
        <v>200</v>
      </c>
      <c r="J4" s="401">
        <v>220</v>
      </c>
      <c r="K4" s="401">
        <v>220</v>
      </c>
      <c r="L4" s="401">
        <v>5</v>
      </c>
      <c r="M4" s="401">
        <v>80</v>
      </c>
      <c r="N4" s="403">
        <v>40</v>
      </c>
      <c r="O4" s="404">
        <v>141.6</v>
      </c>
      <c r="P4" s="405">
        <v>8602111</v>
      </c>
      <c r="Q4" s="401"/>
      <c r="R4" s="406"/>
    </row>
    <row r="5" spans="1:18" ht="23.25" customHeight="1">
      <c r="A5" s="234"/>
    </row>
    <row r="6" spans="1:18" ht="23.25" customHeight="1">
      <c r="I6" s="37">
        <f>SUM(I4:I5)</f>
        <v>200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16</xdr:col>
                <xdr:colOff>666750</xdr:colOff>
                <xdr:row>0</xdr:row>
                <xdr:rowOff>409575</xdr:rowOff>
              </from>
              <to>
                <xdr:col>17</xdr:col>
                <xdr:colOff>504825</xdr:colOff>
                <xdr:row>0</xdr:row>
                <xdr:rowOff>723900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15</xdr:col>
                <xdr:colOff>371475</xdr:colOff>
                <xdr:row>0</xdr:row>
                <xdr:rowOff>419100</xdr:rowOff>
              </from>
              <to>
                <xdr:col>16</xdr:col>
                <xdr:colOff>609600</xdr:colOff>
                <xdr:row>0</xdr:row>
                <xdr:rowOff>733425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390525</xdr:colOff>
                <xdr:row>0</xdr:row>
                <xdr:rowOff>428625</xdr:rowOff>
              </from>
              <to>
                <xdr:col>15</xdr:col>
                <xdr:colOff>285750</xdr:colOff>
                <xdr:row>0</xdr:row>
                <xdr:rowOff>742950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hidden="1" customWidth="1"/>
    <col min="4" max="5" width="0" hidden="1" customWidth="1"/>
    <col min="7" max="7" width="16.88671875" style="304" customWidth="1"/>
    <col min="8" max="8" width="11.77734375" style="304" customWidth="1"/>
    <col min="9" max="9" width="11.77734375" style="306" customWidth="1"/>
    <col min="10" max="10" width="11.77734375" style="304" customWidth="1"/>
    <col min="11" max="11" width="11.77734375" style="305" customWidth="1"/>
    <col min="12" max="17" width="11.77734375" customWidth="1"/>
    <col min="18" max="18" width="14" customWidth="1"/>
    <col min="19" max="19" width="15" customWidth="1"/>
  </cols>
  <sheetData>
    <row r="1" spans="7:19" ht="20.100000000000001" customHeight="1" thickBot="1">
      <c r="G1" s="418" t="s">
        <v>273</v>
      </c>
    </row>
    <row r="2" spans="7:19" ht="30" customHeight="1" thickBot="1">
      <c r="G2" s="465" t="s">
        <v>218</v>
      </c>
      <c r="H2" s="466" t="s">
        <v>215</v>
      </c>
      <c r="I2" s="467" t="s">
        <v>224</v>
      </c>
      <c r="J2" s="466" t="s">
        <v>216</v>
      </c>
      <c r="K2" s="468" t="s">
        <v>217</v>
      </c>
      <c r="M2" s="309"/>
      <c r="N2" s="310" t="s">
        <v>222</v>
      </c>
      <c r="O2" s="311" t="s">
        <v>223</v>
      </c>
      <c r="Q2" s="475" t="s">
        <v>218</v>
      </c>
      <c r="R2" s="476" t="s">
        <v>226</v>
      </c>
      <c r="S2" s="468" t="s">
        <v>227</v>
      </c>
    </row>
    <row r="3" spans="7:19" ht="20.100000000000001" customHeight="1" thickBot="1">
      <c r="G3" s="469" t="s">
        <v>253</v>
      </c>
      <c r="H3" s="304">
        <v>172</v>
      </c>
      <c r="I3" s="306">
        <v>155.42764848600666</v>
      </c>
      <c r="J3" s="304">
        <v>150</v>
      </c>
      <c r="K3" s="470">
        <v>0.90116279069767447</v>
      </c>
      <c r="M3" s="312" t="s">
        <v>217</v>
      </c>
      <c r="N3" s="307">
        <v>0.90116279069767447</v>
      </c>
      <c r="O3" s="313">
        <v>0.9051094890510949</v>
      </c>
      <c r="Q3" s="477" t="s">
        <v>253</v>
      </c>
      <c r="R3" s="320">
        <v>2.7999999999999998E-4</v>
      </c>
      <c r="S3" s="478">
        <v>0.1078995</v>
      </c>
    </row>
    <row r="4" spans="7:19" ht="20.100000000000001" customHeight="1" thickBot="1">
      <c r="G4" s="469" t="s">
        <v>254</v>
      </c>
      <c r="H4" s="304">
        <v>183</v>
      </c>
      <c r="I4" s="306">
        <v>165.3743022163581</v>
      </c>
      <c r="J4" s="304">
        <v>160</v>
      </c>
      <c r="K4" s="470">
        <v>0.90163934426229508</v>
      </c>
      <c r="M4" s="312" t="s">
        <v>224</v>
      </c>
      <c r="N4" s="308">
        <v>124.10752425577586</v>
      </c>
      <c r="O4" s="314">
        <v>165.3743022163581</v>
      </c>
      <c r="Q4" s="477" t="s">
        <v>254</v>
      </c>
      <c r="R4" s="320">
        <v>2.0460000000000001E-4</v>
      </c>
      <c r="S4" s="478">
        <v>8.3087400000000006E-2</v>
      </c>
    </row>
    <row r="5" spans="7:19" ht="20.100000000000001" customHeight="1" thickBot="1">
      <c r="G5" s="469" t="s">
        <v>255</v>
      </c>
      <c r="H5" s="304">
        <v>172</v>
      </c>
      <c r="I5" s="306">
        <v>155.4983173543437</v>
      </c>
      <c r="J5" s="304">
        <v>150</v>
      </c>
      <c r="K5" s="470">
        <v>0.90116279069767447</v>
      </c>
      <c r="M5" s="315" t="s">
        <v>225</v>
      </c>
      <c r="N5" s="316">
        <v>120</v>
      </c>
      <c r="O5" s="317">
        <v>160</v>
      </c>
      <c r="Q5" s="477" t="s">
        <v>255</v>
      </c>
      <c r="R5" s="320">
        <v>1.7899999999999999E-4</v>
      </c>
      <c r="S5" s="478">
        <v>6.8602099999999999E-2</v>
      </c>
    </row>
    <row r="6" spans="7:19" ht="20.100000000000001" customHeight="1">
      <c r="G6" s="469" t="s">
        <v>271</v>
      </c>
      <c r="H6" s="304">
        <v>137</v>
      </c>
      <c r="I6" s="306">
        <v>124.10752425577586</v>
      </c>
      <c r="J6" s="304">
        <v>120</v>
      </c>
      <c r="K6" s="470">
        <v>0.9051094890510949</v>
      </c>
      <c r="Q6" s="477" t="s">
        <v>271</v>
      </c>
      <c r="R6" s="320">
        <v>5.9700000000000001E-5</v>
      </c>
      <c r="S6" s="478">
        <v>1.8294100000000001E-2</v>
      </c>
    </row>
    <row r="7" spans="7:19" ht="20.100000000000001" customHeight="1">
      <c r="G7" s="469" t="s">
        <v>272</v>
      </c>
      <c r="H7" s="304">
        <v>172</v>
      </c>
      <c r="I7" s="306">
        <v>155.45958109179159</v>
      </c>
      <c r="J7" s="304">
        <v>150</v>
      </c>
      <c r="K7" s="470">
        <v>0.90116279069767447</v>
      </c>
      <c r="Q7" s="477" t="s">
        <v>272</v>
      </c>
      <c r="R7" s="320">
        <v>3.6079999999999999E-4</v>
      </c>
      <c r="S7" s="478">
        <v>0.13889009999999999</v>
      </c>
    </row>
    <row r="8" spans="7:19" ht="20.100000000000001" customHeight="1">
      <c r="G8" s="469"/>
      <c r="K8" s="470"/>
      <c r="Q8" s="479"/>
      <c r="S8" s="421"/>
    </row>
    <row r="9" spans="7:19" ht="20.100000000000001" customHeight="1">
      <c r="G9" s="469"/>
      <c r="K9" s="470"/>
      <c r="Q9" s="479"/>
      <c r="S9" s="421"/>
    </row>
    <row r="10" spans="7:19" ht="20.100000000000001" customHeight="1">
      <c r="G10" s="469"/>
      <c r="K10" s="470"/>
      <c r="Q10" s="479"/>
      <c r="S10" s="421"/>
    </row>
    <row r="11" spans="7:19" ht="20.100000000000001" customHeight="1">
      <c r="G11" s="469"/>
      <c r="K11" s="470"/>
      <c r="Q11" s="479"/>
      <c r="S11" s="421"/>
    </row>
    <row r="12" spans="7:19" ht="20.100000000000001" customHeight="1">
      <c r="G12" s="469"/>
      <c r="K12" s="470"/>
      <c r="Q12" s="479"/>
      <c r="S12" s="421"/>
    </row>
    <row r="13" spans="7:19" ht="20.100000000000001" customHeight="1">
      <c r="G13" s="469"/>
      <c r="K13" s="470"/>
      <c r="Q13" s="479"/>
      <c r="S13" s="421"/>
    </row>
    <row r="14" spans="7:19" ht="20.100000000000001" customHeight="1">
      <c r="G14" s="469"/>
      <c r="K14" s="470"/>
      <c r="Q14" s="479"/>
      <c r="S14" s="421"/>
    </row>
    <row r="15" spans="7:19" ht="20.100000000000001" customHeight="1">
      <c r="G15" s="469"/>
      <c r="K15" s="470"/>
      <c r="L15" s="304"/>
      <c r="M15" s="304"/>
      <c r="N15" s="304"/>
      <c r="O15" s="304"/>
      <c r="P15" s="304"/>
      <c r="Q15" s="469"/>
      <c r="R15" s="304"/>
      <c r="S15" s="421"/>
    </row>
    <row r="16" spans="7:19" ht="20.100000000000001" customHeight="1">
      <c r="G16" s="469"/>
      <c r="K16" s="470"/>
      <c r="L16" s="304"/>
      <c r="M16" s="304"/>
      <c r="N16" s="304"/>
      <c r="O16" s="304"/>
      <c r="P16" s="304"/>
      <c r="Q16" s="469"/>
      <c r="R16" s="304"/>
      <c r="S16" s="421"/>
    </row>
    <row r="17" spans="6:19" ht="20.100000000000001" customHeight="1">
      <c r="G17" s="469"/>
      <c r="K17" s="470"/>
      <c r="L17" s="304"/>
      <c r="M17" s="304"/>
      <c r="N17" s="304"/>
      <c r="O17" s="304"/>
      <c r="P17" s="304"/>
      <c r="Q17" s="469"/>
      <c r="R17" s="304"/>
      <c r="S17" s="421"/>
    </row>
    <row r="18" spans="6:19" ht="20.100000000000001" customHeight="1">
      <c r="G18" s="469"/>
      <c r="K18" s="470"/>
      <c r="L18" s="304"/>
      <c r="M18" s="304"/>
      <c r="N18" s="304"/>
      <c r="O18" s="304"/>
      <c r="P18" s="304"/>
      <c r="Q18" s="469"/>
      <c r="R18" s="304"/>
      <c r="S18" s="421"/>
    </row>
    <row r="19" spans="6:19" ht="20.100000000000001" customHeight="1" thickBot="1">
      <c r="G19" s="471"/>
      <c r="H19" s="472"/>
      <c r="I19" s="473"/>
      <c r="J19" s="472"/>
      <c r="K19" s="474"/>
      <c r="Q19" s="480"/>
      <c r="R19" s="422"/>
      <c r="S19" s="423"/>
    </row>
    <row r="22" spans="6:19" ht="20.100000000000001" customHeight="1">
      <c r="M22" s="306"/>
      <c r="N22" s="306"/>
      <c r="O22" s="306"/>
      <c r="P22" s="306"/>
      <c r="Q22" s="306"/>
      <c r="R22" s="306"/>
      <c r="S22" s="306"/>
    </row>
    <row r="23" spans="6:19" ht="20.100000000000001" customHeight="1">
      <c r="M23" s="321">
        <v>155.42764848600666</v>
      </c>
      <c r="N23" s="308">
        <v>165.3743022163581</v>
      </c>
      <c r="O23" s="321">
        <v>155.4983173543437</v>
      </c>
      <c r="P23" s="308">
        <v>124.10752425577586</v>
      </c>
      <c r="Q23" s="321">
        <v>155.45958109179159</v>
      </c>
      <c r="R23" s="306"/>
      <c r="S23" s="306"/>
    </row>
    <row r="24" spans="6:19" ht="20.100000000000001" customHeight="1">
      <c r="M24" s="322">
        <v>150</v>
      </c>
      <c r="N24" s="323">
        <v>160</v>
      </c>
      <c r="O24" s="322">
        <v>150</v>
      </c>
      <c r="P24" s="323">
        <v>120</v>
      </c>
      <c r="Q24" s="322">
        <v>150</v>
      </c>
      <c r="R24" s="306"/>
      <c r="S24" s="306"/>
    </row>
    <row r="25" spans="6:19" ht="20.100000000000001" customHeight="1" thickBot="1">
      <c r="M25" s="306"/>
      <c r="N25" s="306"/>
      <c r="O25" s="306"/>
      <c r="P25" s="306"/>
      <c r="Q25" s="306"/>
      <c r="R25" s="306"/>
      <c r="S25" s="306"/>
    </row>
    <row r="26" spans="6:19" s="451" customFormat="1" ht="28.5" customHeight="1" thickBot="1">
      <c r="G26" s="486" t="s">
        <v>286</v>
      </c>
      <c r="H26" s="482"/>
      <c r="I26" s="487"/>
      <c r="J26" s="324"/>
      <c r="K26" s="488"/>
    </row>
    <row r="27" spans="6:19" ht="19.5" customHeight="1">
      <c r="F27" s="522" t="s">
        <v>88</v>
      </c>
      <c r="G27" s="518">
        <v>172</v>
      </c>
      <c r="H27" s="424">
        <v>26.96</v>
      </c>
      <c r="I27" s="520">
        <v>155.42764848600666</v>
      </c>
    </row>
    <row r="28" spans="6:19" s="324" customFormat="1" ht="21.95" customHeight="1" thickBot="1">
      <c r="F28" s="523"/>
      <c r="G28" s="519"/>
      <c r="H28" s="436">
        <v>12.68</v>
      </c>
      <c r="I28" s="521"/>
    </row>
    <row r="29" spans="6:19" ht="21.95" customHeight="1">
      <c r="F29" s="522" t="s">
        <v>161</v>
      </c>
      <c r="G29" s="518">
        <v>183</v>
      </c>
      <c r="H29" s="424">
        <v>22.16</v>
      </c>
      <c r="I29" s="520">
        <v>165.3743022163581</v>
      </c>
    </row>
    <row r="30" spans="6:19" ht="21.95" customHeight="1" thickBot="1">
      <c r="F30" s="523"/>
      <c r="G30" s="519"/>
      <c r="H30" s="436">
        <v>10.42</v>
      </c>
      <c r="I30" s="521"/>
    </row>
    <row r="31" spans="6:19" ht="21.95" customHeight="1">
      <c r="F31" s="522" t="s">
        <v>162</v>
      </c>
      <c r="G31" s="518">
        <v>172</v>
      </c>
      <c r="H31" s="424">
        <v>17.170000000000002</v>
      </c>
      <c r="I31" s="520">
        <v>155.4983173543437</v>
      </c>
    </row>
    <row r="32" spans="6:19" ht="21.95" customHeight="1" thickBot="1">
      <c r="F32" s="523"/>
      <c r="G32" s="519"/>
      <c r="H32" s="436">
        <v>8.07</v>
      </c>
      <c r="I32" s="521"/>
    </row>
    <row r="33" spans="6:9" ht="21.95" customHeight="1">
      <c r="F33" s="522" t="s">
        <v>262</v>
      </c>
      <c r="G33" s="518">
        <v>137</v>
      </c>
      <c r="H33" s="424">
        <v>3.64</v>
      </c>
      <c r="I33" s="520">
        <v>124.10752425577586</v>
      </c>
    </row>
    <row r="34" spans="6:9" ht="21.95" customHeight="1" thickBot="1">
      <c r="F34" s="523"/>
      <c r="G34" s="519"/>
      <c r="H34" s="436">
        <v>1.71</v>
      </c>
      <c r="I34" s="521"/>
    </row>
    <row r="35" spans="6:9" ht="20.100000000000001" customHeight="1">
      <c r="F35" s="522" t="s">
        <v>264</v>
      </c>
      <c r="G35" s="518">
        <v>172</v>
      </c>
      <c r="H35" s="424">
        <v>34.71</v>
      </c>
      <c r="I35" s="520">
        <v>155.45958109179159</v>
      </c>
    </row>
    <row r="36" spans="6:9" ht="20.100000000000001" customHeight="1" thickBot="1">
      <c r="F36" s="523"/>
      <c r="G36" s="519"/>
      <c r="H36" s="436">
        <v>16.32</v>
      </c>
      <c r="I36" s="521"/>
    </row>
    <row r="37" spans="6:9" ht="20.100000000000001" customHeight="1">
      <c r="F37" s="522"/>
      <c r="G37" s="518"/>
      <c r="H37" s="424"/>
      <c r="I37" s="520"/>
    </row>
    <row r="38" spans="6:9" ht="20.100000000000001" customHeight="1" thickBot="1">
      <c r="F38" s="523"/>
      <c r="G38" s="519"/>
      <c r="H38" s="436"/>
      <c r="I38" s="521"/>
    </row>
    <row r="39" spans="6:9" ht="20.100000000000001" customHeight="1">
      <c r="F39" s="522"/>
      <c r="G39" s="518"/>
      <c r="H39" s="424"/>
      <c r="I39" s="520"/>
    </row>
    <row r="40" spans="6:9" ht="20.100000000000001" customHeight="1" thickBot="1">
      <c r="F40" s="523"/>
      <c r="G40" s="519"/>
      <c r="H40" s="436"/>
      <c r="I40" s="521"/>
    </row>
    <row r="41" spans="6:9" ht="20.100000000000001" customHeight="1">
      <c r="F41" s="522"/>
      <c r="G41" s="518"/>
      <c r="H41" s="424"/>
      <c r="I41" s="520"/>
    </row>
    <row r="42" spans="6:9" ht="20.100000000000001" customHeight="1" thickBot="1">
      <c r="F42" s="523"/>
      <c r="G42" s="519"/>
      <c r="H42" s="436"/>
      <c r="I42" s="521"/>
    </row>
    <row r="43" spans="6:9" ht="20.100000000000001" customHeight="1">
      <c r="F43" s="522"/>
      <c r="G43" s="518"/>
      <c r="H43" s="424"/>
      <c r="I43" s="520"/>
    </row>
    <row r="44" spans="6:9" ht="20.100000000000001" customHeight="1" thickBot="1">
      <c r="F44" s="523"/>
      <c r="G44" s="519"/>
      <c r="H44" s="436"/>
      <c r="I44" s="521"/>
    </row>
    <row r="45" spans="6:9" ht="20.100000000000001" customHeight="1">
      <c r="F45" s="522"/>
      <c r="G45" s="518"/>
      <c r="H45" s="424"/>
      <c r="I45" s="520"/>
    </row>
    <row r="46" spans="6:9" ht="20.100000000000001" customHeight="1" thickBot="1">
      <c r="F46" s="523"/>
      <c r="G46" s="519"/>
      <c r="H46" s="436"/>
      <c r="I46" s="521"/>
    </row>
    <row r="47" spans="6:9" ht="20.100000000000001" customHeight="1">
      <c r="F47" s="522"/>
      <c r="G47" s="518"/>
      <c r="H47" s="424"/>
      <c r="I47" s="520"/>
    </row>
    <row r="48" spans="6:9" ht="20.100000000000001" customHeight="1" thickBot="1">
      <c r="F48" s="523"/>
      <c r="G48" s="519"/>
      <c r="H48" s="436"/>
      <c r="I48" s="521"/>
    </row>
    <row r="49" spans="6:9" ht="20.100000000000001" customHeight="1">
      <c r="F49" s="522"/>
      <c r="G49" s="518"/>
      <c r="H49" s="424"/>
      <c r="I49" s="520"/>
    </row>
    <row r="50" spans="6:9" ht="20.100000000000001" customHeight="1" thickBot="1">
      <c r="F50" s="523"/>
      <c r="G50" s="519"/>
      <c r="H50" s="436"/>
      <c r="I50" s="52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9" r:id="rId3" name="CommandButton3">
          <controlPr defaultSize="0" autoLine="0" r:id="rId4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3" name="CommandButton3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7" r:id="rId7" name="CommandButton1">
          <controlPr defaultSize="0" autoLine="0" r:id="rId8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47625</xdr:rowOff>
              </to>
            </anchor>
          </controlPr>
        </control>
      </mc:Choice>
      <mc:Fallback>
        <control shapeId="178177" r:id="rId7" name="CommandButton1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C1:U67"/>
  <sheetViews>
    <sheetView workbookViewId="0">
      <selection activeCell="P39" sqref="P39"/>
    </sheetView>
  </sheetViews>
  <sheetFormatPr defaultRowHeight="20.100000000000001" customHeight="1"/>
  <cols>
    <col min="1" max="1" width="5.109375" customWidth="1"/>
    <col min="3" max="3" width="5.6640625" style="450" customWidth="1"/>
    <col min="4" max="4" width="20.6640625" customWidth="1"/>
    <col min="5" max="5" width="10.109375" customWidth="1"/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2" max="12" width="10" customWidth="1"/>
    <col min="14" max="14" width="9.88671875" customWidth="1"/>
    <col min="15" max="15" width="9.44140625" customWidth="1"/>
    <col min="16" max="16" width="11.109375" customWidth="1"/>
    <col min="17" max="17" width="9.109375" customWidth="1"/>
  </cols>
  <sheetData>
    <row r="1" spans="4:21" ht="20.100000000000001" customHeight="1" thickBot="1">
      <c r="D1" s="429" t="s">
        <v>277</v>
      </c>
      <c r="L1" s="434" t="s">
        <v>278</v>
      </c>
      <c r="S1" s="434" t="s">
        <v>279</v>
      </c>
    </row>
    <row r="2" spans="4:21" ht="36.75" customHeight="1">
      <c r="D2" s="462" t="s">
        <v>228</v>
      </c>
      <c r="E2" s="458" t="s">
        <v>225</v>
      </c>
      <c r="F2" s="458" t="s">
        <v>232</v>
      </c>
      <c r="G2" s="458" t="s">
        <v>233</v>
      </c>
      <c r="H2" s="458" t="s">
        <v>168</v>
      </c>
      <c r="I2" s="458" t="s">
        <v>234</v>
      </c>
      <c r="J2" s="459" t="s">
        <v>235</v>
      </c>
      <c r="L2" s="457" t="s">
        <v>225</v>
      </c>
      <c r="M2" s="458" t="s">
        <v>229</v>
      </c>
      <c r="N2" s="458" t="s">
        <v>230</v>
      </c>
      <c r="O2" s="458" t="s">
        <v>231</v>
      </c>
      <c r="P2" s="458" t="s">
        <v>284</v>
      </c>
      <c r="Q2" s="459" t="s">
        <v>285</v>
      </c>
      <c r="S2" s="457" t="s">
        <v>233</v>
      </c>
      <c r="T2" s="458" t="s">
        <v>236</v>
      </c>
      <c r="U2" s="459" t="s">
        <v>237</v>
      </c>
    </row>
    <row r="3" spans="4:21" ht="20.100000000000001" customHeight="1">
      <c r="D3" s="435" t="s">
        <v>253</v>
      </c>
      <c r="E3" s="324">
        <v>150</v>
      </c>
      <c r="F3" s="324">
        <v>13.2</v>
      </c>
      <c r="G3" s="324">
        <v>43.5</v>
      </c>
      <c r="H3" s="324">
        <v>30.3</v>
      </c>
      <c r="I3" s="324">
        <v>0.1</v>
      </c>
      <c r="J3" s="460">
        <v>3.3130561179209614</v>
      </c>
      <c r="K3" s="324"/>
      <c r="L3" s="452">
        <v>150</v>
      </c>
      <c r="M3" s="324">
        <v>0.1</v>
      </c>
      <c r="N3" s="324">
        <v>0.1</v>
      </c>
      <c r="O3" s="324">
        <v>80</v>
      </c>
      <c r="P3" s="324">
        <v>2.1292</v>
      </c>
      <c r="Q3" s="453">
        <v>6.3030000000000003E-2</v>
      </c>
      <c r="S3" s="463">
        <v>43.5</v>
      </c>
      <c r="T3" s="325">
        <v>15.178283486113045</v>
      </c>
      <c r="U3" s="460">
        <v>28.321716513886955</v>
      </c>
    </row>
    <row r="4" spans="4:21" ht="20.100000000000001" customHeight="1">
      <c r="D4" s="435" t="s">
        <v>254</v>
      </c>
      <c r="E4" s="324">
        <v>160</v>
      </c>
      <c r="F4" s="324">
        <v>5.6</v>
      </c>
      <c r="G4" s="324">
        <v>30.5</v>
      </c>
      <c r="H4" s="324">
        <v>24.9</v>
      </c>
      <c r="I4" s="324">
        <v>0.1</v>
      </c>
      <c r="J4" s="460">
        <v>3.5360406887452882</v>
      </c>
      <c r="K4" s="324"/>
      <c r="L4" s="452">
        <v>160</v>
      </c>
      <c r="M4" s="324">
        <v>0.1</v>
      </c>
      <c r="N4" s="324">
        <v>0.1</v>
      </c>
      <c r="O4" s="324">
        <v>80</v>
      </c>
      <c r="P4" s="324">
        <v>2.8689</v>
      </c>
      <c r="Q4" s="453">
        <v>6.3030000000000003E-2</v>
      </c>
      <c r="S4" s="463">
        <v>30.5</v>
      </c>
      <c r="T4" s="325">
        <v>7.5021285730234144</v>
      </c>
      <c r="U4" s="460">
        <v>22.997871426976587</v>
      </c>
    </row>
    <row r="5" spans="4:21" ht="20.100000000000001" customHeight="1">
      <c r="D5" s="435" t="s">
        <v>255</v>
      </c>
      <c r="E5" s="324">
        <v>150</v>
      </c>
      <c r="F5" s="324">
        <v>14.3</v>
      </c>
      <c r="G5" s="324">
        <v>33.6</v>
      </c>
      <c r="H5" s="324">
        <v>19.3</v>
      </c>
      <c r="I5" s="324">
        <v>0.1</v>
      </c>
      <c r="J5" s="460">
        <v>3.3164103373572154</v>
      </c>
      <c r="K5" s="324"/>
      <c r="L5" s="452">
        <v>150</v>
      </c>
      <c r="M5" s="324">
        <v>0.1</v>
      </c>
      <c r="N5" s="324">
        <v>0.1</v>
      </c>
      <c r="O5" s="324">
        <v>110.7</v>
      </c>
      <c r="P5" s="324">
        <v>3.5949</v>
      </c>
      <c r="Q5" s="453">
        <v>6.3030000000000003E-2</v>
      </c>
      <c r="S5" s="463">
        <v>33.6</v>
      </c>
      <c r="T5" s="325">
        <v>16.107637997285053</v>
      </c>
      <c r="U5" s="460">
        <v>17.492362002714948</v>
      </c>
    </row>
    <row r="6" spans="4:21" ht="20.100000000000001" customHeight="1">
      <c r="D6" s="435" t="s">
        <v>271</v>
      </c>
      <c r="E6" s="324">
        <v>120</v>
      </c>
      <c r="F6" s="324">
        <v>6.8</v>
      </c>
      <c r="G6" s="324">
        <v>10.9</v>
      </c>
      <c r="H6" s="324">
        <v>4.1000000000000005</v>
      </c>
      <c r="I6" s="324">
        <v>0.1</v>
      </c>
      <c r="J6" s="460">
        <v>2.6572570388731762</v>
      </c>
      <c r="K6" s="324"/>
      <c r="L6" s="452">
        <v>120</v>
      </c>
      <c r="M6" s="324">
        <v>0.1</v>
      </c>
      <c r="N6" s="324">
        <v>0.1</v>
      </c>
      <c r="O6" s="324">
        <v>128</v>
      </c>
      <c r="P6" s="324">
        <v>31.861499999999999</v>
      </c>
      <c r="Q6" s="453">
        <v>6.3030000000000003E-2</v>
      </c>
      <c r="S6" s="463">
        <v>10.9</v>
      </c>
      <c r="T6" s="325">
        <v>8.1260404475662167</v>
      </c>
      <c r="U6" s="460">
        <v>2.7739595524337837</v>
      </c>
    </row>
    <row r="7" spans="4:21" ht="20.100000000000001" customHeight="1">
      <c r="D7" s="435" t="s">
        <v>272</v>
      </c>
      <c r="E7" s="324">
        <v>150</v>
      </c>
      <c r="F7" s="324">
        <v>11.3</v>
      </c>
      <c r="G7" s="324">
        <v>50.3</v>
      </c>
      <c r="H7" s="324">
        <v>39</v>
      </c>
      <c r="I7" s="324">
        <v>0.1</v>
      </c>
      <c r="J7" s="460">
        <v>3.5428133958374759</v>
      </c>
      <c r="K7" s="324"/>
      <c r="L7" s="452">
        <v>150</v>
      </c>
      <c r="M7" s="324">
        <v>0.1</v>
      </c>
      <c r="N7" s="324">
        <v>0.1</v>
      </c>
      <c r="O7" s="324">
        <v>107</v>
      </c>
      <c r="P7" s="324">
        <v>1.6102000000000001</v>
      </c>
      <c r="Q7" s="453">
        <v>6.3030000000000003E-2</v>
      </c>
      <c r="S7" s="463">
        <v>50.3</v>
      </c>
      <c r="T7" s="325">
        <v>13.380716549261845</v>
      </c>
      <c r="U7" s="460">
        <v>36.919283450738149</v>
      </c>
    </row>
    <row r="8" spans="4:21" ht="20.100000000000001" customHeight="1">
      <c r="D8" s="435"/>
      <c r="E8" s="324"/>
      <c r="F8" s="324"/>
      <c r="G8" s="324"/>
      <c r="H8" s="324"/>
      <c r="I8" s="324"/>
      <c r="J8" s="460"/>
      <c r="K8" s="324"/>
      <c r="L8" s="452"/>
      <c r="M8" s="324"/>
      <c r="N8" s="324"/>
      <c r="O8" s="324"/>
      <c r="P8" s="324"/>
      <c r="Q8" s="453"/>
      <c r="S8" s="452"/>
      <c r="T8" s="325"/>
      <c r="U8" s="460"/>
    </row>
    <row r="9" spans="4:21" ht="20.100000000000001" customHeight="1">
      <c r="D9" s="435"/>
      <c r="E9" s="324"/>
      <c r="F9" s="324"/>
      <c r="G9" s="324"/>
      <c r="H9" s="324"/>
      <c r="I9" s="324"/>
      <c r="J9" s="460"/>
      <c r="K9" s="324"/>
      <c r="L9" s="452"/>
      <c r="M9" s="324"/>
      <c r="N9" s="324"/>
      <c r="O9" s="324"/>
      <c r="P9" s="324"/>
      <c r="Q9" s="453"/>
      <c r="S9" s="452"/>
      <c r="T9" s="325"/>
      <c r="U9" s="460"/>
    </row>
    <row r="10" spans="4:21" ht="20.100000000000001" customHeight="1">
      <c r="D10" s="435"/>
      <c r="E10" s="324"/>
      <c r="F10" s="324"/>
      <c r="G10" s="324"/>
      <c r="H10" s="324"/>
      <c r="I10" s="324"/>
      <c r="J10" s="460"/>
      <c r="K10" s="324"/>
      <c r="L10" s="452"/>
      <c r="M10" s="324"/>
      <c r="N10" s="324"/>
      <c r="O10" s="324"/>
      <c r="P10" s="324"/>
      <c r="Q10" s="453"/>
      <c r="S10" s="452"/>
      <c r="T10" s="325"/>
      <c r="U10" s="460"/>
    </row>
    <row r="11" spans="4:21" ht="20.100000000000001" customHeight="1">
      <c r="D11" s="435"/>
      <c r="E11" s="324"/>
      <c r="F11" s="324"/>
      <c r="G11" s="324"/>
      <c r="H11" s="324"/>
      <c r="I11" s="324"/>
      <c r="J11" s="460"/>
      <c r="K11" s="324"/>
      <c r="L11" s="452"/>
      <c r="M11" s="324"/>
      <c r="N11" s="324"/>
      <c r="O11" s="324"/>
      <c r="P11" s="324"/>
      <c r="Q11" s="453"/>
      <c r="S11" s="452"/>
      <c r="T11" s="325"/>
      <c r="U11" s="460"/>
    </row>
    <row r="12" spans="4:21" ht="20.100000000000001" customHeight="1">
      <c r="D12" s="435"/>
      <c r="E12" s="324"/>
      <c r="F12" s="324"/>
      <c r="G12" s="324"/>
      <c r="H12" s="324"/>
      <c r="I12" s="324"/>
      <c r="J12" s="460"/>
      <c r="K12" s="324"/>
      <c r="L12" s="452"/>
      <c r="M12" s="324"/>
      <c r="N12" s="324"/>
      <c r="O12" s="324"/>
      <c r="P12" s="324"/>
      <c r="Q12" s="453"/>
      <c r="S12" s="452"/>
      <c r="T12" s="325"/>
      <c r="U12" s="460"/>
    </row>
    <row r="13" spans="4:21" ht="20.100000000000001" customHeight="1">
      <c r="D13" s="435"/>
      <c r="E13" s="324"/>
      <c r="F13" s="324"/>
      <c r="G13" s="324"/>
      <c r="H13" s="324"/>
      <c r="I13" s="324"/>
      <c r="J13" s="460"/>
      <c r="K13" s="324"/>
      <c r="L13" s="452"/>
      <c r="M13" s="324"/>
      <c r="N13" s="324"/>
      <c r="O13" s="324"/>
      <c r="P13" s="324"/>
      <c r="Q13" s="453"/>
      <c r="S13" s="452"/>
      <c r="T13" s="325"/>
      <c r="U13" s="460"/>
    </row>
    <row r="14" spans="4:21" ht="20.100000000000001" customHeight="1">
      <c r="D14" s="435"/>
      <c r="E14" s="324"/>
      <c r="F14" s="324"/>
      <c r="G14" s="324"/>
      <c r="H14" s="324"/>
      <c r="I14" s="324"/>
      <c r="J14" s="460"/>
      <c r="K14" s="324"/>
      <c r="L14" s="452"/>
      <c r="M14" s="324"/>
      <c r="N14" s="324"/>
      <c r="O14" s="324"/>
      <c r="P14" s="324"/>
      <c r="Q14" s="453"/>
      <c r="S14" s="452"/>
      <c r="T14" s="325"/>
      <c r="U14" s="460"/>
    </row>
    <row r="15" spans="4:21" ht="20.100000000000001" customHeight="1">
      <c r="D15" s="435"/>
      <c r="E15" s="324"/>
      <c r="F15" s="324"/>
      <c r="G15" s="324"/>
      <c r="H15" s="324"/>
      <c r="I15" s="324"/>
      <c r="J15" s="460"/>
      <c r="K15" s="324"/>
      <c r="L15" s="452"/>
      <c r="M15" s="324"/>
      <c r="N15" s="324"/>
      <c r="O15" s="324"/>
      <c r="P15" s="324"/>
      <c r="Q15" s="453"/>
      <c r="S15" s="452"/>
      <c r="T15" s="325"/>
      <c r="U15" s="460"/>
    </row>
    <row r="16" spans="4:21" ht="20.100000000000001" customHeight="1" thickBot="1">
      <c r="D16" s="436"/>
      <c r="E16" s="438"/>
      <c r="F16" s="438"/>
      <c r="G16" s="438"/>
      <c r="H16" s="438"/>
      <c r="I16" s="438"/>
      <c r="J16" s="461"/>
      <c r="K16" s="324"/>
      <c r="L16" s="454"/>
      <c r="M16" s="438"/>
      <c r="N16" s="438"/>
      <c r="O16" s="438"/>
      <c r="P16" s="438"/>
      <c r="Q16" s="455"/>
      <c r="S16" s="454"/>
      <c r="T16" s="464"/>
      <c r="U16" s="461"/>
    </row>
    <row r="17" spans="3:21" ht="20.100000000000001" customHeight="1">
      <c r="D17" s="324"/>
      <c r="E17" s="324"/>
      <c r="F17" s="324"/>
      <c r="G17" s="324"/>
      <c r="H17" s="324"/>
      <c r="I17" s="324"/>
      <c r="J17" s="325"/>
      <c r="K17" s="324"/>
      <c r="L17" s="324"/>
      <c r="M17" s="324"/>
      <c r="N17" s="324"/>
      <c r="O17" s="324"/>
      <c r="P17" s="324"/>
      <c r="Q17" s="324"/>
      <c r="S17" s="324"/>
      <c r="T17" s="325"/>
      <c r="U17" s="325"/>
    </row>
    <row r="18" spans="3:21" ht="20.100000000000001" customHeight="1">
      <c r="D18" s="324"/>
      <c r="E18" s="324"/>
      <c r="F18" s="324"/>
      <c r="G18" s="324"/>
      <c r="H18" s="324"/>
      <c r="I18" s="324"/>
      <c r="J18" s="325"/>
      <c r="K18" s="324"/>
      <c r="L18" s="324"/>
      <c r="M18" s="324"/>
      <c r="N18" s="324"/>
      <c r="O18" s="324"/>
      <c r="P18" s="324"/>
      <c r="Q18" s="324"/>
      <c r="S18" s="324"/>
      <c r="T18" s="325"/>
      <c r="U18" s="325"/>
    </row>
    <row r="19" spans="3:21" ht="20.100000000000001" customHeight="1">
      <c r="H19" s="305"/>
      <c r="J19" s="306"/>
      <c r="K19" s="306"/>
      <c r="L19" s="306"/>
      <c r="M19" s="306"/>
      <c r="N19" s="306"/>
      <c r="O19" s="306"/>
      <c r="P19" s="306"/>
      <c r="S19" s="324"/>
      <c r="T19" s="325"/>
      <c r="U19" s="325"/>
    </row>
    <row r="20" spans="3:21" s="432" customFormat="1" ht="26.25" customHeight="1" thickBot="1">
      <c r="C20" s="419"/>
      <c r="D20" s="430" t="s">
        <v>302</v>
      </c>
      <c r="E20" s="419"/>
      <c r="F20" s="434"/>
      <c r="G20" s="419"/>
      <c r="H20" s="431"/>
      <c r="S20" s="419"/>
      <c r="T20" s="433"/>
      <c r="U20" s="433"/>
    </row>
    <row r="21" spans="3:21" ht="36" customHeight="1" thickBot="1">
      <c r="D21" s="494" t="s">
        <v>228</v>
      </c>
      <c r="E21" s="425" t="s">
        <v>88</v>
      </c>
      <c r="F21" s="426" t="s">
        <v>161</v>
      </c>
      <c r="G21" s="425" t="s">
        <v>162</v>
      </c>
      <c r="H21" s="427" t="s">
        <v>262</v>
      </c>
      <c r="I21" s="425" t="s">
        <v>264</v>
      </c>
      <c r="J21" s="425"/>
      <c r="K21" s="425"/>
      <c r="L21" s="425"/>
      <c r="M21" s="425"/>
      <c r="N21" s="425"/>
      <c r="O21" s="425"/>
      <c r="P21" s="428"/>
      <c r="Q21" s="324"/>
      <c r="S21" s="324"/>
      <c r="T21" s="325"/>
      <c r="U21" s="325"/>
    </row>
    <row r="22" spans="3:21" s="420" customFormat="1" ht="23.1" customHeight="1">
      <c r="C22" s="324"/>
      <c r="D22" s="495" t="s">
        <v>306</v>
      </c>
      <c r="E22" s="445">
        <v>3.4540000000000002</v>
      </c>
      <c r="F22" s="445">
        <v>3.4540000000000002</v>
      </c>
      <c r="G22" s="445">
        <v>3.4540000000000002</v>
      </c>
      <c r="H22" s="445">
        <v>3.4540000000000002</v>
      </c>
      <c r="I22" s="445">
        <v>3.4540000000000002</v>
      </c>
      <c r="J22" s="303"/>
      <c r="K22" s="303"/>
      <c r="L22" s="303"/>
      <c r="M22" s="303"/>
      <c r="N22" s="303"/>
      <c r="O22" s="303"/>
      <c r="P22" s="446"/>
      <c r="S22" s="324"/>
      <c r="T22" s="325"/>
      <c r="U22" s="325"/>
    </row>
    <row r="23" spans="3:21" s="420" customFormat="1" ht="23.1" customHeight="1">
      <c r="C23" s="324"/>
      <c r="D23" s="495" t="s">
        <v>275</v>
      </c>
      <c r="E23" s="445">
        <v>3.4889999999999997E-2</v>
      </c>
      <c r="F23" s="445">
        <v>3.9510000000000003E-2</v>
      </c>
      <c r="G23" s="445">
        <v>3.1829999999999997E-2</v>
      </c>
      <c r="H23" s="445">
        <v>0.13794999999999999</v>
      </c>
      <c r="I23" s="445">
        <v>2.366E-2</v>
      </c>
      <c r="J23" s="303"/>
      <c r="K23" s="303"/>
      <c r="L23" s="303"/>
      <c r="M23" s="303"/>
      <c r="N23" s="303"/>
      <c r="O23" s="303"/>
      <c r="P23" s="446"/>
      <c r="S23" s="324"/>
      <c r="T23" s="325"/>
      <c r="U23" s="325"/>
    </row>
    <row r="24" spans="3:21" s="420" customFormat="1" ht="23.1" customHeight="1">
      <c r="C24" s="324"/>
      <c r="D24" s="495" t="s">
        <v>276</v>
      </c>
      <c r="E24" s="445">
        <v>3.1730000000000001E-4</v>
      </c>
      <c r="F24" s="445">
        <v>3.1730000000000001E-4</v>
      </c>
      <c r="G24" s="445">
        <v>3.1730000000000001E-4</v>
      </c>
      <c r="H24" s="445">
        <v>3.1730000000000001E-4</v>
      </c>
      <c r="I24" s="445">
        <v>3.1730000000000001E-4</v>
      </c>
      <c r="J24" s="303"/>
      <c r="K24" s="303"/>
      <c r="L24" s="303"/>
      <c r="M24" s="303"/>
      <c r="N24" s="303"/>
      <c r="O24" s="303"/>
      <c r="P24" s="446"/>
      <c r="S24" s="324"/>
      <c r="T24" s="325"/>
      <c r="U24" s="325"/>
    </row>
    <row r="25" spans="3:21" s="420" customFormat="1" ht="23.1" customHeight="1">
      <c r="C25" s="324"/>
      <c r="D25" s="495" t="s">
        <v>305</v>
      </c>
      <c r="E25" s="445">
        <v>0.70830000000000004</v>
      </c>
      <c r="F25" s="445">
        <v>0.70830000000000004</v>
      </c>
      <c r="G25" s="445">
        <v>0.70830000000000004</v>
      </c>
      <c r="H25" s="445">
        <v>0.70830000000000004</v>
      </c>
      <c r="I25" s="445">
        <v>0.70830000000000004</v>
      </c>
      <c r="J25" s="303"/>
      <c r="K25" s="303"/>
      <c r="L25" s="303"/>
      <c r="M25" s="303"/>
      <c r="N25" s="303"/>
      <c r="O25" s="303"/>
      <c r="P25" s="446"/>
      <c r="S25" s="324"/>
      <c r="T25" s="325"/>
      <c r="U25" s="325"/>
    </row>
    <row r="26" spans="3:21" s="420" customFormat="1" ht="23.1" customHeight="1">
      <c r="C26" s="324"/>
      <c r="D26" s="495" t="s">
        <v>304</v>
      </c>
      <c r="E26" s="445">
        <v>30.3</v>
      </c>
      <c r="F26" s="445">
        <v>24.9</v>
      </c>
      <c r="G26" s="445">
        <v>19.3</v>
      </c>
      <c r="H26" s="445">
        <v>4.1000000000000005</v>
      </c>
      <c r="I26" s="445">
        <v>39</v>
      </c>
      <c r="J26" s="303"/>
      <c r="K26" s="303"/>
      <c r="L26" s="303"/>
      <c r="M26" s="303"/>
      <c r="N26" s="303"/>
      <c r="O26" s="303"/>
      <c r="P26" s="446"/>
      <c r="S26" s="324"/>
      <c r="T26" s="325"/>
      <c r="U26" s="325"/>
    </row>
    <row r="27" spans="3:21" s="420" customFormat="1" ht="23.1" customHeight="1" thickBot="1">
      <c r="C27" s="324"/>
      <c r="D27" s="496" t="s">
        <v>303</v>
      </c>
      <c r="E27" s="447">
        <v>80</v>
      </c>
      <c r="F27" s="447">
        <v>80</v>
      </c>
      <c r="G27" s="447">
        <v>110.7</v>
      </c>
      <c r="H27" s="447">
        <v>128</v>
      </c>
      <c r="I27" s="447">
        <v>107</v>
      </c>
      <c r="J27" s="448"/>
      <c r="K27" s="448"/>
      <c r="L27" s="448"/>
      <c r="M27" s="448"/>
      <c r="N27" s="448"/>
      <c r="O27" s="448"/>
      <c r="P27" s="449"/>
      <c r="T27" s="437"/>
      <c r="U27" s="437"/>
    </row>
    <row r="28" spans="3:21" ht="20.100000000000001" customHeight="1">
      <c r="D28" s="304"/>
      <c r="E28" s="304"/>
      <c r="F28" s="306"/>
      <c r="G28" s="304"/>
      <c r="H28" s="305"/>
      <c r="T28" s="326"/>
      <c r="U28" s="326"/>
    </row>
    <row r="29" spans="3:21" ht="20.100000000000001" customHeight="1">
      <c r="D29" s="324"/>
      <c r="E29" s="324"/>
      <c r="F29" s="324"/>
      <c r="G29" s="324"/>
      <c r="H29" s="324"/>
      <c r="I29" s="324"/>
      <c r="J29" s="325"/>
      <c r="K29" s="324"/>
      <c r="L29" s="324"/>
      <c r="M29" s="324"/>
      <c r="N29" s="324"/>
      <c r="O29" s="324"/>
      <c r="P29" s="324"/>
      <c r="Q29" s="324"/>
      <c r="T29" s="326"/>
      <c r="U29" s="326"/>
    </row>
    <row r="30" spans="3:21" ht="32.25" customHeight="1" thickBot="1">
      <c r="D30" s="324"/>
      <c r="E30" s="324"/>
      <c r="F30" s="324"/>
      <c r="G30" s="324"/>
      <c r="H30" s="324"/>
      <c r="I30" s="430"/>
      <c r="J30" s="325"/>
      <c r="K30" s="324"/>
      <c r="L30" s="324"/>
      <c r="M30" s="324"/>
      <c r="N30" s="324"/>
      <c r="O30" s="324"/>
      <c r="P30" s="324"/>
      <c r="Q30" s="324"/>
    </row>
    <row r="31" spans="3:21" s="420" customFormat="1" ht="39.75" customHeight="1" thickBot="1">
      <c r="C31" s="489" t="s">
        <v>228</v>
      </c>
      <c r="D31" s="490" t="s">
        <v>283</v>
      </c>
      <c r="E31" s="490"/>
      <c r="F31" s="491"/>
      <c r="G31" s="324"/>
      <c r="H31" s="490" t="s">
        <v>228</v>
      </c>
      <c r="I31" s="490" t="s">
        <v>299</v>
      </c>
      <c r="J31" s="492" t="s">
        <v>300</v>
      </c>
      <c r="K31" s="490" t="s">
        <v>301</v>
      </c>
      <c r="L31" s="490" t="s">
        <v>46</v>
      </c>
      <c r="M31" s="491" t="s">
        <v>307</v>
      </c>
      <c r="N31" s="324"/>
      <c r="O31" s="324"/>
      <c r="P31" s="324"/>
      <c r="Q31" s="324"/>
    </row>
    <row r="32" spans="3:21" ht="20.100000000000001" customHeight="1">
      <c r="C32" s="524" t="s">
        <v>88</v>
      </c>
      <c r="D32" s="424" t="s">
        <v>280</v>
      </c>
      <c r="E32" s="439">
        <v>2.1292</v>
      </c>
      <c r="F32" s="440">
        <v>3.1730000000000001E-4</v>
      </c>
      <c r="G32" s="324"/>
      <c r="H32" s="435" t="s">
        <v>88</v>
      </c>
      <c r="I32" s="435">
        <v>119</v>
      </c>
      <c r="J32" s="456">
        <v>145.69999999999999</v>
      </c>
      <c r="K32" s="435">
        <v>118.4</v>
      </c>
      <c r="L32" s="435">
        <v>127.7</v>
      </c>
      <c r="M32" s="453">
        <v>145.69999999999999</v>
      </c>
      <c r="N32" s="324"/>
      <c r="O32" s="324"/>
      <c r="P32" s="324"/>
      <c r="Q32" s="324"/>
    </row>
    <row r="33" spans="3:17" ht="20.100000000000001" customHeight="1">
      <c r="C33" s="525"/>
      <c r="D33" s="435" t="s">
        <v>281</v>
      </c>
      <c r="E33" s="441">
        <v>3.4540000000000002</v>
      </c>
      <c r="F33" s="442"/>
      <c r="G33" s="324"/>
      <c r="H33" s="435" t="s">
        <v>161</v>
      </c>
      <c r="I33" s="435">
        <v>114.8</v>
      </c>
      <c r="J33" s="456">
        <v>140.6</v>
      </c>
      <c r="K33" s="435">
        <v>126</v>
      </c>
      <c r="L33" s="435">
        <v>127.1</v>
      </c>
      <c r="M33" s="453">
        <v>140.6</v>
      </c>
      <c r="N33" s="324"/>
      <c r="O33" s="324"/>
      <c r="P33" s="324"/>
      <c r="Q33" s="324"/>
    </row>
    <row r="34" spans="3:17" ht="20.100000000000001" customHeight="1" thickBot="1">
      <c r="C34" s="526"/>
      <c r="D34" s="436" t="s">
        <v>282</v>
      </c>
      <c r="E34" s="443">
        <v>2.7915999999999999</v>
      </c>
      <c r="F34" s="444">
        <v>3.1730000000000001E-4</v>
      </c>
      <c r="G34" s="324"/>
      <c r="H34" s="435" t="s">
        <v>162</v>
      </c>
      <c r="I34" s="435">
        <v>90.7</v>
      </c>
      <c r="J34" s="456">
        <v>111.1</v>
      </c>
      <c r="K34" s="435">
        <v>133</v>
      </c>
      <c r="L34" s="435">
        <v>111.6</v>
      </c>
      <c r="M34" s="453">
        <v>133</v>
      </c>
      <c r="N34" s="324"/>
      <c r="O34" s="324"/>
      <c r="P34" s="324"/>
      <c r="Q34" s="324"/>
    </row>
    <row r="35" spans="3:17" ht="20.100000000000001" customHeight="1">
      <c r="C35" s="524" t="s">
        <v>161</v>
      </c>
      <c r="D35" s="424" t="s">
        <v>280</v>
      </c>
      <c r="E35" s="439">
        <v>2.8689</v>
      </c>
      <c r="F35" s="440">
        <v>3.1730000000000001E-4</v>
      </c>
      <c r="G35" s="324"/>
      <c r="H35" s="435" t="s">
        <v>262</v>
      </c>
      <c r="I35" s="435">
        <v>87</v>
      </c>
      <c r="J35" s="456">
        <v>106.6</v>
      </c>
      <c r="K35" s="435">
        <v>297.8</v>
      </c>
      <c r="L35" s="435">
        <v>163.80000000000001</v>
      </c>
      <c r="M35" s="453">
        <v>297.8</v>
      </c>
      <c r="N35" s="324"/>
      <c r="O35" s="324"/>
      <c r="P35" s="324"/>
      <c r="Q35" s="324"/>
    </row>
    <row r="36" spans="3:17" ht="20.100000000000001" customHeight="1">
      <c r="C36" s="525"/>
      <c r="D36" s="435" t="s">
        <v>281</v>
      </c>
      <c r="E36" s="441">
        <v>3.4540000000000002</v>
      </c>
      <c r="F36" s="442"/>
      <c r="G36" s="324"/>
      <c r="H36" s="435" t="s">
        <v>264</v>
      </c>
      <c r="I36" s="435">
        <v>111.2</v>
      </c>
      <c r="J36" s="435">
        <v>136.19999999999999</v>
      </c>
      <c r="K36" s="435">
        <v>112.8</v>
      </c>
      <c r="L36" s="435">
        <v>120.1</v>
      </c>
      <c r="M36" s="453">
        <v>136.19999999999999</v>
      </c>
      <c r="N36" s="324"/>
      <c r="O36" s="324"/>
      <c r="P36" s="324"/>
      <c r="Q36" s="324"/>
    </row>
    <row r="37" spans="3:17" ht="20.100000000000001" customHeight="1" thickBot="1">
      <c r="C37" s="526"/>
      <c r="D37" s="436" t="s">
        <v>282</v>
      </c>
      <c r="E37" s="443">
        <v>3.1614500000000003</v>
      </c>
      <c r="F37" s="444">
        <v>3.1730000000000001E-4</v>
      </c>
      <c r="G37" s="324"/>
      <c r="H37" s="435"/>
      <c r="I37" s="435"/>
      <c r="J37" s="435"/>
      <c r="K37" s="435"/>
      <c r="L37" s="435"/>
      <c r="M37" s="453"/>
      <c r="N37" s="324"/>
      <c r="O37" s="324"/>
      <c r="P37" s="324"/>
      <c r="Q37" s="324"/>
    </row>
    <row r="38" spans="3:17" ht="20.100000000000001" customHeight="1">
      <c r="C38" s="524" t="s">
        <v>162</v>
      </c>
      <c r="D38" s="424" t="s">
        <v>280</v>
      </c>
      <c r="E38" s="439">
        <v>3.5949</v>
      </c>
      <c r="F38" s="440">
        <v>3.1730000000000001E-4</v>
      </c>
      <c r="G38" s="324"/>
      <c r="H38" s="435"/>
      <c r="I38" s="435"/>
      <c r="J38" s="435"/>
      <c r="K38" s="435"/>
      <c r="L38" s="435"/>
      <c r="M38" s="453"/>
      <c r="N38" s="324"/>
      <c r="O38" s="324"/>
      <c r="P38" s="324"/>
      <c r="Q38" s="324"/>
    </row>
    <row r="39" spans="3:17" ht="20.100000000000001" customHeight="1">
      <c r="C39" s="525"/>
      <c r="D39" s="435" t="s">
        <v>281</v>
      </c>
      <c r="E39" s="441">
        <v>3.4540000000000002</v>
      </c>
      <c r="F39" s="442"/>
      <c r="G39" s="324"/>
      <c r="H39" s="435"/>
      <c r="I39" s="435"/>
      <c r="J39" s="435"/>
      <c r="K39" s="435"/>
      <c r="L39" s="435"/>
      <c r="M39" s="453"/>
      <c r="N39" s="324"/>
      <c r="O39" s="324"/>
      <c r="P39" s="324"/>
      <c r="Q39" s="324"/>
    </row>
    <row r="40" spans="3:17" ht="20.100000000000001" customHeight="1" thickBot="1">
      <c r="C40" s="526"/>
      <c r="D40" s="436" t="s">
        <v>282</v>
      </c>
      <c r="E40" s="443">
        <v>3.5244499999999999</v>
      </c>
      <c r="F40" s="444">
        <v>3.1730000000000001E-4</v>
      </c>
      <c r="G40" s="324"/>
      <c r="H40" s="435"/>
      <c r="I40" s="435"/>
      <c r="J40" s="435"/>
      <c r="K40" s="435"/>
      <c r="L40" s="435"/>
      <c r="M40" s="453"/>
      <c r="N40" s="324"/>
      <c r="O40" s="324"/>
      <c r="P40" s="324"/>
      <c r="Q40" s="324"/>
    </row>
    <row r="41" spans="3:17" ht="20.100000000000001" customHeight="1">
      <c r="C41" s="525" t="s">
        <v>262</v>
      </c>
      <c r="D41" s="435" t="s">
        <v>280</v>
      </c>
      <c r="E41" s="439">
        <v>31.861499999999999</v>
      </c>
      <c r="F41" s="440">
        <v>3.1730000000000001E-4</v>
      </c>
      <c r="G41" s="324"/>
      <c r="H41" s="435"/>
      <c r="I41" s="435"/>
      <c r="J41" s="435"/>
      <c r="K41" s="435"/>
      <c r="L41" s="435"/>
      <c r="M41" s="453"/>
      <c r="N41" s="324"/>
      <c r="O41" s="324"/>
      <c r="P41" s="324"/>
      <c r="Q41" s="324"/>
    </row>
    <row r="42" spans="3:17" ht="20.100000000000001" customHeight="1">
      <c r="C42" s="525"/>
      <c r="D42" s="435" t="s">
        <v>281</v>
      </c>
      <c r="E42" s="441">
        <v>3.4540000000000002</v>
      </c>
      <c r="F42" s="442"/>
      <c r="G42" s="324"/>
      <c r="H42" s="435"/>
      <c r="I42" s="435"/>
      <c r="J42" s="435"/>
      <c r="K42" s="435"/>
      <c r="L42" s="435"/>
      <c r="M42" s="453"/>
      <c r="N42" s="324"/>
      <c r="O42" s="324"/>
      <c r="P42" s="324"/>
      <c r="Q42" s="324"/>
    </row>
    <row r="43" spans="3:17" ht="20.100000000000001" customHeight="1" thickBot="1">
      <c r="C43" s="526"/>
      <c r="D43" s="436" t="s">
        <v>282</v>
      </c>
      <c r="E43" s="443">
        <v>17.65775</v>
      </c>
      <c r="F43" s="444">
        <v>3.1730000000000001E-4</v>
      </c>
      <c r="G43" s="324"/>
      <c r="H43" s="435"/>
      <c r="I43" s="435"/>
      <c r="J43" s="435"/>
      <c r="K43" s="435"/>
      <c r="L43" s="435"/>
      <c r="M43" s="453"/>
      <c r="N43" s="324"/>
      <c r="O43" s="324"/>
      <c r="P43" s="324"/>
      <c r="Q43" s="324"/>
    </row>
    <row r="44" spans="3:17" ht="20.100000000000001" customHeight="1">
      <c r="C44" s="524" t="s">
        <v>264</v>
      </c>
      <c r="D44" s="424" t="s">
        <v>280</v>
      </c>
      <c r="E44" s="439">
        <v>1.6102000000000001</v>
      </c>
      <c r="F44" s="440">
        <v>3.1730000000000001E-4</v>
      </c>
      <c r="G44" s="324"/>
      <c r="H44" s="435"/>
      <c r="I44" s="435"/>
      <c r="J44" s="435"/>
      <c r="K44" s="435"/>
      <c r="L44" s="435"/>
      <c r="M44" s="453"/>
      <c r="N44" s="324"/>
      <c r="O44" s="324"/>
      <c r="P44" s="324"/>
      <c r="Q44" s="324"/>
    </row>
    <row r="45" spans="3:17" ht="20.100000000000001" customHeight="1" thickBot="1">
      <c r="C45" s="525"/>
      <c r="D45" s="435" t="s">
        <v>281</v>
      </c>
      <c r="E45" s="441">
        <v>3.4540000000000002</v>
      </c>
      <c r="F45" s="442"/>
      <c r="G45" s="324"/>
      <c r="H45" s="436"/>
      <c r="I45" s="436"/>
      <c r="J45" s="436"/>
      <c r="K45" s="436"/>
      <c r="L45" s="436"/>
      <c r="M45" s="455"/>
      <c r="N45" s="324"/>
      <c r="O45" s="324"/>
      <c r="P45" s="324"/>
      <c r="Q45" s="324"/>
    </row>
    <row r="46" spans="3:17" ht="20.100000000000001" customHeight="1" thickBot="1">
      <c r="C46" s="526"/>
      <c r="D46" s="436" t="s">
        <v>282</v>
      </c>
      <c r="E46" s="443">
        <v>2.5321000000000002</v>
      </c>
      <c r="F46" s="444">
        <v>3.1730000000000001E-4</v>
      </c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</row>
    <row r="47" spans="3:17" ht="20.100000000000001" customHeight="1">
      <c r="C47" s="524" t="s">
        <v>265</v>
      </c>
      <c r="D47" s="424" t="s">
        <v>280</v>
      </c>
      <c r="E47" s="439"/>
      <c r="F47" s="440"/>
    </row>
    <row r="48" spans="3:17" ht="20.100000000000001" customHeight="1">
      <c r="C48" s="525"/>
      <c r="D48" s="435" t="s">
        <v>281</v>
      </c>
      <c r="E48" s="441"/>
      <c r="F48" s="442"/>
    </row>
    <row r="49" spans="3:6" ht="20.100000000000001" customHeight="1" thickBot="1">
      <c r="C49" s="526"/>
      <c r="D49" s="436" t="s">
        <v>282</v>
      </c>
      <c r="E49" s="443"/>
      <c r="F49" s="444"/>
    </row>
    <row r="50" spans="3:6" ht="20.100000000000001" customHeight="1">
      <c r="C50" s="524" t="s">
        <v>266</v>
      </c>
      <c r="D50" s="424" t="s">
        <v>280</v>
      </c>
      <c r="E50" s="439"/>
      <c r="F50" s="440"/>
    </row>
    <row r="51" spans="3:6" ht="20.100000000000001" customHeight="1">
      <c r="C51" s="525"/>
      <c r="D51" s="435" t="s">
        <v>281</v>
      </c>
      <c r="E51" s="441"/>
      <c r="F51" s="442"/>
    </row>
    <row r="52" spans="3:6" ht="20.100000000000001" customHeight="1" thickBot="1">
      <c r="C52" s="526"/>
      <c r="D52" s="436" t="s">
        <v>282</v>
      </c>
      <c r="E52" s="443"/>
      <c r="F52" s="444"/>
    </row>
    <row r="53" spans="3:6" ht="20.100000000000001" customHeight="1">
      <c r="C53" s="524" t="s">
        <v>267</v>
      </c>
      <c r="D53" s="424" t="s">
        <v>280</v>
      </c>
      <c r="E53" s="439"/>
      <c r="F53" s="440"/>
    </row>
    <row r="54" spans="3:6" ht="20.100000000000001" customHeight="1">
      <c r="C54" s="525"/>
      <c r="D54" s="435" t="s">
        <v>281</v>
      </c>
      <c r="E54" s="441"/>
      <c r="F54" s="442"/>
    </row>
    <row r="55" spans="3:6" ht="20.100000000000001" customHeight="1" thickBot="1">
      <c r="C55" s="526"/>
      <c r="D55" s="436" t="s">
        <v>282</v>
      </c>
      <c r="E55" s="443"/>
      <c r="F55" s="444"/>
    </row>
    <row r="56" spans="3:6" ht="20.100000000000001" customHeight="1">
      <c r="C56" s="524" t="s">
        <v>268</v>
      </c>
      <c r="D56" s="424" t="s">
        <v>280</v>
      </c>
      <c r="E56" s="439"/>
      <c r="F56" s="440"/>
    </row>
    <row r="57" spans="3:6" ht="20.100000000000001" customHeight="1">
      <c r="C57" s="525"/>
      <c r="D57" s="435" t="s">
        <v>281</v>
      </c>
      <c r="E57" s="441"/>
      <c r="F57" s="442"/>
    </row>
    <row r="58" spans="3:6" ht="20.100000000000001" customHeight="1" thickBot="1">
      <c r="C58" s="526"/>
      <c r="D58" s="436" t="s">
        <v>282</v>
      </c>
      <c r="E58" s="443"/>
      <c r="F58" s="444"/>
    </row>
    <row r="59" spans="3:6" ht="20.100000000000001" customHeight="1">
      <c r="C59" s="524" t="s">
        <v>269</v>
      </c>
      <c r="D59" s="424" t="s">
        <v>280</v>
      </c>
      <c r="E59" s="439"/>
      <c r="F59" s="440"/>
    </row>
    <row r="60" spans="3:6" ht="20.100000000000001" customHeight="1">
      <c r="C60" s="525"/>
      <c r="D60" s="435" t="s">
        <v>281</v>
      </c>
      <c r="E60" s="441"/>
      <c r="F60" s="442"/>
    </row>
    <row r="61" spans="3:6" ht="20.100000000000001" customHeight="1" thickBot="1">
      <c r="C61" s="526"/>
      <c r="D61" s="436" t="s">
        <v>282</v>
      </c>
      <c r="E61" s="443"/>
      <c r="F61" s="444"/>
    </row>
    <row r="62" spans="3:6" ht="20.100000000000001" customHeight="1">
      <c r="C62" s="524" t="s">
        <v>270</v>
      </c>
      <c r="D62" s="424" t="s">
        <v>280</v>
      </c>
      <c r="E62" s="439"/>
      <c r="F62" s="440"/>
    </row>
    <row r="63" spans="3:6" ht="20.100000000000001" customHeight="1">
      <c r="C63" s="525"/>
      <c r="D63" s="435" t="s">
        <v>281</v>
      </c>
      <c r="E63" s="441"/>
      <c r="F63" s="442"/>
    </row>
    <row r="64" spans="3:6" ht="20.100000000000001" customHeight="1" thickBot="1">
      <c r="C64" s="526"/>
      <c r="D64" s="436" t="s">
        <v>282</v>
      </c>
      <c r="E64" s="443"/>
      <c r="F64" s="444"/>
    </row>
    <row r="65" spans="3:6" ht="20.100000000000001" customHeight="1">
      <c r="C65" s="524" t="s">
        <v>274</v>
      </c>
      <c r="D65" s="424" t="s">
        <v>280</v>
      </c>
      <c r="E65" s="441"/>
      <c r="F65" s="442"/>
    </row>
    <row r="66" spans="3:6" ht="20.100000000000001" customHeight="1">
      <c r="C66" s="525"/>
      <c r="D66" s="435" t="s">
        <v>281</v>
      </c>
      <c r="E66" s="441"/>
      <c r="F66" s="442"/>
    </row>
    <row r="67" spans="3:6" ht="20.100000000000001" customHeight="1" thickBot="1">
      <c r="C67" s="526"/>
      <c r="D67" s="436" t="s">
        <v>282</v>
      </c>
      <c r="E67" s="443"/>
      <c r="F67" s="444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123825</xdr:colOff>
                <xdr:row>4</xdr:row>
                <xdr:rowOff>209550</xdr:rowOff>
              </from>
              <to>
                <xdr:col>2</xdr:col>
                <xdr:colOff>342900</xdr:colOff>
                <xdr:row>6</xdr:row>
                <xdr:rowOff>104775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123825</xdr:colOff>
                <xdr:row>3</xdr:row>
                <xdr:rowOff>0</xdr:rowOff>
              </from>
              <to>
                <xdr:col>2</xdr:col>
                <xdr:colOff>342900</xdr:colOff>
                <xdr:row>4</xdr:row>
                <xdr:rowOff>142875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13"/>
  <dimension ref="C2:O30"/>
  <sheetViews>
    <sheetView workbookViewId="0"/>
  </sheetViews>
  <sheetFormatPr defaultRowHeight="21.95" customHeight="1"/>
  <cols>
    <col min="1" max="2" width="8.88671875" style="324"/>
    <col min="3" max="3" width="13.21875" style="324" customWidth="1"/>
    <col min="4" max="4" width="12.21875" style="324" customWidth="1"/>
    <col min="5" max="5" width="11.109375" style="324" customWidth="1"/>
    <col min="6" max="6" width="15.5546875" style="324" customWidth="1"/>
    <col min="7" max="7" width="12.77734375" style="324" customWidth="1"/>
    <col min="8" max="8" width="10.6640625" style="324" customWidth="1"/>
    <col min="9" max="9" width="11.6640625" style="324" customWidth="1"/>
    <col min="10" max="10" width="13.44140625" style="324" customWidth="1"/>
    <col min="11" max="11" width="9.5546875" style="324" customWidth="1"/>
    <col min="12" max="12" width="9.109375" style="324" customWidth="1"/>
    <col min="13" max="13" width="14.21875" style="324" customWidth="1"/>
    <col min="14" max="14" width="11.88671875" style="324" customWidth="1"/>
    <col min="15" max="15" width="12.109375" style="324" customWidth="1"/>
    <col min="16" max="16384" width="8.88671875" style="324"/>
  </cols>
  <sheetData>
    <row r="2" spans="3:15" s="481" customFormat="1" ht="38.25" customHeight="1" thickBot="1">
      <c r="C2" s="493" t="s">
        <v>298</v>
      </c>
    </row>
    <row r="3" spans="3:15" ht="30.75" customHeight="1" thickBot="1">
      <c r="C3" s="483" t="s">
        <v>228</v>
      </c>
      <c r="D3" s="483" t="s">
        <v>287</v>
      </c>
      <c r="E3" s="484" t="s">
        <v>225</v>
      </c>
      <c r="F3" s="483" t="s">
        <v>288</v>
      </c>
      <c r="G3" s="485" t="s">
        <v>292</v>
      </c>
      <c r="H3" s="485" t="s">
        <v>295</v>
      </c>
      <c r="I3" s="485" t="s">
        <v>231</v>
      </c>
      <c r="J3" s="485" t="s">
        <v>296</v>
      </c>
      <c r="K3" s="483" t="s">
        <v>123</v>
      </c>
      <c r="L3" s="485" t="s">
        <v>294</v>
      </c>
      <c r="M3" s="483" t="s">
        <v>289</v>
      </c>
      <c r="N3" s="483" t="s">
        <v>290</v>
      </c>
      <c r="O3" s="485" t="s">
        <v>291</v>
      </c>
    </row>
    <row r="4" spans="3:15" ht="27.95" customHeight="1">
      <c r="C4" s="435" t="s">
        <v>253</v>
      </c>
      <c r="D4" s="518" t="s">
        <v>293</v>
      </c>
      <c r="E4" s="324">
        <v>220</v>
      </c>
      <c r="F4" s="435">
        <v>2.7915999999999999</v>
      </c>
      <c r="G4" s="518">
        <v>5.9335000000000004</v>
      </c>
      <c r="H4" s="518">
        <v>0.03</v>
      </c>
      <c r="I4" s="453">
        <v>80</v>
      </c>
      <c r="J4" s="518">
        <v>84.1</v>
      </c>
      <c r="K4" s="435">
        <v>34</v>
      </c>
      <c r="L4" s="518">
        <v>142</v>
      </c>
      <c r="M4" s="435">
        <v>2.4334600760456269E-2</v>
      </c>
      <c r="N4" s="528">
        <v>0.03</v>
      </c>
      <c r="O4" s="518" t="s">
        <v>297</v>
      </c>
    </row>
    <row r="5" spans="3:15" ht="27.95" customHeight="1">
      <c r="C5" s="435" t="s">
        <v>254</v>
      </c>
      <c r="D5" s="527"/>
      <c r="E5" s="324">
        <v>220</v>
      </c>
      <c r="F5" s="435">
        <v>3.1614500000000003</v>
      </c>
      <c r="G5" s="527"/>
      <c r="H5" s="527"/>
      <c r="I5" s="453">
        <v>80</v>
      </c>
      <c r="J5" s="527"/>
      <c r="K5" s="435">
        <v>214</v>
      </c>
      <c r="L5" s="527"/>
      <c r="M5" s="435">
        <v>3.8783269961977195E-2</v>
      </c>
      <c r="N5" s="529"/>
      <c r="O5" s="527"/>
    </row>
    <row r="6" spans="3:15" ht="27.95" customHeight="1">
      <c r="C6" s="435" t="s">
        <v>255</v>
      </c>
      <c r="D6" s="527"/>
      <c r="E6" s="324">
        <v>220</v>
      </c>
      <c r="F6" s="435">
        <v>3.5244499999999999</v>
      </c>
      <c r="G6" s="527"/>
      <c r="H6" s="527"/>
      <c r="I6" s="453">
        <v>85.7</v>
      </c>
      <c r="J6" s="527"/>
      <c r="K6" s="435">
        <v>34</v>
      </c>
      <c r="L6" s="527"/>
      <c r="M6" s="435">
        <v>2.2243346007604567E-2</v>
      </c>
      <c r="N6" s="529"/>
      <c r="O6" s="527"/>
    </row>
    <row r="7" spans="3:15" ht="27.95" customHeight="1">
      <c r="C7" s="435" t="s">
        <v>271</v>
      </c>
      <c r="D7" s="527"/>
      <c r="E7" s="324">
        <v>220</v>
      </c>
      <c r="F7" s="435">
        <v>17.65775</v>
      </c>
      <c r="G7" s="527"/>
      <c r="H7" s="527"/>
      <c r="I7" s="453">
        <v>88</v>
      </c>
      <c r="J7" s="527"/>
      <c r="K7" s="435">
        <v>214</v>
      </c>
      <c r="L7" s="527"/>
      <c r="M7" s="435">
        <v>3.6501901140684419E-2</v>
      </c>
      <c r="N7" s="529"/>
      <c r="O7" s="527"/>
    </row>
    <row r="8" spans="3:15" ht="27.95" customHeight="1">
      <c r="C8" s="435" t="s">
        <v>272</v>
      </c>
      <c r="D8" s="527"/>
      <c r="E8" s="324">
        <v>220</v>
      </c>
      <c r="F8" s="435">
        <v>2.5321000000000002</v>
      </c>
      <c r="G8" s="527"/>
      <c r="H8" s="527"/>
      <c r="I8" s="453">
        <v>87</v>
      </c>
      <c r="J8" s="527"/>
      <c r="K8" s="435">
        <v>214</v>
      </c>
      <c r="L8" s="527"/>
      <c r="M8" s="435">
        <v>2.7946768060836506E-2</v>
      </c>
      <c r="N8" s="529"/>
      <c r="O8" s="527"/>
    </row>
    <row r="9" spans="3:15" ht="27.95" customHeight="1">
      <c r="C9" s="435"/>
      <c r="D9" s="435"/>
      <c r="F9" s="435"/>
      <c r="G9" s="453"/>
      <c r="H9" s="435"/>
      <c r="I9" s="453"/>
      <c r="J9" s="435"/>
      <c r="K9" s="435"/>
      <c r="L9" s="453"/>
      <c r="M9" s="435"/>
      <c r="N9" s="435"/>
      <c r="O9" s="435"/>
    </row>
    <row r="10" spans="3:15" ht="27.95" customHeight="1">
      <c r="C10" s="435"/>
      <c r="D10" s="435"/>
      <c r="F10" s="435"/>
      <c r="G10" s="453"/>
      <c r="H10" s="435"/>
      <c r="I10" s="453"/>
      <c r="J10" s="435"/>
      <c r="K10" s="435"/>
      <c r="L10" s="453"/>
      <c r="M10" s="435"/>
      <c r="N10" s="435"/>
      <c r="O10" s="435"/>
    </row>
    <row r="11" spans="3:15" ht="27.95" customHeight="1">
      <c r="C11" s="435"/>
      <c r="D11" s="435"/>
      <c r="F11" s="435"/>
      <c r="G11" s="453"/>
      <c r="H11" s="435"/>
      <c r="I11" s="453"/>
      <c r="J11" s="435"/>
      <c r="K11" s="435"/>
      <c r="L11" s="453"/>
      <c r="M11" s="435"/>
      <c r="N11" s="435"/>
      <c r="O11" s="435"/>
    </row>
    <row r="12" spans="3:15" ht="27.95" customHeight="1">
      <c r="C12" s="435"/>
      <c r="D12" s="435"/>
      <c r="F12" s="435"/>
      <c r="G12" s="453"/>
      <c r="H12" s="435"/>
      <c r="I12" s="453"/>
      <c r="J12" s="435"/>
      <c r="K12" s="435"/>
      <c r="L12" s="453"/>
      <c r="M12" s="435"/>
      <c r="N12" s="435"/>
      <c r="O12" s="435"/>
    </row>
    <row r="13" spans="3:15" ht="27.95" customHeight="1">
      <c r="C13" s="435"/>
      <c r="D13" s="435"/>
      <c r="F13" s="435"/>
      <c r="G13" s="453"/>
      <c r="H13" s="435"/>
      <c r="I13" s="453"/>
      <c r="J13" s="435"/>
      <c r="K13" s="435"/>
      <c r="L13" s="453"/>
      <c r="M13" s="435"/>
      <c r="N13" s="435"/>
      <c r="O13" s="435"/>
    </row>
    <row r="14" spans="3:15" ht="27.95" customHeight="1">
      <c r="C14" s="435"/>
      <c r="D14" s="435"/>
      <c r="F14" s="435"/>
      <c r="G14" s="453"/>
      <c r="H14" s="435"/>
      <c r="I14" s="453"/>
      <c r="J14" s="435"/>
      <c r="K14" s="435"/>
      <c r="L14" s="453"/>
      <c r="M14" s="435"/>
      <c r="N14" s="435"/>
      <c r="O14" s="435"/>
    </row>
    <row r="15" spans="3:15" ht="27.95" customHeight="1">
      <c r="C15" s="435"/>
      <c r="D15" s="435"/>
      <c r="F15" s="435"/>
      <c r="G15" s="453"/>
      <c r="H15" s="435"/>
      <c r="I15" s="453"/>
      <c r="J15" s="435"/>
      <c r="K15" s="435"/>
      <c r="L15" s="453"/>
      <c r="M15" s="435"/>
      <c r="N15" s="435"/>
      <c r="O15" s="435"/>
    </row>
    <row r="16" spans="3:15" ht="27.95" customHeight="1">
      <c r="C16" s="435"/>
      <c r="D16" s="435"/>
      <c r="F16" s="435"/>
      <c r="G16" s="453"/>
      <c r="H16" s="435"/>
      <c r="I16" s="453"/>
      <c r="J16" s="435"/>
      <c r="K16" s="435"/>
      <c r="L16" s="453"/>
      <c r="M16" s="435"/>
      <c r="N16" s="435"/>
      <c r="O16" s="435"/>
    </row>
    <row r="17" spans="3:15" ht="27.95" customHeight="1" thickBot="1">
      <c r="C17" s="436"/>
      <c r="D17" s="436"/>
      <c r="E17" s="438"/>
      <c r="F17" s="436"/>
      <c r="G17" s="455"/>
      <c r="H17" s="436"/>
      <c r="I17" s="455"/>
      <c r="J17" s="436"/>
      <c r="K17" s="436"/>
      <c r="L17" s="455"/>
      <c r="M17" s="436"/>
      <c r="N17" s="436"/>
      <c r="O17" s="436"/>
    </row>
    <row r="18" spans="3:15" ht="27.95" customHeight="1"/>
    <row r="19" spans="3:15" ht="27.95" customHeight="1"/>
    <row r="20" spans="3:15" ht="27.95" customHeight="1"/>
    <row r="21" spans="3:15" ht="27.95" customHeight="1"/>
    <row r="22" spans="3:15" ht="27.95" customHeight="1"/>
    <row r="23" spans="3:15" ht="27.95" customHeight="1"/>
    <row r="24" spans="3:15" ht="27.95" customHeight="1"/>
    <row r="25" spans="3:15" ht="27.95" customHeight="1"/>
    <row r="26" spans="3:15" ht="27.95" customHeight="1"/>
    <row r="27" spans="3:15" ht="27.95" customHeight="1"/>
    <row r="28" spans="3:15" ht="27.95" customHeight="1"/>
    <row r="29" spans="3:15" ht="24.95" customHeight="1"/>
    <row r="30" spans="3:15" ht="24.95" customHeight="1"/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171450</xdr:colOff>
                <xdr:row>1</xdr:row>
                <xdr:rowOff>438150</xdr:rowOff>
              </from>
              <to>
                <xdr:col>1</xdr:col>
                <xdr:colOff>590550</xdr:colOff>
                <xdr:row>2</xdr:row>
                <xdr:rowOff>266700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180975</xdr:colOff>
                <xdr:row>1</xdr:row>
                <xdr:rowOff>85725</xdr:rowOff>
              </from>
              <to>
                <xdr:col>1</xdr:col>
                <xdr:colOff>600075</xdr:colOff>
                <xdr:row>1</xdr:row>
                <xdr:rowOff>400050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D22" sqref="D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03" t="s">
        <v>214</v>
      </c>
      <c r="J2"/>
      <c r="K2"/>
      <c r="L2"/>
      <c r="M2"/>
    </row>
    <row r="3" spans="1:13" ht="20.100000000000001" customHeight="1">
      <c r="B3" s="2" t="s">
        <v>49</v>
      </c>
      <c r="C3" s="407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08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08">
        <f>Well!Q4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09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19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10">
        <f>Well!H4</f>
        <v>100</v>
      </c>
      <c r="D7" s="394" t="s">
        <v>61</v>
      </c>
      <c r="E7" s="318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1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10">
        <f>Well!G4</f>
        <v>150</v>
      </c>
    </row>
    <row r="9" spans="1:13" ht="20.100000000000001" customHeight="1" thickBot="1">
      <c r="B9" s="6" t="s">
        <v>62</v>
      </c>
      <c r="C9" s="41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09">
        <v>5</v>
      </c>
      <c r="D10" s="14" t="s">
        <v>64</v>
      </c>
      <c r="E10" s="182">
        <v>119</v>
      </c>
      <c r="F10" s="183">
        <v>145.69999999999999</v>
      </c>
      <c r="G10" s="184">
        <v>118.4</v>
      </c>
      <c r="H10" s="15"/>
      <c r="I10" s="16"/>
    </row>
    <row r="11" spans="1:13" ht="20.100000000000001" customHeight="1" thickBot="1">
      <c r="B11" s="6" t="s">
        <v>65</v>
      </c>
      <c r="C11" s="409">
        <v>15</v>
      </c>
      <c r="D11" s="395" t="s">
        <v>66</v>
      </c>
      <c r="E11" s="185">
        <f>ROUND(AVERAGE(E10:G10),1)</f>
        <v>127.7</v>
      </c>
      <c r="F11" s="176">
        <f>ROUND((E10+F10)/2,1)</f>
        <v>132.4</v>
      </c>
      <c r="G11" s="346">
        <f>MAX(E10,F10,G10)</f>
        <v>145.69999999999999</v>
      </c>
      <c r="H11" s="15"/>
      <c r="I11" s="16"/>
      <c r="J11" s="534" t="s">
        <v>121</v>
      </c>
      <c r="K11" s="535"/>
    </row>
    <row r="12" spans="1:13" ht="20.100000000000001" customHeight="1">
      <c r="A12" s="17" t="str">
        <f>IF(A13&lt;&gt;C7,"CHECK","OK")</f>
        <v>OK</v>
      </c>
      <c r="B12" s="6" t="s">
        <v>67</v>
      </c>
      <c r="C12" s="412">
        <f>C7-C9</f>
        <v>80</v>
      </c>
      <c r="H12" s="18"/>
      <c r="J12" s="186" t="s">
        <v>123</v>
      </c>
      <c r="K12" s="398">
        <v>34</v>
      </c>
      <c r="L12" s="399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12"/>
      <c r="E13" s="245" t="str">
        <f>Recharge!I24</f>
        <v>금강서해/금강서해</v>
      </c>
      <c r="F13" s="190">
        <f>rf_1</f>
        <v>0.17499999999999999</v>
      </c>
      <c r="G13" s="190">
        <f>allow_ratio</f>
        <v>0.67</v>
      </c>
      <c r="H13" s="19"/>
      <c r="J13" s="186" t="s">
        <v>116</v>
      </c>
      <c r="K13" s="228">
        <v>526</v>
      </c>
      <c r="L13" s="42"/>
    </row>
    <row r="14" spans="1:13" ht="20.100000000000001" customHeight="1">
      <c r="B14" s="6" t="s">
        <v>69</v>
      </c>
      <c r="C14" s="411">
        <f>C7-IF(C20&gt;C9,C20,C9)</f>
        <v>80</v>
      </c>
      <c r="G14" s="190">
        <f>max</f>
        <v>1198.3</v>
      </c>
      <c r="H14" s="19"/>
      <c r="J14" s="186" t="s">
        <v>117</v>
      </c>
      <c r="K14" s="228">
        <v>76</v>
      </c>
      <c r="L14" s="42"/>
    </row>
    <row r="15" spans="1:13" ht="20.100000000000001" customHeight="1" thickBot="1">
      <c r="B15" s="6" t="s">
        <v>70</v>
      </c>
      <c r="C15" s="410">
        <f>Well!I4</f>
        <v>200</v>
      </c>
      <c r="E15" s="41">
        <v>1</v>
      </c>
      <c r="J15" s="186" t="s">
        <v>118</v>
      </c>
      <c r="K15" s="228">
        <v>50</v>
      </c>
      <c r="L15" s="42"/>
    </row>
    <row r="16" spans="1:13" ht="20.100000000000001" customHeight="1">
      <c r="B16" s="6" t="s">
        <v>71</v>
      </c>
      <c r="C16" s="413">
        <f>Well!J4</f>
        <v>220</v>
      </c>
      <c r="E16" s="157" t="s">
        <v>74</v>
      </c>
      <c r="F16" s="158" t="s">
        <v>99</v>
      </c>
      <c r="G16" s="159" t="s">
        <v>98</v>
      </c>
      <c r="H16" s="19"/>
      <c r="J16" s="186" t="s">
        <v>124</v>
      </c>
      <c r="K16" s="187">
        <f>K14-C20</f>
        <v>62.8</v>
      </c>
      <c r="L16" s="42"/>
    </row>
    <row r="17" spans="2:12" ht="20.100000000000001" customHeight="1" thickBot="1">
      <c r="B17" s="6" t="s">
        <v>72</v>
      </c>
      <c r="C17" s="410">
        <f>Well!L4</f>
        <v>5</v>
      </c>
      <c r="E17" s="76">
        <f>Well!P4</f>
        <v>8602111</v>
      </c>
      <c r="F17" s="253">
        <f>(max*rf_1*E17/1000)</f>
        <v>1803884.1819775</v>
      </c>
      <c r="G17" s="252">
        <f>F17*allow_ratio</f>
        <v>1208602.4019249252</v>
      </c>
      <c r="J17" s="186" t="s">
        <v>119</v>
      </c>
      <c r="K17" s="187">
        <f>K16-K15</f>
        <v>12.799999999999997</v>
      </c>
      <c r="L17" s="42"/>
    </row>
    <row r="18" spans="2:12" ht="20.100000000000001" customHeight="1" thickBot="1">
      <c r="B18" s="6" t="s">
        <v>73</v>
      </c>
      <c r="C18" s="410">
        <f>Well!M4</f>
        <v>80</v>
      </c>
      <c r="E18" s="2" t="s">
        <v>74</v>
      </c>
      <c r="F18" s="30" t="s">
        <v>75</v>
      </c>
      <c r="G18" s="29" t="s">
        <v>76</v>
      </c>
      <c r="H18" s="180" t="s">
        <v>176</v>
      </c>
      <c r="I18" s="28"/>
      <c r="J18" s="188" t="s">
        <v>120</v>
      </c>
      <c r="K18" s="189">
        <f>(K17/K13)</f>
        <v>2.4334600760456269E-2</v>
      </c>
      <c r="L18" s="160">
        <f>K18*100</f>
        <v>2.4334600760456269</v>
      </c>
    </row>
    <row r="19" spans="2:12" ht="20.100000000000001" customHeight="1" thickBot="1">
      <c r="B19" s="21" t="s">
        <v>77</v>
      </c>
      <c r="C19" s="414">
        <f>Well!N4</f>
        <v>40</v>
      </c>
      <c r="E19" s="76">
        <f>E17</f>
        <v>8602111</v>
      </c>
      <c r="F19" s="249">
        <f>(max*rf_1*E19/1000)/365</f>
        <v>4942.1484437739728</v>
      </c>
      <c r="G19" s="250">
        <f>F19*allow_ratio</f>
        <v>3311.2394573285619</v>
      </c>
      <c r="H19" s="181">
        <f>G19-F21</f>
        <v>3169.639457328562</v>
      </c>
    </row>
    <row r="20" spans="2:12" ht="20.100000000000001" customHeight="1">
      <c r="B20" s="22" t="s">
        <v>78</v>
      </c>
      <c r="C20" s="415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16">
        <v>43.5</v>
      </c>
      <c r="D21" s="17"/>
      <c r="E21" s="178">
        <f>Well!$I$4</f>
        <v>200</v>
      </c>
      <c r="F21" s="251">
        <f>Well!O4</f>
        <v>141.6</v>
      </c>
      <c r="G21" s="252">
        <f>G19-E21-F21</f>
        <v>2969.639457328562</v>
      </c>
    </row>
    <row r="22" spans="2:12" ht="20.100000000000001" customHeight="1" thickBot="1">
      <c r="B22" s="31" t="s">
        <v>168</v>
      </c>
      <c r="C22" s="417">
        <f>C21-C20</f>
        <v>30.3</v>
      </c>
      <c r="E22" s="536">
        <f>E21+F21</f>
        <v>341.6</v>
      </c>
      <c r="F22" s="537"/>
      <c r="G22" s="20"/>
      <c r="I22" s="19"/>
    </row>
    <row r="23" spans="2:12" ht="20.100000000000001" customHeight="1" thickBot="1">
      <c r="B23" s="397" t="s">
        <v>261</v>
      </c>
      <c r="C23" s="396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530" t="s">
        <v>101</v>
      </c>
      <c r="C25" s="531"/>
      <c r="D25" s="191" t="s">
        <v>110</v>
      </c>
      <c r="E25" s="191" t="s">
        <v>111</v>
      </c>
      <c r="F25" s="191" t="s">
        <v>102</v>
      </c>
      <c r="G25" s="191" t="s">
        <v>103</v>
      </c>
      <c r="H25" s="191" t="s">
        <v>125</v>
      </c>
      <c r="I25" s="191" t="s">
        <v>104</v>
      </c>
      <c r="J25" s="192" t="s">
        <v>105</v>
      </c>
      <c r="K25" s="193" t="s">
        <v>106</v>
      </c>
    </row>
    <row r="26" spans="2:12" ht="25.5" customHeight="1">
      <c r="B26" s="532" t="s">
        <v>107</v>
      </c>
      <c r="C26" s="194" t="s">
        <v>108</v>
      </c>
      <c r="D26" s="195">
        <f>C20</f>
        <v>13.2</v>
      </c>
      <c r="E26" s="196">
        <f>Recharge!C30</f>
        <v>20.97025</v>
      </c>
      <c r="F26" s="197" t="s">
        <v>190</v>
      </c>
      <c r="G26" s="195" t="s">
        <v>242</v>
      </c>
      <c r="H26" s="198">
        <f>L18</f>
        <v>2.4334600760456269</v>
      </c>
      <c r="I26" s="195" t="s">
        <v>190</v>
      </c>
      <c r="J26" s="195">
        <f>(E7/C14)/864</f>
        <v>4.0387731481481477E-5</v>
      </c>
      <c r="K26" s="199" t="s">
        <v>259</v>
      </c>
    </row>
    <row r="27" spans="2:12" ht="25.5" customHeight="1">
      <c r="B27" s="532"/>
      <c r="C27" s="194" t="s">
        <v>109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260</v>
      </c>
    </row>
    <row r="28" spans="2:12" ht="25.5" customHeight="1">
      <c r="B28" s="532"/>
      <c r="C28" s="211" t="s">
        <v>183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532"/>
      <c r="C29" s="211" t="s">
        <v>184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532"/>
      <c r="C30" s="200" t="s">
        <v>185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533"/>
      <c r="C31" s="203" t="s">
        <v>186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V23" sqref="V23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95</v>
      </c>
      <c r="C4" s="146" t="s">
        <v>88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50" t="s">
        <v>83</v>
      </c>
      <c r="C6" s="351">
        <v>44753.861111111109</v>
      </c>
      <c r="D6" s="125"/>
      <c r="E6" s="37"/>
      <c r="F6" s="37"/>
    </row>
    <row r="7" spans="2:14" s="38" customFormat="1" ht="26.1" customHeight="1" thickBot="1">
      <c r="B7" s="352" t="s">
        <v>84</v>
      </c>
      <c r="C7" s="353">
        <v>14.6</v>
      </c>
      <c r="D7" s="125"/>
      <c r="E7" s="37"/>
      <c r="F7" s="37"/>
    </row>
    <row r="8" spans="2:14" s="38" customFormat="1" ht="26.1" customHeight="1">
      <c r="B8" s="126" t="s">
        <v>85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86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40" t="s">
        <v>87</v>
      </c>
      <c r="C12" s="541"/>
      <c r="D12" s="542" t="s">
        <v>88</v>
      </c>
      <c r="E12" s="543"/>
      <c r="F12" s="541"/>
      <c r="H12" s="540" t="s">
        <v>88</v>
      </c>
      <c r="I12" s="543"/>
      <c r="J12" s="541"/>
      <c r="L12"/>
      <c r="M12"/>
      <c r="N12"/>
    </row>
    <row r="13" spans="2:14" s="37" customFormat="1" ht="26.1" customHeight="1">
      <c r="B13" s="128" t="s">
        <v>83</v>
      </c>
      <c r="C13" s="129" t="s">
        <v>89</v>
      </c>
      <c r="D13" s="143" t="s">
        <v>90</v>
      </c>
      <c r="E13" s="130" t="s">
        <v>91</v>
      </c>
      <c r="F13" s="129" t="s">
        <v>92</v>
      </c>
      <c r="H13" s="128" t="s">
        <v>90</v>
      </c>
      <c r="I13" s="130" t="s">
        <v>91</v>
      </c>
      <c r="J13" s="129" t="s">
        <v>92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44" t="s">
        <v>36</v>
      </c>
      <c r="C24" s="545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44" t="s">
        <v>37</v>
      </c>
      <c r="C25" s="545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38" t="s">
        <v>93</v>
      </c>
      <c r="C26" s="539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I11" sqref="I1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54" t="s">
        <v>83</v>
      </c>
      <c r="C6" s="355">
        <v>44753.861111111109</v>
      </c>
      <c r="D6" s="125"/>
      <c r="E6" s="37"/>
      <c r="F6" s="37"/>
    </row>
    <row r="7" spans="2:9" s="38" customFormat="1" ht="26.1" customHeight="1" thickBot="1">
      <c r="B7" s="352" t="s">
        <v>84</v>
      </c>
      <c r="C7" s="353">
        <v>14</v>
      </c>
      <c r="D7" s="125"/>
      <c r="E7" s="37"/>
      <c r="F7" s="37"/>
    </row>
    <row r="8" spans="2:9" s="38" customFormat="1" ht="26.1" customHeight="1">
      <c r="B8" s="126" t="s">
        <v>85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86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40" t="s">
        <v>87</v>
      </c>
      <c r="C12" s="541"/>
      <c r="D12" s="540" t="s">
        <v>88</v>
      </c>
      <c r="E12" s="543"/>
      <c r="F12" s="541"/>
      <c r="G12" s="546" t="s">
        <v>161</v>
      </c>
      <c r="H12" s="547"/>
      <c r="I12" s="548"/>
    </row>
    <row r="13" spans="2:9" s="37" customFormat="1" ht="26.1" customHeight="1">
      <c r="B13" s="128" t="s">
        <v>83</v>
      </c>
      <c r="C13" s="129" t="s">
        <v>89</v>
      </c>
      <c r="D13" s="332" t="s">
        <v>90</v>
      </c>
      <c r="E13" s="333" t="s">
        <v>91</v>
      </c>
      <c r="F13" s="334" t="s">
        <v>92</v>
      </c>
      <c r="G13" s="338" t="s">
        <v>90</v>
      </c>
      <c r="H13" s="339" t="s">
        <v>91</v>
      </c>
      <c r="I13" s="340" t="s">
        <v>92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45">
        <f t="shared" ref="D14:D23" si="0">baseTemp+D31</f>
        <v>14</v>
      </c>
      <c r="E14" s="336">
        <f t="shared" ref="E14:E20" si="1">$C$8+E31</f>
        <v>223</v>
      </c>
      <c r="F14" s="337">
        <f t="shared" ref="F14:F20" si="2">$C$9+F31</f>
        <v>7.83</v>
      </c>
      <c r="G14" s="345">
        <f t="shared" ref="G14:G20" si="3">baseTemp+H31</f>
        <v>14</v>
      </c>
      <c r="H14" s="336">
        <f>$D$8+I31</f>
        <v>232</v>
      </c>
      <c r="I14" s="337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45">
        <f t="shared" si="0"/>
        <v>14.1</v>
      </c>
      <c r="E15" s="336">
        <f t="shared" si="1"/>
        <v>224</v>
      </c>
      <c r="F15" s="337">
        <f t="shared" si="2"/>
        <v>7.82</v>
      </c>
      <c r="G15" s="345">
        <f t="shared" si="3"/>
        <v>14</v>
      </c>
      <c r="H15" s="336">
        <f t="shared" ref="H15:H20" si="5">$D$8+I32</f>
        <v>226</v>
      </c>
      <c r="I15" s="337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45">
        <f t="shared" si="0"/>
        <v>14</v>
      </c>
      <c r="E16" s="336">
        <f t="shared" si="1"/>
        <v>228</v>
      </c>
      <c r="F16" s="337">
        <f t="shared" si="2"/>
        <v>8.01</v>
      </c>
      <c r="G16" s="345">
        <f t="shared" si="3"/>
        <v>13.9</v>
      </c>
      <c r="H16" s="336">
        <f t="shared" si="5"/>
        <v>232</v>
      </c>
      <c r="I16" s="337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45">
        <f t="shared" si="0"/>
        <v>14</v>
      </c>
      <c r="E17" s="336">
        <f t="shared" si="1"/>
        <v>228</v>
      </c>
      <c r="F17" s="337">
        <f t="shared" si="2"/>
        <v>8.01</v>
      </c>
      <c r="G17" s="345">
        <f t="shared" si="3"/>
        <v>13.9</v>
      </c>
      <c r="H17" s="336">
        <f t="shared" si="5"/>
        <v>228</v>
      </c>
      <c r="I17" s="337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45">
        <f t="shared" si="0"/>
        <v>14.1</v>
      </c>
      <c r="E18" s="336">
        <f t="shared" si="1"/>
        <v>227</v>
      </c>
      <c r="F18" s="337">
        <f t="shared" si="2"/>
        <v>8.01</v>
      </c>
      <c r="G18" s="345">
        <f t="shared" si="3"/>
        <v>13.9</v>
      </c>
      <c r="H18" s="336">
        <f t="shared" si="5"/>
        <v>230</v>
      </c>
      <c r="I18" s="337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45">
        <f t="shared" si="0"/>
        <v>14</v>
      </c>
      <c r="E19" s="336">
        <f t="shared" si="1"/>
        <v>225</v>
      </c>
      <c r="F19" s="337">
        <f t="shared" si="2"/>
        <v>7.78</v>
      </c>
      <c r="G19" s="345">
        <f t="shared" si="3"/>
        <v>13.9</v>
      </c>
      <c r="H19" s="336">
        <f t="shared" si="5"/>
        <v>228</v>
      </c>
      <c r="I19" s="337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45">
        <f t="shared" si="0"/>
        <v>14.1</v>
      </c>
      <c r="E20" s="336">
        <f t="shared" si="1"/>
        <v>227</v>
      </c>
      <c r="F20" s="337">
        <f t="shared" si="2"/>
        <v>7.9700000000000006</v>
      </c>
      <c r="G20" s="345">
        <f t="shared" si="3"/>
        <v>13.9</v>
      </c>
      <c r="H20" s="336">
        <f t="shared" si="5"/>
        <v>227</v>
      </c>
      <c r="I20" s="337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45">
        <f t="shared" si="0"/>
        <v>14</v>
      </c>
      <c r="E21" s="336">
        <f>$E$20</f>
        <v>227</v>
      </c>
      <c r="F21" s="337">
        <f>$F$20</f>
        <v>7.9700000000000006</v>
      </c>
      <c r="G21" s="345">
        <f>$G$20</f>
        <v>13.9</v>
      </c>
      <c r="H21" s="336">
        <f>$H$20</f>
        <v>227</v>
      </c>
      <c r="I21" s="337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45">
        <f t="shared" si="0"/>
        <v>14</v>
      </c>
      <c r="E22" s="336">
        <f t="shared" ref="E22:E23" si="7">$E$20</f>
        <v>227</v>
      </c>
      <c r="F22" s="337">
        <f t="shared" ref="F22:F23" si="8">$F$20</f>
        <v>7.9700000000000006</v>
      </c>
      <c r="G22" s="345">
        <f t="shared" ref="G22:G23" si="9">$G$20</f>
        <v>13.9</v>
      </c>
      <c r="H22" s="336">
        <f t="shared" ref="H22:H23" si="10">$H$20</f>
        <v>227</v>
      </c>
      <c r="I22" s="337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45">
        <f t="shared" si="0"/>
        <v>14</v>
      </c>
      <c r="E23" s="336">
        <f t="shared" si="7"/>
        <v>227</v>
      </c>
      <c r="F23" s="337">
        <f t="shared" si="8"/>
        <v>7.9700000000000006</v>
      </c>
      <c r="G23" s="345">
        <f t="shared" si="9"/>
        <v>13.9</v>
      </c>
      <c r="H23" s="336">
        <f t="shared" si="10"/>
        <v>227</v>
      </c>
      <c r="I23" s="337">
        <f t="shared" si="11"/>
        <v>7.7299999999999995</v>
      </c>
    </row>
    <row r="24" spans="2:10" s="38" customFormat="1" ht="26.1" customHeight="1">
      <c r="B24" s="544" t="s">
        <v>36</v>
      </c>
      <c r="C24" s="545"/>
      <c r="D24" s="338">
        <f>MAX(D14:D23)</f>
        <v>14.1</v>
      </c>
      <c r="E24" s="339">
        <f t="shared" ref="E24:F24" si="12">MAX(E14:E23)</f>
        <v>228</v>
      </c>
      <c r="F24" s="340">
        <f t="shared" si="12"/>
        <v>8.01</v>
      </c>
      <c r="G24" s="338">
        <f>MAX(G14:G23)</f>
        <v>14</v>
      </c>
      <c r="H24" s="339">
        <f t="shared" ref="H24:I24" si="13">MAX(H14:H23)</f>
        <v>232</v>
      </c>
      <c r="I24" s="340">
        <f t="shared" si="13"/>
        <v>7.92</v>
      </c>
      <c r="J24" s="37"/>
    </row>
    <row r="25" spans="2:10" s="38" customFormat="1" ht="26.1" customHeight="1">
      <c r="B25" s="544" t="s">
        <v>37</v>
      </c>
      <c r="C25" s="545"/>
      <c r="D25" s="338">
        <f>MIN(D14:D23)</f>
        <v>14</v>
      </c>
      <c r="E25" s="339">
        <f t="shared" ref="E25:F25" si="14">MIN(E14:E23)</f>
        <v>223</v>
      </c>
      <c r="F25" s="341">
        <f t="shared" si="14"/>
        <v>7.78</v>
      </c>
      <c r="G25" s="338">
        <f>MIN(G14:G23)</f>
        <v>13.9</v>
      </c>
      <c r="H25" s="339">
        <f t="shared" ref="H25:I25" si="15">MIN(H14:H23)</f>
        <v>226</v>
      </c>
      <c r="I25" s="340">
        <f t="shared" si="15"/>
        <v>7.7</v>
      </c>
      <c r="J25" s="37"/>
    </row>
    <row r="26" spans="2:10" s="38" customFormat="1" ht="26.1" customHeight="1" thickBot="1">
      <c r="B26" s="538" t="s">
        <v>93</v>
      </c>
      <c r="C26" s="539"/>
      <c r="D26" s="342">
        <f>D24-D25</f>
        <v>9.9999999999999645E-2</v>
      </c>
      <c r="E26" s="343">
        <f t="shared" ref="E26:F26" si="16">E24-E25</f>
        <v>5</v>
      </c>
      <c r="F26" s="344">
        <f t="shared" si="16"/>
        <v>0.22999999999999954</v>
      </c>
      <c r="G26" s="342">
        <f>G24-G25</f>
        <v>9.9999999999999645E-2</v>
      </c>
      <c r="H26" s="343">
        <f t="shared" ref="H26:I26" si="17">H24-H25</f>
        <v>6</v>
      </c>
      <c r="I26" s="344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40" t="s">
        <v>88</v>
      </c>
      <c r="E29" s="543"/>
      <c r="F29" s="541"/>
      <c r="H29" s="540" t="s">
        <v>161</v>
      </c>
      <c r="I29" s="543"/>
      <c r="J29" s="541"/>
    </row>
    <row r="30" spans="2:10" s="38" customFormat="1" ht="18" customHeight="1">
      <c r="D30" s="128" t="s">
        <v>90</v>
      </c>
      <c r="E30" s="130" t="s">
        <v>91</v>
      </c>
      <c r="F30" s="129" t="s">
        <v>92</v>
      </c>
      <c r="H30" s="128" t="s">
        <v>90</v>
      </c>
      <c r="I30" s="130" t="s">
        <v>91</v>
      </c>
      <c r="J30" s="129" t="s">
        <v>92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I28" sqref="I28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54" t="s">
        <v>83</v>
      </c>
      <c r="C6" s="355">
        <v>44717.430555555555</v>
      </c>
      <c r="D6" s="125"/>
      <c r="E6" s="37"/>
      <c r="F6" s="37"/>
    </row>
    <row r="7" spans="2:12" s="38" customFormat="1" ht="26.1" customHeight="1" thickBot="1">
      <c r="B7" s="352" t="s">
        <v>84</v>
      </c>
      <c r="C7" s="353">
        <v>14.7</v>
      </c>
      <c r="D7" s="125"/>
      <c r="E7" s="37"/>
      <c r="F7" s="37"/>
    </row>
    <row r="8" spans="2:12" s="38" customFormat="1" ht="26.1" customHeight="1">
      <c r="B8" s="126" t="s">
        <v>85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86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40" t="s">
        <v>87</v>
      </c>
      <c r="C12" s="541"/>
      <c r="D12" s="546" t="s">
        <v>262</v>
      </c>
      <c r="E12" s="547"/>
      <c r="F12" s="548"/>
      <c r="G12" s="546" t="s">
        <v>161</v>
      </c>
      <c r="H12" s="547"/>
      <c r="I12" s="548"/>
      <c r="J12" s="546" t="s">
        <v>162</v>
      </c>
      <c r="K12" s="547"/>
      <c r="L12" s="548"/>
    </row>
    <row r="13" spans="2:12" s="37" customFormat="1" ht="27" customHeight="1">
      <c r="B13" s="128" t="s">
        <v>83</v>
      </c>
      <c r="C13" s="129" t="s">
        <v>89</v>
      </c>
      <c r="D13" s="338" t="s">
        <v>165</v>
      </c>
      <c r="E13" s="339" t="s">
        <v>175</v>
      </c>
      <c r="F13" s="340" t="s">
        <v>92</v>
      </c>
      <c r="G13" s="338" t="s">
        <v>165</v>
      </c>
      <c r="H13" s="339" t="s">
        <v>175</v>
      </c>
      <c r="I13" s="340" t="s">
        <v>92</v>
      </c>
      <c r="J13" s="338" t="s">
        <v>165</v>
      </c>
      <c r="K13" s="339" t="s">
        <v>175</v>
      </c>
      <c r="L13" s="340" t="s">
        <v>92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35">
        <f t="shared" ref="D14:D20" si="0">baseTemp+D31</f>
        <v>14.7</v>
      </c>
      <c r="E14" s="336">
        <f t="shared" ref="E14:E20" si="1">$C$8+E31</f>
        <v>194</v>
      </c>
      <c r="F14" s="337">
        <f t="shared" ref="F14:F20" si="2">$C$9+F31</f>
        <v>8.33</v>
      </c>
      <c r="G14" s="345">
        <f t="shared" ref="G14:G20" si="3">baseTemp+H31</f>
        <v>14.7</v>
      </c>
      <c r="H14" s="336">
        <f>$D$8+I31</f>
        <v>200</v>
      </c>
      <c r="I14" s="337">
        <f>$D$9+J31</f>
        <v>8.39</v>
      </c>
      <c r="J14" s="345">
        <f t="shared" ref="J14:J20" si="4">baseTemp+L31</f>
        <v>14.7</v>
      </c>
      <c r="K14" s="336">
        <f>$E$8+M31</f>
        <v>195</v>
      </c>
      <c r="L14" s="337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35">
        <f t="shared" si="0"/>
        <v>14.799999999999999</v>
      </c>
      <c r="E15" s="336">
        <f t="shared" si="1"/>
        <v>195</v>
      </c>
      <c r="F15" s="337">
        <f t="shared" si="2"/>
        <v>8.32</v>
      </c>
      <c r="G15" s="345">
        <f t="shared" si="3"/>
        <v>14.7</v>
      </c>
      <c r="H15" s="336">
        <f t="shared" ref="H15:H20" si="6">$D$8+I32</f>
        <v>194</v>
      </c>
      <c r="I15" s="337">
        <f t="shared" ref="I15:I20" si="7">$D$9+J32</f>
        <v>8.2100000000000009</v>
      </c>
      <c r="J15" s="345">
        <f t="shared" si="4"/>
        <v>14.7</v>
      </c>
      <c r="K15" s="336">
        <f t="shared" ref="K15:K20" si="8">$E$8+M32</f>
        <v>192</v>
      </c>
      <c r="L15" s="337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35">
        <f t="shared" si="0"/>
        <v>14.7</v>
      </c>
      <c r="E16" s="336">
        <f t="shared" si="1"/>
        <v>199</v>
      </c>
      <c r="F16" s="337">
        <f t="shared" si="2"/>
        <v>8.51</v>
      </c>
      <c r="G16" s="345">
        <f t="shared" si="3"/>
        <v>14.6</v>
      </c>
      <c r="H16" s="336">
        <f t="shared" si="6"/>
        <v>200</v>
      </c>
      <c r="I16" s="337">
        <f t="shared" si="7"/>
        <v>8.2000000000000011</v>
      </c>
      <c r="J16" s="345">
        <f t="shared" si="4"/>
        <v>14.799999999999999</v>
      </c>
      <c r="K16" s="336">
        <f t="shared" si="8"/>
        <v>193</v>
      </c>
      <c r="L16" s="337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35">
        <f t="shared" si="0"/>
        <v>14.7</v>
      </c>
      <c r="E17" s="336">
        <f t="shared" si="1"/>
        <v>199</v>
      </c>
      <c r="F17" s="337">
        <f t="shared" si="2"/>
        <v>8.51</v>
      </c>
      <c r="G17" s="345">
        <f t="shared" si="3"/>
        <v>14.6</v>
      </c>
      <c r="H17" s="336">
        <f t="shared" si="6"/>
        <v>196</v>
      </c>
      <c r="I17" s="337">
        <f t="shared" si="7"/>
        <v>8.2000000000000011</v>
      </c>
      <c r="J17" s="345">
        <f t="shared" si="4"/>
        <v>14.799999999999999</v>
      </c>
      <c r="K17" s="336">
        <f t="shared" si="8"/>
        <v>196</v>
      </c>
      <c r="L17" s="337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35">
        <f t="shared" si="0"/>
        <v>14.799999999999999</v>
      </c>
      <c r="E18" s="336">
        <f t="shared" si="1"/>
        <v>198</v>
      </c>
      <c r="F18" s="337">
        <f t="shared" si="2"/>
        <v>8.51</v>
      </c>
      <c r="G18" s="345">
        <f t="shared" si="3"/>
        <v>14.6</v>
      </c>
      <c r="H18" s="336">
        <f t="shared" si="6"/>
        <v>198</v>
      </c>
      <c r="I18" s="337">
        <f t="shared" si="7"/>
        <v>8.2000000000000011</v>
      </c>
      <c r="J18" s="345">
        <f t="shared" si="4"/>
        <v>14.6</v>
      </c>
      <c r="K18" s="336">
        <f t="shared" si="8"/>
        <v>196</v>
      </c>
      <c r="L18" s="337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35">
        <f t="shared" si="0"/>
        <v>14.7</v>
      </c>
      <c r="E19" s="336">
        <f t="shared" si="1"/>
        <v>196</v>
      </c>
      <c r="F19" s="337">
        <f t="shared" si="2"/>
        <v>8.2800000000000011</v>
      </c>
      <c r="G19" s="345">
        <f t="shared" si="3"/>
        <v>14.6</v>
      </c>
      <c r="H19" s="336">
        <f t="shared" si="6"/>
        <v>196</v>
      </c>
      <c r="I19" s="337">
        <f t="shared" si="7"/>
        <v>8.42</v>
      </c>
      <c r="J19" s="345">
        <f t="shared" si="4"/>
        <v>14.799999999999999</v>
      </c>
      <c r="K19" s="336">
        <f t="shared" si="8"/>
        <v>191</v>
      </c>
      <c r="L19" s="337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35">
        <f t="shared" si="0"/>
        <v>14.799999999999999</v>
      </c>
      <c r="E20" s="336">
        <f t="shared" si="1"/>
        <v>198</v>
      </c>
      <c r="F20" s="337">
        <f t="shared" si="2"/>
        <v>8.4700000000000006</v>
      </c>
      <c r="G20" s="345">
        <f t="shared" si="3"/>
        <v>14.6</v>
      </c>
      <c r="H20" s="336">
        <f t="shared" si="6"/>
        <v>195</v>
      </c>
      <c r="I20" s="337">
        <f t="shared" si="7"/>
        <v>8.23</v>
      </c>
      <c r="J20" s="345">
        <f t="shared" si="4"/>
        <v>14.6</v>
      </c>
      <c r="K20" s="336">
        <f t="shared" si="8"/>
        <v>191</v>
      </c>
      <c r="L20" s="337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35">
        <f>$D$20</f>
        <v>14.799999999999999</v>
      </c>
      <c r="E21" s="336">
        <f>$E$20</f>
        <v>198</v>
      </c>
      <c r="F21" s="337">
        <f>$F$20</f>
        <v>8.4700000000000006</v>
      </c>
      <c r="G21" s="345">
        <f>$G$20</f>
        <v>14.6</v>
      </c>
      <c r="H21" s="336">
        <f>$H$20</f>
        <v>195</v>
      </c>
      <c r="I21" s="337">
        <f>$I$20</f>
        <v>8.23</v>
      </c>
      <c r="J21" s="345">
        <f>$J$20</f>
        <v>14.6</v>
      </c>
      <c r="K21" s="336">
        <f>$K$20</f>
        <v>191</v>
      </c>
      <c r="L21" s="337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35">
        <f t="shared" ref="D22:D23" si="10">$D$20</f>
        <v>14.799999999999999</v>
      </c>
      <c r="E22" s="336">
        <f t="shared" ref="E22:E23" si="11">$E$20</f>
        <v>198</v>
      </c>
      <c r="F22" s="337">
        <f t="shared" ref="F22:F23" si="12">$F$20</f>
        <v>8.4700000000000006</v>
      </c>
      <c r="G22" s="345">
        <f t="shared" ref="G22:G23" si="13">$G$20</f>
        <v>14.6</v>
      </c>
      <c r="H22" s="336">
        <f t="shared" ref="H22:H23" si="14">$H$20</f>
        <v>195</v>
      </c>
      <c r="I22" s="337">
        <f t="shared" ref="I22:I23" si="15">$I$20</f>
        <v>8.23</v>
      </c>
      <c r="J22" s="345">
        <f t="shared" ref="J22:J23" si="16">$J$20</f>
        <v>14.6</v>
      </c>
      <c r="K22" s="336">
        <f t="shared" ref="K22:K23" si="17">$K$20</f>
        <v>191</v>
      </c>
      <c r="L22" s="337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35">
        <f t="shared" si="10"/>
        <v>14.799999999999999</v>
      </c>
      <c r="E23" s="336">
        <f t="shared" si="11"/>
        <v>198</v>
      </c>
      <c r="F23" s="337">
        <f t="shared" si="12"/>
        <v>8.4700000000000006</v>
      </c>
      <c r="G23" s="345">
        <f t="shared" si="13"/>
        <v>14.6</v>
      </c>
      <c r="H23" s="336">
        <f t="shared" si="14"/>
        <v>195</v>
      </c>
      <c r="I23" s="337">
        <f t="shared" si="15"/>
        <v>8.23</v>
      </c>
      <c r="J23" s="345">
        <f t="shared" si="16"/>
        <v>14.6</v>
      </c>
      <c r="K23" s="336">
        <f t="shared" si="17"/>
        <v>191</v>
      </c>
      <c r="L23" s="337">
        <f t="shared" si="18"/>
        <v>8.33</v>
      </c>
    </row>
    <row r="24" spans="2:14" s="38" customFormat="1" ht="27" customHeight="1">
      <c r="B24" s="544" t="s">
        <v>36</v>
      </c>
      <c r="C24" s="545"/>
      <c r="D24" s="338">
        <f>MAX(D14:D23)</f>
        <v>14.799999999999999</v>
      </c>
      <c r="E24" s="339">
        <f t="shared" ref="E24:F24" si="19">MAX(E14:E23)</f>
        <v>199</v>
      </c>
      <c r="F24" s="340">
        <f t="shared" si="19"/>
        <v>8.51</v>
      </c>
      <c r="G24" s="338">
        <f>MAX(G14:G23)</f>
        <v>14.7</v>
      </c>
      <c r="H24" s="339">
        <f t="shared" ref="H24:I24" si="20">MAX(H14:H23)</f>
        <v>200</v>
      </c>
      <c r="I24" s="340">
        <f t="shared" si="20"/>
        <v>8.42</v>
      </c>
      <c r="J24" s="338">
        <f>MAX(J14:J23)</f>
        <v>14.799999999999999</v>
      </c>
      <c r="K24" s="339">
        <f t="shared" ref="K24:L24" si="21">MAX(K14:K23)</f>
        <v>196</v>
      </c>
      <c r="L24" s="340">
        <f t="shared" si="21"/>
        <v>8.52</v>
      </c>
    </row>
    <row r="25" spans="2:14" s="38" customFormat="1" ht="27" customHeight="1">
      <c r="B25" s="544" t="s">
        <v>37</v>
      </c>
      <c r="C25" s="545"/>
      <c r="D25" s="338">
        <f>MIN(D14:D23)</f>
        <v>14.7</v>
      </c>
      <c r="E25" s="339">
        <f t="shared" ref="E25:F25" si="22">MIN(E14:E23)</f>
        <v>194</v>
      </c>
      <c r="F25" s="340">
        <f t="shared" si="22"/>
        <v>8.2800000000000011</v>
      </c>
      <c r="G25" s="338">
        <f>MIN(G14:G23)</f>
        <v>14.6</v>
      </c>
      <c r="H25" s="339">
        <f t="shared" ref="H25:I25" si="23">MIN(H14:H23)</f>
        <v>194</v>
      </c>
      <c r="I25" s="340">
        <f t="shared" si="23"/>
        <v>8.2000000000000011</v>
      </c>
      <c r="J25" s="338">
        <f>MIN(J14:J23)</f>
        <v>14.6</v>
      </c>
      <c r="K25" s="339">
        <f t="shared" ref="K25:L25" si="24">MIN(K14:K23)</f>
        <v>191</v>
      </c>
      <c r="L25" s="340">
        <f t="shared" si="24"/>
        <v>8.2800000000000011</v>
      </c>
    </row>
    <row r="26" spans="2:14" s="38" customFormat="1" ht="27" customHeight="1" thickBot="1">
      <c r="B26" s="538" t="s">
        <v>93</v>
      </c>
      <c r="C26" s="539"/>
      <c r="D26" s="342">
        <f>D24-D25</f>
        <v>9.9999999999999645E-2</v>
      </c>
      <c r="E26" s="343">
        <f t="shared" ref="E26:F26" si="25">E24-E25</f>
        <v>5</v>
      </c>
      <c r="F26" s="344">
        <f t="shared" si="25"/>
        <v>0.22999999999999865</v>
      </c>
      <c r="G26" s="342">
        <f>G24-G25</f>
        <v>9.9999999999999645E-2</v>
      </c>
      <c r="H26" s="343">
        <f t="shared" ref="H26:I26" si="26">H24-H25</f>
        <v>6</v>
      </c>
      <c r="I26" s="344">
        <f t="shared" si="26"/>
        <v>0.21999999999999886</v>
      </c>
      <c r="J26" s="342">
        <f>J24-J25</f>
        <v>0.19999999999999929</v>
      </c>
      <c r="K26" s="343">
        <f t="shared" ref="K26:L26" si="27">K24-K25</f>
        <v>5</v>
      </c>
      <c r="L26" s="344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40" t="s">
        <v>88</v>
      </c>
      <c r="E29" s="543"/>
      <c r="F29" s="541"/>
      <c r="H29" s="540" t="s">
        <v>161</v>
      </c>
      <c r="I29" s="543"/>
      <c r="J29" s="541"/>
      <c r="L29" s="540" t="s">
        <v>162</v>
      </c>
      <c r="M29" s="543"/>
      <c r="N29" s="541"/>
    </row>
    <row r="30" spans="2:14" s="38" customFormat="1" ht="18" customHeight="1">
      <c r="D30" s="128" t="s">
        <v>166</v>
      </c>
      <c r="E30" s="130" t="s">
        <v>167</v>
      </c>
      <c r="F30" s="129" t="s">
        <v>92</v>
      </c>
      <c r="H30" s="128" t="s">
        <v>166</v>
      </c>
      <c r="I30" s="130" t="s">
        <v>167</v>
      </c>
      <c r="J30" s="129" t="s">
        <v>92</v>
      </c>
      <c r="L30" s="128" t="s">
        <v>166</v>
      </c>
      <c r="M30" s="130" t="s">
        <v>167</v>
      </c>
      <c r="N30" s="129" t="s">
        <v>92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13</vt:i4>
      </vt:variant>
    </vt:vector>
  </HeadingPairs>
  <TitlesOfParts>
    <vt:vector size="26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2023-03-15T12:26:23Z</dcterms:modified>
</cp:coreProperties>
</file>