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8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14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5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A7155894-4901-493A-B77C-EF2BDA104F7F}" xr6:coauthVersionLast="47" xr6:coauthVersionMax="47" xr10:uidLastSave="{00000000-0000-0000-0000-000000000000}"/>
  <bookViews>
    <workbookView xWindow="7275" yWindow="1260" windowWidth="28770" windowHeight="18750" tabRatio="598" activeTab="5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Well" sheetId="52" r:id="rId6"/>
    <sheet name="Aggregate1" sheetId="148" state="hidden" r:id="rId7"/>
    <sheet name="Aggregate2" sheetId="157" state="hidden" r:id="rId8"/>
    <sheet name="aggWhpa" sheetId="172" state="hidden" r:id="rId9"/>
    <sheet name="AggSum" sheetId="175" state="hidden" r:id="rId10"/>
    <sheet name="1" sheetId="55" r:id="rId11"/>
    <sheet name="2" sheetId="185" r:id="rId12"/>
    <sheet name="3" sheetId="186" r:id="rId13"/>
    <sheet name="Q1" sheetId="100" r:id="rId14"/>
    <sheet name="Q2" sheetId="117" r:id="rId15"/>
    <sheet name="Q3" sheetId="115" r:id="rId16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3">'Q1'!$C$7</definedName>
    <definedName name="baseTemp" localSheetId="14">'Q2'!$C$7</definedName>
    <definedName name="baseTemp" localSheetId="15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8" i="52" l="1"/>
  <c r="E21" i="186"/>
  <c r="F21" i="186"/>
  <c r="E22" i="186" s="1"/>
  <c r="E17" i="186"/>
  <c r="C19" i="186"/>
  <c r="C18" i="186"/>
  <c r="C17" i="186"/>
  <c r="C16" i="186"/>
  <c r="C15" i="186"/>
  <c r="C8" i="186"/>
  <c r="C7" i="186"/>
  <c r="C12" i="186" s="1"/>
  <c r="A13" i="186" s="1"/>
  <c r="A12" i="186" s="1"/>
  <c r="C6" i="186"/>
  <c r="C5" i="186"/>
  <c r="C4" i="186"/>
  <c r="C3" i="186"/>
  <c r="C2" i="186"/>
  <c r="E21" i="185"/>
  <c r="F21" i="185"/>
  <c r="E17" i="185"/>
  <c r="C19" i="185"/>
  <c r="C18" i="185"/>
  <c r="C17" i="185"/>
  <c r="C16" i="185"/>
  <c r="C15" i="185"/>
  <c r="C8" i="185"/>
  <c r="C7" i="185"/>
  <c r="C6" i="185"/>
  <c r="C5" i="185"/>
  <c r="C4" i="185"/>
  <c r="C3" i="185"/>
  <c r="C2" i="185"/>
  <c r="F21" i="55"/>
  <c r="I8" i="175" s="1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186"/>
  <c r="I31" i="186"/>
  <c r="H31" i="186"/>
  <c r="G31" i="186"/>
  <c r="F31" i="186"/>
  <c r="E31" i="186"/>
  <c r="D31" i="186"/>
  <c r="J30" i="186"/>
  <c r="I30" i="186"/>
  <c r="H30" i="186"/>
  <c r="G30" i="186"/>
  <c r="F30" i="186"/>
  <c r="E30" i="186"/>
  <c r="D30" i="186"/>
  <c r="K30" i="186" s="1"/>
  <c r="D26" i="186"/>
  <c r="C22" i="186"/>
  <c r="K16" i="186"/>
  <c r="K17" i="186" s="1"/>
  <c r="K18" i="186" s="1"/>
  <c r="L18" i="186" s="1"/>
  <c r="H26" i="186" s="1"/>
  <c r="E13" i="186"/>
  <c r="L12" i="186"/>
  <c r="G11" i="186"/>
  <c r="F11" i="186"/>
  <c r="E11" i="186"/>
  <c r="C9" i="186"/>
  <c r="G7" i="186"/>
  <c r="E7" i="186"/>
  <c r="J31" i="185"/>
  <c r="I31" i="185"/>
  <c r="H31" i="185"/>
  <c r="G31" i="185"/>
  <c r="F31" i="185"/>
  <c r="E31" i="185"/>
  <c r="D31" i="185"/>
  <c r="J30" i="185"/>
  <c r="I30" i="185"/>
  <c r="H30" i="185"/>
  <c r="G30" i="185"/>
  <c r="F30" i="185"/>
  <c r="E30" i="185"/>
  <c r="D30" i="185"/>
  <c r="D26" i="185"/>
  <c r="C22" i="185"/>
  <c r="K16" i="185"/>
  <c r="K17" i="185" s="1"/>
  <c r="K18" i="185" s="1"/>
  <c r="L18" i="185" s="1"/>
  <c r="H26" i="185" s="1"/>
  <c r="C14" i="185"/>
  <c r="F6" i="185" s="1"/>
  <c r="E13" i="185"/>
  <c r="L12" i="185"/>
  <c r="G11" i="185"/>
  <c r="F11" i="185"/>
  <c r="E11" i="185"/>
  <c r="C9" i="185"/>
  <c r="G7" i="185"/>
  <c r="E7" i="185"/>
  <c r="J4" i="175"/>
  <c r="D8" i="175"/>
  <c r="D4" i="175"/>
  <c r="E13" i="55"/>
  <c r="K31" i="185" l="1"/>
  <c r="K31" i="186"/>
  <c r="K30" i="185"/>
  <c r="C12" i="185"/>
  <c r="A13" i="185" s="1"/>
  <c r="A12" i="185" s="1"/>
  <c r="C14" i="186"/>
  <c r="F5" i="186" s="1"/>
  <c r="E21" i="55"/>
  <c r="F7" i="186"/>
  <c r="F7" i="185"/>
  <c r="E22" i="185"/>
  <c r="F6" i="186"/>
  <c r="E19" i="186"/>
  <c r="J26" i="185"/>
  <c r="F5" i="185"/>
  <c r="E19" i="185"/>
  <c r="K8" i="175"/>
  <c r="I4" i="175"/>
  <c r="D14" i="117"/>
  <c r="D20" i="117"/>
  <c r="D23" i="117"/>
  <c r="D22" i="117"/>
  <c r="D21" i="117"/>
  <c r="D19" i="117"/>
  <c r="D18" i="117"/>
  <c r="D17" i="117"/>
  <c r="D16" i="117"/>
  <c r="D15" i="117"/>
  <c r="G11" i="55"/>
  <c r="D35" i="54"/>
  <c r="E35" i="54"/>
  <c r="F35" i="54"/>
  <c r="G35" i="54"/>
  <c r="H35" i="54"/>
  <c r="I35" i="54"/>
  <c r="J35" i="54"/>
  <c r="K35" i="54"/>
  <c r="L35" i="54"/>
  <c r="M35" i="54"/>
  <c r="N35" i="54"/>
  <c r="C35" i="54"/>
  <c r="J26" i="186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F13" i="186"/>
  <c r="F13" i="185"/>
  <c r="G13" i="185"/>
  <c r="G13" i="55"/>
  <c r="G13" i="186"/>
  <c r="K30" i="55"/>
  <c r="G8" i="175" l="1"/>
  <c r="G4" i="175"/>
  <c r="F11" i="55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4" i="115" s="1"/>
  <c r="H23" i="115"/>
  <c r="H25" i="115" s="1"/>
  <c r="F21" i="115"/>
  <c r="F25" i="115" s="1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F24" i="115" l="1"/>
  <c r="E24" i="115"/>
  <c r="I24" i="115"/>
  <c r="G25" i="115"/>
  <c r="G24" i="115"/>
  <c r="G26" i="115" s="1"/>
  <c r="I25" i="115"/>
  <c r="I26" i="115" s="1"/>
  <c r="L25" i="115"/>
  <c r="D25" i="115"/>
  <c r="D26" i="115" s="1"/>
  <c r="J25" i="115"/>
  <c r="J24" i="115"/>
  <c r="L26" i="115"/>
  <c r="E26" i="115"/>
  <c r="H26" i="115"/>
  <c r="K26" i="115"/>
  <c r="F26" i="115"/>
  <c r="J26" i="115" l="1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K16" i="55" l="1"/>
  <c r="K17" i="55" s="1"/>
  <c r="K18" i="55" s="1"/>
  <c r="L18" i="55" s="1"/>
  <c r="L12" i="55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G14" i="186" l="1"/>
  <c r="E4" i="175"/>
  <c r="F17" i="185"/>
  <c r="G17" i="185" s="1"/>
  <c r="G14" i="185"/>
  <c r="E8" i="175"/>
  <c r="F17" i="55"/>
  <c r="G17" i="55" s="1"/>
  <c r="F17" i="186"/>
  <c r="G17" i="186" s="1"/>
  <c r="F19" i="185"/>
  <c r="G19" i="185" s="1"/>
  <c r="F19" i="186"/>
  <c r="G19" i="186" s="1"/>
  <c r="F19" i="55"/>
  <c r="E30" i="23"/>
  <c r="G14" i="55"/>
  <c r="D30" i="23"/>
  <c r="C30" i="23"/>
  <c r="H19" i="186" l="1"/>
  <c r="G21" i="186"/>
  <c r="G21" i="185"/>
  <c r="H19" i="185"/>
  <c r="F4" i="175"/>
  <c r="F8" i="175"/>
  <c r="G19" i="55"/>
  <c r="E26" i="185"/>
  <c r="E26" i="186"/>
  <c r="E26" i="55"/>
  <c r="C24" i="23"/>
  <c r="H8" i="175" l="1"/>
  <c r="H4" i="175"/>
  <c r="H19" i="55"/>
  <c r="J8" i="175" s="1"/>
  <c r="G21" i="55"/>
  <c r="K4" i="175" s="1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2023/3/17
보고서, 서두부분, 집계 추가
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O4" authorId="0" shapeId="0" xr:uid="{B40EB0DD-91D7-4114-BFE9-F78D5F8638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; 19 - 16.59
AA; 40 - 156.18
Total - 59; 172.77
</t>
        </r>
      </text>
    </comment>
    <comment ref="O5" authorId="0" shapeId="0" xr:uid="{A6081EB6-D335-460C-BF13-24BFB9408A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; 19 - 16.59
AA; 40 - 156.18
Total - 59; 172.77
</t>
        </r>
      </text>
    </comment>
    <comment ref="O6" authorId="0" shapeId="0" xr:uid="{C765B3A0-4AC6-407D-871F-841D70243B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; 19 - 16.59
AA; 40 - 156.18
Total - 59; 172.77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3705513A-2775-41AE-A548-03A8251060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7D201765-74B7-4BC5-83D3-AEA89451FBC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6AA067EC-8828-4D11-9348-1F5FB05C1C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E25C3863-7D91-4D26-806D-96C28F67BC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73FB6620-0B60-41A0-A0D3-EC12DF968DB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FCADE1A6-AAFF-4BA1-A8FC-2A3BE43ABC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0D250702-E287-447F-BA03-6DA720D454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4FE16391-2526-4DBA-9B93-C69B4277A75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A445022-6F09-442D-B015-2C4947689A5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F95594A-CC96-46F1-B5F8-8D14135EDF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8221619D-C9B5-4A4F-95C1-C4C597126B6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99BB4F3-CDFB-467D-A0B5-D4D0BA3A95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D81F767-B8B9-468E-ADF2-EAF7B374D53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6027138E-AB03-4777-9CDD-D41344D6E8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4213B663-ADB1-40CD-BD0D-00E5CFE119C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010C7CDC-7DD0-46F0-A458-2A97DFF9E37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D47EC4B2-5738-4D3D-AB80-6F01A89745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6780EEED-D2D7-4F8D-BC99-F2BAC8DE834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F0FA48FB-AA81-4DFC-8466-BA8B98A90F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F53D0FE3-9840-440B-930E-7EDFCC296A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84015D37-A9E3-42A1-B551-088BD431699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64A2167A-028E-4F63-B1F3-59209274AA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A5635203-B613-4437-8B54-BB9DB2CF32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BEDCF166-786E-4CD4-8B71-5B605BA4FE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21960F94-B4EF-488B-B7A0-31EA64A7E0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22824C8E-7F1F-48FA-9ABB-8A448886C5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E800B7C7-65E7-44BB-985A-7F40FCF5F97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D38D9F3B-14E9-4477-8721-530C7BF1024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7C7F1E2-8947-435E-8A12-94660886CD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5162F67B-EEBB-4730-AD7D-04188A5BAC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701575A4-73A6-452E-9335-120C290FDF3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5459182E-4382-4C4F-9675-831EE69891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E3724EC1-06D5-4859-9A66-3DE2966561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9462B1E7-AEF2-4FD8-A961-FCF34DD9CB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BAB9DAEB-5086-48DF-BDD7-4C1C65C3102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6C327AC-AD56-46EE-803B-0678A0959D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C6DA04D7-392A-4ED0-AED0-48AF0CC149C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44B57ED0-7C5B-46C1-982F-593F334699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BCDBDF97-CCB7-4CC7-A435-EA4B38B8DD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<sst xmlns="http://schemas.openxmlformats.org/spreadsheetml/2006/main" count="660" uniqueCount="319">
  <si>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</si>
  <si>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</si>
  <si>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</si>
  <si>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</si>
  <si>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</si>
  <si>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</si>
  <si>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</si>
  <si>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</si>
  <si>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</si>
  <si>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</si>
  <si>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</si>
  <si>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</si>
  <si>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</si>
  <si>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</si>
  <si>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</si>
  <si>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</si>
  <si>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</si>
  <si>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</si>
  <si>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</si>
  <si>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</si>
  <si>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</si>
  <si>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</si>
  <si>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</si>
  <si>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</si>
  <si>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</si>
  <si>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</si>
  <si>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</si>
  <si>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</si>
  <si>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</si>
  <si>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</si>
  <si>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</si>
  <si>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</si>
  <si>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</si>
  <si>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</si>
  <si>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</si>
  <si>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</si>
  <si>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</si>
  <si>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</si>
  <si>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</si>
  <si>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</si>
  <si>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</si>
  <si>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</si>
  <si>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</si>
  <si>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</si>
  <si>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</si>
  <si>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</si>
  <si>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</si>
  <si>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</si>
  <si>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</si>
  <si>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</si>
  <si>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</si>
  <si>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</si>
  <si>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</si>
  <si>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</si>
  <si>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</si>
  <si>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</si>
  <si>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</si>
  <si>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</si>
  <si>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</si>
  <si>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</si>
  <si>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</si>
  <si>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</si>
  <si>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</si>
  <si>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</si>
  <si>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</si>
  <si>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</si>
  <si>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</si>
  <si>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</si>
  <si>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</si>
  <si>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</si>
  <si>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</si>
  <si>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</si>
  <si>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</si>
  <si>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</si>
  <si>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</si>
  <si>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</si>
  <si>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</si>
  <si>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</si>
  <si>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</si>
  <si>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</si>
  <si>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</si>
  <si>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</si>
  <si>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</si>
  <si>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</si>
  <si>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</si>
  <si>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</si>
  <si>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</si>
  <si>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</si>
  <si>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</si>
  <si>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</si>
  <si>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</si>
  <si>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</si>
  <si>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</si>
  <si>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</si>
  <si>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수질 1번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</si>
  <si>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</si>
  <si>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</si>
  <si>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</si>
  <si>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</si>
  <si>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</si>
  <si>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</si>
  <si>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</si>
  <si>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</si>
  <si>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</si>
  <si>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</si>
  <si>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</si>
  <si>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</si>
  <si>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</si>
  <si>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</si>
  <si>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</si>
  <si>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</si>
  <si>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</si>
  <si>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</si>
  <si>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</si>
  <si>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</si>
  <si>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</si>
  <si>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</si>
  <si>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</si>
  <si>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</si>
  <si>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</si>
  <si>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</si>
  <si>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</si>
  <si>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</si>
  <si>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</si>
  <si>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</si>
  <si>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</si>
  <si>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</si>
  <si>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</si>
  <si>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</si>
  <si>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</si>
  <si>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</si>
  <si>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</si>
  <si>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</si>
  <si>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</si>
  <si>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</si>
  <si>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</si>
  <si>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</si>
  <si>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</si>
  <si>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</si>
  <si>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</si>
  <si>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</si>
  <si>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</si>
  <si>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</si>
  <si>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</si>
  <si>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</si>
  <si>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</si>
  <si>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</si>
  <si>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</si>
  <si>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</si>
  <si>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</si>
  <si>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</si>
  <si>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</si>
  <si>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</si>
  <si>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</si>
  <si>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</si>
  <si>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</si>
  <si>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</si>
  <si>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</si>
  <si>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</si>
  <si>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</si>
  <si>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</si>
  <si>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</si>
  <si>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</si>
  <si>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</si>
  <si>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</si>
  <si>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</si>
  <si>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</si>
  <si>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</si>
  <si>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조사지역의 월평균 강수량 (2009-2018)</t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</si>
  <si>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</si>
  <si>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</si>
  <si>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</si>
  <si>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</si>
  <si>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</si>
  <si>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</si>
  <si>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</si>
  <si>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</si>
  <si>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</si>
  <si>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</si>
  <si>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</si>
  <si>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</si>
  <si>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</si>
  <si>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</si>
  <si>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</si>
  <si>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</si>
  <si>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</si>
  <si>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</si>
  <si>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</si>
  <si>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</si>
  <si>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</si>
  <si>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</si>
  <si>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</si>
  <si>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</si>
  <si>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</si>
  <si>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</si>
  <si>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</si>
  <si>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</si>
  <si>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</si>
  <si>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</si>
  <si>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</si>
  <si>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</si>
  <si>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</si>
  <si>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</si>
  <si>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</si>
  <si>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</si>
  <si>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</si>
  <si>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</si>
  <si>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</si>
  <si>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</si>
  <si>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</si>
  <si>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</si>
  <si>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</si>
  <si>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</si>
  <si>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</si>
  <si>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</si>
  <si>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</si>
  <si>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</si>
  <si>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</si>
  <si>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</si>
  <si>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</si>
  <si>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</si>
  <si>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</si>
  <si>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</si>
  <si>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</si>
  <si>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</si>
  <si>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</si>
  <si>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</si>
  <si>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</si>
  <si>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</si>
  <si>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</si>
  <si>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</si>
  <si>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</si>
  <si>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보령기상청 30년 데이터</t>
    <phoneticPr fontId="7" type="noConversion"/>
  </si>
  <si>
    <t>산수개발</t>
  </si>
  <si>
    <t>보령</t>
  </si>
  <si>
    <t>Silty Loam</t>
  </si>
  <si>
    <t>W-1</t>
  </si>
  <si>
    <t>W-2</t>
  </si>
  <si>
    <t>W-3</t>
  </si>
  <si>
    <t>낮 음</t>
  </si>
  <si>
    <t>비교적낮음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</si>
  <si>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</si>
  <si>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</si>
  <si>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</si>
  <si>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</si>
  <si>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3-3, 장기양수시험결과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</si>
  <si>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</si>
  <si>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</si>
  <si>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</si>
  <si>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</si>
  <si>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</si>
  <si>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</si>
  <si>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</si>
  <si>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</si>
  <si>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</si>
  <si>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</si>
  <si>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</si>
  <si>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</si>
  <si>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</si>
  <si>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</si>
  <si>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</si>
  <si>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</si>
  <si>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</si>
  <si>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</si>
  <si>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</si>
  <si>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</si>
  <si>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</si>
  <si>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</si>
  <si>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W1</t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</si>
  <si>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</si>
  <si>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</si>
  <si>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</si>
  <si>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</si>
  <si>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</si>
  <si>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</si>
  <si>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</si>
  <si>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</si>
  <si>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A2_ge_OriginalSaveFile.xlsm</t>
  </si>
  <si>
    <t>W2</t>
  </si>
  <si>
    <t>W3</t>
  </si>
  <si>
    <t>충남 보령시 천북면 하만리 산 143-5</t>
  </si>
  <si>
    <t>부남방조제</t>
  </si>
  <si>
    <t>2023년 학성농장, 농업용관정개발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</si>
  <si>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</si>
  <si>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</si>
  <si>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</si>
  <si>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</si>
  <si>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</si>
  <si>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</si>
  <si>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</si>
  <si>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</si>
  <si>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</si>
  <si>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함양량
(㎥/일)</t>
  </si>
  <si>
    <t>30년평균
강우량(mm)</t>
  </si>
  <si>
    <t>유역면적(㎡)</t>
  </si>
  <si>
    <t>면적(㎡)</t>
  </si>
  <si>
    <t>함양량대비
개발가능량(%)</t>
  </si>
  <si>
    <t>개발가능량
(㎥/일)</t>
  </si>
  <si>
    <t>기이용량
(㎥/일)</t>
  </si>
  <si>
    <t>취수계획량
(㎥/일)</t>
  </si>
  <si>
    <t>잔량
(㎥/일)</t>
  </si>
  <si>
    <t>양수량</t>
  </si>
  <si>
    <t>자연수위</t>
  </si>
  <si>
    <t>안정수위</t>
  </si>
  <si>
    <t>투수량계수</t>
  </si>
  <si>
    <t>저류계수</t>
  </si>
  <si>
    <t>공  번</t>
  </si>
  <si>
    <t>심  도</t>
  </si>
  <si>
    <t>양수영향반경</t>
  </si>
  <si>
    <t>장축부</t>
  </si>
  <si>
    <t>구분</t>
  </si>
  <si>
    <t>굴착심도</t>
  </si>
  <si>
    <t>2.6 대수층 특성 및 적정채수량 분석</t>
  </si>
  <si>
    <t>신규
개발가능량
(㎥/일)</t>
  </si>
  <si>
    <t>2023/3/17일</t>
  </si>
  <si>
    <t>공   번</t>
  </si>
  <si>
    <t>5년</t>
  </si>
  <si>
    <t>A3_ge_OriginalSaveFile.xlsm</t>
  </si>
  <si>
    <t>펌프마력(HP)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</si>
</sst>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_);[Red]\(0.0\)"/>
    <numFmt numFmtId="200" formatCode="0.0%"/>
    <numFmt numFmtId="201" formatCode="#,##0.0"/>
    <numFmt numFmtId="202" formatCode="#,##0.0;\-#,##0.0"/>
  </numFmts>
  <fonts count="48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</fonts>
  <fills count="3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E0E1C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1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medium">
        <color indexed="64"/>
      </left>
      <right style="thin">
        <color theme="6"/>
      </right>
      <top style="medium">
        <color indexed="64"/>
      </top>
      <bottom style="medium">
        <color theme="6"/>
      </bottom>
      <diagonal/>
    </border>
    <border>
      <left style="thin">
        <color theme="6"/>
      </left>
      <right style="thin">
        <color theme="6"/>
      </right>
      <top style="medium">
        <color indexed="64"/>
      </top>
      <bottom style="medium">
        <color theme="6"/>
      </bottom>
      <diagonal/>
    </border>
    <border>
      <left style="thin">
        <color theme="6"/>
      </left>
      <right style="medium">
        <color indexed="64"/>
      </right>
      <top style="medium">
        <color indexed="64"/>
      </top>
      <bottom style="medium">
        <color theme="6"/>
      </bottom>
      <diagonal/>
    </border>
    <border>
      <left style="medium">
        <color indexed="64"/>
      </left>
      <right style="thin">
        <color theme="6"/>
      </right>
      <top style="thin">
        <color theme="6"/>
      </top>
      <bottom style="medium">
        <color theme="6"/>
      </bottom>
      <diagonal/>
    </border>
    <border>
      <left style="thin">
        <color theme="6"/>
      </left>
      <right style="medium">
        <color indexed="64"/>
      </right>
      <top style="thin">
        <color theme="6"/>
      </top>
      <bottom style="thin">
        <color theme="6"/>
      </bottom>
      <diagonal/>
    </border>
    <border>
      <left style="medium">
        <color indexed="64"/>
      </left>
      <right style="thin">
        <color theme="6"/>
      </right>
      <top style="thin">
        <color theme="6"/>
      </top>
      <bottom style="medium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medium">
        <color indexed="64"/>
      </bottom>
      <diagonal/>
    </border>
    <border>
      <left style="thin">
        <color theme="6"/>
      </left>
      <right style="medium">
        <color indexed="64"/>
      </right>
      <top style="thin">
        <color theme="6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6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536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7" fillId="7" borderId="33" xfId="18" applyFont="1" applyFill="1" applyBorder="1" applyAlignment="1">
      <alignment horizontal="center" vertical="center" wrapText="1"/>
    </xf>
    <xf numFmtId="0" fontId="17" fillId="7" borderId="35" xfId="18" applyFont="1" applyFill="1" applyBorder="1" applyAlignment="1">
      <alignment horizontal="center" vertical="center" wrapText="1"/>
    </xf>
    <xf numFmtId="0" fontId="16" fillId="8" borderId="36" xfId="18" applyFont="1" applyFill="1" applyBorder="1" applyAlignment="1">
      <alignment horizontal="center" vertical="center" wrapText="1"/>
    </xf>
    <xf numFmtId="185" fontId="15" fillId="0" borderId="0" xfId="19" applyNumberFormat="1" applyFont="1" applyFill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9" borderId="10" xfId="18" applyFont="1" applyFill="1" applyBorder="1" applyAlignment="1">
      <alignment horizontal="center" vertical="center"/>
    </xf>
    <xf numFmtId="0" fontId="15" fillId="10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0" fontId="17" fillId="0" borderId="38" xfId="18" applyFont="1" applyBorder="1" applyAlignment="1">
      <alignment horizontal="center" vertical="center" wrapText="1"/>
    </xf>
    <xf numFmtId="0" fontId="16" fillId="3" borderId="12" xfId="18" applyFont="1" applyFill="1" applyBorder="1" applyAlignment="1">
      <alignment horizontal="center" vertical="center" wrapText="1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17" fillId="7" borderId="34" xfId="18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16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10" borderId="1" xfId="0" applyFont="1" applyFill="1" applyBorder="1"/>
    <xf numFmtId="0" fontId="25" fillId="10" borderId="0" xfId="0" applyFont="1" applyFill="1"/>
    <xf numFmtId="0" fontId="25" fillId="10" borderId="43" xfId="0" applyFont="1" applyFill="1" applyBorder="1"/>
    <xf numFmtId="0" fontId="25" fillId="10" borderId="0" xfId="0" applyFont="1" applyFill="1" applyAlignment="1">
      <alignment horizontal="center" vertical="center"/>
    </xf>
    <xf numFmtId="0" fontId="25" fillId="10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10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10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10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10" borderId="44" xfId="0" applyFont="1" applyFill="1" applyBorder="1" applyAlignment="1">
      <alignment horizontal="center"/>
    </xf>
    <xf numFmtId="0" fontId="28" fillId="10" borderId="15" xfId="0" applyFont="1" applyFill="1" applyBorder="1" applyAlignment="1">
      <alignment horizontal="center"/>
    </xf>
    <xf numFmtId="0" fontId="28" fillId="10" borderId="6" xfId="0" applyFont="1" applyFill="1" applyBorder="1"/>
    <xf numFmtId="0" fontId="28" fillId="0" borderId="44" xfId="0" applyFont="1" applyBorder="1"/>
    <xf numFmtId="0" fontId="28" fillId="10" borderId="44" xfId="0" applyFont="1" applyFill="1" applyBorder="1"/>
    <xf numFmtId="0" fontId="28" fillId="10" borderId="15" xfId="0" applyFont="1" applyFill="1" applyBorder="1"/>
    <xf numFmtId="0" fontId="26" fillId="0" borderId="0" xfId="0" applyFont="1" applyAlignment="1">
      <alignment horizontal="center" vertical="center"/>
    </xf>
    <xf numFmtId="0" fontId="3" fillId="13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187" fontId="21" fillId="3" borderId="38" xfId="18" applyNumberFormat="1" applyFont="1" applyFill="1" applyBorder="1">
      <alignment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5" borderId="54" xfId="24" applyFont="1" applyFill="1" applyBorder="1" applyAlignment="1">
      <alignment horizontal="center" vertical="center"/>
    </xf>
    <xf numFmtId="0" fontId="18" fillId="15" borderId="55" xfId="24" applyFont="1" applyFill="1" applyBorder="1" applyAlignment="1">
      <alignment horizontal="center" vertical="center"/>
    </xf>
    <xf numFmtId="0" fontId="18" fillId="15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5" borderId="49" xfId="24" applyFont="1" applyFill="1" applyBorder="1" applyAlignment="1">
      <alignment horizontal="center" vertical="center"/>
    </xf>
    <xf numFmtId="0" fontId="18" fillId="15" borderId="19" xfId="24" applyFont="1" applyFill="1" applyBorder="1" applyAlignment="1">
      <alignment horizontal="center" vertical="center"/>
    </xf>
    <xf numFmtId="0" fontId="18" fillId="15" borderId="50" xfId="24" applyFont="1" applyFill="1" applyBorder="1" applyAlignment="1">
      <alignment horizontal="center" vertical="center"/>
    </xf>
    <xf numFmtId="0" fontId="18" fillId="15" borderId="21" xfId="24" applyFont="1" applyFill="1" applyBorder="1" applyAlignment="1">
      <alignment horizontal="center" vertical="center"/>
    </xf>
    <xf numFmtId="0" fontId="18" fillId="15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6" borderId="54" xfId="16" applyFont="1" applyFill="1" applyBorder="1" applyAlignment="1">
      <alignment horizontal="center" vertical="center"/>
    </xf>
    <xf numFmtId="0" fontId="18" fillId="16" borderId="55" xfId="16" applyFont="1" applyFill="1" applyBorder="1" applyAlignment="1">
      <alignment horizontal="center" vertical="center"/>
    </xf>
    <xf numFmtId="0" fontId="18" fillId="16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5" fillId="16" borderId="61" xfId="24" applyFont="1" applyFill="1" applyBorder="1" applyAlignment="1">
      <alignment horizontal="center" vertical="center"/>
    </xf>
    <xf numFmtId="0" fontId="18" fillId="16" borderId="59" xfId="24" applyFont="1" applyFill="1" applyBorder="1" applyAlignment="1">
      <alignment horizontal="center" vertical="center"/>
    </xf>
    <xf numFmtId="0" fontId="18" fillId="16" borderId="55" xfId="24" applyFont="1" applyFill="1" applyBorder="1" applyAlignment="1">
      <alignment horizontal="center" vertical="center"/>
    </xf>
    <xf numFmtId="0" fontId="18" fillId="16" borderId="56" xfId="24" applyFont="1" applyFill="1" applyBorder="1" applyAlignment="1">
      <alignment horizontal="center" vertical="center"/>
    </xf>
    <xf numFmtId="0" fontId="18" fillId="16" borderId="62" xfId="24" applyFont="1" applyFill="1" applyBorder="1" applyAlignment="1">
      <alignment horizontal="center" vertical="center"/>
    </xf>
    <xf numFmtId="0" fontId="18" fillId="0" borderId="20" xfId="24" applyFont="1" applyBorder="1" applyAlignment="1">
      <alignment horizontal="center" vertical="center"/>
    </xf>
    <xf numFmtId="0" fontId="18" fillId="0" borderId="60" xfId="24" applyFont="1" applyBorder="1" applyAlignment="1">
      <alignment horizontal="center" vertical="center"/>
    </xf>
    <xf numFmtId="0" fontId="18" fillId="0" borderId="52" xfId="24" applyFont="1" applyBorder="1" applyAlignment="1">
      <alignment horizontal="center" vertical="center"/>
    </xf>
    <xf numFmtId="0" fontId="18" fillId="0" borderId="53" xfId="24" applyFont="1" applyBorder="1" applyAlignment="1">
      <alignment horizontal="center" vertical="center"/>
    </xf>
    <xf numFmtId="0" fontId="18" fillId="16" borderId="61" xfId="24" applyFont="1" applyFill="1" applyBorder="1" applyAlignment="1">
      <alignment horizontal="center" vertical="center"/>
    </xf>
    <xf numFmtId="0" fontId="18" fillId="0" borderId="59" xfId="24" applyFont="1" applyBorder="1" applyAlignment="1">
      <alignment horizontal="center" vertical="center"/>
    </xf>
    <xf numFmtId="0" fontId="18" fillId="0" borderId="55" xfId="24" applyFont="1" applyBorder="1" applyAlignment="1">
      <alignment horizontal="center" vertical="center"/>
    </xf>
    <xf numFmtId="0" fontId="18" fillId="0" borderId="56" xfId="24" applyFont="1" applyBorder="1" applyAlignment="1">
      <alignment horizontal="center" vertical="center"/>
    </xf>
    <xf numFmtId="0" fontId="18" fillId="16" borderId="63" xfId="24" applyFont="1" applyFill="1" applyBorder="1" applyAlignment="1">
      <alignment horizontal="center" vertical="center"/>
    </xf>
    <xf numFmtId="0" fontId="18" fillId="0" borderId="23" xfId="24" applyFont="1" applyBorder="1" applyAlignment="1">
      <alignment horizontal="center" vertical="center"/>
    </xf>
    <xf numFmtId="0" fontId="18" fillId="0" borderId="21" xfId="24" applyFont="1" applyBorder="1" applyAlignment="1">
      <alignment horizontal="center" vertical="center"/>
    </xf>
    <xf numFmtId="0" fontId="18" fillId="12" borderId="21" xfId="22" applyFont="1" applyBorder="1" applyAlignment="1">
      <alignment horizontal="center" vertical="center"/>
    </xf>
    <xf numFmtId="0" fontId="18" fillId="16" borderId="18" xfId="24" applyFont="1" applyFill="1" applyBorder="1" applyAlignment="1">
      <alignment horizontal="center" vertical="center"/>
    </xf>
    <xf numFmtId="185" fontId="18" fillId="0" borderId="64" xfId="24" applyNumberFormat="1" applyFont="1" applyBorder="1" applyAlignment="1">
      <alignment horizontal="center" vertical="center"/>
    </xf>
    <xf numFmtId="185" fontId="18" fillId="0" borderId="65" xfId="24" applyNumberFormat="1" applyFont="1" applyBorder="1" applyAlignment="1">
      <alignment horizontal="center" vertical="center"/>
    </xf>
    <xf numFmtId="0" fontId="18" fillId="0" borderId="65" xfId="24" applyFont="1" applyBorder="1" applyAlignment="1">
      <alignment horizontal="center" vertical="center"/>
    </xf>
    <xf numFmtId="0" fontId="18" fillId="0" borderId="66" xfId="24" applyFont="1" applyBorder="1" applyAlignment="1">
      <alignment horizontal="center" vertical="center"/>
    </xf>
    <xf numFmtId="0" fontId="18" fillId="14" borderId="64" xfId="23" applyFont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4" borderId="0" xfId="0" applyNumberFormat="1" applyFont="1" applyFill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184" fontId="25" fillId="4" borderId="0" xfId="0" applyNumberFormat="1" applyFont="1" applyFill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19" xfId="0" applyFont="1" applyFill="1" applyBorder="1" applyAlignment="1">
      <alignment horizontal="center" vertical="center"/>
    </xf>
    <xf numFmtId="191" fontId="25" fillId="0" borderId="67" xfId="0" applyNumberFormat="1" applyFont="1" applyBorder="1" applyAlignment="1">
      <alignment horizontal="center" vertical="center"/>
    </xf>
    <xf numFmtId="192" fontId="25" fillId="0" borderId="68" xfId="0" applyNumberFormat="1" applyFont="1" applyBorder="1" applyAlignment="1">
      <alignment horizontal="center" vertical="center"/>
    </xf>
    <xf numFmtId="191" fontId="25" fillId="0" borderId="49" xfId="0" applyNumberFormat="1" applyFont="1" applyBorder="1" applyAlignment="1">
      <alignment horizontal="center" vertical="center"/>
    </xf>
    <xf numFmtId="192" fontId="25" fillId="0" borderId="50" xfId="0" applyNumberFormat="1" applyFont="1" applyBorder="1" applyAlignment="1">
      <alignment horizontal="center" vertical="center"/>
    </xf>
    <xf numFmtId="191" fontId="25" fillId="0" borderId="51" xfId="0" applyNumberFormat="1" applyFont="1" applyBorder="1" applyAlignment="1">
      <alignment horizontal="center" vertical="center"/>
    </xf>
    <xf numFmtId="0" fontId="25" fillId="0" borderId="53" xfId="0" applyFont="1" applyBorder="1" applyAlignment="1">
      <alignment horizontal="center" vertical="center"/>
    </xf>
    <xf numFmtId="0" fontId="25" fillId="16" borderId="21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25" fillId="16" borderId="20" xfId="0" applyFont="1" applyFill="1" applyBorder="1" applyAlignment="1">
      <alignment horizontal="center" vertical="center"/>
    </xf>
    <xf numFmtId="0" fontId="25" fillId="16" borderId="23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197" fontId="25" fillId="0" borderId="67" xfId="0" applyNumberFormat="1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38" fontId="25" fillId="0" borderId="69" xfId="0" applyNumberFormat="1" applyFont="1" applyBorder="1" applyAlignment="1">
      <alignment horizontal="center" vertical="center"/>
    </xf>
    <xf numFmtId="197" fontId="25" fillId="0" borderId="49" xfId="0" applyNumberFormat="1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38" fontId="25" fillId="0" borderId="19" xfId="0" applyNumberFormat="1" applyFont="1" applyBorder="1" applyAlignment="1">
      <alignment horizontal="center" vertical="center"/>
    </xf>
    <xf numFmtId="188" fontId="25" fillId="0" borderId="20" xfId="0" applyNumberFormat="1" applyFont="1" applyBorder="1" applyAlignment="1">
      <alignment horizontal="center"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10" borderId="10" xfId="18" applyFont="1" applyFill="1" applyBorder="1" applyAlignment="1">
      <alignment horizontal="center" vertical="center"/>
    </xf>
    <xf numFmtId="0" fontId="19" fillId="9" borderId="10" xfId="18" applyFont="1" applyFill="1" applyBorder="1" applyAlignment="1">
      <alignment horizontal="center" vertical="center"/>
    </xf>
    <xf numFmtId="0" fontId="19" fillId="7" borderId="35" xfId="18" applyFont="1" applyFill="1" applyBorder="1" applyAlignment="1">
      <alignment horizontal="center" vertical="center" wrapText="1"/>
    </xf>
    <xf numFmtId="0" fontId="30" fillId="0" borderId="20" xfId="24" applyFont="1" applyBorder="1" applyAlignment="1">
      <alignment horizontal="center" vertical="center"/>
    </xf>
    <xf numFmtId="0" fontId="18" fillId="3" borderId="0" xfId="16" applyFont="1" applyFill="1">
      <alignment vertical="center"/>
    </xf>
    <xf numFmtId="0" fontId="18" fillId="3" borderId="19" xfId="24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7" borderId="54" xfId="16" applyFont="1" applyFill="1" applyBorder="1" applyAlignment="1">
      <alignment horizontal="center" vertical="center"/>
    </xf>
    <xf numFmtId="0" fontId="18" fillId="17" borderId="56" xfId="16" applyFont="1" applyFill="1" applyBorder="1" applyAlignment="1">
      <alignment horizontal="center" vertical="center"/>
    </xf>
    <xf numFmtId="0" fontId="18" fillId="3" borderId="49" xfId="24" applyFont="1" applyFill="1" applyBorder="1" applyAlignment="1">
      <alignment horizontal="center" vertical="center"/>
    </xf>
    <xf numFmtId="0" fontId="18" fillId="3" borderId="50" xfId="24" applyFont="1" applyFill="1" applyBorder="1" applyAlignment="1">
      <alignment horizontal="center" vertical="center"/>
    </xf>
    <xf numFmtId="0" fontId="18" fillId="15" borderId="57" xfId="24" applyFont="1" applyFill="1" applyBorder="1" applyAlignment="1">
      <alignment horizontal="center" vertical="center"/>
    </xf>
    <xf numFmtId="0" fontId="30" fillId="0" borderId="58" xfId="24" applyFont="1" applyBorder="1" applyAlignment="1">
      <alignment horizontal="center" vertical="center"/>
    </xf>
    <xf numFmtId="0" fontId="30" fillId="12" borderId="20" xfId="22" applyFont="1" applyBorder="1" applyAlignment="1">
      <alignment horizontal="center" vertical="center"/>
    </xf>
    <xf numFmtId="0" fontId="30" fillId="0" borderId="59" xfId="24" applyFont="1" applyBorder="1" applyAlignment="1">
      <alignment horizontal="center" vertical="center"/>
    </xf>
    <xf numFmtId="0" fontId="36" fillId="18" borderId="0" xfId="18" applyFont="1" applyFill="1" applyAlignment="1">
      <alignment horizontal="center" vertical="center"/>
    </xf>
    <xf numFmtId="0" fontId="30" fillId="0" borderId="23" xfId="24" applyFont="1" applyBorder="1" applyAlignment="1">
      <alignment horizontal="center" vertical="center"/>
    </xf>
    <xf numFmtId="0" fontId="21" fillId="3" borderId="11" xfId="18" applyFont="1" applyFill="1" applyBorder="1">
      <alignment vertical="center"/>
    </xf>
    <xf numFmtId="0" fontId="30" fillId="16" borderId="62" xfId="24" applyFont="1" applyFill="1" applyBorder="1" applyAlignment="1">
      <alignment horizontal="center" vertical="center"/>
    </xf>
    <xf numFmtId="0" fontId="19" fillId="5" borderId="10" xfId="18" applyFont="1" applyFill="1" applyBorder="1" applyAlignment="1">
      <alignment horizontal="center" vertical="center"/>
    </xf>
    <xf numFmtId="185" fontId="21" fillId="5" borderId="26" xfId="18" applyNumberFormat="1" applyFont="1" applyFill="1" applyBorder="1">
      <alignment vertical="center"/>
    </xf>
    <xf numFmtId="0" fontId="39" fillId="8" borderId="37" xfId="18" applyFont="1" applyFill="1" applyBorder="1" applyAlignment="1">
      <alignment horizontal="center" vertical="center" wrapText="1"/>
    </xf>
    <xf numFmtId="0" fontId="39" fillId="8" borderId="34" xfId="18" applyFont="1" applyFill="1" applyBorder="1" applyAlignment="1">
      <alignment horizontal="center" vertical="center" wrapText="1"/>
    </xf>
    <xf numFmtId="0" fontId="39" fillId="8" borderId="35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25" fillId="0" borderId="49" xfId="16" applyFont="1" applyBorder="1" applyAlignment="1">
      <alignment horizontal="center" vertical="center"/>
    </xf>
    <xf numFmtId="194" fontId="25" fillId="0" borderId="50" xfId="16" applyNumberFormat="1" applyFont="1" applyBorder="1" applyAlignment="1">
      <alignment horizontal="center" vertical="center"/>
    </xf>
    <xf numFmtId="0" fontId="25" fillId="0" borderId="57" xfId="16" applyFont="1" applyBorder="1" applyAlignment="1">
      <alignment horizontal="center" vertical="center"/>
    </xf>
    <xf numFmtId="0" fontId="25" fillId="0" borderId="58" xfId="16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0" fontId="28" fillId="0" borderId="55" xfId="0" applyFont="1" applyBorder="1" applyAlignment="1">
      <alignment horizontal="center" vertical="center" wrapText="1"/>
    </xf>
    <xf numFmtId="0" fontId="29" fillId="0" borderId="55" xfId="0" applyFont="1" applyBorder="1" applyAlignment="1">
      <alignment horizontal="center" vertical="center" wrapText="1"/>
    </xf>
    <xf numFmtId="0" fontId="28" fillId="0" borderId="56" xfId="0" applyFont="1" applyBorder="1" applyAlignment="1">
      <alignment horizontal="center" vertical="center" wrapText="1"/>
    </xf>
    <xf numFmtId="0" fontId="28" fillId="0" borderId="19" xfId="0" applyFont="1" applyBorder="1" applyAlignment="1">
      <alignment horizontal="center" vertical="center"/>
    </xf>
    <xf numFmtId="0" fontId="30" fillId="10" borderId="19" xfId="0" applyFont="1" applyFill="1" applyBorder="1" applyAlignment="1">
      <alignment horizontal="center" vertical="center"/>
    </xf>
    <xf numFmtId="188" fontId="30" fillId="10" borderId="19" xfId="0" applyNumberFormat="1" applyFont="1" applyFill="1" applyBorder="1" applyAlignment="1">
      <alignment horizontal="center" vertical="center"/>
    </xf>
    <xf numFmtId="0" fontId="19" fillId="10" borderId="19" xfId="0" applyFont="1" applyFill="1" applyBorder="1" applyAlignment="1">
      <alignment horizontal="center" vertical="center" wrapText="1"/>
    </xf>
    <xf numFmtId="196" fontId="30" fillId="10" borderId="19" xfId="0" applyNumberFormat="1" applyFont="1" applyFill="1" applyBorder="1" applyAlignment="1">
      <alignment horizontal="center" vertical="center"/>
    </xf>
    <xf numFmtId="0" fontId="36" fillId="20" borderId="50" xfId="0" applyFont="1" applyFill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0" fontId="18" fillId="16" borderId="19" xfId="0" applyFont="1" applyFill="1" applyBorder="1" applyAlignment="1">
      <alignment horizontal="center" vertical="center"/>
    </xf>
    <xf numFmtId="0" fontId="31" fillId="16" borderId="50" xfId="0" applyFont="1" applyFill="1" applyBorder="1" applyAlignment="1">
      <alignment horizontal="center" vertical="center"/>
    </xf>
    <xf numFmtId="0" fontId="28" fillId="16" borderId="21" xfId="0" applyFont="1" applyFill="1" applyBorder="1" applyAlignment="1">
      <alignment horizontal="center" vertical="center"/>
    </xf>
    <xf numFmtId="0" fontId="18" fillId="16" borderId="21" xfId="0" applyFont="1" applyFill="1" applyBorder="1" applyAlignment="1">
      <alignment horizontal="center" vertical="center"/>
    </xf>
    <xf numFmtId="0" fontId="31" fillId="16" borderId="58" xfId="0" applyFont="1" applyFill="1" applyBorder="1" applyAlignment="1">
      <alignment horizontal="center" vertical="center"/>
    </xf>
    <xf numFmtId="0" fontId="30" fillId="0" borderId="33" xfId="16" applyFont="1" applyBorder="1" applyAlignment="1">
      <alignment horizontal="center" vertical="center"/>
    </xf>
    <xf numFmtId="0" fontId="18" fillId="0" borderId="10" xfId="16" applyFont="1" applyBorder="1">
      <alignment vertical="center"/>
    </xf>
    <xf numFmtId="0" fontId="30" fillId="0" borderId="73" xfId="16" applyFont="1" applyBorder="1" applyAlignment="1">
      <alignment horizontal="center" vertical="center"/>
    </xf>
    <xf numFmtId="0" fontId="18" fillId="0" borderId="74" xfId="16" applyFont="1" applyBorder="1">
      <alignment vertical="center"/>
    </xf>
    <xf numFmtId="0" fontId="18" fillId="0" borderId="73" xfId="16" applyFont="1" applyBorder="1" applyAlignment="1">
      <alignment horizontal="center" vertical="center"/>
    </xf>
    <xf numFmtId="0" fontId="28" fillId="8" borderId="19" xfId="0" applyFont="1" applyFill="1" applyBorder="1" applyAlignment="1">
      <alignment horizontal="center" vertical="center"/>
    </xf>
    <xf numFmtId="0" fontId="25" fillId="8" borderId="19" xfId="0" applyFont="1" applyFill="1" applyBorder="1" applyAlignment="1">
      <alignment horizontal="center" vertical="center"/>
    </xf>
    <xf numFmtId="0" fontId="18" fillId="8" borderId="50" xfId="0" applyFont="1" applyFill="1" applyBorder="1" applyAlignment="1">
      <alignment horizontal="center" vertical="center"/>
    </xf>
    <xf numFmtId="0" fontId="18" fillId="8" borderId="19" xfId="0" applyFont="1" applyFill="1" applyBorder="1" applyAlignment="1">
      <alignment horizontal="center" vertical="center"/>
    </xf>
    <xf numFmtId="0" fontId="30" fillId="0" borderId="0" xfId="16" applyFont="1" applyAlignment="1">
      <alignment horizontal="right" vertical="center"/>
    </xf>
    <xf numFmtId="200" fontId="18" fillId="0" borderId="74" xfId="16" applyNumberFormat="1" applyFont="1" applyBorder="1">
      <alignment vertical="center"/>
    </xf>
    <xf numFmtId="0" fontId="18" fillId="0" borderId="9" xfId="16" applyFont="1" applyBorder="1">
      <alignment vertical="center"/>
    </xf>
    <xf numFmtId="0" fontId="18" fillId="0" borderId="4" xfId="16" applyFont="1" applyBorder="1">
      <alignment vertical="center"/>
    </xf>
    <xf numFmtId="187" fontId="18" fillId="13" borderId="4" xfId="16" applyNumberFormat="1" applyFont="1" applyFill="1" applyBorder="1">
      <alignment vertical="center"/>
    </xf>
    <xf numFmtId="10" fontId="30" fillId="22" borderId="25" xfId="25" applyNumberFormat="1" applyFont="1" applyFill="1" applyBorder="1">
      <alignment vertical="center"/>
    </xf>
    <xf numFmtId="10" fontId="30" fillId="22" borderId="25" xfId="16" applyNumberFormat="1" applyFont="1" applyFill="1" applyBorder="1">
      <alignment vertical="center"/>
    </xf>
    <xf numFmtId="10" fontId="30" fillId="22" borderId="26" xfId="16" applyNumberFormat="1" applyFont="1" applyFill="1" applyBorder="1">
      <alignment vertical="center"/>
    </xf>
    <xf numFmtId="10" fontId="30" fillId="21" borderId="74" xfId="16" applyNumberFormat="1" applyFont="1" applyFill="1" applyBorder="1">
      <alignment vertical="center"/>
    </xf>
    <xf numFmtId="10" fontId="30" fillId="21" borderId="4" xfId="16" applyNumberFormat="1" applyFont="1" applyFill="1" applyBorder="1">
      <alignment vertical="center"/>
    </xf>
    <xf numFmtId="10" fontId="30" fillId="21" borderId="4" xfId="25" applyNumberFormat="1" applyFont="1" applyFill="1" applyBorder="1">
      <alignment vertical="center"/>
    </xf>
    <xf numFmtId="0" fontId="30" fillId="0" borderId="24" xfId="16" applyFont="1" applyBorder="1" applyAlignment="1">
      <alignment horizontal="center" vertical="center"/>
    </xf>
    <xf numFmtId="0" fontId="18" fillId="0" borderId="8" xfId="16" applyFont="1" applyBorder="1" applyAlignment="1">
      <alignment horizontal="center" vertical="center"/>
    </xf>
    <xf numFmtId="0" fontId="28" fillId="10" borderId="50" xfId="16" applyFont="1" applyFill="1" applyBorder="1" applyAlignment="1">
      <alignment horizontal="center" vertical="center"/>
    </xf>
    <xf numFmtId="185" fontId="18" fillId="13" borderId="4" xfId="16" applyNumberFormat="1" applyFont="1" applyFill="1" applyBorder="1">
      <alignment vertical="center"/>
    </xf>
    <xf numFmtId="184" fontId="18" fillId="13" borderId="9" xfId="16" applyNumberFormat="1" applyFont="1" applyFill="1" applyBorder="1">
      <alignment vertical="center"/>
    </xf>
    <xf numFmtId="188" fontId="30" fillId="0" borderId="75" xfId="16" applyNumberFormat="1" applyFont="1" applyBorder="1" applyAlignment="1">
      <alignment horizontal="center" vertical="center"/>
    </xf>
    <xf numFmtId="188" fontId="30" fillId="0" borderId="76" xfId="16" applyNumberFormat="1" applyFont="1" applyBorder="1" applyAlignment="1">
      <alignment horizontal="center" vertical="center"/>
    </xf>
    <xf numFmtId="0" fontId="18" fillId="0" borderId="71" xfId="16" applyFont="1" applyBorder="1">
      <alignment vertical="center"/>
    </xf>
    <xf numFmtId="0" fontId="18" fillId="0" borderId="78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14" xfId="16" applyFont="1" applyBorder="1" applyAlignment="1">
      <alignment horizontal="center" vertical="center"/>
    </xf>
    <xf numFmtId="184" fontId="18" fillId="0" borderId="16" xfId="16" applyNumberFormat="1" applyFont="1" applyBorder="1">
      <alignment vertical="center"/>
    </xf>
    <xf numFmtId="0" fontId="18" fillId="0" borderId="77" xfId="16" applyFont="1" applyBorder="1" applyAlignment="1">
      <alignment horizontal="center" vertical="center"/>
    </xf>
    <xf numFmtId="184" fontId="30" fillId="0" borderId="79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0" fontId="30" fillId="0" borderId="0" xfId="16" applyFont="1" applyAlignment="1">
      <alignment horizont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10" borderId="26" xfId="18" applyNumberFormat="1" applyFont="1" applyFill="1" applyBorder="1">
      <alignment vertical="center"/>
    </xf>
    <xf numFmtId="185" fontId="37" fillId="9" borderId="26" xfId="18" applyNumberFormat="1" applyFont="1" applyFill="1" applyBorder="1">
      <alignment vertical="center"/>
    </xf>
    <xf numFmtId="188" fontId="21" fillId="3" borderId="5" xfId="18" applyNumberFormat="1" applyFont="1" applyFill="1" applyBorder="1">
      <alignment vertical="center"/>
    </xf>
    <xf numFmtId="185" fontId="21" fillId="9" borderId="26" xfId="18" applyNumberFormat="1" applyFont="1" applyFill="1" applyBorder="1">
      <alignment vertical="center"/>
    </xf>
    <xf numFmtId="185" fontId="21" fillId="10" borderId="26" xfId="18" applyNumberFormat="1" applyFont="1" applyFill="1" applyBorder="1">
      <alignment vertical="center"/>
    </xf>
    <xf numFmtId="0" fontId="28" fillId="13" borderId="8" xfId="0" applyFont="1" applyFill="1" applyBorder="1" applyAlignment="1">
      <alignment horizontal="center" vertical="center"/>
    </xf>
    <xf numFmtId="199" fontId="25" fillId="13" borderId="19" xfId="17" applyNumberFormat="1" applyFont="1" applyFill="1" applyBorder="1">
      <alignment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198" fontId="25" fillId="13" borderId="46" xfId="0" applyNumberFormat="1" applyFont="1" applyFill="1" applyBorder="1" applyAlignment="1">
      <alignment horizontal="center" vertical="center"/>
    </xf>
    <xf numFmtId="199" fontId="25" fillId="13" borderId="47" xfId="17" applyNumberFormat="1" applyFont="1" applyFill="1" applyBorder="1">
      <alignment vertical="center"/>
    </xf>
    <xf numFmtId="199" fontId="25" fillId="13" borderId="48" xfId="17" applyNumberFormat="1" applyFont="1" applyFill="1" applyBorder="1">
      <alignment vertical="center"/>
    </xf>
    <xf numFmtId="189" fontId="25" fillId="13" borderId="48" xfId="0" applyNumberFormat="1" applyFont="1" applyFill="1" applyBorder="1" applyAlignment="1">
      <alignment vertical="center"/>
    </xf>
    <xf numFmtId="198" fontId="25" fillId="13" borderId="49" xfId="0" applyNumberFormat="1" applyFont="1" applyFill="1" applyBorder="1" applyAlignment="1">
      <alignment horizontal="center" vertical="center"/>
    </xf>
    <xf numFmtId="199" fontId="25" fillId="13" borderId="50" xfId="17" applyNumberFormat="1" applyFont="1" applyFill="1" applyBorder="1">
      <alignment vertical="center"/>
    </xf>
    <xf numFmtId="189" fontId="25" fillId="13" borderId="50" xfId="0" applyNumberFormat="1" applyFont="1" applyFill="1" applyBorder="1" applyAlignment="1">
      <alignment vertical="center"/>
    </xf>
    <xf numFmtId="198" fontId="25" fillId="13" borderId="51" xfId="0" applyNumberFormat="1" applyFont="1" applyFill="1" applyBorder="1" applyAlignment="1">
      <alignment horizontal="center" vertical="center"/>
    </xf>
    <xf numFmtId="199" fontId="25" fillId="13" borderId="52" xfId="17" applyNumberFormat="1" applyFont="1" applyFill="1" applyBorder="1">
      <alignment vertical="center"/>
    </xf>
    <xf numFmtId="199" fontId="25" fillId="13" borderId="53" xfId="17" applyNumberFormat="1" applyFont="1" applyFill="1" applyBorder="1">
      <alignment vertical="center"/>
    </xf>
    <xf numFmtId="189" fontId="25" fillId="13" borderId="53" xfId="0" applyNumberFormat="1" applyFont="1" applyFill="1" applyBorder="1" applyAlignment="1">
      <alignment vertical="center"/>
    </xf>
    <xf numFmtId="0" fontId="25" fillId="13" borderId="54" xfId="0" applyFont="1" applyFill="1" applyBorder="1" applyAlignment="1">
      <alignment horizontal="center" vertical="center"/>
    </xf>
    <xf numFmtId="199" fontId="25" fillId="13" borderId="55" xfId="0" applyNumberFormat="1" applyFont="1" applyFill="1" applyBorder="1" applyAlignment="1">
      <alignment vertical="center"/>
    </xf>
    <xf numFmtId="199" fontId="25" fillId="13" borderId="56" xfId="0" applyNumberFormat="1" applyFont="1" applyFill="1" applyBorder="1" applyAlignment="1">
      <alignment vertical="center"/>
    </xf>
    <xf numFmtId="0" fontId="25" fillId="13" borderId="49" xfId="0" applyFont="1" applyFill="1" applyBorder="1" applyAlignment="1">
      <alignment horizontal="center" vertical="center"/>
    </xf>
    <xf numFmtId="199" fontId="25" fillId="13" borderId="19" xfId="0" applyNumberFormat="1" applyFont="1" applyFill="1" applyBorder="1" applyAlignment="1">
      <alignment vertical="center"/>
    </xf>
    <xf numFmtId="199" fontId="25" fillId="13" borderId="50" xfId="0" applyNumberFormat="1" applyFont="1" applyFill="1" applyBorder="1" applyAlignment="1">
      <alignment vertical="center"/>
    </xf>
    <xf numFmtId="189" fontId="25" fillId="13" borderId="50" xfId="17" applyNumberFormat="1" applyFont="1" applyFill="1" applyBorder="1">
      <alignment vertical="center"/>
    </xf>
    <xf numFmtId="0" fontId="25" fillId="13" borderId="57" xfId="0" applyFont="1" applyFill="1" applyBorder="1" applyAlignment="1">
      <alignment horizontal="center" vertical="center"/>
    </xf>
    <xf numFmtId="199" fontId="25" fillId="13" borderId="21" xfId="0" applyNumberFormat="1" applyFont="1" applyFill="1" applyBorder="1" applyAlignment="1">
      <alignment vertical="center"/>
    </xf>
    <xf numFmtId="199" fontId="25" fillId="13" borderId="58" xfId="0" applyNumberFormat="1" applyFont="1" applyFill="1" applyBorder="1" applyAlignment="1">
      <alignment vertical="center"/>
    </xf>
    <xf numFmtId="189" fontId="25" fillId="13" borderId="58" xfId="17" applyNumberFormat="1" applyFont="1" applyFill="1" applyBorder="1">
      <alignment vertical="center"/>
    </xf>
    <xf numFmtId="199" fontId="25" fillId="13" borderId="19" xfId="17" applyNumberFormat="1" applyFont="1" applyFill="1" applyBorder="1" applyAlignment="1">
      <alignment horizontal="right" vertical="center"/>
    </xf>
    <xf numFmtId="189" fontId="28" fillId="13" borderId="54" xfId="17" applyNumberFormat="1" applyFont="1" applyFill="1" applyBorder="1" applyAlignment="1">
      <alignment horizontal="center" vertical="center"/>
    </xf>
    <xf numFmtId="189" fontId="28" fillId="13" borderId="55" xfId="17" applyNumberFormat="1" applyFont="1" applyFill="1" applyBorder="1" applyAlignment="1">
      <alignment horizontal="center" vertical="center"/>
    </xf>
    <xf numFmtId="189" fontId="28" fillId="13" borderId="56" xfId="17" applyNumberFormat="1" applyFont="1" applyFill="1" applyBorder="1" applyAlignment="1">
      <alignment horizontal="center" vertical="center"/>
    </xf>
    <xf numFmtId="189" fontId="28" fillId="13" borderId="59" xfId="17" applyNumberFormat="1" applyFont="1" applyFill="1" applyBorder="1" applyAlignment="1">
      <alignment horizontal="center" vertical="center"/>
    </xf>
    <xf numFmtId="198" fontId="25" fillId="13" borderId="49" xfId="17" applyNumberFormat="1" applyFont="1" applyFill="1" applyBorder="1" applyAlignment="1">
      <alignment horizontal="center" vertical="center"/>
    </xf>
    <xf numFmtId="199" fontId="25" fillId="13" borderId="50" xfId="17" applyNumberFormat="1" applyFont="1" applyFill="1" applyBorder="1" applyAlignment="1">
      <alignment horizontal="right" vertical="center"/>
    </xf>
    <xf numFmtId="189" fontId="25" fillId="13" borderId="20" xfId="17" applyNumberFormat="1" applyFont="1" applyFill="1" applyBorder="1">
      <alignment vertical="center"/>
    </xf>
    <xf numFmtId="198" fontId="25" fillId="13" borderId="57" xfId="17" applyNumberFormat="1" applyFont="1" applyFill="1" applyBorder="1" applyAlignment="1">
      <alignment horizontal="center" vertical="center"/>
    </xf>
    <xf numFmtId="199" fontId="25" fillId="13" borderId="21" xfId="17" applyNumberFormat="1" applyFont="1" applyFill="1" applyBorder="1" applyAlignment="1">
      <alignment horizontal="right" vertical="center"/>
    </xf>
    <xf numFmtId="199" fontId="25" fillId="13" borderId="58" xfId="17" applyNumberFormat="1" applyFont="1" applyFill="1" applyBorder="1" applyAlignment="1">
      <alignment horizontal="right" vertical="center"/>
    </xf>
    <xf numFmtId="189" fontId="25" fillId="13" borderId="23" xfId="17" applyNumberFormat="1" applyFont="1" applyFill="1" applyBorder="1">
      <alignment vertical="center"/>
    </xf>
    <xf numFmtId="189" fontId="25" fillId="13" borderId="67" xfId="17" applyNumberFormat="1" applyFont="1" applyFill="1" applyBorder="1" applyAlignment="1">
      <alignment horizontal="center" vertical="center"/>
    </xf>
    <xf numFmtId="188" fontId="25" fillId="13" borderId="69" xfId="17" applyNumberFormat="1" applyFont="1" applyFill="1" applyBorder="1">
      <alignment vertical="center"/>
    </xf>
    <xf numFmtId="188" fontId="25" fillId="13" borderId="68" xfId="17" applyNumberFormat="1" applyFont="1" applyFill="1" applyBorder="1">
      <alignment vertical="center"/>
    </xf>
    <xf numFmtId="189" fontId="25" fillId="13" borderId="22" xfId="17" applyNumberFormat="1" applyFont="1" applyFill="1" applyBorder="1">
      <alignment vertical="center"/>
    </xf>
    <xf numFmtId="189" fontId="25" fillId="13" borderId="68" xfId="17" applyNumberFormat="1" applyFont="1" applyFill="1" applyBorder="1">
      <alignment vertical="center"/>
    </xf>
    <xf numFmtId="189" fontId="25" fillId="13" borderId="49" xfId="17" applyNumberFormat="1" applyFont="1" applyFill="1" applyBorder="1" applyAlignment="1">
      <alignment horizontal="center" vertical="center"/>
    </xf>
    <xf numFmtId="188" fontId="25" fillId="13" borderId="19" xfId="17" applyNumberFormat="1" applyFont="1" applyFill="1" applyBorder="1">
      <alignment vertical="center"/>
    </xf>
    <xf numFmtId="188" fontId="25" fillId="13" borderId="50" xfId="17" applyNumberFormat="1" applyFont="1" applyFill="1" applyBorder="1">
      <alignment vertical="center"/>
    </xf>
    <xf numFmtId="189" fontId="25" fillId="13" borderId="57" xfId="17" applyNumberFormat="1" applyFont="1" applyFill="1" applyBorder="1" applyAlignment="1">
      <alignment horizontal="center" vertical="center"/>
    </xf>
    <xf numFmtId="188" fontId="25" fillId="13" borderId="21" xfId="17" applyNumberFormat="1" applyFont="1" applyFill="1" applyBorder="1">
      <alignment vertical="center"/>
    </xf>
    <xf numFmtId="188" fontId="25" fillId="13" borderId="58" xfId="17" applyNumberFormat="1" applyFont="1" applyFill="1" applyBorder="1">
      <alignment vertical="center"/>
    </xf>
    <xf numFmtId="0" fontId="41" fillId="0" borderId="0" xfId="0" applyFont="1"/>
    <xf numFmtId="0" fontId="42" fillId="25" borderId="41" xfId="18" applyFont="1" applyFill="1" applyBorder="1" applyAlignment="1">
      <alignment horizontal="center" vertical="center" wrapText="1"/>
    </xf>
    <xf numFmtId="193" fontId="42" fillId="26" borderId="40" xfId="18" applyNumberFormat="1" applyFont="1" applyFill="1" applyBorder="1" applyAlignment="1">
      <alignment horizontal="center" vertical="center" wrapText="1"/>
    </xf>
    <xf numFmtId="0" fontId="28" fillId="13" borderId="29" xfId="0" applyFont="1" applyFill="1" applyBorder="1" applyAlignment="1">
      <alignment horizontal="center" vertical="center"/>
    </xf>
    <xf numFmtId="189" fontId="25" fillId="13" borderId="98" xfId="0" applyNumberFormat="1" applyFont="1" applyFill="1" applyBorder="1" applyAlignment="1">
      <alignment vertical="center"/>
    </xf>
    <xf numFmtId="189" fontId="25" fillId="13" borderId="20" xfId="0" applyNumberFormat="1" applyFont="1" applyFill="1" applyBorder="1" applyAlignment="1">
      <alignment vertical="center"/>
    </xf>
    <xf numFmtId="189" fontId="25" fillId="13" borderId="60" xfId="0" applyNumberFormat="1" applyFont="1" applyFill="1" applyBorder="1" applyAlignment="1">
      <alignment vertical="center"/>
    </xf>
    <xf numFmtId="199" fontId="25" fillId="13" borderId="59" xfId="0" applyNumberFormat="1" applyFont="1" applyFill="1" applyBorder="1" applyAlignment="1">
      <alignment vertical="center"/>
    </xf>
    <xf numFmtId="0" fontId="25" fillId="16" borderId="99" xfId="0" applyFont="1" applyFill="1" applyBorder="1" applyAlignment="1">
      <alignment horizontal="center" vertical="center"/>
    </xf>
    <xf numFmtId="0" fontId="25" fillId="16" borderId="100" xfId="0" applyFont="1" applyFill="1" applyBorder="1" applyAlignment="1">
      <alignment horizontal="center" vertical="center"/>
    </xf>
    <xf numFmtId="0" fontId="25" fillId="16" borderId="101" xfId="0" applyFont="1" applyFill="1" applyBorder="1" applyAlignment="1">
      <alignment horizontal="center" vertical="center"/>
    </xf>
    <xf numFmtId="0" fontId="25" fillId="0" borderId="83" xfId="0" applyFont="1" applyBorder="1" applyAlignment="1">
      <alignment horizontal="center" vertical="center"/>
    </xf>
    <xf numFmtId="184" fontId="25" fillId="0" borderId="84" xfId="0" applyNumberFormat="1" applyFont="1" applyBorder="1" applyAlignment="1">
      <alignment horizontal="center" vertical="center"/>
    </xf>
    <xf numFmtId="192" fontId="25" fillId="0" borderId="85" xfId="0" applyNumberFormat="1" applyFont="1" applyBorder="1" applyAlignment="1">
      <alignment horizontal="center" vertical="center"/>
    </xf>
    <xf numFmtId="0" fontId="25" fillId="16" borderId="83" xfId="0" applyFont="1" applyFill="1" applyBorder="1" applyAlignment="1">
      <alignment horizontal="center" vertical="center"/>
    </xf>
    <xf numFmtId="0" fontId="25" fillId="16" borderId="84" xfId="0" applyFont="1" applyFill="1" applyBorder="1" applyAlignment="1">
      <alignment horizontal="center" vertical="center"/>
    </xf>
    <xf numFmtId="0" fontId="25" fillId="16" borderId="85" xfId="0" applyFont="1" applyFill="1" applyBorder="1" applyAlignment="1">
      <alignment horizontal="center" vertical="center"/>
    </xf>
    <xf numFmtId="2" fontId="25" fillId="16" borderId="85" xfId="0" applyNumberFormat="1" applyFont="1" applyFill="1" applyBorder="1" applyAlignment="1">
      <alignment horizontal="center" vertical="center"/>
    </xf>
    <xf numFmtId="0" fontId="25" fillId="16" borderId="86" xfId="0" applyFont="1" applyFill="1" applyBorder="1" applyAlignment="1">
      <alignment horizontal="center" vertical="center"/>
    </xf>
    <xf numFmtId="0" fontId="25" fillId="16" borderId="87" xfId="0" applyFont="1" applyFill="1" applyBorder="1" applyAlignment="1">
      <alignment horizontal="center" vertical="center"/>
    </xf>
    <xf numFmtId="0" fontId="25" fillId="16" borderId="88" xfId="0" applyFont="1" applyFill="1" applyBorder="1" applyAlignment="1">
      <alignment horizontal="center" vertical="center"/>
    </xf>
    <xf numFmtId="186" fontId="25" fillId="0" borderId="83" xfId="0" applyNumberFormat="1" applyFont="1" applyBorder="1" applyAlignment="1">
      <alignment horizontal="center" vertical="center"/>
    </xf>
    <xf numFmtId="0" fontId="43" fillId="25" borderId="0" xfId="18" applyFont="1" applyFill="1" applyAlignment="1">
      <alignment horizontal="center" vertical="center"/>
    </xf>
    <xf numFmtId="0" fontId="30" fillId="0" borderId="21" xfId="24" applyFont="1" applyBorder="1" applyAlignment="1">
      <alignment horizontal="center"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0" fontId="15" fillId="0" borderId="17" xfId="18" applyFont="1" applyBorder="1" applyAlignment="1">
      <alignment horizontal="center" vertical="center"/>
    </xf>
    <xf numFmtId="0" fontId="28" fillId="31" borderId="35" xfId="18" applyFont="1" applyFill="1" applyBorder="1" applyAlignment="1">
      <alignment horizontal="center" vertical="center"/>
    </xf>
    <xf numFmtId="195" fontId="36" fillId="27" borderId="50" xfId="16" applyNumberFormat="1" applyFont="1" applyFill="1" applyBorder="1" applyAlignment="1">
      <alignment horizontal="center" vertical="center"/>
    </xf>
    <xf numFmtId="198" fontId="28" fillId="32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1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 vertical="center"/>
    </xf>
    <xf numFmtId="0" fontId="42" fillId="23" borderId="14" xfId="16" applyFont="1" applyFill="1" applyBorder="1" applyAlignment="1">
      <alignment horizontal="center" vertical="center"/>
    </xf>
    <xf numFmtId="0" fontId="42" fillId="23" borderId="71" xfId="16" applyFont="1" applyFill="1" applyBorder="1" applyAlignment="1">
      <alignment horizontal="center" vertical="center"/>
    </xf>
    <xf numFmtId="201" fontId="42" fillId="23" borderId="71" xfId="16" applyNumberFormat="1" applyFont="1" applyFill="1" applyBorder="1" applyAlignment="1">
      <alignment horizontal="center" vertical="center"/>
    </xf>
    <xf numFmtId="200" fontId="42" fillId="23" borderId="16" xfId="25" applyNumberFormat="1" applyFont="1" applyFill="1" applyBorder="1" applyAlignment="1">
      <alignment horizontal="center" vertical="center"/>
    </xf>
    <xf numFmtId="200" fontId="42" fillId="23" borderId="90" xfId="25" applyNumberFormat="1" applyFont="1" applyFill="1" applyBorder="1" applyAlignment="1">
      <alignment horizontal="center" vertical="center"/>
    </xf>
    <xf numFmtId="200" fontId="42" fillId="23" borderId="91" xfId="25" applyNumberFormat="1" applyFont="1" applyFill="1" applyBorder="1" applyAlignment="1">
      <alignment horizontal="center" vertical="center"/>
    </xf>
    <xf numFmtId="200" fontId="42" fillId="23" borderId="92" xfId="25" applyNumberFormat="1" applyFont="1" applyFill="1" applyBorder="1" applyAlignment="1">
      <alignment horizontal="center" vertical="center"/>
    </xf>
    <xf numFmtId="0" fontId="42" fillId="23" borderId="90" xfId="16" applyFont="1" applyFill="1" applyBorder="1" applyAlignment="1">
      <alignment horizontal="center" vertical="center"/>
    </xf>
    <xf numFmtId="200" fontId="42" fillId="23" borderId="71" xfId="25" applyNumberFormat="1" applyFont="1" applyFill="1" applyBorder="1" applyAlignment="1">
      <alignment horizontal="center" vertical="center"/>
    </xf>
    <xf numFmtId="0" fontId="25" fillId="0" borderId="77" xfId="0" applyFont="1" applyBorder="1" applyAlignment="1">
      <alignment horizontal="center" vertical="center"/>
    </xf>
    <xf numFmtId="200" fontId="25" fillId="0" borderId="79" xfId="25" applyNumberFormat="1" applyFont="1" applyBorder="1" applyAlignment="1">
      <alignment horizontal="center" vertical="center"/>
    </xf>
    <xf numFmtId="200" fontId="42" fillId="23" borderId="93" xfId="25" applyNumberFormat="1" applyFont="1" applyFill="1" applyBorder="1" applyAlignment="1">
      <alignment horizontal="center" vertical="center"/>
    </xf>
    <xf numFmtId="200" fontId="18" fillId="0" borderId="89" xfId="25" applyNumberFormat="1" applyFont="1" applyBorder="1" applyAlignment="1">
      <alignment horizontal="center" vertical="center"/>
    </xf>
    <xf numFmtId="200" fontId="18" fillId="0" borderId="94" xfId="25" applyNumberFormat="1" applyFont="1" applyBorder="1" applyAlignment="1">
      <alignment horizontal="center" vertical="center"/>
    </xf>
    <xf numFmtId="200" fontId="18" fillId="0" borderId="105" xfId="25" applyNumberFormat="1" applyFont="1" applyBorder="1" applyAlignment="1">
      <alignment horizontal="center" vertical="center"/>
    </xf>
    <xf numFmtId="0" fontId="18" fillId="0" borderId="89" xfId="25" applyNumberFormat="1" applyFont="1" applyBorder="1" applyAlignment="1">
      <alignment horizontal="center" vertical="center"/>
    </xf>
    <xf numFmtId="0" fontId="18" fillId="0" borderId="94" xfId="25" applyNumberFormat="1" applyFont="1" applyBorder="1" applyAlignment="1">
      <alignment horizontal="center" vertical="center"/>
    </xf>
    <xf numFmtId="201" fontId="18" fillId="0" borderId="89" xfId="0" applyNumberFormat="1" applyFont="1" applyBorder="1" applyAlignment="1">
      <alignment horizontal="center" vertical="center"/>
    </xf>
    <xf numFmtId="201" fontId="18" fillId="0" borderId="94" xfId="0" applyNumberFormat="1" applyFont="1" applyBorder="1" applyAlignment="1">
      <alignment horizontal="center" vertical="center"/>
    </xf>
    <xf numFmtId="200" fontId="42" fillId="23" borderId="95" xfId="25" applyNumberFormat="1" applyFont="1" applyFill="1" applyBorder="1" applyAlignment="1">
      <alignment horizontal="center" vertical="center"/>
    </xf>
    <xf numFmtId="0" fontId="18" fillId="0" borderId="96" xfId="0" applyFont="1" applyBorder="1" applyAlignment="1">
      <alignment horizontal="center" vertical="center"/>
    </xf>
    <xf numFmtId="0" fontId="18" fillId="0" borderId="97" xfId="0" applyFont="1" applyBorder="1" applyAlignment="1">
      <alignment horizontal="center" vertical="center"/>
    </xf>
    <xf numFmtId="0" fontId="25" fillId="0" borderId="79" xfId="0" applyFont="1" applyBorder="1" applyAlignment="1">
      <alignment horizontal="center" vertical="center"/>
    </xf>
    <xf numFmtId="0" fontId="25" fillId="0" borderId="78" xfId="0" applyFont="1" applyBorder="1" applyAlignment="1">
      <alignment horizontal="center" vertical="center"/>
    </xf>
    <xf numFmtId="0" fontId="25" fillId="0" borderId="72" xfId="0" applyFont="1" applyBorder="1" applyAlignment="1">
      <alignment horizontal="center" vertical="center"/>
    </xf>
    <xf numFmtId="201" fontId="25" fillId="0" borderId="72" xfId="0" applyNumberFormat="1" applyFont="1" applyBorder="1" applyAlignment="1">
      <alignment horizontal="center" vertical="center"/>
    </xf>
    <xf numFmtId="200" fontId="25" fillId="0" borderId="17" xfId="25" applyNumberFormat="1" applyFont="1" applyBorder="1" applyAlignment="1">
      <alignment horizontal="center" vertical="center"/>
    </xf>
    <xf numFmtId="0" fontId="25" fillId="0" borderId="17" xfId="0" applyFont="1" applyBorder="1" applyAlignment="1">
      <alignment horizontal="center" vertical="center"/>
    </xf>
    <xf numFmtId="201" fontId="18" fillId="29" borderId="89" xfId="0" applyNumberFormat="1" applyFont="1" applyFill="1" applyBorder="1" applyAlignment="1">
      <alignment horizontal="center" vertical="center"/>
    </xf>
    <xf numFmtId="0" fontId="18" fillId="29" borderId="89" xfId="0" applyFont="1" applyFill="1" applyBorder="1" applyAlignment="1">
      <alignment horizontal="center" vertical="center"/>
    </xf>
    <xf numFmtId="0" fontId="18" fillId="0" borderId="89" xfId="0" applyFont="1" applyBorder="1" applyAlignment="1">
      <alignment horizontal="center" vertical="center"/>
    </xf>
    <xf numFmtId="0" fontId="28" fillId="0" borderId="40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201" fontId="25" fillId="0" borderId="36" xfId="0" applyNumberFormat="1" applyFont="1" applyBorder="1" applyAlignment="1">
      <alignment horizontal="center" vertical="center"/>
    </xf>
    <xf numFmtId="0" fontId="25" fillId="0" borderId="104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8" fillId="0" borderId="0" xfId="0" applyFont="1" applyAlignment="1">
      <alignment horizontal="left" vertical="center"/>
    </xf>
    <xf numFmtId="0" fontId="28" fillId="30" borderId="104" xfId="0" applyFont="1" applyFill="1" applyBorder="1" applyAlignment="1">
      <alignment horizontal="center" vertical="center"/>
    </xf>
    <xf numFmtId="0" fontId="28" fillId="30" borderId="71" xfId="0" applyFont="1" applyFill="1" applyBorder="1" applyAlignment="1">
      <alignment horizontal="center" vertical="center"/>
    </xf>
    <xf numFmtId="0" fontId="28" fillId="30" borderId="16" xfId="0" applyFont="1" applyFill="1" applyBorder="1" applyAlignment="1">
      <alignment horizontal="center" vertical="center"/>
    </xf>
    <xf numFmtId="0" fontId="28" fillId="30" borderId="14" xfId="0" applyFont="1" applyFill="1" applyBorder="1" applyAlignment="1">
      <alignment horizontal="center" vertical="center"/>
    </xf>
    <xf numFmtId="0" fontId="25" fillId="0" borderId="102" xfId="0" applyFont="1" applyBorder="1" applyAlignment="1">
      <alignment horizontal="center" vertical="center"/>
    </xf>
    <xf numFmtId="2" fontId="25" fillId="0" borderId="79" xfId="0" applyNumberFormat="1" applyFont="1" applyBorder="1" applyAlignment="1">
      <alignment horizontal="center" vertical="center"/>
    </xf>
    <xf numFmtId="2" fontId="25" fillId="0" borderId="77" xfId="0" applyNumberFormat="1" applyFont="1" applyBorder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2" fontId="25" fillId="0" borderId="17" xfId="0" applyNumberFormat="1" applyFont="1" applyBorder="1" applyAlignment="1">
      <alignment horizontal="center" vertical="center"/>
    </xf>
    <xf numFmtId="2" fontId="25" fillId="0" borderId="72" xfId="0" applyNumberFormat="1" applyFont="1" applyBorder="1" applyAlignment="1">
      <alignment horizontal="center" vertical="center"/>
    </xf>
    <xf numFmtId="200" fontId="25" fillId="0" borderId="0" xfId="25" applyNumberFormat="1" applyFont="1" applyAlignment="1">
      <alignment horizontal="center"/>
    </xf>
    <xf numFmtId="201" fontId="25" fillId="0" borderId="0" xfId="0" applyNumberFormat="1" applyFont="1" applyAlignment="1">
      <alignment horizontal="center"/>
    </xf>
    <xf numFmtId="0" fontId="25" fillId="0" borderId="0" xfId="0" applyFont="1" applyAlignment="1">
      <alignment horizontal="left" vertical="center"/>
    </xf>
    <xf numFmtId="200" fontId="25" fillId="0" borderId="0" xfId="25" applyNumberFormat="1" applyFont="1" applyAlignment="1">
      <alignment horizontal="left" vertical="center"/>
    </xf>
    <xf numFmtId="2" fontId="25" fillId="0" borderId="0" xfId="0" applyNumberFormat="1" applyFont="1" applyAlignment="1">
      <alignment horizontal="left" vertical="center"/>
    </xf>
    <xf numFmtId="0" fontId="28" fillId="21" borderId="35" xfId="0" applyFont="1" applyFill="1" applyBorder="1" applyAlignment="1">
      <alignment horizontal="center" vertical="center"/>
    </xf>
    <xf numFmtId="0" fontId="28" fillId="0" borderId="102" xfId="0" applyFont="1" applyBorder="1" applyAlignment="1">
      <alignment horizontal="center" vertical="center"/>
    </xf>
    <xf numFmtId="0" fontId="25" fillId="0" borderId="79" xfId="0" applyFont="1" applyBorder="1"/>
    <xf numFmtId="0" fontId="28" fillId="0" borderId="18" xfId="0" applyFont="1" applyBorder="1" applyAlignment="1">
      <alignment horizontal="center" vertical="center"/>
    </xf>
    <xf numFmtId="0" fontId="25" fillId="0" borderId="72" xfId="0" applyFont="1" applyBorder="1"/>
    <xf numFmtId="0" fontId="25" fillId="0" borderId="17" xfId="0" applyFont="1" applyBorder="1"/>
    <xf numFmtId="2" fontId="25" fillId="0" borderId="0" xfId="0" applyNumberFormat="1" applyFont="1"/>
    <xf numFmtId="0" fontId="28" fillId="9" borderId="40" xfId="0" applyFont="1" applyFill="1" applyBorder="1" applyAlignment="1">
      <alignment horizontal="center" vertical="center"/>
    </xf>
    <xf numFmtId="0" fontId="28" fillId="9" borderId="35" xfId="0" applyFont="1" applyFill="1" applyBorder="1" applyAlignment="1">
      <alignment horizontal="center" vertical="center"/>
    </xf>
    <xf numFmtId="0" fontId="28" fillId="9" borderId="36" xfId="0" applyFont="1" applyFill="1" applyBorder="1" applyAlignment="1">
      <alignment horizontal="center" vertical="center"/>
    </xf>
    <xf numFmtId="2" fontId="28" fillId="9" borderId="35" xfId="0" applyNumberFormat="1" applyFont="1" applyFill="1" applyBorder="1" applyAlignment="1">
      <alignment horizontal="center" vertical="center"/>
    </xf>
    <xf numFmtId="0" fontId="25" fillId="0" borderId="16" xfId="0" applyFont="1" applyBorder="1" applyAlignment="1">
      <alignment horizontal="center" vertical="center"/>
    </xf>
    <xf numFmtId="2" fontId="25" fillId="0" borderId="102" xfId="0" applyNumberFormat="1" applyFont="1" applyBorder="1" applyAlignment="1">
      <alignment horizontal="center" vertical="center"/>
    </xf>
    <xf numFmtId="0" fontId="28" fillId="21" borderId="2" xfId="0" applyFont="1" applyFill="1" applyBorder="1" applyAlignment="1">
      <alignment horizontal="center" vertical="center"/>
    </xf>
    <xf numFmtId="201" fontId="28" fillId="21" borderId="2" xfId="0" applyNumberFormat="1" applyFont="1" applyFill="1" applyBorder="1" applyAlignment="1">
      <alignment horizontal="center" vertical="center"/>
    </xf>
    <xf numFmtId="200" fontId="28" fillId="21" borderId="2" xfId="25" applyNumberFormat="1" applyFont="1" applyFill="1" applyBorder="1" applyAlignment="1">
      <alignment horizontal="center" vertical="center"/>
    </xf>
    <xf numFmtId="0" fontId="28" fillId="21" borderId="36" xfId="0" applyFont="1" applyFill="1" applyBorder="1" applyAlignment="1">
      <alignment horizontal="center" vertical="center"/>
    </xf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28" fillId="9" borderId="2" xfId="0" applyFont="1" applyFill="1" applyBorder="1" applyAlignment="1">
      <alignment horizontal="center" vertical="center"/>
    </xf>
    <xf numFmtId="0" fontId="25" fillId="0" borderId="102" xfId="0" applyFont="1" applyBorder="1" applyAlignment="1">
      <alignment vertical="center"/>
    </xf>
    <xf numFmtId="193" fontId="25" fillId="0" borderId="102" xfId="0" applyNumberFormat="1" applyFont="1" applyBorder="1" applyAlignment="1">
      <alignment vertical="center"/>
    </xf>
    <xf numFmtId="0" fontId="25" fillId="0" borderId="18" xfId="0" applyFont="1" applyBorder="1" applyAlignment="1">
      <alignment vertical="center"/>
    </xf>
    <xf numFmtId="0" fontId="25" fillId="0" borderId="79" xfId="0" applyFont="1" applyBorder="1" applyAlignment="1">
      <alignment vertical="center"/>
    </xf>
    <xf numFmtId="0" fontId="25" fillId="0" borderId="17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6" borderId="8" xfId="0" applyFont="1" applyFill="1" applyBorder="1" applyAlignment="1">
      <alignment horizontal="center" vertical="center"/>
    </xf>
    <xf numFmtId="0" fontId="28" fillId="16" borderId="9" xfId="0" applyFont="1" applyFill="1" applyBorder="1" applyAlignment="1">
      <alignment horizontal="center" vertical="center" wrapText="1"/>
    </xf>
    <xf numFmtId="0" fontId="28" fillId="16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2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2" fontId="46" fillId="0" borderId="26" xfId="0" applyNumberFormat="1" applyFont="1" applyBorder="1" applyAlignment="1">
      <alignment horizontal="center" vertical="center"/>
    </xf>
    <xf numFmtId="0" fontId="28" fillId="16" borderId="9" xfId="0" applyFont="1" applyFill="1" applyBorder="1" applyAlignment="1">
      <alignment horizontal="center" vertical="center"/>
    </xf>
    <xf numFmtId="0" fontId="28" fillId="16" borderId="10" xfId="0" applyFont="1" applyFill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74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4" borderId="8" xfId="0" applyFont="1" applyFill="1" applyBorder="1" applyAlignment="1">
      <alignment horizontal="center" vertical="center"/>
    </xf>
    <xf numFmtId="184" fontId="25" fillId="4" borderId="9" xfId="0" applyNumberFormat="1" applyFont="1" applyFill="1" applyBorder="1" applyAlignment="1">
      <alignment horizontal="center" vertical="center"/>
    </xf>
    <xf numFmtId="0" fontId="25" fillId="4" borderId="10" xfId="0" applyFont="1" applyFill="1" applyBorder="1" applyAlignment="1">
      <alignment horizontal="center" vertical="center"/>
    </xf>
    <xf numFmtId="0" fontId="25" fillId="4" borderId="24" xfId="0" applyFont="1" applyFill="1" applyBorder="1" applyAlignment="1">
      <alignment horizontal="center" vertical="center"/>
    </xf>
    <xf numFmtId="184" fontId="25" fillId="4" borderId="25" xfId="0" applyNumberFormat="1" applyFont="1" applyFill="1" applyBorder="1" applyAlignment="1">
      <alignment horizontal="center" vertical="center"/>
    </xf>
    <xf numFmtId="0" fontId="25" fillId="4" borderId="26" xfId="0" applyFont="1" applyFill="1" applyBorder="1" applyAlignment="1">
      <alignment horizontal="center" vertical="center"/>
    </xf>
    <xf numFmtId="0" fontId="18" fillId="4" borderId="8" xfId="0" applyFont="1" applyFill="1" applyBorder="1" applyAlignment="1">
      <alignment horizontal="center" vertical="center"/>
    </xf>
    <xf numFmtId="191" fontId="18" fillId="4" borderId="10" xfId="0" applyNumberFormat="1" applyFont="1" applyFill="1" applyBorder="1" applyAlignment="1">
      <alignment horizontal="center" vertical="center"/>
    </xf>
    <xf numFmtId="184" fontId="25" fillId="4" borderId="26" xfId="0" applyNumberFormat="1" applyFont="1" applyFill="1" applyBorder="1" applyAlignment="1">
      <alignment horizontal="center" vertical="center"/>
    </xf>
    <xf numFmtId="0" fontId="25" fillId="4" borderId="11" xfId="0" applyFont="1" applyFill="1" applyBorder="1" applyAlignment="1">
      <alignment horizontal="center" vertical="center"/>
    </xf>
    <xf numFmtId="184" fontId="25" fillId="4" borderId="106" xfId="0" applyNumberFormat="1" applyFont="1" applyFill="1" applyBorder="1" applyAlignment="1">
      <alignment horizontal="center" vertical="center"/>
    </xf>
    <xf numFmtId="0" fontId="25" fillId="4" borderId="9" xfId="0" applyFont="1" applyFill="1" applyBorder="1" applyAlignment="1">
      <alignment horizontal="center" vertical="center"/>
    </xf>
    <xf numFmtId="0" fontId="25" fillId="4" borderId="25" xfId="0" applyFont="1" applyFill="1" applyBorder="1" applyAlignment="1">
      <alignment horizontal="center" vertical="center"/>
    </xf>
    <xf numFmtId="191" fontId="25" fillId="4" borderId="10" xfId="0" applyNumberFormat="1" applyFont="1" applyFill="1" applyBorder="1" applyAlignment="1">
      <alignment horizontal="center" vertical="center"/>
    </xf>
    <xf numFmtId="184" fontId="25" fillId="4" borderId="10" xfId="0" applyNumberFormat="1" applyFont="1" applyFill="1" applyBorder="1" applyAlignment="1">
      <alignment horizontal="center" vertical="center"/>
    </xf>
    <xf numFmtId="40" fontId="25" fillId="4" borderId="26" xfId="0" applyNumberFormat="1" applyFont="1" applyFill="1" applyBorder="1" applyAlignment="1">
      <alignment horizontal="center" vertical="center"/>
    </xf>
    <xf numFmtId="0" fontId="19" fillId="0" borderId="0" xfId="18" applyFont="1" applyAlignment="1">
      <alignment horizontal="left" vertical="center"/>
    </xf>
    <xf numFmtId="0" fontId="15" fillId="3" borderId="28" xfId="18" applyFont="1" applyFill="1" applyBorder="1" applyAlignment="1">
      <alignment horizontal="center" vertical="center"/>
    </xf>
    <xf numFmtId="0" fontId="15" fillId="3" borderId="31" xfId="18" applyFont="1" applyFill="1" applyBorder="1" applyAlignment="1">
      <alignment horizontal="center" vertical="center"/>
    </xf>
    <xf numFmtId="0" fontId="19" fillId="3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9" fillId="9" borderId="31" xfId="18" applyFont="1" applyFill="1" applyBorder="1" applyAlignment="1">
      <alignment horizontal="center" vertical="center"/>
    </xf>
    <xf numFmtId="0" fontId="15" fillId="13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3" borderId="103" xfId="18" applyFont="1" applyFill="1" applyBorder="1" applyAlignment="1">
      <alignment horizontal="center" vertical="center"/>
    </xf>
    <xf numFmtId="0" fontId="15" fillId="3" borderId="32" xfId="18" applyFont="1" applyFill="1" applyBorder="1" applyAlignment="1">
      <alignment horizontal="center" vertical="center"/>
    </xf>
    <xf numFmtId="0" fontId="15" fillId="10" borderId="36" xfId="18" applyFont="1" applyFill="1" applyBorder="1" applyAlignment="1">
      <alignment horizontal="center" vertical="center"/>
    </xf>
    <xf numFmtId="0" fontId="34" fillId="0" borderId="110" xfId="0" applyFont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17" fontId="34" fillId="0" borderId="111" xfId="0" applyNumberFormat="1" applyFont="1" applyBorder="1" applyAlignment="1">
      <alignment horizontal="center" vertical="center"/>
    </xf>
    <xf numFmtId="0" fontId="15" fillId="0" borderId="111" xfId="0" applyFont="1" applyBorder="1" applyAlignment="1">
      <alignment horizontal="center" vertical="center" wrapText="1"/>
    </xf>
    <xf numFmtId="0" fontId="15" fillId="0" borderId="111" xfId="0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0" fontId="34" fillId="0" borderId="113" xfId="0" applyFont="1" applyBorder="1" applyAlignment="1">
      <alignment horizontal="center" vertical="center"/>
    </xf>
    <xf numFmtId="0" fontId="34" fillId="0" borderId="114" xfId="0" applyFont="1" applyBorder="1" applyAlignment="1">
      <alignment horizontal="center" vertical="center"/>
    </xf>
    <xf numFmtId="17" fontId="34" fillId="0" borderId="114" xfId="0" applyNumberFormat="1" applyFont="1" applyBorder="1" applyAlignment="1">
      <alignment horizontal="center" vertical="center"/>
    </xf>
    <xf numFmtId="0" fontId="15" fillId="0" borderId="114" xfId="0" applyFont="1" applyBorder="1" applyAlignment="1">
      <alignment horizontal="center" vertical="center" wrapText="1"/>
    </xf>
    <xf numFmtId="0" fontId="15" fillId="0" borderId="114" xfId="0" applyFont="1" applyBorder="1" applyAlignment="1">
      <alignment horizontal="center" vertical="center"/>
    </xf>
    <xf numFmtId="0" fontId="34" fillId="0" borderId="115" xfId="0" applyFont="1" applyBorder="1" applyAlignment="1">
      <alignment horizontal="center" vertical="center"/>
    </xf>
    <xf numFmtId="195" fontId="18" fillId="28" borderId="35" xfId="16" applyNumberFormat="1" applyFont="1" applyFill="1" applyBorder="1">
      <alignment vertical="center"/>
    </xf>
    <xf numFmtId="196" fontId="25" fillId="0" borderId="35" xfId="16" applyNumberFormat="1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9" fillId="9" borderId="107" xfId="0" applyFont="1" applyFill="1" applyBorder="1" applyAlignment="1">
      <alignment horizontal="center" vertical="center"/>
    </xf>
    <xf numFmtId="0" fontId="29" fillId="9" borderId="110" xfId="0" applyFont="1" applyFill="1" applyBorder="1" applyAlignment="1">
      <alignment horizontal="center" vertical="center"/>
    </xf>
    <xf numFmtId="0" fontId="29" fillId="9" borderId="108" xfId="0" applyFont="1" applyFill="1" applyBorder="1" applyAlignment="1">
      <alignment horizontal="center" vertical="center"/>
    </xf>
    <xf numFmtId="0" fontId="29" fillId="9" borderId="111" xfId="0" applyFont="1" applyFill="1" applyBorder="1" applyAlignment="1">
      <alignment horizontal="center" vertical="center"/>
    </xf>
    <xf numFmtId="0" fontId="29" fillId="9" borderId="109" xfId="0" applyFont="1" applyFill="1" applyBorder="1" applyAlignment="1">
      <alignment horizontal="center" vertical="center"/>
    </xf>
    <xf numFmtId="0" fontId="29" fillId="9" borderId="112" xfId="0" applyFont="1" applyFill="1" applyBorder="1" applyAlignment="1">
      <alignment horizontal="center" vertical="center"/>
    </xf>
    <xf numFmtId="0" fontId="29" fillId="9" borderId="108" xfId="0" applyFont="1" applyFill="1" applyBorder="1" applyAlignment="1">
      <alignment horizontal="center" vertical="center" wrapText="1"/>
    </xf>
    <xf numFmtId="0" fontId="29" fillId="9" borderId="111" xfId="0" applyFont="1" applyFill="1" applyBorder="1" applyAlignment="1">
      <alignment horizontal="center" vertical="center" wrapText="1"/>
    </xf>
    <xf numFmtId="41" fontId="29" fillId="9" borderId="108" xfId="20" applyFont="1" applyFill="1" applyBorder="1" applyAlignment="1">
      <alignment horizontal="center" vertical="center" wrapText="1"/>
    </xf>
    <xf numFmtId="41" fontId="29" fillId="9" borderId="111" xfId="20" applyFont="1" applyFill="1" applyBorder="1" applyAlignment="1">
      <alignment horizontal="center" vertical="center" wrapText="1"/>
    </xf>
    <xf numFmtId="0" fontId="44" fillId="9" borderId="108" xfId="21" applyFont="1" applyFill="1" applyBorder="1" applyAlignment="1">
      <alignment horizontal="center" vertical="center" wrapText="1"/>
    </xf>
    <xf numFmtId="0" fontId="44" fillId="9" borderId="111" xfId="21" applyFont="1" applyFill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/>
    </xf>
    <xf numFmtId="0" fontId="28" fillId="0" borderId="78" xfId="0" applyFont="1" applyBorder="1" applyAlignment="1">
      <alignment horizontal="center" vertical="center"/>
    </xf>
    <xf numFmtId="0" fontId="25" fillId="0" borderId="104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201" fontId="25" fillId="0" borderId="16" xfId="0" applyNumberFormat="1" applyFont="1" applyBorder="1" applyAlignment="1">
      <alignment horizontal="center" vertical="center"/>
    </xf>
    <xf numFmtId="201" fontId="25" fillId="0" borderId="17" xfId="0" applyNumberFormat="1" applyFont="1" applyBorder="1" applyAlignment="1">
      <alignment horizontal="center" vertical="center"/>
    </xf>
    <xf numFmtId="0" fontId="28" fillId="0" borderId="77" xfId="0" applyFont="1" applyBorder="1" applyAlignment="1">
      <alignment horizontal="center" vertical="center"/>
    </xf>
    <xf numFmtId="193" fontId="25" fillId="0" borderId="104" xfId="0" applyNumberFormat="1" applyFont="1" applyBorder="1" applyAlignment="1">
      <alignment horizontal="center" vertical="center"/>
    </xf>
    <xf numFmtId="193" fontId="25" fillId="0" borderId="102" xfId="0" applyNumberFormat="1" applyFont="1" applyBorder="1" applyAlignment="1">
      <alignment horizontal="center" vertical="center"/>
    </xf>
    <xf numFmtId="0" fontId="25" fillId="0" borderId="102" xfId="0" applyFont="1" applyBorder="1" applyAlignment="1">
      <alignment horizontal="center" vertical="center"/>
    </xf>
    <xf numFmtId="0" fontId="28" fillId="0" borderId="54" xfId="0" applyFont="1" applyBorder="1" applyAlignment="1">
      <alignment horizontal="center" vertical="center"/>
    </xf>
    <xf numFmtId="0" fontId="28" fillId="0" borderId="55" xfId="0" applyFont="1" applyBorder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36" fillId="6" borderId="54" xfId="16" applyFont="1" applyFill="1" applyBorder="1" applyAlignment="1">
      <alignment horizontal="center" vertical="center"/>
    </xf>
    <xf numFmtId="0" fontId="36" fillId="6" borderId="56" xfId="16" applyFont="1" applyFill="1" applyBorder="1" applyAlignment="1">
      <alignment horizontal="center" vertical="center"/>
    </xf>
    <xf numFmtId="0" fontId="38" fillId="19" borderId="40" xfId="18" applyFont="1" applyFill="1" applyBorder="1" applyAlignment="1">
      <alignment horizontal="center" vertical="center" wrapText="1"/>
    </xf>
    <xf numFmtId="0" fontId="38" fillId="19" borderId="36" xfId="18" applyFont="1" applyFill="1" applyBorder="1" applyAlignment="1">
      <alignment horizontal="center" vertical="center" wrapText="1"/>
    </xf>
    <xf numFmtId="0" fontId="25" fillId="16" borderId="57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0" fontId="25" fillId="16" borderId="54" xfId="0" applyFont="1" applyFill="1" applyBorder="1" applyAlignment="1">
      <alignment horizontal="center" vertical="center"/>
    </xf>
    <xf numFmtId="0" fontId="25" fillId="16" borderId="56" xfId="0" applyFont="1" applyFill="1" applyBorder="1" applyAlignment="1">
      <alignment horizontal="center" vertical="center"/>
    </xf>
    <xf numFmtId="0" fontId="25" fillId="16" borderId="59" xfId="0" applyFont="1" applyFill="1" applyBorder="1" applyAlignment="1">
      <alignment horizontal="center" vertical="center"/>
    </xf>
    <xf numFmtId="0" fontId="25" fillId="16" borderId="55" xfId="0" applyFont="1" applyFill="1" applyBorder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80" xfId="0" applyFont="1" applyFill="1" applyBorder="1" applyAlignment="1">
      <alignment horizontal="center" vertical="center"/>
    </xf>
    <xf numFmtId="0" fontId="25" fillId="16" borderId="81" xfId="0" applyFont="1" applyFill="1" applyBorder="1" applyAlignment="1">
      <alignment horizontal="center" vertical="center"/>
    </xf>
    <xf numFmtId="0" fontId="25" fillId="16" borderId="82" xfId="0" applyFont="1" applyFill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3" fontId="34" fillId="0" borderId="111" xfId="20" applyNumberFormat="1" applyFont="1" applyBorder="1" applyAlignment="1" applyProtection="1">
      <alignment horizontal="center" vertical="center"/>
      <protection locked="0"/>
    </xf>
    <xf numFmtId="3" fontId="34" fillId="0" borderId="114" xfId="20" applyNumberFormat="1" applyFont="1" applyBorder="1" applyAlignment="1" applyProtection="1">
      <alignment horizontal="center" vertical="center"/>
      <protection locked="0"/>
    </xf>
    <xf numFmtId="0" fontId="25" fillId="0" borderId="35" xfId="0" applyFont="1" applyBorder="1" applyAlignment="1">
      <alignment horizontal="center" vertical="center"/>
    </xf>
    <xf numFmtId="0" fontId="25" fillId="10" borderId="35" xfId="0" applyFont="1" applyFill="1" applyBorder="1" applyAlignment="1">
      <alignment horizontal="center" vertical="center"/>
    </xf>
    <xf numFmtId="0" fontId="42" fillId="23" borderId="70" xfId="16" applyFont="1" applyFill="1" applyBorder="1" applyAlignment="1">
      <alignment horizontal="center" vertical="center"/>
    </xf>
    <xf numFmtId="0" fontId="42" fillId="23" borderId="29" xfId="16" applyFont="1" applyFill="1" applyBorder="1" applyAlignment="1">
      <alignment horizontal="center" vertical="center"/>
    </xf>
    <xf numFmtId="0" fontId="42" fillId="24" borderId="70" xfId="16" applyFont="1" applyFill="1" applyBorder="1" applyAlignment="1">
      <alignment horizontal="center" vertical="center"/>
    </xf>
    <xf numFmtId="0" fontId="42" fillId="24" borderId="29" xfId="16" applyFont="1" applyFill="1" applyBorder="1" applyAlignment="1">
      <alignment horizontal="center" vertical="center"/>
    </xf>
    <xf numFmtId="0" fontId="42" fillId="20" borderId="70" xfId="16" applyFont="1" applyFill="1" applyBorder="1" applyAlignment="1">
      <alignment horizontal="center" vertical="center"/>
    </xf>
    <xf numFmtId="0" fontId="42" fillId="20" borderId="29" xfId="16" applyFont="1" applyFill="1" applyBorder="1" applyAlignment="1">
      <alignment horizontal="center" vertical="center"/>
    </xf>
    <xf numFmtId="10" fontId="42" fillId="23" borderId="9" xfId="16" applyNumberFormat="1" applyFont="1" applyFill="1" applyBorder="1">
      <alignment vertical="center"/>
    </xf>
    <xf numFmtId="10" fontId="42" fillId="23" borderId="10" xfId="16" applyNumberFormat="1" applyFont="1" applyFill="1" applyBorder="1">
      <alignment vertical="center"/>
    </xf>
    <xf numFmtId="10" fontId="42" fillId="24" borderId="9" xfId="16" applyNumberFormat="1" applyFont="1" applyFill="1" applyBorder="1">
      <alignment vertical="center"/>
    </xf>
    <xf numFmtId="10" fontId="42" fillId="24" borderId="10" xfId="16" applyNumberFormat="1" applyFont="1" applyFill="1" applyBorder="1">
      <alignment vertical="center"/>
    </xf>
    <xf numFmtId="10" fontId="42" fillId="20" borderId="9" xfId="16" applyNumberFormat="1" applyFont="1" applyFill="1" applyBorder="1">
      <alignment vertical="center"/>
    </xf>
    <xf numFmtId="10" fontId="42" fillId="20" borderId="10" xfId="16" applyNumberFormat="1" applyFont="1" applyFill="1" applyBorder="1">
      <alignment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200" formatCode="0.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201" formatCode="#,##0.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맑은 고딕"/>
        <family val="3"/>
        <charset val="129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1387.7</c:v>
                </c:pt>
                <c:pt idx="1">
                  <c:v>1010.1</c:v>
                </c:pt>
                <c:pt idx="2">
                  <c:v>785.4</c:v>
                </c:pt>
                <c:pt idx="3">
                  <c:v>792.8</c:v>
                </c:pt>
                <c:pt idx="4">
                  <c:v>856.2</c:v>
                </c:pt>
                <c:pt idx="5">
                  <c:v>1337.2</c:v>
                </c:pt>
                <c:pt idx="6">
                  <c:v>821.9</c:v>
                </c:pt>
                <c:pt idx="7">
                  <c:v>1301.9000000000001</c:v>
                </c:pt>
                <c:pt idx="8">
                  <c:v>1107.9000000000001</c:v>
                </c:pt>
                <c:pt idx="9">
                  <c:v>1348.4</c:v>
                </c:pt>
                <c:pt idx="10">
                  <c:v>1075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1162.0999999999999</c:v>
                </c:pt>
                <c:pt idx="1">
                  <c:v>1269</c:v>
                </c:pt>
                <c:pt idx="2">
                  <c:v>1459.5</c:v>
                </c:pt>
                <c:pt idx="3">
                  <c:v>899.6</c:v>
                </c:pt>
                <c:pt idx="4">
                  <c:v>1442.3</c:v>
                </c:pt>
                <c:pt idx="5">
                  <c:v>1397.2</c:v>
                </c:pt>
                <c:pt idx="6">
                  <c:v>1284.0999999999999</c:v>
                </c:pt>
                <c:pt idx="7">
                  <c:v>1515.4</c:v>
                </c:pt>
                <c:pt idx="8">
                  <c:v>903.7</c:v>
                </c:pt>
                <c:pt idx="9">
                  <c:v>1453.2</c:v>
                </c:pt>
                <c:pt idx="10">
                  <c:v>1343.7</c:v>
                </c:pt>
                <c:pt idx="11">
                  <c:v>1216.2</c:v>
                </c:pt>
                <c:pt idx="12">
                  <c:v>1266.5</c:v>
                </c:pt>
                <c:pt idx="13">
                  <c:v>831.4</c:v>
                </c:pt>
                <c:pt idx="14">
                  <c:v>1295.8</c:v>
                </c:pt>
                <c:pt idx="15">
                  <c:v>813.5</c:v>
                </c:pt>
                <c:pt idx="16">
                  <c:v>1081.4000000000001</c:v>
                </c:pt>
                <c:pt idx="17">
                  <c:v>1502.3</c:v>
                </c:pt>
                <c:pt idx="18">
                  <c:v>1743</c:v>
                </c:pt>
                <c:pt idx="19">
                  <c:v>1319</c:v>
                </c:pt>
                <c:pt idx="20">
                  <c:v>1387.7</c:v>
                </c:pt>
                <c:pt idx="21">
                  <c:v>1010.1</c:v>
                </c:pt>
                <c:pt idx="22">
                  <c:v>785.4</c:v>
                </c:pt>
                <c:pt idx="23">
                  <c:v>792.8</c:v>
                </c:pt>
                <c:pt idx="24">
                  <c:v>856.2</c:v>
                </c:pt>
                <c:pt idx="25">
                  <c:v>1337.2</c:v>
                </c:pt>
                <c:pt idx="26">
                  <c:v>821.9</c:v>
                </c:pt>
                <c:pt idx="27">
                  <c:v>1301.9000000000001</c:v>
                </c:pt>
                <c:pt idx="28">
                  <c:v>1107.9000000000001</c:v>
                </c:pt>
                <c:pt idx="29">
                  <c:v>1348.4</c:v>
                </c:pt>
                <c:pt idx="30">
                  <c:v>1198.3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19.100000000000001</c:v>
                </c:pt>
                <c:pt idx="1">
                  <c:v>32</c:v>
                </c:pt>
                <c:pt idx="2">
                  <c:v>44.4</c:v>
                </c:pt>
                <c:pt idx="3">
                  <c:v>72.5</c:v>
                </c:pt>
                <c:pt idx="4">
                  <c:v>75.2</c:v>
                </c:pt>
                <c:pt idx="5">
                  <c:v>96.1</c:v>
                </c:pt>
                <c:pt idx="6">
                  <c:v>195.3</c:v>
                </c:pt>
                <c:pt idx="7">
                  <c:v>221.2</c:v>
                </c:pt>
                <c:pt idx="8">
                  <c:v>142.1</c:v>
                </c:pt>
                <c:pt idx="9">
                  <c:v>77.8</c:v>
                </c:pt>
                <c:pt idx="10">
                  <c:v>65.2</c:v>
                </c:pt>
                <c:pt idx="11">
                  <c:v>34.200000000000003</c:v>
                </c:pt>
                <c:pt idx="12">
                  <c:v>89.6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17.emf"/><Relationship Id="rId7" Type="http://schemas.openxmlformats.org/officeDocument/2006/relationships/image" Target="../media/image20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14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Relationship Id="rId9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image" Target="../media/image37.emf"/><Relationship Id="rId7" Type="http://schemas.openxmlformats.org/officeDocument/2006/relationships/image" Target="../media/image31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6" Type="http://schemas.openxmlformats.org/officeDocument/2006/relationships/image" Target="../media/image32.emf"/><Relationship Id="rId5" Type="http://schemas.openxmlformats.org/officeDocument/2006/relationships/image" Target="../media/image33.emf"/><Relationship Id="rId4" Type="http://schemas.openxmlformats.org/officeDocument/2006/relationships/image" Target="../media/image34.emf"/><Relationship Id="rId9" Type="http://schemas.openxmlformats.org/officeDocument/2006/relationships/image" Target="../media/image2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4" Type="http://schemas.openxmlformats.org/officeDocument/2006/relationships/image" Target="../media/image41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Relationship Id="rId4" Type="http://schemas.openxmlformats.org/officeDocument/2006/relationships/image" Target="../media/image45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4.emf"/><Relationship Id="rId1" Type="http://schemas.openxmlformats.org/officeDocument/2006/relationships/image" Target="../media/image5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95250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142875</xdr:rowOff>
        </xdr:from>
        <xdr:to>
          <xdr:col>17</xdr:col>
          <xdr:colOff>1495425</xdr:colOff>
          <xdr:row>5</xdr:row>
          <xdr:rowOff>180975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30</xdr:row>
          <xdr:rowOff>171450</xdr:rowOff>
        </xdr:from>
        <xdr:to>
          <xdr:col>7</xdr:col>
          <xdr:colOff>609600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31</xdr:row>
          <xdr:rowOff>123825</xdr:rowOff>
        </xdr:from>
        <xdr:to>
          <xdr:col>7</xdr:col>
          <xdr:colOff>704850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32</xdr:row>
          <xdr:rowOff>133350</xdr:rowOff>
        </xdr:from>
        <xdr:to>
          <xdr:col>8</xdr:col>
          <xdr:colOff>361950</xdr:colOff>
          <xdr:row>33</xdr:row>
          <xdr:rowOff>152400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395288</xdr:rowOff>
        </xdr:from>
        <xdr:to>
          <xdr:col>1</xdr:col>
          <xdr:colOff>333375</xdr:colOff>
          <xdr:row>0</xdr:row>
          <xdr:rowOff>709613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5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393700</xdr:colOff>
          <xdr:row>0</xdr:row>
          <xdr:rowOff>395288</xdr:rowOff>
        </xdr:from>
        <xdr:to>
          <xdr:col>2</xdr:col>
          <xdr:colOff>31750</xdr:colOff>
          <xdr:row>0</xdr:row>
          <xdr:rowOff>709613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5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323850</xdr:colOff>
          <xdr:row>0</xdr:row>
          <xdr:rowOff>438150</xdr:rowOff>
        </xdr:from>
        <xdr:to>
          <xdr:col>14</xdr:col>
          <xdr:colOff>523875</xdr:colOff>
          <xdr:row>0</xdr:row>
          <xdr:rowOff>752475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5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5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571500</xdr:colOff>
          <xdr:row>0</xdr:row>
          <xdr:rowOff>438150</xdr:rowOff>
        </xdr:from>
        <xdr:to>
          <xdr:col>15</xdr:col>
          <xdr:colOff>609600</xdr:colOff>
          <xdr:row>0</xdr:row>
          <xdr:rowOff>752475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5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92075</xdr:colOff>
          <xdr:row>0</xdr:row>
          <xdr:rowOff>395288</xdr:rowOff>
        </xdr:from>
        <xdr:to>
          <xdr:col>2</xdr:col>
          <xdr:colOff>654050</xdr:colOff>
          <xdr:row>0</xdr:row>
          <xdr:rowOff>709613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5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657225</xdr:colOff>
          <xdr:row>0</xdr:row>
          <xdr:rowOff>438150</xdr:rowOff>
        </xdr:from>
        <xdr:to>
          <xdr:col>16</xdr:col>
          <xdr:colOff>476250</xdr:colOff>
          <xdr:row>0</xdr:row>
          <xdr:rowOff>752475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5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514350</xdr:colOff>
          <xdr:row>0</xdr:row>
          <xdr:rowOff>428625</xdr:rowOff>
        </xdr:from>
        <xdr:to>
          <xdr:col>16</xdr:col>
          <xdr:colOff>1276350</xdr:colOff>
          <xdr:row>0</xdr:row>
          <xdr:rowOff>742950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5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395288</xdr:rowOff>
        </xdr:from>
        <xdr:to>
          <xdr:col>3</xdr:col>
          <xdr:colOff>838200</xdr:colOff>
          <xdr:row>0</xdr:row>
          <xdr:rowOff>709613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5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6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6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7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7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8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8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66675</xdr:rowOff>
        </xdr:from>
        <xdr:to>
          <xdr:col>2</xdr:col>
          <xdr:colOff>304800</xdr:colOff>
          <xdr:row>2</xdr:row>
          <xdr:rowOff>381000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9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428625</xdr:rowOff>
        </xdr:from>
        <xdr:to>
          <xdr:col>2</xdr:col>
          <xdr:colOff>304800</xdr:colOff>
          <xdr:row>3</xdr:row>
          <xdr:rowOff>200025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9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A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A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A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9</xdr:row>
          <xdr:rowOff>161925</xdr:rowOff>
        </xdr:from>
        <xdr:to>
          <xdr:col>7</xdr:col>
          <xdr:colOff>1000125</xdr:colOff>
          <xdr:row>11</xdr:row>
          <xdr:rowOff>28575</xdr:rowOff>
        </xdr:to>
        <xdr:sp macro="" textlink="">
          <xdr:nvSpPr>
            <xdr:cNvPr id="3115" name="CommandButton1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A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11</xdr:row>
          <xdr:rowOff>123825</xdr:rowOff>
        </xdr:from>
        <xdr:to>
          <xdr:col>7</xdr:col>
          <xdr:colOff>1000125</xdr:colOff>
          <xdr:row>12</xdr:row>
          <xdr:rowOff>238125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A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13</xdr:row>
          <xdr:rowOff>85725</xdr:rowOff>
        </xdr:from>
        <xdr:to>
          <xdr:col>7</xdr:col>
          <xdr:colOff>1000125</xdr:colOff>
          <xdr:row>14</xdr:row>
          <xdr:rowOff>200025</xdr:rowOff>
        </xdr:to>
        <xdr:sp macro="" textlink="">
          <xdr:nvSpPr>
            <xdr:cNvPr id="3117" name="CommandButton3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A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19</xdr:row>
          <xdr:rowOff>95250</xdr:rowOff>
        </xdr:from>
        <xdr:to>
          <xdr:col>7</xdr:col>
          <xdr:colOff>1000125</xdr:colOff>
          <xdr:row>20</xdr:row>
          <xdr:rowOff>209550</xdr:rowOff>
        </xdr:to>
        <xdr:sp macro="" textlink="">
          <xdr:nvSpPr>
            <xdr:cNvPr id="3118" name="CommandButton4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A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15</xdr:row>
          <xdr:rowOff>47625</xdr:rowOff>
        </xdr:from>
        <xdr:to>
          <xdr:col>7</xdr:col>
          <xdr:colOff>1000125</xdr:colOff>
          <xdr:row>16</xdr:row>
          <xdr:rowOff>161925</xdr:rowOff>
        </xdr:to>
        <xdr:sp macro="" textlink="">
          <xdr:nvSpPr>
            <xdr:cNvPr id="3119" name="CommandButton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A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A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89793" name="CommandButton5" hidden="1">
              <a:extLst>
                <a:ext uri="{63B3BB69-23CF-44E3-9099-C40C66FF867C}">
                  <a14:compatExt spid="_x0000_s289793"/>
                </a:ext>
                <a:ext uri="{FF2B5EF4-FFF2-40B4-BE49-F238E27FC236}">
                  <a16:creationId xmlns:a16="http://schemas.microsoft.com/office/drawing/2014/main" id="{00000000-0008-0000-0B00-000001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89794" name="Frame1" hidden="1">
              <a:extLst>
                <a:ext uri="{63B3BB69-23CF-44E3-9099-C40C66FF867C}">
                  <a14:compatExt spid="_x0000_s289794"/>
                </a:ext>
                <a:ext uri="{FF2B5EF4-FFF2-40B4-BE49-F238E27FC236}">
                  <a16:creationId xmlns:a16="http://schemas.microsoft.com/office/drawing/2014/main" id="{00000000-0008-0000-0B00-000002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289795" name="CommandButton6" hidden="1">
              <a:extLst>
                <a:ext uri="{63B3BB69-23CF-44E3-9099-C40C66FF867C}">
                  <a14:compatExt spid="_x0000_s289795"/>
                </a:ext>
                <a:ext uri="{FF2B5EF4-FFF2-40B4-BE49-F238E27FC236}">
                  <a16:creationId xmlns:a16="http://schemas.microsoft.com/office/drawing/2014/main" id="{00000000-0008-0000-0B00-000003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89801" name="CommandButton8" hidden="1">
              <a:extLst>
                <a:ext uri="{63B3BB69-23CF-44E3-9099-C40C66FF867C}">
                  <a14:compatExt spid="_x0000_s289801"/>
                </a:ext>
                <a:ext uri="{FF2B5EF4-FFF2-40B4-BE49-F238E27FC236}">
                  <a16:creationId xmlns:a16="http://schemas.microsoft.com/office/drawing/2014/main" id="{00000000-0008-0000-0B00-000009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90817" name="CommandButton5" hidden="1">
              <a:extLst>
                <a:ext uri="{63B3BB69-23CF-44E3-9099-C40C66FF867C}">
                  <a14:compatExt spid="_x0000_s290817"/>
                </a:ext>
                <a:ext uri="{FF2B5EF4-FFF2-40B4-BE49-F238E27FC236}">
                  <a16:creationId xmlns:a16="http://schemas.microsoft.com/office/drawing/2014/main" id="{00000000-0008-0000-0C00-000001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90818" name="Frame1" hidden="1">
              <a:extLst>
                <a:ext uri="{63B3BB69-23CF-44E3-9099-C40C66FF867C}">
                  <a14:compatExt spid="_x0000_s290818"/>
                </a:ext>
                <a:ext uri="{FF2B5EF4-FFF2-40B4-BE49-F238E27FC236}">
                  <a16:creationId xmlns:a16="http://schemas.microsoft.com/office/drawing/2014/main" id="{00000000-0008-0000-0C00-000002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290819" name="CommandButton6" hidden="1">
              <a:extLst>
                <a:ext uri="{63B3BB69-23CF-44E3-9099-C40C66FF867C}">
                  <a14:compatExt spid="_x0000_s290819"/>
                </a:ext>
                <a:ext uri="{FF2B5EF4-FFF2-40B4-BE49-F238E27FC236}">
                  <a16:creationId xmlns:a16="http://schemas.microsoft.com/office/drawing/2014/main" id="{00000000-0008-0000-0C00-000003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90820" name="CommandButton8" hidden="1">
              <a:extLst>
                <a:ext uri="{63B3BB69-23CF-44E3-9099-C40C66FF867C}">
                  <a14:compatExt spid="_x0000_s290820"/>
                </a:ext>
                <a:ext uri="{FF2B5EF4-FFF2-40B4-BE49-F238E27FC236}">
                  <a16:creationId xmlns:a16="http://schemas.microsoft.com/office/drawing/2014/main" id="{00000000-0008-0000-0C00-000004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5</xdr:row>
          <xdr:rowOff>38100</xdr:rowOff>
        </xdr:from>
        <xdr:to>
          <xdr:col>6</xdr:col>
          <xdr:colOff>104775</xdr:colOff>
          <xdr:row>6</xdr:row>
          <xdr:rowOff>57150</xdr:rowOff>
        </xdr:to>
        <xdr:sp macro="" textlink="">
          <xdr:nvSpPr>
            <xdr:cNvPr id="129025" name="CommandButton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0D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6</xdr:row>
          <xdr:rowOff>104775</xdr:rowOff>
        </xdr:from>
        <xdr:to>
          <xdr:col>6</xdr:col>
          <xdr:colOff>104775</xdr:colOff>
          <xdr:row>7</xdr:row>
          <xdr:rowOff>114300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0D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7</xdr:row>
          <xdr:rowOff>161925</xdr:rowOff>
        </xdr:from>
        <xdr:to>
          <xdr:col>6</xdr:col>
          <xdr:colOff>104775</xdr:colOff>
          <xdr:row>8</xdr:row>
          <xdr:rowOff>161925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0D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5</xdr:row>
          <xdr:rowOff>38100</xdr:rowOff>
        </xdr:from>
        <xdr:to>
          <xdr:col>6</xdr:col>
          <xdr:colOff>600075</xdr:colOff>
          <xdr:row>6</xdr:row>
          <xdr:rowOff>57150</xdr:rowOff>
        </xdr:to>
        <xdr:sp macro="" textlink="">
          <xdr:nvSpPr>
            <xdr:cNvPr id="126977" name="CommandButton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0E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6</xdr:row>
          <xdr:rowOff>114300</xdr:rowOff>
        </xdr:from>
        <xdr:to>
          <xdr:col>6</xdr:col>
          <xdr:colOff>600075</xdr:colOff>
          <xdr:row>7</xdr:row>
          <xdr:rowOff>133350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0E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7</xdr:row>
          <xdr:rowOff>200025</xdr:rowOff>
        </xdr:from>
        <xdr:to>
          <xdr:col>6</xdr:col>
          <xdr:colOff>647700</xdr:colOff>
          <xdr:row>8</xdr:row>
          <xdr:rowOff>228600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0E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5</xdr:row>
          <xdr:rowOff>9525</xdr:rowOff>
        </xdr:from>
        <xdr:to>
          <xdr:col>9</xdr:col>
          <xdr:colOff>104775</xdr:colOff>
          <xdr:row>6</xdr:row>
          <xdr:rowOff>57150</xdr:rowOff>
        </xdr:to>
        <xdr:sp macro="" textlink="">
          <xdr:nvSpPr>
            <xdr:cNvPr id="128001" name="CommandButton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0F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6</xdr:row>
          <xdr:rowOff>114300</xdr:rowOff>
        </xdr:from>
        <xdr:to>
          <xdr:col>9</xdr:col>
          <xdr:colOff>104775</xdr:colOff>
          <xdr:row>7</xdr:row>
          <xdr:rowOff>142875</xdr:rowOff>
        </xdr:to>
        <xdr:sp macro="" textlink="">
          <xdr:nvSpPr>
            <xdr:cNvPr id="128002" name="CommandButton2" hidden="1">
              <a:extLst>
                <a:ext uri="{63B3BB69-23CF-44E3-9099-C40C66FF867C}">
                  <a14:compatExt spid="_x0000_s128002"/>
                </a:ext>
                <a:ext uri="{FF2B5EF4-FFF2-40B4-BE49-F238E27FC236}">
                  <a16:creationId xmlns:a16="http://schemas.microsoft.com/office/drawing/2014/main" id="{00000000-0008-0000-0F00-000002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7</xdr:row>
          <xdr:rowOff>200025</xdr:rowOff>
        </xdr:from>
        <xdr:to>
          <xdr:col>9</xdr:col>
          <xdr:colOff>104775</xdr:colOff>
          <xdr:row>8</xdr:row>
          <xdr:rowOff>228600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0F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6" totalsRowShown="0" headerRowDxfId="11" dataDxfId="10">
  <autoFilter ref="A1:C16" xr:uid="{367F5893-A8D3-4321-8AED-B91BC72622A2}"/>
  <tableColumns count="3">
    <tableColumn id="1" xr3:uid="{6ED3AF0C-5C92-497B-B5CC-3308F4F8389A}" name="name" dataDxfId="9"/>
    <tableColumn id="2" xr3:uid="{14EF71A0-9338-4536-BA7B-8C25144FD21C}" name="recharge" dataDxfId="8"/>
    <tableColumn id="3" xr3:uid="{B91C1F12-5D85-4346-999B-B2991C1FFA16}" name="ratio" dataDxfId="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5D4586-4045-47F6-955C-6B37C136D6A6}" name="표3" displayName="표3" ref="G2:K7" totalsRowShown="0" headerRowDxfId="6" dataDxfId="5" headerRowCellStyle="표준 2">
  <autoFilter ref="G2:K7" xr:uid="{F15D4586-4045-47F6-955C-6B37C136D6A6}"/>
  <tableColumns count="5">
    <tableColumn id="1" xr3:uid="{94F6F35E-75D0-4DC5-87CF-F660CE87C56C}" name="Well" dataDxfId="4"/>
    <tableColumn id="2" xr3:uid="{84ED002E-1E6C-4906-A804-7EDF9F6A1513}" name="한계양수량" dataDxfId="3"/>
    <tableColumn id="3" xr3:uid="{7C0E669B-EE6C-4573-A9F3-15E52CAA58A2}" name="적정취수량" dataDxfId="2"/>
    <tableColumn id="4" xr3:uid="{EC3D64FF-8479-4EE4-A828-DF900CA530FF}" name="취수계획량" dataDxfId="1"/>
    <tableColumn id="5" xr3:uid="{7E646384-D3F9-4FA7-ACE1-2017C310267B}" name="Ratio" dataDxfId="0" dataCellStyle="백분율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.xml"/><Relationship Id="rId4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18" Type="http://schemas.openxmlformats.org/officeDocument/2006/relationships/control" Target="../activeX/activeX19.xml"/><Relationship Id="rId3" Type="http://schemas.openxmlformats.org/officeDocument/2006/relationships/vmlDrawing" Target="../drawings/vmlDrawing4.vml"/><Relationship Id="rId21" Type="http://schemas.openxmlformats.org/officeDocument/2006/relationships/image" Target="../media/image20.emf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17" Type="http://schemas.openxmlformats.org/officeDocument/2006/relationships/image" Target="../media/image18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8.xml"/><Relationship Id="rId20" Type="http://schemas.openxmlformats.org/officeDocument/2006/relationships/control" Target="../activeX/activeX2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19" Type="http://schemas.openxmlformats.org/officeDocument/2006/relationships/image" Target="../media/image19.emf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Relationship Id="rId2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2.xml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image" Target="../media/image24.emf"/><Relationship Id="rId5" Type="http://schemas.openxmlformats.org/officeDocument/2006/relationships/control" Target="../activeX/activeX24.xml"/><Relationship Id="rId4" Type="http://schemas.openxmlformats.org/officeDocument/2006/relationships/image" Target="../media/image23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6" Type="http://schemas.openxmlformats.org/officeDocument/2006/relationships/image" Target="../media/image26.emf"/><Relationship Id="rId5" Type="http://schemas.openxmlformats.org/officeDocument/2006/relationships/control" Target="../activeX/activeX26.xml"/><Relationship Id="rId4" Type="http://schemas.openxmlformats.org/officeDocument/2006/relationships/image" Target="../media/image25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2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8.xml"/><Relationship Id="rId5" Type="http://schemas.openxmlformats.org/officeDocument/2006/relationships/image" Target="../media/image27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13" Type="http://schemas.openxmlformats.org/officeDocument/2006/relationships/image" Target="../media/image33.emf"/><Relationship Id="rId18" Type="http://schemas.openxmlformats.org/officeDocument/2006/relationships/control" Target="../activeX/activeX36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37.emf"/><Relationship Id="rId7" Type="http://schemas.openxmlformats.org/officeDocument/2006/relationships/image" Target="../media/image30.emf"/><Relationship Id="rId12" Type="http://schemas.openxmlformats.org/officeDocument/2006/relationships/control" Target="../activeX/activeX33.xml"/><Relationship Id="rId17" Type="http://schemas.openxmlformats.org/officeDocument/2006/relationships/image" Target="../media/image35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35.xml"/><Relationship Id="rId20" Type="http://schemas.openxmlformats.org/officeDocument/2006/relationships/control" Target="../activeX/activeX37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0.xml"/><Relationship Id="rId11" Type="http://schemas.openxmlformats.org/officeDocument/2006/relationships/image" Target="../media/image32.emf"/><Relationship Id="rId5" Type="http://schemas.openxmlformats.org/officeDocument/2006/relationships/image" Target="../media/image29.emf"/><Relationship Id="rId15" Type="http://schemas.openxmlformats.org/officeDocument/2006/relationships/image" Target="../media/image34.emf"/><Relationship Id="rId10" Type="http://schemas.openxmlformats.org/officeDocument/2006/relationships/control" Target="../activeX/activeX32.xml"/><Relationship Id="rId19" Type="http://schemas.openxmlformats.org/officeDocument/2006/relationships/image" Target="../media/image36.emf"/><Relationship Id="rId4" Type="http://schemas.openxmlformats.org/officeDocument/2006/relationships/control" Target="../activeX/activeX29.xml"/><Relationship Id="rId9" Type="http://schemas.openxmlformats.org/officeDocument/2006/relationships/image" Target="../media/image31.emf"/><Relationship Id="rId14" Type="http://schemas.openxmlformats.org/officeDocument/2006/relationships/control" Target="../activeX/activeX34.xml"/><Relationship Id="rId22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39.emf"/><Relationship Id="rId12" Type="http://schemas.openxmlformats.org/officeDocument/2006/relationships/comments" Target="../comments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9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0" Type="http://schemas.openxmlformats.org/officeDocument/2006/relationships/control" Target="../activeX/activeX41.xml"/><Relationship Id="rId4" Type="http://schemas.openxmlformats.org/officeDocument/2006/relationships/control" Target="../activeX/activeX38.xml"/><Relationship Id="rId9" Type="http://schemas.openxmlformats.org/officeDocument/2006/relationships/image" Target="../media/image40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3.emf"/><Relationship Id="rId12" Type="http://schemas.openxmlformats.org/officeDocument/2006/relationships/comments" Target="../comments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8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7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7.xml"/><Relationship Id="rId5" Type="http://schemas.openxmlformats.org/officeDocument/2006/relationships/image" Target="../media/image46.emf"/><Relationship Id="rId4" Type="http://schemas.openxmlformats.org/officeDocument/2006/relationships/control" Target="../activeX/activeX46.xml"/><Relationship Id="rId9" Type="http://schemas.openxmlformats.org/officeDocument/2006/relationships/image" Target="../media/image48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0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50.xml"/><Relationship Id="rId5" Type="http://schemas.openxmlformats.org/officeDocument/2006/relationships/image" Target="../media/image49.emf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3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3.xml"/><Relationship Id="rId5" Type="http://schemas.openxmlformats.org/officeDocument/2006/relationships/image" Target="../media/image52.emf"/><Relationship Id="rId4" Type="http://schemas.openxmlformats.org/officeDocument/2006/relationships/control" Target="../activeX/activeX52.xml"/><Relationship Id="rId9" Type="http://schemas.openxmlformats.org/officeDocument/2006/relationships/image" Target="../media/image5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zoomScaleNormal="100" workbookViewId="0">
      <selection activeCell="R24" sqref="R24"/>
    </sheetView>
  </sheetViews>
  <sheetFormatPr defaultRowHeight="16.5"/>
  <cols>
    <col min="1" max="1" width="8.88671875" style="38"/>
    <col min="2" max="2" width="5.88671875" style="37" customWidth="1"/>
    <col min="3" max="8" width="5.77734375" style="38" customWidth="1"/>
    <col min="9" max="9" width="7.44140625" style="38" customWidth="1"/>
    <col min="10" max="10" width="6.77734375" style="38" customWidth="1"/>
    <col min="11" max="11" width="5.77734375" style="38" customWidth="1"/>
    <col min="12" max="12" width="5.6640625" style="38" customWidth="1"/>
    <col min="13" max="14" width="5.77734375" style="38" customWidth="1"/>
    <col min="15" max="15" width="8.109375" style="38" customWidth="1"/>
    <col min="16" max="16" width="6.44140625" style="38" customWidth="1"/>
    <col min="17" max="17" width="12.21875" style="38" bestFit="1" customWidth="1"/>
    <col min="18" max="18" width="19.21875" style="38" customWidth="1"/>
    <col min="19" max="16384" width="8.88671875" style="38"/>
  </cols>
  <sheetData>
    <row r="2" spans="2:23" ht="26.25" customHeight="1">
      <c r="B2" s="474" t="s">
        <v>232</v>
      </c>
      <c r="C2" s="474"/>
      <c r="D2" s="474"/>
      <c r="E2" s="474"/>
      <c r="F2" s="474"/>
      <c r="G2" s="474"/>
      <c r="H2" s="474"/>
      <c r="I2" s="474"/>
      <c r="J2" s="474"/>
      <c r="K2" s="474"/>
      <c r="L2" s="474"/>
    </row>
    <row r="3" spans="2:23" ht="17.25" thickBot="1">
      <c r="I3"/>
      <c r="J3"/>
      <c r="K3"/>
    </row>
    <row r="4" spans="2:23" s="77" customFormat="1" ht="22.5" customHeight="1">
      <c r="B4" s="248" t="s">
        <v>41</v>
      </c>
      <c r="C4" s="250" t="s">
        <v>42</v>
      </c>
      <c r="D4" s="250" t="s">
        <v>32</v>
      </c>
      <c r="E4" s="250" t="s">
        <v>33</v>
      </c>
      <c r="F4" s="250" t="s">
        <v>34</v>
      </c>
      <c r="G4" s="250" t="s">
        <v>35</v>
      </c>
      <c r="H4" s="250" t="s">
        <v>12</v>
      </c>
      <c r="I4" s="250" t="s">
        <v>13</v>
      </c>
      <c r="J4" s="250" t="s">
        <v>14</v>
      </c>
      <c r="K4" s="250" t="s">
        <v>15</v>
      </c>
      <c r="L4" s="250" t="s">
        <v>16</v>
      </c>
      <c r="M4" s="250" t="s">
        <v>17</v>
      </c>
      <c r="N4" s="251" t="s">
        <v>18</v>
      </c>
      <c r="O4" s="300" t="s">
        <v>44</v>
      </c>
      <c r="P4" s="251" t="s">
        <v>45</v>
      </c>
    </row>
    <row r="5" spans="2:23" ht="22.5" customHeight="1">
      <c r="B5" s="252">
        <v>1993</v>
      </c>
      <c r="C5" s="253">
        <v>4.5999999999999996</v>
      </c>
      <c r="D5" s="253">
        <v>66.7</v>
      </c>
      <c r="E5" s="253">
        <v>21.6</v>
      </c>
      <c r="F5" s="253">
        <v>32.6</v>
      </c>
      <c r="G5" s="253">
        <v>68.5</v>
      </c>
      <c r="H5" s="253">
        <v>225.5</v>
      </c>
      <c r="I5" s="253">
        <v>241.5</v>
      </c>
      <c r="J5" s="253">
        <v>206.5</v>
      </c>
      <c r="K5" s="253">
        <v>141.5</v>
      </c>
      <c r="L5" s="253">
        <v>32</v>
      </c>
      <c r="M5" s="253">
        <v>87.4</v>
      </c>
      <c r="N5" s="254">
        <v>33.700000000000003</v>
      </c>
      <c r="O5" s="301">
        <f>ROUND(SUM(C5:N5),1)</f>
        <v>1162.0999999999999</v>
      </c>
      <c r="P5" s="255">
        <f>ROUND(O5/12,1)</f>
        <v>96.8</v>
      </c>
      <c r="Q5" s="78"/>
      <c r="R5" s="242"/>
      <c r="S5" s="241"/>
      <c r="T5" s="242"/>
      <c r="U5" s="241"/>
      <c r="V5" s="242"/>
      <c r="W5" s="241"/>
    </row>
    <row r="6" spans="2:23" ht="22.5" customHeight="1">
      <c r="B6" s="256">
        <v>1994</v>
      </c>
      <c r="C6" s="249">
        <v>17.899999999999999</v>
      </c>
      <c r="D6" s="249">
        <v>6</v>
      </c>
      <c r="E6" s="249">
        <v>58.2</v>
      </c>
      <c r="F6" s="249">
        <v>51.5</v>
      </c>
      <c r="G6" s="249">
        <v>135.5</v>
      </c>
      <c r="H6" s="249">
        <v>207</v>
      </c>
      <c r="I6" s="249">
        <v>137</v>
      </c>
      <c r="J6" s="249">
        <v>443.5</v>
      </c>
      <c r="K6" s="249">
        <v>21</v>
      </c>
      <c r="L6" s="249">
        <v>155</v>
      </c>
      <c r="M6" s="249">
        <v>17.5</v>
      </c>
      <c r="N6" s="257">
        <v>18.899999999999999</v>
      </c>
      <c r="O6" s="302">
        <f t="shared" ref="O6:O34" si="0">ROUND(SUM(C6:N6),1)</f>
        <v>1269</v>
      </c>
      <c r="P6" s="258">
        <f t="shared" ref="P6:P34" si="1">ROUND(O6/12,1)</f>
        <v>105.8</v>
      </c>
      <c r="Q6" s="78"/>
      <c r="R6" s="242"/>
      <c r="S6" s="241"/>
      <c r="T6" s="242"/>
      <c r="U6" s="241"/>
      <c r="V6" s="242"/>
      <c r="W6" s="241"/>
    </row>
    <row r="7" spans="2:23" ht="22.5" customHeight="1">
      <c r="B7" s="256">
        <v>1995</v>
      </c>
      <c r="C7" s="249">
        <v>15.7</v>
      </c>
      <c r="D7" s="249">
        <v>11</v>
      </c>
      <c r="E7" s="249">
        <v>19.600000000000001</v>
      </c>
      <c r="F7" s="249">
        <v>65.5</v>
      </c>
      <c r="G7" s="249">
        <v>49.5</v>
      </c>
      <c r="H7" s="249">
        <v>26.5</v>
      </c>
      <c r="I7" s="249">
        <v>144.5</v>
      </c>
      <c r="J7" s="249">
        <v>996.5</v>
      </c>
      <c r="K7" s="249">
        <v>70.5</v>
      </c>
      <c r="L7" s="249">
        <v>24.5</v>
      </c>
      <c r="M7" s="249">
        <v>23</v>
      </c>
      <c r="N7" s="257">
        <v>12.7</v>
      </c>
      <c r="O7" s="302">
        <f t="shared" si="0"/>
        <v>1459.5</v>
      </c>
      <c r="P7" s="258">
        <f t="shared" si="1"/>
        <v>121.6</v>
      </c>
      <c r="Q7" s="78"/>
      <c r="R7" s="242"/>
      <c r="S7" s="241"/>
      <c r="T7" s="242"/>
      <c r="U7" s="241"/>
      <c r="V7" s="242"/>
      <c r="W7" s="241"/>
    </row>
    <row r="8" spans="2:23" ht="22.5" customHeight="1">
      <c r="B8" s="256">
        <v>1996</v>
      </c>
      <c r="C8" s="249">
        <v>33.4</v>
      </c>
      <c r="D8" s="249">
        <v>6.8</v>
      </c>
      <c r="E8" s="249">
        <v>104.5</v>
      </c>
      <c r="F8" s="249">
        <v>34</v>
      </c>
      <c r="G8" s="249">
        <v>22.5</v>
      </c>
      <c r="H8" s="249">
        <v>235</v>
      </c>
      <c r="I8" s="249">
        <v>192.5</v>
      </c>
      <c r="J8" s="249">
        <v>44.5</v>
      </c>
      <c r="K8" s="249">
        <v>14</v>
      </c>
      <c r="L8" s="249">
        <v>106.5</v>
      </c>
      <c r="M8" s="249">
        <v>74.2</v>
      </c>
      <c r="N8" s="257">
        <v>31.7</v>
      </c>
      <c r="O8" s="302">
        <f t="shared" si="0"/>
        <v>899.6</v>
      </c>
      <c r="P8" s="258">
        <f t="shared" si="1"/>
        <v>75</v>
      </c>
      <c r="Q8" s="78"/>
      <c r="R8" s="328" t="s">
        <v>314</v>
      </c>
      <c r="S8" s="241"/>
      <c r="T8" s="242"/>
      <c r="U8" s="241"/>
      <c r="V8" s="242"/>
      <c r="W8" s="241"/>
    </row>
    <row r="9" spans="2:23" ht="22.5" customHeight="1">
      <c r="B9" s="256">
        <v>1997</v>
      </c>
      <c r="C9" s="249">
        <v>15.1</v>
      </c>
      <c r="D9" s="249">
        <v>38.4</v>
      </c>
      <c r="E9" s="249">
        <v>30.5</v>
      </c>
      <c r="F9" s="249">
        <v>57.5</v>
      </c>
      <c r="G9" s="249">
        <v>203</v>
      </c>
      <c r="H9" s="249">
        <v>272</v>
      </c>
      <c r="I9" s="249">
        <v>353.5</v>
      </c>
      <c r="J9" s="249">
        <v>211.5</v>
      </c>
      <c r="K9" s="249">
        <v>23</v>
      </c>
      <c r="L9" s="249">
        <v>10</v>
      </c>
      <c r="M9" s="249">
        <v>193.5</v>
      </c>
      <c r="N9" s="257">
        <v>34.299999999999997</v>
      </c>
      <c r="O9" s="302">
        <f t="shared" si="0"/>
        <v>1442.3</v>
      </c>
      <c r="P9" s="258">
        <f t="shared" si="1"/>
        <v>120.2</v>
      </c>
      <c r="Q9" s="78"/>
      <c r="R9" s="242"/>
      <c r="S9" s="241"/>
      <c r="T9" s="242"/>
      <c r="U9" s="241"/>
      <c r="V9" s="242"/>
      <c r="W9" s="241"/>
    </row>
    <row r="10" spans="2:23" ht="22.5" customHeight="1">
      <c r="B10" s="256">
        <v>1998</v>
      </c>
      <c r="C10" s="249">
        <v>29.9</v>
      </c>
      <c r="D10" s="249">
        <v>40.200000000000003</v>
      </c>
      <c r="E10" s="249">
        <v>30.5</v>
      </c>
      <c r="F10" s="249">
        <v>138</v>
      </c>
      <c r="G10" s="249">
        <v>100</v>
      </c>
      <c r="H10" s="249">
        <v>209.5</v>
      </c>
      <c r="I10" s="249">
        <v>263</v>
      </c>
      <c r="J10" s="249">
        <v>341.7</v>
      </c>
      <c r="K10" s="249">
        <v>150.30000000000001</v>
      </c>
      <c r="L10" s="249">
        <v>61</v>
      </c>
      <c r="M10" s="249">
        <v>29.3</v>
      </c>
      <c r="N10" s="257">
        <v>3.8</v>
      </c>
      <c r="O10" s="302">
        <f t="shared" si="0"/>
        <v>1397.2</v>
      </c>
      <c r="P10" s="258">
        <f t="shared" si="1"/>
        <v>116.4</v>
      </c>
      <c r="Q10" s="78"/>
      <c r="R10" s="242"/>
      <c r="S10" s="241"/>
      <c r="T10" s="242"/>
      <c r="U10" s="241"/>
      <c r="V10" s="242"/>
      <c r="W10" s="241"/>
    </row>
    <row r="11" spans="2:23" ht="22.5" customHeight="1">
      <c r="B11" s="256">
        <v>1999</v>
      </c>
      <c r="C11" s="249">
        <v>7.9</v>
      </c>
      <c r="D11" s="249">
        <v>9.5</v>
      </c>
      <c r="E11" s="249">
        <v>71</v>
      </c>
      <c r="F11" s="249">
        <v>88.5</v>
      </c>
      <c r="G11" s="249">
        <v>124.5</v>
      </c>
      <c r="H11" s="249">
        <v>192.5</v>
      </c>
      <c r="I11" s="249">
        <v>98</v>
      </c>
      <c r="J11" s="249">
        <v>180</v>
      </c>
      <c r="K11" s="249">
        <v>292.5</v>
      </c>
      <c r="L11" s="249">
        <v>169</v>
      </c>
      <c r="M11" s="249">
        <v>24.9</v>
      </c>
      <c r="N11" s="257">
        <v>25.8</v>
      </c>
      <c r="O11" s="302">
        <f t="shared" si="0"/>
        <v>1284.0999999999999</v>
      </c>
      <c r="P11" s="258">
        <f t="shared" si="1"/>
        <v>107</v>
      </c>
      <c r="R11" s="242"/>
      <c r="S11" s="241"/>
      <c r="T11" s="242"/>
      <c r="U11" s="241"/>
      <c r="V11" s="242"/>
      <c r="W11" s="241"/>
    </row>
    <row r="12" spans="2:23" ht="22.5" customHeight="1">
      <c r="B12" s="256">
        <v>2000</v>
      </c>
      <c r="C12" s="249">
        <v>42.1</v>
      </c>
      <c r="D12" s="249">
        <v>3.2</v>
      </c>
      <c r="E12" s="249">
        <v>7</v>
      </c>
      <c r="F12" s="249">
        <v>35</v>
      </c>
      <c r="G12" s="249">
        <v>53.5</v>
      </c>
      <c r="H12" s="249">
        <v>159.5</v>
      </c>
      <c r="I12" s="249">
        <v>155</v>
      </c>
      <c r="J12" s="249">
        <v>701.5</v>
      </c>
      <c r="K12" s="249">
        <v>241</v>
      </c>
      <c r="L12" s="249">
        <v>46</v>
      </c>
      <c r="M12" s="249">
        <v>39.5</v>
      </c>
      <c r="N12" s="257">
        <v>32.1</v>
      </c>
      <c r="O12" s="302">
        <f t="shared" si="0"/>
        <v>1515.4</v>
      </c>
      <c r="P12" s="258">
        <f t="shared" si="1"/>
        <v>126.3</v>
      </c>
      <c r="R12" s="242"/>
      <c r="S12" s="241"/>
      <c r="T12" s="242"/>
      <c r="U12" s="241"/>
      <c r="V12" s="242"/>
      <c r="W12" s="241"/>
    </row>
    <row r="13" spans="2:23" ht="22.5" customHeight="1">
      <c r="B13" s="256">
        <v>2001</v>
      </c>
      <c r="C13" s="249">
        <v>73.3</v>
      </c>
      <c r="D13" s="249">
        <v>46</v>
      </c>
      <c r="E13" s="249">
        <v>15.9</v>
      </c>
      <c r="F13" s="249">
        <v>26</v>
      </c>
      <c r="G13" s="249">
        <v>17</v>
      </c>
      <c r="H13" s="249">
        <v>129</v>
      </c>
      <c r="I13" s="249">
        <v>286.5</v>
      </c>
      <c r="J13" s="249">
        <v>170</v>
      </c>
      <c r="K13" s="249">
        <v>10</v>
      </c>
      <c r="L13" s="249">
        <v>85</v>
      </c>
      <c r="M13" s="249">
        <v>13</v>
      </c>
      <c r="N13" s="257">
        <v>32</v>
      </c>
      <c r="O13" s="302">
        <f t="shared" si="0"/>
        <v>903.7</v>
      </c>
      <c r="P13" s="258">
        <f t="shared" si="1"/>
        <v>75.3</v>
      </c>
      <c r="R13" s="242"/>
      <c r="S13" s="241"/>
      <c r="T13" s="242"/>
      <c r="U13" s="241"/>
      <c r="V13" s="242"/>
      <c r="W13" s="241"/>
    </row>
    <row r="14" spans="2:23" ht="22.5" customHeight="1">
      <c r="B14" s="256">
        <v>2002</v>
      </c>
      <c r="C14" s="249">
        <v>50.8</v>
      </c>
      <c r="D14" s="249">
        <v>5.5</v>
      </c>
      <c r="E14" s="249">
        <v>32</v>
      </c>
      <c r="F14" s="249">
        <v>169</v>
      </c>
      <c r="G14" s="249">
        <v>155.5</v>
      </c>
      <c r="H14" s="249">
        <v>72</v>
      </c>
      <c r="I14" s="249">
        <v>217.5</v>
      </c>
      <c r="J14" s="249">
        <v>477</v>
      </c>
      <c r="K14" s="249">
        <v>27</v>
      </c>
      <c r="L14" s="249">
        <v>134</v>
      </c>
      <c r="M14" s="249">
        <v>61.1</v>
      </c>
      <c r="N14" s="257">
        <v>51.8</v>
      </c>
      <c r="O14" s="302">
        <f t="shared" si="0"/>
        <v>1453.2</v>
      </c>
      <c r="P14" s="258">
        <f t="shared" si="1"/>
        <v>121.1</v>
      </c>
      <c r="R14" s="242"/>
      <c r="S14" s="241"/>
      <c r="T14" s="242"/>
      <c r="U14" s="241"/>
      <c r="V14" s="242"/>
      <c r="W14" s="241"/>
    </row>
    <row r="15" spans="2:23" ht="22.5" customHeight="1">
      <c r="B15" s="256">
        <v>2003</v>
      </c>
      <c r="C15" s="249">
        <v>30.7</v>
      </c>
      <c r="D15" s="249">
        <v>44.5</v>
      </c>
      <c r="E15" s="249">
        <v>39.5</v>
      </c>
      <c r="F15" s="249">
        <v>168.5</v>
      </c>
      <c r="G15" s="249">
        <v>78.5</v>
      </c>
      <c r="H15" s="249">
        <v>153</v>
      </c>
      <c r="I15" s="249">
        <v>309.5</v>
      </c>
      <c r="J15" s="249">
        <v>310</v>
      </c>
      <c r="K15" s="249">
        <v>128</v>
      </c>
      <c r="L15" s="249">
        <v>23</v>
      </c>
      <c r="M15" s="249">
        <v>45.5</v>
      </c>
      <c r="N15" s="257">
        <v>13</v>
      </c>
      <c r="O15" s="302">
        <f t="shared" si="0"/>
        <v>1343.7</v>
      </c>
      <c r="P15" s="258">
        <f t="shared" si="1"/>
        <v>112</v>
      </c>
    </row>
    <row r="16" spans="2:23" ht="22.5" customHeight="1">
      <c r="B16" s="256">
        <v>2004</v>
      </c>
      <c r="C16" s="249">
        <v>22.1</v>
      </c>
      <c r="D16" s="249">
        <v>28.5</v>
      </c>
      <c r="E16" s="249">
        <v>45.7</v>
      </c>
      <c r="F16" s="249">
        <v>58</v>
      </c>
      <c r="G16" s="249">
        <v>105.5</v>
      </c>
      <c r="H16" s="249">
        <v>234.5</v>
      </c>
      <c r="I16" s="249">
        <v>263.5</v>
      </c>
      <c r="J16" s="249">
        <v>164</v>
      </c>
      <c r="K16" s="249">
        <v>195</v>
      </c>
      <c r="L16" s="249">
        <v>4</v>
      </c>
      <c r="M16" s="249">
        <v>56.5</v>
      </c>
      <c r="N16" s="257">
        <v>38.9</v>
      </c>
      <c r="O16" s="302">
        <f t="shared" si="0"/>
        <v>1216.2</v>
      </c>
      <c r="P16" s="258">
        <f t="shared" si="1"/>
        <v>101.4</v>
      </c>
    </row>
    <row r="17" spans="2:16" ht="22.5" customHeight="1">
      <c r="B17" s="256">
        <v>2005</v>
      </c>
      <c r="C17" s="249">
        <v>5.8</v>
      </c>
      <c r="D17" s="249">
        <v>35.799999999999997</v>
      </c>
      <c r="E17" s="249">
        <v>30</v>
      </c>
      <c r="F17" s="249">
        <v>73.5</v>
      </c>
      <c r="G17" s="249">
        <v>48.5</v>
      </c>
      <c r="H17" s="249">
        <v>156</v>
      </c>
      <c r="I17" s="249">
        <v>260.5</v>
      </c>
      <c r="J17" s="249">
        <v>291.5</v>
      </c>
      <c r="K17" s="249">
        <v>282.5</v>
      </c>
      <c r="L17" s="249">
        <v>21</v>
      </c>
      <c r="M17" s="249">
        <v>18</v>
      </c>
      <c r="N17" s="257">
        <v>43.4</v>
      </c>
      <c r="O17" s="302">
        <f t="shared" si="0"/>
        <v>1266.5</v>
      </c>
      <c r="P17" s="258">
        <f t="shared" si="1"/>
        <v>105.5</v>
      </c>
    </row>
    <row r="18" spans="2:16" ht="22.5" customHeight="1">
      <c r="B18" s="256">
        <v>2006</v>
      </c>
      <c r="C18" s="249">
        <v>27</v>
      </c>
      <c r="D18" s="249">
        <v>25.9</v>
      </c>
      <c r="E18" s="249">
        <v>10.6</v>
      </c>
      <c r="F18" s="249">
        <v>81.5</v>
      </c>
      <c r="G18" s="249">
        <v>94.5</v>
      </c>
      <c r="H18" s="249">
        <v>114.5</v>
      </c>
      <c r="I18" s="249">
        <v>321</v>
      </c>
      <c r="J18" s="249">
        <v>21.5</v>
      </c>
      <c r="K18" s="249">
        <v>23.5</v>
      </c>
      <c r="L18" s="249">
        <v>24.5</v>
      </c>
      <c r="M18" s="249">
        <v>61.5</v>
      </c>
      <c r="N18" s="257">
        <v>25.4</v>
      </c>
      <c r="O18" s="302">
        <f t="shared" si="0"/>
        <v>831.4</v>
      </c>
      <c r="P18" s="258">
        <f t="shared" si="1"/>
        <v>69.3</v>
      </c>
    </row>
    <row r="19" spans="2:16" ht="22.5" customHeight="1">
      <c r="B19" s="256">
        <v>2007</v>
      </c>
      <c r="C19" s="249">
        <v>23.4</v>
      </c>
      <c r="D19" s="249">
        <v>29.8</v>
      </c>
      <c r="E19" s="249">
        <v>102</v>
      </c>
      <c r="F19" s="249">
        <v>29.5</v>
      </c>
      <c r="G19" s="249">
        <v>79</v>
      </c>
      <c r="H19" s="249">
        <v>85</v>
      </c>
      <c r="I19" s="249">
        <v>214</v>
      </c>
      <c r="J19" s="249">
        <v>239.5</v>
      </c>
      <c r="K19" s="249">
        <v>384</v>
      </c>
      <c r="L19" s="249">
        <v>59</v>
      </c>
      <c r="M19" s="249">
        <v>17.5</v>
      </c>
      <c r="N19" s="257">
        <v>33.1</v>
      </c>
      <c r="O19" s="302">
        <f t="shared" si="0"/>
        <v>1295.8</v>
      </c>
      <c r="P19" s="258">
        <f t="shared" si="1"/>
        <v>108</v>
      </c>
    </row>
    <row r="20" spans="2:16" ht="22.5" customHeight="1">
      <c r="B20" s="256">
        <v>2008</v>
      </c>
      <c r="C20" s="249">
        <v>20.9</v>
      </c>
      <c r="D20" s="249">
        <v>10.8</v>
      </c>
      <c r="E20" s="249">
        <v>48.2</v>
      </c>
      <c r="F20" s="249">
        <v>40.5</v>
      </c>
      <c r="G20" s="249">
        <v>78.900000000000006</v>
      </c>
      <c r="H20" s="249">
        <v>101.3</v>
      </c>
      <c r="I20" s="249">
        <v>257.2</v>
      </c>
      <c r="J20" s="249">
        <v>119.5</v>
      </c>
      <c r="K20" s="249">
        <v>46.9</v>
      </c>
      <c r="L20" s="249">
        <v>26.7</v>
      </c>
      <c r="M20" s="249">
        <v>37.6</v>
      </c>
      <c r="N20" s="257">
        <v>25</v>
      </c>
      <c r="O20" s="302">
        <f t="shared" si="0"/>
        <v>813.5</v>
      </c>
      <c r="P20" s="258">
        <f t="shared" si="1"/>
        <v>67.8</v>
      </c>
    </row>
    <row r="21" spans="2:16" ht="22.5" customHeight="1">
      <c r="B21" s="256">
        <v>2009</v>
      </c>
      <c r="C21" s="249">
        <v>18.5</v>
      </c>
      <c r="D21" s="249">
        <v>23.3</v>
      </c>
      <c r="E21" s="249">
        <v>55.1</v>
      </c>
      <c r="F21" s="249">
        <v>41.5</v>
      </c>
      <c r="G21" s="249">
        <v>154.5</v>
      </c>
      <c r="H21" s="249">
        <v>115.1</v>
      </c>
      <c r="I21" s="249">
        <v>320.89999999999998</v>
      </c>
      <c r="J21" s="249">
        <v>176.6</v>
      </c>
      <c r="K21" s="249">
        <v>25.5</v>
      </c>
      <c r="L21" s="249">
        <v>39.5</v>
      </c>
      <c r="M21" s="249">
        <v>52.9</v>
      </c>
      <c r="N21" s="257">
        <v>58</v>
      </c>
      <c r="O21" s="302">
        <f t="shared" si="0"/>
        <v>1081.4000000000001</v>
      </c>
      <c r="P21" s="258">
        <f t="shared" si="1"/>
        <v>90.1</v>
      </c>
    </row>
    <row r="22" spans="2:16" ht="22.5" customHeight="1">
      <c r="B22" s="256">
        <v>2010</v>
      </c>
      <c r="C22" s="249">
        <v>30.1</v>
      </c>
      <c r="D22" s="249">
        <v>73.5</v>
      </c>
      <c r="E22" s="249">
        <v>75.900000000000006</v>
      </c>
      <c r="F22" s="249">
        <v>58.5</v>
      </c>
      <c r="G22" s="249">
        <v>122.8</v>
      </c>
      <c r="H22" s="249">
        <v>60.8</v>
      </c>
      <c r="I22" s="249">
        <v>396.5</v>
      </c>
      <c r="J22" s="249">
        <v>402.7</v>
      </c>
      <c r="K22" s="249">
        <v>213.1</v>
      </c>
      <c r="L22" s="249">
        <v>19.2</v>
      </c>
      <c r="M22" s="249">
        <v>16.3</v>
      </c>
      <c r="N22" s="257">
        <v>32.9</v>
      </c>
      <c r="O22" s="302">
        <f t="shared" si="0"/>
        <v>1502.3</v>
      </c>
      <c r="P22" s="258">
        <f t="shared" si="1"/>
        <v>125.2</v>
      </c>
    </row>
    <row r="23" spans="2:16" ht="22.5" customHeight="1">
      <c r="B23" s="256">
        <v>2011</v>
      </c>
      <c r="C23" s="249">
        <v>11.1</v>
      </c>
      <c r="D23" s="249">
        <v>37.5</v>
      </c>
      <c r="E23" s="249">
        <v>18</v>
      </c>
      <c r="F23" s="249">
        <v>72.099999999999994</v>
      </c>
      <c r="G23" s="249">
        <v>115.3</v>
      </c>
      <c r="H23" s="249">
        <v>318</v>
      </c>
      <c r="I23" s="249">
        <v>723.1</v>
      </c>
      <c r="J23" s="249">
        <v>289.39999999999998</v>
      </c>
      <c r="K23" s="249">
        <v>70.8</v>
      </c>
      <c r="L23" s="249">
        <v>13.9</v>
      </c>
      <c r="M23" s="249">
        <v>61.3</v>
      </c>
      <c r="N23" s="257">
        <v>12.5</v>
      </c>
      <c r="O23" s="302">
        <f t="shared" si="0"/>
        <v>1743</v>
      </c>
      <c r="P23" s="258">
        <f t="shared" si="1"/>
        <v>145.30000000000001</v>
      </c>
    </row>
    <row r="24" spans="2:16" ht="22.5" customHeight="1">
      <c r="B24" s="256">
        <v>2012</v>
      </c>
      <c r="C24" s="249">
        <v>24.2</v>
      </c>
      <c r="D24" s="249">
        <v>9.1999999999999993</v>
      </c>
      <c r="E24" s="249">
        <v>45</v>
      </c>
      <c r="F24" s="249">
        <v>68.900000000000006</v>
      </c>
      <c r="G24" s="249">
        <v>14.6</v>
      </c>
      <c r="H24" s="249">
        <v>76.8</v>
      </c>
      <c r="I24" s="249">
        <v>231.1</v>
      </c>
      <c r="J24" s="249">
        <v>450.2</v>
      </c>
      <c r="K24" s="249">
        <v>207.7</v>
      </c>
      <c r="L24" s="249">
        <v>65</v>
      </c>
      <c r="M24" s="249">
        <v>61.1</v>
      </c>
      <c r="N24" s="257">
        <v>65.2</v>
      </c>
      <c r="O24" s="302">
        <f t="shared" si="0"/>
        <v>1319</v>
      </c>
      <c r="P24" s="258">
        <f t="shared" si="1"/>
        <v>109.9</v>
      </c>
    </row>
    <row r="25" spans="2:16" ht="22.5" customHeight="1">
      <c r="B25" s="256">
        <v>2013</v>
      </c>
      <c r="C25" s="249">
        <v>28.4</v>
      </c>
      <c r="D25" s="249">
        <v>40.700000000000003</v>
      </c>
      <c r="E25" s="249">
        <v>53.4</v>
      </c>
      <c r="F25" s="249">
        <v>68.2</v>
      </c>
      <c r="G25" s="249">
        <v>116.6</v>
      </c>
      <c r="H25" s="249">
        <v>159.9</v>
      </c>
      <c r="I25" s="249">
        <v>267.5</v>
      </c>
      <c r="J25" s="249">
        <v>214.6</v>
      </c>
      <c r="K25" s="249">
        <v>320</v>
      </c>
      <c r="L25" s="249">
        <v>10.9</v>
      </c>
      <c r="M25" s="249">
        <v>81.099999999999994</v>
      </c>
      <c r="N25" s="257">
        <v>26.4</v>
      </c>
      <c r="O25" s="302">
        <f t="shared" si="0"/>
        <v>1387.7</v>
      </c>
      <c r="P25" s="258">
        <f t="shared" si="1"/>
        <v>115.6</v>
      </c>
    </row>
    <row r="26" spans="2:16" ht="22.5" customHeight="1">
      <c r="B26" s="256">
        <v>2014</v>
      </c>
      <c r="C26" s="249">
        <v>3.4</v>
      </c>
      <c r="D26" s="249">
        <v>20.5</v>
      </c>
      <c r="E26" s="249">
        <v>56.3</v>
      </c>
      <c r="F26" s="249">
        <v>70</v>
      </c>
      <c r="G26" s="249">
        <v>47.1</v>
      </c>
      <c r="H26" s="249">
        <v>125.8</v>
      </c>
      <c r="I26" s="249">
        <v>104</v>
      </c>
      <c r="J26" s="249">
        <v>168.5</v>
      </c>
      <c r="K26" s="249">
        <v>152</v>
      </c>
      <c r="L26" s="249">
        <v>156</v>
      </c>
      <c r="M26" s="249">
        <v>39.9</v>
      </c>
      <c r="N26" s="257">
        <v>66.599999999999994</v>
      </c>
      <c r="O26" s="302">
        <f t="shared" si="0"/>
        <v>1010.1</v>
      </c>
      <c r="P26" s="258">
        <f t="shared" si="1"/>
        <v>84.2</v>
      </c>
    </row>
    <row r="27" spans="2:16" ht="22.5" customHeight="1">
      <c r="B27" s="256">
        <v>2015</v>
      </c>
      <c r="C27" s="249">
        <v>29.9</v>
      </c>
      <c r="D27" s="249">
        <v>23.4</v>
      </c>
      <c r="E27" s="249">
        <v>30.9</v>
      </c>
      <c r="F27" s="249">
        <v>129.69999999999999</v>
      </c>
      <c r="G27" s="249">
        <v>38.799999999999997</v>
      </c>
      <c r="H27" s="249">
        <v>83.9</v>
      </c>
      <c r="I27" s="249">
        <v>94.7</v>
      </c>
      <c r="J27" s="249">
        <v>30.2</v>
      </c>
      <c r="K27" s="249">
        <v>13.3</v>
      </c>
      <c r="L27" s="249">
        <v>90</v>
      </c>
      <c r="M27" s="249">
        <v>155.6</v>
      </c>
      <c r="N27" s="257">
        <v>65</v>
      </c>
      <c r="O27" s="302">
        <f t="shared" si="0"/>
        <v>785.4</v>
      </c>
      <c r="P27" s="258">
        <f t="shared" si="1"/>
        <v>65.5</v>
      </c>
    </row>
    <row r="28" spans="2:16" ht="22.5" customHeight="1">
      <c r="B28" s="256">
        <v>2016</v>
      </c>
      <c r="C28" s="249">
        <v>7.8</v>
      </c>
      <c r="D28" s="249">
        <v>54.2</v>
      </c>
      <c r="E28" s="249">
        <v>18.7</v>
      </c>
      <c r="F28" s="249">
        <v>105.1</v>
      </c>
      <c r="G28" s="249">
        <v>146.5</v>
      </c>
      <c r="H28" s="249">
        <v>23.7</v>
      </c>
      <c r="I28" s="249">
        <v>200.2</v>
      </c>
      <c r="J28" s="249">
        <v>5.0999999999999996</v>
      </c>
      <c r="K28" s="249">
        <v>73.400000000000006</v>
      </c>
      <c r="L28" s="249">
        <v>108</v>
      </c>
      <c r="M28" s="249">
        <v>5.6</v>
      </c>
      <c r="N28" s="257">
        <v>44.5</v>
      </c>
      <c r="O28" s="302">
        <f t="shared" si="0"/>
        <v>792.8</v>
      </c>
      <c r="P28" s="258">
        <f t="shared" si="1"/>
        <v>66.099999999999994</v>
      </c>
    </row>
    <row r="29" spans="2:16" ht="22.5" customHeight="1">
      <c r="B29" s="256">
        <v>2017</v>
      </c>
      <c r="C29" s="249">
        <v>14.8</v>
      </c>
      <c r="D29" s="249">
        <v>30.2</v>
      </c>
      <c r="E29" s="249">
        <v>14.4</v>
      </c>
      <c r="F29" s="249">
        <v>57.6</v>
      </c>
      <c r="G29" s="249">
        <v>58.9</v>
      </c>
      <c r="H29" s="249">
        <v>21.1</v>
      </c>
      <c r="I29" s="249">
        <v>278.10000000000002</v>
      </c>
      <c r="J29" s="249">
        <v>210</v>
      </c>
      <c r="K29" s="249">
        <v>90</v>
      </c>
      <c r="L29" s="249">
        <v>26.6</v>
      </c>
      <c r="M29" s="249">
        <v>15.9</v>
      </c>
      <c r="N29" s="257">
        <v>38.6</v>
      </c>
      <c r="O29" s="302">
        <f t="shared" si="0"/>
        <v>856.2</v>
      </c>
      <c r="P29" s="258">
        <f t="shared" si="1"/>
        <v>71.400000000000006</v>
      </c>
    </row>
    <row r="30" spans="2:16" ht="22.5" customHeight="1">
      <c r="B30" s="256">
        <v>2018</v>
      </c>
      <c r="C30" s="249">
        <v>15</v>
      </c>
      <c r="D30" s="249">
        <v>33.6</v>
      </c>
      <c r="E30" s="249">
        <v>92</v>
      </c>
      <c r="F30" s="249">
        <v>128.1</v>
      </c>
      <c r="G30" s="249">
        <v>104.5</v>
      </c>
      <c r="H30" s="249">
        <v>71</v>
      </c>
      <c r="I30" s="249">
        <v>262.7</v>
      </c>
      <c r="J30" s="249">
        <v>239.6</v>
      </c>
      <c r="K30" s="249">
        <v>158.19999999999999</v>
      </c>
      <c r="L30" s="249">
        <v>154.69999999999999</v>
      </c>
      <c r="M30" s="249">
        <v>46.7</v>
      </c>
      <c r="N30" s="257">
        <v>31.1</v>
      </c>
      <c r="O30" s="302">
        <f t="shared" si="0"/>
        <v>1337.2</v>
      </c>
      <c r="P30" s="258">
        <f t="shared" si="1"/>
        <v>111.4</v>
      </c>
    </row>
    <row r="31" spans="2:16" ht="22.5" customHeight="1">
      <c r="B31" s="256">
        <v>2019</v>
      </c>
      <c r="C31" s="249">
        <v>1.9</v>
      </c>
      <c r="D31" s="249">
        <v>17.8</v>
      </c>
      <c r="E31" s="249">
        <v>18.2</v>
      </c>
      <c r="F31" s="249">
        <v>71.900000000000006</v>
      </c>
      <c r="G31" s="249">
        <v>31.3</v>
      </c>
      <c r="H31" s="249">
        <v>56</v>
      </c>
      <c r="I31" s="249">
        <v>149</v>
      </c>
      <c r="J31" s="249">
        <v>131.30000000000001</v>
      </c>
      <c r="K31" s="249">
        <v>118.7</v>
      </c>
      <c r="L31" s="249">
        <v>63.9</v>
      </c>
      <c r="M31" s="249">
        <v>130.6</v>
      </c>
      <c r="N31" s="257">
        <v>31.3</v>
      </c>
      <c r="O31" s="302">
        <f t="shared" si="0"/>
        <v>821.9</v>
      </c>
      <c r="P31" s="258">
        <f t="shared" si="1"/>
        <v>68.5</v>
      </c>
    </row>
    <row r="32" spans="2:16" ht="22.5" customHeight="1">
      <c r="B32" s="256">
        <v>2020</v>
      </c>
      <c r="C32" s="249">
        <v>49.4</v>
      </c>
      <c r="D32" s="249">
        <v>75.3</v>
      </c>
      <c r="E32" s="249">
        <v>22.8</v>
      </c>
      <c r="F32" s="249">
        <v>16.5</v>
      </c>
      <c r="G32" s="249">
        <v>92.4</v>
      </c>
      <c r="H32" s="249">
        <v>139.69999999999999</v>
      </c>
      <c r="I32" s="249">
        <v>345.9</v>
      </c>
      <c r="J32" s="249">
        <v>321.5</v>
      </c>
      <c r="K32" s="249">
        <v>177.1</v>
      </c>
      <c r="L32" s="249">
        <v>16.2</v>
      </c>
      <c r="M32" s="249">
        <v>35.4</v>
      </c>
      <c r="N32" s="257">
        <v>9.6999999999999993</v>
      </c>
      <c r="O32" s="302">
        <f t="shared" si="0"/>
        <v>1301.9000000000001</v>
      </c>
      <c r="P32" s="258">
        <f t="shared" si="1"/>
        <v>108.5</v>
      </c>
    </row>
    <row r="33" spans="2:16" ht="22.5" customHeight="1">
      <c r="B33" s="256">
        <v>2021</v>
      </c>
      <c r="C33" s="249">
        <v>32</v>
      </c>
      <c r="D33" s="249">
        <v>18.7</v>
      </c>
      <c r="E33" s="249">
        <v>76.099999999999994</v>
      </c>
      <c r="F33" s="249">
        <v>43.4</v>
      </c>
      <c r="G33" s="249">
        <v>110</v>
      </c>
      <c r="H33" s="249">
        <v>55</v>
      </c>
      <c r="I33" s="249">
        <v>131.30000000000001</v>
      </c>
      <c r="J33" s="249">
        <v>253.7</v>
      </c>
      <c r="K33" s="249">
        <v>215.9</v>
      </c>
      <c r="L33" s="249">
        <v>39.6</v>
      </c>
      <c r="M33" s="249">
        <v>117.8</v>
      </c>
      <c r="N33" s="257">
        <v>14.4</v>
      </c>
      <c r="O33" s="302">
        <f t="shared" si="0"/>
        <v>1107.9000000000001</v>
      </c>
      <c r="P33" s="258">
        <f t="shared" si="1"/>
        <v>92.3</v>
      </c>
    </row>
    <row r="34" spans="2:16" ht="22.5" customHeight="1" thickBot="1">
      <c r="B34" s="259">
        <v>2022</v>
      </c>
      <c r="C34" s="260">
        <v>8.4</v>
      </c>
      <c r="D34" s="260">
        <v>5.3</v>
      </c>
      <c r="E34" s="260">
        <v>60.9</v>
      </c>
      <c r="F34" s="260">
        <v>34.799999999999997</v>
      </c>
      <c r="G34" s="260">
        <v>5.7</v>
      </c>
      <c r="H34" s="260">
        <v>225</v>
      </c>
      <c r="I34" s="260">
        <v>119.9</v>
      </c>
      <c r="J34" s="260">
        <v>637.1</v>
      </c>
      <c r="K34" s="260">
        <v>102</v>
      </c>
      <c r="L34" s="260">
        <v>112</v>
      </c>
      <c r="M34" s="260">
        <v>23.3</v>
      </c>
      <c r="N34" s="261">
        <v>14</v>
      </c>
      <c r="O34" s="303">
        <f t="shared" si="0"/>
        <v>1348.4</v>
      </c>
      <c r="P34" s="262">
        <f t="shared" si="1"/>
        <v>112.4</v>
      </c>
    </row>
    <row r="35" spans="2:16" ht="22.5" customHeight="1">
      <c r="B35" s="263" t="s">
        <v>36</v>
      </c>
      <c r="C35" s="264">
        <f>MAX(C5:C34)</f>
        <v>73.3</v>
      </c>
      <c r="D35" s="264">
        <f t="shared" ref="D35:N35" si="2">MAX(D5:D34)</f>
        <v>75.3</v>
      </c>
      <c r="E35" s="264">
        <f t="shared" si="2"/>
        <v>104.5</v>
      </c>
      <c r="F35" s="264">
        <f t="shared" si="2"/>
        <v>169</v>
      </c>
      <c r="G35" s="264">
        <f t="shared" si="2"/>
        <v>203</v>
      </c>
      <c r="H35" s="264">
        <f t="shared" si="2"/>
        <v>318</v>
      </c>
      <c r="I35" s="264">
        <f t="shared" si="2"/>
        <v>723.1</v>
      </c>
      <c r="J35" s="264">
        <f t="shared" si="2"/>
        <v>996.5</v>
      </c>
      <c r="K35" s="264">
        <f t="shared" si="2"/>
        <v>384</v>
      </c>
      <c r="L35" s="264">
        <f t="shared" si="2"/>
        <v>169</v>
      </c>
      <c r="M35" s="264">
        <f t="shared" si="2"/>
        <v>193.5</v>
      </c>
      <c r="N35" s="265">
        <f t="shared" si="2"/>
        <v>66.599999999999994</v>
      </c>
      <c r="O35" s="304">
        <f t="shared" ref="O35" si="3">MAX(O5:O34)</f>
        <v>1743</v>
      </c>
      <c r="P35" s="265">
        <f>MAX(P5:P34)</f>
        <v>145.30000000000001</v>
      </c>
    </row>
    <row r="36" spans="2:16" ht="22.5" customHeight="1">
      <c r="B36" s="266" t="s">
        <v>37</v>
      </c>
      <c r="C36" s="267">
        <f>ROUND(MIN(C5:C34),1)</f>
        <v>1.9</v>
      </c>
      <c r="D36" s="267">
        <f t="shared" ref="D36:N36" si="4">ROUND(MIN(D5:D34),1)</f>
        <v>3.2</v>
      </c>
      <c r="E36" s="267">
        <f t="shared" si="4"/>
        <v>7</v>
      </c>
      <c r="F36" s="267">
        <f t="shared" si="4"/>
        <v>16.5</v>
      </c>
      <c r="G36" s="267">
        <f t="shared" si="4"/>
        <v>5.7</v>
      </c>
      <c r="H36" s="267">
        <f t="shared" si="4"/>
        <v>21.1</v>
      </c>
      <c r="I36" s="267">
        <f t="shared" si="4"/>
        <v>94.7</v>
      </c>
      <c r="J36" s="267">
        <f t="shared" si="4"/>
        <v>5.0999999999999996</v>
      </c>
      <c r="K36" s="267">
        <f t="shared" si="4"/>
        <v>10</v>
      </c>
      <c r="L36" s="267">
        <f t="shared" si="4"/>
        <v>4</v>
      </c>
      <c r="M36" s="267">
        <f t="shared" si="4"/>
        <v>5.6</v>
      </c>
      <c r="N36" s="268">
        <f t="shared" si="4"/>
        <v>3.8</v>
      </c>
      <c r="O36" s="281">
        <f>ROUND(MIN(O5:O34),1)</f>
        <v>785.4</v>
      </c>
      <c r="P36" s="269">
        <f>ROUND(MIN(P5:P34),1)</f>
        <v>65.5</v>
      </c>
    </row>
    <row r="37" spans="2:16" ht="22.5" customHeight="1" thickBot="1">
      <c r="B37" s="270" t="s">
        <v>45</v>
      </c>
      <c r="C37" s="271">
        <f>ROUND(AVERAGE(C5:C34),1)</f>
        <v>23.2</v>
      </c>
      <c r="D37" s="271">
        <f t="shared" ref="D37:N37" si="5">ROUND(AVERAGE(D5:D34),1)</f>
        <v>29.1</v>
      </c>
      <c r="E37" s="271">
        <f t="shared" si="5"/>
        <v>43.5</v>
      </c>
      <c r="F37" s="271">
        <f t="shared" si="5"/>
        <v>70.5</v>
      </c>
      <c r="G37" s="271">
        <f t="shared" si="5"/>
        <v>85.8</v>
      </c>
      <c r="H37" s="271">
        <f t="shared" si="5"/>
        <v>136.80000000000001</v>
      </c>
      <c r="I37" s="271">
        <f t="shared" si="5"/>
        <v>244.7</v>
      </c>
      <c r="J37" s="271">
        <f t="shared" si="5"/>
        <v>281.60000000000002</v>
      </c>
      <c r="K37" s="271">
        <f t="shared" si="5"/>
        <v>132.9</v>
      </c>
      <c r="L37" s="271">
        <f t="shared" si="5"/>
        <v>63.2</v>
      </c>
      <c r="M37" s="271">
        <f t="shared" si="5"/>
        <v>54.8</v>
      </c>
      <c r="N37" s="272">
        <f t="shared" si="5"/>
        <v>32.200000000000003</v>
      </c>
      <c r="O37" s="285">
        <f>ROUND(AVERAGE(O5:O34),1)</f>
        <v>1198.3</v>
      </c>
      <c r="P37" s="273">
        <f>ROUND(AVERAGE(P5:P34),1)</f>
        <v>99.9</v>
      </c>
    </row>
    <row r="38" spans="2:16" ht="21.95" customHeight="1"/>
    <row r="39" spans="2:16" ht="21.95" customHeight="1" thickBot="1"/>
    <row r="40" spans="2:16" ht="22.5" customHeight="1">
      <c r="B40" s="275" t="s">
        <v>40</v>
      </c>
      <c r="C40" s="276" t="s">
        <v>31</v>
      </c>
      <c r="D40" s="276" t="s">
        <v>32</v>
      </c>
      <c r="E40" s="276" t="s">
        <v>33</v>
      </c>
      <c r="F40" s="276" t="s">
        <v>34</v>
      </c>
      <c r="G40" s="276" t="s">
        <v>35</v>
      </c>
      <c r="H40" s="276" t="s">
        <v>12</v>
      </c>
      <c r="I40" s="276" t="s">
        <v>13</v>
      </c>
      <c r="J40" s="276" t="s">
        <v>14</v>
      </c>
      <c r="K40" s="276" t="s">
        <v>15</v>
      </c>
      <c r="L40" s="276" t="s">
        <v>16</v>
      </c>
      <c r="M40" s="276" t="s">
        <v>17</v>
      </c>
      <c r="N40" s="277" t="s">
        <v>18</v>
      </c>
      <c r="O40" s="278" t="s">
        <v>43</v>
      </c>
      <c r="P40" s="277" t="s">
        <v>30</v>
      </c>
    </row>
    <row r="41" spans="2:16" ht="22.5" customHeight="1">
      <c r="B41" s="279">
        <f>B25</f>
        <v>2013</v>
      </c>
      <c r="C41" s="274">
        <f t="shared" ref="C41:N41" si="6">C25</f>
        <v>28.4</v>
      </c>
      <c r="D41" s="274">
        <f t="shared" si="6"/>
        <v>40.700000000000003</v>
      </c>
      <c r="E41" s="274">
        <f t="shared" si="6"/>
        <v>53.4</v>
      </c>
      <c r="F41" s="274">
        <f t="shared" si="6"/>
        <v>68.2</v>
      </c>
      <c r="G41" s="274">
        <f t="shared" si="6"/>
        <v>116.6</v>
      </c>
      <c r="H41" s="274">
        <f t="shared" si="6"/>
        <v>159.9</v>
      </c>
      <c r="I41" s="274">
        <f t="shared" si="6"/>
        <v>267.5</v>
      </c>
      <c r="J41" s="274">
        <f t="shared" si="6"/>
        <v>214.6</v>
      </c>
      <c r="K41" s="274">
        <f t="shared" si="6"/>
        <v>320</v>
      </c>
      <c r="L41" s="274">
        <f t="shared" si="6"/>
        <v>10.9</v>
      </c>
      <c r="M41" s="274">
        <f t="shared" si="6"/>
        <v>81.099999999999994</v>
      </c>
      <c r="N41" s="280">
        <f t="shared" si="6"/>
        <v>26.4</v>
      </c>
      <c r="O41" s="281">
        <f>ROUND(SUM(C41:N41),1)</f>
        <v>1387.7</v>
      </c>
      <c r="P41" s="269">
        <f>ROUND(O41/12,1)</f>
        <v>115.6</v>
      </c>
    </row>
    <row r="42" spans="2:16" ht="22.5" customHeight="1">
      <c r="B42" s="279">
        <f t="shared" ref="B42:N42" si="7">B26</f>
        <v>2014</v>
      </c>
      <c r="C42" s="274">
        <f t="shared" si="7"/>
        <v>3.4</v>
      </c>
      <c r="D42" s="274">
        <f t="shared" si="7"/>
        <v>20.5</v>
      </c>
      <c r="E42" s="274">
        <f t="shared" si="7"/>
        <v>56.3</v>
      </c>
      <c r="F42" s="274">
        <f t="shared" si="7"/>
        <v>70</v>
      </c>
      <c r="G42" s="274">
        <f t="shared" si="7"/>
        <v>47.1</v>
      </c>
      <c r="H42" s="274">
        <f t="shared" si="7"/>
        <v>125.8</v>
      </c>
      <c r="I42" s="274">
        <f t="shared" si="7"/>
        <v>104</v>
      </c>
      <c r="J42" s="274">
        <f t="shared" si="7"/>
        <v>168.5</v>
      </c>
      <c r="K42" s="274">
        <f t="shared" si="7"/>
        <v>152</v>
      </c>
      <c r="L42" s="274">
        <f t="shared" si="7"/>
        <v>156</v>
      </c>
      <c r="M42" s="274">
        <f t="shared" si="7"/>
        <v>39.9</v>
      </c>
      <c r="N42" s="280">
        <f t="shared" si="7"/>
        <v>66.599999999999994</v>
      </c>
      <c r="O42" s="281">
        <f t="shared" ref="O42:O50" si="8">ROUND(SUM(C42:N42),1)</f>
        <v>1010.1</v>
      </c>
      <c r="P42" s="269">
        <f t="shared" ref="P42:P50" si="9">ROUND(O42/12,1)</f>
        <v>84.2</v>
      </c>
    </row>
    <row r="43" spans="2:16" ht="22.5" customHeight="1">
      <c r="B43" s="279">
        <f t="shared" ref="B43:N43" si="10">B27</f>
        <v>2015</v>
      </c>
      <c r="C43" s="274">
        <f t="shared" si="10"/>
        <v>29.9</v>
      </c>
      <c r="D43" s="274">
        <f t="shared" si="10"/>
        <v>23.4</v>
      </c>
      <c r="E43" s="274">
        <f t="shared" si="10"/>
        <v>30.9</v>
      </c>
      <c r="F43" s="274">
        <f t="shared" si="10"/>
        <v>129.69999999999999</v>
      </c>
      <c r="G43" s="274">
        <f t="shared" si="10"/>
        <v>38.799999999999997</v>
      </c>
      <c r="H43" s="274">
        <f t="shared" si="10"/>
        <v>83.9</v>
      </c>
      <c r="I43" s="274">
        <f t="shared" si="10"/>
        <v>94.7</v>
      </c>
      <c r="J43" s="274">
        <f t="shared" si="10"/>
        <v>30.2</v>
      </c>
      <c r="K43" s="274">
        <f t="shared" si="10"/>
        <v>13.3</v>
      </c>
      <c r="L43" s="274">
        <f t="shared" si="10"/>
        <v>90</v>
      </c>
      <c r="M43" s="274">
        <f t="shared" si="10"/>
        <v>155.6</v>
      </c>
      <c r="N43" s="280">
        <f t="shared" si="10"/>
        <v>65</v>
      </c>
      <c r="O43" s="281">
        <f t="shared" si="8"/>
        <v>785.4</v>
      </c>
      <c r="P43" s="269">
        <f t="shared" si="9"/>
        <v>65.5</v>
      </c>
    </row>
    <row r="44" spans="2:16" ht="22.5" customHeight="1">
      <c r="B44" s="279">
        <f t="shared" ref="B44:N44" si="11">B28</f>
        <v>2016</v>
      </c>
      <c r="C44" s="274">
        <f t="shared" si="11"/>
        <v>7.8</v>
      </c>
      <c r="D44" s="274">
        <f t="shared" si="11"/>
        <v>54.2</v>
      </c>
      <c r="E44" s="274">
        <f t="shared" si="11"/>
        <v>18.7</v>
      </c>
      <c r="F44" s="274">
        <f t="shared" si="11"/>
        <v>105.1</v>
      </c>
      <c r="G44" s="274">
        <f t="shared" si="11"/>
        <v>146.5</v>
      </c>
      <c r="H44" s="274">
        <f t="shared" si="11"/>
        <v>23.7</v>
      </c>
      <c r="I44" s="274">
        <f t="shared" si="11"/>
        <v>200.2</v>
      </c>
      <c r="J44" s="274">
        <f t="shared" si="11"/>
        <v>5.0999999999999996</v>
      </c>
      <c r="K44" s="274">
        <f t="shared" si="11"/>
        <v>73.400000000000006</v>
      </c>
      <c r="L44" s="274">
        <f t="shared" si="11"/>
        <v>108</v>
      </c>
      <c r="M44" s="274">
        <f t="shared" si="11"/>
        <v>5.6</v>
      </c>
      <c r="N44" s="280">
        <f t="shared" si="11"/>
        <v>44.5</v>
      </c>
      <c r="O44" s="281">
        <f t="shared" si="8"/>
        <v>792.8</v>
      </c>
      <c r="P44" s="269">
        <f t="shared" si="9"/>
        <v>66.099999999999994</v>
      </c>
    </row>
    <row r="45" spans="2:16" ht="22.5" customHeight="1">
      <c r="B45" s="279">
        <f t="shared" ref="B45:N45" si="12">B29</f>
        <v>2017</v>
      </c>
      <c r="C45" s="274">
        <f t="shared" si="12"/>
        <v>14.8</v>
      </c>
      <c r="D45" s="274">
        <f t="shared" si="12"/>
        <v>30.2</v>
      </c>
      <c r="E45" s="274">
        <f t="shared" si="12"/>
        <v>14.4</v>
      </c>
      <c r="F45" s="274">
        <f t="shared" si="12"/>
        <v>57.6</v>
      </c>
      <c r="G45" s="274">
        <f t="shared" si="12"/>
        <v>58.9</v>
      </c>
      <c r="H45" s="274">
        <f t="shared" si="12"/>
        <v>21.1</v>
      </c>
      <c r="I45" s="274">
        <f t="shared" si="12"/>
        <v>278.10000000000002</v>
      </c>
      <c r="J45" s="274">
        <f t="shared" si="12"/>
        <v>210</v>
      </c>
      <c r="K45" s="274">
        <f t="shared" si="12"/>
        <v>90</v>
      </c>
      <c r="L45" s="274">
        <f t="shared" si="12"/>
        <v>26.6</v>
      </c>
      <c r="M45" s="274">
        <f t="shared" si="12"/>
        <v>15.9</v>
      </c>
      <c r="N45" s="280">
        <f t="shared" si="12"/>
        <v>38.6</v>
      </c>
      <c r="O45" s="281">
        <f t="shared" si="8"/>
        <v>856.2</v>
      </c>
      <c r="P45" s="269">
        <f t="shared" si="9"/>
        <v>71.400000000000006</v>
      </c>
    </row>
    <row r="46" spans="2:16" ht="22.5" customHeight="1">
      <c r="B46" s="279">
        <f t="shared" ref="B46:N46" si="13">B30</f>
        <v>2018</v>
      </c>
      <c r="C46" s="274">
        <f t="shared" si="13"/>
        <v>15</v>
      </c>
      <c r="D46" s="274">
        <f t="shared" si="13"/>
        <v>33.6</v>
      </c>
      <c r="E46" s="274">
        <f t="shared" si="13"/>
        <v>92</v>
      </c>
      <c r="F46" s="274">
        <f t="shared" si="13"/>
        <v>128.1</v>
      </c>
      <c r="G46" s="274">
        <f t="shared" si="13"/>
        <v>104.5</v>
      </c>
      <c r="H46" s="274">
        <f t="shared" si="13"/>
        <v>71</v>
      </c>
      <c r="I46" s="274">
        <f t="shared" si="13"/>
        <v>262.7</v>
      </c>
      <c r="J46" s="274">
        <f t="shared" si="13"/>
        <v>239.6</v>
      </c>
      <c r="K46" s="274">
        <f t="shared" si="13"/>
        <v>158.19999999999999</v>
      </c>
      <c r="L46" s="274">
        <f t="shared" si="13"/>
        <v>154.69999999999999</v>
      </c>
      <c r="M46" s="274">
        <f t="shared" si="13"/>
        <v>46.7</v>
      </c>
      <c r="N46" s="280">
        <f t="shared" si="13"/>
        <v>31.1</v>
      </c>
      <c r="O46" s="281">
        <f t="shared" si="8"/>
        <v>1337.2</v>
      </c>
      <c r="P46" s="269">
        <f t="shared" si="9"/>
        <v>111.4</v>
      </c>
    </row>
    <row r="47" spans="2:16" ht="22.5" customHeight="1">
      <c r="B47" s="279">
        <f t="shared" ref="B47:N47" si="14">B31</f>
        <v>2019</v>
      </c>
      <c r="C47" s="274">
        <f t="shared" si="14"/>
        <v>1.9</v>
      </c>
      <c r="D47" s="274">
        <f t="shared" si="14"/>
        <v>17.8</v>
      </c>
      <c r="E47" s="274">
        <f t="shared" si="14"/>
        <v>18.2</v>
      </c>
      <c r="F47" s="274">
        <f t="shared" si="14"/>
        <v>71.900000000000006</v>
      </c>
      <c r="G47" s="274">
        <f t="shared" si="14"/>
        <v>31.3</v>
      </c>
      <c r="H47" s="274">
        <f t="shared" si="14"/>
        <v>56</v>
      </c>
      <c r="I47" s="274">
        <f t="shared" si="14"/>
        <v>149</v>
      </c>
      <c r="J47" s="274">
        <f t="shared" si="14"/>
        <v>131.30000000000001</v>
      </c>
      <c r="K47" s="274">
        <f t="shared" si="14"/>
        <v>118.7</v>
      </c>
      <c r="L47" s="274">
        <f t="shared" si="14"/>
        <v>63.9</v>
      </c>
      <c r="M47" s="274">
        <f t="shared" si="14"/>
        <v>130.6</v>
      </c>
      <c r="N47" s="280">
        <f t="shared" si="14"/>
        <v>31.3</v>
      </c>
      <c r="O47" s="281">
        <f t="shared" si="8"/>
        <v>821.9</v>
      </c>
      <c r="P47" s="269">
        <f t="shared" si="9"/>
        <v>68.5</v>
      </c>
    </row>
    <row r="48" spans="2:16" ht="22.5" customHeight="1">
      <c r="B48" s="279">
        <f t="shared" ref="B48:N48" si="15">B32</f>
        <v>2020</v>
      </c>
      <c r="C48" s="274">
        <f t="shared" si="15"/>
        <v>49.4</v>
      </c>
      <c r="D48" s="274">
        <f t="shared" si="15"/>
        <v>75.3</v>
      </c>
      <c r="E48" s="274">
        <f t="shared" si="15"/>
        <v>22.8</v>
      </c>
      <c r="F48" s="274">
        <f t="shared" si="15"/>
        <v>16.5</v>
      </c>
      <c r="G48" s="274">
        <f t="shared" si="15"/>
        <v>92.4</v>
      </c>
      <c r="H48" s="274">
        <f t="shared" si="15"/>
        <v>139.69999999999999</v>
      </c>
      <c r="I48" s="274">
        <f t="shared" si="15"/>
        <v>345.9</v>
      </c>
      <c r="J48" s="274">
        <f t="shared" si="15"/>
        <v>321.5</v>
      </c>
      <c r="K48" s="274">
        <f t="shared" si="15"/>
        <v>177.1</v>
      </c>
      <c r="L48" s="274">
        <f t="shared" si="15"/>
        <v>16.2</v>
      </c>
      <c r="M48" s="274">
        <f t="shared" si="15"/>
        <v>35.4</v>
      </c>
      <c r="N48" s="280">
        <f t="shared" si="15"/>
        <v>9.6999999999999993</v>
      </c>
      <c r="O48" s="281">
        <f t="shared" si="8"/>
        <v>1301.9000000000001</v>
      </c>
      <c r="P48" s="269">
        <f t="shared" si="9"/>
        <v>108.5</v>
      </c>
    </row>
    <row r="49" spans="2:16" ht="22.5" customHeight="1">
      <c r="B49" s="279">
        <f t="shared" ref="B49:N49" si="16">B33</f>
        <v>2021</v>
      </c>
      <c r="C49" s="274">
        <f t="shared" si="16"/>
        <v>32</v>
      </c>
      <c r="D49" s="274">
        <f t="shared" si="16"/>
        <v>18.7</v>
      </c>
      <c r="E49" s="274">
        <f t="shared" si="16"/>
        <v>76.099999999999994</v>
      </c>
      <c r="F49" s="274">
        <f t="shared" si="16"/>
        <v>43.4</v>
      </c>
      <c r="G49" s="274">
        <f t="shared" si="16"/>
        <v>110</v>
      </c>
      <c r="H49" s="274">
        <f t="shared" si="16"/>
        <v>55</v>
      </c>
      <c r="I49" s="274">
        <f t="shared" si="16"/>
        <v>131.30000000000001</v>
      </c>
      <c r="J49" s="274">
        <f t="shared" si="16"/>
        <v>253.7</v>
      </c>
      <c r="K49" s="274">
        <f t="shared" si="16"/>
        <v>215.9</v>
      </c>
      <c r="L49" s="274">
        <f t="shared" si="16"/>
        <v>39.6</v>
      </c>
      <c r="M49" s="274">
        <f t="shared" si="16"/>
        <v>117.8</v>
      </c>
      <c r="N49" s="280">
        <f t="shared" si="16"/>
        <v>14.4</v>
      </c>
      <c r="O49" s="281">
        <f t="shared" si="8"/>
        <v>1107.9000000000001</v>
      </c>
      <c r="P49" s="269">
        <f t="shared" si="9"/>
        <v>92.3</v>
      </c>
    </row>
    <row r="50" spans="2:16" ht="22.5" customHeight="1" thickBot="1">
      <c r="B50" s="282">
        <f t="shared" ref="B50:N50" si="17">B34</f>
        <v>2022</v>
      </c>
      <c r="C50" s="283">
        <f t="shared" si="17"/>
        <v>8.4</v>
      </c>
      <c r="D50" s="283">
        <f t="shared" si="17"/>
        <v>5.3</v>
      </c>
      <c r="E50" s="283">
        <f>E34</f>
        <v>60.9</v>
      </c>
      <c r="F50" s="283">
        <f t="shared" si="17"/>
        <v>34.799999999999997</v>
      </c>
      <c r="G50" s="283">
        <f t="shared" si="17"/>
        <v>5.7</v>
      </c>
      <c r="H50" s="283">
        <f t="shared" si="17"/>
        <v>225</v>
      </c>
      <c r="I50" s="283">
        <f t="shared" si="17"/>
        <v>119.9</v>
      </c>
      <c r="J50" s="283">
        <f t="shared" si="17"/>
        <v>637.1</v>
      </c>
      <c r="K50" s="283">
        <f t="shared" si="17"/>
        <v>102</v>
      </c>
      <c r="L50" s="283">
        <f t="shared" si="17"/>
        <v>112</v>
      </c>
      <c r="M50" s="283">
        <f t="shared" si="17"/>
        <v>23.3</v>
      </c>
      <c r="N50" s="284">
        <f t="shared" si="17"/>
        <v>14</v>
      </c>
      <c r="O50" s="285">
        <f t="shared" si="8"/>
        <v>1348.4</v>
      </c>
      <c r="P50" s="273">
        <f t="shared" si="9"/>
        <v>112.4</v>
      </c>
    </row>
    <row r="51" spans="2:16" ht="22.5" customHeight="1">
      <c r="B51" s="286" t="s">
        <v>46</v>
      </c>
      <c r="C51" s="287">
        <f>MAX(C41:C50)</f>
        <v>49.4</v>
      </c>
      <c r="D51" s="287">
        <f t="shared" ref="D51:P51" si="18">MAX(D41:D50)</f>
        <v>75.3</v>
      </c>
      <c r="E51" s="287">
        <f t="shared" si="18"/>
        <v>92</v>
      </c>
      <c r="F51" s="287">
        <f t="shared" si="18"/>
        <v>129.69999999999999</v>
      </c>
      <c r="G51" s="287">
        <f t="shared" si="18"/>
        <v>146.5</v>
      </c>
      <c r="H51" s="287">
        <f t="shared" si="18"/>
        <v>225</v>
      </c>
      <c r="I51" s="287">
        <f t="shared" si="18"/>
        <v>345.9</v>
      </c>
      <c r="J51" s="287">
        <f t="shared" si="18"/>
        <v>637.1</v>
      </c>
      <c r="K51" s="287">
        <f t="shared" si="18"/>
        <v>320</v>
      </c>
      <c r="L51" s="287">
        <f t="shared" si="18"/>
        <v>156</v>
      </c>
      <c r="M51" s="287">
        <f t="shared" si="18"/>
        <v>155.6</v>
      </c>
      <c r="N51" s="288">
        <f t="shared" si="18"/>
        <v>66.599999999999994</v>
      </c>
      <c r="O51" s="289">
        <f t="shared" si="18"/>
        <v>1387.7</v>
      </c>
      <c r="P51" s="290">
        <f t="shared" si="18"/>
        <v>115.6</v>
      </c>
    </row>
    <row r="52" spans="2:16" ht="22.5" customHeight="1">
      <c r="B52" s="291" t="s">
        <v>47</v>
      </c>
      <c r="C52" s="292">
        <f>MIN(C41:C50)</f>
        <v>1.9</v>
      </c>
      <c r="D52" s="292">
        <f t="shared" ref="D52:P52" si="19">MIN(D41:D50)</f>
        <v>5.3</v>
      </c>
      <c r="E52" s="292">
        <f t="shared" si="19"/>
        <v>14.4</v>
      </c>
      <c r="F52" s="292">
        <f t="shared" si="19"/>
        <v>16.5</v>
      </c>
      <c r="G52" s="292">
        <f t="shared" si="19"/>
        <v>5.7</v>
      </c>
      <c r="H52" s="292">
        <f t="shared" si="19"/>
        <v>21.1</v>
      </c>
      <c r="I52" s="292">
        <f t="shared" si="19"/>
        <v>94.7</v>
      </c>
      <c r="J52" s="292">
        <f t="shared" si="19"/>
        <v>5.0999999999999996</v>
      </c>
      <c r="K52" s="292">
        <f t="shared" si="19"/>
        <v>13.3</v>
      </c>
      <c r="L52" s="292">
        <f t="shared" si="19"/>
        <v>10.9</v>
      </c>
      <c r="M52" s="292">
        <f t="shared" si="19"/>
        <v>5.6</v>
      </c>
      <c r="N52" s="293">
        <f t="shared" si="19"/>
        <v>9.6999999999999993</v>
      </c>
      <c r="O52" s="281">
        <f>MIN(O41:O50)</f>
        <v>785.4</v>
      </c>
      <c r="P52" s="269">
        <f t="shared" si="19"/>
        <v>65.5</v>
      </c>
    </row>
    <row r="53" spans="2:16" ht="22.5" customHeight="1" thickBot="1">
      <c r="B53" s="294" t="s">
        <v>30</v>
      </c>
      <c r="C53" s="295">
        <f>ROUND(AVERAGE(C41:C50),1)</f>
        <v>19.100000000000001</v>
      </c>
      <c r="D53" s="295">
        <f t="shared" ref="D53:N53" si="20">ROUND(AVERAGE(D41:D50),1)</f>
        <v>32</v>
      </c>
      <c r="E53" s="295">
        <f t="shared" si="20"/>
        <v>44.4</v>
      </c>
      <c r="F53" s="295">
        <f t="shared" si="20"/>
        <v>72.5</v>
      </c>
      <c r="G53" s="295">
        <f t="shared" si="20"/>
        <v>75.2</v>
      </c>
      <c r="H53" s="295">
        <f t="shared" si="20"/>
        <v>96.1</v>
      </c>
      <c r="I53" s="295">
        <f t="shared" si="20"/>
        <v>195.3</v>
      </c>
      <c r="J53" s="295">
        <f t="shared" si="20"/>
        <v>221.2</v>
      </c>
      <c r="K53" s="295">
        <f t="shared" si="20"/>
        <v>142.1</v>
      </c>
      <c r="L53" s="295">
        <f t="shared" si="20"/>
        <v>77.8</v>
      </c>
      <c r="M53" s="295">
        <f t="shared" si="20"/>
        <v>65.2</v>
      </c>
      <c r="N53" s="296">
        <f t="shared" si="20"/>
        <v>34.200000000000003</v>
      </c>
      <c r="O53" s="285">
        <f>ROUND(AVERAGE(O41:O50),1)</f>
        <v>1075</v>
      </c>
      <c r="P53" s="273">
        <f>ROUND(AVERAGE(P41:P50),1)</f>
        <v>89.6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352425</xdr:colOff>
                <xdr:row>4</xdr:row>
                <xdr:rowOff>142875</xdr:rowOff>
              </from>
              <to>
                <xdr:col>17</xdr:col>
                <xdr:colOff>1495425</xdr:colOff>
                <xdr:row>5</xdr:row>
                <xdr:rowOff>180975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r:id="rId7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95250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G41" sqref="G41"/>
    </sheetView>
  </sheetViews>
  <sheetFormatPr defaultColWidth="8.88671875" defaultRowHeight="16.5"/>
  <cols>
    <col min="1" max="1" width="8.88671875" style="79"/>
    <col min="2" max="2" width="8.88671875" style="97"/>
    <col min="3" max="3" width="8" style="97" customWidth="1"/>
    <col min="4" max="16384" width="8.88671875" style="79"/>
  </cols>
  <sheetData>
    <row r="1" spans="2:16" ht="17.25" thickBot="1">
      <c r="I1"/>
      <c r="J1"/>
      <c r="K1"/>
    </row>
    <row r="2" spans="2:16">
      <c r="B2" s="81"/>
      <c r="C2" s="82" t="s">
        <v>7</v>
      </c>
      <c r="D2" s="82" t="s">
        <v>8</v>
      </c>
      <c r="E2" s="82" t="s">
        <v>9</v>
      </c>
      <c r="F2" s="82" t="s">
        <v>10</v>
      </c>
      <c r="G2" s="82" t="s">
        <v>11</v>
      </c>
      <c r="H2" s="82" t="s">
        <v>12</v>
      </c>
      <c r="I2" s="82" t="s">
        <v>13</v>
      </c>
      <c r="J2" s="82" t="s">
        <v>14</v>
      </c>
      <c r="K2" s="82" t="s">
        <v>15</v>
      </c>
      <c r="L2" s="82" t="s">
        <v>16</v>
      </c>
      <c r="M2" s="82" t="s">
        <v>17</v>
      </c>
      <c r="N2" s="82" t="s">
        <v>18</v>
      </c>
      <c r="O2" s="82" t="s">
        <v>28</v>
      </c>
      <c r="P2" s="83" t="s">
        <v>20</v>
      </c>
    </row>
    <row r="3" spans="2:16">
      <c r="B3" s="84">
        <f>All!B5</f>
        <v>1993</v>
      </c>
      <c r="C3" s="85">
        <f>All!C5</f>
        <v>4.5999999999999996</v>
      </c>
      <c r="D3" s="85">
        <f>All!D5</f>
        <v>66.7</v>
      </c>
      <c r="E3" s="85">
        <f>All!E5</f>
        <v>21.6</v>
      </c>
      <c r="F3" s="85">
        <f>All!F5</f>
        <v>32.6</v>
      </c>
      <c r="G3" s="85">
        <f>All!G5</f>
        <v>68.5</v>
      </c>
      <c r="H3" s="85">
        <f>All!H5</f>
        <v>225.5</v>
      </c>
      <c r="I3" s="85">
        <f>All!I5</f>
        <v>241.5</v>
      </c>
      <c r="J3" s="85">
        <f>All!J5</f>
        <v>206.5</v>
      </c>
      <c r="K3" s="85">
        <f>All!K5</f>
        <v>141.5</v>
      </c>
      <c r="L3" s="85">
        <f>All!L5</f>
        <v>32</v>
      </c>
      <c r="M3" s="85">
        <f>All!M5</f>
        <v>87.4</v>
      </c>
      <c r="N3" s="85">
        <f>All!N5</f>
        <v>33.700000000000003</v>
      </c>
      <c r="O3" s="85">
        <f>All!O5</f>
        <v>1162.0999999999999</v>
      </c>
      <c r="P3" s="86">
        <f>All!P5</f>
        <v>96.8</v>
      </c>
    </row>
    <row r="4" spans="2:16">
      <c r="B4" s="84">
        <f>All!B6</f>
        <v>1994</v>
      </c>
      <c r="C4" s="85">
        <f>All!C6</f>
        <v>17.899999999999999</v>
      </c>
      <c r="D4" s="85">
        <f>All!D6</f>
        <v>6</v>
      </c>
      <c r="E4" s="85">
        <f>All!E6</f>
        <v>58.2</v>
      </c>
      <c r="F4" s="85">
        <f>All!F6</f>
        <v>51.5</v>
      </c>
      <c r="G4" s="85">
        <f>All!G6</f>
        <v>135.5</v>
      </c>
      <c r="H4" s="85">
        <f>All!H6</f>
        <v>207</v>
      </c>
      <c r="I4" s="85">
        <f>All!I6</f>
        <v>137</v>
      </c>
      <c r="J4" s="85">
        <f>All!J6</f>
        <v>443.5</v>
      </c>
      <c r="K4" s="85">
        <f>All!K6</f>
        <v>21</v>
      </c>
      <c r="L4" s="85">
        <f>All!L6</f>
        <v>155</v>
      </c>
      <c r="M4" s="85">
        <f>All!M6</f>
        <v>17.5</v>
      </c>
      <c r="N4" s="85">
        <f>All!N6</f>
        <v>18.899999999999999</v>
      </c>
      <c r="O4" s="85">
        <f>All!O6</f>
        <v>1269</v>
      </c>
      <c r="P4" s="86">
        <f>All!P6</f>
        <v>105.8</v>
      </c>
    </row>
    <row r="5" spans="2:16">
      <c r="B5" s="84">
        <f>All!B7</f>
        <v>1995</v>
      </c>
      <c r="C5" s="85">
        <f>All!C7</f>
        <v>15.7</v>
      </c>
      <c r="D5" s="85">
        <f>All!D7</f>
        <v>11</v>
      </c>
      <c r="E5" s="85">
        <f>All!E7</f>
        <v>19.600000000000001</v>
      </c>
      <c r="F5" s="85">
        <f>All!F7</f>
        <v>65.5</v>
      </c>
      <c r="G5" s="85">
        <f>All!G7</f>
        <v>49.5</v>
      </c>
      <c r="H5" s="85">
        <f>All!H7</f>
        <v>26.5</v>
      </c>
      <c r="I5" s="85">
        <f>All!I7</f>
        <v>144.5</v>
      </c>
      <c r="J5" s="85">
        <f>All!J7</f>
        <v>996.5</v>
      </c>
      <c r="K5" s="85">
        <f>All!K7</f>
        <v>70.5</v>
      </c>
      <c r="L5" s="85">
        <f>All!L7</f>
        <v>24.5</v>
      </c>
      <c r="M5" s="85">
        <f>All!M7</f>
        <v>23</v>
      </c>
      <c r="N5" s="85">
        <f>All!N7</f>
        <v>12.7</v>
      </c>
      <c r="O5" s="85">
        <f>All!O7</f>
        <v>1459.5</v>
      </c>
      <c r="P5" s="86">
        <f>All!P7</f>
        <v>121.6</v>
      </c>
    </row>
    <row r="6" spans="2:16">
      <c r="B6" s="84">
        <f>All!B8</f>
        <v>1996</v>
      </c>
      <c r="C6" s="85">
        <f>All!C8</f>
        <v>33.4</v>
      </c>
      <c r="D6" s="85">
        <f>All!D8</f>
        <v>6.8</v>
      </c>
      <c r="E6" s="85">
        <f>All!E8</f>
        <v>104.5</v>
      </c>
      <c r="F6" s="85">
        <f>All!F8</f>
        <v>34</v>
      </c>
      <c r="G6" s="85">
        <f>All!G8</f>
        <v>22.5</v>
      </c>
      <c r="H6" s="85">
        <f>All!H8</f>
        <v>235</v>
      </c>
      <c r="I6" s="85">
        <f>All!I8</f>
        <v>192.5</v>
      </c>
      <c r="J6" s="85">
        <f>All!J8</f>
        <v>44.5</v>
      </c>
      <c r="K6" s="85">
        <f>All!K8</f>
        <v>14</v>
      </c>
      <c r="L6" s="85">
        <f>All!L8</f>
        <v>106.5</v>
      </c>
      <c r="M6" s="85">
        <f>All!M8</f>
        <v>74.2</v>
      </c>
      <c r="N6" s="85">
        <f>All!N8</f>
        <v>31.7</v>
      </c>
      <c r="O6" s="85">
        <f>All!O8</f>
        <v>899.6</v>
      </c>
      <c r="P6" s="86">
        <f>All!P8</f>
        <v>75</v>
      </c>
    </row>
    <row r="7" spans="2:16">
      <c r="B7" s="84">
        <f>All!B9</f>
        <v>1997</v>
      </c>
      <c r="C7" s="85">
        <f>All!C9</f>
        <v>15.1</v>
      </c>
      <c r="D7" s="85">
        <f>All!D9</f>
        <v>38.4</v>
      </c>
      <c r="E7" s="85">
        <f>All!E9</f>
        <v>30.5</v>
      </c>
      <c r="F7" s="85">
        <f>All!F9</f>
        <v>57.5</v>
      </c>
      <c r="G7" s="85">
        <f>All!G9</f>
        <v>203</v>
      </c>
      <c r="H7" s="85">
        <f>All!H9</f>
        <v>272</v>
      </c>
      <c r="I7" s="85">
        <f>All!I9</f>
        <v>353.5</v>
      </c>
      <c r="J7" s="85">
        <f>All!J9</f>
        <v>211.5</v>
      </c>
      <c r="K7" s="85">
        <f>All!K9</f>
        <v>23</v>
      </c>
      <c r="L7" s="85">
        <f>All!L9</f>
        <v>10</v>
      </c>
      <c r="M7" s="85">
        <f>All!M9</f>
        <v>193.5</v>
      </c>
      <c r="N7" s="85">
        <f>All!N9</f>
        <v>34.299999999999997</v>
      </c>
      <c r="O7" s="85">
        <f>All!O9</f>
        <v>1442.3</v>
      </c>
      <c r="P7" s="86">
        <f>All!P9</f>
        <v>120.2</v>
      </c>
    </row>
    <row r="8" spans="2:16">
      <c r="B8" s="84">
        <f>All!B10</f>
        <v>1998</v>
      </c>
      <c r="C8" s="85">
        <f>All!C10</f>
        <v>29.9</v>
      </c>
      <c r="D8" s="85">
        <f>All!D10</f>
        <v>40.200000000000003</v>
      </c>
      <c r="E8" s="85">
        <f>All!E10</f>
        <v>30.5</v>
      </c>
      <c r="F8" s="85">
        <f>All!F10</f>
        <v>138</v>
      </c>
      <c r="G8" s="85">
        <f>All!G10</f>
        <v>100</v>
      </c>
      <c r="H8" s="85">
        <f>All!H10</f>
        <v>209.5</v>
      </c>
      <c r="I8" s="85">
        <f>All!I10</f>
        <v>263</v>
      </c>
      <c r="J8" s="85">
        <f>All!J10</f>
        <v>341.7</v>
      </c>
      <c r="K8" s="85">
        <f>All!K10</f>
        <v>150.30000000000001</v>
      </c>
      <c r="L8" s="85">
        <f>All!L10</f>
        <v>61</v>
      </c>
      <c r="M8" s="85">
        <f>All!M10</f>
        <v>29.3</v>
      </c>
      <c r="N8" s="85">
        <f>All!N10</f>
        <v>3.8</v>
      </c>
      <c r="O8" s="85">
        <f>All!O10</f>
        <v>1397.2</v>
      </c>
      <c r="P8" s="86">
        <f>All!P10</f>
        <v>116.4</v>
      </c>
    </row>
    <row r="9" spans="2:16">
      <c r="B9" s="84">
        <f>All!B11</f>
        <v>1999</v>
      </c>
      <c r="C9" s="85">
        <f>All!C11</f>
        <v>7.9</v>
      </c>
      <c r="D9" s="85">
        <f>All!D11</f>
        <v>9.5</v>
      </c>
      <c r="E9" s="85">
        <f>All!E11</f>
        <v>71</v>
      </c>
      <c r="F9" s="85">
        <f>All!F11</f>
        <v>88.5</v>
      </c>
      <c r="G9" s="85">
        <f>All!G11</f>
        <v>124.5</v>
      </c>
      <c r="H9" s="85">
        <f>All!H11</f>
        <v>192.5</v>
      </c>
      <c r="I9" s="85">
        <f>All!I11</f>
        <v>98</v>
      </c>
      <c r="J9" s="85">
        <f>All!J11</f>
        <v>180</v>
      </c>
      <c r="K9" s="85">
        <f>All!K11</f>
        <v>292.5</v>
      </c>
      <c r="L9" s="85">
        <f>All!L11</f>
        <v>169</v>
      </c>
      <c r="M9" s="85">
        <f>All!M11</f>
        <v>24.9</v>
      </c>
      <c r="N9" s="85">
        <f>All!N11</f>
        <v>25.8</v>
      </c>
      <c r="O9" s="85">
        <f>All!O11</f>
        <v>1284.0999999999999</v>
      </c>
      <c r="P9" s="86">
        <f>All!P11</f>
        <v>107</v>
      </c>
    </row>
    <row r="10" spans="2:16">
      <c r="B10" s="84">
        <f>All!B12</f>
        <v>2000</v>
      </c>
      <c r="C10" s="85">
        <f>All!C12</f>
        <v>42.1</v>
      </c>
      <c r="D10" s="85">
        <f>All!D12</f>
        <v>3.2</v>
      </c>
      <c r="E10" s="85">
        <f>All!E12</f>
        <v>7</v>
      </c>
      <c r="F10" s="85">
        <f>All!F12</f>
        <v>35</v>
      </c>
      <c r="G10" s="85">
        <f>All!G12</f>
        <v>53.5</v>
      </c>
      <c r="H10" s="85">
        <f>All!H12</f>
        <v>159.5</v>
      </c>
      <c r="I10" s="85">
        <f>All!I12</f>
        <v>155</v>
      </c>
      <c r="J10" s="85">
        <f>All!J12</f>
        <v>701.5</v>
      </c>
      <c r="K10" s="85">
        <f>All!K12</f>
        <v>241</v>
      </c>
      <c r="L10" s="85">
        <f>All!L12</f>
        <v>46</v>
      </c>
      <c r="M10" s="85">
        <f>All!M12</f>
        <v>39.5</v>
      </c>
      <c r="N10" s="85">
        <f>All!N12</f>
        <v>32.1</v>
      </c>
      <c r="O10" s="85">
        <f>All!O12</f>
        <v>1515.4</v>
      </c>
      <c r="P10" s="86">
        <f>All!P12</f>
        <v>126.3</v>
      </c>
    </row>
    <row r="11" spans="2:16">
      <c r="B11" s="84">
        <f>All!B13</f>
        <v>2001</v>
      </c>
      <c r="C11" s="85">
        <f>All!C13</f>
        <v>73.3</v>
      </c>
      <c r="D11" s="85">
        <f>All!D13</f>
        <v>46</v>
      </c>
      <c r="E11" s="85">
        <f>All!E13</f>
        <v>15.9</v>
      </c>
      <c r="F11" s="85">
        <f>All!F13</f>
        <v>26</v>
      </c>
      <c r="G11" s="85">
        <f>All!G13</f>
        <v>17</v>
      </c>
      <c r="H11" s="85">
        <f>All!H13</f>
        <v>129</v>
      </c>
      <c r="I11" s="85">
        <f>All!I13</f>
        <v>286.5</v>
      </c>
      <c r="J11" s="85">
        <f>All!J13</f>
        <v>170</v>
      </c>
      <c r="K11" s="85">
        <f>All!K13</f>
        <v>10</v>
      </c>
      <c r="L11" s="85">
        <f>All!L13</f>
        <v>85</v>
      </c>
      <c r="M11" s="85">
        <f>All!M13</f>
        <v>13</v>
      </c>
      <c r="N11" s="85">
        <f>All!N13</f>
        <v>32</v>
      </c>
      <c r="O11" s="85">
        <f>All!O13</f>
        <v>903.7</v>
      </c>
      <c r="P11" s="86">
        <f>All!P13</f>
        <v>75.3</v>
      </c>
    </row>
    <row r="12" spans="2:16">
      <c r="B12" s="84">
        <f>All!B14</f>
        <v>2002</v>
      </c>
      <c r="C12" s="85">
        <f>All!C14</f>
        <v>50.8</v>
      </c>
      <c r="D12" s="85">
        <f>All!D14</f>
        <v>5.5</v>
      </c>
      <c r="E12" s="85">
        <f>All!E14</f>
        <v>32</v>
      </c>
      <c r="F12" s="85">
        <f>All!F14</f>
        <v>169</v>
      </c>
      <c r="G12" s="85">
        <f>All!G14</f>
        <v>155.5</v>
      </c>
      <c r="H12" s="85">
        <f>All!H14</f>
        <v>72</v>
      </c>
      <c r="I12" s="85">
        <f>All!I14</f>
        <v>217.5</v>
      </c>
      <c r="J12" s="85">
        <f>All!J14</f>
        <v>477</v>
      </c>
      <c r="K12" s="85">
        <f>All!K14</f>
        <v>27</v>
      </c>
      <c r="L12" s="85">
        <f>All!L14</f>
        <v>134</v>
      </c>
      <c r="M12" s="85">
        <f>All!M14</f>
        <v>61.1</v>
      </c>
      <c r="N12" s="85">
        <f>All!N14</f>
        <v>51.8</v>
      </c>
      <c r="O12" s="85">
        <f>All!O14</f>
        <v>1453.2</v>
      </c>
      <c r="P12" s="86">
        <f>All!P14</f>
        <v>121.1</v>
      </c>
    </row>
    <row r="13" spans="2:16">
      <c r="B13" s="84">
        <f>All!B15</f>
        <v>2003</v>
      </c>
      <c r="C13" s="85">
        <f>All!C15</f>
        <v>30.7</v>
      </c>
      <c r="D13" s="85">
        <f>All!D15</f>
        <v>44.5</v>
      </c>
      <c r="E13" s="85">
        <f>All!E15</f>
        <v>39.5</v>
      </c>
      <c r="F13" s="85">
        <f>All!F15</f>
        <v>168.5</v>
      </c>
      <c r="G13" s="85">
        <f>All!G15</f>
        <v>78.5</v>
      </c>
      <c r="H13" s="85">
        <f>All!H15</f>
        <v>153</v>
      </c>
      <c r="I13" s="85">
        <f>All!I15</f>
        <v>309.5</v>
      </c>
      <c r="J13" s="85">
        <f>All!J15</f>
        <v>310</v>
      </c>
      <c r="K13" s="85">
        <f>All!K15</f>
        <v>128</v>
      </c>
      <c r="L13" s="85">
        <f>All!L15</f>
        <v>23</v>
      </c>
      <c r="M13" s="85">
        <f>All!M15</f>
        <v>45.5</v>
      </c>
      <c r="N13" s="85">
        <f>All!N15</f>
        <v>13</v>
      </c>
      <c r="O13" s="85">
        <f>All!O15</f>
        <v>1343.7</v>
      </c>
      <c r="P13" s="86">
        <f>All!P15</f>
        <v>112</v>
      </c>
    </row>
    <row r="14" spans="2:16">
      <c r="B14" s="84">
        <f>All!B16</f>
        <v>2004</v>
      </c>
      <c r="C14" s="85">
        <f>All!C16</f>
        <v>22.1</v>
      </c>
      <c r="D14" s="85">
        <f>All!D16</f>
        <v>28.5</v>
      </c>
      <c r="E14" s="85">
        <f>All!E16</f>
        <v>45.7</v>
      </c>
      <c r="F14" s="85">
        <f>All!F16</f>
        <v>58</v>
      </c>
      <c r="G14" s="85">
        <f>All!G16</f>
        <v>105.5</v>
      </c>
      <c r="H14" s="85">
        <f>All!H16</f>
        <v>234.5</v>
      </c>
      <c r="I14" s="85">
        <f>All!I16</f>
        <v>263.5</v>
      </c>
      <c r="J14" s="85">
        <f>All!J16</f>
        <v>164</v>
      </c>
      <c r="K14" s="85">
        <f>All!K16</f>
        <v>195</v>
      </c>
      <c r="L14" s="85">
        <f>All!L16</f>
        <v>4</v>
      </c>
      <c r="M14" s="85">
        <f>All!M16</f>
        <v>56.5</v>
      </c>
      <c r="N14" s="85">
        <f>All!N16</f>
        <v>38.9</v>
      </c>
      <c r="O14" s="85">
        <f>All!O16</f>
        <v>1216.2</v>
      </c>
      <c r="P14" s="86">
        <f>All!P16</f>
        <v>101.4</v>
      </c>
    </row>
    <row r="15" spans="2:16">
      <c r="B15" s="84">
        <f>All!B17</f>
        <v>2005</v>
      </c>
      <c r="C15" s="85">
        <f>All!C17</f>
        <v>5.8</v>
      </c>
      <c r="D15" s="85">
        <f>All!D17</f>
        <v>35.799999999999997</v>
      </c>
      <c r="E15" s="85">
        <f>All!E17</f>
        <v>30</v>
      </c>
      <c r="F15" s="85">
        <f>All!F17</f>
        <v>73.5</v>
      </c>
      <c r="G15" s="85">
        <f>All!G17</f>
        <v>48.5</v>
      </c>
      <c r="H15" s="85">
        <f>All!H17</f>
        <v>156</v>
      </c>
      <c r="I15" s="85">
        <f>All!I17</f>
        <v>260.5</v>
      </c>
      <c r="J15" s="85">
        <f>All!J17</f>
        <v>291.5</v>
      </c>
      <c r="K15" s="85">
        <f>All!K17</f>
        <v>282.5</v>
      </c>
      <c r="L15" s="85">
        <f>All!L17</f>
        <v>21</v>
      </c>
      <c r="M15" s="85">
        <f>All!M17</f>
        <v>18</v>
      </c>
      <c r="N15" s="85">
        <f>All!N17</f>
        <v>43.4</v>
      </c>
      <c r="O15" s="85">
        <f>All!O17</f>
        <v>1266.5</v>
      </c>
      <c r="P15" s="86">
        <f>All!P17</f>
        <v>105.5</v>
      </c>
    </row>
    <row r="16" spans="2:16">
      <c r="B16" s="84">
        <f>All!B18</f>
        <v>2006</v>
      </c>
      <c r="C16" s="85">
        <f>All!C18</f>
        <v>27</v>
      </c>
      <c r="D16" s="85">
        <f>All!D18</f>
        <v>25.9</v>
      </c>
      <c r="E16" s="85">
        <f>All!E18</f>
        <v>10.6</v>
      </c>
      <c r="F16" s="85">
        <f>All!F18</f>
        <v>81.5</v>
      </c>
      <c r="G16" s="85">
        <f>All!G18</f>
        <v>94.5</v>
      </c>
      <c r="H16" s="85">
        <f>All!H18</f>
        <v>114.5</v>
      </c>
      <c r="I16" s="85">
        <f>All!I18</f>
        <v>321</v>
      </c>
      <c r="J16" s="85">
        <f>All!J18</f>
        <v>21.5</v>
      </c>
      <c r="K16" s="85">
        <f>All!K18</f>
        <v>23.5</v>
      </c>
      <c r="L16" s="85">
        <f>All!L18</f>
        <v>24.5</v>
      </c>
      <c r="M16" s="85">
        <f>All!M18</f>
        <v>61.5</v>
      </c>
      <c r="N16" s="85">
        <f>All!N18</f>
        <v>25.4</v>
      </c>
      <c r="O16" s="85">
        <f>All!O18</f>
        <v>831.4</v>
      </c>
      <c r="P16" s="86">
        <f>All!P18</f>
        <v>69.3</v>
      </c>
    </row>
    <row r="17" spans="2:16">
      <c r="B17" s="84">
        <f>All!B19</f>
        <v>2007</v>
      </c>
      <c r="C17" s="85">
        <f>All!C19</f>
        <v>23.4</v>
      </c>
      <c r="D17" s="85">
        <f>All!D19</f>
        <v>29.8</v>
      </c>
      <c r="E17" s="85">
        <f>All!E19</f>
        <v>102</v>
      </c>
      <c r="F17" s="85">
        <f>All!F19</f>
        <v>29.5</v>
      </c>
      <c r="G17" s="85">
        <f>All!G19</f>
        <v>79</v>
      </c>
      <c r="H17" s="85">
        <f>All!H19</f>
        <v>85</v>
      </c>
      <c r="I17" s="85">
        <f>All!I19</f>
        <v>214</v>
      </c>
      <c r="J17" s="85">
        <f>All!J19</f>
        <v>239.5</v>
      </c>
      <c r="K17" s="85">
        <f>All!K19</f>
        <v>384</v>
      </c>
      <c r="L17" s="85">
        <f>All!L19</f>
        <v>59</v>
      </c>
      <c r="M17" s="85">
        <f>All!M19</f>
        <v>17.5</v>
      </c>
      <c r="N17" s="85">
        <f>All!N19</f>
        <v>33.1</v>
      </c>
      <c r="O17" s="85">
        <f>All!O19</f>
        <v>1295.8</v>
      </c>
      <c r="P17" s="86">
        <f>All!P19</f>
        <v>108</v>
      </c>
    </row>
    <row r="18" spans="2:16">
      <c r="B18" s="84">
        <f>All!B20</f>
        <v>2008</v>
      </c>
      <c r="C18" s="85">
        <f>All!C20</f>
        <v>20.9</v>
      </c>
      <c r="D18" s="85">
        <f>All!D20</f>
        <v>10.8</v>
      </c>
      <c r="E18" s="85">
        <f>All!E20</f>
        <v>48.2</v>
      </c>
      <c r="F18" s="85">
        <f>All!F20</f>
        <v>40.5</v>
      </c>
      <c r="G18" s="85">
        <f>All!G20</f>
        <v>78.900000000000006</v>
      </c>
      <c r="H18" s="85">
        <f>All!H20</f>
        <v>101.3</v>
      </c>
      <c r="I18" s="85">
        <f>All!I20</f>
        <v>257.2</v>
      </c>
      <c r="J18" s="85">
        <f>All!J20</f>
        <v>119.5</v>
      </c>
      <c r="K18" s="85">
        <f>All!K20</f>
        <v>46.9</v>
      </c>
      <c r="L18" s="85">
        <f>All!L20</f>
        <v>26.7</v>
      </c>
      <c r="M18" s="85">
        <f>All!M20</f>
        <v>37.6</v>
      </c>
      <c r="N18" s="85">
        <f>All!N20</f>
        <v>25</v>
      </c>
      <c r="O18" s="85">
        <f>All!O20</f>
        <v>813.5</v>
      </c>
      <c r="P18" s="86">
        <f>All!P20</f>
        <v>67.8</v>
      </c>
    </row>
    <row r="19" spans="2:16">
      <c r="B19" s="84">
        <f>All!B21</f>
        <v>2009</v>
      </c>
      <c r="C19" s="85">
        <f>All!C21</f>
        <v>18.5</v>
      </c>
      <c r="D19" s="85">
        <f>All!D21</f>
        <v>23.3</v>
      </c>
      <c r="E19" s="85">
        <f>All!E21</f>
        <v>55.1</v>
      </c>
      <c r="F19" s="85">
        <f>All!F21</f>
        <v>41.5</v>
      </c>
      <c r="G19" s="85">
        <f>All!G21</f>
        <v>154.5</v>
      </c>
      <c r="H19" s="85">
        <f>All!H21</f>
        <v>115.1</v>
      </c>
      <c r="I19" s="85">
        <f>All!I21</f>
        <v>320.89999999999998</v>
      </c>
      <c r="J19" s="85">
        <f>All!J21</f>
        <v>176.6</v>
      </c>
      <c r="K19" s="85">
        <f>All!K21</f>
        <v>25.5</v>
      </c>
      <c r="L19" s="85">
        <f>All!L21</f>
        <v>39.5</v>
      </c>
      <c r="M19" s="85">
        <f>All!M21</f>
        <v>52.9</v>
      </c>
      <c r="N19" s="85">
        <f>All!N21</f>
        <v>58</v>
      </c>
      <c r="O19" s="85">
        <f>All!O21</f>
        <v>1081.4000000000001</v>
      </c>
      <c r="P19" s="86">
        <f>All!P21</f>
        <v>90.1</v>
      </c>
    </row>
    <row r="20" spans="2:16">
      <c r="B20" s="84">
        <f>All!B22</f>
        <v>2010</v>
      </c>
      <c r="C20" s="85">
        <f>All!C22</f>
        <v>30.1</v>
      </c>
      <c r="D20" s="85">
        <f>All!D22</f>
        <v>73.5</v>
      </c>
      <c r="E20" s="85">
        <f>All!E22</f>
        <v>75.900000000000006</v>
      </c>
      <c r="F20" s="85">
        <f>All!F22</f>
        <v>58.5</v>
      </c>
      <c r="G20" s="85">
        <f>All!G22</f>
        <v>122.8</v>
      </c>
      <c r="H20" s="85">
        <f>All!H22</f>
        <v>60.8</v>
      </c>
      <c r="I20" s="85">
        <f>All!I22</f>
        <v>396.5</v>
      </c>
      <c r="J20" s="85">
        <f>All!J22</f>
        <v>402.7</v>
      </c>
      <c r="K20" s="85">
        <f>All!K22</f>
        <v>213.1</v>
      </c>
      <c r="L20" s="85">
        <f>All!L22</f>
        <v>19.2</v>
      </c>
      <c r="M20" s="85">
        <f>All!M22</f>
        <v>16.3</v>
      </c>
      <c r="N20" s="85">
        <f>All!N22</f>
        <v>32.9</v>
      </c>
      <c r="O20" s="85">
        <f>All!O22</f>
        <v>1502.3</v>
      </c>
      <c r="P20" s="86">
        <f>All!P22</f>
        <v>125.2</v>
      </c>
    </row>
    <row r="21" spans="2:16">
      <c r="B21" s="84">
        <f>All!B23</f>
        <v>2011</v>
      </c>
      <c r="C21" s="85">
        <f>All!C23</f>
        <v>11.1</v>
      </c>
      <c r="D21" s="85">
        <f>All!D23</f>
        <v>37.5</v>
      </c>
      <c r="E21" s="85">
        <f>All!E23</f>
        <v>18</v>
      </c>
      <c r="F21" s="85">
        <f>All!F23</f>
        <v>72.099999999999994</v>
      </c>
      <c r="G21" s="85">
        <f>All!G23</f>
        <v>115.3</v>
      </c>
      <c r="H21" s="85">
        <f>All!H23</f>
        <v>318</v>
      </c>
      <c r="I21" s="85">
        <f>All!I23</f>
        <v>723.1</v>
      </c>
      <c r="J21" s="85">
        <f>All!J23</f>
        <v>289.39999999999998</v>
      </c>
      <c r="K21" s="85">
        <f>All!K23</f>
        <v>70.8</v>
      </c>
      <c r="L21" s="85">
        <f>All!L23</f>
        <v>13.9</v>
      </c>
      <c r="M21" s="85">
        <f>All!M23</f>
        <v>61.3</v>
      </c>
      <c r="N21" s="85">
        <f>All!N23</f>
        <v>12.5</v>
      </c>
      <c r="O21" s="85">
        <f>All!O23</f>
        <v>1743</v>
      </c>
      <c r="P21" s="86">
        <f>All!P23</f>
        <v>145.30000000000001</v>
      </c>
    </row>
    <row r="22" spans="2:16">
      <c r="B22" s="84">
        <f>All!B24</f>
        <v>2012</v>
      </c>
      <c r="C22" s="85">
        <f>All!C24</f>
        <v>24.2</v>
      </c>
      <c r="D22" s="85">
        <f>All!D24</f>
        <v>9.1999999999999993</v>
      </c>
      <c r="E22" s="85">
        <f>All!E24</f>
        <v>45</v>
      </c>
      <c r="F22" s="85">
        <f>All!F24</f>
        <v>68.900000000000006</v>
      </c>
      <c r="G22" s="85">
        <f>All!G24</f>
        <v>14.6</v>
      </c>
      <c r="H22" s="85">
        <f>All!H24</f>
        <v>76.8</v>
      </c>
      <c r="I22" s="85">
        <f>All!I24</f>
        <v>231.1</v>
      </c>
      <c r="J22" s="85">
        <f>All!J24</f>
        <v>450.2</v>
      </c>
      <c r="K22" s="85">
        <f>All!K24</f>
        <v>207.7</v>
      </c>
      <c r="L22" s="85">
        <f>All!L24</f>
        <v>65</v>
      </c>
      <c r="M22" s="85">
        <f>All!M24</f>
        <v>61.1</v>
      </c>
      <c r="N22" s="85">
        <f>All!N24</f>
        <v>65.2</v>
      </c>
      <c r="O22" s="85">
        <f>All!O24</f>
        <v>1319</v>
      </c>
      <c r="P22" s="86">
        <f>All!P24</f>
        <v>109.9</v>
      </c>
    </row>
    <row r="23" spans="2:16" s="161" customFormat="1">
      <c r="B23" s="168">
        <f>All!B25</f>
        <v>2013</v>
      </c>
      <c r="C23" s="162">
        <f>All!C25</f>
        <v>28.4</v>
      </c>
      <c r="D23" s="162">
        <f>All!D25</f>
        <v>40.700000000000003</v>
      </c>
      <c r="E23" s="162">
        <f>All!E25</f>
        <v>53.4</v>
      </c>
      <c r="F23" s="162">
        <f>All!F25</f>
        <v>68.2</v>
      </c>
      <c r="G23" s="162">
        <f>All!G25</f>
        <v>116.6</v>
      </c>
      <c r="H23" s="162">
        <f>All!H25</f>
        <v>159.9</v>
      </c>
      <c r="I23" s="162">
        <f>All!I25</f>
        <v>267.5</v>
      </c>
      <c r="J23" s="162">
        <f>All!J25</f>
        <v>214.6</v>
      </c>
      <c r="K23" s="162">
        <f>All!K25</f>
        <v>320</v>
      </c>
      <c r="L23" s="162">
        <f>All!L25</f>
        <v>10.9</v>
      </c>
      <c r="M23" s="162">
        <f>All!M25</f>
        <v>81.099999999999994</v>
      </c>
      <c r="N23" s="162">
        <f>All!N25</f>
        <v>26.4</v>
      </c>
      <c r="O23" s="162">
        <f>All!O25</f>
        <v>1387.7</v>
      </c>
      <c r="P23" s="169">
        <f>All!P25</f>
        <v>115.6</v>
      </c>
    </row>
    <row r="24" spans="2:16">
      <c r="B24" s="84">
        <f>All!B26</f>
        <v>2014</v>
      </c>
      <c r="C24" s="85">
        <f>All!C26</f>
        <v>3.4</v>
      </c>
      <c r="D24" s="85">
        <f>All!D26</f>
        <v>20.5</v>
      </c>
      <c r="E24" s="85">
        <f>All!E26</f>
        <v>56.3</v>
      </c>
      <c r="F24" s="85">
        <f>All!F26</f>
        <v>70</v>
      </c>
      <c r="G24" s="85">
        <f>All!G26</f>
        <v>47.1</v>
      </c>
      <c r="H24" s="85">
        <f>All!H26</f>
        <v>125.8</v>
      </c>
      <c r="I24" s="85">
        <f>All!I26</f>
        <v>104</v>
      </c>
      <c r="J24" s="85">
        <f>All!J26</f>
        <v>168.5</v>
      </c>
      <c r="K24" s="85">
        <f>All!K26</f>
        <v>152</v>
      </c>
      <c r="L24" s="85">
        <f>All!L26</f>
        <v>156</v>
      </c>
      <c r="M24" s="85">
        <f>All!M26</f>
        <v>39.9</v>
      </c>
      <c r="N24" s="85">
        <f>All!N26</f>
        <v>66.599999999999994</v>
      </c>
      <c r="O24" s="85">
        <f>All!O26</f>
        <v>1010.1</v>
      </c>
      <c r="P24" s="86">
        <f>All!P26</f>
        <v>84.2</v>
      </c>
    </row>
    <row r="25" spans="2:16">
      <c r="B25" s="84">
        <f>All!B27</f>
        <v>2015</v>
      </c>
      <c r="C25" s="85">
        <f>All!C27</f>
        <v>29.9</v>
      </c>
      <c r="D25" s="85">
        <f>All!D27</f>
        <v>23.4</v>
      </c>
      <c r="E25" s="85">
        <f>All!E27</f>
        <v>30.9</v>
      </c>
      <c r="F25" s="85">
        <f>All!F27</f>
        <v>129.69999999999999</v>
      </c>
      <c r="G25" s="85">
        <f>All!G27</f>
        <v>38.799999999999997</v>
      </c>
      <c r="H25" s="85">
        <f>All!H27</f>
        <v>83.9</v>
      </c>
      <c r="I25" s="85">
        <f>All!I27</f>
        <v>94.7</v>
      </c>
      <c r="J25" s="85">
        <f>All!J27</f>
        <v>30.2</v>
      </c>
      <c r="K25" s="85">
        <f>All!K27</f>
        <v>13.3</v>
      </c>
      <c r="L25" s="85">
        <f>All!L27</f>
        <v>90</v>
      </c>
      <c r="M25" s="85">
        <f>All!M27</f>
        <v>155.6</v>
      </c>
      <c r="N25" s="85">
        <f>All!N27</f>
        <v>65</v>
      </c>
      <c r="O25" s="85">
        <f>All!O27</f>
        <v>785.4</v>
      </c>
      <c r="P25" s="86">
        <f>All!P27</f>
        <v>65.5</v>
      </c>
    </row>
    <row r="26" spans="2:16">
      <c r="B26" s="84">
        <f>All!B28</f>
        <v>2016</v>
      </c>
      <c r="C26" s="85">
        <f>All!C28</f>
        <v>7.8</v>
      </c>
      <c r="D26" s="85">
        <f>All!D28</f>
        <v>54.2</v>
      </c>
      <c r="E26" s="85">
        <f>All!E28</f>
        <v>18.7</v>
      </c>
      <c r="F26" s="85">
        <f>All!F28</f>
        <v>105.1</v>
      </c>
      <c r="G26" s="85">
        <f>All!G28</f>
        <v>146.5</v>
      </c>
      <c r="H26" s="85">
        <f>All!H28</f>
        <v>23.7</v>
      </c>
      <c r="I26" s="85">
        <f>All!I28</f>
        <v>200.2</v>
      </c>
      <c r="J26" s="85">
        <f>All!J28</f>
        <v>5.0999999999999996</v>
      </c>
      <c r="K26" s="85">
        <f>All!K28</f>
        <v>73.400000000000006</v>
      </c>
      <c r="L26" s="85">
        <f>All!L28</f>
        <v>108</v>
      </c>
      <c r="M26" s="85">
        <f>All!M28</f>
        <v>5.6</v>
      </c>
      <c r="N26" s="85">
        <f>All!N28</f>
        <v>44.5</v>
      </c>
      <c r="O26" s="85">
        <f>All!O28</f>
        <v>792.8</v>
      </c>
      <c r="P26" s="86">
        <f>All!P28</f>
        <v>66.099999999999994</v>
      </c>
    </row>
    <row r="27" spans="2:16">
      <c r="B27" s="84">
        <f>All!B29</f>
        <v>2017</v>
      </c>
      <c r="C27" s="85">
        <f>All!C29</f>
        <v>14.8</v>
      </c>
      <c r="D27" s="85">
        <f>All!D29</f>
        <v>30.2</v>
      </c>
      <c r="E27" s="85">
        <f>All!E29</f>
        <v>14.4</v>
      </c>
      <c r="F27" s="85">
        <f>All!F29</f>
        <v>57.6</v>
      </c>
      <c r="G27" s="85">
        <f>All!G29</f>
        <v>58.9</v>
      </c>
      <c r="H27" s="85">
        <f>All!H29</f>
        <v>21.1</v>
      </c>
      <c r="I27" s="85">
        <f>All!I29</f>
        <v>278.10000000000002</v>
      </c>
      <c r="J27" s="85">
        <f>All!J29</f>
        <v>210</v>
      </c>
      <c r="K27" s="85">
        <f>All!K29</f>
        <v>90</v>
      </c>
      <c r="L27" s="85">
        <f>All!L29</f>
        <v>26.6</v>
      </c>
      <c r="M27" s="85">
        <f>All!M29</f>
        <v>15.9</v>
      </c>
      <c r="N27" s="85">
        <f>All!N29</f>
        <v>38.6</v>
      </c>
      <c r="O27" s="85">
        <f>All!O29</f>
        <v>856.2</v>
      </c>
      <c r="P27" s="86">
        <f>All!P29</f>
        <v>71.400000000000006</v>
      </c>
    </row>
    <row r="28" spans="2:16">
      <c r="B28" s="84">
        <f>All!B30</f>
        <v>2018</v>
      </c>
      <c r="C28" s="85">
        <f>All!C30</f>
        <v>15</v>
      </c>
      <c r="D28" s="85">
        <f>All!D30</f>
        <v>33.6</v>
      </c>
      <c r="E28" s="85">
        <f>All!E30</f>
        <v>92</v>
      </c>
      <c r="F28" s="85">
        <f>All!F30</f>
        <v>128.1</v>
      </c>
      <c r="G28" s="85">
        <f>All!G30</f>
        <v>104.5</v>
      </c>
      <c r="H28" s="85">
        <f>All!H30</f>
        <v>71</v>
      </c>
      <c r="I28" s="85">
        <f>All!I30</f>
        <v>262.7</v>
      </c>
      <c r="J28" s="85">
        <f>All!J30</f>
        <v>239.6</v>
      </c>
      <c r="K28" s="85">
        <f>All!K30</f>
        <v>158.19999999999999</v>
      </c>
      <c r="L28" s="85">
        <f>All!L30</f>
        <v>154.69999999999999</v>
      </c>
      <c r="M28" s="85">
        <f>All!M30</f>
        <v>46.7</v>
      </c>
      <c r="N28" s="85">
        <f>All!N30</f>
        <v>31.1</v>
      </c>
      <c r="O28" s="85">
        <f>All!O30</f>
        <v>1337.2</v>
      </c>
      <c r="P28" s="86">
        <f>All!P30</f>
        <v>111.4</v>
      </c>
    </row>
    <row r="29" spans="2:16">
      <c r="B29" s="84">
        <f>All!B31</f>
        <v>2019</v>
      </c>
      <c r="C29" s="85">
        <f>All!C31</f>
        <v>1.9</v>
      </c>
      <c r="D29" s="85">
        <f>All!D31</f>
        <v>17.8</v>
      </c>
      <c r="E29" s="85">
        <f>All!E31</f>
        <v>18.2</v>
      </c>
      <c r="F29" s="85">
        <f>All!F31</f>
        <v>71.900000000000006</v>
      </c>
      <c r="G29" s="85">
        <f>All!G31</f>
        <v>31.3</v>
      </c>
      <c r="H29" s="85">
        <f>All!H31</f>
        <v>56</v>
      </c>
      <c r="I29" s="85">
        <f>All!I31</f>
        <v>149</v>
      </c>
      <c r="J29" s="85">
        <f>All!J31</f>
        <v>131.30000000000001</v>
      </c>
      <c r="K29" s="85">
        <f>All!K31</f>
        <v>118.7</v>
      </c>
      <c r="L29" s="85">
        <f>All!L31</f>
        <v>63.9</v>
      </c>
      <c r="M29" s="85">
        <f>All!M31</f>
        <v>130.6</v>
      </c>
      <c r="N29" s="85">
        <f>All!N31</f>
        <v>31.3</v>
      </c>
      <c r="O29" s="85">
        <f>All!O31</f>
        <v>821.9</v>
      </c>
      <c r="P29" s="86">
        <f>All!P31</f>
        <v>68.5</v>
      </c>
    </row>
    <row r="30" spans="2:16">
      <c r="B30" s="84">
        <f>All!B32</f>
        <v>2020</v>
      </c>
      <c r="C30" s="85">
        <f>All!C32</f>
        <v>49.4</v>
      </c>
      <c r="D30" s="85">
        <f>All!D32</f>
        <v>75.3</v>
      </c>
      <c r="E30" s="85">
        <f>All!E32</f>
        <v>22.8</v>
      </c>
      <c r="F30" s="85">
        <f>All!F32</f>
        <v>16.5</v>
      </c>
      <c r="G30" s="85">
        <f>All!G32</f>
        <v>92.4</v>
      </c>
      <c r="H30" s="85">
        <f>All!H32</f>
        <v>139.69999999999999</v>
      </c>
      <c r="I30" s="85">
        <f>All!I32</f>
        <v>345.9</v>
      </c>
      <c r="J30" s="85">
        <f>All!J32</f>
        <v>321.5</v>
      </c>
      <c r="K30" s="85">
        <f>All!K32</f>
        <v>177.1</v>
      </c>
      <c r="L30" s="85">
        <f>All!L32</f>
        <v>16.2</v>
      </c>
      <c r="M30" s="85">
        <f>All!M32</f>
        <v>35.4</v>
      </c>
      <c r="N30" s="85">
        <f>All!N32</f>
        <v>9.6999999999999993</v>
      </c>
      <c r="O30" s="85">
        <f>All!O32</f>
        <v>1301.9000000000001</v>
      </c>
      <c r="P30" s="86">
        <f>All!P32</f>
        <v>108.5</v>
      </c>
    </row>
    <row r="31" spans="2:16">
      <c r="B31" s="84">
        <f>All!B33</f>
        <v>2021</v>
      </c>
      <c r="C31" s="85">
        <f>All!C33</f>
        <v>32</v>
      </c>
      <c r="D31" s="85">
        <f>All!D33</f>
        <v>18.7</v>
      </c>
      <c r="E31" s="85">
        <f>All!E33</f>
        <v>76.099999999999994</v>
      </c>
      <c r="F31" s="85">
        <f>All!F33</f>
        <v>43.4</v>
      </c>
      <c r="G31" s="85">
        <f>All!G33</f>
        <v>110</v>
      </c>
      <c r="H31" s="85">
        <f>All!H33</f>
        <v>55</v>
      </c>
      <c r="I31" s="85">
        <f>All!I33</f>
        <v>131.30000000000001</v>
      </c>
      <c r="J31" s="85">
        <f>All!J33</f>
        <v>253.7</v>
      </c>
      <c r="K31" s="85">
        <f>All!K33</f>
        <v>215.9</v>
      </c>
      <c r="L31" s="85">
        <f>All!L33</f>
        <v>39.6</v>
      </c>
      <c r="M31" s="85">
        <f>All!M33</f>
        <v>117.8</v>
      </c>
      <c r="N31" s="85">
        <f>All!N33</f>
        <v>14.4</v>
      </c>
      <c r="O31" s="85">
        <f>All!O33</f>
        <v>1107.9000000000001</v>
      </c>
      <c r="P31" s="86">
        <f>All!P33</f>
        <v>92.3</v>
      </c>
    </row>
    <row r="32" spans="2:16">
      <c r="B32" s="84">
        <f>All!B34</f>
        <v>2022</v>
      </c>
      <c r="C32" s="85">
        <f>All!C34</f>
        <v>8.4</v>
      </c>
      <c r="D32" s="85">
        <f>All!D34</f>
        <v>5.3</v>
      </c>
      <c r="E32" s="85">
        <f>All!E34</f>
        <v>60.9</v>
      </c>
      <c r="F32" s="85">
        <f>All!F34</f>
        <v>34.799999999999997</v>
      </c>
      <c r="G32" s="85">
        <f>All!G34</f>
        <v>5.7</v>
      </c>
      <c r="H32" s="85">
        <f>All!H34</f>
        <v>225</v>
      </c>
      <c r="I32" s="85">
        <f>All!I34</f>
        <v>119.9</v>
      </c>
      <c r="J32" s="85">
        <f>All!J34</f>
        <v>637.1</v>
      </c>
      <c r="K32" s="85">
        <f>All!K34</f>
        <v>102</v>
      </c>
      <c r="L32" s="85">
        <f>All!L34</f>
        <v>112</v>
      </c>
      <c r="M32" s="85">
        <f>All!M34</f>
        <v>23.3</v>
      </c>
      <c r="N32" s="85">
        <f>All!N34</f>
        <v>14</v>
      </c>
      <c r="O32" s="85">
        <f>All!O34</f>
        <v>1348.4</v>
      </c>
      <c r="P32" s="86">
        <f>All!P34</f>
        <v>112.4</v>
      </c>
    </row>
    <row r="33" spans="2:17">
      <c r="B33" s="87" t="s">
        <v>177</v>
      </c>
      <c r="C33" s="88">
        <f>ROUND(SUM(C23:C32)/10,1)</f>
        <v>19.100000000000001</v>
      </c>
      <c r="D33" s="88">
        <f t="shared" ref="D33:P33" si="0">ROUND(SUM(D23:D32)/10,1)</f>
        <v>32</v>
      </c>
      <c r="E33" s="88">
        <f t="shared" si="0"/>
        <v>44.4</v>
      </c>
      <c r="F33" s="88">
        <f t="shared" si="0"/>
        <v>72.5</v>
      </c>
      <c r="G33" s="88">
        <f t="shared" si="0"/>
        <v>75.2</v>
      </c>
      <c r="H33" s="88">
        <f t="shared" si="0"/>
        <v>96.1</v>
      </c>
      <c r="I33" s="88">
        <f t="shared" si="0"/>
        <v>195.3</v>
      </c>
      <c r="J33" s="88">
        <f t="shared" si="0"/>
        <v>221.2</v>
      </c>
      <c r="K33" s="88">
        <f t="shared" si="0"/>
        <v>142.1</v>
      </c>
      <c r="L33" s="88">
        <f t="shared" si="0"/>
        <v>77.8</v>
      </c>
      <c r="M33" s="88">
        <f t="shared" si="0"/>
        <v>65.2</v>
      </c>
      <c r="N33" s="88">
        <f t="shared" si="0"/>
        <v>34.200000000000003</v>
      </c>
      <c r="O33" s="88">
        <f t="shared" si="0"/>
        <v>1075</v>
      </c>
      <c r="P33" s="89">
        <f t="shared" si="0"/>
        <v>89.6</v>
      </c>
    </row>
    <row r="34" spans="2:17" ht="17.25" thickBot="1">
      <c r="B34" s="170" t="s">
        <v>176</v>
      </c>
      <c r="C34" s="90">
        <f>All!C37</f>
        <v>23.2</v>
      </c>
      <c r="D34" s="90">
        <f>All!D37</f>
        <v>29.1</v>
      </c>
      <c r="E34" s="90">
        <f>All!E37</f>
        <v>43.5</v>
      </c>
      <c r="F34" s="90">
        <f>All!F37</f>
        <v>70.5</v>
      </c>
      <c r="G34" s="90">
        <f>All!G37</f>
        <v>85.8</v>
      </c>
      <c r="H34" s="90">
        <f>All!H37</f>
        <v>136.80000000000001</v>
      </c>
      <c r="I34" s="90">
        <f>All!I37</f>
        <v>244.7</v>
      </c>
      <c r="J34" s="90">
        <f>All!J37</f>
        <v>281.60000000000002</v>
      </c>
      <c r="K34" s="90">
        <f>All!K37</f>
        <v>132.9</v>
      </c>
      <c r="L34" s="90">
        <f>All!L37</f>
        <v>63.2</v>
      </c>
      <c r="M34" s="90">
        <f>All!M37</f>
        <v>54.8</v>
      </c>
      <c r="N34" s="90">
        <f>All!N37</f>
        <v>32.200000000000003</v>
      </c>
      <c r="O34" s="90">
        <f>All!O37</f>
        <v>1198.3</v>
      </c>
      <c r="P34" s="91">
        <f>All!P37</f>
        <v>99.9</v>
      </c>
    </row>
    <row r="36" spans="2:17" ht="17.25" thickBot="1"/>
    <row r="37" spans="2:17">
      <c r="B37" s="81" t="s">
        <v>29</v>
      </c>
      <c r="C37" s="83" t="s">
        <v>162</v>
      </c>
      <c r="D37" s="94"/>
      <c r="E37" s="95" t="s">
        <v>31</v>
      </c>
      <c r="F37" s="95" t="s">
        <v>32</v>
      </c>
      <c r="G37" s="95" t="s">
        <v>33</v>
      </c>
      <c r="H37" s="95" t="s">
        <v>34</v>
      </c>
      <c r="I37" s="95" t="s">
        <v>35</v>
      </c>
      <c r="J37" s="95" t="s">
        <v>12</v>
      </c>
      <c r="K37" s="102" t="s">
        <v>13</v>
      </c>
      <c r="L37" s="102" t="s">
        <v>14</v>
      </c>
      <c r="M37" s="102" t="s">
        <v>15</v>
      </c>
      <c r="N37" s="95" t="s">
        <v>16</v>
      </c>
      <c r="O37" s="95" t="s">
        <v>17</v>
      </c>
      <c r="P37" s="95" t="s">
        <v>18</v>
      </c>
      <c r="Q37" s="96" t="s">
        <v>30</v>
      </c>
    </row>
    <row r="38" spans="2:17" ht="17.25" thickBot="1">
      <c r="B38" s="84">
        <f>B23</f>
        <v>2013</v>
      </c>
      <c r="C38" s="86">
        <f>O23</f>
        <v>1387.7</v>
      </c>
      <c r="D38" s="98" t="s">
        <v>30</v>
      </c>
      <c r="E38" s="99">
        <f>All!C53</f>
        <v>19.100000000000001</v>
      </c>
      <c r="F38" s="99">
        <f>All!D53</f>
        <v>32</v>
      </c>
      <c r="G38" s="99">
        <f>All!E53</f>
        <v>44.4</v>
      </c>
      <c r="H38" s="99">
        <f>All!F53</f>
        <v>72.5</v>
      </c>
      <c r="I38" s="99">
        <f>All!G53</f>
        <v>75.2</v>
      </c>
      <c r="J38" s="99">
        <f>All!H53</f>
        <v>96.1</v>
      </c>
      <c r="K38" s="99">
        <f>All!I53</f>
        <v>195.3</v>
      </c>
      <c r="L38" s="99">
        <f>All!J53</f>
        <v>221.2</v>
      </c>
      <c r="M38" s="99">
        <f>All!K53</f>
        <v>142.1</v>
      </c>
      <c r="N38" s="99">
        <f>All!L53</f>
        <v>77.8</v>
      </c>
      <c r="O38" s="99">
        <f>All!M53</f>
        <v>65.2</v>
      </c>
      <c r="P38" s="99">
        <f>All!N53</f>
        <v>34.200000000000003</v>
      </c>
      <c r="Q38" s="321">
        <f>All!P53</f>
        <v>89.6</v>
      </c>
    </row>
    <row r="39" spans="2:17">
      <c r="B39" s="84">
        <f t="shared" ref="B39:B48" si="1">B24</f>
        <v>2014</v>
      </c>
      <c r="C39" s="86">
        <f t="shared" ref="C39:C48" si="2">O24</f>
        <v>1010.1</v>
      </c>
    </row>
    <row r="40" spans="2:17">
      <c r="B40" s="84">
        <f t="shared" si="1"/>
        <v>2015</v>
      </c>
      <c r="C40" s="86">
        <f t="shared" si="2"/>
        <v>785.4</v>
      </c>
    </row>
    <row r="41" spans="2:17">
      <c r="B41" s="84">
        <f t="shared" si="1"/>
        <v>2016</v>
      </c>
      <c r="C41" s="86">
        <f t="shared" si="2"/>
        <v>792.8</v>
      </c>
    </row>
    <row r="42" spans="2:17">
      <c r="B42" s="84">
        <f t="shared" si="1"/>
        <v>2017</v>
      </c>
      <c r="C42" s="86">
        <f t="shared" si="2"/>
        <v>856.2</v>
      </c>
    </row>
    <row r="43" spans="2:17">
      <c r="B43" s="84">
        <f t="shared" si="1"/>
        <v>2018</v>
      </c>
      <c r="C43" s="86">
        <f t="shared" si="2"/>
        <v>1337.2</v>
      </c>
    </row>
    <row r="44" spans="2:17">
      <c r="B44" s="84">
        <f t="shared" si="1"/>
        <v>2019</v>
      </c>
      <c r="C44" s="86">
        <f t="shared" si="2"/>
        <v>821.9</v>
      </c>
    </row>
    <row r="45" spans="2:17">
      <c r="B45" s="84">
        <f t="shared" si="1"/>
        <v>2020</v>
      </c>
      <c r="C45" s="86">
        <f t="shared" si="2"/>
        <v>1301.9000000000001</v>
      </c>
    </row>
    <row r="46" spans="2:17">
      <c r="B46" s="84">
        <f t="shared" si="1"/>
        <v>2021</v>
      </c>
      <c r="C46" s="86">
        <f t="shared" si="2"/>
        <v>1107.9000000000001</v>
      </c>
    </row>
    <row r="47" spans="2:17">
      <c r="B47" s="84">
        <f t="shared" si="1"/>
        <v>2022</v>
      </c>
      <c r="C47" s="86">
        <f t="shared" si="2"/>
        <v>1348.4</v>
      </c>
    </row>
    <row r="48" spans="2:17" ht="17.25" thickBot="1">
      <c r="B48" s="92" t="str">
        <f t="shared" si="1"/>
        <v>10년평균</v>
      </c>
      <c r="C48" s="93">
        <f t="shared" si="2"/>
        <v>1075</v>
      </c>
    </row>
    <row r="50" spans="2:3" ht="17.25" thickBot="1"/>
    <row r="51" spans="2:3">
      <c r="B51" s="166" t="s">
        <v>178</v>
      </c>
      <c r="C51" s="167" t="s">
        <v>162</v>
      </c>
    </row>
    <row r="52" spans="2:3">
      <c r="B52" s="163">
        <f>B3</f>
        <v>1993</v>
      </c>
      <c r="C52" s="164">
        <f>O3</f>
        <v>1162.0999999999999</v>
      </c>
    </row>
    <row r="53" spans="2:3">
      <c r="B53" s="163">
        <f t="shared" ref="B53:B81" si="3">B4</f>
        <v>1994</v>
      </c>
      <c r="C53" s="164">
        <f t="shared" ref="C53:C81" si="4">O4</f>
        <v>1269</v>
      </c>
    </row>
    <row r="54" spans="2:3">
      <c r="B54" s="163">
        <f t="shared" si="3"/>
        <v>1995</v>
      </c>
      <c r="C54" s="164">
        <f t="shared" si="4"/>
        <v>1459.5</v>
      </c>
    </row>
    <row r="55" spans="2:3">
      <c r="B55" s="163">
        <f t="shared" si="3"/>
        <v>1996</v>
      </c>
      <c r="C55" s="164">
        <f t="shared" si="4"/>
        <v>899.6</v>
      </c>
    </row>
    <row r="56" spans="2:3">
      <c r="B56" s="163">
        <f t="shared" si="3"/>
        <v>1997</v>
      </c>
      <c r="C56" s="164">
        <f t="shared" si="4"/>
        <v>1442.3</v>
      </c>
    </row>
    <row r="57" spans="2:3">
      <c r="B57" s="163">
        <f t="shared" si="3"/>
        <v>1998</v>
      </c>
      <c r="C57" s="164">
        <f t="shared" si="4"/>
        <v>1397.2</v>
      </c>
    </row>
    <row r="58" spans="2:3">
      <c r="B58" s="163">
        <f t="shared" si="3"/>
        <v>1999</v>
      </c>
      <c r="C58" s="164">
        <f t="shared" si="4"/>
        <v>1284.0999999999999</v>
      </c>
    </row>
    <row r="59" spans="2:3">
      <c r="B59" s="163">
        <f t="shared" si="3"/>
        <v>2000</v>
      </c>
      <c r="C59" s="164">
        <f t="shared" si="4"/>
        <v>1515.4</v>
      </c>
    </row>
    <row r="60" spans="2:3">
      <c r="B60" s="163">
        <f t="shared" si="3"/>
        <v>2001</v>
      </c>
      <c r="C60" s="164">
        <f t="shared" si="4"/>
        <v>903.7</v>
      </c>
    </row>
    <row r="61" spans="2:3">
      <c r="B61" s="163">
        <f t="shared" si="3"/>
        <v>2002</v>
      </c>
      <c r="C61" s="164">
        <f t="shared" si="4"/>
        <v>1453.2</v>
      </c>
    </row>
    <row r="62" spans="2:3">
      <c r="B62" s="163">
        <f t="shared" si="3"/>
        <v>2003</v>
      </c>
      <c r="C62" s="164">
        <f t="shared" si="4"/>
        <v>1343.7</v>
      </c>
    </row>
    <row r="63" spans="2:3">
      <c r="B63" s="163">
        <f t="shared" si="3"/>
        <v>2004</v>
      </c>
      <c r="C63" s="164">
        <f t="shared" si="4"/>
        <v>1216.2</v>
      </c>
    </row>
    <row r="64" spans="2:3">
      <c r="B64" s="163">
        <f t="shared" si="3"/>
        <v>2005</v>
      </c>
      <c r="C64" s="164">
        <f t="shared" si="4"/>
        <v>1266.5</v>
      </c>
    </row>
    <row r="65" spans="2:3">
      <c r="B65" s="163">
        <f t="shared" si="3"/>
        <v>2006</v>
      </c>
      <c r="C65" s="164">
        <f t="shared" si="4"/>
        <v>831.4</v>
      </c>
    </row>
    <row r="66" spans="2:3">
      <c r="B66" s="163">
        <f t="shared" si="3"/>
        <v>2007</v>
      </c>
      <c r="C66" s="164">
        <f t="shared" si="4"/>
        <v>1295.8</v>
      </c>
    </row>
    <row r="67" spans="2:3">
      <c r="B67" s="163">
        <f t="shared" si="3"/>
        <v>2008</v>
      </c>
      <c r="C67" s="164">
        <f t="shared" si="4"/>
        <v>813.5</v>
      </c>
    </row>
    <row r="68" spans="2:3">
      <c r="B68" s="163">
        <f t="shared" si="3"/>
        <v>2009</v>
      </c>
      <c r="C68" s="164">
        <f t="shared" si="4"/>
        <v>1081.4000000000001</v>
      </c>
    </row>
    <row r="69" spans="2:3">
      <c r="B69" s="163">
        <f t="shared" si="3"/>
        <v>2010</v>
      </c>
      <c r="C69" s="164">
        <f t="shared" si="4"/>
        <v>1502.3</v>
      </c>
    </row>
    <row r="70" spans="2:3">
      <c r="B70" s="163">
        <f t="shared" si="3"/>
        <v>2011</v>
      </c>
      <c r="C70" s="164">
        <f t="shared" si="4"/>
        <v>1743</v>
      </c>
    </row>
    <row r="71" spans="2:3">
      <c r="B71" s="163">
        <f t="shared" si="3"/>
        <v>2012</v>
      </c>
      <c r="C71" s="164">
        <f t="shared" si="4"/>
        <v>1319</v>
      </c>
    </row>
    <row r="72" spans="2:3">
      <c r="B72" s="163">
        <f t="shared" si="3"/>
        <v>2013</v>
      </c>
      <c r="C72" s="164">
        <f t="shared" si="4"/>
        <v>1387.7</v>
      </c>
    </row>
    <row r="73" spans="2:3">
      <c r="B73" s="163">
        <f t="shared" si="3"/>
        <v>2014</v>
      </c>
      <c r="C73" s="164">
        <f t="shared" si="4"/>
        <v>1010.1</v>
      </c>
    </row>
    <row r="74" spans="2:3">
      <c r="B74" s="163">
        <f t="shared" si="3"/>
        <v>2015</v>
      </c>
      <c r="C74" s="164">
        <f t="shared" si="4"/>
        <v>785.4</v>
      </c>
    </row>
    <row r="75" spans="2:3">
      <c r="B75" s="163">
        <f t="shared" si="3"/>
        <v>2016</v>
      </c>
      <c r="C75" s="164">
        <f t="shared" si="4"/>
        <v>792.8</v>
      </c>
    </row>
    <row r="76" spans="2:3">
      <c r="B76" s="163">
        <f t="shared" si="3"/>
        <v>2017</v>
      </c>
      <c r="C76" s="164">
        <f t="shared" si="4"/>
        <v>856.2</v>
      </c>
    </row>
    <row r="77" spans="2:3">
      <c r="B77" s="163">
        <f t="shared" si="3"/>
        <v>2018</v>
      </c>
      <c r="C77" s="164">
        <f t="shared" si="4"/>
        <v>1337.2</v>
      </c>
    </row>
    <row r="78" spans="2:3">
      <c r="B78" s="163">
        <f>B29</f>
        <v>2019</v>
      </c>
      <c r="C78" s="164">
        <f t="shared" si="4"/>
        <v>821.9</v>
      </c>
    </row>
    <row r="79" spans="2:3">
      <c r="B79" s="163">
        <f t="shared" si="3"/>
        <v>2020</v>
      </c>
      <c r="C79" s="164">
        <f t="shared" si="4"/>
        <v>1301.9000000000001</v>
      </c>
    </row>
    <row r="80" spans="2:3">
      <c r="B80" s="163">
        <f t="shared" si="3"/>
        <v>2021</v>
      </c>
      <c r="C80" s="164">
        <f t="shared" si="4"/>
        <v>1107.9000000000001</v>
      </c>
    </row>
    <row r="81" spans="2:3">
      <c r="B81" s="163">
        <f t="shared" si="3"/>
        <v>2022</v>
      </c>
      <c r="C81" s="164">
        <f t="shared" si="4"/>
        <v>1348.4</v>
      </c>
    </row>
    <row r="82" spans="2:3" ht="17.25" thickBot="1">
      <c r="B82" s="98" t="str">
        <f>B34</f>
        <v>30년평균</v>
      </c>
      <c r="C82" s="165">
        <f>O34</f>
        <v>1198.3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2:P35"/>
  <sheetViews>
    <sheetView topLeftCell="A19" zoomScaleNormal="100" workbookViewId="0">
      <selection activeCell="K35" sqref="K35"/>
    </sheetView>
  </sheetViews>
  <sheetFormatPr defaultColWidth="8.88671875" defaultRowHeight="16.5"/>
  <cols>
    <col min="1" max="1" width="17" style="79" customWidth="1"/>
    <col min="2" max="2" width="19.21875" style="79" customWidth="1"/>
    <col min="3" max="16" width="8.77734375" style="79" customWidth="1"/>
    <col min="17" max="16384" width="8.88671875" style="79"/>
  </cols>
  <sheetData>
    <row r="2" spans="2:16">
      <c r="B2" s="80" t="s">
        <v>168</v>
      </c>
    </row>
    <row r="3" spans="2:16" ht="17.25" thickBot="1">
      <c r="I3"/>
      <c r="J3"/>
      <c r="K3"/>
    </row>
    <row r="4" spans="2:16" ht="23.25" customHeight="1">
      <c r="B4" s="100"/>
      <c r="C4" s="101" t="s">
        <v>7</v>
      </c>
      <c r="D4" s="102" t="s">
        <v>8</v>
      </c>
      <c r="E4" s="102" t="s">
        <v>9</v>
      </c>
      <c r="F4" s="102" t="s">
        <v>10</v>
      </c>
      <c r="G4" s="102" t="s">
        <v>11</v>
      </c>
      <c r="H4" s="102" t="s">
        <v>12</v>
      </c>
      <c r="I4" s="102" t="s">
        <v>13</v>
      </c>
      <c r="J4" s="102" t="s">
        <v>14</v>
      </c>
      <c r="K4" s="102" t="s">
        <v>15</v>
      </c>
      <c r="L4" s="102" t="s">
        <v>16</v>
      </c>
      <c r="M4" s="102" t="s">
        <v>17</v>
      </c>
      <c r="N4" s="103" t="s">
        <v>18</v>
      </c>
      <c r="O4" s="101" t="s">
        <v>19</v>
      </c>
      <c r="P4" s="103" t="s">
        <v>20</v>
      </c>
    </row>
    <row r="5" spans="2:16" ht="22.15" customHeight="1">
      <c r="B5" s="177">
        <f>All!B41</f>
        <v>2013</v>
      </c>
      <c r="C5" s="105">
        <f>All!C41</f>
        <v>28.4</v>
      </c>
      <c r="D5" s="85">
        <f>All!D41</f>
        <v>40.700000000000003</v>
      </c>
      <c r="E5" s="85">
        <f>All!E41</f>
        <v>53.4</v>
      </c>
      <c r="F5" s="85">
        <f>All!F41</f>
        <v>68.2</v>
      </c>
      <c r="G5" s="85">
        <f>All!G41</f>
        <v>116.6</v>
      </c>
      <c r="H5" s="85">
        <f>All!H41</f>
        <v>159.9</v>
      </c>
      <c r="I5" s="85">
        <f>All!I41</f>
        <v>267.5</v>
      </c>
      <c r="J5" s="85">
        <f>All!J41</f>
        <v>214.6</v>
      </c>
      <c r="K5" s="85">
        <f>All!K41</f>
        <v>320</v>
      </c>
      <c r="L5" s="85">
        <f>All!L41</f>
        <v>10.9</v>
      </c>
      <c r="M5" s="85">
        <f>All!M41</f>
        <v>81.099999999999994</v>
      </c>
      <c r="N5" s="86">
        <f>All!N41</f>
        <v>26.4</v>
      </c>
      <c r="O5" s="160">
        <f>All!O41</f>
        <v>1387.7</v>
      </c>
      <c r="P5" s="86">
        <f>All!P41</f>
        <v>115.6</v>
      </c>
    </row>
    <row r="6" spans="2:16" ht="22.15" customHeight="1">
      <c r="B6" s="104">
        <f>All!B42</f>
        <v>2014</v>
      </c>
      <c r="C6" s="105">
        <f>All!C42</f>
        <v>3.4</v>
      </c>
      <c r="D6" s="85">
        <f>All!D42</f>
        <v>20.5</v>
      </c>
      <c r="E6" s="85">
        <f>All!E42</f>
        <v>56.3</v>
      </c>
      <c r="F6" s="85">
        <f>All!F42</f>
        <v>70</v>
      </c>
      <c r="G6" s="85">
        <f>All!G42</f>
        <v>47.1</v>
      </c>
      <c r="H6" s="85">
        <f>All!H42</f>
        <v>125.8</v>
      </c>
      <c r="I6" s="85">
        <f>All!I42</f>
        <v>104</v>
      </c>
      <c r="J6" s="85">
        <f>All!J42</f>
        <v>168.5</v>
      </c>
      <c r="K6" s="85">
        <f>All!K42</f>
        <v>152</v>
      </c>
      <c r="L6" s="85">
        <f>All!L42</f>
        <v>156</v>
      </c>
      <c r="M6" s="85">
        <f>All!M42</f>
        <v>39.9</v>
      </c>
      <c r="N6" s="86">
        <f>All!N42</f>
        <v>66.599999999999994</v>
      </c>
      <c r="O6" s="105">
        <f>All!O42</f>
        <v>1010.1</v>
      </c>
      <c r="P6" s="86">
        <f>All!P42</f>
        <v>84.2</v>
      </c>
    </row>
    <row r="7" spans="2:16" ht="22.15" customHeight="1">
      <c r="B7" s="177">
        <f>All!B43</f>
        <v>2015</v>
      </c>
      <c r="C7" s="105">
        <f>All!C43</f>
        <v>29.9</v>
      </c>
      <c r="D7" s="85">
        <f>All!D43</f>
        <v>23.4</v>
      </c>
      <c r="E7" s="85">
        <f>All!E43</f>
        <v>30.9</v>
      </c>
      <c r="F7" s="85">
        <f>All!F43</f>
        <v>129.69999999999999</v>
      </c>
      <c r="G7" s="85">
        <f>All!G43</f>
        <v>38.799999999999997</v>
      </c>
      <c r="H7" s="85">
        <f>All!H43</f>
        <v>83.9</v>
      </c>
      <c r="I7" s="85">
        <f>All!I43</f>
        <v>94.7</v>
      </c>
      <c r="J7" s="85">
        <f>All!J43</f>
        <v>30.2</v>
      </c>
      <c r="K7" s="85">
        <f>All!K43</f>
        <v>13.3</v>
      </c>
      <c r="L7" s="85">
        <f>All!L43</f>
        <v>90</v>
      </c>
      <c r="M7" s="85">
        <f>All!M43</f>
        <v>155.6</v>
      </c>
      <c r="N7" s="86">
        <f>All!N43</f>
        <v>65</v>
      </c>
      <c r="O7" s="160">
        <f>All!O43</f>
        <v>785.4</v>
      </c>
      <c r="P7" s="86">
        <f>All!P43</f>
        <v>65.5</v>
      </c>
    </row>
    <row r="8" spans="2:16" ht="22.15" customHeight="1">
      <c r="B8" s="104">
        <f>All!B44</f>
        <v>2016</v>
      </c>
      <c r="C8" s="105">
        <f>All!C44</f>
        <v>7.8</v>
      </c>
      <c r="D8" s="85">
        <f>All!D44</f>
        <v>54.2</v>
      </c>
      <c r="E8" s="85">
        <f>All!E44</f>
        <v>18.7</v>
      </c>
      <c r="F8" s="85">
        <f>All!F44</f>
        <v>105.1</v>
      </c>
      <c r="G8" s="85">
        <f>All!G44</f>
        <v>146.5</v>
      </c>
      <c r="H8" s="85">
        <f>All!H44</f>
        <v>23.7</v>
      </c>
      <c r="I8" s="85">
        <f>All!I44</f>
        <v>200.2</v>
      </c>
      <c r="J8" s="85">
        <f>All!J44</f>
        <v>5.0999999999999996</v>
      </c>
      <c r="K8" s="85">
        <f>All!K44</f>
        <v>73.400000000000006</v>
      </c>
      <c r="L8" s="85">
        <f>All!L44</f>
        <v>108</v>
      </c>
      <c r="M8" s="85">
        <f>All!M44</f>
        <v>5.6</v>
      </c>
      <c r="N8" s="86">
        <f>All!N44</f>
        <v>44.5</v>
      </c>
      <c r="O8" s="105">
        <f>All!O44</f>
        <v>792.8</v>
      </c>
      <c r="P8" s="86">
        <f>All!P44</f>
        <v>66.099999999999994</v>
      </c>
    </row>
    <row r="9" spans="2:16" ht="22.15" customHeight="1">
      <c r="B9" s="104">
        <f>All!B45</f>
        <v>2017</v>
      </c>
      <c r="C9" s="105">
        <f>All!C45</f>
        <v>14.8</v>
      </c>
      <c r="D9" s="85">
        <f>All!D45</f>
        <v>30.2</v>
      </c>
      <c r="E9" s="85">
        <f>All!E45</f>
        <v>14.4</v>
      </c>
      <c r="F9" s="85">
        <f>All!F45</f>
        <v>57.6</v>
      </c>
      <c r="G9" s="85">
        <f>All!G45</f>
        <v>58.9</v>
      </c>
      <c r="H9" s="85">
        <f>All!H45</f>
        <v>21.1</v>
      </c>
      <c r="I9" s="85">
        <f>All!I45</f>
        <v>278.10000000000002</v>
      </c>
      <c r="J9" s="85">
        <f>All!J45</f>
        <v>210</v>
      </c>
      <c r="K9" s="85">
        <f>All!K45</f>
        <v>90</v>
      </c>
      <c r="L9" s="85">
        <f>All!L45</f>
        <v>26.6</v>
      </c>
      <c r="M9" s="85">
        <f>All!M45</f>
        <v>15.9</v>
      </c>
      <c r="N9" s="86">
        <f>All!N45</f>
        <v>38.6</v>
      </c>
      <c r="O9" s="105">
        <f>All!O45</f>
        <v>856.2</v>
      </c>
      <c r="P9" s="86">
        <f>All!P45</f>
        <v>71.400000000000006</v>
      </c>
    </row>
    <row r="10" spans="2:16" ht="22.15" customHeight="1">
      <c r="B10" s="104">
        <f>All!B46</f>
        <v>2018</v>
      </c>
      <c r="C10" s="105">
        <f>All!C46</f>
        <v>15</v>
      </c>
      <c r="D10" s="85">
        <f>All!D46</f>
        <v>33.6</v>
      </c>
      <c r="E10" s="85">
        <f>All!E46</f>
        <v>92</v>
      </c>
      <c r="F10" s="85">
        <f>All!F46</f>
        <v>128.1</v>
      </c>
      <c r="G10" s="85">
        <f>All!G46</f>
        <v>104.5</v>
      </c>
      <c r="H10" s="85">
        <f>All!H46</f>
        <v>71</v>
      </c>
      <c r="I10" s="85">
        <f>All!I46</f>
        <v>262.7</v>
      </c>
      <c r="J10" s="85">
        <f>All!J46</f>
        <v>239.6</v>
      </c>
      <c r="K10" s="85">
        <f>All!K46</f>
        <v>158.19999999999999</v>
      </c>
      <c r="L10" s="85">
        <f>All!L46</f>
        <v>154.69999999999999</v>
      </c>
      <c r="M10" s="85">
        <f>All!M46</f>
        <v>46.7</v>
      </c>
      <c r="N10" s="86">
        <f>All!N46</f>
        <v>31.1</v>
      </c>
      <c r="O10" s="105">
        <f>All!O46</f>
        <v>1337.2</v>
      </c>
      <c r="P10" s="86">
        <f>All!P46</f>
        <v>111.4</v>
      </c>
    </row>
    <row r="11" spans="2:16" ht="22.15" customHeight="1">
      <c r="B11" s="104">
        <f>All!B47</f>
        <v>2019</v>
      </c>
      <c r="C11" s="105">
        <f>All!C47</f>
        <v>1.9</v>
      </c>
      <c r="D11" s="85">
        <f>All!D47</f>
        <v>17.8</v>
      </c>
      <c r="E11" s="85">
        <f>All!E47</f>
        <v>18.2</v>
      </c>
      <c r="F11" s="85">
        <f>All!F47</f>
        <v>71.900000000000006</v>
      </c>
      <c r="G11" s="85">
        <f>All!G47</f>
        <v>31.3</v>
      </c>
      <c r="H11" s="85">
        <f>All!H47</f>
        <v>56</v>
      </c>
      <c r="I11" s="85">
        <f>All!I47</f>
        <v>149</v>
      </c>
      <c r="J11" s="85">
        <f>All!J47</f>
        <v>131.30000000000001</v>
      </c>
      <c r="K11" s="85">
        <f>All!K47</f>
        <v>118.7</v>
      </c>
      <c r="L11" s="85">
        <f>All!L47</f>
        <v>63.9</v>
      </c>
      <c r="M11" s="85">
        <f>All!M47</f>
        <v>130.6</v>
      </c>
      <c r="N11" s="86">
        <f>All!N47</f>
        <v>31.3</v>
      </c>
      <c r="O11" s="105">
        <f>All!O47</f>
        <v>821.9</v>
      </c>
      <c r="P11" s="86">
        <f>All!P47</f>
        <v>68.5</v>
      </c>
    </row>
    <row r="12" spans="2:16" ht="22.15" customHeight="1">
      <c r="B12" s="104">
        <f>All!B48</f>
        <v>2020</v>
      </c>
      <c r="C12" s="105">
        <f>All!C48</f>
        <v>49.4</v>
      </c>
      <c r="D12" s="85">
        <f>All!D48</f>
        <v>75.3</v>
      </c>
      <c r="E12" s="85">
        <f>All!E48</f>
        <v>22.8</v>
      </c>
      <c r="F12" s="85">
        <f>All!F48</f>
        <v>16.5</v>
      </c>
      <c r="G12" s="85">
        <f>All!G48</f>
        <v>92.4</v>
      </c>
      <c r="H12" s="85">
        <f>All!H48</f>
        <v>139.69999999999999</v>
      </c>
      <c r="I12" s="85">
        <f>All!I48</f>
        <v>345.9</v>
      </c>
      <c r="J12" s="85">
        <f>All!J48</f>
        <v>321.5</v>
      </c>
      <c r="K12" s="85">
        <f>All!K48</f>
        <v>177.1</v>
      </c>
      <c r="L12" s="85">
        <f>All!L48</f>
        <v>16.2</v>
      </c>
      <c r="M12" s="85">
        <f>All!M48</f>
        <v>35.4</v>
      </c>
      <c r="N12" s="86">
        <f>All!N48</f>
        <v>9.6999999999999993</v>
      </c>
      <c r="O12" s="105">
        <f>All!O48</f>
        <v>1301.9000000000001</v>
      </c>
      <c r="P12" s="86">
        <f>All!P48</f>
        <v>108.5</v>
      </c>
    </row>
    <row r="13" spans="2:16" ht="22.15" customHeight="1">
      <c r="B13" s="104">
        <f>All!B49</f>
        <v>2021</v>
      </c>
      <c r="C13" s="105">
        <f>All!C49</f>
        <v>32</v>
      </c>
      <c r="D13" s="85">
        <f>All!D49</f>
        <v>18.7</v>
      </c>
      <c r="E13" s="85">
        <f>All!E49</f>
        <v>76.099999999999994</v>
      </c>
      <c r="F13" s="85">
        <f>All!F49</f>
        <v>43.4</v>
      </c>
      <c r="G13" s="85">
        <f>All!G49</f>
        <v>110</v>
      </c>
      <c r="H13" s="85">
        <f>All!H49</f>
        <v>55</v>
      </c>
      <c r="I13" s="85">
        <f>All!I49</f>
        <v>131.30000000000001</v>
      </c>
      <c r="J13" s="85">
        <f>All!J49</f>
        <v>253.7</v>
      </c>
      <c r="K13" s="85">
        <f>All!K49</f>
        <v>215.9</v>
      </c>
      <c r="L13" s="85">
        <f>All!L49</f>
        <v>39.6</v>
      </c>
      <c r="M13" s="85">
        <f>All!M49</f>
        <v>117.8</v>
      </c>
      <c r="N13" s="86">
        <f>All!N49</f>
        <v>14.4</v>
      </c>
      <c r="O13" s="105">
        <f>All!O49</f>
        <v>1107.9000000000001</v>
      </c>
      <c r="P13" s="86">
        <f>All!P49</f>
        <v>92.3</v>
      </c>
    </row>
    <row r="14" spans="2:16" ht="22.15" customHeight="1" thickBot="1">
      <c r="B14" s="104">
        <f>All!B50</f>
        <v>2022</v>
      </c>
      <c r="C14" s="106">
        <f>All!C50</f>
        <v>8.4</v>
      </c>
      <c r="D14" s="107">
        <f>All!D50</f>
        <v>5.3</v>
      </c>
      <c r="E14" s="107">
        <f>All!E50</f>
        <v>60.9</v>
      </c>
      <c r="F14" s="107">
        <f>All!F50</f>
        <v>34.799999999999997</v>
      </c>
      <c r="G14" s="107">
        <f>All!G50</f>
        <v>5.7</v>
      </c>
      <c r="H14" s="107">
        <f>All!H50</f>
        <v>225</v>
      </c>
      <c r="I14" s="107">
        <f>All!I50</f>
        <v>119.9</v>
      </c>
      <c r="J14" s="107">
        <f>All!J50</f>
        <v>637.1</v>
      </c>
      <c r="K14" s="107">
        <f>All!K50</f>
        <v>102</v>
      </c>
      <c r="L14" s="107">
        <f>All!L50</f>
        <v>112</v>
      </c>
      <c r="M14" s="107">
        <f>All!M50</f>
        <v>23.3</v>
      </c>
      <c r="N14" s="108">
        <f>All!N50</f>
        <v>14</v>
      </c>
      <c r="O14" s="106">
        <f>All!O50</f>
        <v>1348.4</v>
      </c>
      <c r="P14" s="108">
        <f>All!P50</f>
        <v>112.4</v>
      </c>
    </row>
    <row r="15" spans="2:16" ht="22.15" customHeight="1">
      <c r="B15" s="109" t="s">
        <v>21</v>
      </c>
      <c r="C15" s="110">
        <f>All!C51</f>
        <v>49.4</v>
      </c>
      <c r="D15" s="111">
        <f>All!D51</f>
        <v>75.3</v>
      </c>
      <c r="E15" s="111">
        <f>All!E51</f>
        <v>92</v>
      </c>
      <c r="F15" s="111">
        <f>All!F51</f>
        <v>129.69999999999999</v>
      </c>
      <c r="G15" s="111">
        <f>All!G51</f>
        <v>146.5</v>
      </c>
      <c r="H15" s="111">
        <f>All!H51</f>
        <v>225</v>
      </c>
      <c r="I15" s="111">
        <f>All!I51</f>
        <v>345.9</v>
      </c>
      <c r="J15" s="111">
        <f>All!J51</f>
        <v>637.1</v>
      </c>
      <c r="K15" s="111">
        <f>All!K51</f>
        <v>320</v>
      </c>
      <c r="L15" s="111">
        <f>All!L51</f>
        <v>156</v>
      </c>
      <c r="M15" s="111">
        <f>All!M51</f>
        <v>155.6</v>
      </c>
      <c r="N15" s="112">
        <f>All!N51</f>
        <v>66.599999999999994</v>
      </c>
      <c r="O15" s="173">
        <f>All!O51</f>
        <v>1387.7</v>
      </c>
      <c r="P15" s="112">
        <f>All!P51</f>
        <v>115.6</v>
      </c>
    </row>
    <row r="16" spans="2:16" ht="22.15" customHeight="1">
      <c r="B16" s="104" t="s">
        <v>22</v>
      </c>
      <c r="C16" s="105">
        <f>All!C52</f>
        <v>1.9</v>
      </c>
      <c r="D16" s="85">
        <f>All!D52</f>
        <v>5.3</v>
      </c>
      <c r="E16" s="85">
        <f>All!E52</f>
        <v>14.4</v>
      </c>
      <c r="F16" s="85">
        <f>All!F52</f>
        <v>16.5</v>
      </c>
      <c r="G16" s="85">
        <f>All!G52</f>
        <v>5.7</v>
      </c>
      <c r="H16" s="85">
        <f>All!H52</f>
        <v>21.1</v>
      </c>
      <c r="I16" s="85">
        <f>All!I52</f>
        <v>94.7</v>
      </c>
      <c r="J16" s="85">
        <f>All!J52</f>
        <v>5.0999999999999996</v>
      </c>
      <c r="K16" s="85">
        <f>All!K52</f>
        <v>13.3</v>
      </c>
      <c r="L16" s="85">
        <f>All!L52</f>
        <v>10.9</v>
      </c>
      <c r="M16" s="85">
        <f>All!M52</f>
        <v>5.6</v>
      </c>
      <c r="N16" s="86">
        <f>All!N52</f>
        <v>9.6999999999999993</v>
      </c>
      <c r="O16" s="172">
        <f>All!O52</f>
        <v>785.4</v>
      </c>
      <c r="P16" s="86">
        <f>All!P52</f>
        <v>65.5</v>
      </c>
    </row>
    <row r="17" spans="1:16" ht="22.15" customHeight="1" thickBot="1">
      <c r="B17" s="113" t="s">
        <v>20</v>
      </c>
      <c r="C17" s="114">
        <f>All!C53</f>
        <v>19.100000000000001</v>
      </c>
      <c r="D17" s="115">
        <f>All!D53</f>
        <v>32</v>
      </c>
      <c r="E17" s="320">
        <f>All!E53</f>
        <v>44.4</v>
      </c>
      <c r="F17" s="115">
        <f>All!F53</f>
        <v>72.5</v>
      </c>
      <c r="G17" s="116">
        <f>All!G53</f>
        <v>75.2</v>
      </c>
      <c r="H17" s="116">
        <f>All!H53</f>
        <v>96.1</v>
      </c>
      <c r="I17" s="116">
        <f>All!I53</f>
        <v>195.3</v>
      </c>
      <c r="J17" s="116">
        <f>All!J53</f>
        <v>221.2</v>
      </c>
      <c r="K17" s="116">
        <f>All!K53</f>
        <v>142.1</v>
      </c>
      <c r="L17" s="115">
        <f>All!L53</f>
        <v>77.8</v>
      </c>
      <c r="M17" s="115">
        <f>All!M53</f>
        <v>65.2</v>
      </c>
      <c r="N17" s="93">
        <f>All!N53</f>
        <v>34.200000000000003</v>
      </c>
      <c r="O17" s="175">
        <f>All!O53</f>
        <v>1075</v>
      </c>
      <c r="P17" s="171">
        <f>All!P53</f>
        <v>89.6</v>
      </c>
    </row>
    <row r="18" spans="1:16" ht="29.25" customHeight="1" thickBot="1">
      <c r="B18" s="117" t="s">
        <v>23</v>
      </c>
      <c r="C18" s="118">
        <f>All!C37</f>
        <v>23.2</v>
      </c>
      <c r="D18" s="119">
        <f>All!D37</f>
        <v>29.1</v>
      </c>
      <c r="E18" s="119">
        <f>All!E37</f>
        <v>43.5</v>
      </c>
      <c r="F18" s="119">
        <f>All!F37</f>
        <v>70.5</v>
      </c>
      <c r="G18" s="119">
        <f>All!G37</f>
        <v>85.8</v>
      </c>
      <c r="H18" s="119">
        <f>All!H37</f>
        <v>136.80000000000001</v>
      </c>
      <c r="I18" s="120">
        <f>All!I37</f>
        <v>244.7</v>
      </c>
      <c r="J18" s="120">
        <f>All!J37</f>
        <v>281.60000000000002</v>
      </c>
      <c r="K18" s="120">
        <f>All!K37</f>
        <v>132.9</v>
      </c>
      <c r="L18" s="120">
        <f>All!L37</f>
        <v>63.2</v>
      </c>
      <c r="M18" s="120">
        <f>All!M37</f>
        <v>54.8</v>
      </c>
      <c r="N18" s="121">
        <f>All!N37</f>
        <v>32.200000000000003</v>
      </c>
      <c r="O18" s="122">
        <f>All!O37</f>
        <v>1198.3</v>
      </c>
      <c r="P18" s="121">
        <f>All!P37</f>
        <v>99.9</v>
      </c>
    </row>
    <row r="19" spans="1:16" ht="22.15" customHeight="1" thickBot="1"/>
    <row r="20" spans="1:16">
      <c r="B20" s="234" t="s">
        <v>24</v>
      </c>
      <c r="C20" s="231"/>
      <c r="D20" s="235">
        <f>SUM(G17:K17)</f>
        <v>729.9</v>
      </c>
      <c r="F20" s="123"/>
    </row>
    <row r="21" spans="1:16">
      <c r="B21" s="236" t="s">
        <v>169</v>
      </c>
      <c r="D21" s="237">
        <f>O17</f>
        <v>1075</v>
      </c>
    </row>
    <row r="22" spans="1:16" ht="17.25" thickBot="1">
      <c r="B22" s="232"/>
      <c r="C22" s="233"/>
      <c r="D22" s="238">
        <f>D20/D21</f>
        <v>0.67897674418604648</v>
      </c>
    </row>
    <row r="23" spans="1:16" ht="33.75" customHeight="1" thickBot="1">
      <c r="C23" s="240" t="s">
        <v>190</v>
      </c>
      <c r="D23" s="240" t="s">
        <v>191</v>
      </c>
      <c r="E23" s="240" t="s">
        <v>192</v>
      </c>
    </row>
    <row r="24" spans="1:16" ht="21.95" customHeight="1" thickBot="1">
      <c r="B24" s="225" t="s">
        <v>96</v>
      </c>
      <c r="C24" s="228">
        <f>O16</f>
        <v>785.4</v>
      </c>
      <c r="D24" s="215"/>
      <c r="E24" s="205"/>
      <c r="H24" s="213" t="s">
        <v>187</v>
      </c>
      <c r="I24" s="524" t="s">
        <v>214</v>
      </c>
      <c r="J24" s="525"/>
      <c r="K24" s="530">
        <f>INDEX(Location[recharge], MATCH(I24,Location[name],0))</f>
        <v>0.13400000000000001</v>
      </c>
      <c r="L24" s="531">
        <f>INDEX(Location[ratio], MATCH(I24,Location[name],0))</f>
        <v>0.65</v>
      </c>
    </row>
    <row r="25" spans="1:16" ht="21.95" customHeight="1" thickBot="1">
      <c r="B25" s="208" t="s">
        <v>25</v>
      </c>
      <c r="C25" s="227">
        <f>O18</f>
        <v>1198.3</v>
      </c>
      <c r="D25" s="216"/>
      <c r="E25" s="207"/>
      <c r="H25" s="213" t="s">
        <v>188</v>
      </c>
      <c r="I25" s="526" t="s">
        <v>197</v>
      </c>
      <c r="J25" s="527"/>
      <c r="K25" s="532">
        <f>INDEX(Location[recharge], MATCH(I25,Location[name],0))</f>
        <v>0.16600000000000001</v>
      </c>
      <c r="L25" s="533">
        <f>INDEX(Location[ratio], MATCH(I25,Location[name],0))</f>
        <v>0.64</v>
      </c>
    </row>
    <row r="26" spans="1:16" ht="21.95" customHeight="1">
      <c r="B26" s="206" t="s">
        <v>167</v>
      </c>
      <c r="C26" s="223">
        <f>L24</f>
        <v>0.65</v>
      </c>
      <c r="D26" s="222">
        <f>L25</f>
        <v>0.64</v>
      </c>
      <c r="E26" s="221">
        <f>L26</f>
        <v>0.65</v>
      </c>
      <c r="H26" s="213" t="s">
        <v>189</v>
      </c>
      <c r="I26" s="528" t="s">
        <v>269</v>
      </c>
      <c r="J26" s="529"/>
      <c r="K26" s="534">
        <f>INDEX(Location[recharge], MATCH(I26,Location[name],0))</f>
        <v>0.127</v>
      </c>
      <c r="L26" s="535">
        <f>INDEX(Location[ratio], MATCH(I26,Location[name],0))</f>
        <v>0.65</v>
      </c>
    </row>
    <row r="27" spans="1:16" ht="21.95" customHeight="1">
      <c r="B27" s="208" t="s">
        <v>26</v>
      </c>
      <c r="C27" s="217">
        <f>Well!P4</f>
        <v>3059068</v>
      </c>
      <c r="D27" s="216"/>
      <c r="E27" s="214"/>
    </row>
    <row r="28" spans="1:16" ht="21.95" customHeight="1" thickBot="1">
      <c r="B28" s="224" t="s">
        <v>27</v>
      </c>
      <c r="C28" s="218">
        <f>K24</f>
        <v>0.13400000000000001</v>
      </c>
      <c r="D28" s="219">
        <f>K25</f>
        <v>0.16600000000000001</v>
      </c>
      <c r="E28" s="220">
        <f>K26</f>
        <v>0.127</v>
      </c>
    </row>
    <row r="29" spans="1:16" ht="17.25" thickBot="1">
      <c r="E29" s="124"/>
    </row>
    <row r="30" spans="1:16" ht="22.15" customHeight="1" thickBot="1">
      <c r="B30" s="204" t="s">
        <v>170</v>
      </c>
      <c r="C30" s="229">
        <f>max*rf_1/10</f>
        <v>16.057220000000001</v>
      </c>
      <c r="D30" s="229">
        <f>max*rf_2/10</f>
        <v>19.891780000000001</v>
      </c>
      <c r="E30" s="230">
        <f>max*rf_3/10</f>
        <v>15.21841</v>
      </c>
    </row>
    <row r="31" spans="1:16" ht="22.15" customHeight="1">
      <c r="E31" s="124"/>
    </row>
    <row r="32" spans="1:16" ht="17.25" customHeight="1">
      <c r="A32" s="79" t="s">
        <v>171</v>
      </c>
      <c r="B32"/>
      <c r="C32"/>
      <c r="D32"/>
    </row>
    <row r="33" spans="1:6" ht="17.25" customHeight="1">
      <c r="A33" s="79" t="s">
        <v>172</v>
      </c>
    </row>
    <row r="34" spans="1:6" ht="17.25" customHeight="1">
      <c r="C34"/>
      <c r="D34"/>
    </row>
    <row r="35" spans="1:6" ht="17.25" customHeight="1"/>
  </sheetData>
  <mergeCells count="3">
    <mergeCell ref="I24:J24"/>
    <mergeCell ref="I25:J25"/>
    <mergeCell ref="I26:J26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228600</xdr:colOff>
                <xdr:row>32</xdr:row>
                <xdr:rowOff>133350</xdr:rowOff>
              </from>
              <to>
                <xdr:col>8</xdr:col>
                <xdr:colOff>361950</xdr:colOff>
                <xdr:row>33</xdr:row>
                <xdr:rowOff>152400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228600</xdr:colOff>
                <xdr:row>31</xdr:row>
                <xdr:rowOff>123825</xdr:rowOff>
              </from>
              <to>
                <xdr:col>7</xdr:col>
                <xdr:colOff>704850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228600</xdr:colOff>
                <xdr:row>30</xdr:row>
                <xdr:rowOff>171450</xdr:rowOff>
              </from>
              <to>
                <xdr:col>7</xdr:col>
                <xdr:colOff>609600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447675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447675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14"/>
  <sheetViews>
    <sheetView workbookViewId="0">
      <selection activeCell="G19" sqref="G19"/>
    </sheetView>
  </sheetViews>
  <sheetFormatPr defaultRowHeight="16.5"/>
  <cols>
    <col min="1" max="1" width="28.5546875" style="43" customWidth="1"/>
    <col min="2" max="2" width="14.5546875" style="37" customWidth="1"/>
    <col min="3" max="3" width="4.77734375" style="43" customWidth="1"/>
    <col min="4" max="4" width="31.5546875" style="43" customWidth="1"/>
    <col min="5" max="5" width="8.88671875" style="44"/>
    <col min="6" max="6" width="8.88671875" style="43"/>
    <col min="7" max="7" width="36" style="43" customWidth="1"/>
    <col min="8" max="16384" width="8.88671875" style="43"/>
  </cols>
  <sheetData>
    <row r="2" spans="1:11" s="52" customFormat="1">
      <c r="A2" s="52" t="s">
        <v>152</v>
      </c>
      <c r="B2" s="53" t="s">
        <v>148</v>
      </c>
      <c r="D2" s="52" t="s">
        <v>151</v>
      </c>
      <c r="E2" s="54" t="s">
        <v>149</v>
      </c>
      <c r="G2" s="52" t="s">
        <v>150</v>
      </c>
    </row>
    <row r="3" spans="1:11">
      <c r="A3" s="43" t="s">
        <v>124</v>
      </c>
      <c r="I3"/>
      <c r="J3"/>
      <c r="K3"/>
    </row>
    <row r="4" spans="1:11" s="48" customFormat="1">
      <c r="A4" s="47" t="s">
        <v>135</v>
      </c>
      <c r="B4" s="55">
        <v>2</v>
      </c>
      <c r="D4" s="47" t="s">
        <v>137</v>
      </c>
      <c r="E4" s="59">
        <v>10</v>
      </c>
      <c r="G4" s="47" t="s">
        <v>153</v>
      </c>
      <c r="H4" s="63">
        <v>1</v>
      </c>
      <c r="I4"/>
      <c r="J4"/>
      <c r="K4"/>
    </row>
    <row r="5" spans="1:11">
      <c r="A5" s="45" t="s">
        <v>126</v>
      </c>
      <c r="B5" s="56">
        <v>3</v>
      </c>
      <c r="D5" s="45" t="s">
        <v>138</v>
      </c>
      <c r="E5" s="60">
        <v>10</v>
      </c>
      <c r="G5" s="45" t="s">
        <v>154</v>
      </c>
      <c r="H5" s="64">
        <v>3</v>
      </c>
      <c r="I5"/>
      <c r="J5"/>
      <c r="K5"/>
    </row>
    <row r="6" spans="1:11" s="48" customFormat="1">
      <c r="A6" s="49" t="s">
        <v>127</v>
      </c>
      <c r="B6" s="57">
        <v>4</v>
      </c>
      <c r="D6" s="49" t="s">
        <v>139</v>
      </c>
      <c r="E6" s="61">
        <v>9</v>
      </c>
      <c r="G6" s="49" t="s">
        <v>125</v>
      </c>
      <c r="H6" s="65">
        <v>3</v>
      </c>
      <c r="I6"/>
      <c r="J6"/>
      <c r="K6"/>
    </row>
    <row r="7" spans="1:11">
      <c r="A7" s="45" t="s">
        <v>128</v>
      </c>
      <c r="B7" s="56">
        <v>5</v>
      </c>
      <c r="D7" s="45" t="s">
        <v>140</v>
      </c>
      <c r="E7" s="60">
        <v>8</v>
      </c>
      <c r="G7" s="45" t="s">
        <v>130</v>
      </c>
      <c r="H7" s="64">
        <v>6</v>
      </c>
    </row>
    <row r="8" spans="1:11" s="48" customFormat="1">
      <c r="A8" s="49" t="s">
        <v>129</v>
      </c>
      <c r="B8" s="57">
        <v>6</v>
      </c>
      <c r="D8" s="49" t="s">
        <v>141</v>
      </c>
      <c r="E8" s="61">
        <v>7</v>
      </c>
      <c r="G8" s="49" t="s">
        <v>155</v>
      </c>
      <c r="H8" s="65">
        <v>6</v>
      </c>
    </row>
    <row r="9" spans="1:11">
      <c r="A9" s="45" t="s">
        <v>136</v>
      </c>
      <c r="B9" s="56">
        <v>6</v>
      </c>
      <c r="D9" s="45" t="s">
        <v>142</v>
      </c>
      <c r="E9" s="60">
        <v>6</v>
      </c>
      <c r="G9" s="45" t="s">
        <v>156</v>
      </c>
      <c r="H9" s="64">
        <v>6</v>
      </c>
    </row>
    <row r="10" spans="1:11" s="48" customFormat="1">
      <c r="A10" s="49" t="s">
        <v>134</v>
      </c>
      <c r="B10" s="57">
        <v>6</v>
      </c>
      <c r="D10" s="49" t="s">
        <v>143</v>
      </c>
      <c r="E10" s="61">
        <v>5</v>
      </c>
      <c r="G10" s="49" t="s">
        <v>157</v>
      </c>
      <c r="H10" s="65">
        <v>6</v>
      </c>
    </row>
    <row r="11" spans="1:11">
      <c r="A11" s="45" t="s">
        <v>131</v>
      </c>
      <c r="B11" s="56">
        <v>8</v>
      </c>
      <c r="D11" s="45" t="s">
        <v>144</v>
      </c>
      <c r="E11" s="60">
        <v>4</v>
      </c>
      <c r="G11" s="45" t="s">
        <v>126</v>
      </c>
      <c r="H11" s="64">
        <v>4</v>
      </c>
    </row>
    <row r="12" spans="1:11" s="48" customFormat="1">
      <c r="A12" s="49" t="s">
        <v>132</v>
      </c>
      <c r="B12" s="57">
        <v>9</v>
      </c>
      <c r="D12" s="49" t="s">
        <v>145</v>
      </c>
      <c r="E12" s="61">
        <v>3</v>
      </c>
      <c r="G12" s="49" t="s">
        <v>131</v>
      </c>
      <c r="H12" s="65">
        <v>8</v>
      </c>
    </row>
    <row r="13" spans="1:11">
      <c r="A13" s="46" t="s">
        <v>133</v>
      </c>
      <c r="B13" s="58">
        <v>10</v>
      </c>
      <c r="D13" s="45" t="s">
        <v>146</v>
      </c>
      <c r="E13" s="60">
        <v>2</v>
      </c>
      <c r="G13" s="45" t="s">
        <v>132</v>
      </c>
      <c r="H13" s="64">
        <v>9</v>
      </c>
    </row>
    <row r="14" spans="1:11" s="48" customFormat="1">
      <c r="B14" s="50"/>
      <c r="D14" s="51" t="s">
        <v>147</v>
      </c>
      <c r="E14" s="62">
        <v>1</v>
      </c>
      <c r="G14" s="51" t="s">
        <v>133</v>
      </c>
      <c r="H14" s="66">
        <v>10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6"/>
  <sheetViews>
    <sheetView workbookViewId="0">
      <selection activeCell="A17" sqref="A17"/>
    </sheetView>
  </sheetViews>
  <sheetFormatPr defaultRowHeight="18" customHeight="1"/>
  <cols>
    <col min="1" max="1" width="21" style="322" customWidth="1"/>
    <col min="2" max="2" width="11.5546875" style="322" customWidth="1"/>
    <col min="3" max="3" width="13" style="322" customWidth="1"/>
    <col min="4" max="16384" width="8.88671875" style="330"/>
  </cols>
  <sheetData>
    <row r="1" spans="1:12" ht="18" customHeight="1">
      <c r="A1" s="322" t="s">
        <v>202</v>
      </c>
      <c r="B1" s="322" t="s">
        <v>203</v>
      </c>
      <c r="C1" s="322" t="s">
        <v>204</v>
      </c>
    </row>
    <row r="2" spans="1:12" ht="18" customHeight="1">
      <c r="A2" s="322" t="s">
        <v>201</v>
      </c>
      <c r="B2" s="329">
        <v>0.13600000000000001</v>
      </c>
      <c r="C2" s="329">
        <v>0.66</v>
      </c>
    </row>
    <row r="3" spans="1:12" ht="18" customHeight="1">
      <c r="A3" s="322" t="s">
        <v>193</v>
      </c>
      <c r="B3" s="329">
        <v>0.151</v>
      </c>
      <c r="C3" s="329">
        <v>0.65</v>
      </c>
    </row>
    <row r="4" spans="1:12" ht="18" customHeight="1">
      <c r="A4" s="322" t="s">
        <v>183</v>
      </c>
      <c r="B4" s="329">
        <v>0.16700000000000001</v>
      </c>
      <c r="C4" s="329">
        <v>0.65</v>
      </c>
      <c r="J4" s="330" t="s">
        <v>195</v>
      </c>
      <c r="K4" s="330">
        <f>INDEX(Location[recharge],MATCH(J4,Location[name],0))</f>
        <v>0.16600000000000001</v>
      </c>
      <c r="L4" s="330">
        <f>INDEX(Location[ratio], MATCH(J4,Location[name]))</f>
        <v>0.65</v>
      </c>
    </row>
    <row r="5" spans="1:12" ht="18" customHeight="1">
      <c r="A5" s="322" t="s">
        <v>184</v>
      </c>
      <c r="B5" s="329">
        <v>0.17299999999999999</v>
      </c>
      <c r="C5" s="329">
        <v>0.66849999999999998</v>
      </c>
    </row>
    <row r="6" spans="1:12" ht="18" customHeight="1">
      <c r="A6" s="322" t="s">
        <v>194</v>
      </c>
      <c r="B6" s="329">
        <v>0.16300000000000001</v>
      </c>
      <c r="C6" s="329">
        <v>0.67</v>
      </c>
    </row>
    <row r="7" spans="1:12" ht="18" customHeight="1">
      <c r="A7" s="322" t="s">
        <v>196</v>
      </c>
      <c r="B7" s="329">
        <v>0.16600000000000001</v>
      </c>
      <c r="C7" s="329">
        <v>0.64</v>
      </c>
      <c r="E7" s="330" t="s">
        <v>205</v>
      </c>
    </row>
    <row r="8" spans="1:12" ht="18" customHeight="1">
      <c r="A8" s="322" t="s">
        <v>197</v>
      </c>
      <c r="B8" s="329">
        <v>0.16600000000000001</v>
      </c>
      <c r="C8" s="329">
        <v>0.64</v>
      </c>
    </row>
    <row r="9" spans="1:12" ht="18" customHeight="1">
      <c r="A9" s="322" t="s">
        <v>185</v>
      </c>
      <c r="B9" s="329">
        <v>0.125</v>
      </c>
      <c r="C9" s="329">
        <v>0.67</v>
      </c>
    </row>
    <row r="10" spans="1:12" ht="18" customHeight="1">
      <c r="A10" s="322" t="s">
        <v>198</v>
      </c>
      <c r="B10" s="329">
        <v>0.127</v>
      </c>
      <c r="C10" s="329">
        <v>0.65</v>
      </c>
    </row>
    <row r="11" spans="1:12" ht="18" customHeight="1">
      <c r="A11" s="322" t="s">
        <v>199</v>
      </c>
      <c r="B11" s="329">
        <v>0.128</v>
      </c>
      <c r="C11" s="329">
        <v>0.64</v>
      </c>
    </row>
    <row r="12" spans="1:12" ht="18" customHeight="1">
      <c r="A12" s="322" t="s">
        <v>200</v>
      </c>
      <c r="B12" s="329">
        <v>0.17499999999999999</v>
      </c>
      <c r="C12" s="329">
        <v>0.67</v>
      </c>
    </row>
    <row r="13" spans="1:12" ht="18" customHeight="1">
      <c r="A13" s="322" t="s">
        <v>213</v>
      </c>
      <c r="B13" s="329">
        <v>0.13</v>
      </c>
      <c r="C13" s="329">
        <v>0.63</v>
      </c>
    </row>
    <row r="14" spans="1:12" ht="18" customHeight="1">
      <c r="A14" s="322" t="s">
        <v>214</v>
      </c>
      <c r="B14" s="329">
        <v>0.13400000000000001</v>
      </c>
      <c r="C14" s="329">
        <v>0.65</v>
      </c>
    </row>
    <row r="15" spans="1:12" ht="18" customHeight="1">
      <c r="A15" s="322" t="s">
        <v>215</v>
      </c>
      <c r="B15" s="329">
        <v>0.16500000000000001</v>
      </c>
      <c r="C15" s="329">
        <v>0.62</v>
      </c>
    </row>
    <row r="16" spans="1:12" ht="18" customHeight="1">
      <c r="A16" s="322" t="s">
        <v>270</v>
      </c>
      <c r="B16" s="329">
        <v>0.16300000000000001</v>
      </c>
      <c r="C16" s="329">
        <v>0.223</v>
      </c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$A$2:$A$16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R17"/>
  <sheetViews>
    <sheetView tabSelected="1" zoomScaleNormal="100" workbookViewId="0">
      <selection activeCell="F17" sqref="F17"/>
    </sheetView>
  </sheetViews>
  <sheetFormatPr defaultColWidth="8.88671875" defaultRowHeight="16.5"/>
  <cols>
    <col min="1" max="1" width="5.21875" style="38" customWidth="1"/>
    <col min="2" max="2" width="13.44140625" style="37" customWidth="1"/>
    <col min="3" max="3" width="9.109375" style="37" customWidth="1"/>
    <col min="4" max="4" width="26.6640625" style="37" customWidth="1"/>
    <col min="5" max="5" width="9.6640625" style="37" customWidth="1"/>
    <col min="6" max="6" width="9" style="37" customWidth="1"/>
    <col min="7" max="7" width="8.109375" style="37" customWidth="1"/>
    <col min="8" max="8" width="9.33203125" style="37" customWidth="1"/>
    <col min="9" max="9" width="7.77734375" style="37" customWidth="1"/>
    <col min="10" max="10" width="10.21875" style="155" customWidth="1"/>
    <col min="11" max="11" width="8.109375" style="37" customWidth="1"/>
    <col min="12" max="12" width="7.109375" style="37" customWidth="1"/>
    <col min="13" max="13" width="6.33203125" style="37" customWidth="1"/>
    <col min="14" max="14" width="6.5546875" style="37" customWidth="1"/>
    <col min="15" max="15" width="8.44140625" style="37" customWidth="1"/>
    <col min="16" max="16" width="11" style="40" customWidth="1"/>
    <col min="17" max="17" width="15.6640625" style="37" customWidth="1"/>
    <col min="18" max="18" width="15" style="37" customWidth="1"/>
    <col min="19" max="16384" width="8.88671875" style="38"/>
  </cols>
  <sheetData>
    <row r="1" spans="1:18" ht="63.75" customHeight="1" thickBot="1">
      <c r="D1" s="67"/>
      <c r="E1" s="67"/>
      <c r="F1" s="39" t="s">
        <v>282</v>
      </c>
      <c r="J1" s="68"/>
    </row>
    <row r="2" spans="1:18" s="77" customFormat="1" ht="23.1" customHeight="1">
      <c r="A2" s="475" t="s">
        <v>0</v>
      </c>
      <c r="B2" s="477" t="s">
        <v>39</v>
      </c>
      <c r="C2" s="477" t="s">
        <v>6</v>
      </c>
      <c r="D2" s="477" t="s">
        <v>38</v>
      </c>
      <c r="E2" s="477" t="s">
        <v>207</v>
      </c>
      <c r="F2" s="477" t="s">
        <v>206</v>
      </c>
      <c r="G2" s="481" t="s">
        <v>1</v>
      </c>
      <c r="H2" s="481" t="s">
        <v>2</v>
      </c>
      <c r="I2" s="481" t="s">
        <v>175</v>
      </c>
      <c r="J2" s="485" t="s">
        <v>291</v>
      </c>
      <c r="K2" s="481" t="s">
        <v>290</v>
      </c>
      <c r="L2" s="481" t="s">
        <v>3</v>
      </c>
      <c r="M2" s="481" t="s">
        <v>4</v>
      </c>
      <c r="N2" s="481" t="s">
        <v>5</v>
      </c>
      <c r="O2" s="481" t="s">
        <v>289</v>
      </c>
      <c r="P2" s="483" t="s">
        <v>288</v>
      </c>
      <c r="Q2" s="477" t="s">
        <v>161</v>
      </c>
      <c r="R2" s="479" t="s">
        <v>93</v>
      </c>
    </row>
    <row r="3" spans="1:18" s="77" customFormat="1" ht="27" customHeight="1">
      <c r="A3" s="476"/>
      <c r="B3" s="478"/>
      <c r="C3" s="478"/>
      <c r="D3" s="478"/>
      <c r="E3" s="478"/>
      <c r="F3" s="478"/>
      <c r="G3" s="482"/>
      <c r="H3" s="482"/>
      <c r="I3" s="482"/>
      <c r="J3" s="486"/>
      <c r="K3" s="482"/>
      <c r="L3" s="482"/>
      <c r="M3" s="482"/>
      <c r="N3" s="482"/>
      <c r="O3" s="482"/>
      <c r="P3" s="484"/>
      <c r="Q3" s="478"/>
      <c r="R3" s="480"/>
    </row>
    <row r="4" spans="1:18" ht="23.1" customHeight="1">
      <c r="A4" s="460" t="s">
        <v>268</v>
      </c>
      <c r="B4" s="461" t="s">
        <v>233</v>
      </c>
      <c r="C4" s="462"/>
      <c r="D4" s="461" t="s">
        <v>280</v>
      </c>
      <c r="E4" s="461" t="s">
        <v>281</v>
      </c>
      <c r="F4" s="461" t="s">
        <v>234</v>
      </c>
      <c r="G4" s="461">
        <v>200</v>
      </c>
      <c r="H4" s="461">
        <v>500</v>
      </c>
      <c r="I4" s="461">
        <v>130</v>
      </c>
      <c r="J4" s="461">
        <v>143</v>
      </c>
      <c r="K4" s="461">
        <v>143</v>
      </c>
      <c r="L4" s="461">
        <v>10</v>
      </c>
      <c r="M4" s="461">
        <v>200</v>
      </c>
      <c r="N4" s="463">
        <v>50</v>
      </c>
      <c r="O4" s="464">
        <v>172.8</v>
      </c>
      <c r="P4" s="520">
        <v>3059068</v>
      </c>
      <c r="Q4" s="461"/>
      <c r="R4" s="465"/>
    </row>
    <row r="5" spans="1:18" ht="23.1" customHeight="1">
      <c r="A5" s="460" t="s">
        <v>278</v>
      </c>
      <c r="B5" s="461" t="s">
        <v>233</v>
      </c>
      <c r="C5" s="462"/>
      <c r="D5" s="461" t="s">
        <v>280</v>
      </c>
      <c r="E5" s="461" t="s">
        <v>281</v>
      </c>
      <c r="F5" s="461" t="s">
        <v>234</v>
      </c>
      <c r="G5" s="461">
        <v>200</v>
      </c>
      <c r="H5" s="461">
        <v>500</v>
      </c>
      <c r="I5" s="461">
        <v>130</v>
      </c>
      <c r="J5" s="461">
        <v>143</v>
      </c>
      <c r="K5" s="461">
        <v>143</v>
      </c>
      <c r="L5" s="461">
        <v>10</v>
      </c>
      <c r="M5" s="461">
        <v>200</v>
      </c>
      <c r="N5" s="463">
        <v>50</v>
      </c>
      <c r="O5" s="464">
        <v>172.8</v>
      </c>
      <c r="P5" s="520">
        <v>3059068</v>
      </c>
      <c r="Q5" s="461"/>
      <c r="R5" s="465"/>
    </row>
    <row r="6" spans="1:18" ht="23.1" customHeight="1" thickBot="1">
      <c r="A6" s="466" t="s">
        <v>279</v>
      </c>
      <c r="B6" s="467" t="s">
        <v>233</v>
      </c>
      <c r="C6" s="468"/>
      <c r="D6" s="467" t="s">
        <v>280</v>
      </c>
      <c r="E6" s="467" t="s">
        <v>281</v>
      </c>
      <c r="F6" s="467" t="s">
        <v>234</v>
      </c>
      <c r="G6" s="467">
        <v>200</v>
      </c>
      <c r="H6" s="467">
        <v>500</v>
      </c>
      <c r="I6" s="467">
        <v>130</v>
      </c>
      <c r="J6" s="467">
        <v>143</v>
      </c>
      <c r="K6" s="467">
        <v>143</v>
      </c>
      <c r="L6" s="467">
        <v>10</v>
      </c>
      <c r="M6" s="467">
        <v>200</v>
      </c>
      <c r="N6" s="469">
        <v>50</v>
      </c>
      <c r="O6" s="470">
        <v>172.8</v>
      </c>
      <c r="P6" s="521">
        <v>3059068</v>
      </c>
      <c r="Q6" s="467"/>
      <c r="R6" s="471"/>
    </row>
    <row r="7" spans="1:18" ht="23.25" customHeight="1" thickBot="1">
      <c r="A7" s="322"/>
      <c r="J7" s="430"/>
      <c r="P7" s="431"/>
    </row>
    <row r="8" spans="1:18" ht="23.25" customHeight="1" thickBot="1">
      <c r="I8" s="523">
        <f>SUM(I4:I7)</f>
        <v>390</v>
      </c>
    </row>
    <row r="16" spans="1:18" ht="17.25" thickBot="1"/>
    <row r="17" spans="14:14" ht="17.25" thickBot="1">
      <c r="N17" s="522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53" r:id="rId4" name="CommandButton8">
          <controlPr defaultSize="0" autoLine="0" autoPict="0" r:id="rId5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4" name="CommandButton8"/>
      </mc:Fallback>
    </mc:AlternateContent>
    <mc:AlternateContent xmlns:mc="http://schemas.openxmlformats.org/markup-compatibility/2006">
      <mc:Choice Requires="x14">
        <control shapeId="99346" r:id="rId6" name="CommandButton3">
          <controlPr defaultSize="0" autoLine="0" r:id="rId7">
            <anchor moveWithCells="1">
              <from>
                <xdr:col>16</xdr:col>
                <xdr:colOff>514350</xdr:colOff>
                <xdr:row>0</xdr:row>
                <xdr:rowOff>428625</xdr:rowOff>
              </from>
              <to>
                <xdr:col>16</xdr:col>
                <xdr:colOff>1276350</xdr:colOff>
                <xdr:row>0</xdr:row>
                <xdr:rowOff>742950</xdr:rowOff>
              </to>
            </anchor>
          </controlPr>
        </control>
      </mc:Choice>
      <mc:Fallback>
        <control shapeId="99346" r:id="rId6" name="CommandButton3"/>
      </mc:Fallback>
    </mc:AlternateContent>
    <mc:AlternateContent xmlns:mc="http://schemas.openxmlformats.org/markup-compatibility/2006">
      <mc:Choice Requires="x14">
        <control shapeId="99336" r:id="rId8" name="CommandButton6">
          <controlPr defaultSize="0" autoLine="0" r:id="rId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8" name="CommandButton6"/>
      </mc:Fallback>
    </mc:AlternateContent>
    <mc:AlternateContent xmlns:mc="http://schemas.openxmlformats.org/markup-compatibility/2006">
      <mc:Choice Requires="x14">
        <control shapeId="99329" r:id="rId10" name="CommandButton1">
          <controlPr defaultSize="0" autoLine="0" r:id="rId11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0" name="CommandButton1"/>
      </mc:Fallback>
    </mc:AlternateContent>
    <mc:AlternateContent xmlns:mc="http://schemas.openxmlformats.org/markup-compatibility/2006">
      <mc:Choice Requires="x14">
        <control shapeId="99330" r:id="rId12" name="CommandButton2">
          <controlPr defaultSize="0" autoLine="0" r:id="rId13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2" name="CommandButton2"/>
      </mc:Fallback>
    </mc:AlternateContent>
    <mc:AlternateContent xmlns:mc="http://schemas.openxmlformats.org/markup-compatibility/2006">
      <mc:Choice Requires="x14">
        <control shapeId="99332" r:id="rId14" name="CommandButton4">
          <controlPr defaultSize="0" autoLine="0" r:id="rId15">
            <anchor moveWithCells="1">
              <from>
                <xdr:col>13</xdr:col>
                <xdr:colOff>323850</xdr:colOff>
                <xdr:row>0</xdr:row>
                <xdr:rowOff>438150</xdr:rowOff>
              </from>
              <to>
                <xdr:col>14</xdr:col>
                <xdr:colOff>523875</xdr:colOff>
                <xdr:row>0</xdr:row>
                <xdr:rowOff>752475</xdr:rowOff>
              </to>
            </anchor>
          </controlPr>
        </control>
      </mc:Choice>
      <mc:Fallback>
        <control shapeId="99332" r:id="rId14" name="CommandButton4"/>
      </mc:Fallback>
    </mc:AlternateContent>
    <mc:AlternateContent xmlns:mc="http://schemas.openxmlformats.org/markup-compatibility/2006">
      <mc:Choice Requires="x14">
        <control shapeId="99334" r:id="rId16" name="SingleColor">
          <controlPr defaultSize="0" autoLine="0" r:id="rId17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16" name="SingleColor"/>
      </mc:Fallback>
    </mc:AlternateContent>
    <mc:AlternateContent xmlns:mc="http://schemas.openxmlformats.org/markup-compatibility/2006">
      <mc:Choice Requires="x14">
        <control shapeId="99335" r:id="rId18" name="CommandButton5">
          <controlPr defaultSize="0" autoLine="0" r:id="rId19">
            <anchor moveWithCells="1">
              <from>
                <xdr:col>14</xdr:col>
                <xdr:colOff>571500</xdr:colOff>
                <xdr:row>0</xdr:row>
                <xdr:rowOff>438150</xdr:rowOff>
              </from>
              <to>
                <xdr:col>15</xdr:col>
                <xdr:colOff>609600</xdr:colOff>
                <xdr:row>0</xdr:row>
                <xdr:rowOff>752475</xdr:rowOff>
              </to>
            </anchor>
          </controlPr>
        </control>
      </mc:Choice>
      <mc:Fallback>
        <control shapeId="99335" r:id="rId18" name="CommandButton5"/>
      </mc:Fallback>
    </mc:AlternateContent>
    <mc:AlternateContent xmlns:mc="http://schemas.openxmlformats.org/markup-compatibility/2006">
      <mc:Choice Requires="x14">
        <control shapeId="99342" r:id="rId20" name="CommandButton7">
          <controlPr defaultSize="0" autoLine="0" r:id="rId21">
            <anchor moveWithCells="1">
              <from>
                <xdr:col>15</xdr:col>
                <xdr:colOff>657225</xdr:colOff>
                <xdr:row>0</xdr:row>
                <xdr:rowOff>438150</xdr:rowOff>
              </from>
              <to>
                <xdr:col>16</xdr:col>
                <xdr:colOff>476250</xdr:colOff>
                <xdr:row>0</xdr:row>
                <xdr:rowOff>752475</xdr:rowOff>
              </to>
            </anchor>
          </controlPr>
        </control>
      </mc:Choice>
      <mc:Fallback>
        <control shapeId="99342" r:id="rId20" name="CommandButton7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L42" sqref="L42"/>
    </sheetView>
  </sheetViews>
  <sheetFormatPr defaultRowHeight="20.100000000000001" customHeight="1"/>
  <cols>
    <col min="1" max="1" width="0" style="37" hidden="1" customWidth="1"/>
    <col min="2" max="3" width="8.88671875" style="37"/>
    <col min="4" max="5" width="0" style="37" hidden="1" customWidth="1"/>
    <col min="6" max="6" width="8.88671875" style="37"/>
    <col min="7" max="7" width="16.88671875" style="37" customWidth="1"/>
    <col min="8" max="8" width="11.77734375" style="37" customWidth="1"/>
    <col min="9" max="9" width="11.77734375" style="331" customWidth="1"/>
    <col min="10" max="10" width="11.77734375" style="37" customWidth="1"/>
    <col min="11" max="11" width="11.77734375" style="332" customWidth="1"/>
    <col min="12" max="17" width="11.77734375" style="37" customWidth="1"/>
    <col min="18" max="18" width="14" style="37" customWidth="1"/>
    <col min="19" max="19" width="15" style="37" customWidth="1"/>
    <col min="20" max="16384" width="8.88671875" style="37"/>
  </cols>
  <sheetData>
    <row r="1" spans="7:19" ht="36" customHeight="1" thickBot="1">
      <c r="G1" s="53" t="s">
        <v>242</v>
      </c>
    </row>
    <row r="2" spans="7:19" ht="29.25" customHeight="1" thickBot="1">
      <c r="G2" s="333" t="s">
        <v>212</v>
      </c>
      <c r="H2" s="334" t="s">
        <v>209</v>
      </c>
      <c r="I2" s="335" t="s">
        <v>218</v>
      </c>
      <c r="J2" s="334" t="s">
        <v>210</v>
      </c>
      <c r="K2" s="336" t="s">
        <v>211</v>
      </c>
      <c r="M2" s="337"/>
      <c r="N2" s="338" t="s">
        <v>216</v>
      </c>
      <c r="O2" s="339" t="s">
        <v>217</v>
      </c>
      <c r="Q2" s="340" t="s">
        <v>212</v>
      </c>
      <c r="R2" s="341" t="s">
        <v>220</v>
      </c>
      <c r="S2" s="336" t="s">
        <v>221</v>
      </c>
    </row>
    <row r="3" spans="7:19" ht="20.100000000000001" customHeight="1" thickBot="1">
      <c r="G3" s="342" t="s">
        <v>236</v>
      </c>
      <c r="H3" s="37">
        <v>149</v>
      </c>
      <c r="I3" s="331">
        <v>133.95966914143432</v>
      </c>
      <c r="J3" s="37">
        <v>130</v>
      </c>
      <c r="K3" s="343">
        <v>0.89261744966442957</v>
      </c>
      <c r="M3" s="344" t="s">
        <v>211</v>
      </c>
      <c r="N3" s="345">
        <v>0.89261744966442957</v>
      </c>
      <c r="O3" s="346">
        <v>0.89261744966442957</v>
      </c>
      <c r="Q3" s="347" t="s">
        <v>236</v>
      </c>
      <c r="R3" s="348">
        <v>6.0139999999999998E-4</v>
      </c>
      <c r="S3" s="349">
        <v>0.21038480000000001</v>
      </c>
    </row>
    <row r="4" spans="7:19" ht="20.100000000000001" customHeight="1" thickBot="1">
      <c r="G4" s="342" t="s">
        <v>237</v>
      </c>
      <c r="H4" s="37">
        <v>149</v>
      </c>
      <c r="I4" s="331">
        <v>133.92821031130663</v>
      </c>
      <c r="J4" s="37">
        <v>130</v>
      </c>
      <c r="K4" s="343">
        <v>0.89261744966442957</v>
      </c>
      <c r="M4" s="344" t="s">
        <v>218</v>
      </c>
      <c r="N4" s="350">
        <v>133.92821031130663</v>
      </c>
      <c r="O4" s="351">
        <v>133.95966914143432</v>
      </c>
      <c r="Q4" s="347" t="s">
        <v>237</v>
      </c>
      <c r="R4" s="348">
        <v>5.5579999999999996E-4</v>
      </c>
      <c r="S4" s="349">
        <v>0.19516990000000001</v>
      </c>
    </row>
    <row r="5" spans="7:19" ht="20.100000000000001" customHeight="1" thickBot="1">
      <c r="G5" s="342" t="s">
        <v>238</v>
      </c>
      <c r="H5" s="37">
        <v>149</v>
      </c>
      <c r="I5" s="331">
        <v>133.93943451037802</v>
      </c>
      <c r="J5" s="37">
        <v>130</v>
      </c>
      <c r="K5" s="343">
        <v>0.89261744966442957</v>
      </c>
      <c r="M5" s="352" t="s">
        <v>219</v>
      </c>
      <c r="N5" s="353">
        <v>130</v>
      </c>
      <c r="O5" s="354">
        <v>130</v>
      </c>
      <c r="Q5" s="347" t="s">
        <v>238</v>
      </c>
      <c r="R5" s="348">
        <v>5.7790000000000001E-4</v>
      </c>
      <c r="S5" s="349">
        <v>0.2025769</v>
      </c>
    </row>
    <row r="6" spans="7:19" ht="20.100000000000001" customHeight="1">
      <c r="G6" s="342"/>
      <c r="K6" s="343"/>
      <c r="Q6" s="347"/>
      <c r="R6" s="348"/>
      <c r="S6" s="349"/>
    </row>
    <row r="7" spans="7:19" ht="20.100000000000001" customHeight="1">
      <c r="G7" s="342"/>
      <c r="K7" s="343"/>
      <c r="Q7" s="347"/>
      <c r="R7" s="348"/>
      <c r="S7" s="349"/>
    </row>
    <row r="8" spans="7:19" ht="20.100000000000001" customHeight="1">
      <c r="G8" s="342"/>
      <c r="K8" s="343"/>
      <c r="Q8" s="342"/>
      <c r="S8" s="355"/>
    </row>
    <row r="9" spans="7:19" ht="20.100000000000001" customHeight="1">
      <c r="G9" s="342"/>
      <c r="K9" s="343"/>
      <c r="Q9" s="342"/>
      <c r="S9" s="355"/>
    </row>
    <row r="10" spans="7:19" ht="20.100000000000001" customHeight="1">
      <c r="G10" s="342"/>
      <c r="K10" s="343"/>
      <c r="Q10" s="342"/>
      <c r="S10" s="355"/>
    </row>
    <row r="11" spans="7:19" ht="20.100000000000001" customHeight="1">
      <c r="G11" s="342"/>
      <c r="K11" s="343"/>
      <c r="Q11" s="342"/>
      <c r="S11" s="355"/>
    </row>
    <row r="12" spans="7:19" ht="20.100000000000001" customHeight="1">
      <c r="G12" s="342"/>
      <c r="K12" s="343"/>
      <c r="Q12" s="342"/>
      <c r="S12" s="355"/>
    </row>
    <row r="13" spans="7:19" ht="20.100000000000001" customHeight="1">
      <c r="G13" s="342"/>
      <c r="K13" s="343"/>
      <c r="Q13" s="342"/>
      <c r="S13" s="355"/>
    </row>
    <row r="14" spans="7:19" ht="20.100000000000001" customHeight="1">
      <c r="G14" s="342"/>
      <c r="K14" s="343"/>
      <c r="Q14" s="342"/>
      <c r="S14" s="355"/>
    </row>
    <row r="15" spans="7:19" ht="20.100000000000001" customHeight="1">
      <c r="G15" s="342"/>
      <c r="K15" s="343"/>
      <c r="Q15" s="342"/>
      <c r="S15" s="355"/>
    </row>
    <row r="16" spans="7:19" ht="20.100000000000001" customHeight="1">
      <c r="G16" s="342"/>
      <c r="K16" s="343"/>
      <c r="Q16" s="342"/>
      <c r="S16" s="355"/>
    </row>
    <row r="17" spans="6:19" ht="20.100000000000001" customHeight="1">
      <c r="G17" s="342"/>
      <c r="K17" s="343"/>
      <c r="Q17" s="342"/>
      <c r="S17" s="355"/>
    </row>
    <row r="18" spans="6:19" ht="20.100000000000001" customHeight="1">
      <c r="G18" s="342"/>
      <c r="K18" s="343"/>
      <c r="Q18" s="342"/>
      <c r="S18" s="355"/>
    </row>
    <row r="19" spans="6:19" ht="20.100000000000001" customHeight="1" thickBot="1">
      <c r="G19" s="356"/>
      <c r="H19" s="357"/>
      <c r="I19" s="358"/>
      <c r="J19" s="357"/>
      <c r="K19" s="359"/>
      <c r="Q19" s="356"/>
      <c r="R19" s="357"/>
      <c r="S19" s="360"/>
    </row>
    <row r="22" spans="6:19" ht="20.100000000000001" customHeight="1">
      <c r="M22" s="331"/>
      <c r="N22" s="331"/>
      <c r="O22" s="331"/>
      <c r="P22" s="331"/>
      <c r="Q22" s="331"/>
      <c r="R22" s="331"/>
      <c r="S22" s="331"/>
    </row>
    <row r="23" spans="6:19" ht="20.100000000000001" customHeight="1">
      <c r="M23" s="361">
        <v>133.95966914143432</v>
      </c>
      <c r="N23" s="350">
        <v>133.92821031130663</v>
      </c>
      <c r="O23" s="361">
        <v>133.93943451037802</v>
      </c>
      <c r="P23" s="350">
        <v>124.10752425577586</v>
      </c>
      <c r="Q23" s="361">
        <v>155.45958109179159</v>
      </c>
      <c r="R23" s="331"/>
      <c r="S23" s="331"/>
    </row>
    <row r="24" spans="6:19" ht="20.100000000000001" customHeight="1">
      <c r="M24" s="362">
        <v>130</v>
      </c>
      <c r="N24" s="363">
        <v>130</v>
      </c>
      <c r="O24" s="362">
        <v>130</v>
      </c>
      <c r="P24" s="363">
        <v>120</v>
      </c>
      <c r="Q24" s="362">
        <v>150</v>
      </c>
      <c r="R24" s="331"/>
      <c r="S24" s="331"/>
    </row>
    <row r="25" spans="6:19" ht="20.100000000000001" customHeight="1" thickBot="1">
      <c r="M25" s="331"/>
      <c r="N25" s="331"/>
      <c r="O25" s="331"/>
      <c r="P25" s="331"/>
      <c r="Q25" s="331"/>
      <c r="R25" s="331"/>
      <c r="S25" s="331"/>
    </row>
    <row r="26" spans="6:19" ht="27" customHeight="1" thickBot="1">
      <c r="G26" s="364" t="s">
        <v>251</v>
      </c>
      <c r="H26" s="365"/>
      <c r="I26" s="366"/>
    </row>
    <row r="27" spans="6:19" ht="15.95" customHeight="1">
      <c r="F27" s="487" t="s">
        <v>236</v>
      </c>
      <c r="G27" s="489">
        <v>149</v>
      </c>
      <c r="H27" s="367">
        <v>44.94</v>
      </c>
      <c r="I27" s="491">
        <v>133.95966914143432</v>
      </c>
    </row>
    <row r="28" spans="6:19" ht="15.95" customHeight="1" thickBot="1">
      <c r="F28" s="488"/>
      <c r="G28" s="490"/>
      <c r="H28" s="368">
        <v>21.13</v>
      </c>
      <c r="I28" s="492"/>
      <c r="K28" s="37"/>
    </row>
    <row r="29" spans="6:19" ht="15.95" customHeight="1">
      <c r="F29" s="487" t="s">
        <v>237</v>
      </c>
      <c r="G29" s="489">
        <v>149</v>
      </c>
      <c r="H29" s="367">
        <v>41.65</v>
      </c>
      <c r="I29" s="491">
        <v>133.92821031130663</v>
      </c>
    </row>
    <row r="30" spans="6:19" ht="15.95" customHeight="1" thickBot="1">
      <c r="F30" s="488"/>
      <c r="G30" s="490"/>
      <c r="H30" s="368">
        <v>19.59</v>
      </c>
      <c r="I30" s="492"/>
    </row>
    <row r="31" spans="6:19" ht="15.95" customHeight="1">
      <c r="F31" s="487" t="s">
        <v>238</v>
      </c>
      <c r="G31" s="489">
        <v>149</v>
      </c>
      <c r="H31" s="367">
        <v>43.25</v>
      </c>
      <c r="I31" s="491">
        <v>133.93943451037802</v>
      </c>
    </row>
    <row r="32" spans="6:19" ht="15.95" customHeight="1" thickBot="1">
      <c r="F32" s="488"/>
      <c r="G32" s="490"/>
      <c r="H32" s="368">
        <v>20.34</v>
      </c>
      <c r="I32" s="492"/>
    </row>
    <row r="33" spans="6:9" ht="15.95" customHeight="1">
      <c r="F33" s="487"/>
      <c r="G33" s="489"/>
      <c r="H33" s="367"/>
      <c r="I33" s="491"/>
    </row>
    <row r="34" spans="6:9" ht="15.95" customHeight="1" thickBot="1">
      <c r="F34" s="488"/>
      <c r="G34" s="490"/>
      <c r="H34" s="368"/>
      <c r="I34" s="492"/>
    </row>
    <row r="35" spans="6:9" ht="15.95" customHeight="1">
      <c r="F35" s="487"/>
      <c r="G35" s="489"/>
      <c r="H35" s="367"/>
      <c r="I35" s="491"/>
    </row>
    <row r="36" spans="6:9" ht="15.95" customHeight="1" thickBot="1">
      <c r="F36" s="488"/>
      <c r="G36" s="490"/>
      <c r="H36" s="368"/>
      <c r="I36" s="492"/>
    </row>
    <row r="37" spans="6:9" ht="15.95" customHeight="1">
      <c r="F37" s="487"/>
      <c r="G37" s="489"/>
      <c r="H37" s="367"/>
      <c r="I37" s="491"/>
    </row>
    <row r="38" spans="6:9" ht="15.95" customHeight="1" thickBot="1">
      <c r="F38" s="488"/>
      <c r="G38" s="490"/>
      <c r="H38" s="368"/>
      <c r="I38" s="492"/>
    </row>
    <row r="39" spans="6:9" ht="15.95" customHeight="1">
      <c r="F39" s="487"/>
      <c r="G39" s="489"/>
      <c r="H39" s="367"/>
      <c r="I39" s="491"/>
    </row>
    <row r="40" spans="6:9" ht="15.95" customHeight="1" thickBot="1">
      <c r="F40" s="488"/>
      <c r="G40" s="490"/>
      <c r="H40" s="368"/>
      <c r="I40" s="492"/>
    </row>
    <row r="41" spans="6:9" ht="15.95" customHeight="1">
      <c r="F41" s="487"/>
      <c r="G41" s="489"/>
      <c r="H41" s="367"/>
      <c r="I41" s="491"/>
    </row>
    <row r="42" spans="6:9" ht="15.95" customHeight="1" thickBot="1">
      <c r="F42" s="488"/>
      <c r="G42" s="490"/>
      <c r="H42" s="368"/>
      <c r="I42" s="492"/>
    </row>
    <row r="43" spans="6:9" ht="15.95" customHeight="1">
      <c r="F43" s="487"/>
      <c r="G43" s="489"/>
      <c r="H43" s="367"/>
      <c r="I43" s="491"/>
    </row>
    <row r="44" spans="6:9" ht="15.95" customHeight="1" thickBot="1">
      <c r="F44" s="488"/>
      <c r="G44" s="490"/>
      <c r="H44" s="368"/>
      <c r="I44" s="492"/>
    </row>
    <row r="45" spans="6:9" ht="15.95" customHeight="1">
      <c r="F45" s="487"/>
      <c r="G45" s="489"/>
      <c r="H45" s="367"/>
      <c r="I45" s="491"/>
    </row>
    <row r="46" spans="6:9" ht="15.95" customHeight="1" thickBot="1">
      <c r="F46" s="488"/>
      <c r="G46" s="490"/>
      <c r="H46" s="368"/>
      <c r="I46" s="492"/>
    </row>
    <row r="47" spans="6:9" ht="15.95" customHeight="1">
      <c r="F47" s="487"/>
      <c r="G47" s="489"/>
      <c r="H47" s="367"/>
      <c r="I47" s="491"/>
    </row>
    <row r="48" spans="6:9" ht="15.95" customHeight="1" thickBot="1">
      <c r="F48" s="488"/>
      <c r="G48" s="490"/>
      <c r="H48" s="368"/>
      <c r="I48" s="492"/>
    </row>
    <row r="49" spans="6:9" ht="15.95" customHeight="1">
      <c r="F49" s="487"/>
      <c r="G49" s="489"/>
      <c r="H49" s="367"/>
      <c r="I49" s="491"/>
    </row>
    <row r="50" spans="6:9" ht="15.95" customHeight="1" thickBot="1">
      <c r="F50" s="488"/>
      <c r="G50" s="490"/>
      <c r="H50" s="368"/>
      <c r="I50" s="492"/>
    </row>
  </sheetData>
  <mergeCells count="36">
    <mergeCell ref="G27:G28"/>
    <mergeCell ref="I27:I28"/>
    <mergeCell ref="F27:F28"/>
    <mergeCell ref="F29:F30"/>
    <mergeCell ref="G29:G30"/>
    <mergeCell ref="I29:I30"/>
    <mergeCell ref="F31:F32"/>
    <mergeCell ref="G31:G32"/>
    <mergeCell ref="I31:I32"/>
    <mergeCell ref="F33:F34"/>
    <mergeCell ref="G33:G34"/>
    <mergeCell ref="I33:I34"/>
    <mergeCell ref="F35:F36"/>
    <mergeCell ref="G35:G36"/>
    <mergeCell ref="I35:I36"/>
    <mergeCell ref="F37:F38"/>
    <mergeCell ref="G37:G38"/>
    <mergeCell ref="I37:I38"/>
    <mergeCell ref="F39:F40"/>
    <mergeCell ref="G39:G40"/>
    <mergeCell ref="I39:I40"/>
    <mergeCell ref="F41:F42"/>
    <mergeCell ref="G41:G42"/>
    <mergeCell ref="I41:I42"/>
    <mergeCell ref="F43:F44"/>
    <mergeCell ref="G43:G44"/>
    <mergeCell ref="I43:I44"/>
    <mergeCell ref="F45:F46"/>
    <mergeCell ref="G45:G46"/>
    <mergeCell ref="I45:I46"/>
    <mergeCell ref="F47:F48"/>
    <mergeCell ref="G47:G48"/>
    <mergeCell ref="I47:I48"/>
    <mergeCell ref="F49:F50"/>
    <mergeCell ref="G49:G50"/>
    <mergeCell ref="I49:I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7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4" name="CommandButton1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6" name="CommandButton2"/>
      </mc:Fallback>
    </mc:AlternateContent>
  </controls>
  <tableParts count="1"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R27" sqref="R27"/>
    </sheetView>
  </sheetViews>
  <sheetFormatPr defaultRowHeight="20.100000000000001" customHeight="1"/>
  <cols>
    <col min="1" max="1" width="5.109375" style="43" customWidth="1"/>
    <col min="2" max="2" width="8.88671875" style="43"/>
    <col min="3" max="3" width="5.6640625" style="43" customWidth="1"/>
    <col min="4" max="4" width="20.6640625" style="43" customWidth="1"/>
    <col min="5" max="5" width="10.109375" style="43" customWidth="1"/>
    <col min="6" max="6" width="10.33203125" style="43" customWidth="1"/>
    <col min="7" max="7" width="10.109375" style="43" customWidth="1"/>
    <col min="8" max="8" width="10.21875" style="43" customWidth="1"/>
    <col min="9" max="9" width="11.109375" style="43" customWidth="1"/>
    <col min="10" max="10" width="11" style="43" customWidth="1"/>
    <col min="11" max="11" width="10.88671875" style="43" customWidth="1"/>
    <col min="12" max="12" width="10" style="43" customWidth="1"/>
    <col min="13" max="13" width="8.88671875" style="43"/>
    <col min="14" max="14" width="9.88671875" style="43" customWidth="1"/>
    <col min="15" max="15" width="9.44140625" style="43" customWidth="1"/>
    <col min="16" max="16" width="11.109375" style="43" customWidth="1"/>
    <col min="17" max="17" width="9.109375" style="43" customWidth="1"/>
    <col min="18" max="16384" width="8.88671875" style="43"/>
  </cols>
  <sheetData>
    <row r="1" spans="4:21" ht="20.100000000000001" customHeight="1" thickBot="1">
      <c r="D1" s="53" t="s">
        <v>245</v>
      </c>
      <c r="L1" s="369" t="s">
        <v>246</v>
      </c>
      <c r="S1" s="369" t="s">
        <v>247</v>
      </c>
    </row>
    <row r="2" spans="4:21" ht="36.75" customHeight="1">
      <c r="D2" s="370" t="s">
        <v>222</v>
      </c>
      <c r="E2" s="371" t="s">
        <v>219</v>
      </c>
      <c r="F2" s="371" t="s">
        <v>226</v>
      </c>
      <c r="G2" s="371" t="s">
        <v>227</v>
      </c>
      <c r="H2" s="371" t="s">
        <v>166</v>
      </c>
      <c r="I2" s="371" t="s">
        <v>228</v>
      </c>
      <c r="J2" s="372" t="s">
        <v>229</v>
      </c>
      <c r="L2" s="373" t="s">
        <v>219</v>
      </c>
      <c r="M2" s="371" t="s">
        <v>223</v>
      </c>
      <c r="N2" s="371" t="s">
        <v>224</v>
      </c>
      <c r="O2" s="371" t="s">
        <v>225</v>
      </c>
      <c r="P2" s="371" t="s">
        <v>249</v>
      </c>
      <c r="Q2" s="372" t="s">
        <v>250</v>
      </c>
      <c r="S2" s="373" t="s">
        <v>227</v>
      </c>
      <c r="T2" s="371" t="s">
        <v>230</v>
      </c>
      <c r="U2" s="372" t="s">
        <v>231</v>
      </c>
    </row>
    <row r="3" spans="4:21" ht="20.100000000000001" customHeight="1">
      <c r="D3" s="374" t="s">
        <v>236</v>
      </c>
      <c r="E3" s="37">
        <v>130</v>
      </c>
      <c r="F3" s="37">
        <v>14.3</v>
      </c>
      <c r="G3" s="37">
        <v>64.8</v>
      </c>
      <c r="H3" s="37">
        <v>50.5</v>
      </c>
      <c r="I3" s="37">
        <v>0.1</v>
      </c>
      <c r="J3" s="375">
        <v>3.9890328339016063</v>
      </c>
      <c r="K3" s="37"/>
      <c r="L3" s="342">
        <v>130</v>
      </c>
      <c r="M3" s="37">
        <v>0.1</v>
      </c>
      <c r="N3" s="37">
        <v>0.1</v>
      </c>
      <c r="O3" s="37">
        <v>485.7</v>
      </c>
      <c r="P3" s="37">
        <v>1.732</v>
      </c>
      <c r="Q3" s="355">
        <v>8.8969999999999994E-2</v>
      </c>
      <c r="S3" s="376">
        <v>64.8</v>
      </c>
      <c r="T3" s="377">
        <v>16.491080206622705</v>
      </c>
      <c r="U3" s="375">
        <v>48.308919793377292</v>
      </c>
    </row>
    <row r="4" spans="4:21" ht="20.100000000000001" customHeight="1">
      <c r="D4" s="374" t="s">
        <v>237</v>
      </c>
      <c r="E4" s="37">
        <v>130</v>
      </c>
      <c r="F4" s="37">
        <v>14.9</v>
      </c>
      <c r="G4" s="37">
        <v>61.7</v>
      </c>
      <c r="H4" s="37">
        <v>46.800000000000004</v>
      </c>
      <c r="I4" s="37">
        <v>0.1</v>
      </c>
      <c r="J4" s="375">
        <v>3.7991159487113451</v>
      </c>
      <c r="K4" s="37"/>
      <c r="L4" s="342">
        <v>130</v>
      </c>
      <c r="M4" s="37">
        <v>0.1</v>
      </c>
      <c r="N4" s="37">
        <v>0.1</v>
      </c>
      <c r="O4" s="37">
        <v>235.1</v>
      </c>
      <c r="P4" s="37">
        <v>1.877</v>
      </c>
      <c r="Q4" s="355">
        <v>9.2749999999999999E-2</v>
      </c>
      <c r="S4" s="376">
        <v>61.7</v>
      </c>
      <c r="T4" s="377">
        <v>17.057988721779331</v>
      </c>
      <c r="U4" s="375">
        <v>44.642011278220671</v>
      </c>
    </row>
    <row r="5" spans="4:21" ht="20.100000000000001" customHeight="1">
      <c r="D5" s="374" t="s">
        <v>238</v>
      </c>
      <c r="E5" s="37">
        <v>130</v>
      </c>
      <c r="F5" s="37">
        <v>13.8</v>
      </c>
      <c r="G5" s="37">
        <v>62.4</v>
      </c>
      <c r="H5" s="37">
        <v>48.599999999999994</v>
      </c>
      <c r="I5" s="37">
        <v>0.1</v>
      </c>
      <c r="J5" s="375">
        <v>3.8914763181450334</v>
      </c>
      <c r="K5" s="37"/>
      <c r="L5" s="342">
        <v>130</v>
      </c>
      <c r="M5" s="37">
        <v>0.1</v>
      </c>
      <c r="N5" s="37">
        <v>0.1</v>
      </c>
      <c r="O5" s="37">
        <v>236.2</v>
      </c>
      <c r="P5" s="37">
        <v>1.8029999999999999</v>
      </c>
      <c r="Q5" s="355">
        <v>9.0880000000000002E-2</v>
      </c>
      <c r="S5" s="376">
        <v>62.4</v>
      </c>
      <c r="T5" s="377">
        <v>15.974338991033088</v>
      </c>
      <c r="U5" s="375">
        <v>46.425661008966912</v>
      </c>
    </row>
    <row r="6" spans="4:21" ht="20.100000000000001" customHeight="1">
      <c r="D6" s="374"/>
      <c r="E6" s="37"/>
      <c r="F6" s="37"/>
      <c r="G6" s="37"/>
      <c r="H6" s="37"/>
      <c r="I6" s="37"/>
      <c r="J6" s="375"/>
      <c r="K6" s="37"/>
      <c r="L6" s="342"/>
      <c r="M6" s="37"/>
      <c r="N6" s="37"/>
      <c r="O6" s="37"/>
      <c r="P6" s="37"/>
      <c r="Q6" s="355"/>
      <c r="S6" s="376"/>
      <c r="T6" s="377"/>
      <c r="U6" s="375"/>
    </row>
    <row r="7" spans="4:21" ht="20.100000000000001" customHeight="1">
      <c r="D7" s="374"/>
      <c r="E7" s="37"/>
      <c r="F7" s="37"/>
      <c r="G7" s="37"/>
      <c r="H7" s="37"/>
      <c r="I7" s="37"/>
      <c r="J7" s="375"/>
      <c r="K7" s="37"/>
      <c r="L7" s="342"/>
      <c r="M7" s="37"/>
      <c r="N7" s="37"/>
      <c r="O7" s="37"/>
      <c r="P7" s="37"/>
      <c r="Q7" s="355"/>
      <c r="S7" s="376"/>
      <c r="T7" s="377"/>
      <c r="U7" s="375"/>
    </row>
    <row r="8" spans="4:21" ht="20.100000000000001" customHeight="1">
      <c r="D8" s="374"/>
      <c r="E8" s="37"/>
      <c r="F8" s="37"/>
      <c r="G8" s="37"/>
      <c r="H8" s="37"/>
      <c r="I8" s="37"/>
      <c r="J8" s="375"/>
      <c r="K8" s="37"/>
      <c r="L8" s="342"/>
      <c r="M8" s="37"/>
      <c r="N8" s="37"/>
      <c r="O8" s="37"/>
      <c r="P8" s="37"/>
      <c r="Q8" s="355"/>
      <c r="S8" s="342"/>
      <c r="T8" s="377"/>
      <c r="U8" s="375"/>
    </row>
    <row r="9" spans="4:21" ht="20.100000000000001" customHeight="1">
      <c r="D9" s="374"/>
      <c r="E9" s="37"/>
      <c r="F9" s="37"/>
      <c r="G9" s="37"/>
      <c r="H9" s="37"/>
      <c r="I9" s="37"/>
      <c r="J9" s="375"/>
      <c r="K9" s="37"/>
      <c r="L9" s="342"/>
      <c r="M9" s="37"/>
      <c r="N9" s="37"/>
      <c r="O9" s="37"/>
      <c r="P9" s="37"/>
      <c r="Q9" s="355"/>
      <c r="S9" s="342"/>
      <c r="T9" s="377"/>
      <c r="U9" s="375"/>
    </row>
    <row r="10" spans="4:21" ht="20.100000000000001" customHeight="1">
      <c r="D10" s="374"/>
      <c r="E10" s="37"/>
      <c r="F10" s="37"/>
      <c r="G10" s="37"/>
      <c r="H10" s="37"/>
      <c r="I10" s="37"/>
      <c r="J10" s="375"/>
      <c r="K10" s="37"/>
      <c r="L10" s="342"/>
      <c r="M10" s="37"/>
      <c r="N10" s="37"/>
      <c r="O10" s="37"/>
      <c r="P10" s="37"/>
      <c r="Q10" s="355"/>
      <c r="S10" s="342"/>
      <c r="T10" s="377"/>
      <c r="U10" s="375"/>
    </row>
    <row r="11" spans="4:21" ht="20.100000000000001" customHeight="1">
      <c r="D11" s="374"/>
      <c r="E11" s="37"/>
      <c r="F11" s="37"/>
      <c r="G11" s="37"/>
      <c r="H11" s="37"/>
      <c r="I11" s="37"/>
      <c r="J11" s="375"/>
      <c r="K11" s="37"/>
      <c r="L11" s="342"/>
      <c r="M11" s="37"/>
      <c r="N11" s="37"/>
      <c r="O11" s="37"/>
      <c r="P11" s="37"/>
      <c r="Q11" s="355"/>
      <c r="S11" s="342"/>
      <c r="T11" s="377"/>
      <c r="U11" s="375"/>
    </row>
    <row r="12" spans="4:21" ht="20.100000000000001" customHeight="1">
      <c r="D12" s="374"/>
      <c r="E12" s="37"/>
      <c r="F12" s="37"/>
      <c r="G12" s="37"/>
      <c r="H12" s="37"/>
      <c r="I12" s="37"/>
      <c r="J12" s="375"/>
      <c r="K12" s="37"/>
      <c r="L12" s="342"/>
      <c r="M12" s="37"/>
      <c r="N12" s="37"/>
      <c r="O12" s="37"/>
      <c r="P12" s="37"/>
      <c r="Q12" s="355"/>
      <c r="S12" s="342"/>
      <c r="T12" s="377"/>
      <c r="U12" s="375"/>
    </row>
    <row r="13" spans="4:21" ht="20.100000000000001" customHeight="1">
      <c r="D13" s="374"/>
      <c r="E13" s="37"/>
      <c r="F13" s="37"/>
      <c r="G13" s="37"/>
      <c r="H13" s="37"/>
      <c r="I13" s="37"/>
      <c r="J13" s="375"/>
      <c r="K13" s="37"/>
      <c r="L13" s="342"/>
      <c r="M13" s="37"/>
      <c r="N13" s="37"/>
      <c r="O13" s="37"/>
      <c r="P13" s="37"/>
      <c r="Q13" s="355"/>
      <c r="S13" s="342"/>
      <c r="T13" s="377"/>
      <c r="U13" s="375"/>
    </row>
    <row r="14" spans="4:21" ht="20.100000000000001" customHeight="1">
      <c r="D14" s="374"/>
      <c r="E14" s="37"/>
      <c r="F14" s="37"/>
      <c r="G14" s="37"/>
      <c r="H14" s="37"/>
      <c r="I14" s="37"/>
      <c r="J14" s="375"/>
      <c r="K14" s="37"/>
      <c r="L14" s="342"/>
      <c r="M14" s="37"/>
      <c r="N14" s="37"/>
      <c r="O14" s="37"/>
      <c r="P14" s="37"/>
      <c r="Q14" s="355"/>
      <c r="S14" s="342"/>
      <c r="T14" s="377"/>
      <c r="U14" s="375"/>
    </row>
    <row r="15" spans="4:21" ht="20.100000000000001" customHeight="1">
      <c r="D15" s="374"/>
      <c r="E15" s="37"/>
      <c r="F15" s="37"/>
      <c r="G15" s="37"/>
      <c r="H15" s="37"/>
      <c r="I15" s="37"/>
      <c r="J15" s="375"/>
      <c r="K15" s="37"/>
      <c r="L15" s="342"/>
      <c r="M15" s="37"/>
      <c r="N15" s="37"/>
      <c r="O15" s="37"/>
      <c r="P15" s="37"/>
      <c r="Q15" s="355"/>
      <c r="S15" s="342"/>
      <c r="T15" s="377"/>
      <c r="U15" s="375"/>
    </row>
    <row r="16" spans="4:21" ht="20.100000000000001" customHeight="1" thickBot="1">
      <c r="D16" s="368"/>
      <c r="E16" s="357"/>
      <c r="F16" s="357"/>
      <c r="G16" s="357"/>
      <c r="H16" s="357"/>
      <c r="I16" s="357"/>
      <c r="J16" s="378"/>
      <c r="K16" s="37"/>
      <c r="L16" s="356"/>
      <c r="M16" s="357"/>
      <c r="N16" s="357"/>
      <c r="O16" s="357"/>
      <c r="P16" s="357"/>
      <c r="Q16" s="360"/>
      <c r="S16" s="356"/>
      <c r="T16" s="379"/>
      <c r="U16" s="378"/>
    </row>
    <row r="17" spans="3:21" ht="20.100000000000001" customHeight="1">
      <c r="D17" s="37"/>
      <c r="E17" s="37"/>
      <c r="F17" s="37"/>
      <c r="G17" s="37"/>
      <c r="H17" s="37"/>
      <c r="I17" s="37"/>
      <c r="J17" s="377"/>
      <c r="K17" s="37"/>
      <c r="L17" s="37"/>
      <c r="M17" s="37"/>
      <c r="N17" s="37"/>
      <c r="O17" s="37"/>
      <c r="P17" s="37"/>
      <c r="Q17" s="37"/>
      <c r="S17" s="37"/>
      <c r="T17" s="377"/>
      <c r="U17" s="377"/>
    </row>
    <row r="18" spans="3:21" ht="20.100000000000001" customHeight="1">
      <c r="D18" s="37"/>
      <c r="E18" s="37"/>
      <c r="F18" s="37"/>
      <c r="G18" s="37"/>
      <c r="H18" s="37"/>
      <c r="I18" s="37"/>
      <c r="J18" s="377"/>
      <c r="K18" s="37"/>
      <c r="L18" s="37"/>
      <c r="M18" s="37"/>
      <c r="N18" s="37"/>
      <c r="O18" s="37"/>
      <c r="P18" s="37"/>
      <c r="Q18" s="37"/>
      <c r="S18" s="37"/>
      <c r="T18" s="377"/>
      <c r="U18" s="377"/>
    </row>
    <row r="19" spans="3:21" ht="20.100000000000001" customHeight="1">
      <c r="H19" s="380"/>
      <c r="J19" s="381"/>
      <c r="K19" s="381"/>
      <c r="L19" s="381"/>
      <c r="M19" s="381"/>
      <c r="N19" s="381"/>
      <c r="O19" s="381"/>
      <c r="P19" s="381"/>
      <c r="S19" s="37"/>
      <c r="T19" s="377"/>
      <c r="U19" s="377"/>
    </row>
    <row r="20" spans="3:21" s="382" customFormat="1" ht="26.25" customHeight="1" thickBot="1">
      <c r="D20" s="369" t="s">
        <v>263</v>
      </c>
      <c r="F20" s="369"/>
      <c r="H20" s="383"/>
      <c r="T20" s="384"/>
      <c r="U20" s="384"/>
    </row>
    <row r="21" spans="3:21" s="52" customFormat="1" ht="36" customHeight="1" thickBot="1">
      <c r="D21" s="385" t="s">
        <v>315</v>
      </c>
      <c r="E21" s="398" t="s">
        <v>236</v>
      </c>
      <c r="F21" s="399" t="s">
        <v>237</v>
      </c>
      <c r="G21" s="398" t="s">
        <v>238</v>
      </c>
      <c r="H21" s="400"/>
      <c r="I21" s="398"/>
      <c r="J21" s="398"/>
      <c r="K21" s="398"/>
      <c r="L21" s="398"/>
      <c r="M21" s="398"/>
      <c r="N21" s="398"/>
      <c r="O21" s="398"/>
      <c r="P21" s="401"/>
      <c r="Q21" s="53"/>
      <c r="S21" s="53"/>
      <c r="T21" s="402"/>
      <c r="U21" s="402"/>
    </row>
    <row r="22" spans="3:21" s="37" customFormat="1" ht="23.1" customHeight="1">
      <c r="D22" s="386" t="s">
        <v>267</v>
      </c>
      <c r="E22" s="37">
        <v>1.5549999999999999</v>
      </c>
      <c r="F22" s="37">
        <v>1.6819999999999999</v>
      </c>
      <c r="G22" s="37">
        <v>1.534</v>
      </c>
      <c r="J22" s="43"/>
      <c r="K22" s="43"/>
      <c r="L22" s="43"/>
      <c r="M22" s="43"/>
      <c r="N22" s="43"/>
      <c r="O22" s="43"/>
      <c r="P22" s="387"/>
      <c r="T22" s="377"/>
      <c r="U22" s="377"/>
    </row>
    <row r="23" spans="3:21" s="37" customFormat="1" ht="23.1" customHeight="1">
      <c r="D23" s="386" t="s">
        <v>243</v>
      </c>
      <c r="E23" s="37">
        <v>3.3800000000000002E-3</v>
      </c>
      <c r="F23" s="37">
        <v>7.5599999999999999E-3</v>
      </c>
      <c r="G23" s="37">
        <v>7.0600000000000003E-3</v>
      </c>
      <c r="J23" s="43"/>
      <c r="K23" s="43"/>
      <c r="L23" s="43"/>
      <c r="M23" s="43"/>
      <c r="N23" s="43"/>
      <c r="O23" s="43"/>
      <c r="P23" s="387"/>
      <c r="T23" s="377"/>
      <c r="U23" s="377"/>
    </row>
    <row r="24" spans="3:21" s="37" customFormat="1" ht="23.1" customHeight="1">
      <c r="D24" s="386" t="s">
        <v>244</v>
      </c>
      <c r="E24" s="37">
        <v>3.2289999999999999E-4</v>
      </c>
      <c r="F24" s="37">
        <v>3.1720000000000001E-4</v>
      </c>
      <c r="G24" s="37">
        <v>3.2009999999999997E-4</v>
      </c>
      <c r="J24" s="43"/>
      <c r="K24" s="43"/>
      <c r="L24" s="43"/>
      <c r="M24" s="43"/>
      <c r="N24" s="43"/>
      <c r="O24" s="43"/>
      <c r="P24" s="387"/>
      <c r="T24" s="377"/>
      <c r="U24" s="377"/>
    </row>
    <row r="25" spans="3:21" s="37" customFormat="1" ht="23.1" customHeight="1">
      <c r="D25" s="386" t="s">
        <v>266</v>
      </c>
      <c r="E25" s="37">
        <v>0.58330000000000004</v>
      </c>
      <c r="F25" s="37">
        <v>0.58330000000000004</v>
      </c>
      <c r="G25" s="37">
        <v>0.58330000000000004</v>
      </c>
      <c r="J25" s="43"/>
      <c r="K25" s="43"/>
      <c r="L25" s="43"/>
      <c r="M25" s="43"/>
      <c r="N25" s="43"/>
      <c r="O25" s="43"/>
      <c r="P25" s="387"/>
      <c r="T25" s="377"/>
      <c r="U25" s="377"/>
    </row>
    <row r="26" spans="3:21" s="37" customFormat="1" ht="23.1" customHeight="1">
      <c r="D26" s="386" t="s">
        <v>265</v>
      </c>
      <c r="E26" s="37">
        <v>50.5</v>
      </c>
      <c r="F26" s="37">
        <v>46.800000000000004</v>
      </c>
      <c r="G26" s="37">
        <v>48.599999999999994</v>
      </c>
      <c r="J26" s="43"/>
      <c r="K26" s="43"/>
      <c r="L26" s="43"/>
      <c r="M26" s="43"/>
      <c r="N26" s="43"/>
      <c r="O26" s="43"/>
      <c r="P26" s="387"/>
      <c r="T26" s="377"/>
      <c r="U26" s="377"/>
    </row>
    <row r="27" spans="3:21" s="37" customFormat="1" ht="23.1" customHeight="1" thickBot="1">
      <c r="D27" s="388" t="s">
        <v>264</v>
      </c>
      <c r="E27" s="357">
        <v>485.7</v>
      </c>
      <c r="F27" s="357">
        <v>235.1</v>
      </c>
      <c r="G27" s="357">
        <v>236.2</v>
      </c>
      <c r="H27" s="357"/>
      <c r="I27" s="357"/>
      <c r="J27" s="389"/>
      <c r="K27" s="389"/>
      <c r="L27" s="389"/>
      <c r="M27" s="389"/>
      <c r="N27" s="389"/>
      <c r="O27" s="389"/>
      <c r="P27" s="390"/>
      <c r="T27" s="377"/>
      <c r="U27" s="377"/>
    </row>
    <row r="28" spans="3:21" ht="20.100000000000001" customHeight="1">
      <c r="D28" s="44"/>
      <c r="E28" s="44"/>
      <c r="F28" s="381"/>
      <c r="G28" s="44"/>
      <c r="H28" s="380"/>
      <c r="T28" s="391"/>
      <c r="U28" s="391"/>
    </row>
    <row r="29" spans="3:21" ht="20.100000000000001" customHeight="1">
      <c r="D29" s="37"/>
      <c r="E29" s="37"/>
      <c r="F29" s="37"/>
      <c r="G29" s="37"/>
      <c r="H29" s="37"/>
      <c r="I29" s="37"/>
      <c r="J29" s="377"/>
      <c r="K29" s="37"/>
      <c r="L29" s="37"/>
      <c r="M29" s="37"/>
      <c r="N29" s="37"/>
      <c r="O29" s="37"/>
      <c r="P29" s="37"/>
      <c r="Q29" s="37"/>
      <c r="T29" s="391"/>
      <c r="U29" s="391"/>
    </row>
    <row r="30" spans="3:21" ht="32.25" customHeight="1" thickBot="1">
      <c r="D30" s="37"/>
      <c r="E30" s="37"/>
      <c r="F30" s="37"/>
      <c r="G30" s="37"/>
      <c r="H30" s="37"/>
      <c r="I30" s="369"/>
      <c r="J30" s="377"/>
      <c r="K30" s="37"/>
      <c r="L30" s="37"/>
      <c r="M30" s="37"/>
      <c r="N30" s="37"/>
      <c r="O30" s="37"/>
      <c r="P30" s="37"/>
      <c r="Q30" s="37"/>
    </row>
    <row r="31" spans="3:21" s="37" customFormat="1" ht="39.75" customHeight="1" thickBot="1">
      <c r="C31" s="392" t="s">
        <v>222</v>
      </c>
      <c r="D31" s="393" t="s">
        <v>248</v>
      </c>
      <c r="E31" s="393"/>
      <c r="F31" s="394"/>
      <c r="H31" s="393" t="s">
        <v>271</v>
      </c>
      <c r="I31" s="393" t="s">
        <v>272</v>
      </c>
      <c r="J31" s="395" t="s">
        <v>273</v>
      </c>
      <c r="K31" s="393" t="s">
        <v>274</v>
      </c>
      <c r="L31" s="393" t="s">
        <v>275</v>
      </c>
      <c r="M31" s="394" t="s">
        <v>276</v>
      </c>
    </row>
    <row r="32" spans="3:21" ht="20.100000000000001" customHeight="1">
      <c r="C32" s="487" t="s">
        <v>236</v>
      </c>
      <c r="D32" s="367" t="s">
        <v>283</v>
      </c>
      <c r="E32" s="367">
        <v>1.732</v>
      </c>
      <c r="F32" s="396">
        <v>3.2289999999999999E-4</v>
      </c>
      <c r="G32" s="37"/>
      <c r="H32" s="374" t="s">
        <v>236</v>
      </c>
      <c r="I32" s="374">
        <v>43</v>
      </c>
      <c r="J32" s="397">
        <v>52.7</v>
      </c>
      <c r="K32" s="374">
        <v>81.7</v>
      </c>
      <c r="L32" s="374">
        <v>59.1</v>
      </c>
      <c r="M32" s="355">
        <v>81.7</v>
      </c>
      <c r="N32" s="37"/>
      <c r="O32" s="37"/>
      <c r="P32" s="37"/>
      <c r="Q32" s="37"/>
    </row>
    <row r="33" spans="3:17" ht="20.100000000000001" customHeight="1">
      <c r="C33" s="493"/>
      <c r="D33" s="374" t="s">
        <v>284</v>
      </c>
      <c r="E33" s="374">
        <v>1.5549999999999999</v>
      </c>
      <c r="F33" s="355"/>
      <c r="G33" s="37"/>
      <c r="H33" s="374" t="s">
        <v>237</v>
      </c>
      <c r="I33" s="374">
        <v>62.5</v>
      </c>
      <c r="J33" s="397">
        <v>76.5</v>
      </c>
      <c r="K33" s="374">
        <v>85.8</v>
      </c>
      <c r="L33" s="374">
        <v>74.900000000000006</v>
      </c>
      <c r="M33" s="355">
        <v>85.8</v>
      </c>
      <c r="N33" s="37"/>
      <c r="O33" s="37"/>
      <c r="P33" s="37"/>
      <c r="Q33" s="37"/>
    </row>
    <row r="34" spans="3:17" ht="20.100000000000001" customHeight="1" thickBot="1">
      <c r="C34" s="488"/>
      <c r="D34" s="368" t="s">
        <v>285</v>
      </c>
      <c r="E34" s="368">
        <v>1.6435</v>
      </c>
      <c r="F34" s="360">
        <v>3.2289999999999999E-4</v>
      </c>
      <c r="G34" s="37"/>
      <c r="H34" s="374" t="s">
        <v>238</v>
      </c>
      <c r="I34" s="374">
        <v>61.2</v>
      </c>
      <c r="J34" s="397">
        <v>75</v>
      </c>
      <c r="K34" s="374">
        <v>82.7</v>
      </c>
      <c r="L34" s="374">
        <v>73</v>
      </c>
      <c r="M34" s="355">
        <v>82.7</v>
      </c>
      <c r="N34" s="37"/>
      <c r="O34" s="37"/>
      <c r="P34" s="37"/>
      <c r="Q34" s="37"/>
    </row>
    <row r="35" spans="3:17" ht="20.100000000000001" customHeight="1">
      <c r="C35" s="487" t="s">
        <v>237</v>
      </c>
      <c r="D35" s="367" t="s">
        <v>283</v>
      </c>
      <c r="E35" s="367">
        <v>1.877</v>
      </c>
      <c r="F35" s="396">
        <v>3.1720000000000001E-4</v>
      </c>
      <c r="G35" s="37"/>
      <c r="H35" s="374"/>
      <c r="I35" s="374"/>
      <c r="J35" s="397"/>
      <c r="K35" s="374"/>
      <c r="L35" s="374"/>
      <c r="M35" s="355"/>
      <c r="N35" s="37"/>
      <c r="O35" s="37"/>
      <c r="P35" s="37"/>
      <c r="Q35" s="37"/>
    </row>
    <row r="36" spans="3:17" ht="20.100000000000001" customHeight="1">
      <c r="C36" s="493"/>
      <c r="D36" s="374" t="s">
        <v>284</v>
      </c>
      <c r="E36" s="374">
        <v>1.6819999999999999</v>
      </c>
      <c r="F36" s="355"/>
      <c r="G36" s="37"/>
      <c r="H36" s="374"/>
      <c r="I36" s="374"/>
      <c r="J36" s="374"/>
      <c r="K36" s="374"/>
      <c r="L36" s="374"/>
      <c r="M36" s="355"/>
      <c r="N36" s="37"/>
      <c r="O36" s="37"/>
      <c r="P36" s="37"/>
      <c r="Q36" s="37"/>
    </row>
    <row r="37" spans="3:17" ht="20.100000000000001" customHeight="1" thickBot="1">
      <c r="C37" s="488"/>
      <c r="D37" s="368" t="s">
        <v>285</v>
      </c>
      <c r="E37" s="368">
        <v>1.7795000000000001</v>
      </c>
      <c r="F37" s="360">
        <v>3.1720000000000001E-4</v>
      </c>
      <c r="G37" s="37"/>
      <c r="H37" s="374"/>
      <c r="I37" s="374"/>
      <c r="J37" s="374"/>
      <c r="K37" s="374"/>
      <c r="L37" s="374"/>
      <c r="M37" s="355"/>
      <c r="N37" s="37"/>
      <c r="O37" s="37"/>
      <c r="P37" s="37"/>
      <c r="Q37" s="37"/>
    </row>
    <row r="38" spans="3:17" ht="20.100000000000001" customHeight="1">
      <c r="C38" s="487" t="s">
        <v>238</v>
      </c>
      <c r="D38" s="367" t="s">
        <v>283</v>
      </c>
      <c r="E38" s="367">
        <v>1.8029999999999999</v>
      </c>
      <c r="F38" s="396">
        <v>3.2009999999999997E-4</v>
      </c>
      <c r="G38" s="37"/>
      <c r="H38" s="374"/>
      <c r="I38" s="374"/>
      <c r="J38" s="374"/>
      <c r="K38" s="374"/>
      <c r="L38" s="374"/>
      <c r="M38" s="355"/>
      <c r="N38" s="37"/>
      <c r="O38" s="37"/>
      <c r="P38" s="37"/>
      <c r="Q38" s="37"/>
    </row>
    <row r="39" spans="3:17" ht="20.100000000000001" customHeight="1">
      <c r="C39" s="493"/>
      <c r="D39" s="374" t="s">
        <v>284</v>
      </c>
      <c r="E39" s="374">
        <v>1.534</v>
      </c>
      <c r="F39" s="355"/>
      <c r="G39" s="37"/>
      <c r="H39" s="374"/>
      <c r="I39" s="374"/>
      <c r="J39" s="374"/>
      <c r="K39" s="374"/>
      <c r="L39" s="374"/>
      <c r="M39" s="355"/>
      <c r="N39" s="37"/>
      <c r="O39" s="37"/>
      <c r="P39" s="37"/>
      <c r="Q39" s="37"/>
    </row>
    <row r="40" spans="3:17" ht="20.100000000000001" customHeight="1" thickBot="1">
      <c r="C40" s="488"/>
      <c r="D40" s="368" t="s">
        <v>285</v>
      </c>
      <c r="E40" s="368">
        <v>1.6684999999999999</v>
      </c>
      <c r="F40" s="360">
        <v>3.2009999999999997E-4</v>
      </c>
      <c r="G40" s="37"/>
      <c r="H40" s="374"/>
      <c r="I40" s="374"/>
      <c r="J40" s="374"/>
      <c r="K40" s="374"/>
      <c r="L40" s="374"/>
      <c r="M40" s="355"/>
      <c r="N40" s="37"/>
      <c r="O40" s="37"/>
      <c r="P40" s="37"/>
      <c r="Q40" s="37"/>
    </row>
    <row r="41" spans="3:17" ht="20.100000000000001" customHeight="1">
      <c r="C41" s="493"/>
      <c r="D41" s="374"/>
      <c r="E41" s="367"/>
      <c r="F41" s="396"/>
      <c r="G41" s="37"/>
      <c r="H41" s="374"/>
      <c r="I41" s="374"/>
      <c r="J41" s="374"/>
      <c r="K41" s="374"/>
      <c r="L41" s="374"/>
      <c r="M41" s="355"/>
      <c r="N41" s="37"/>
      <c r="O41" s="37"/>
      <c r="P41" s="37"/>
      <c r="Q41" s="37"/>
    </row>
    <row r="42" spans="3:17" ht="20.100000000000001" customHeight="1">
      <c r="C42" s="493"/>
      <c r="D42" s="374"/>
      <c r="E42" s="374"/>
      <c r="F42" s="355"/>
      <c r="G42" s="37"/>
      <c r="H42" s="374"/>
      <c r="I42" s="374"/>
      <c r="J42" s="374"/>
      <c r="K42" s="374"/>
      <c r="L42" s="374"/>
      <c r="M42" s="355"/>
      <c r="N42" s="37"/>
      <c r="O42" s="37"/>
      <c r="P42" s="37"/>
      <c r="Q42" s="37"/>
    </row>
    <row r="43" spans="3:17" ht="20.100000000000001" customHeight="1" thickBot="1">
      <c r="C43" s="488"/>
      <c r="D43" s="368"/>
      <c r="E43" s="368"/>
      <c r="F43" s="360"/>
      <c r="G43" s="37"/>
      <c r="H43" s="374"/>
      <c r="I43" s="374"/>
      <c r="J43" s="374"/>
      <c r="K43" s="374"/>
      <c r="L43" s="374"/>
      <c r="M43" s="355"/>
      <c r="N43" s="37"/>
      <c r="O43" s="37"/>
      <c r="P43" s="37"/>
      <c r="Q43" s="37"/>
    </row>
    <row r="44" spans="3:17" ht="20.100000000000001" customHeight="1">
      <c r="C44" s="487"/>
      <c r="D44" s="367"/>
      <c r="E44" s="367"/>
      <c r="F44" s="396"/>
      <c r="G44" s="37"/>
      <c r="H44" s="374"/>
      <c r="I44" s="374"/>
      <c r="J44" s="374"/>
      <c r="K44" s="374"/>
      <c r="L44" s="374"/>
      <c r="M44" s="355"/>
      <c r="N44" s="37"/>
      <c r="O44" s="37"/>
      <c r="P44" s="37"/>
      <c r="Q44" s="37"/>
    </row>
    <row r="45" spans="3:17" ht="20.100000000000001" customHeight="1" thickBot="1">
      <c r="C45" s="493"/>
      <c r="D45" s="374"/>
      <c r="E45" s="374"/>
      <c r="F45" s="355"/>
      <c r="G45" s="37"/>
      <c r="H45" s="368"/>
      <c r="I45" s="368"/>
      <c r="J45" s="368"/>
      <c r="K45" s="368"/>
      <c r="L45" s="368"/>
      <c r="M45" s="360"/>
      <c r="N45" s="37"/>
      <c r="O45" s="37"/>
      <c r="P45" s="37"/>
      <c r="Q45" s="37"/>
    </row>
    <row r="46" spans="3:17" ht="20.100000000000001" customHeight="1" thickBot="1">
      <c r="C46" s="488"/>
      <c r="D46" s="368"/>
      <c r="E46" s="368"/>
      <c r="F46" s="360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</row>
    <row r="47" spans="3:17" ht="20.100000000000001" customHeight="1">
      <c r="C47" s="487"/>
      <c r="D47" s="367"/>
      <c r="E47" s="367"/>
      <c r="F47" s="396"/>
    </row>
    <row r="48" spans="3:17" ht="20.100000000000001" customHeight="1">
      <c r="C48" s="493"/>
      <c r="D48" s="374"/>
      <c r="E48" s="374"/>
      <c r="F48" s="355"/>
    </row>
    <row r="49" spans="3:6" ht="20.100000000000001" customHeight="1" thickBot="1">
      <c r="C49" s="488"/>
      <c r="D49" s="368"/>
      <c r="E49" s="368"/>
      <c r="F49" s="360"/>
    </row>
    <row r="50" spans="3:6" ht="20.100000000000001" customHeight="1">
      <c r="C50" s="487"/>
      <c r="D50" s="367"/>
      <c r="E50" s="367"/>
      <c r="F50" s="396"/>
    </row>
    <row r="51" spans="3:6" ht="20.100000000000001" customHeight="1">
      <c r="C51" s="493"/>
      <c r="D51" s="374"/>
      <c r="E51" s="374"/>
      <c r="F51" s="355"/>
    </row>
    <row r="52" spans="3:6" ht="20.100000000000001" customHeight="1" thickBot="1">
      <c r="C52" s="488"/>
      <c r="D52" s="368"/>
      <c r="E52" s="368"/>
      <c r="F52" s="360"/>
    </row>
    <row r="53" spans="3:6" ht="20.100000000000001" customHeight="1">
      <c r="C53" s="487"/>
      <c r="D53" s="367"/>
      <c r="E53" s="367"/>
      <c r="F53" s="396"/>
    </row>
    <row r="54" spans="3:6" ht="20.100000000000001" customHeight="1">
      <c r="C54" s="493"/>
      <c r="D54" s="374"/>
      <c r="E54" s="374"/>
      <c r="F54" s="355"/>
    </row>
    <row r="55" spans="3:6" ht="20.100000000000001" customHeight="1" thickBot="1">
      <c r="C55" s="488"/>
      <c r="D55" s="368"/>
      <c r="E55" s="368"/>
      <c r="F55" s="360"/>
    </row>
    <row r="56" spans="3:6" ht="20.100000000000001" customHeight="1">
      <c r="C56" s="487"/>
      <c r="D56" s="367"/>
      <c r="E56" s="367"/>
      <c r="F56" s="396"/>
    </row>
    <row r="57" spans="3:6" ht="20.100000000000001" customHeight="1">
      <c r="C57" s="493"/>
      <c r="D57" s="374"/>
      <c r="E57" s="374"/>
      <c r="F57" s="355"/>
    </row>
    <row r="58" spans="3:6" ht="20.100000000000001" customHeight="1" thickBot="1">
      <c r="C58" s="488"/>
      <c r="D58" s="368"/>
      <c r="E58" s="368"/>
      <c r="F58" s="360"/>
    </row>
    <row r="59" spans="3:6" ht="20.100000000000001" customHeight="1">
      <c r="C59" s="487"/>
      <c r="D59" s="367"/>
      <c r="E59" s="367"/>
      <c r="F59" s="396"/>
    </row>
    <row r="60" spans="3:6" ht="20.100000000000001" customHeight="1">
      <c r="C60" s="493"/>
      <c r="D60" s="374"/>
      <c r="E60" s="374"/>
      <c r="F60" s="355"/>
    </row>
    <row r="61" spans="3:6" ht="20.100000000000001" customHeight="1" thickBot="1">
      <c r="C61" s="488"/>
      <c r="D61" s="368"/>
      <c r="E61" s="368"/>
      <c r="F61" s="360"/>
    </row>
    <row r="62" spans="3:6" ht="20.100000000000001" customHeight="1">
      <c r="C62" s="487"/>
      <c r="D62" s="367"/>
      <c r="E62" s="367"/>
      <c r="F62" s="396"/>
    </row>
    <row r="63" spans="3:6" ht="20.100000000000001" customHeight="1">
      <c r="C63" s="493"/>
      <c r="D63" s="374"/>
      <c r="E63" s="374"/>
      <c r="F63" s="355"/>
    </row>
    <row r="64" spans="3:6" ht="20.100000000000001" customHeight="1" thickBot="1">
      <c r="C64" s="488"/>
      <c r="D64" s="368"/>
      <c r="E64" s="368"/>
      <c r="F64" s="360"/>
    </row>
    <row r="65" spans="3:6" ht="20.100000000000001" customHeight="1">
      <c r="C65" s="487"/>
      <c r="D65" s="367"/>
      <c r="E65" s="374"/>
      <c r="F65" s="355"/>
    </row>
    <row r="66" spans="3:6" ht="20.100000000000001" customHeight="1">
      <c r="C66" s="493"/>
      <c r="D66" s="374"/>
      <c r="E66" s="374"/>
      <c r="F66" s="355"/>
    </row>
    <row r="67" spans="3:6" ht="20.100000000000001" customHeight="1" thickBot="1">
      <c r="C67" s="488"/>
      <c r="D67" s="368"/>
      <c r="E67" s="368"/>
      <c r="F67" s="360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825" r:id="rId3" name="CommandButton1">
          <controlPr defaultSize="0" autoLine="0" r:id="rId4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3" name="CommandButton1"/>
      </mc:Fallback>
    </mc:AlternateContent>
    <mc:AlternateContent xmlns:mc="http://schemas.openxmlformats.org/markup-compatibility/2006">
      <mc:Choice Requires="x14">
        <control shapeId="205826" r:id="rId5" name="CommandButton2">
          <controlPr defaultSize="0" autoLine="0" r:id="rId6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5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B7" sqref="B7"/>
    </sheetView>
  </sheetViews>
  <sheetFormatPr defaultRowHeight="20.100000000000001" customHeight="1"/>
  <cols>
    <col min="1" max="2" width="8.88671875" style="37"/>
    <col min="3" max="15" width="12.21875" style="37" customWidth="1"/>
    <col min="16" max="16384" width="8.88671875" style="37"/>
  </cols>
  <sheetData>
    <row r="2" spans="3:15" s="38" customFormat="1" ht="32.25" customHeight="1" thickBot="1">
      <c r="C2" s="403" t="s">
        <v>262</v>
      </c>
    </row>
    <row r="3" spans="3:15" s="53" customFormat="1" ht="28.5" customHeight="1" thickBot="1">
      <c r="C3" s="393" t="s">
        <v>222</v>
      </c>
      <c r="D3" s="393" t="s">
        <v>252</v>
      </c>
      <c r="E3" s="404" t="s">
        <v>219</v>
      </c>
      <c r="F3" s="393" t="s">
        <v>253</v>
      </c>
      <c r="G3" s="394" t="s">
        <v>257</v>
      </c>
      <c r="H3" s="394" t="s">
        <v>259</v>
      </c>
      <c r="I3" s="394" t="s">
        <v>225</v>
      </c>
      <c r="J3" s="394" t="s">
        <v>260</v>
      </c>
      <c r="K3" s="393" t="s">
        <v>121</v>
      </c>
      <c r="L3" s="394" t="s">
        <v>258</v>
      </c>
      <c r="M3" s="393" t="s">
        <v>254</v>
      </c>
      <c r="N3" s="393" t="s">
        <v>255</v>
      </c>
      <c r="O3" s="394" t="s">
        <v>256</v>
      </c>
    </row>
    <row r="4" spans="3:15" ht="20.100000000000001" customHeight="1">
      <c r="C4" s="374" t="s">
        <v>236</v>
      </c>
      <c r="D4" s="489" t="s">
        <v>316</v>
      </c>
      <c r="E4" s="37">
        <v>143</v>
      </c>
      <c r="F4" s="374">
        <v>1.6435</v>
      </c>
      <c r="G4" s="489">
        <v>1.6435</v>
      </c>
      <c r="H4" s="489">
        <v>0.03</v>
      </c>
      <c r="I4" s="355">
        <v>485.7</v>
      </c>
      <c r="J4" s="489">
        <v>485.7</v>
      </c>
      <c r="K4" s="374">
        <v>34</v>
      </c>
      <c r="L4" s="489">
        <v>34</v>
      </c>
      <c r="M4" s="374">
        <v>2.2200000000000001E-2</v>
      </c>
      <c r="N4" s="494">
        <v>2.2200000000000001E-2</v>
      </c>
      <c r="O4" s="489" t="s">
        <v>261</v>
      </c>
    </row>
    <row r="5" spans="3:15" ht="20.100000000000001" customHeight="1">
      <c r="C5" s="374" t="s">
        <v>237</v>
      </c>
      <c r="D5" s="496"/>
      <c r="E5" s="37">
        <v>143</v>
      </c>
      <c r="F5" s="374">
        <v>1.6435</v>
      </c>
      <c r="G5" s="496"/>
      <c r="H5" s="496"/>
      <c r="I5" s="355">
        <v>485.7</v>
      </c>
      <c r="J5" s="496"/>
      <c r="K5" s="374">
        <v>34</v>
      </c>
      <c r="L5" s="496"/>
      <c r="M5" s="374">
        <v>2.2200000000000001E-2</v>
      </c>
      <c r="N5" s="495"/>
      <c r="O5" s="496"/>
    </row>
    <row r="6" spans="3:15" ht="20.100000000000001" customHeight="1">
      <c r="C6" s="374" t="s">
        <v>238</v>
      </c>
      <c r="D6" s="496"/>
      <c r="E6" s="37">
        <v>143</v>
      </c>
      <c r="F6" s="374">
        <v>1.6435</v>
      </c>
      <c r="G6" s="496"/>
      <c r="H6" s="496"/>
      <c r="I6" s="355">
        <v>485.7</v>
      </c>
      <c r="J6" s="496"/>
      <c r="K6" s="374">
        <v>34</v>
      </c>
      <c r="L6" s="496"/>
      <c r="M6" s="374">
        <v>2.2200000000000001E-2</v>
      </c>
      <c r="N6" s="495"/>
      <c r="O6" s="496"/>
    </row>
    <row r="7" spans="3:15" ht="20.100000000000001" customHeight="1">
      <c r="C7" s="374"/>
      <c r="D7" s="405"/>
      <c r="F7" s="374"/>
      <c r="G7" s="405"/>
      <c r="H7" s="405"/>
      <c r="I7" s="355"/>
      <c r="J7" s="405"/>
      <c r="K7" s="374"/>
      <c r="L7" s="405"/>
      <c r="M7" s="374"/>
      <c r="N7" s="406"/>
      <c r="O7" s="405"/>
    </row>
    <row r="8" spans="3:15" ht="20.100000000000001" customHeight="1">
      <c r="C8" s="374"/>
      <c r="D8" s="405"/>
      <c r="F8" s="374"/>
      <c r="G8" s="405"/>
      <c r="H8" s="405"/>
      <c r="I8" s="355"/>
      <c r="J8" s="405"/>
      <c r="K8" s="374"/>
      <c r="L8" s="405"/>
      <c r="M8" s="374"/>
      <c r="N8" s="406"/>
      <c r="O8" s="405"/>
    </row>
    <row r="9" spans="3:15" ht="20.100000000000001" customHeight="1">
      <c r="C9" s="374"/>
      <c r="D9" s="405"/>
      <c r="F9" s="374"/>
      <c r="G9" s="408"/>
      <c r="H9" s="405"/>
      <c r="I9" s="355"/>
      <c r="J9" s="405"/>
      <c r="K9" s="374"/>
      <c r="L9" s="408"/>
      <c r="M9" s="374"/>
      <c r="N9" s="405"/>
      <c r="O9" s="405"/>
    </row>
    <row r="10" spans="3:15" ht="20.100000000000001" customHeight="1">
      <c r="C10" s="374"/>
      <c r="D10" s="405"/>
      <c r="F10" s="374"/>
      <c r="G10" s="408"/>
      <c r="H10" s="405"/>
      <c r="I10" s="355"/>
      <c r="J10" s="405"/>
      <c r="K10" s="374"/>
      <c r="L10" s="408"/>
      <c r="M10" s="374"/>
      <c r="N10" s="405"/>
      <c r="O10" s="405"/>
    </row>
    <row r="11" spans="3:15" ht="20.100000000000001" customHeight="1">
      <c r="C11" s="374"/>
      <c r="D11" s="405"/>
      <c r="F11" s="374"/>
      <c r="G11" s="408"/>
      <c r="H11" s="405"/>
      <c r="I11" s="355"/>
      <c r="J11" s="405"/>
      <c r="K11" s="374"/>
      <c r="L11" s="408"/>
      <c r="M11" s="374"/>
      <c r="N11" s="405"/>
      <c r="O11" s="405"/>
    </row>
    <row r="12" spans="3:15" ht="20.100000000000001" customHeight="1">
      <c r="C12" s="374"/>
      <c r="D12" s="405"/>
      <c r="F12" s="374"/>
      <c r="G12" s="408"/>
      <c r="H12" s="405"/>
      <c r="I12" s="355"/>
      <c r="J12" s="405"/>
      <c r="K12" s="374"/>
      <c r="L12" s="408"/>
      <c r="M12" s="374"/>
      <c r="N12" s="405"/>
      <c r="O12" s="405"/>
    </row>
    <row r="13" spans="3:15" ht="20.100000000000001" customHeight="1">
      <c r="C13" s="374"/>
      <c r="D13" s="405"/>
      <c r="F13" s="374"/>
      <c r="G13" s="408"/>
      <c r="H13" s="405"/>
      <c r="I13" s="355"/>
      <c r="J13" s="405"/>
      <c r="K13" s="374"/>
      <c r="L13" s="408"/>
      <c r="M13" s="374"/>
      <c r="N13" s="405"/>
      <c r="O13" s="405"/>
    </row>
    <row r="14" spans="3:15" ht="20.100000000000001" customHeight="1">
      <c r="C14" s="374"/>
      <c r="D14" s="405"/>
      <c r="F14" s="374"/>
      <c r="G14" s="408"/>
      <c r="H14" s="405"/>
      <c r="I14" s="355"/>
      <c r="J14" s="405"/>
      <c r="K14" s="374"/>
      <c r="L14" s="408"/>
      <c r="M14" s="374"/>
      <c r="N14" s="405"/>
      <c r="O14" s="405"/>
    </row>
    <row r="15" spans="3:15" ht="20.100000000000001" customHeight="1">
      <c r="C15" s="374"/>
      <c r="D15" s="405"/>
      <c r="F15" s="374"/>
      <c r="G15" s="408"/>
      <c r="H15" s="405"/>
      <c r="I15" s="355"/>
      <c r="J15" s="405"/>
      <c r="K15" s="374"/>
      <c r="L15" s="408"/>
      <c r="M15" s="374"/>
      <c r="N15" s="405"/>
      <c r="O15" s="405"/>
    </row>
    <row r="16" spans="3:15" ht="20.100000000000001" customHeight="1">
      <c r="C16" s="374"/>
      <c r="D16" s="405"/>
      <c r="F16" s="374"/>
      <c r="G16" s="408"/>
      <c r="H16" s="405"/>
      <c r="I16" s="355"/>
      <c r="J16" s="405"/>
      <c r="K16" s="374"/>
      <c r="L16" s="408"/>
      <c r="M16" s="374"/>
      <c r="N16" s="405"/>
      <c r="O16" s="405"/>
    </row>
    <row r="17" spans="3:15" ht="20.100000000000001" customHeight="1" thickBot="1">
      <c r="C17" s="368"/>
      <c r="D17" s="407"/>
      <c r="E17" s="357"/>
      <c r="F17" s="368"/>
      <c r="G17" s="409"/>
      <c r="H17" s="407"/>
      <c r="I17" s="360"/>
      <c r="J17" s="407"/>
      <c r="K17" s="368"/>
      <c r="L17" s="409"/>
      <c r="M17" s="368"/>
      <c r="N17" s="407"/>
      <c r="O17" s="407"/>
    </row>
  </sheetData>
  <mergeCells count="7">
    <mergeCell ref="N4:N6"/>
    <mergeCell ref="O4:O6"/>
    <mergeCell ref="D4:D6"/>
    <mergeCell ref="G4:G6"/>
    <mergeCell ref="H4:H6"/>
    <mergeCell ref="J4:J6"/>
    <mergeCell ref="L4:L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P55"/>
  <sheetViews>
    <sheetView workbookViewId="0">
      <selection activeCell="H60" sqref="H60"/>
    </sheetView>
  </sheetViews>
  <sheetFormatPr defaultRowHeight="20.100000000000001" customHeight="1"/>
  <cols>
    <col min="1" max="3" width="4.77734375" customWidth="1"/>
    <col min="4" max="17" width="12.33203125" customWidth="1"/>
  </cols>
  <sheetData>
    <row r="2" spans="4:11" s="412" customFormat="1" ht="27.75" customHeight="1" thickBot="1">
      <c r="D2" s="369" t="s">
        <v>287</v>
      </c>
    </row>
    <row r="3" spans="4:11" s="53" customFormat="1" ht="42.75" customHeight="1">
      <c r="D3" s="414" t="s">
        <v>295</v>
      </c>
      <c r="E3" s="415" t="s">
        <v>293</v>
      </c>
      <c r="F3" s="415" t="s">
        <v>292</v>
      </c>
      <c r="G3" s="415" t="s">
        <v>296</v>
      </c>
      <c r="H3" s="415" t="s">
        <v>297</v>
      </c>
      <c r="I3" s="415" t="s">
        <v>298</v>
      </c>
      <c r="J3" s="415" t="s">
        <v>299</v>
      </c>
      <c r="K3" s="416" t="s">
        <v>300</v>
      </c>
    </row>
    <row r="4" spans="4:11" s="413" customFormat="1" ht="33.75" customHeight="1" thickBot="1">
      <c r="D4" s="417">
        <f>Well!$P$4</f>
        <v>3059068</v>
      </c>
      <c r="E4" s="418">
        <f>max</f>
        <v>1198.3</v>
      </c>
      <c r="F4" s="418">
        <f>'1'!$F$19</f>
        <v>1345.7569279715069</v>
      </c>
      <c r="G4" s="419">
        <f>'1'!$G$13</f>
        <v>0.65</v>
      </c>
      <c r="H4" s="418">
        <f>'1'!$G$19</f>
        <v>874.7420031814795</v>
      </c>
      <c r="I4" s="420">
        <f>'1'!$F$21</f>
        <v>172.8</v>
      </c>
      <c r="J4" s="418">
        <f>SumWater</f>
        <v>390</v>
      </c>
      <c r="K4" s="421">
        <f>'1'!$G$21</f>
        <v>311.94200318147949</v>
      </c>
    </row>
    <row r="6" spans="4:11" ht="20.100000000000001" customHeight="1" thickBot="1"/>
    <row r="7" spans="4:11" ht="62.25" customHeight="1">
      <c r="D7" s="414" t="s">
        <v>295</v>
      </c>
      <c r="E7" s="415" t="s">
        <v>293</v>
      </c>
      <c r="F7" s="415" t="s">
        <v>292</v>
      </c>
      <c r="G7" s="415" t="s">
        <v>296</v>
      </c>
      <c r="H7" s="415" t="s">
        <v>297</v>
      </c>
      <c r="I7" s="415" t="s">
        <v>298</v>
      </c>
      <c r="J7" s="415" t="s">
        <v>313</v>
      </c>
      <c r="K7" s="416" t="s">
        <v>299</v>
      </c>
    </row>
    <row r="8" spans="4:11" ht="31.5" customHeight="1" thickBot="1">
      <c r="D8" s="417">
        <f>Well!$P$4</f>
        <v>3059068</v>
      </c>
      <c r="E8" s="418">
        <f>max</f>
        <v>1198.3</v>
      </c>
      <c r="F8" s="418">
        <f>'1'!$F$19</f>
        <v>1345.7569279715069</v>
      </c>
      <c r="G8" s="419">
        <f>'1'!$G$13</f>
        <v>0.65</v>
      </c>
      <c r="H8" s="418">
        <f>'1'!$G$19</f>
        <v>874.7420031814795</v>
      </c>
      <c r="I8" s="420">
        <f>'1'!$F$21</f>
        <v>172.8</v>
      </c>
      <c r="J8" s="418">
        <f>'1'!H19</f>
        <v>701.94200318147955</v>
      </c>
      <c r="K8" s="421">
        <f>SumWater</f>
        <v>390</v>
      </c>
    </row>
    <row r="10" spans="4:11" ht="30.75" customHeight="1" thickBot="1">
      <c r="D10" s="369" t="s">
        <v>312</v>
      </c>
    </row>
    <row r="11" spans="4:11" s="53" customFormat="1" ht="39" customHeight="1">
      <c r="D11" s="414" t="s">
        <v>306</v>
      </c>
      <c r="E11" s="422" t="s">
        <v>307</v>
      </c>
      <c r="F11" s="422" t="s">
        <v>301</v>
      </c>
      <c r="G11" s="422" t="s">
        <v>302</v>
      </c>
      <c r="H11" s="422" t="s">
        <v>303</v>
      </c>
      <c r="I11" s="422" t="s">
        <v>304</v>
      </c>
      <c r="J11" s="423" t="s">
        <v>305</v>
      </c>
    </row>
    <row r="12" spans="4:11" s="37" customFormat="1" ht="20.100000000000001" customHeight="1">
      <c r="D12" s="424" t="s">
        <v>236</v>
      </c>
      <c r="E12" s="425">
        <v>500</v>
      </c>
      <c r="F12" s="425">
        <v>143</v>
      </c>
      <c r="G12" s="425">
        <v>14.3</v>
      </c>
      <c r="H12" s="425">
        <v>64.8</v>
      </c>
      <c r="I12" s="425">
        <v>1.6435</v>
      </c>
      <c r="J12" s="426">
        <v>3.2289999999999999E-4</v>
      </c>
    </row>
    <row r="13" spans="4:11" s="37" customFormat="1" ht="20.100000000000001" customHeight="1">
      <c r="D13" s="424" t="s">
        <v>237</v>
      </c>
      <c r="E13" s="425">
        <v>500</v>
      </c>
      <c r="F13" s="425">
        <v>143</v>
      </c>
      <c r="G13" s="425">
        <v>14.3</v>
      </c>
      <c r="H13" s="425">
        <v>64.8</v>
      </c>
      <c r="I13" s="425">
        <v>1.6435</v>
      </c>
      <c r="J13" s="426">
        <v>3.2289999999999999E-4</v>
      </c>
    </row>
    <row r="14" spans="4:11" s="37" customFormat="1" ht="20.100000000000001" customHeight="1">
      <c r="D14" s="424" t="s">
        <v>238</v>
      </c>
      <c r="E14" s="425">
        <v>500</v>
      </c>
      <c r="F14" s="425">
        <v>143</v>
      </c>
      <c r="G14" s="425">
        <v>14.3</v>
      </c>
      <c r="H14" s="425">
        <v>64.8</v>
      </c>
      <c r="I14" s="425">
        <v>1.6435</v>
      </c>
      <c r="J14" s="426">
        <v>3.2289999999999999E-4</v>
      </c>
    </row>
    <row r="15" spans="4:11" s="37" customFormat="1" ht="20.100000000000001" customHeight="1">
      <c r="D15" s="424"/>
      <c r="E15" s="425"/>
      <c r="F15" s="425"/>
      <c r="G15" s="425"/>
      <c r="H15" s="425"/>
      <c r="I15" s="425"/>
      <c r="J15" s="426"/>
    </row>
    <row r="16" spans="4:11" s="37" customFormat="1" ht="20.100000000000001" customHeight="1">
      <c r="D16" s="424"/>
      <c r="E16" s="425"/>
      <c r="F16" s="425"/>
      <c r="G16" s="425"/>
      <c r="H16" s="425"/>
      <c r="I16" s="425"/>
      <c r="J16" s="426"/>
    </row>
    <row r="17" spans="4:10" s="37" customFormat="1" ht="20.100000000000001" customHeight="1">
      <c r="D17" s="424"/>
      <c r="E17" s="425"/>
      <c r="F17" s="425"/>
      <c r="G17" s="425"/>
      <c r="H17" s="425"/>
      <c r="I17" s="425"/>
      <c r="J17" s="426"/>
    </row>
    <row r="18" spans="4:10" s="37" customFormat="1" ht="20.100000000000001" customHeight="1">
      <c r="D18" s="424"/>
      <c r="E18" s="425"/>
      <c r="F18" s="425"/>
      <c r="G18" s="425"/>
      <c r="H18" s="425"/>
      <c r="I18" s="425"/>
      <c r="J18" s="426"/>
    </row>
    <row r="19" spans="4:10" s="37" customFormat="1" ht="20.100000000000001" customHeight="1">
      <c r="D19" s="424"/>
      <c r="E19" s="425"/>
      <c r="F19" s="425"/>
      <c r="G19" s="425"/>
      <c r="H19" s="425"/>
      <c r="I19" s="425"/>
      <c r="J19" s="426"/>
    </row>
    <row r="20" spans="4:10" s="37" customFormat="1" ht="20.100000000000001" customHeight="1">
      <c r="D20" s="424"/>
      <c r="E20" s="425"/>
      <c r="F20" s="425"/>
      <c r="G20" s="425"/>
      <c r="H20" s="425"/>
      <c r="I20" s="425"/>
      <c r="J20" s="426"/>
    </row>
    <row r="21" spans="4:10" s="37" customFormat="1" ht="20.100000000000001" customHeight="1">
      <c r="D21" s="424"/>
      <c r="E21" s="425"/>
      <c r="F21" s="425"/>
      <c r="G21" s="425"/>
      <c r="H21" s="425"/>
      <c r="I21" s="425"/>
      <c r="J21" s="426"/>
    </row>
    <row r="22" spans="4:10" s="37" customFormat="1" ht="20.100000000000001" customHeight="1">
      <c r="D22" s="424"/>
      <c r="E22" s="425"/>
      <c r="F22" s="425"/>
      <c r="G22" s="425"/>
      <c r="H22" s="425"/>
      <c r="I22" s="425"/>
      <c r="J22" s="426"/>
    </row>
    <row r="23" spans="4:10" s="37" customFormat="1" ht="20.100000000000001" customHeight="1">
      <c r="D23" s="424"/>
      <c r="E23" s="425"/>
      <c r="F23" s="425"/>
      <c r="G23" s="425"/>
      <c r="H23" s="425"/>
      <c r="I23" s="425"/>
      <c r="J23" s="426"/>
    </row>
    <row r="24" spans="4:10" s="37" customFormat="1" ht="20.100000000000001" customHeight="1" thickBot="1">
      <c r="D24" s="427"/>
      <c r="E24" s="428"/>
      <c r="F24" s="428"/>
      <c r="G24" s="428"/>
      <c r="H24" s="428"/>
      <c r="I24" s="428"/>
      <c r="J24" s="429"/>
    </row>
    <row r="25" spans="4:10" s="37" customFormat="1" ht="20.100000000000001" customHeight="1"/>
    <row r="26" spans="4:10" ht="20.100000000000001" customHeight="1" thickBot="1"/>
    <row r="27" spans="4:10" ht="31.5" customHeight="1">
      <c r="D27" s="414" t="s">
        <v>310</v>
      </c>
      <c r="E27" s="422" t="s">
        <v>308</v>
      </c>
      <c r="F27" s="423" t="s">
        <v>309</v>
      </c>
    </row>
    <row r="28" spans="4:10" s="37" customFormat="1" ht="20.100000000000001" customHeight="1">
      <c r="D28" s="424" t="s">
        <v>236</v>
      </c>
      <c r="E28" s="425">
        <v>81.7</v>
      </c>
      <c r="F28" s="426"/>
    </row>
    <row r="29" spans="4:10" s="37" customFormat="1" ht="20.100000000000001" customHeight="1">
      <c r="D29" s="424" t="s">
        <v>237</v>
      </c>
      <c r="E29" s="425">
        <v>81.7</v>
      </c>
      <c r="F29" s="426"/>
    </row>
    <row r="30" spans="4:10" s="37" customFormat="1" ht="20.100000000000001" customHeight="1">
      <c r="D30" s="424" t="s">
        <v>238</v>
      </c>
      <c r="E30" s="425">
        <v>81.7</v>
      </c>
      <c r="F30" s="426"/>
    </row>
    <row r="31" spans="4:10" s="37" customFormat="1" ht="20.100000000000001" customHeight="1">
      <c r="D31" s="424"/>
      <c r="E31" s="425"/>
      <c r="F31" s="426"/>
    </row>
    <row r="32" spans="4:10" s="37" customFormat="1" ht="20.100000000000001" customHeight="1">
      <c r="D32" s="424"/>
      <c r="E32" s="425"/>
      <c r="F32" s="426"/>
    </row>
    <row r="33" spans="4:16" s="37" customFormat="1" ht="20.100000000000001" customHeight="1">
      <c r="D33" s="424"/>
      <c r="E33" s="425"/>
      <c r="F33" s="426"/>
    </row>
    <row r="34" spans="4:16" s="37" customFormat="1" ht="20.100000000000001" customHeight="1">
      <c r="D34" s="424"/>
      <c r="E34" s="425"/>
      <c r="F34" s="426"/>
    </row>
    <row r="35" spans="4:16" s="37" customFormat="1" ht="20.100000000000001" customHeight="1">
      <c r="D35" s="424"/>
      <c r="E35" s="425"/>
      <c r="F35" s="426"/>
    </row>
    <row r="36" spans="4:16" s="37" customFormat="1" ht="20.100000000000001" customHeight="1">
      <c r="D36" s="424"/>
      <c r="E36" s="425"/>
      <c r="F36" s="426"/>
    </row>
    <row r="37" spans="4:16" s="37" customFormat="1" ht="20.100000000000001" customHeight="1">
      <c r="D37" s="424"/>
      <c r="E37" s="425"/>
      <c r="F37" s="426"/>
    </row>
    <row r="38" spans="4:16" s="37" customFormat="1" ht="20.100000000000001" customHeight="1">
      <c r="D38" s="424"/>
      <c r="E38" s="425"/>
      <c r="F38" s="426"/>
    </row>
    <row r="39" spans="4:16" s="37" customFormat="1" ht="20.100000000000001" customHeight="1">
      <c r="D39" s="424"/>
      <c r="E39" s="425"/>
      <c r="F39" s="426"/>
    </row>
    <row r="40" spans="4:16" s="37" customFormat="1" ht="19.5" customHeight="1" thickBot="1">
      <c r="D40" s="427"/>
      <c r="E40" s="428"/>
      <c r="F40" s="429"/>
    </row>
    <row r="41" spans="4:16" ht="20.100000000000001" customHeight="1">
      <c r="D41" s="410"/>
    </row>
    <row r="42" spans="4:16" ht="20.100000000000001" customHeight="1">
      <c r="D42" s="410"/>
    </row>
    <row r="43" spans="4:16" ht="20.100000000000001" customHeight="1" thickBot="1">
      <c r="D43" s="411" t="s">
        <v>286</v>
      </c>
    </row>
    <row r="44" spans="4:16" s="37" customFormat="1" ht="31.5" customHeight="1">
      <c r="D44" s="414" t="s">
        <v>236</v>
      </c>
      <c r="E44" s="422" t="s">
        <v>237</v>
      </c>
      <c r="F44" s="422" t="s">
        <v>238</v>
      </c>
      <c r="G44" s="422"/>
      <c r="H44" s="422"/>
      <c r="I44" s="422"/>
      <c r="J44" s="422"/>
      <c r="K44" s="422"/>
      <c r="L44" s="422"/>
      <c r="M44" s="422"/>
      <c r="N44" s="422"/>
      <c r="O44" s="422"/>
      <c r="P44" s="423"/>
    </row>
    <row r="45" spans="4:16" s="519" customFormat="1" ht="30" customHeight="1" thickBot="1">
      <c r="D45" s="516">
        <v>130</v>
      </c>
      <c r="E45" s="517">
        <v>130</v>
      </c>
      <c r="F45" s="517">
        <v>130</v>
      </c>
      <c r="G45" s="517"/>
      <c r="H45" s="517"/>
      <c r="I45" s="517"/>
      <c r="J45" s="517"/>
      <c r="K45" s="517"/>
      <c r="L45" s="517"/>
      <c r="M45" s="517"/>
      <c r="N45" s="517"/>
      <c r="O45" s="517"/>
      <c r="P45" s="518"/>
    </row>
    <row r="46" spans="4:16" ht="20.100000000000001" customHeight="1">
      <c r="D46" s="410"/>
    </row>
    <row r="47" spans="4:16" ht="20.100000000000001" customHeight="1">
      <c r="D47" s="410"/>
    </row>
    <row r="48" spans="4:16" ht="22.5" customHeight="1" thickBot="1">
      <c r="D48" s="411" t="s">
        <v>311</v>
      </c>
    </row>
    <row r="49" spans="4:16" s="37" customFormat="1" ht="36.75" customHeight="1">
      <c r="D49" s="414" t="s">
        <v>236</v>
      </c>
      <c r="E49" s="422" t="s">
        <v>237</v>
      </c>
      <c r="F49" s="422" t="s">
        <v>238</v>
      </c>
      <c r="G49" s="422"/>
      <c r="H49" s="422"/>
      <c r="I49" s="422"/>
      <c r="J49" s="422"/>
      <c r="K49" s="422"/>
      <c r="L49" s="422"/>
      <c r="M49" s="422"/>
      <c r="N49" s="422"/>
      <c r="O49" s="422"/>
      <c r="P49" s="423"/>
    </row>
    <row r="50" spans="4:16" s="519" customFormat="1" ht="30" customHeight="1" thickBot="1">
      <c r="D50" s="516">
        <v>500</v>
      </c>
      <c r="E50" s="517">
        <v>500</v>
      </c>
      <c r="F50" s="517">
        <v>500</v>
      </c>
      <c r="G50" s="517"/>
      <c r="H50" s="517"/>
      <c r="I50" s="517"/>
      <c r="J50" s="517"/>
      <c r="K50" s="517"/>
      <c r="L50" s="517"/>
      <c r="M50" s="517"/>
      <c r="N50" s="517"/>
      <c r="O50" s="517"/>
      <c r="P50" s="518"/>
    </row>
    <row r="51" spans="4:16" ht="20.100000000000001" customHeight="1">
      <c r="D51" s="410"/>
    </row>
    <row r="52" spans="4:16" ht="20.100000000000001" customHeight="1">
      <c r="D52" s="410"/>
    </row>
    <row r="53" spans="4:16" ht="20.100000000000001" customHeight="1" thickBot="1">
      <c r="D53" s="411" t="s">
        <v>318</v>
      </c>
    </row>
    <row r="54" spans="4:16" s="37" customFormat="1" ht="40.5" customHeight="1">
      <c r="D54" s="414" t="s">
        <v>236</v>
      </c>
      <c r="E54" s="422" t="s">
        <v>237</v>
      </c>
      <c r="F54" s="422" t="s">
        <v>238</v>
      </c>
      <c r="G54" s="422"/>
      <c r="H54" s="422"/>
      <c r="I54" s="422"/>
      <c r="J54" s="422"/>
      <c r="K54" s="422"/>
      <c r="L54" s="422"/>
      <c r="M54" s="422"/>
      <c r="N54" s="422"/>
      <c r="O54" s="422"/>
      <c r="P54" s="423"/>
    </row>
    <row r="55" spans="4:16" s="519" customFormat="1" ht="30" customHeight="1" thickBot="1">
      <c r="D55" s="516">
        <v>10</v>
      </c>
      <c r="E55" s="517">
        <v>10</v>
      </c>
      <c r="F55" s="517">
        <v>10</v>
      </c>
      <c r="G55" s="517"/>
      <c r="H55" s="517"/>
      <c r="I55" s="517"/>
      <c r="J55" s="517"/>
      <c r="K55" s="517"/>
      <c r="L55" s="517"/>
      <c r="M55" s="517"/>
      <c r="N55" s="517"/>
      <c r="O55" s="517"/>
      <c r="P55" s="518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autoPict="0" r:id="rId5">
            <anchor moveWithCells="1">
              <from>
                <xdr:col>0</xdr:col>
                <xdr:colOff>104775</xdr:colOff>
                <xdr:row>2</xdr:row>
                <xdr:rowOff>428625</xdr:rowOff>
              </from>
              <to>
                <xdr:col>2</xdr:col>
                <xdr:colOff>304800</xdr:colOff>
                <xdr:row>3</xdr:row>
                <xdr:rowOff>200025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104775</xdr:colOff>
                <xdr:row>2</xdr:row>
                <xdr:rowOff>66675</xdr:rowOff>
              </from>
              <to>
                <xdr:col>2</xdr:col>
                <xdr:colOff>304800</xdr:colOff>
                <xdr:row>2</xdr:row>
                <xdr:rowOff>381000</xdr:rowOff>
              </to>
            </anchor>
          </controlPr>
        </control>
      </mc:Choice>
      <mc:Fallback>
        <control shapeId="264193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C00000"/>
  </sheetPr>
  <dimension ref="A1:M41"/>
  <sheetViews>
    <sheetView workbookViewId="0">
      <selection activeCell="M24" sqref="M2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158</v>
      </c>
      <c r="C2" s="448" t="str">
        <f>Well!D4</f>
        <v>충남 보령시 천북면 하만리 산 143-5</v>
      </c>
      <c r="H2"/>
      <c r="I2" s="297" t="s">
        <v>208</v>
      </c>
      <c r="J2"/>
      <c r="K2"/>
      <c r="L2"/>
      <c r="M2"/>
    </row>
    <row r="3" spans="1:13" ht="20.100000000000001" customHeight="1">
      <c r="B3" s="2" t="s">
        <v>48</v>
      </c>
      <c r="C3" s="449">
        <f>Well!C4</f>
        <v>0</v>
      </c>
      <c r="D3" s="3" t="s">
        <v>49</v>
      </c>
      <c r="E3" s="4" t="s">
        <v>120</v>
      </c>
      <c r="F3" s="5" t="s">
        <v>110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450">
        <f>Well!R4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450">
        <f>Well!Q4</f>
        <v>0</v>
      </c>
      <c r="D5" s="7" t="s">
        <v>54</v>
      </c>
      <c r="E5" s="33">
        <v>1.732</v>
      </c>
      <c r="F5" s="34">
        <f>$E$5/$C$14</f>
        <v>3.565987234918674E-3</v>
      </c>
      <c r="G5" s="10">
        <v>3.2289999999999999E-4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451" t="str">
        <f>Well!D4</f>
        <v>충남 보령시 천북면 하만리 산 143-5</v>
      </c>
      <c r="D6" s="7" t="s">
        <v>57</v>
      </c>
      <c r="E6" s="8">
        <v>1.5549999999999999</v>
      </c>
      <c r="F6" s="34">
        <f>$E$6/$C$14</f>
        <v>3.2015647519044676E-3</v>
      </c>
      <c r="G6" s="10" t="s">
        <v>58</v>
      </c>
      <c r="H6" s="299">
        <v>1.66</v>
      </c>
      <c r="I6"/>
      <c r="J6"/>
      <c r="K6"/>
      <c r="L6"/>
      <c r="M6"/>
    </row>
    <row r="7" spans="1:13" ht="20.100000000000001" customHeight="1" thickBot="1">
      <c r="B7" s="6" t="s">
        <v>56</v>
      </c>
      <c r="C7" s="452">
        <f>Well!H4</f>
        <v>500</v>
      </c>
      <c r="D7" s="323" t="s">
        <v>60</v>
      </c>
      <c r="E7" s="298">
        <f>(E5+E6)/2</f>
        <v>1.6435</v>
      </c>
      <c r="F7" s="35">
        <f>$E$7/$C$14</f>
        <v>3.3837759934115708E-3</v>
      </c>
      <c r="G7" s="32">
        <f>G5</f>
        <v>3.2289999999999999E-4</v>
      </c>
      <c r="H7" s="159">
        <v>8.8969999999999994E-2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452">
        <f>Well!G4</f>
        <v>200</v>
      </c>
    </row>
    <row r="9" spans="1:13" ht="20.100000000000001" customHeight="1" thickBot="1">
      <c r="B9" s="6" t="s">
        <v>61</v>
      </c>
      <c r="C9" s="453">
        <f>C10+C11</f>
        <v>12</v>
      </c>
      <c r="D9" s="11"/>
      <c r="E9" s="12" t="s">
        <v>111</v>
      </c>
      <c r="F9" s="36" t="s">
        <v>112</v>
      </c>
      <c r="G9" s="13" t="s">
        <v>113</v>
      </c>
    </row>
    <row r="10" spans="1:13" ht="20.100000000000001" customHeight="1" thickBot="1">
      <c r="B10" s="6" t="s">
        <v>62</v>
      </c>
      <c r="C10" s="451">
        <v>5</v>
      </c>
      <c r="D10" s="14" t="s">
        <v>63</v>
      </c>
      <c r="E10" s="180">
        <v>43</v>
      </c>
      <c r="F10" s="181">
        <v>52.7</v>
      </c>
      <c r="G10" s="182">
        <v>81.7</v>
      </c>
      <c r="H10" s="15"/>
      <c r="I10" s="16"/>
    </row>
    <row r="11" spans="1:13" ht="20.100000000000001" customHeight="1" thickBot="1">
      <c r="B11" s="6" t="s">
        <v>64</v>
      </c>
      <c r="C11" s="451">
        <v>7</v>
      </c>
      <c r="D11" s="324" t="s">
        <v>65</v>
      </c>
      <c r="E11" s="183">
        <f>ROUND(AVERAGE(E10:G10),1)</f>
        <v>59.1</v>
      </c>
      <c r="F11" s="174">
        <f>ROUND((E10+F10)/2,1)</f>
        <v>47.9</v>
      </c>
      <c r="G11" s="319">
        <f>MAX(E10,F10,G10)</f>
        <v>81.7</v>
      </c>
      <c r="H11" s="15"/>
      <c r="I11" s="16"/>
      <c r="J11" s="501" t="s">
        <v>119</v>
      </c>
      <c r="K11" s="502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454">
        <f>C7-C9</f>
        <v>488</v>
      </c>
      <c r="H12" s="18"/>
      <c r="J12" s="184" t="s">
        <v>121</v>
      </c>
      <c r="K12" s="327">
        <v>34</v>
      </c>
      <c r="L12" s="472">
        <f>K12+180</f>
        <v>214</v>
      </c>
    </row>
    <row r="13" spans="1:13" ht="20.100000000000001" customHeight="1">
      <c r="A13" s="17">
        <f>C10+C11+C12+C13</f>
        <v>500</v>
      </c>
      <c r="B13" s="6" t="s">
        <v>67</v>
      </c>
      <c r="C13" s="454"/>
      <c r="E13" s="239" t="str">
        <f>Recharge!I24</f>
        <v>한강/한강고양</v>
      </c>
      <c r="F13" s="188">
        <f>rf_1</f>
        <v>0.13400000000000001</v>
      </c>
      <c r="G13" s="188">
        <f>allow_ratio</f>
        <v>0.65</v>
      </c>
      <c r="H13" s="19"/>
      <c r="J13" s="184" t="s">
        <v>114</v>
      </c>
      <c r="K13" s="226">
        <v>526</v>
      </c>
      <c r="L13" s="42"/>
    </row>
    <row r="14" spans="1:13" ht="20.100000000000001" customHeight="1">
      <c r="B14" s="6" t="s">
        <v>68</v>
      </c>
      <c r="C14" s="453">
        <f>C7-IF(C20&gt;C9,C20,C9)</f>
        <v>485.7</v>
      </c>
      <c r="G14" s="188">
        <f>max</f>
        <v>1198.3</v>
      </c>
      <c r="H14" s="19"/>
      <c r="J14" s="184" t="s">
        <v>115</v>
      </c>
      <c r="K14" s="226">
        <v>76</v>
      </c>
      <c r="L14" s="42"/>
    </row>
    <row r="15" spans="1:13" ht="20.100000000000001" customHeight="1" thickBot="1">
      <c r="B15" s="6" t="s">
        <v>69</v>
      </c>
      <c r="C15" s="452">
        <f>Well!I4</f>
        <v>130</v>
      </c>
      <c r="E15" s="41">
        <v>1</v>
      </c>
      <c r="J15" s="184" t="s">
        <v>116</v>
      </c>
      <c r="K15" s="226">
        <v>50</v>
      </c>
      <c r="L15" s="42"/>
    </row>
    <row r="16" spans="1:13" ht="20.100000000000001" customHeight="1">
      <c r="B16" s="6" t="s">
        <v>70</v>
      </c>
      <c r="C16" s="455">
        <f>Well!J4</f>
        <v>143</v>
      </c>
      <c r="E16" s="156" t="s">
        <v>294</v>
      </c>
      <c r="F16" s="157" t="s">
        <v>98</v>
      </c>
      <c r="G16" s="158" t="s">
        <v>97</v>
      </c>
      <c r="H16" s="19"/>
      <c r="J16" s="184" t="s">
        <v>122</v>
      </c>
      <c r="K16" s="185">
        <f>K14-C20</f>
        <v>61.7</v>
      </c>
      <c r="L16" s="42"/>
    </row>
    <row r="17" spans="2:12" ht="20.100000000000001" customHeight="1" thickBot="1">
      <c r="B17" s="6" t="s">
        <v>71</v>
      </c>
      <c r="C17" s="452">
        <f>Well!L4</f>
        <v>10</v>
      </c>
      <c r="E17" s="76">
        <f>Well!P4</f>
        <v>3059068</v>
      </c>
      <c r="F17" s="247">
        <f>(max*rf_1*E17/1000)</f>
        <v>491201.27870960004</v>
      </c>
      <c r="G17" s="246">
        <f>F17*allow_ratio</f>
        <v>319280.83116124006</v>
      </c>
      <c r="J17" s="184" t="s">
        <v>117</v>
      </c>
      <c r="K17" s="185">
        <f>K16-K15</f>
        <v>11.700000000000003</v>
      </c>
      <c r="L17" s="42"/>
    </row>
    <row r="18" spans="2:12" ht="20.100000000000001" customHeight="1" thickBot="1">
      <c r="B18" s="6" t="s">
        <v>72</v>
      </c>
      <c r="C18" s="452">
        <f>Well!M4</f>
        <v>200</v>
      </c>
      <c r="E18" s="2" t="s">
        <v>73</v>
      </c>
      <c r="F18" s="30" t="s">
        <v>74</v>
      </c>
      <c r="G18" s="29" t="s">
        <v>75</v>
      </c>
      <c r="H18" s="178" t="s">
        <v>174</v>
      </c>
      <c r="I18" s="28"/>
      <c r="J18" s="186" t="s">
        <v>118</v>
      </c>
      <c r="K18" s="187">
        <f>(K17/K13)</f>
        <v>2.2243346007604567E-2</v>
      </c>
      <c r="L18" s="473">
        <f>K18*100</f>
        <v>2.2243346007604567</v>
      </c>
    </row>
    <row r="19" spans="2:12" ht="20.100000000000001" customHeight="1" thickBot="1">
      <c r="B19" s="21" t="s">
        <v>76</v>
      </c>
      <c r="C19" s="456">
        <f>Well!N4</f>
        <v>50</v>
      </c>
      <c r="E19" s="76">
        <f>E17</f>
        <v>3059068</v>
      </c>
      <c r="F19" s="243">
        <f>(max*rf_1*E19/1000)/365</f>
        <v>1345.7569279715069</v>
      </c>
      <c r="G19" s="244">
        <f>F19*allow_ratio</f>
        <v>874.7420031814795</v>
      </c>
      <c r="H19" s="179">
        <f>G19-F21</f>
        <v>701.94200318147955</v>
      </c>
    </row>
    <row r="20" spans="2:12" ht="20.100000000000001" customHeight="1">
      <c r="B20" s="22" t="s">
        <v>77</v>
      </c>
      <c r="C20" s="457">
        <v>14.3</v>
      </c>
      <c r="D20" s="17"/>
      <c r="E20" s="26" t="s">
        <v>95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458">
        <v>64.8</v>
      </c>
      <c r="D21" s="17"/>
      <c r="E21" s="176">
        <f>Well!$I$8</f>
        <v>390</v>
      </c>
      <c r="F21" s="245">
        <f>Well!O4</f>
        <v>172.8</v>
      </c>
      <c r="G21" s="246">
        <f>G19-E21-F21</f>
        <v>311.94200318147949</v>
      </c>
    </row>
    <row r="22" spans="2:12" ht="20.100000000000001" customHeight="1" thickBot="1">
      <c r="B22" s="31" t="s">
        <v>166</v>
      </c>
      <c r="C22" s="459">
        <f>C21-C20</f>
        <v>50.5</v>
      </c>
      <c r="E22" s="503">
        <f>E21+F21</f>
        <v>562.79999999999995</v>
      </c>
      <c r="F22" s="504"/>
      <c r="G22" s="20"/>
      <c r="I22" s="19"/>
    </row>
    <row r="23" spans="2:12" ht="20.100000000000001" customHeight="1" thickBot="1">
      <c r="B23" s="326" t="s">
        <v>241</v>
      </c>
      <c r="C23" s="325">
        <v>3.99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497" t="s">
        <v>99</v>
      </c>
      <c r="C25" s="498"/>
      <c r="D25" s="189" t="s">
        <v>108</v>
      </c>
      <c r="E25" s="189" t="s">
        <v>109</v>
      </c>
      <c r="F25" s="189" t="s">
        <v>100</v>
      </c>
      <c r="G25" s="189" t="s">
        <v>101</v>
      </c>
      <c r="H25" s="189" t="s">
        <v>123</v>
      </c>
      <c r="I25" s="189" t="s">
        <v>102</v>
      </c>
      <c r="J25" s="190" t="s">
        <v>103</v>
      </c>
      <c r="K25" s="191" t="s">
        <v>104</v>
      </c>
    </row>
    <row r="26" spans="2:12" ht="25.5" customHeight="1">
      <c r="B26" s="499" t="s">
        <v>105</v>
      </c>
      <c r="C26" s="192" t="s">
        <v>106</v>
      </c>
      <c r="D26" s="193">
        <f>C20</f>
        <v>14.3</v>
      </c>
      <c r="E26" s="194">
        <f>Recharge!C30</f>
        <v>16.057220000000001</v>
      </c>
      <c r="F26" s="195" t="s">
        <v>186</v>
      </c>
      <c r="G26" s="193" t="s">
        <v>235</v>
      </c>
      <c r="H26" s="196">
        <f>L18</f>
        <v>2.2243346007604567</v>
      </c>
      <c r="I26" s="193" t="s">
        <v>186</v>
      </c>
      <c r="J26" s="193">
        <f>(E7/C14)/864</f>
        <v>3.9164073997819102E-6</v>
      </c>
      <c r="K26" s="197" t="s">
        <v>239</v>
      </c>
    </row>
    <row r="27" spans="2:12" ht="25.5" customHeight="1">
      <c r="B27" s="499"/>
      <c r="C27" s="192" t="s">
        <v>107</v>
      </c>
      <c r="D27" s="192">
        <v>5</v>
      </c>
      <c r="E27" s="192">
        <v>8</v>
      </c>
      <c r="F27" s="192">
        <v>3</v>
      </c>
      <c r="G27" s="192">
        <v>4</v>
      </c>
      <c r="H27" s="192">
        <v>9</v>
      </c>
      <c r="I27" s="192">
        <v>4</v>
      </c>
      <c r="J27" s="192">
        <v>2</v>
      </c>
      <c r="K27" s="197" t="s">
        <v>240</v>
      </c>
    </row>
    <row r="28" spans="2:12" ht="25.5" customHeight="1">
      <c r="B28" s="499"/>
      <c r="C28" s="209" t="s">
        <v>179</v>
      </c>
      <c r="D28" s="210">
        <v>5</v>
      </c>
      <c r="E28" s="210">
        <v>4</v>
      </c>
      <c r="F28" s="210">
        <v>3</v>
      </c>
      <c r="G28" s="210">
        <v>2</v>
      </c>
      <c r="H28" s="210">
        <v>1</v>
      </c>
      <c r="I28" s="210">
        <v>5</v>
      </c>
      <c r="J28" s="210">
        <v>3</v>
      </c>
      <c r="K28" s="211"/>
    </row>
    <row r="29" spans="2:12" ht="25.5" customHeight="1">
      <c r="B29" s="499"/>
      <c r="C29" s="209" t="s">
        <v>180</v>
      </c>
      <c r="D29" s="212">
        <v>5</v>
      </c>
      <c r="E29" s="212">
        <v>4</v>
      </c>
      <c r="F29" s="212">
        <v>3</v>
      </c>
      <c r="G29" s="212">
        <v>5</v>
      </c>
      <c r="H29" s="212">
        <v>3</v>
      </c>
      <c r="I29" s="212">
        <v>4</v>
      </c>
      <c r="J29" s="212">
        <v>2</v>
      </c>
      <c r="K29" s="211"/>
    </row>
    <row r="30" spans="2:12" ht="25.5" customHeight="1">
      <c r="B30" s="499"/>
      <c r="C30" s="198" t="s">
        <v>181</v>
      </c>
      <c r="D30" s="199">
        <f>D27*D28</f>
        <v>25</v>
      </c>
      <c r="E30" s="199">
        <f t="shared" ref="E30:J30" si="0">E27*E28</f>
        <v>32</v>
      </c>
      <c r="F30" s="199">
        <f t="shared" si="0"/>
        <v>9</v>
      </c>
      <c r="G30" s="199">
        <f t="shared" si="0"/>
        <v>8</v>
      </c>
      <c r="H30" s="199">
        <f t="shared" si="0"/>
        <v>9</v>
      </c>
      <c r="I30" s="199">
        <f t="shared" si="0"/>
        <v>20</v>
      </c>
      <c r="J30" s="199">
        <f t="shared" si="0"/>
        <v>6</v>
      </c>
      <c r="K30" s="200">
        <f>SUM(D30:J30)</f>
        <v>109</v>
      </c>
    </row>
    <row r="31" spans="2:12" ht="25.5" customHeight="1" thickBot="1">
      <c r="B31" s="500"/>
      <c r="C31" s="201" t="s">
        <v>182</v>
      </c>
      <c r="D31" s="202">
        <f t="shared" ref="D31:J31" si="1">D27*D29</f>
        <v>25</v>
      </c>
      <c r="E31" s="202">
        <f t="shared" si="1"/>
        <v>32</v>
      </c>
      <c r="F31" s="202">
        <f t="shared" si="1"/>
        <v>9</v>
      </c>
      <c r="G31" s="202">
        <f t="shared" si="1"/>
        <v>20</v>
      </c>
      <c r="H31" s="202">
        <f t="shared" si="1"/>
        <v>27</v>
      </c>
      <c r="I31" s="202">
        <f t="shared" si="1"/>
        <v>16</v>
      </c>
      <c r="J31" s="202">
        <f t="shared" si="1"/>
        <v>4</v>
      </c>
      <c r="K31" s="203">
        <f>SUM(D31:J31)</f>
        <v>133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9" r:id="rId6" name="CommandButton7">
          <controlPr defaultSize="0" autoLine="0" r:id="rId7">
            <anchor moveWithCells="1">
              <from>
                <xdr:col>7</xdr:col>
                <xdr:colOff>133350</xdr:colOff>
                <xdr:row>15</xdr:row>
                <xdr:rowOff>47625</xdr:rowOff>
              </from>
              <to>
                <xdr:col>7</xdr:col>
                <xdr:colOff>1000125</xdr:colOff>
                <xdr:row>16</xdr:row>
                <xdr:rowOff>161925</xdr:rowOff>
              </to>
            </anchor>
          </controlPr>
        </control>
      </mc:Choice>
      <mc:Fallback>
        <control shapeId="3119" r:id="rId6" name="CommandButton7"/>
      </mc:Fallback>
    </mc:AlternateContent>
    <mc:AlternateContent xmlns:mc="http://schemas.openxmlformats.org/markup-compatibility/2006">
      <mc:Choice Requires="x14">
        <control shapeId="3118" r:id="rId8" name="CommandButton4">
          <controlPr defaultSize="0" autoLine="0" r:id="rId9">
            <anchor moveWithCells="1">
              <from>
                <xdr:col>7</xdr:col>
                <xdr:colOff>133350</xdr:colOff>
                <xdr:row>19</xdr:row>
                <xdr:rowOff>95250</xdr:rowOff>
              </from>
              <to>
                <xdr:col>7</xdr:col>
                <xdr:colOff>1000125</xdr:colOff>
                <xdr:row>20</xdr:row>
                <xdr:rowOff>209550</xdr:rowOff>
              </to>
            </anchor>
          </controlPr>
        </control>
      </mc:Choice>
      <mc:Fallback>
        <control shapeId="3118" r:id="rId8" name="CommandButton4"/>
      </mc:Fallback>
    </mc:AlternateContent>
    <mc:AlternateContent xmlns:mc="http://schemas.openxmlformats.org/markup-compatibility/2006">
      <mc:Choice Requires="x14">
        <control shapeId="3117" r:id="rId10" name="CommandButton3">
          <controlPr defaultSize="0" autoLine="0" r:id="rId11">
            <anchor moveWithCells="1">
              <from>
                <xdr:col>7</xdr:col>
                <xdr:colOff>133350</xdr:colOff>
                <xdr:row>13</xdr:row>
                <xdr:rowOff>85725</xdr:rowOff>
              </from>
              <to>
                <xdr:col>7</xdr:col>
                <xdr:colOff>1000125</xdr:colOff>
                <xdr:row>14</xdr:row>
                <xdr:rowOff>200025</xdr:rowOff>
              </to>
            </anchor>
          </controlPr>
        </control>
      </mc:Choice>
      <mc:Fallback>
        <control shapeId="3117" r:id="rId10" name="CommandButton3"/>
      </mc:Fallback>
    </mc:AlternateContent>
    <mc:AlternateContent xmlns:mc="http://schemas.openxmlformats.org/markup-compatibility/2006">
      <mc:Choice Requires="x14">
        <control shapeId="3116" r:id="rId12" name="CommandButton2">
          <controlPr defaultSize="0" autoLine="0" r:id="rId13">
            <anchor moveWithCells="1">
              <from>
                <xdr:col>7</xdr:col>
                <xdr:colOff>133350</xdr:colOff>
                <xdr:row>11</xdr:row>
                <xdr:rowOff>123825</xdr:rowOff>
              </from>
              <to>
                <xdr:col>7</xdr:col>
                <xdr:colOff>1000125</xdr:colOff>
                <xdr:row>12</xdr:row>
                <xdr:rowOff>238125</xdr:rowOff>
              </to>
            </anchor>
          </controlPr>
        </control>
      </mc:Choice>
      <mc:Fallback>
        <control shapeId="3116" r:id="rId12" name="CommandButton2"/>
      </mc:Fallback>
    </mc:AlternateContent>
    <mc:AlternateContent xmlns:mc="http://schemas.openxmlformats.org/markup-compatibility/2006">
      <mc:Choice Requires="x14">
        <control shapeId="3115" r:id="rId14" name="CommandButton1">
          <controlPr defaultSize="0" autoLine="0" r:id="rId15">
            <anchor moveWithCells="1">
              <from>
                <xdr:col>7</xdr:col>
                <xdr:colOff>133350</xdr:colOff>
                <xdr:row>9</xdr:row>
                <xdr:rowOff>161925</xdr:rowOff>
              </from>
              <to>
                <xdr:col>7</xdr:col>
                <xdr:colOff>1000125</xdr:colOff>
                <xdr:row>11</xdr:row>
                <xdr:rowOff>28575</xdr:rowOff>
              </to>
            </anchor>
          </controlPr>
        </control>
      </mc:Choice>
      <mc:Fallback>
        <control shapeId="3115" r:id="rId14" name="CommandButton1"/>
      </mc:Fallback>
    </mc:AlternateContent>
    <mc:AlternateContent xmlns:mc="http://schemas.openxmlformats.org/markup-compatibility/2006">
      <mc:Choice Requires="x14">
        <control shapeId="3096" r:id="rId16" name="CommandButton5">
          <controlPr defaultSize="0" autoLine="0" autoPict="0" r:id="rId17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16" name="CommandButton5"/>
      </mc:Fallback>
    </mc:AlternateContent>
    <mc:AlternateContent xmlns:mc="http://schemas.openxmlformats.org/markup-compatibility/2006">
      <mc:Choice Requires="x14">
        <control shapeId="3102" r:id="rId18" name="Frame1">
          <controlPr defaultSize="0" autoLine="0" autoPict="0" r:id="rId1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3102" r:id="rId18" name="Frame1"/>
      </mc:Fallback>
    </mc:AlternateContent>
    <mc:AlternateContent xmlns:mc="http://schemas.openxmlformats.org/markup-compatibility/2006">
      <mc:Choice Requires="x14">
        <control shapeId="3103" r:id="rId20" name="CommandButton6">
          <controlPr defaultSize="0" autoLine="0" autoPict="0" r:id="rId21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3103" r:id="rId20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0A2AE-5E52-4E9A-8003-197A8B0E7B94}">
  <sheetPr codeName="Sheet7">
    <tabColor rgb="FFC00000"/>
  </sheetPr>
  <dimension ref="A1:M41"/>
  <sheetViews>
    <sheetView workbookViewId="0">
      <selection activeCell="L18" sqref="L18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237</v>
      </c>
      <c r="C2" s="448" t="str">
        <f>Well!D5</f>
        <v>충남 보령시 천북면 하만리 산 143-5</v>
      </c>
      <c r="H2"/>
      <c r="I2" s="297" t="s">
        <v>277</v>
      </c>
      <c r="J2"/>
      <c r="K2"/>
      <c r="L2"/>
      <c r="M2"/>
    </row>
    <row r="3" spans="1:13" ht="20.100000000000001" customHeight="1">
      <c r="B3" s="2" t="s">
        <v>6</v>
      </c>
      <c r="C3" s="449">
        <f>Well!C5</f>
        <v>0</v>
      </c>
      <c r="D3" s="3" t="s">
        <v>49</v>
      </c>
      <c r="E3" s="4" t="s">
        <v>120</v>
      </c>
      <c r="F3" s="5" t="s">
        <v>110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450">
        <f>Well!R5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450">
        <f>Well!Q5</f>
        <v>0</v>
      </c>
      <c r="D5" s="7" t="s">
        <v>54</v>
      </c>
      <c r="E5" s="33">
        <v>1.732</v>
      </c>
      <c r="F5" s="34">
        <f>$E$5/$C$14</f>
        <v>3.565987234918674E-3</v>
      </c>
      <c r="G5" s="10">
        <v>3.2289999999999999E-4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451" t="str">
        <f>Well!D5</f>
        <v>충남 보령시 천북면 하만리 산 143-5</v>
      </c>
      <c r="D6" s="7" t="s">
        <v>57</v>
      </c>
      <c r="E6" s="8">
        <v>1.5549999999999999</v>
      </c>
      <c r="F6" s="34">
        <f>$E$6/$C$14</f>
        <v>3.2015647519044676E-3</v>
      </c>
      <c r="G6" s="10" t="s">
        <v>58</v>
      </c>
      <c r="H6" s="299">
        <v>1.66</v>
      </c>
      <c r="I6"/>
      <c r="J6"/>
      <c r="K6"/>
      <c r="L6"/>
      <c r="M6"/>
    </row>
    <row r="7" spans="1:13" ht="20.100000000000001" customHeight="1" thickBot="1">
      <c r="B7" s="6" t="s">
        <v>56</v>
      </c>
      <c r="C7" s="452">
        <f>Well!H5</f>
        <v>500</v>
      </c>
      <c r="D7" s="323" t="s">
        <v>60</v>
      </c>
      <c r="E7" s="298">
        <f>(E5+E6)/2</f>
        <v>1.6435</v>
      </c>
      <c r="F7" s="35">
        <f>$E$7/$C$14</f>
        <v>3.3837759934115708E-3</v>
      </c>
      <c r="G7" s="32">
        <f>G5</f>
        <v>3.2289999999999999E-4</v>
      </c>
      <c r="H7" s="159">
        <v>8.8969999999999994E-2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452">
        <f>Well!G5</f>
        <v>200</v>
      </c>
    </row>
    <row r="9" spans="1:13" ht="20.100000000000001" customHeight="1" thickBot="1">
      <c r="B9" s="6" t="s">
        <v>61</v>
      </c>
      <c r="C9" s="453">
        <f>C10+C11</f>
        <v>12</v>
      </c>
      <c r="D9" s="11"/>
      <c r="E9" s="12" t="s">
        <v>111</v>
      </c>
      <c r="F9" s="36" t="s">
        <v>112</v>
      </c>
      <c r="G9" s="13" t="s">
        <v>113</v>
      </c>
    </row>
    <row r="10" spans="1:13" ht="20.100000000000001" customHeight="1" thickBot="1">
      <c r="B10" s="6" t="s">
        <v>62</v>
      </c>
      <c r="C10" s="451">
        <v>5</v>
      </c>
      <c r="D10" s="14" t="s">
        <v>63</v>
      </c>
      <c r="E10" s="180">
        <v>43</v>
      </c>
      <c r="F10" s="181">
        <v>52.7</v>
      </c>
      <c r="G10" s="182">
        <v>81.7</v>
      </c>
      <c r="H10" s="15"/>
      <c r="I10" s="16"/>
    </row>
    <row r="11" spans="1:13" ht="20.100000000000001" customHeight="1" thickBot="1">
      <c r="B11" s="6" t="s">
        <v>64</v>
      </c>
      <c r="C11" s="451">
        <v>7</v>
      </c>
      <c r="D11" s="324" t="s">
        <v>65</v>
      </c>
      <c r="E11" s="183">
        <f>ROUND(AVERAGE(E10:G10),1)</f>
        <v>59.1</v>
      </c>
      <c r="F11" s="174">
        <f>ROUND((E10+F10)/2,1)</f>
        <v>47.9</v>
      </c>
      <c r="G11" s="319">
        <f>MAX(E10,F10,G10)</f>
        <v>81.7</v>
      </c>
      <c r="H11" s="15"/>
      <c r="I11" s="16"/>
      <c r="J11" s="501" t="s">
        <v>119</v>
      </c>
      <c r="K11" s="502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454">
        <f>C7-C9</f>
        <v>488</v>
      </c>
      <c r="H12" s="18"/>
      <c r="J12" s="184" t="s">
        <v>121</v>
      </c>
      <c r="K12" s="327">
        <v>34</v>
      </c>
      <c r="L12" s="472">
        <f>K12+180</f>
        <v>214</v>
      </c>
    </row>
    <row r="13" spans="1:13" ht="20.100000000000001" customHeight="1">
      <c r="A13" s="17">
        <f>C10+C11+C12+C13</f>
        <v>500</v>
      </c>
      <c r="B13" s="6" t="s">
        <v>67</v>
      </c>
      <c r="C13" s="454"/>
      <c r="E13" s="239" t="str">
        <f>Recharge!I24</f>
        <v>한강/한강고양</v>
      </c>
      <c r="F13" s="188">
        <f>rf_1</f>
        <v>0.13400000000000001</v>
      </c>
      <c r="G13" s="188">
        <f>allow_ratio</f>
        <v>0.65</v>
      </c>
      <c r="H13" s="19"/>
      <c r="J13" s="184" t="s">
        <v>114</v>
      </c>
      <c r="K13" s="226">
        <v>526</v>
      </c>
      <c r="L13" s="42"/>
    </row>
    <row r="14" spans="1:13" ht="20.100000000000001" customHeight="1">
      <c r="B14" s="6" t="s">
        <v>68</v>
      </c>
      <c r="C14" s="453">
        <f>C7-IF(C20&gt;C9,C20,C9)</f>
        <v>485.7</v>
      </c>
      <c r="G14" s="188">
        <f>max</f>
        <v>1198.3</v>
      </c>
      <c r="H14" s="19"/>
      <c r="J14" s="184" t="s">
        <v>115</v>
      </c>
      <c r="K14" s="226">
        <v>76</v>
      </c>
      <c r="L14" s="42"/>
    </row>
    <row r="15" spans="1:13" ht="20.100000000000001" customHeight="1" thickBot="1">
      <c r="B15" s="6" t="s">
        <v>69</v>
      </c>
      <c r="C15" s="452">
        <f>Well!I5</f>
        <v>130</v>
      </c>
      <c r="E15" s="41">
        <v>2</v>
      </c>
      <c r="J15" s="184" t="s">
        <v>116</v>
      </c>
      <c r="K15" s="226">
        <v>50</v>
      </c>
      <c r="L15" s="42"/>
    </row>
    <row r="16" spans="1:13" ht="20.100000000000001" customHeight="1">
      <c r="B16" s="6" t="s">
        <v>70</v>
      </c>
      <c r="C16" s="455">
        <f>Well!J5</f>
        <v>143</v>
      </c>
      <c r="E16" s="156" t="s">
        <v>294</v>
      </c>
      <c r="F16" s="157" t="s">
        <v>98</v>
      </c>
      <c r="G16" s="158" t="s">
        <v>97</v>
      </c>
      <c r="H16" s="19"/>
      <c r="J16" s="184" t="s">
        <v>122</v>
      </c>
      <c r="K16" s="185">
        <f>K14-C20</f>
        <v>61.7</v>
      </c>
      <c r="L16" s="42"/>
    </row>
    <row r="17" spans="2:12" ht="20.100000000000001" customHeight="1" thickBot="1">
      <c r="B17" s="6" t="s">
        <v>71</v>
      </c>
      <c r="C17" s="452">
        <f>Well!L5</f>
        <v>10</v>
      </c>
      <c r="E17" s="76">
        <f>Well!P5</f>
        <v>3059068</v>
      </c>
      <c r="F17" s="247">
        <f>(max*rf_1*E17/1000)</f>
        <v>491201.27870960004</v>
      </c>
      <c r="G17" s="246">
        <f>F17*allow_ratio</f>
        <v>319280.83116124006</v>
      </c>
      <c r="J17" s="184" t="s">
        <v>117</v>
      </c>
      <c r="K17" s="185">
        <f>K16-K15</f>
        <v>11.700000000000003</v>
      </c>
      <c r="L17" s="42"/>
    </row>
    <row r="18" spans="2:12" ht="20.100000000000001" customHeight="1" thickBot="1">
      <c r="B18" s="6" t="s">
        <v>72</v>
      </c>
      <c r="C18" s="452">
        <f>Well!M5</f>
        <v>200</v>
      </c>
      <c r="E18" s="2" t="s">
        <v>73</v>
      </c>
      <c r="F18" s="30" t="s">
        <v>74</v>
      </c>
      <c r="G18" s="29" t="s">
        <v>75</v>
      </c>
      <c r="H18" s="178" t="s">
        <v>174</v>
      </c>
      <c r="I18" s="28"/>
      <c r="J18" s="186" t="s">
        <v>118</v>
      </c>
      <c r="K18" s="187">
        <f>(K17/K13)</f>
        <v>2.2243346007604567E-2</v>
      </c>
      <c r="L18" s="473">
        <f>K18*100</f>
        <v>2.2243346007604567</v>
      </c>
    </row>
    <row r="19" spans="2:12" ht="20.100000000000001" customHeight="1" thickBot="1">
      <c r="B19" s="21" t="s">
        <v>76</v>
      </c>
      <c r="C19" s="456">
        <f>Well!N5</f>
        <v>50</v>
      </c>
      <c r="E19" s="76">
        <f>E17</f>
        <v>3059068</v>
      </c>
      <c r="F19" s="243">
        <f>(max*rf_1*E19/1000)/365</f>
        <v>1345.7569279715069</v>
      </c>
      <c r="G19" s="244">
        <f>F19*allow_ratio</f>
        <v>874.7420031814795</v>
      </c>
      <c r="H19" s="179">
        <f>G19-F21</f>
        <v>701.94200318147955</v>
      </c>
    </row>
    <row r="20" spans="2:12" ht="20.100000000000001" customHeight="1">
      <c r="B20" s="22" t="s">
        <v>77</v>
      </c>
      <c r="C20" s="457">
        <v>14.3</v>
      </c>
      <c r="D20" s="17"/>
      <c r="E20" s="26" t="s">
        <v>95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458">
        <v>64.8</v>
      </c>
      <c r="D21" s="17"/>
      <c r="E21" s="176">
        <f>Well!$I$5</f>
        <v>130</v>
      </c>
      <c r="F21" s="245">
        <f>Well!O5</f>
        <v>172.8</v>
      </c>
      <c r="G21" s="246">
        <f>G19-E21-F21</f>
        <v>571.94200318147955</v>
      </c>
    </row>
    <row r="22" spans="2:12" ht="20.100000000000001" customHeight="1" thickBot="1">
      <c r="B22" s="31" t="s">
        <v>166</v>
      </c>
      <c r="C22" s="459">
        <f>C21-C20</f>
        <v>50.5</v>
      </c>
      <c r="E22" s="503">
        <f>E21+F21</f>
        <v>302.8</v>
      </c>
      <c r="F22" s="504"/>
      <c r="G22" s="20"/>
      <c r="I22" s="19"/>
    </row>
    <row r="23" spans="2:12" ht="20.100000000000001" customHeight="1" thickBot="1">
      <c r="B23" s="326" t="s">
        <v>241</v>
      </c>
      <c r="C23" s="325">
        <v>3.99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497" t="s">
        <v>99</v>
      </c>
      <c r="C25" s="498"/>
      <c r="D25" s="189" t="s">
        <v>108</v>
      </c>
      <c r="E25" s="189" t="s">
        <v>109</v>
      </c>
      <c r="F25" s="189" t="s">
        <v>100</v>
      </c>
      <c r="G25" s="189" t="s">
        <v>101</v>
      </c>
      <c r="H25" s="189" t="s">
        <v>123</v>
      </c>
      <c r="I25" s="189" t="s">
        <v>102</v>
      </c>
      <c r="J25" s="190" t="s">
        <v>103</v>
      </c>
      <c r="K25" s="191" t="s">
        <v>104</v>
      </c>
    </row>
    <row r="26" spans="2:12" ht="25.5" customHeight="1">
      <c r="B26" s="499" t="s">
        <v>49</v>
      </c>
      <c r="C26" s="192" t="s">
        <v>106</v>
      </c>
      <c r="D26" s="193">
        <f>C20</f>
        <v>14.3</v>
      </c>
      <c r="E26" s="194">
        <f>Recharge!C30</f>
        <v>16.057220000000001</v>
      </c>
      <c r="F26" s="195" t="s">
        <v>186</v>
      </c>
      <c r="G26" s="193" t="s">
        <v>235</v>
      </c>
      <c r="H26" s="196">
        <f>L18</f>
        <v>2.2243346007604567</v>
      </c>
      <c r="I26" s="193" t="s">
        <v>186</v>
      </c>
      <c r="J26" s="193">
        <f>(E7/C14)/864</f>
        <v>3.9164073997819102E-6</v>
      </c>
      <c r="K26" s="197" t="s">
        <v>239</v>
      </c>
    </row>
    <row r="27" spans="2:12" ht="25.5" customHeight="1">
      <c r="B27" s="499"/>
      <c r="C27" s="192" t="s">
        <v>107</v>
      </c>
      <c r="D27" s="192">
        <v>5</v>
      </c>
      <c r="E27" s="192">
        <v>8</v>
      </c>
      <c r="F27" s="192">
        <v>3</v>
      </c>
      <c r="G27" s="192">
        <v>4</v>
      </c>
      <c r="H27" s="192">
        <v>9</v>
      </c>
      <c r="I27" s="192">
        <v>4</v>
      </c>
      <c r="J27" s="192">
        <v>2</v>
      </c>
      <c r="K27" s="197" t="s">
        <v>240</v>
      </c>
    </row>
    <row r="28" spans="2:12" ht="25.5" customHeight="1">
      <c r="B28" s="499"/>
      <c r="C28" s="209" t="s">
        <v>179</v>
      </c>
      <c r="D28" s="210">
        <v>5</v>
      </c>
      <c r="E28" s="210">
        <v>4</v>
      </c>
      <c r="F28" s="210">
        <v>3</v>
      </c>
      <c r="G28" s="210">
        <v>2</v>
      </c>
      <c r="H28" s="210">
        <v>1</v>
      </c>
      <c r="I28" s="210">
        <v>5</v>
      </c>
      <c r="J28" s="210">
        <v>3</v>
      </c>
      <c r="K28" s="211"/>
    </row>
    <row r="29" spans="2:12" ht="25.5" customHeight="1">
      <c r="B29" s="499"/>
      <c r="C29" s="209" t="s">
        <v>180</v>
      </c>
      <c r="D29" s="212">
        <v>5</v>
      </c>
      <c r="E29" s="212">
        <v>4</v>
      </c>
      <c r="F29" s="212">
        <v>3</v>
      </c>
      <c r="G29" s="212">
        <v>5</v>
      </c>
      <c r="H29" s="212">
        <v>3</v>
      </c>
      <c r="I29" s="212">
        <v>4</v>
      </c>
      <c r="J29" s="212">
        <v>2</v>
      </c>
      <c r="K29" s="211"/>
    </row>
    <row r="30" spans="2:12" ht="25.5" customHeight="1">
      <c r="B30" s="499"/>
      <c r="C30" s="198" t="s">
        <v>181</v>
      </c>
      <c r="D30" s="199">
        <f>D27*D28</f>
        <v>25</v>
      </c>
      <c r="E30" s="199">
        <f t="shared" ref="E30:J30" si="0">E27*E28</f>
        <v>32</v>
      </c>
      <c r="F30" s="199">
        <f t="shared" si="0"/>
        <v>9</v>
      </c>
      <c r="G30" s="199">
        <f t="shared" si="0"/>
        <v>8</v>
      </c>
      <c r="H30" s="199">
        <f t="shared" si="0"/>
        <v>9</v>
      </c>
      <c r="I30" s="199">
        <f t="shared" si="0"/>
        <v>20</v>
      </c>
      <c r="J30" s="199">
        <f t="shared" si="0"/>
        <v>6</v>
      </c>
      <c r="K30" s="200">
        <f>SUM(D30:J30)</f>
        <v>109</v>
      </c>
    </row>
    <row r="31" spans="2:12" ht="25.5" customHeight="1" thickBot="1">
      <c r="B31" s="500"/>
      <c r="C31" s="201" t="s">
        <v>182</v>
      </c>
      <c r="D31" s="202">
        <f t="shared" ref="D31:J31" si="1">D27*D29</f>
        <v>25</v>
      </c>
      <c r="E31" s="202">
        <f t="shared" si="1"/>
        <v>32</v>
      </c>
      <c r="F31" s="202">
        <f t="shared" si="1"/>
        <v>9</v>
      </c>
      <c r="G31" s="202">
        <f t="shared" si="1"/>
        <v>20</v>
      </c>
      <c r="H31" s="202">
        <f t="shared" si="1"/>
        <v>27</v>
      </c>
      <c r="I31" s="202">
        <f t="shared" si="1"/>
        <v>16</v>
      </c>
      <c r="J31" s="202">
        <f t="shared" si="1"/>
        <v>4</v>
      </c>
      <c r="K31" s="203">
        <f>SUM(D31:J31)</f>
        <v>133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8979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89793" r:id="rId4" name="CommandButton5"/>
      </mc:Fallback>
    </mc:AlternateContent>
    <mc:AlternateContent xmlns:mc="http://schemas.openxmlformats.org/markup-compatibility/2006">
      <mc:Choice Requires="x14">
        <control shapeId="28979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89794" r:id="rId6" name="Frame1"/>
      </mc:Fallback>
    </mc:AlternateContent>
    <mc:AlternateContent xmlns:mc="http://schemas.openxmlformats.org/markup-compatibility/2006">
      <mc:Choice Requires="x14">
        <control shapeId="28979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289795" r:id="rId8" name="CommandButton6"/>
      </mc:Fallback>
    </mc:AlternateContent>
    <mc:AlternateContent xmlns:mc="http://schemas.openxmlformats.org/markup-compatibility/2006">
      <mc:Choice Requires="x14">
        <control shapeId="289801" r:id="rId10" name="CommandButton8">
          <controlPr defaultSize="0" autoLine="0" r:id="rId1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89801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869903B-B89F-4952-BC5A-F7C9C2B319D2}">
          <x14:formula1>
            <xm:f>drastic!$G$4:$G$14</xm:f>
          </x14:formula1>
          <xm:sqref>I26</xm:sqref>
        </x14:dataValidation>
        <x14:dataValidation type="list" allowBlank="1" showInputMessage="1" showErrorMessage="1" xr:uid="{DE982164-3219-45B3-B820-B5D1A7633D7D}">
          <x14:formula1>
            <xm:f>drastic!$D$4:$D$14</xm:f>
          </x14:formula1>
          <xm:sqref>G26</xm:sqref>
        </x14:dataValidation>
        <x14:dataValidation type="list" allowBlank="1" showInputMessage="1" showErrorMessage="1" xr:uid="{878FD20D-719C-4680-AB5B-297893CE1D8C}">
          <x14:formula1>
            <xm:f>drastic!$A$4:$A$13</xm:f>
          </x14:formula1>
          <xm:sqref>F26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7E722-EAEE-4522-A56E-766E8FCEB318}">
  <sheetPr codeName="Sheet8">
    <tabColor rgb="FFC00000"/>
  </sheetPr>
  <dimension ref="A1:M41"/>
  <sheetViews>
    <sheetView workbookViewId="0">
      <selection activeCell="I23" sqref="I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238</v>
      </c>
      <c r="C2" s="448" t="str">
        <f>Well!D6</f>
        <v>충남 보령시 천북면 하만리 산 143-5</v>
      </c>
      <c r="H2"/>
      <c r="I2" s="297" t="s">
        <v>317</v>
      </c>
      <c r="J2"/>
      <c r="K2"/>
      <c r="L2"/>
      <c r="M2"/>
    </row>
    <row r="3" spans="1:13" ht="20.100000000000001" customHeight="1">
      <c r="B3" s="2" t="s">
        <v>6</v>
      </c>
      <c r="C3" s="449">
        <f>Well!C6</f>
        <v>0</v>
      </c>
      <c r="D3" s="3" t="s">
        <v>49</v>
      </c>
      <c r="E3" s="4" t="s">
        <v>120</v>
      </c>
      <c r="F3" s="5" t="s">
        <v>110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450">
        <f>Well!R6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450">
        <f>Well!Q6</f>
        <v>0</v>
      </c>
      <c r="D5" s="7" t="s">
        <v>54</v>
      </c>
      <c r="E5" s="33">
        <v>1.732</v>
      </c>
      <c r="F5" s="34">
        <f>$E$5/$C$14</f>
        <v>3.565987234918674E-3</v>
      </c>
      <c r="G5" s="10">
        <v>3.2289999999999999E-4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451" t="str">
        <f>Well!D6</f>
        <v>충남 보령시 천북면 하만리 산 143-5</v>
      </c>
      <c r="D6" s="7" t="s">
        <v>57</v>
      </c>
      <c r="E6" s="8">
        <v>1.5549999999999999</v>
      </c>
      <c r="F6" s="34">
        <f>$E$6/$C$14</f>
        <v>3.2015647519044676E-3</v>
      </c>
      <c r="G6" s="10" t="s">
        <v>58</v>
      </c>
      <c r="H6" s="299">
        <v>1.66</v>
      </c>
      <c r="I6"/>
      <c r="J6"/>
      <c r="K6"/>
      <c r="L6"/>
      <c r="M6"/>
    </row>
    <row r="7" spans="1:13" ht="20.100000000000001" customHeight="1" thickBot="1">
      <c r="B7" s="6" t="s">
        <v>56</v>
      </c>
      <c r="C7" s="452">
        <f>Well!H6</f>
        <v>500</v>
      </c>
      <c r="D7" s="323" t="s">
        <v>60</v>
      </c>
      <c r="E7" s="298">
        <f>(E5+E6)/2</f>
        <v>1.6435</v>
      </c>
      <c r="F7" s="35">
        <f>$E$7/$C$14</f>
        <v>3.3837759934115708E-3</v>
      </c>
      <c r="G7" s="32">
        <f>G5</f>
        <v>3.2289999999999999E-4</v>
      </c>
      <c r="H7" s="159">
        <v>8.8969999999999994E-2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452">
        <f>Well!G6</f>
        <v>200</v>
      </c>
    </row>
    <row r="9" spans="1:13" ht="20.100000000000001" customHeight="1" thickBot="1">
      <c r="B9" s="6" t="s">
        <v>61</v>
      </c>
      <c r="C9" s="453">
        <f>C10+C11</f>
        <v>12</v>
      </c>
      <c r="D9" s="11"/>
      <c r="E9" s="12" t="s">
        <v>111</v>
      </c>
      <c r="F9" s="36" t="s">
        <v>112</v>
      </c>
      <c r="G9" s="13" t="s">
        <v>113</v>
      </c>
    </row>
    <row r="10" spans="1:13" ht="20.100000000000001" customHeight="1" thickBot="1">
      <c r="B10" s="6" t="s">
        <v>62</v>
      </c>
      <c r="C10" s="451">
        <v>5</v>
      </c>
      <c r="D10" s="14" t="s">
        <v>63</v>
      </c>
      <c r="E10" s="180">
        <v>43</v>
      </c>
      <c r="F10" s="181">
        <v>52.7</v>
      </c>
      <c r="G10" s="182">
        <v>81.7</v>
      </c>
      <c r="H10" s="15"/>
      <c r="I10" s="16"/>
    </row>
    <row r="11" spans="1:13" ht="20.100000000000001" customHeight="1" thickBot="1">
      <c r="B11" s="6" t="s">
        <v>64</v>
      </c>
      <c r="C11" s="451">
        <v>7</v>
      </c>
      <c r="D11" s="324" t="s">
        <v>65</v>
      </c>
      <c r="E11" s="183">
        <f>ROUND(AVERAGE(E10:G10),1)</f>
        <v>59.1</v>
      </c>
      <c r="F11" s="174">
        <f>ROUND((E10+F10)/2,1)</f>
        <v>47.9</v>
      </c>
      <c r="G11" s="319">
        <f>MAX(E10,F10,G10)</f>
        <v>81.7</v>
      </c>
      <c r="H11" s="15"/>
      <c r="I11" s="16"/>
      <c r="J11" s="501" t="s">
        <v>119</v>
      </c>
      <c r="K11" s="502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454">
        <f>C7-C9</f>
        <v>488</v>
      </c>
      <c r="H12" s="18"/>
      <c r="J12" s="184" t="s">
        <v>121</v>
      </c>
      <c r="K12" s="327">
        <v>34</v>
      </c>
      <c r="L12" s="472">
        <f>K12+180</f>
        <v>214</v>
      </c>
    </row>
    <row r="13" spans="1:13" ht="20.100000000000001" customHeight="1">
      <c r="A13" s="17">
        <f>C10+C11+C12+C13</f>
        <v>500</v>
      </c>
      <c r="B13" s="6" t="s">
        <v>67</v>
      </c>
      <c r="C13" s="454"/>
      <c r="E13" s="239" t="str">
        <f>Recharge!I24</f>
        <v>한강/한강고양</v>
      </c>
      <c r="F13" s="188">
        <f>rf_1</f>
        <v>0.13400000000000001</v>
      </c>
      <c r="G13" s="188">
        <f>allow_ratio</f>
        <v>0.65</v>
      </c>
      <c r="H13" s="19"/>
      <c r="J13" s="184" t="s">
        <v>114</v>
      </c>
      <c r="K13" s="226">
        <v>526</v>
      </c>
      <c r="L13" s="42"/>
    </row>
    <row r="14" spans="1:13" ht="20.100000000000001" customHeight="1">
      <c r="B14" s="6" t="s">
        <v>68</v>
      </c>
      <c r="C14" s="453">
        <f>C7-IF(C20&gt;C9,C20,C9)</f>
        <v>485.7</v>
      </c>
      <c r="G14" s="188">
        <f>max</f>
        <v>1198.3</v>
      </c>
      <c r="H14" s="19"/>
      <c r="J14" s="184" t="s">
        <v>115</v>
      </c>
      <c r="K14" s="226">
        <v>76</v>
      </c>
      <c r="L14" s="42"/>
    </row>
    <row r="15" spans="1:13" ht="20.100000000000001" customHeight="1" thickBot="1">
      <c r="B15" s="6" t="s">
        <v>69</v>
      </c>
      <c r="C15" s="452">
        <f>Well!I6</f>
        <v>130</v>
      </c>
      <c r="E15" s="41">
        <v>3</v>
      </c>
      <c r="J15" s="184" t="s">
        <v>116</v>
      </c>
      <c r="K15" s="226">
        <v>50</v>
      </c>
      <c r="L15" s="42"/>
    </row>
    <row r="16" spans="1:13" ht="20.100000000000001" customHeight="1">
      <c r="B16" s="6" t="s">
        <v>70</v>
      </c>
      <c r="C16" s="455">
        <f>Well!J6</f>
        <v>143</v>
      </c>
      <c r="E16" s="156" t="s">
        <v>294</v>
      </c>
      <c r="F16" s="157" t="s">
        <v>98</v>
      </c>
      <c r="G16" s="158" t="s">
        <v>97</v>
      </c>
      <c r="H16" s="19"/>
      <c r="J16" s="184" t="s">
        <v>122</v>
      </c>
      <c r="K16" s="185">
        <f>K14-C20</f>
        <v>61.7</v>
      </c>
      <c r="L16" s="42"/>
    </row>
    <row r="17" spans="2:12" ht="20.100000000000001" customHeight="1" thickBot="1">
      <c r="B17" s="6" t="s">
        <v>71</v>
      </c>
      <c r="C17" s="452">
        <f>Well!L6</f>
        <v>10</v>
      </c>
      <c r="E17" s="76">
        <f>Well!P6</f>
        <v>3059068</v>
      </c>
      <c r="F17" s="247">
        <f>(max*rf_1*E17/1000)</f>
        <v>491201.27870960004</v>
      </c>
      <c r="G17" s="246">
        <f>F17*allow_ratio</f>
        <v>319280.83116124006</v>
      </c>
      <c r="J17" s="184" t="s">
        <v>117</v>
      </c>
      <c r="K17" s="185">
        <f>K16-K15</f>
        <v>11.700000000000003</v>
      </c>
      <c r="L17" s="42"/>
    </row>
    <row r="18" spans="2:12" ht="20.100000000000001" customHeight="1" thickBot="1">
      <c r="B18" s="6" t="s">
        <v>72</v>
      </c>
      <c r="C18" s="452">
        <f>Well!M6</f>
        <v>200</v>
      </c>
      <c r="E18" s="2" t="s">
        <v>73</v>
      </c>
      <c r="F18" s="30" t="s">
        <v>74</v>
      </c>
      <c r="G18" s="29" t="s">
        <v>75</v>
      </c>
      <c r="H18" s="178" t="s">
        <v>174</v>
      </c>
      <c r="I18" s="28"/>
      <c r="J18" s="186" t="s">
        <v>118</v>
      </c>
      <c r="K18" s="187">
        <f>(K17/K13)</f>
        <v>2.2243346007604567E-2</v>
      </c>
      <c r="L18" s="473">
        <f>K18*100</f>
        <v>2.2243346007604567</v>
      </c>
    </row>
    <row r="19" spans="2:12" ht="20.100000000000001" customHeight="1" thickBot="1">
      <c r="B19" s="21" t="s">
        <v>76</v>
      </c>
      <c r="C19" s="456">
        <f>Well!N6</f>
        <v>50</v>
      </c>
      <c r="E19" s="76">
        <f>E17</f>
        <v>3059068</v>
      </c>
      <c r="F19" s="243">
        <f>(max*rf_1*E19/1000)/365</f>
        <v>1345.7569279715069</v>
      </c>
      <c r="G19" s="244">
        <f>F19*allow_ratio</f>
        <v>874.7420031814795</v>
      </c>
      <c r="H19" s="179">
        <f>G19-F21</f>
        <v>701.94200318147955</v>
      </c>
    </row>
    <row r="20" spans="2:12" ht="20.100000000000001" customHeight="1">
      <c r="B20" s="22" t="s">
        <v>77</v>
      </c>
      <c r="C20" s="457">
        <v>14.3</v>
      </c>
      <c r="D20" s="17"/>
      <c r="E20" s="26" t="s">
        <v>95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458">
        <v>64.8</v>
      </c>
      <c r="D21" s="17"/>
      <c r="E21" s="176">
        <f>Well!$I$6</f>
        <v>130</v>
      </c>
      <c r="F21" s="245">
        <f>Well!O6</f>
        <v>172.8</v>
      </c>
      <c r="G21" s="246">
        <f>G19-E21-F21</f>
        <v>571.94200318147955</v>
      </c>
    </row>
    <row r="22" spans="2:12" ht="20.100000000000001" customHeight="1" thickBot="1">
      <c r="B22" s="31" t="s">
        <v>166</v>
      </c>
      <c r="C22" s="459">
        <f>C21-C20</f>
        <v>50.5</v>
      </c>
      <c r="E22" s="503">
        <f>E21+F21</f>
        <v>302.8</v>
      </c>
      <c r="F22" s="504"/>
      <c r="G22" s="20"/>
      <c r="I22" s="19"/>
    </row>
    <row r="23" spans="2:12" ht="20.100000000000001" customHeight="1" thickBot="1">
      <c r="B23" s="326" t="s">
        <v>241</v>
      </c>
      <c r="C23" s="325">
        <v>3.99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497" t="s">
        <v>99</v>
      </c>
      <c r="C25" s="498"/>
      <c r="D25" s="189" t="s">
        <v>108</v>
      </c>
      <c r="E25" s="189" t="s">
        <v>109</v>
      </c>
      <c r="F25" s="189" t="s">
        <v>100</v>
      </c>
      <c r="G25" s="189" t="s">
        <v>101</v>
      </c>
      <c r="H25" s="189" t="s">
        <v>123</v>
      </c>
      <c r="I25" s="189" t="s">
        <v>102</v>
      </c>
      <c r="J25" s="190" t="s">
        <v>103</v>
      </c>
      <c r="K25" s="191" t="s">
        <v>104</v>
      </c>
    </row>
    <row r="26" spans="2:12" ht="25.5" customHeight="1">
      <c r="B26" s="499" t="s">
        <v>49</v>
      </c>
      <c r="C26" s="192" t="s">
        <v>106</v>
      </c>
      <c r="D26" s="193">
        <f>C20</f>
        <v>14.3</v>
      </c>
      <c r="E26" s="194">
        <f>Recharge!C30</f>
        <v>16.057220000000001</v>
      </c>
      <c r="F26" s="195" t="s">
        <v>186</v>
      </c>
      <c r="G26" s="193" t="s">
        <v>235</v>
      </c>
      <c r="H26" s="196">
        <f>L18</f>
        <v>2.2243346007604567</v>
      </c>
      <c r="I26" s="193" t="s">
        <v>186</v>
      </c>
      <c r="J26" s="193">
        <f>(E7/C14)/864</f>
        <v>3.9164073997819102E-6</v>
      </c>
      <c r="K26" s="197" t="s">
        <v>239</v>
      </c>
    </row>
    <row r="27" spans="2:12" ht="25.5" customHeight="1">
      <c r="B27" s="499"/>
      <c r="C27" s="192" t="s">
        <v>107</v>
      </c>
      <c r="D27" s="192">
        <v>5</v>
      </c>
      <c r="E27" s="192">
        <v>8</v>
      </c>
      <c r="F27" s="192">
        <v>3</v>
      </c>
      <c r="G27" s="192">
        <v>4</v>
      </c>
      <c r="H27" s="192">
        <v>9</v>
      </c>
      <c r="I27" s="192">
        <v>4</v>
      </c>
      <c r="J27" s="192">
        <v>2</v>
      </c>
      <c r="K27" s="197" t="s">
        <v>240</v>
      </c>
    </row>
    <row r="28" spans="2:12" ht="25.5" customHeight="1">
      <c r="B28" s="499"/>
      <c r="C28" s="209" t="s">
        <v>179</v>
      </c>
      <c r="D28" s="210">
        <v>5</v>
      </c>
      <c r="E28" s="210">
        <v>4</v>
      </c>
      <c r="F28" s="210">
        <v>3</v>
      </c>
      <c r="G28" s="210">
        <v>2</v>
      </c>
      <c r="H28" s="210">
        <v>1</v>
      </c>
      <c r="I28" s="210">
        <v>5</v>
      </c>
      <c r="J28" s="210">
        <v>3</v>
      </c>
      <c r="K28" s="211"/>
    </row>
    <row r="29" spans="2:12" ht="25.5" customHeight="1">
      <c r="B29" s="499"/>
      <c r="C29" s="209" t="s">
        <v>180</v>
      </c>
      <c r="D29" s="212">
        <v>5</v>
      </c>
      <c r="E29" s="212">
        <v>4</v>
      </c>
      <c r="F29" s="212">
        <v>3</v>
      </c>
      <c r="G29" s="212">
        <v>5</v>
      </c>
      <c r="H29" s="212">
        <v>3</v>
      </c>
      <c r="I29" s="212">
        <v>4</v>
      </c>
      <c r="J29" s="212">
        <v>2</v>
      </c>
      <c r="K29" s="211"/>
    </row>
    <row r="30" spans="2:12" ht="25.5" customHeight="1">
      <c r="B30" s="499"/>
      <c r="C30" s="198" t="s">
        <v>181</v>
      </c>
      <c r="D30" s="199">
        <f>D27*D28</f>
        <v>25</v>
      </c>
      <c r="E30" s="199">
        <f t="shared" ref="E30:J30" si="0">E27*E28</f>
        <v>32</v>
      </c>
      <c r="F30" s="199">
        <f t="shared" si="0"/>
        <v>9</v>
      </c>
      <c r="G30" s="199">
        <f t="shared" si="0"/>
        <v>8</v>
      </c>
      <c r="H30" s="199">
        <f t="shared" si="0"/>
        <v>9</v>
      </c>
      <c r="I30" s="199">
        <f t="shared" si="0"/>
        <v>20</v>
      </c>
      <c r="J30" s="199">
        <f t="shared" si="0"/>
        <v>6</v>
      </c>
      <c r="K30" s="200">
        <f>SUM(D30:J30)</f>
        <v>109</v>
      </c>
    </row>
    <row r="31" spans="2:12" ht="25.5" customHeight="1" thickBot="1">
      <c r="B31" s="500"/>
      <c r="C31" s="201" t="s">
        <v>182</v>
      </c>
      <c r="D31" s="202">
        <f t="shared" ref="D31:J31" si="1">D27*D29</f>
        <v>25</v>
      </c>
      <c r="E31" s="202">
        <f t="shared" si="1"/>
        <v>32</v>
      </c>
      <c r="F31" s="202">
        <f t="shared" si="1"/>
        <v>9</v>
      </c>
      <c r="G31" s="202">
        <f t="shared" si="1"/>
        <v>20</v>
      </c>
      <c r="H31" s="202">
        <f t="shared" si="1"/>
        <v>27</v>
      </c>
      <c r="I31" s="202">
        <f t="shared" si="1"/>
        <v>16</v>
      </c>
      <c r="J31" s="202">
        <f t="shared" si="1"/>
        <v>4</v>
      </c>
      <c r="K31" s="203">
        <f>SUM(D31:J31)</f>
        <v>133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9081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90817" r:id="rId4" name="CommandButton5"/>
      </mc:Fallback>
    </mc:AlternateContent>
    <mc:AlternateContent xmlns:mc="http://schemas.openxmlformats.org/markup-compatibility/2006">
      <mc:Choice Requires="x14">
        <control shapeId="29081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90818" r:id="rId6" name="Frame1"/>
      </mc:Fallback>
    </mc:AlternateContent>
    <mc:AlternateContent xmlns:mc="http://schemas.openxmlformats.org/markup-compatibility/2006">
      <mc:Choice Requires="x14">
        <control shapeId="29081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290819" r:id="rId8" name="CommandButton6"/>
      </mc:Fallback>
    </mc:AlternateContent>
    <mc:AlternateContent xmlns:mc="http://schemas.openxmlformats.org/markup-compatibility/2006">
      <mc:Choice Requires="x14">
        <control shapeId="290820" r:id="rId10" name="CommandButton8">
          <controlPr defaultSize="0" autoLine="0" r:id="rId1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9082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679064F-B083-41DD-A3F1-BBE8086BA0BC}">
          <x14:formula1>
            <xm:f>drastic!$A$4:$A$13</xm:f>
          </x14:formula1>
          <xm:sqref>F26</xm:sqref>
        </x14:dataValidation>
        <x14:dataValidation type="list" allowBlank="1" showInputMessage="1" showErrorMessage="1" xr:uid="{627CB1EA-C25B-4D40-A120-C5C9A51A96DD}">
          <x14:formula1>
            <xm:f>drastic!$D$4:$D$14</xm:f>
          </x14:formula1>
          <xm:sqref>G26</xm:sqref>
        </x14:dataValidation>
        <x14:dataValidation type="list" allowBlank="1" showInputMessage="1" showErrorMessage="1" xr:uid="{2BF15CC4-EE91-4956-BAC7-F28DA6D424D4}">
          <x14:formula1>
            <xm:f>drastic!$G$4:$G$14</xm:f>
          </x14:formula1>
          <xm:sqref>I26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22">
    <tabColor theme="2" tint="-9.9978637043366805E-2"/>
  </sheetPr>
  <dimension ref="B1:N44"/>
  <sheetViews>
    <sheetView workbookViewId="0">
      <selection activeCell="F29" sqref="F29"/>
    </sheetView>
  </sheetViews>
  <sheetFormatPr defaultColWidth="8.88671875" defaultRowHeight="16.5"/>
  <cols>
    <col min="1" max="1" width="8.88671875" style="43"/>
    <col min="2" max="2" width="16.6640625" style="43" customWidth="1"/>
    <col min="3" max="4" width="14.6640625" style="43" customWidth="1"/>
    <col min="5" max="5" width="12" style="44" customWidth="1"/>
    <col min="6" max="6" width="12.33203125" style="44" customWidth="1"/>
    <col min="7" max="7" width="8.88671875" style="43"/>
    <col min="8" max="8" width="9.88671875" style="43" customWidth="1"/>
    <col min="9" max="9" width="8.33203125" style="43" customWidth="1"/>
    <col min="10" max="10" width="8.77734375" style="43" customWidth="1"/>
    <col min="11" max="16384" width="8.88671875" style="43"/>
  </cols>
  <sheetData>
    <row r="1" spans="2:14" s="38" customFormat="1" ht="18" customHeight="1">
      <c r="E1" s="37"/>
      <c r="F1" s="37"/>
    </row>
    <row r="2" spans="2:14" s="38" customFormat="1" ht="18" customHeight="1">
      <c r="B2" s="38" t="s">
        <v>81</v>
      </c>
      <c r="E2" s="37"/>
      <c r="F2" s="37"/>
    </row>
    <row r="3" spans="2:14" s="38" customFormat="1" ht="18" customHeight="1">
      <c r="E3" s="37"/>
      <c r="F3" s="37"/>
    </row>
    <row r="4" spans="2:14" s="147" customFormat="1" ht="26.25" customHeight="1">
      <c r="B4" s="145" t="s">
        <v>94</v>
      </c>
      <c r="C4" s="146" t="s">
        <v>87</v>
      </c>
      <c r="E4" s="146"/>
      <c r="F4" s="146"/>
    </row>
    <row r="5" spans="2:14" s="38" customFormat="1" ht="18" customHeight="1" thickBot="1">
      <c r="E5" s="37"/>
      <c r="F5" s="37"/>
    </row>
    <row r="6" spans="2:14" s="38" customFormat="1" ht="26.1" customHeight="1">
      <c r="B6" s="432" t="s">
        <v>82</v>
      </c>
      <c r="C6" s="445">
        <v>44753.861111111109</v>
      </c>
      <c r="D6" s="125"/>
      <c r="E6" s="37"/>
      <c r="F6" s="37"/>
    </row>
    <row r="7" spans="2:14" s="38" customFormat="1" ht="26.1" customHeight="1" thickBot="1">
      <c r="B7" s="435" t="s">
        <v>83</v>
      </c>
      <c r="C7" s="440">
        <v>14.6</v>
      </c>
      <c r="D7" s="125"/>
      <c r="E7" s="37"/>
      <c r="F7" s="37"/>
    </row>
    <row r="8" spans="2:14" s="38" customFormat="1" ht="26.1" customHeight="1">
      <c r="B8" s="432" t="s">
        <v>84</v>
      </c>
      <c r="C8" s="446">
        <v>211</v>
      </c>
      <c r="D8" s="125"/>
      <c r="E8" s="37"/>
      <c r="F8" s="37"/>
    </row>
    <row r="9" spans="2:14" s="38" customFormat="1" ht="26.1" customHeight="1" thickBot="1">
      <c r="B9" s="435" t="s">
        <v>85</v>
      </c>
      <c r="C9" s="447">
        <v>6.7</v>
      </c>
      <c r="D9" s="125"/>
      <c r="E9" s="37"/>
      <c r="F9" s="37"/>
    </row>
    <row r="10" spans="2:14" s="38" customFormat="1" ht="26.1" customHeight="1">
      <c r="B10" s="126"/>
      <c r="C10" s="127"/>
      <c r="D10" s="125"/>
      <c r="E10" s="37"/>
      <c r="F10" s="37"/>
    </row>
    <row r="11" spans="2:14" s="38" customFormat="1" ht="18" customHeight="1" thickBot="1">
      <c r="E11" s="37"/>
      <c r="F11" s="37"/>
      <c r="L11"/>
      <c r="M11"/>
      <c r="N11"/>
    </row>
    <row r="12" spans="2:14" s="37" customFormat="1" ht="26.1" customHeight="1">
      <c r="B12" s="507" t="s">
        <v>86</v>
      </c>
      <c r="C12" s="508"/>
      <c r="D12" s="509" t="s">
        <v>87</v>
      </c>
      <c r="E12" s="510"/>
      <c r="F12" s="508"/>
      <c r="H12" s="507" t="s">
        <v>87</v>
      </c>
      <c r="I12" s="510"/>
      <c r="J12" s="508"/>
      <c r="L12"/>
      <c r="M12"/>
      <c r="N12"/>
    </row>
    <row r="13" spans="2:14" s="37" customFormat="1" ht="26.1" customHeight="1">
      <c r="B13" s="128" t="s">
        <v>82</v>
      </c>
      <c r="C13" s="129" t="s">
        <v>88</v>
      </c>
      <c r="D13" s="143" t="s">
        <v>89</v>
      </c>
      <c r="E13" s="130" t="s">
        <v>90</v>
      </c>
      <c r="F13" s="129" t="s">
        <v>91</v>
      </c>
      <c r="H13" s="128" t="s">
        <v>89</v>
      </c>
      <c r="I13" s="130" t="s">
        <v>90</v>
      </c>
      <c r="J13" s="129" t="s">
        <v>91</v>
      </c>
      <c r="L13"/>
      <c r="M13"/>
      <c r="N13"/>
    </row>
    <row r="14" spans="2:14" s="37" customFormat="1" ht="26.1" customHeight="1">
      <c r="B14" s="148">
        <f>$C$6+C14/1440</f>
        <v>44753.864583333328</v>
      </c>
      <c r="C14" s="72">
        <v>5</v>
      </c>
      <c r="D14" s="149">
        <f t="shared" ref="D14:D20" si="0">baseTemp+H14</f>
        <v>14.799999999999999</v>
      </c>
      <c r="E14" s="150">
        <f>$C$8+I14</f>
        <v>208</v>
      </c>
      <c r="F14" s="132">
        <f>$C$9+J14</f>
        <v>6.59</v>
      </c>
      <c r="H14" s="69">
        <v>0.2</v>
      </c>
      <c r="I14" s="70">
        <v>-3</v>
      </c>
      <c r="J14" s="71">
        <v>-0.11</v>
      </c>
      <c r="L14"/>
      <c r="M14"/>
      <c r="N14"/>
    </row>
    <row r="15" spans="2:14" s="37" customFormat="1" ht="26.1" customHeight="1">
      <c r="B15" s="151">
        <f t="shared" ref="B15:B23" si="1">$C$6+C15/1440</f>
        <v>44753.881944444445</v>
      </c>
      <c r="C15" s="71">
        <v>30</v>
      </c>
      <c r="D15" s="152">
        <f t="shared" si="0"/>
        <v>14.4</v>
      </c>
      <c r="E15" s="153">
        <f t="shared" ref="E15:E20" si="2">$C$8+I15</f>
        <v>214</v>
      </c>
      <c r="F15" s="134">
        <f t="shared" ref="F15:F20" si="3">$C$9+J15</f>
        <v>6.8</v>
      </c>
      <c r="H15" s="69">
        <v>-0.2</v>
      </c>
      <c r="I15" s="70">
        <v>3</v>
      </c>
      <c r="J15" s="71">
        <v>0.1</v>
      </c>
      <c r="L15"/>
      <c r="M15"/>
      <c r="N15"/>
    </row>
    <row r="16" spans="2:14" s="37" customFormat="1" ht="26.1" customHeight="1">
      <c r="B16" s="151">
        <f t="shared" si="1"/>
        <v>44753.902777777774</v>
      </c>
      <c r="C16" s="71">
        <v>60</v>
      </c>
      <c r="D16" s="152">
        <f t="shared" si="0"/>
        <v>14.4</v>
      </c>
      <c r="E16" s="153">
        <f t="shared" si="2"/>
        <v>213</v>
      </c>
      <c r="F16" s="134">
        <f t="shared" si="3"/>
        <v>6.61</v>
      </c>
      <c r="H16" s="69">
        <v>-0.2</v>
      </c>
      <c r="I16" s="70">
        <v>2</v>
      </c>
      <c r="J16" s="71">
        <v>-0.09</v>
      </c>
      <c r="L16"/>
      <c r="M16"/>
      <c r="N16"/>
    </row>
    <row r="17" spans="2:14" s="37" customFormat="1" ht="26.1" customHeight="1">
      <c r="B17" s="151">
        <f t="shared" si="1"/>
        <v>44753.944444444445</v>
      </c>
      <c r="C17" s="71">
        <v>120</v>
      </c>
      <c r="D17" s="152">
        <f t="shared" si="0"/>
        <v>14.9</v>
      </c>
      <c r="E17" s="153">
        <f t="shared" si="2"/>
        <v>209</v>
      </c>
      <c r="F17" s="134">
        <f t="shared" si="3"/>
        <v>6.58</v>
      </c>
      <c r="H17" s="69">
        <v>0.3</v>
      </c>
      <c r="I17" s="70">
        <v>-2</v>
      </c>
      <c r="J17" s="71">
        <v>-0.12</v>
      </c>
      <c r="L17"/>
      <c r="M17"/>
      <c r="N17"/>
    </row>
    <row r="18" spans="2:14" s="37" customFormat="1" ht="26.1" customHeight="1">
      <c r="B18" s="151">
        <f t="shared" si="1"/>
        <v>44754.027777777774</v>
      </c>
      <c r="C18" s="71">
        <v>240</v>
      </c>
      <c r="D18" s="152">
        <f t="shared" si="0"/>
        <v>14.299999999999999</v>
      </c>
      <c r="E18" s="153">
        <f t="shared" si="2"/>
        <v>210</v>
      </c>
      <c r="F18" s="134">
        <f t="shared" si="3"/>
        <v>6.63</v>
      </c>
      <c r="H18" s="69">
        <v>-0.3</v>
      </c>
      <c r="I18" s="70">
        <v>-1</v>
      </c>
      <c r="J18" s="71">
        <v>-7.0000000000000007E-2</v>
      </c>
      <c r="L18"/>
      <c r="M18"/>
      <c r="N18"/>
    </row>
    <row r="19" spans="2:14" s="37" customFormat="1" ht="26.1" customHeight="1">
      <c r="B19" s="151">
        <f t="shared" si="1"/>
        <v>44754.194444444445</v>
      </c>
      <c r="C19" s="71">
        <v>480</v>
      </c>
      <c r="D19" s="154">
        <f t="shared" si="0"/>
        <v>14.799999999999999</v>
      </c>
      <c r="E19" s="153">
        <f t="shared" si="2"/>
        <v>213</v>
      </c>
      <c r="F19" s="134">
        <f t="shared" si="3"/>
        <v>6.6000000000000005</v>
      </c>
      <c r="H19" s="69">
        <v>0.2</v>
      </c>
      <c r="I19" s="70">
        <v>2</v>
      </c>
      <c r="J19" s="71">
        <v>-0.1</v>
      </c>
      <c r="L19"/>
      <c r="M19"/>
      <c r="N19"/>
    </row>
    <row r="20" spans="2:14" s="38" customFormat="1" ht="26.1" customHeight="1">
      <c r="B20" s="151">
        <f t="shared" si="1"/>
        <v>44754.861111111109</v>
      </c>
      <c r="C20" s="71">
        <v>1440</v>
      </c>
      <c r="D20" s="152">
        <f t="shared" si="0"/>
        <v>14.799999999999999</v>
      </c>
      <c r="E20" s="153">
        <f t="shared" si="2"/>
        <v>208</v>
      </c>
      <c r="F20" s="134">
        <f t="shared" si="3"/>
        <v>6.79</v>
      </c>
      <c r="H20" s="69">
        <v>0.2</v>
      </c>
      <c r="I20" s="70">
        <v>-3</v>
      </c>
      <c r="J20" s="71">
        <v>0.09</v>
      </c>
      <c r="L20"/>
      <c r="M20"/>
      <c r="N20"/>
    </row>
    <row r="21" spans="2:14" s="38" customFormat="1" ht="26.1" customHeight="1">
      <c r="B21" s="151">
        <f t="shared" si="1"/>
        <v>44755.027777777774</v>
      </c>
      <c r="C21" s="71">
        <v>1680</v>
      </c>
      <c r="D21" s="152">
        <f>$D$20</f>
        <v>14.799999999999999</v>
      </c>
      <c r="E21" s="153">
        <f>$E$20</f>
        <v>208</v>
      </c>
      <c r="F21" s="134">
        <f>$F$20</f>
        <v>6.79</v>
      </c>
      <c r="H21" s="69">
        <v>0.1</v>
      </c>
      <c r="I21" s="70">
        <v>-1</v>
      </c>
      <c r="J21" s="71">
        <v>-0.11</v>
      </c>
      <c r="L21"/>
      <c r="M21"/>
      <c r="N21"/>
    </row>
    <row r="22" spans="2:14" s="38" customFormat="1" ht="26.1" customHeight="1">
      <c r="B22" s="151">
        <f t="shared" si="1"/>
        <v>44755.194444444445</v>
      </c>
      <c r="C22" s="71">
        <v>1920</v>
      </c>
      <c r="D22" s="152">
        <f t="shared" ref="D22:D23" si="4">$D$20</f>
        <v>14.799999999999999</v>
      </c>
      <c r="E22" s="153">
        <f t="shared" ref="E22:E23" si="5">$E$20</f>
        <v>208</v>
      </c>
      <c r="F22" s="134">
        <f t="shared" ref="F22:F23" si="6">$F$20</f>
        <v>6.79</v>
      </c>
      <c r="H22" s="69">
        <v>0.2</v>
      </c>
      <c r="I22" s="70">
        <v>-1</v>
      </c>
      <c r="J22" s="71">
        <v>0.12</v>
      </c>
      <c r="L22"/>
      <c r="M22"/>
      <c r="N22"/>
    </row>
    <row r="23" spans="2:14" s="38" customFormat="1" ht="26.1" customHeight="1" thickBot="1">
      <c r="B23" s="151">
        <f t="shared" si="1"/>
        <v>44755.861111111109</v>
      </c>
      <c r="C23" s="71">
        <v>2880</v>
      </c>
      <c r="D23" s="152">
        <f t="shared" si="4"/>
        <v>14.799999999999999</v>
      </c>
      <c r="E23" s="153">
        <f t="shared" si="5"/>
        <v>208</v>
      </c>
      <c r="F23" s="134">
        <f t="shared" si="6"/>
        <v>6.79</v>
      </c>
      <c r="H23" s="75">
        <v>-0.1</v>
      </c>
      <c r="I23" s="73">
        <v>-1</v>
      </c>
      <c r="J23" s="74">
        <v>0.12</v>
      </c>
      <c r="L23"/>
      <c r="M23"/>
      <c r="N23"/>
    </row>
    <row r="24" spans="2:14" s="38" customFormat="1" ht="26.1" customHeight="1">
      <c r="B24" s="511" t="s">
        <v>36</v>
      </c>
      <c r="C24" s="512"/>
      <c r="D24" s="143">
        <f>MAX(D14:D23)</f>
        <v>14.9</v>
      </c>
      <c r="E24" s="130">
        <f t="shared" ref="E24:F24" si="7">MAX(E14:E23)</f>
        <v>214</v>
      </c>
      <c r="F24" s="129">
        <f t="shared" si="7"/>
        <v>6.8</v>
      </c>
      <c r="H24" s="37"/>
      <c r="I24" s="37"/>
      <c r="J24" s="37"/>
    </row>
    <row r="25" spans="2:14" s="38" customFormat="1" ht="26.1" customHeight="1">
      <c r="B25" s="511" t="s">
        <v>37</v>
      </c>
      <c r="C25" s="512"/>
      <c r="D25" s="143">
        <f>MIN(D14:D23)</f>
        <v>14.299999999999999</v>
      </c>
      <c r="E25" s="130">
        <f t="shared" ref="E25:F25" si="8">MIN(E14:E23)</f>
        <v>208</v>
      </c>
      <c r="F25" s="129">
        <f t="shared" si="8"/>
        <v>6.58</v>
      </c>
      <c r="H25" s="37"/>
      <c r="I25" s="37"/>
      <c r="J25" s="37"/>
    </row>
    <row r="26" spans="2:14" s="38" customFormat="1" ht="26.1" customHeight="1" thickBot="1">
      <c r="B26" s="505" t="s">
        <v>92</v>
      </c>
      <c r="C26" s="506"/>
      <c r="D26" s="144">
        <f>D24-D25</f>
        <v>0.60000000000000142</v>
      </c>
      <c r="E26" s="137">
        <f t="shared" ref="E26:F26" si="9">E24-E25</f>
        <v>6</v>
      </c>
      <c r="F26" s="138">
        <f t="shared" si="9"/>
        <v>0.21999999999999975</v>
      </c>
      <c r="H26" s="37"/>
      <c r="I26" s="37"/>
      <c r="J26" s="37"/>
    </row>
    <row r="27" spans="2:14" s="38" customFormat="1" ht="18" customHeight="1">
      <c r="E27" s="37"/>
      <c r="F27" s="37"/>
    </row>
    <row r="28" spans="2:14" s="38" customFormat="1" ht="18" customHeight="1">
      <c r="E28" s="37"/>
      <c r="F28" s="37"/>
    </row>
    <row r="29" spans="2:14" s="38" customFormat="1" ht="18" customHeight="1">
      <c r="E29" s="37"/>
      <c r="F29" s="37"/>
    </row>
    <row r="30" spans="2:14" s="38" customFormat="1" ht="18" customHeight="1">
      <c r="E30" s="37"/>
      <c r="F30" s="37"/>
    </row>
    <row r="31" spans="2:14" s="38" customFormat="1" ht="18" customHeight="1">
      <c r="E31" s="37"/>
      <c r="F31" s="37"/>
    </row>
    <row r="32" spans="2:14" s="38" customFormat="1" ht="18" customHeight="1">
      <c r="E32" s="37"/>
      <c r="F32" s="37"/>
    </row>
    <row r="33" spans="5:6" s="38" customFormat="1" ht="18" customHeight="1">
      <c r="E33" s="37"/>
      <c r="F33" s="37"/>
    </row>
    <row r="34" spans="5:6" s="38" customFormat="1" ht="18" customHeight="1">
      <c r="E34" s="37"/>
      <c r="F34" s="37"/>
    </row>
    <row r="35" spans="5:6" s="38" customFormat="1" ht="18" customHeight="1">
      <c r="E35" s="37"/>
      <c r="F35" s="37"/>
    </row>
    <row r="36" spans="5:6" s="38" customFormat="1" ht="18" customHeight="1">
      <c r="E36" s="37"/>
      <c r="F36" s="37"/>
    </row>
    <row r="37" spans="5:6" s="38" customFormat="1" ht="18" customHeight="1">
      <c r="E37" s="37"/>
      <c r="F37" s="37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5" r:id="rId4" name="CommandButton1">
          <controlPr defaultSize="0" autoLine="0" r:id="rId5">
            <anchor moveWithCells="1">
              <from>
                <xdr:col>4</xdr:col>
                <xdr:colOff>76200</xdr:colOff>
                <xdr:row>5</xdr:row>
                <xdr:rowOff>38100</xdr:rowOff>
              </from>
              <to>
                <xdr:col>6</xdr:col>
                <xdr:colOff>104775</xdr:colOff>
                <xdr:row>6</xdr:row>
                <xdr:rowOff>57150</xdr:rowOff>
              </to>
            </anchor>
          </controlPr>
        </control>
      </mc:Choice>
      <mc:Fallback>
        <control shapeId="129025" r:id="rId4" name="CommandButton1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76200</xdr:colOff>
                <xdr:row>6</xdr:row>
                <xdr:rowOff>104775</xdr:rowOff>
              </from>
              <to>
                <xdr:col>6</xdr:col>
                <xdr:colOff>104775</xdr:colOff>
                <xdr:row>7</xdr:row>
                <xdr:rowOff>114300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7" r:id="rId8" name="CommandButton3">
          <controlPr defaultSize="0" autoLine="0" r:id="rId9">
            <anchor moveWithCells="1">
              <from>
                <xdr:col>4</xdr:col>
                <xdr:colOff>76200</xdr:colOff>
                <xdr:row>7</xdr:row>
                <xdr:rowOff>161925</xdr:rowOff>
              </from>
              <to>
                <xdr:col>6</xdr:col>
                <xdr:colOff>104775</xdr:colOff>
                <xdr:row>8</xdr:row>
                <xdr:rowOff>161925</xdr:rowOff>
              </to>
            </anchor>
          </controlPr>
        </control>
      </mc:Choice>
      <mc:Fallback>
        <control shapeId="129027" r:id="rId8" name="CommandButton3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23">
    <tabColor theme="2" tint="-9.9978637043366805E-2"/>
  </sheetPr>
  <dimension ref="B1:J44"/>
  <sheetViews>
    <sheetView workbookViewId="0">
      <selection activeCell="E4" sqref="E4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1.6640625" style="43" bestFit="1" customWidth="1"/>
    <col min="4" max="4" width="8.77734375" style="43" customWidth="1"/>
    <col min="5" max="6" width="8.77734375" style="44" customWidth="1"/>
    <col min="7" max="13" width="8.77734375" style="43" customWidth="1"/>
    <col min="14" max="16384" width="8.88671875" style="43"/>
  </cols>
  <sheetData>
    <row r="1" spans="2:9" s="38" customFormat="1" ht="18" customHeight="1">
      <c r="E1" s="37"/>
      <c r="F1" s="37"/>
    </row>
    <row r="2" spans="2:9" s="38" customFormat="1" ht="18" customHeight="1">
      <c r="B2" s="38" t="s">
        <v>81</v>
      </c>
      <c r="E2" s="37"/>
      <c r="F2" s="37"/>
    </row>
    <row r="3" spans="2:9" s="38" customFormat="1" ht="18" customHeight="1">
      <c r="E3" s="37"/>
      <c r="F3" s="37"/>
    </row>
    <row r="4" spans="2:9" s="38" customFormat="1" ht="18" customHeight="1">
      <c r="B4" s="145" t="s">
        <v>94</v>
      </c>
      <c r="E4" s="37"/>
      <c r="F4" s="37"/>
    </row>
    <row r="5" spans="2:9" s="38" customFormat="1" ht="18" customHeight="1" thickBot="1">
      <c r="E5" s="37"/>
      <c r="F5" s="37"/>
    </row>
    <row r="6" spans="2:9" s="38" customFormat="1" ht="26.1" customHeight="1">
      <c r="B6" s="438" t="s">
        <v>82</v>
      </c>
      <c r="C6" s="439">
        <v>44753.861111111109</v>
      </c>
      <c r="D6" s="125"/>
      <c r="E6" s="37"/>
      <c r="F6" s="37"/>
    </row>
    <row r="7" spans="2:9" s="38" customFormat="1" ht="26.1" customHeight="1" thickBot="1">
      <c r="B7" s="435" t="s">
        <v>83</v>
      </c>
      <c r="C7" s="440">
        <v>14</v>
      </c>
      <c r="D7" s="125"/>
      <c r="E7" s="37"/>
      <c r="F7" s="37"/>
    </row>
    <row r="8" spans="2:9" s="38" customFormat="1" ht="26.1" customHeight="1">
      <c r="B8" s="432" t="s">
        <v>84</v>
      </c>
      <c r="C8" s="433">
        <v>226</v>
      </c>
      <c r="D8" s="434">
        <v>229</v>
      </c>
      <c r="E8" s="37"/>
      <c r="F8" s="37"/>
    </row>
    <row r="9" spans="2:9" s="38" customFormat="1" ht="26.1" customHeight="1" thickBot="1">
      <c r="B9" s="435" t="s">
        <v>85</v>
      </c>
      <c r="C9" s="436">
        <v>7.9</v>
      </c>
      <c r="D9" s="437">
        <v>7.8</v>
      </c>
      <c r="E9" s="37"/>
      <c r="F9" s="37"/>
    </row>
    <row r="10" spans="2:9" s="38" customFormat="1" ht="26.1" customHeight="1">
      <c r="B10" s="126"/>
      <c r="C10" s="127"/>
      <c r="D10" s="125"/>
      <c r="E10" s="37"/>
      <c r="F10" s="37"/>
    </row>
    <row r="11" spans="2:9" s="38" customFormat="1" ht="18" customHeight="1" thickBot="1">
      <c r="E11" s="37"/>
      <c r="F11" s="37"/>
    </row>
    <row r="12" spans="2:9" s="37" customFormat="1" ht="26.1" customHeight="1">
      <c r="B12" s="507" t="s">
        <v>86</v>
      </c>
      <c r="C12" s="508"/>
      <c r="D12" s="507" t="s">
        <v>87</v>
      </c>
      <c r="E12" s="510"/>
      <c r="F12" s="508"/>
      <c r="G12" s="513" t="s">
        <v>159</v>
      </c>
      <c r="H12" s="514"/>
      <c r="I12" s="515"/>
    </row>
    <row r="13" spans="2:9" s="37" customFormat="1" ht="26.1" customHeight="1">
      <c r="B13" s="128" t="s">
        <v>82</v>
      </c>
      <c r="C13" s="129" t="s">
        <v>88</v>
      </c>
      <c r="D13" s="305" t="s">
        <v>89</v>
      </c>
      <c r="E13" s="306" t="s">
        <v>90</v>
      </c>
      <c r="F13" s="307" t="s">
        <v>91</v>
      </c>
      <c r="G13" s="311" t="s">
        <v>89</v>
      </c>
      <c r="H13" s="312" t="s">
        <v>90</v>
      </c>
      <c r="I13" s="313" t="s">
        <v>91</v>
      </c>
    </row>
    <row r="14" spans="2:9" s="37" customFormat="1" ht="26.1" customHeight="1">
      <c r="B14" s="131">
        <f>$C$6+C14/1440</f>
        <v>44753.864583333328</v>
      </c>
      <c r="C14" s="72">
        <v>5</v>
      </c>
      <c r="D14" s="318">
        <f t="shared" ref="D14:D23" si="0">baseTemp+D31</f>
        <v>14</v>
      </c>
      <c r="E14" s="309">
        <f t="shared" ref="E14:E20" si="1">$C$8+E31</f>
        <v>223</v>
      </c>
      <c r="F14" s="310">
        <f t="shared" ref="F14:F20" si="2">$C$9+F31</f>
        <v>7.83</v>
      </c>
      <c r="G14" s="318">
        <f t="shared" ref="G14:G20" si="3">baseTemp+H31</f>
        <v>14</v>
      </c>
      <c r="H14" s="309">
        <f>$D$8+I31</f>
        <v>232</v>
      </c>
      <c r="I14" s="310">
        <f>$D$9+J31</f>
        <v>7.89</v>
      </c>
    </row>
    <row r="15" spans="2:9" s="37" customFormat="1" ht="26.1" customHeight="1">
      <c r="B15" s="133">
        <f t="shared" ref="B15:B23" si="4">$C$6+C15/1440</f>
        <v>44753.881944444445</v>
      </c>
      <c r="C15" s="71">
        <v>30</v>
      </c>
      <c r="D15" s="318">
        <f t="shared" si="0"/>
        <v>14.1</v>
      </c>
      <c r="E15" s="309">
        <f t="shared" si="1"/>
        <v>224</v>
      </c>
      <c r="F15" s="310">
        <f t="shared" si="2"/>
        <v>7.82</v>
      </c>
      <c r="G15" s="318">
        <f t="shared" si="3"/>
        <v>14</v>
      </c>
      <c r="H15" s="309">
        <f t="shared" ref="H15:H20" si="5">$D$8+I32</f>
        <v>226</v>
      </c>
      <c r="I15" s="310">
        <f t="shared" ref="I15:I20" si="6">$D$9+J32</f>
        <v>7.71</v>
      </c>
    </row>
    <row r="16" spans="2:9" s="37" customFormat="1" ht="26.1" customHeight="1">
      <c r="B16" s="133">
        <f t="shared" si="4"/>
        <v>44753.902777777774</v>
      </c>
      <c r="C16" s="71">
        <v>60</v>
      </c>
      <c r="D16" s="318">
        <f t="shared" si="0"/>
        <v>14</v>
      </c>
      <c r="E16" s="309">
        <f t="shared" si="1"/>
        <v>228</v>
      </c>
      <c r="F16" s="310">
        <f t="shared" si="2"/>
        <v>8.01</v>
      </c>
      <c r="G16" s="318">
        <f t="shared" si="3"/>
        <v>13.9</v>
      </c>
      <c r="H16" s="309">
        <f t="shared" si="5"/>
        <v>232</v>
      </c>
      <c r="I16" s="310">
        <f t="shared" si="6"/>
        <v>7.7</v>
      </c>
    </row>
    <row r="17" spans="2:10" s="37" customFormat="1" ht="26.1" customHeight="1">
      <c r="B17" s="133">
        <f t="shared" si="4"/>
        <v>44753.944444444445</v>
      </c>
      <c r="C17" s="71">
        <v>120</v>
      </c>
      <c r="D17" s="318">
        <f t="shared" si="0"/>
        <v>14</v>
      </c>
      <c r="E17" s="309">
        <f t="shared" si="1"/>
        <v>228</v>
      </c>
      <c r="F17" s="310">
        <f t="shared" si="2"/>
        <v>8.01</v>
      </c>
      <c r="G17" s="318">
        <f t="shared" si="3"/>
        <v>13.9</v>
      </c>
      <c r="H17" s="309">
        <f t="shared" si="5"/>
        <v>228</v>
      </c>
      <c r="I17" s="310">
        <f t="shared" si="6"/>
        <v>7.7</v>
      </c>
    </row>
    <row r="18" spans="2:10" s="37" customFormat="1" ht="26.1" customHeight="1">
      <c r="B18" s="133">
        <f t="shared" si="4"/>
        <v>44754.027777777774</v>
      </c>
      <c r="C18" s="71">
        <v>240</v>
      </c>
      <c r="D18" s="318">
        <f t="shared" si="0"/>
        <v>14.1</v>
      </c>
      <c r="E18" s="309">
        <f t="shared" si="1"/>
        <v>227</v>
      </c>
      <c r="F18" s="310">
        <f t="shared" si="2"/>
        <v>8.01</v>
      </c>
      <c r="G18" s="318">
        <f t="shared" si="3"/>
        <v>13.9</v>
      </c>
      <c r="H18" s="309">
        <f t="shared" si="5"/>
        <v>230</v>
      </c>
      <c r="I18" s="310">
        <f t="shared" si="6"/>
        <v>7.7</v>
      </c>
    </row>
    <row r="19" spans="2:10" s="37" customFormat="1" ht="26.1" customHeight="1">
      <c r="B19" s="133">
        <f t="shared" si="4"/>
        <v>44754.194444444445</v>
      </c>
      <c r="C19" s="71">
        <v>480</v>
      </c>
      <c r="D19" s="318">
        <f t="shared" si="0"/>
        <v>14</v>
      </c>
      <c r="E19" s="309">
        <f t="shared" si="1"/>
        <v>225</v>
      </c>
      <c r="F19" s="310">
        <f t="shared" si="2"/>
        <v>7.78</v>
      </c>
      <c r="G19" s="318">
        <f t="shared" si="3"/>
        <v>13.9</v>
      </c>
      <c r="H19" s="309">
        <f t="shared" si="5"/>
        <v>228</v>
      </c>
      <c r="I19" s="310">
        <f t="shared" si="6"/>
        <v>7.92</v>
      </c>
    </row>
    <row r="20" spans="2:10" s="38" customFormat="1" ht="26.1" customHeight="1">
      <c r="B20" s="133">
        <f t="shared" si="4"/>
        <v>44754.861111111109</v>
      </c>
      <c r="C20" s="71">
        <v>1440</v>
      </c>
      <c r="D20" s="318">
        <f t="shared" si="0"/>
        <v>14.1</v>
      </c>
      <c r="E20" s="309">
        <f t="shared" si="1"/>
        <v>227</v>
      </c>
      <c r="F20" s="310">
        <f t="shared" si="2"/>
        <v>7.9700000000000006</v>
      </c>
      <c r="G20" s="318">
        <f t="shared" si="3"/>
        <v>13.9</v>
      </c>
      <c r="H20" s="309">
        <f t="shared" si="5"/>
        <v>227</v>
      </c>
      <c r="I20" s="310">
        <f t="shared" si="6"/>
        <v>7.7299999999999995</v>
      </c>
    </row>
    <row r="21" spans="2:10" s="38" customFormat="1" ht="26.1" customHeight="1">
      <c r="B21" s="133">
        <f t="shared" si="4"/>
        <v>44755.027777777774</v>
      </c>
      <c r="C21" s="71">
        <v>1680</v>
      </c>
      <c r="D21" s="318">
        <f t="shared" si="0"/>
        <v>14</v>
      </c>
      <c r="E21" s="309">
        <f>$E$20</f>
        <v>227</v>
      </c>
      <c r="F21" s="310">
        <f>$F$20</f>
        <v>7.9700000000000006</v>
      </c>
      <c r="G21" s="318">
        <f>$G$20</f>
        <v>13.9</v>
      </c>
      <c r="H21" s="309">
        <f>$H$20</f>
        <v>227</v>
      </c>
      <c r="I21" s="310">
        <f>$I$20</f>
        <v>7.7299999999999995</v>
      </c>
    </row>
    <row r="22" spans="2:10" s="38" customFormat="1" ht="26.1" customHeight="1">
      <c r="B22" s="133">
        <f t="shared" si="4"/>
        <v>44755.194444444445</v>
      </c>
      <c r="C22" s="71">
        <v>1920</v>
      </c>
      <c r="D22" s="318">
        <f t="shared" si="0"/>
        <v>14</v>
      </c>
      <c r="E22" s="309">
        <f t="shared" ref="E22:E23" si="7">$E$20</f>
        <v>227</v>
      </c>
      <c r="F22" s="310">
        <f t="shared" ref="F22:F23" si="8">$F$20</f>
        <v>7.9700000000000006</v>
      </c>
      <c r="G22" s="318">
        <f t="shared" ref="G22:G23" si="9">$G$20</f>
        <v>13.9</v>
      </c>
      <c r="H22" s="309">
        <f t="shared" ref="H22:H23" si="10">$H$20</f>
        <v>227</v>
      </c>
      <c r="I22" s="310">
        <f t="shared" ref="I22:I23" si="11">$I$20</f>
        <v>7.7299999999999995</v>
      </c>
    </row>
    <row r="23" spans="2:10" s="38" customFormat="1" ht="26.1" customHeight="1">
      <c r="B23" s="135">
        <f t="shared" si="4"/>
        <v>44755.861111111109</v>
      </c>
      <c r="C23" s="136">
        <v>2880</v>
      </c>
      <c r="D23" s="318">
        <f t="shared" si="0"/>
        <v>14</v>
      </c>
      <c r="E23" s="309">
        <f t="shared" si="7"/>
        <v>227</v>
      </c>
      <c r="F23" s="310">
        <f t="shared" si="8"/>
        <v>7.9700000000000006</v>
      </c>
      <c r="G23" s="318">
        <f t="shared" si="9"/>
        <v>13.9</v>
      </c>
      <c r="H23" s="309">
        <f t="shared" si="10"/>
        <v>227</v>
      </c>
      <c r="I23" s="310">
        <f t="shared" si="11"/>
        <v>7.7299999999999995</v>
      </c>
    </row>
    <row r="24" spans="2:10" s="38" customFormat="1" ht="26.1" customHeight="1">
      <c r="B24" s="511" t="s">
        <v>36</v>
      </c>
      <c r="C24" s="512"/>
      <c r="D24" s="311">
        <f>MAX(D14:D23)</f>
        <v>14.1</v>
      </c>
      <c r="E24" s="312">
        <f t="shared" ref="E24:F24" si="12">MAX(E14:E23)</f>
        <v>228</v>
      </c>
      <c r="F24" s="313">
        <f t="shared" si="12"/>
        <v>8.01</v>
      </c>
      <c r="G24" s="311">
        <f>MAX(G14:G23)</f>
        <v>14</v>
      </c>
      <c r="H24" s="312">
        <f t="shared" ref="H24:I24" si="13">MAX(H14:H23)</f>
        <v>232</v>
      </c>
      <c r="I24" s="313">
        <f t="shared" si="13"/>
        <v>7.92</v>
      </c>
      <c r="J24" s="37"/>
    </row>
    <row r="25" spans="2:10" s="38" customFormat="1" ht="26.1" customHeight="1">
      <c r="B25" s="511" t="s">
        <v>37</v>
      </c>
      <c r="C25" s="512"/>
      <c r="D25" s="311">
        <f>MIN(D14:D23)</f>
        <v>14</v>
      </c>
      <c r="E25" s="312">
        <f t="shared" ref="E25:F25" si="14">MIN(E14:E23)</f>
        <v>223</v>
      </c>
      <c r="F25" s="314">
        <f t="shared" si="14"/>
        <v>7.78</v>
      </c>
      <c r="G25" s="311">
        <f>MIN(G14:G23)</f>
        <v>13.9</v>
      </c>
      <c r="H25" s="312">
        <f t="shared" ref="H25:I25" si="15">MIN(H14:H23)</f>
        <v>226</v>
      </c>
      <c r="I25" s="313">
        <f t="shared" si="15"/>
        <v>7.7</v>
      </c>
      <c r="J25" s="37"/>
    </row>
    <row r="26" spans="2:10" s="38" customFormat="1" ht="26.1" customHeight="1" thickBot="1">
      <c r="B26" s="505" t="s">
        <v>92</v>
      </c>
      <c r="C26" s="506"/>
      <c r="D26" s="315">
        <f>D24-D25</f>
        <v>9.9999999999999645E-2</v>
      </c>
      <c r="E26" s="316">
        <f t="shared" ref="E26:F26" si="16">E24-E25</f>
        <v>5</v>
      </c>
      <c r="F26" s="317">
        <f t="shared" si="16"/>
        <v>0.22999999999999954</v>
      </c>
      <c r="G26" s="315">
        <f>G24-G25</f>
        <v>9.9999999999999645E-2</v>
      </c>
      <c r="H26" s="316">
        <f t="shared" ref="H26:I26" si="17">H24-H25</f>
        <v>6</v>
      </c>
      <c r="I26" s="317">
        <f t="shared" si="17"/>
        <v>0.21999999999999975</v>
      </c>
      <c r="J26" s="37"/>
    </row>
    <row r="27" spans="2:10" s="38" customFormat="1" ht="18" customHeight="1">
      <c r="E27" s="37"/>
      <c r="F27" s="37"/>
    </row>
    <row r="28" spans="2:10" s="38" customFormat="1" ht="18" customHeight="1" thickBot="1">
      <c r="E28" s="37"/>
      <c r="F28" s="37"/>
    </row>
    <row r="29" spans="2:10" s="38" customFormat="1" ht="18" customHeight="1">
      <c r="D29" s="507" t="s">
        <v>87</v>
      </c>
      <c r="E29" s="510"/>
      <c r="F29" s="508"/>
      <c r="H29" s="507" t="s">
        <v>159</v>
      </c>
      <c r="I29" s="510"/>
      <c r="J29" s="508"/>
    </row>
    <row r="30" spans="2:10" s="38" customFormat="1" ht="18" customHeight="1">
      <c r="D30" s="128" t="s">
        <v>89</v>
      </c>
      <c r="E30" s="130" t="s">
        <v>90</v>
      </c>
      <c r="F30" s="129" t="s">
        <v>91</v>
      </c>
      <c r="H30" s="128" t="s">
        <v>89</v>
      </c>
      <c r="I30" s="130" t="s">
        <v>90</v>
      </c>
      <c r="J30" s="129" t="s">
        <v>91</v>
      </c>
    </row>
    <row r="31" spans="2:10" s="38" customFormat="1" ht="18" customHeight="1">
      <c r="D31" s="139">
        <v>0</v>
      </c>
      <c r="E31" s="70">
        <v>-3</v>
      </c>
      <c r="F31" s="140">
        <v>-7.0000000000000007E-2</v>
      </c>
      <c r="H31" s="139">
        <v>0</v>
      </c>
      <c r="I31" s="70">
        <v>3</v>
      </c>
      <c r="J31" s="140">
        <v>0.09</v>
      </c>
    </row>
    <row r="32" spans="2:10" s="38" customFormat="1" ht="18" customHeight="1">
      <c r="D32" s="139">
        <v>0.1</v>
      </c>
      <c r="E32" s="70">
        <v>-2</v>
      </c>
      <c r="F32" s="140">
        <v>-0.08</v>
      </c>
      <c r="H32" s="139">
        <v>0</v>
      </c>
      <c r="I32" s="70">
        <v>-3</v>
      </c>
      <c r="J32" s="140">
        <v>-0.09</v>
      </c>
    </row>
    <row r="33" spans="4:10" s="38" customFormat="1" ht="18" customHeight="1">
      <c r="D33" s="139">
        <v>0</v>
      </c>
      <c r="E33" s="70">
        <v>2</v>
      </c>
      <c r="F33" s="140">
        <v>0.11</v>
      </c>
      <c r="H33" s="139">
        <v>-0.1</v>
      </c>
      <c r="I33" s="70">
        <v>3</v>
      </c>
      <c r="J33" s="140">
        <v>-0.1</v>
      </c>
    </row>
    <row r="34" spans="4:10" s="38" customFormat="1" ht="18" customHeight="1">
      <c r="D34" s="139">
        <v>0</v>
      </c>
      <c r="E34" s="70">
        <v>2</v>
      </c>
      <c r="F34" s="140">
        <v>0.11</v>
      </c>
      <c r="H34" s="139">
        <v>-0.1</v>
      </c>
      <c r="I34" s="70">
        <v>-1</v>
      </c>
      <c r="J34" s="140">
        <v>-0.1</v>
      </c>
    </row>
    <row r="35" spans="4:10" s="38" customFormat="1" ht="18" customHeight="1">
      <c r="D35" s="139">
        <v>0.1</v>
      </c>
      <c r="E35" s="70">
        <v>1</v>
      </c>
      <c r="F35" s="140">
        <v>0.11</v>
      </c>
      <c r="H35" s="139">
        <v>-0.1</v>
      </c>
      <c r="I35" s="70">
        <v>1</v>
      </c>
      <c r="J35" s="140">
        <v>-0.1</v>
      </c>
    </row>
    <row r="36" spans="4:10" s="38" customFormat="1" ht="18" customHeight="1">
      <c r="D36" s="139">
        <v>0</v>
      </c>
      <c r="E36" s="70">
        <v>-1</v>
      </c>
      <c r="F36" s="140">
        <v>-0.12</v>
      </c>
      <c r="H36" s="139">
        <v>-0.1</v>
      </c>
      <c r="I36" s="70">
        <v>-1</v>
      </c>
      <c r="J36" s="140">
        <v>0.12</v>
      </c>
    </row>
    <row r="37" spans="4:10" s="38" customFormat="1" ht="18" customHeight="1">
      <c r="D37" s="139">
        <v>0.1</v>
      </c>
      <c r="E37" s="70">
        <v>1</v>
      </c>
      <c r="F37" s="140">
        <v>7.0000000000000007E-2</v>
      </c>
      <c r="H37" s="139">
        <v>-0.1</v>
      </c>
      <c r="I37" s="70">
        <v>-2</v>
      </c>
      <c r="J37" s="140">
        <v>-7.0000000000000007E-2</v>
      </c>
    </row>
    <row r="38" spans="4:10" ht="18" customHeight="1">
      <c r="D38" s="139">
        <v>0</v>
      </c>
      <c r="E38" s="70">
        <v>-1</v>
      </c>
      <c r="F38" s="140">
        <v>0.12</v>
      </c>
      <c r="H38" s="139">
        <v>0.1</v>
      </c>
      <c r="I38" s="70">
        <v>-1</v>
      </c>
      <c r="J38" s="140">
        <v>0.08</v>
      </c>
    </row>
    <row r="39" spans="4:10" ht="18" customHeight="1">
      <c r="D39" s="139">
        <v>0</v>
      </c>
      <c r="E39" s="70">
        <v>1</v>
      </c>
      <c r="F39" s="140">
        <v>0.11</v>
      </c>
      <c r="H39" s="139">
        <v>-0.1</v>
      </c>
      <c r="I39" s="70">
        <v>-2</v>
      </c>
      <c r="J39" s="140">
        <v>0.09</v>
      </c>
    </row>
    <row r="40" spans="4:10" ht="18" customHeight="1" thickBot="1">
      <c r="D40" s="141">
        <v>0</v>
      </c>
      <c r="E40" s="73">
        <v>-3</v>
      </c>
      <c r="F40" s="142">
        <v>-0.11</v>
      </c>
      <c r="H40" s="141">
        <v>-0.1</v>
      </c>
      <c r="I40" s="73">
        <v>-2</v>
      </c>
      <c r="J40" s="142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9" r:id="rId4" name="CommandButton3">
          <controlPr defaultSize="0" autoLine="0" r:id="rId5">
            <anchor moveWithCells="1">
              <from>
                <xdr:col>4</xdr:col>
                <xdr:colOff>133350</xdr:colOff>
                <xdr:row>7</xdr:row>
                <xdr:rowOff>200025</xdr:rowOff>
              </from>
              <to>
                <xdr:col>6</xdr:col>
                <xdr:colOff>647700</xdr:colOff>
                <xdr:row>8</xdr:row>
                <xdr:rowOff>228600</xdr:rowOff>
              </to>
            </anchor>
          </controlPr>
        </control>
      </mc:Choice>
      <mc:Fallback>
        <control shapeId="126979" r:id="rId4" name="CommandButton3"/>
      </mc:Fallback>
    </mc:AlternateContent>
    <mc:AlternateContent xmlns:mc="http://schemas.openxmlformats.org/markup-compatibility/2006">
      <mc:Choice Requires="x14">
        <control shapeId="126977" r:id="rId6" name="CommandButton1">
          <controlPr defaultSize="0" autoLine="0" r:id="rId7">
            <anchor moveWithCells="1">
              <from>
                <xdr:col>4</xdr:col>
                <xdr:colOff>142875</xdr:colOff>
                <xdr:row>5</xdr:row>
                <xdr:rowOff>38100</xdr:rowOff>
              </from>
              <to>
                <xdr:col>6</xdr:col>
                <xdr:colOff>600075</xdr:colOff>
                <xdr:row>6</xdr:row>
                <xdr:rowOff>57150</xdr:rowOff>
              </to>
            </anchor>
          </controlPr>
        </control>
      </mc:Choice>
      <mc:Fallback>
        <control shapeId="126977" r:id="rId6" name="CommandButton1"/>
      </mc:Fallback>
    </mc:AlternateContent>
    <mc:AlternateContent xmlns:mc="http://schemas.openxmlformats.org/markup-compatibility/2006">
      <mc:Choice Requires="x14">
        <control shapeId="126978" r:id="rId8" name="CommandButton2">
          <controlPr defaultSize="0" autoLine="0" r:id="rId9">
            <anchor moveWithCells="1">
              <from>
                <xdr:col>4</xdr:col>
                <xdr:colOff>142875</xdr:colOff>
                <xdr:row>6</xdr:row>
                <xdr:rowOff>114300</xdr:rowOff>
              </from>
              <to>
                <xdr:col>6</xdr:col>
                <xdr:colOff>600075</xdr:colOff>
                <xdr:row>7</xdr:row>
                <xdr:rowOff>133350</xdr:rowOff>
              </to>
            </anchor>
          </controlPr>
        </control>
      </mc:Choice>
      <mc:Fallback>
        <control shapeId="126978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24">
    <tabColor theme="2" tint="-9.9978637043366805E-2"/>
  </sheetPr>
  <dimension ref="B1:N44"/>
  <sheetViews>
    <sheetView workbookViewId="0">
      <selection activeCell="H3" sqref="H3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0.77734375" style="43" bestFit="1" customWidth="1"/>
    <col min="4" max="4" width="7.33203125" style="43" customWidth="1"/>
    <col min="5" max="6" width="7.33203125" style="44" customWidth="1"/>
    <col min="7" max="12" width="7.33203125" style="43" customWidth="1"/>
    <col min="13" max="23" width="6.77734375" style="43" customWidth="1"/>
    <col min="24" max="16384" width="8.88671875" style="43"/>
  </cols>
  <sheetData>
    <row r="1" spans="2:12" s="38" customFormat="1" ht="18" customHeight="1">
      <c r="E1" s="37"/>
      <c r="F1" s="37"/>
    </row>
    <row r="2" spans="2:12" s="38" customFormat="1" ht="18" customHeight="1">
      <c r="B2" s="38" t="s">
        <v>81</v>
      </c>
      <c r="E2" s="37"/>
      <c r="F2" s="37"/>
    </row>
    <row r="3" spans="2:12" s="38" customFormat="1" ht="18" customHeight="1">
      <c r="E3" s="37"/>
      <c r="F3" s="37"/>
    </row>
    <row r="4" spans="2:12" s="38" customFormat="1" ht="18" customHeight="1">
      <c r="B4" s="145" t="s">
        <v>94</v>
      </c>
      <c r="E4" s="37"/>
      <c r="F4" s="37"/>
    </row>
    <row r="5" spans="2:12" s="38" customFormat="1" ht="18" customHeight="1" thickBot="1">
      <c r="E5" s="37"/>
      <c r="F5" s="37"/>
    </row>
    <row r="6" spans="2:12" s="38" customFormat="1" ht="26.1" customHeight="1">
      <c r="B6" s="438" t="s">
        <v>82</v>
      </c>
      <c r="C6" s="439">
        <v>44717.430555555555</v>
      </c>
      <c r="D6" s="125"/>
      <c r="E6" s="125"/>
      <c r="F6" s="37"/>
    </row>
    <row r="7" spans="2:12" s="38" customFormat="1" ht="26.1" customHeight="1" thickBot="1">
      <c r="B7" s="441" t="s">
        <v>83</v>
      </c>
      <c r="C7" s="442">
        <v>14.7</v>
      </c>
      <c r="D7" s="125"/>
      <c r="E7" s="125"/>
      <c r="F7" s="37"/>
    </row>
    <row r="8" spans="2:12" s="38" customFormat="1" ht="26.1" customHeight="1">
      <c r="B8" s="432" t="s">
        <v>84</v>
      </c>
      <c r="C8" s="433">
        <v>197</v>
      </c>
      <c r="D8" s="443">
        <v>197</v>
      </c>
      <c r="E8" s="434">
        <v>194</v>
      </c>
      <c r="F8" s="37"/>
    </row>
    <row r="9" spans="2:12" s="38" customFormat="1" ht="26.1" customHeight="1" thickBot="1">
      <c r="B9" s="435" t="s">
        <v>85</v>
      </c>
      <c r="C9" s="436">
        <v>8.4</v>
      </c>
      <c r="D9" s="444">
        <v>8.3000000000000007</v>
      </c>
      <c r="E9" s="437">
        <v>8.4</v>
      </c>
      <c r="F9" s="37"/>
    </row>
    <row r="10" spans="2:12" s="38" customFormat="1" ht="26.1" customHeight="1">
      <c r="B10" s="126"/>
      <c r="C10" s="127"/>
      <c r="D10" s="125"/>
      <c r="E10" s="125"/>
      <c r="F10" s="37"/>
    </row>
    <row r="11" spans="2:12" s="38" customFormat="1" ht="18" customHeight="1" thickBot="1">
      <c r="E11" s="37"/>
      <c r="F11" s="37"/>
    </row>
    <row r="12" spans="2:12" s="37" customFormat="1" ht="27" customHeight="1">
      <c r="B12" s="507" t="s">
        <v>86</v>
      </c>
      <c r="C12" s="508"/>
      <c r="D12" s="513" t="s">
        <v>87</v>
      </c>
      <c r="E12" s="514"/>
      <c r="F12" s="515"/>
      <c r="G12" s="513" t="s">
        <v>159</v>
      </c>
      <c r="H12" s="514"/>
      <c r="I12" s="515"/>
      <c r="J12" s="513" t="s">
        <v>160</v>
      </c>
      <c r="K12" s="514"/>
      <c r="L12" s="515"/>
    </row>
    <row r="13" spans="2:12" s="37" customFormat="1" ht="27" customHeight="1">
      <c r="B13" s="128" t="s">
        <v>82</v>
      </c>
      <c r="C13" s="129" t="s">
        <v>88</v>
      </c>
      <c r="D13" s="311" t="s">
        <v>163</v>
      </c>
      <c r="E13" s="312" t="s">
        <v>173</v>
      </c>
      <c r="F13" s="313" t="s">
        <v>91</v>
      </c>
      <c r="G13" s="311" t="s">
        <v>163</v>
      </c>
      <c r="H13" s="312" t="s">
        <v>173</v>
      </c>
      <c r="I13" s="313" t="s">
        <v>91</v>
      </c>
      <c r="J13" s="311" t="s">
        <v>163</v>
      </c>
      <c r="K13" s="312" t="s">
        <v>173</v>
      </c>
      <c r="L13" s="313" t="s">
        <v>91</v>
      </c>
    </row>
    <row r="14" spans="2:12" s="37" customFormat="1" ht="27" customHeight="1">
      <c r="B14" s="131">
        <f>$C$6+C14/1440</f>
        <v>44717.434027777774</v>
      </c>
      <c r="C14" s="72">
        <v>5</v>
      </c>
      <c r="D14" s="308">
        <f t="shared" ref="D14:D20" si="0">baseTemp+D31</f>
        <v>14.7</v>
      </c>
      <c r="E14" s="309">
        <f t="shared" ref="E14:E20" si="1">$C$8+E31</f>
        <v>194</v>
      </c>
      <c r="F14" s="310">
        <f t="shared" ref="F14:F20" si="2">$C$9+F31</f>
        <v>8.33</v>
      </c>
      <c r="G14" s="318">
        <f t="shared" ref="G14:G20" si="3">baseTemp+H31</f>
        <v>14.7</v>
      </c>
      <c r="H14" s="309">
        <f>$D$8+I31</f>
        <v>200</v>
      </c>
      <c r="I14" s="310">
        <f>$D$9+J31</f>
        <v>8.39</v>
      </c>
      <c r="J14" s="318">
        <f t="shared" ref="J14:J20" si="4">baseTemp+L31</f>
        <v>14.7</v>
      </c>
      <c r="K14" s="309">
        <f>$E$8+M31</f>
        <v>195</v>
      </c>
      <c r="L14" s="310">
        <f>$E$9+N31</f>
        <v>8.2800000000000011</v>
      </c>
    </row>
    <row r="15" spans="2:12" s="37" customFormat="1" ht="27" customHeight="1">
      <c r="B15" s="133">
        <f t="shared" ref="B15:B23" si="5">$C$6+C15/1440</f>
        <v>44717.451388888891</v>
      </c>
      <c r="C15" s="71">
        <v>30</v>
      </c>
      <c r="D15" s="308">
        <f t="shared" si="0"/>
        <v>14.799999999999999</v>
      </c>
      <c r="E15" s="309">
        <f t="shared" si="1"/>
        <v>195</v>
      </c>
      <c r="F15" s="310">
        <f t="shared" si="2"/>
        <v>8.32</v>
      </c>
      <c r="G15" s="318">
        <f t="shared" si="3"/>
        <v>14.7</v>
      </c>
      <c r="H15" s="309">
        <f t="shared" ref="H15:H20" si="6">$D$8+I32</f>
        <v>194</v>
      </c>
      <c r="I15" s="310">
        <f t="shared" ref="I15:I20" si="7">$D$9+J32</f>
        <v>8.2100000000000009</v>
      </c>
      <c r="J15" s="318">
        <f t="shared" si="4"/>
        <v>14.7</v>
      </c>
      <c r="K15" s="309">
        <f t="shared" ref="K15:K20" si="8">$E$8+M32</f>
        <v>192</v>
      </c>
      <c r="L15" s="310">
        <f t="shared" ref="L15:L20" si="9">$E$9+N32</f>
        <v>8.49</v>
      </c>
    </row>
    <row r="16" spans="2:12" s="37" customFormat="1" ht="27" customHeight="1">
      <c r="B16" s="133">
        <f t="shared" si="5"/>
        <v>44717.472222222219</v>
      </c>
      <c r="C16" s="71">
        <v>60</v>
      </c>
      <c r="D16" s="308">
        <f t="shared" si="0"/>
        <v>14.7</v>
      </c>
      <c r="E16" s="309">
        <f t="shared" si="1"/>
        <v>199</v>
      </c>
      <c r="F16" s="310">
        <f t="shared" si="2"/>
        <v>8.51</v>
      </c>
      <c r="G16" s="318">
        <f t="shared" si="3"/>
        <v>14.6</v>
      </c>
      <c r="H16" s="309">
        <f t="shared" si="6"/>
        <v>200</v>
      </c>
      <c r="I16" s="310">
        <f t="shared" si="7"/>
        <v>8.2000000000000011</v>
      </c>
      <c r="J16" s="318">
        <f t="shared" si="4"/>
        <v>14.799999999999999</v>
      </c>
      <c r="K16" s="309">
        <f t="shared" si="8"/>
        <v>193</v>
      </c>
      <c r="L16" s="310">
        <f t="shared" si="9"/>
        <v>8.51</v>
      </c>
    </row>
    <row r="17" spans="2:14" s="37" customFormat="1" ht="27" customHeight="1">
      <c r="B17" s="133">
        <f t="shared" si="5"/>
        <v>44717.513888888891</v>
      </c>
      <c r="C17" s="71">
        <v>120</v>
      </c>
      <c r="D17" s="308">
        <f t="shared" si="0"/>
        <v>14.7</v>
      </c>
      <c r="E17" s="309">
        <f t="shared" si="1"/>
        <v>199</v>
      </c>
      <c r="F17" s="310">
        <f t="shared" si="2"/>
        <v>8.51</v>
      </c>
      <c r="G17" s="318">
        <f t="shared" si="3"/>
        <v>14.6</v>
      </c>
      <c r="H17" s="309">
        <f t="shared" si="6"/>
        <v>196</v>
      </c>
      <c r="I17" s="310">
        <f t="shared" si="7"/>
        <v>8.2000000000000011</v>
      </c>
      <c r="J17" s="318">
        <f t="shared" si="4"/>
        <v>14.799999999999999</v>
      </c>
      <c r="K17" s="309">
        <f t="shared" si="8"/>
        <v>196</v>
      </c>
      <c r="L17" s="310">
        <f t="shared" si="9"/>
        <v>8.3000000000000007</v>
      </c>
    </row>
    <row r="18" spans="2:14" s="37" customFormat="1" ht="27" customHeight="1">
      <c r="B18" s="133">
        <f t="shared" si="5"/>
        <v>44717.597222222219</v>
      </c>
      <c r="C18" s="71">
        <v>240</v>
      </c>
      <c r="D18" s="308">
        <f t="shared" si="0"/>
        <v>14.799999999999999</v>
      </c>
      <c r="E18" s="309">
        <f t="shared" si="1"/>
        <v>198</v>
      </c>
      <c r="F18" s="310">
        <f t="shared" si="2"/>
        <v>8.51</v>
      </c>
      <c r="G18" s="318">
        <f t="shared" si="3"/>
        <v>14.6</v>
      </c>
      <c r="H18" s="309">
        <f t="shared" si="6"/>
        <v>198</v>
      </c>
      <c r="I18" s="310">
        <f t="shared" si="7"/>
        <v>8.2000000000000011</v>
      </c>
      <c r="J18" s="318">
        <f t="shared" si="4"/>
        <v>14.6</v>
      </c>
      <c r="K18" s="309">
        <f t="shared" si="8"/>
        <v>196</v>
      </c>
      <c r="L18" s="310">
        <f t="shared" si="9"/>
        <v>8.52</v>
      </c>
    </row>
    <row r="19" spans="2:14" s="37" customFormat="1" ht="27" customHeight="1">
      <c r="B19" s="133">
        <f t="shared" si="5"/>
        <v>44717.763888888891</v>
      </c>
      <c r="C19" s="71">
        <v>480</v>
      </c>
      <c r="D19" s="308">
        <f t="shared" si="0"/>
        <v>14.7</v>
      </c>
      <c r="E19" s="309">
        <f t="shared" si="1"/>
        <v>196</v>
      </c>
      <c r="F19" s="310">
        <f t="shared" si="2"/>
        <v>8.2800000000000011</v>
      </c>
      <c r="G19" s="318">
        <f t="shared" si="3"/>
        <v>14.6</v>
      </c>
      <c r="H19" s="309">
        <f t="shared" si="6"/>
        <v>196</v>
      </c>
      <c r="I19" s="310">
        <f t="shared" si="7"/>
        <v>8.42</v>
      </c>
      <c r="J19" s="318">
        <f t="shared" si="4"/>
        <v>14.799999999999999</v>
      </c>
      <c r="K19" s="309">
        <f t="shared" si="8"/>
        <v>191</v>
      </c>
      <c r="L19" s="310">
        <f t="shared" si="9"/>
        <v>8.2800000000000011</v>
      </c>
    </row>
    <row r="20" spans="2:14" s="38" customFormat="1" ht="27" customHeight="1">
      <c r="B20" s="133">
        <f t="shared" si="5"/>
        <v>44718.430555555555</v>
      </c>
      <c r="C20" s="71">
        <v>1440</v>
      </c>
      <c r="D20" s="308">
        <f t="shared" si="0"/>
        <v>14.799999999999999</v>
      </c>
      <c r="E20" s="309">
        <f t="shared" si="1"/>
        <v>198</v>
      </c>
      <c r="F20" s="310">
        <f t="shared" si="2"/>
        <v>8.4700000000000006</v>
      </c>
      <c r="G20" s="318">
        <f t="shared" si="3"/>
        <v>14.6</v>
      </c>
      <c r="H20" s="309">
        <f t="shared" si="6"/>
        <v>195</v>
      </c>
      <c r="I20" s="310">
        <f t="shared" si="7"/>
        <v>8.23</v>
      </c>
      <c r="J20" s="318">
        <f t="shared" si="4"/>
        <v>14.6</v>
      </c>
      <c r="K20" s="309">
        <f t="shared" si="8"/>
        <v>191</v>
      </c>
      <c r="L20" s="310">
        <f t="shared" si="9"/>
        <v>8.33</v>
      </c>
    </row>
    <row r="21" spans="2:14" s="38" customFormat="1" ht="27" customHeight="1">
      <c r="B21" s="133">
        <f t="shared" si="5"/>
        <v>44718.597222222219</v>
      </c>
      <c r="C21" s="71">
        <v>1680</v>
      </c>
      <c r="D21" s="308">
        <f>$D$20</f>
        <v>14.799999999999999</v>
      </c>
      <c r="E21" s="309">
        <f>$E$20</f>
        <v>198</v>
      </c>
      <c r="F21" s="310">
        <f>$F$20</f>
        <v>8.4700000000000006</v>
      </c>
      <c r="G21" s="318">
        <f>$G$20</f>
        <v>14.6</v>
      </c>
      <c r="H21" s="309">
        <f>$H$20</f>
        <v>195</v>
      </c>
      <c r="I21" s="310">
        <f>$I$20</f>
        <v>8.23</v>
      </c>
      <c r="J21" s="318">
        <f>$J$20</f>
        <v>14.6</v>
      </c>
      <c r="K21" s="309">
        <f>$K$20</f>
        <v>191</v>
      </c>
      <c r="L21" s="310">
        <f>$L$20</f>
        <v>8.33</v>
      </c>
    </row>
    <row r="22" spans="2:14" s="38" customFormat="1" ht="27" customHeight="1">
      <c r="B22" s="133">
        <f t="shared" si="5"/>
        <v>44718.763888888891</v>
      </c>
      <c r="C22" s="71">
        <v>1920</v>
      </c>
      <c r="D22" s="308">
        <f t="shared" ref="D22:D23" si="10">$D$20</f>
        <v>14.799999999999999</v>
      </c>
      <c r="E22" s="309">
        <f t="shared" ref="E22:E23" si="11">$E$20</f>
        <v>198</v>
      </c>
      <c r="F22" s="310">
        <f t="shared" ref="F22:F23" si="12">$F$20</f>
        <v>8.4700000000000006</v>
      </c>
      <c r="G22" s="318">
        <f t="shared" ref="G22:G23" si="13">$G$20</f>
        <v>14.6</v>
      </c>
      <c r="H22" s="309">
        <f t="shared" ref="H22:H23" si="14">$H$20</f>
        <v>195</v>
      </c>
      <c r="I22" s="310">
        <f t="shared" ref="I22:I23" si="15">$I$20</f>
        <v>8.23</v>
      </c>
      <c r="J22" s="318">
        <f t="shared" ref="J22:J23" si="16">$J$20</f>
        <v>14.6</v>
      </c>
      <c r="K22" s="309">
        <f t="shared" ref="K22:K23" si="17">$K$20</f>
        <v>191</v>
      </c>
      <c r="L22" s="310">
        <f t="shared" ref="L22:L23" si="18">$L$20</f>
        <v>8.33</v>
      </c>
    </row>
    <row r="23" spans="2:14" s="38" customFormat="1" ht="27" customHeight="1">
      <c r="B23" s="135">
        <f t="shared" si="5"/>
        <v>44719.430555555555</v>
      </c>
      <c r="C23" s="136">
        <v>2880</v>
      </c>
      <c r="D23" s="308">
        <f t="shared" si="10"/>
        <v>14.799999999999999</v>
      </c>
      <c r="E23" s="309">
        <f t="shared" si="11"/>
        <v>198</v>
      </c>
      <c r="F23" s="310">
        <f t="shared" si="12"/>
        <v>8.4700000000000006</v>
      </c>
      <c r="G23" s="318">
        <f t="shared" si="13"/>
        <v>14.6</v>
      </c>
      <c r="H23" s="309">
        <f t="shared" si="14"/>
        <v>195</v>
      </c>
      <c r="I23" s="310">
        <f t="shared" si="15"/>
        <v>8.23</v>
      </c>
      <c r="J23" s="318">
        <f t="shared" si="16"/>
        <v>14.6</v>
      </c>
      <c r="K23" s="309">
        <f t="shared" si="17"/>
        <v>191</v>
      </c>
      <c r="L23" s="310">
        <f t="shared" si="18"/>
        <v>8.33</v>
      </c>
    </row>
    <row r="24" spans="2:14" s="38" customFormat="1" ht="27" customHeight="1">
      <c r="B24" s="511" t="s">
        <v>36</v>
      </c>
      <c r="C24" s="512"/>
      <c r="D24" s="311">
        <f>MAX(D14:D23)</f>
        <v>14.799999999999999</v>
      </c>
      <c r="E24" s="312">
        <f t="shared" ref="E24:F24" si="19">MAX(E14:E23)</f>
        <v>199</v>
      </c>
      <c r="F24" s="313">
        <f t="shared" si="19"/>
        <v>8.51</v>
      </c>
      <c r="G24" s="311">
        <f>MAX(G14:G23)</f>
        <v>14.7</v>
      </c>
      <c r="H24" s="312">
        <f t="shared" ref="H24:I24" si="20">MAX(H14:H23)</f>
        <v>200</v>
      </c>
      <c r="I24" s="313">
        <f t="shared" si="20"/>
        <v>8.42</v>
      </c>
      <c r="J24" s="311">
        <f>MAX(J14:J23)</f>
        <v>14.799999999999999</v>
      </c>
      <c r="K24" s="312">
        <f t="shared" ref="K24:L24" si="21">MAX(K14:K23)</f>
        <v>196</v>
      </c>
      <c r="L24" s="313">
        <f t="shared" si="21"/>
        <v>8.52</v>
      </c>
    </row>
    <row r="25" spans="2:14" s="38" customFormat="1" ht="27" customHeight="1">
      <c r="B25" s="511" t="s">
        <v>37</v>
      </c>
      <c r="C25" s="512"/>
      <c r="D25" s="311">
        <f>MIN(D14:D23)</f>
        <v>14.7</v>
      </c>
      <c r="E25" s="312">
        <f t="shared" ref="E25:F25" si="22">MIN(E14:E23)</f>
        <v>194</v>
      </c>
      <c r="F25" s="313">
        <f t="shared" si="22"/>
        <v>8.2800000000000011</v>
      </c>
      <c r="G25" s="311">
        <f>MIN(G14:G23)</f>
        <v>14.6</v>
      </c>
      <c r="H25" s="312">
        <f t="shared" ref="H25:I25" si="23">MIN(H14:H23)</f>
        <v>194</v>
      </c>
      <c r="I25" s="313">
        <f t="shared" si="23"/>
        <v>8.2000000000000011</v>
      </c>
      <c r="J25" s="311">
        <f>MIN(J14:J23)</f>
        <v>14.6</v>
      </c>
      <c r="K25" s="312">
        <f t="shared" ref="K25:L25" si="24">MIN(K14:K23)</f>
        <v>191</v>
      </c>
      <c r="L25" s="313">
        <f t="shared" si="24"/>
        <v>8.2800000000000011</v>
      </c>
    </row>
    <row r="26" spans="2:14" s="38" customFormat="1" ht="27" customHeight="1" thickBot="1">
      <c r="B26" s="505" t="s">
        <v>92</v>
      </c>
      <c r="C26" s="506"/>
      <c r="D26" s="315">
        <f>D24-D25</f>
        <v>9.9999999999999645E-2</v>
      </c>
      <c r="E26" s="316">
        <f t="shared" ref="E26:F26" si="25">E24-E25</f>
        <v>5</v>
      </c>
      <c r="F26" s="317">
        <f t="shared" si="25"/>
        <v>0.22999999999999865</v>
      </c>
      <c r="G26" s="315">
        <f>G24-G25</f>
        <v>9.9999999999999645E-2</v>
      </c>
      <c r="H26" s="316">
        <f t="shared" ref="H26:I26" si="26">H24-H25</f>
        <v>6</v>
      </c>
      <c r="I26" s="317">
        <f t="shared" si="26"/>
        <v>0.21999999999999886</v>
      </c>
      <c r="J26" s="315">
        <f>J24-J25</f>
        <v>0.19999999999999929</v>
      </c>
      <c r="K26" s="316">
        <f t="shared" ref="K26:L26" si="27">K24-K25</f>
        <v>5</v>
      </c>
      <c r="L26" s="317">
        <f t="shared" si="27"/>
        <v>0.23999999999999844</v>
      </c>
    </row>
    <row r="27" spans="2:14" s="38" customFormat="1" ht="18" customHeight="1">
      <c r="E27" s="37"/>
      <c r="F27" s="37"/>
    </row>
    <row r="28" spans="2:14" s="38" customFormat="1" ht="18" customHeight="1" thickBot="1">
      <c r="E28" s="37"/>
      <c r="F28" s="37"/>
    </row>
    <row r="29" spans="2:14" s="38" customFormat="1" ht="18" customHeight="1">
      <c r="D29" s="507" t="s">
        <v>87</v>
      </c>
      <c r="E29" s="510"/>
      <c r="F29" s="508"/>
      <c r="H29" s="507" t="s">
        <v>159</v>
      </c>
      <c r="I29" s="510"/>
      <c r="J29" s="508"/>
      <c r="L29" s="507" t="s">
        <v>160</v>
      </c>
      <c r="M29" s="510"/>
      <c r="N29" s="508"/>
    </row>
    <row r="30" spans="2:14" s="38" customFormat="1" ht="18" customHeight="1">
      <c r="D30" s="128" t="s">
        <v>164</v>
      </c>
      <c r="E30" s="130" t="s">
        <v>165</v>
      </c>
      <c r="F30" s="129" t="s">
        <v>91</v>
      </c>
      <c r="H30" s="128" t="s">
        <v>164</v>
      </c>
      <c r="I30" s="130" t="s">
        <v>165</v>
      </c>
      <c r="J30" s="129" t="s">
        <v>91</v>
      </c>
      <c r="L30" s="128" t="s">
        <v>164</v>
      </c>
      <c r="M30" s="130" t="s">
        <v>165</v>
      </c>
      <c r="N30" s="129" t="s">
        <v>91</v>
      </c>
    </row>
    <row r="31" spans="2:14" s="38" customFormat="1" ht="18" customHeight="1">
      <c r="D31" s="139">
        <v>0</v>
      </c>
      <c r="E31" s="70">
        <v>-3</v>
      </c>
      <c r="F31" s="140">
        <v>-7.0000000000000007E-2</v>
      </c>
      <c r="H31" s="139">
        <v>0</v>
      </c>
      <c r="I31" s="70">
        <v>3</v>
      </c>
      <c r="J31" s="140">
        <v>0.09</v>
      </c>
      <c r="L31" s="139">
        <v>0</v>
      </c>
      <c r="M31" s="70">
        <v>1</v>
      </c>
      <c r="N31" s="140">
        <v>-0.12</v>
      </c>
    </row>
    <row r="32" spans="2:14" s="38" customFormat="1" ht="18" customHeight="1">
      <c r="D32" s="139">
        <v>0.1</v>
      </c>
      <c r="E32" s="70">
        <v>-2</v>
      </c>
      <c r="F32" s="140">
        <v>-0.08</v>
      </c>
      <c r="H32" s="139">
        <v>0</v>
      </c>
      <c r="I32" s="70">
        <v>-3</v>
      </c>
      <c r="J32" s="140">
        <v>-0.09</v>
      </c>
      <c r="L32" s="139">
        <v>0</v>
      </c>
      <c r="M32" s="70">
        <v>-2</v>
      </c>
      <c r="N32" s="140">
        <v>0.09</v>
      </c>
    </row>
    <row r="33" spans="4:14" s="38" customFormat="1" ht="18" customHeight="1">
      <c r="D33" s="139">
        <v>0</v>
      </c>
      <c r="E33" s="70">
        <v>2</v>
      </c>
      <c r="F33" s="140">
        <v>0.11</v>
      </c>
      <c r="H33" s="139">
        <v>-0.1</v>
      </c>
      <c r="I33" s="70">
        <v>3</v>
      </c>
      <c r="J33" s="140">
        <v>-0.1</v>
      </c>
      <c r="L33" s="139">
        <v>0.1</v>
      </c>
      <c r="M33" s="70">
        <v>-1</v>
      </c>
      <c r="N33" s="140">
        <v>0.11</v>
      </c>
    </row>
    <row r="34" spans="4:14" s="38" customFormat="1" ht="18" customHeight="1">
      <c r="D34" s="139">
        <v>0</v>
      </c>
      <c r="E34" s="70">
        <v>2</v>
      </c>
      <c r="F34" s="140">
        <v>0.11</v>
      </c>
      <c r="H34" s="139">
        <v>-0.1</v>
      </c>
      <c r="I34" s="70">
        <v>-1</v>
      </c>
      <c r="J34" s="140">
        <v>-0.1</v>
      </c>
      <c r="L34" s="139">
        <v>0.1</v>
      </c>
      <c r="M34" s="70">
        <v>2</v>
      </c>
      <c r="N34" s="140">
        <v>-0.1</v>
      </c>
    </row>
    <row r="35" spans="4:14" s="38" customFormat="1" ht="18" customHeight="1">
      <c r="D35" s="139">
        <v>0.1</v>
      </c>
      <c r="E35" s="70">
        <v>1</v>
      </c>
      <c r="F35" s="140">
        <v>0.11</v>
      </c>
      <c r="H35" s="139">
        <v>-0.1</v>
      </c>
      <c r="I35" s="70">
        <v>1</v>
      </c>
      <c r="J35" s="140">
        <v>-0.1</v>
      </c>
      <c r="L35" s="139">
        <v>-0.1</v>
      </c>
      <c r="M35" s="70">
        <v>2</v>
      </c>
      <c r="N35" s="140">
        <v>0.12</v>
      </c>
    </row>
    <row r="36" spans="4:14" s="38" customFormat="1" ht="18" customHeight="1">
      <c r="D36" s="139">
        <v>0</v>
      </c>
      <c r="E36" s="70">
        <v>-1</v>
      </c>
      <c r="F36" s="140">
        <v>-0.12</v>
      </c>
      <c r="H36" s="139">
        <v>-0.1</v>
      </c>
      <c r="I36" s="70">
        <v>-1</v>
      </c>
      <c r="J36" s="140">
        <v>0.12</v>
      </c>
      <c r="L36" s="139">
        <v>0.1</v>
      </c>
      <c r="M36" s="70">
        <v>-3</v>
      </c>
      <c r="N36" s="140">
        <v>-0.12</v>
      </c>
    </row>
    <row r="37" spans="4:14" s="38" customFormat="1" ht="18" customHeight="1">
      <c r="D37" s="139">
        <v>0.1</v>
      </c>
      <c r="E37" s="70">
        <v>1</v>
      </c>
      <c r="F37" s="140">
        <v>7.0000000000000007E-2</v>
      </c>
      <c r="H37" s="139">
        <v>-0.1</v>
      </c>
      <c r="I37" s="70">
        <v>-2</v>
      </c>
      <c r="J37" s="140">
        <v>-7.0000000000000007E-2</v>
      </c>
      <c r="L37" s="139">
        <v>-0.1</v>
      </c>
      <c r="M37" s="70">
        <v>-3</v>
      </c>
      <c r="N37" s="140">
        <v>-7.0000000000000007E-2</v>
      </c>
    </row>
    <row r="38" spans="4:14" ht="18" customHeight="1">
      <c r="D38" s="139">
        <v>0</v>
      </c>
      <c r="E38" s="70">
        <v>-1</v>
      </c>
      <c r="F38" s="140">
        <v>0.12</v>
      </c>
      <c r="H38" s="139">
        <v>0.1</v>
      </c>
      <c r="I38" s="70">
        <v>-1</v>
      </c>
      <c r="J38" s="140">
        <v>0.08</v>
      </c>
      <c r="L38" s="139">
        <v>-0.1</v>
      </c>
      <c r="M38" s="70">
        <v>-1</v>
      </c>
      <c r="N38" s="140">
        <v>0.1</v>
      </c>
    </row>
    <row r="39" spans="4:14" ht="18" customHeight="1">
      <c r="D39" s="139">
        <v>0</v>
      </c>
      <c r="E39" s="70">
        <v>1</v>
      </c>
      <c r="F39" s="140">
        <v>0.11</v>
      </c>
      <c r="H39" s="139">
        <v>-0.1</v>
      </c>
      <c r="I39" s="70">
        <v>-2</v>
      </c>
      <c r="J39" s="140">
        <v>0.09</v>
      </c>
      <c r="L39" s="139">
        <v>0.1</v>
      </c>
      <c r="M39" s="70">
        <v>-1</v>
      </c>
      <c r="N39" s="140">
        <v>0.11</v>
      </c>
    </row>
    <row r="40" spans="4:14" ht="18" customHeight="1" thickBot="1">
      <c r="D40" s="141">
        <v>0</v>
      </c>
      <c r="E40" s="73">
        <v>-3</v>
      </c>
      <c r="F40" s="142">
        <v>-0.11</v>
      </c>
      <c r="H40" s="141">
        <v>-0.1</v>
      </c>
      <c r="I40" s="73">
        <v>-2</v>
      </c>
      <c r="J40" s="142">
        <v>0.09</v>
      </c>
      <c r="L40" s="141">
        <v>0</v>
      </c>
      <c r="M40" s="73">
        <v>-2</v>
      </c>
      <c r="N40" s="142">
        <v>-0.12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3" r:id="rId4" name="CommandButton3">
          <controlPr defaultSize="0" autoLine="0" r:id="rId5">
            <anchor moveWithCells="1">
              <from>
                <xdr:col>5</xdr:col>
                <xdr:colOff>600075</xdr:colOff>
                <xdr:row>7</xdr:row>
                <xdr:rowOff>200025</xdr:rowOff>
              </from>
              <to>
                <xdr:col>9</xdr:col>
                <xdr:colOff>104775</xdr:colOff>
                <xdr:row>8</xdr:row>
                <xdr:rowOff>228600</xdr:rowOff>
              </to>
            </anchor>
          </controlPr>
        </control>
      </mc:Choice>
      <mc:Fallback>
        <control shapeId="128003" r:id="rId4" name="CommandButton3"/>
      </mc:Fallback>
    </mc:AlternateContent>
    <mc:AlternateContent xmlns:mc="http://schemas.openxmlformats.org/markup-compatibility/2006">
      <mc:Choice Requires="x14">
        <control shapeId="128001" r:id="rId6" name="CommandButton1">
          <controlPr defaultSize="0" autoLine="0" autoPict="0" r:id="rId7">
            <anchor moveWithCells="1">
              <from>
                <xdr:col>5</xdr:col>
                <xdr:colOff>590550</xdr:colOff>
                <xdr:row>5</xdr:row>
                <xdr:rowOff>9525</xdr:rowOff>
              </from>
              <to>
                <xdr:col>9</xdr:col>
                <xdr:colOff>104775</xdr:colOff>
                <xdr:row>6</xdr:row>
                <xdr:rowOff>57150</xdr:rowOff>
              </to>
            </anchor>
          </controlPr>
        </control>
      </mc:Choice>
      <mc:Fallback>
        <control shapeId="128001" r:id="rId6" name="CommandButton1"/>
      </mc:Fallback>
    </mc:AlternateContent>
    <mc:AlternateContent xmlns:mc="http://schemas.openxmlformats.org/markup-compatibility/2006">
      <mc:Choice Requires="x14">
        <control shapeId="128002" r:id="rId8" name="CommandButton2">
          <controlPr defaultSize="0" autoLine="0" r:id="rId9">
            <anchor moveWithCells="1">
              <from>
                <xdr:col>5</xdr:col>
                <xdr:colOff>600075</xdr:colOff>
                <xdr:row>6</xdr:row>
                <xdr:rowOff>114300</xdr:rowOff>
              </from>
              <to>
                <xdr:col>9</xdr:col>
                <xdr:colOff>104775</xdr:colOff>
                <xdr:row>7</xdr:row>
                <xdr:rowOff>142875</xdr:rowOff>
              </to>
            </anchor>
          </controlPr>
        </control>
      </mc:Choice>
      <mc:Fallback>
        <control shapeId="128002" r:id="rId8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 지정된 범위</vt:lpstr>
      </vt:variant>
      <vt:variant>
        <vt:i4>13</vt:i4>
      </vt:variant>
    </vt:vector>
  </HeadingPairs>
  <TitlesOfParts>
    <vt:vector size="29" baseType="lpstr">
      <vt:lpstr>All</vt:lpstr>
      <vt:lpstr>Y</vt:lpstr>
      <vt:lpstr>Recharge</vt:lpstr>
      <vt:lpstr>drastic</vt:lpstr>
      <vt:lpstr>location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2023-03-17T03:08:09Z</dcterms:modified>
</cp:coreProperties>
</file>