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17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9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8994439-D298-4916-A8FE-268F624AA835}" xr6:coauthVersionLast="47" xr6:coauthVersionMax="47" xr10:uidLastSave="{00000000-0000-0000-0000-000000000000}"/>
  <bookViews>
    <workbookView xWindow="40140" yWindow="540" windowWidth="29370" windowHeight="19980" tabRatio="598" activeTab="1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Q1" sheetId="100" r:id="rId17"/>
    <sheet name="Q2" sheetId="117" r:id="rId18"/>
    <sheet name="Q3" sheetId="115" r:id="rId19"/>
    <sheet name="p1" sheetId="230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'p1'!$C$7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B23" i="230" l="1"/>
  <c r="L22" i="230"/>
  <c r="K22" i="230"/>
  <c r="J22" i="230"/>
  <c r="I22" i="230"/>
  <c r="H22" i="230"/>
  <c r="G22" i="230"/>
  <c r="F22" i="230"/>
  <c r="E22" i="230"/>
  <c r="D22" i="230"/>
  <c r="B22" i="230"/>
  <c r="L21" i="230"/>
  <c r="B21" i="230"/>
  <c r="L20" i="230"/>
  <c r="L23" i="230" s="1"/>
  <c r="K20" i="230"/>
  <c r="K21" i="230" s="1"/>
  <c r="J20" i="230"/>
  <c r="J21" i="230" s="1"/>
  <c r="I20" i="230"/>
  <c r="I21" i="230" s="1"/>
  <c r="H20" i="230"/>
  <c r="H21" i="230" s="1"/>
  <c r="G20" i="230"/>
  <c r="G21" i="230" s="1"/>
  <c r="F20" i="230"/>
  <c r="F21" i="230" s="1"/>
  <c r="E20" i="230"/>
  <c r="E21" i="230" s="1"/>
  <c r="D20" i="230"/>
  <c r="D21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E16" i="230"/>
  <c r="D16" i="230"/>
  <c r="B16" i="230"/>
  <c r="L15" i="230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E21" i="186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42" i="23"/>
  <c r="D43" i="23" s="1"/>
  <c r="C42" i="23"/>
  <c r="C43" i="23" s="1"/>
  <c r="B42" i="23"/>
  <c r="B43" i="23" s="1"/>
  <c r="J25" i="230" l="1"/>
  <c r="K25" i="230"/>
  <c r="L25" i="230"/>
  <c r="L24" i="230"/>
  <c r="L26" i="230" s="1"/>
  <c r="J24" i="230"/>
  <c r="J26" i="230" s="1"/>
  <c r="K24" i="230"/>
  <c r="K26" i="230" s="1"/>
  <c r="D23" i="230"/>
  <c r="D25" i="230" s="1"/>
  <c r="E23" i="230"/>
  <c r="E25" i="230" s="1"/>
  <c r="F23" i="230"/>
  <c r="F25" i="230" s="1"/>
  <c r="G23" i="230"/>
  <c r="G25" i="230" s="1"/>
  <c r="H23" i="230"/>
  <c r="H25" i="230" s="1"/>
  <c r="I23" i="230"/>
  <c r="I25" i="230" s="1"/>
  <c r="J23" i="230"/>
  <c r="K23" i="230"/>
  <c r="B46" i="23"/>
  <c r="B47" i="23" s="1"/>
  <c r="B49" i="23"/>
  <c r="C49" i="23"/>
  <c r="C46" i="23"/>
  <c r="C47" i="23" s="1"/>
  <c r="D49" i="23"/>
  <c r="D46" i="23"/>
  <c r="D47" i="23" s="1"/>
  <c r="I8" i="52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I24" i="230" l="1"/>
  <c r="I26" i="230" s="1"/>
  <c r="H24" i="230"/>
  <c r="H26" i="230" s="1"/>
  <c r="F24" i="230"/>
  <c r="F26" i="230" s="1"/>
  <c r="E24" i="230"/>
  <c r="E26" i="230" s="1"/>
  <c r="D24" i="230"/>
  <c r="D26" i="230" s="1"/>
  <c r="G24" i="230"/>
  <c r="G26" i="230" s="1"/>
  <c r="E22" i="186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<sst xmlns="http://schemas.openxmlformats.org/spreadsheetml/2006/main" count="827" uniqueCount="413">
  <si>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</si>
  <si>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</si>
  <si>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</si>
  <si>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</si>
  <si>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</si>
  <si>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</si>
  <si>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</si>
  <si>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</si>
  <si>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</si>
  <si>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</si>
  <si>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</si>
  <si>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</si>
  <si>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</si>
  <si>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</si>
  <si>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</si>
  <si>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</si>
  <si>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</si>
  <si>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</si>
  <si>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</si>
  <si>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</si>
  <si>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</si>
  <si>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</si>
  <si>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</si>
  <si>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</si>
  <si>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</si>
  <si>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</si>
  <si>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</si>
  <si>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</si>
  <si>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</si>
  <si>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</si>
  <si>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</si>
  <si>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</si>
  <si>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</si>
  <si>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</si>
  <si>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</si>
  <si>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</si>
  <si>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</si>
  <si>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</si>
  <si>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</si>
  <si>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</si>
  <si>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</si>
  <si>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</si>
  <si>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</si>
  <si>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</si>
  <si>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</si>
  <si>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</si>
  <si>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</si>
  <si>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</si>
  <si>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</si>
  <si>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</si>
  <si>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</si>
  <si>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</si>
  <si>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</si>
  <si>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</si>
  <si>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</si>
  <si>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</si>
  <si>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</si>
  <si>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</si>
  <si>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</si>
  <si>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</si>
  <si>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</si>
  <si>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</si>
  <si>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</si>
  <si>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</si>
  <si>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</si>
  <si>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</si>
  <si>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</si>
  <si>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</si>
  <si>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</si>
  <si>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</si>
  <si>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</si>
  <si>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</si>
  <si>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</si>
  <si>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</si>
  <si>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</si>
  <si>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</si>
  <si>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</si>
  <si>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</si>
  <si>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</si>
  <si>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</si>
  <si>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</si>
  <si>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</si>
  <si>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</si>
  <si>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</si>
  <si>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</si>
  <si>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</si>
  <si>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</si>
  <si>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</si>
  <si>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</si>
  <si>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</si>
  <si>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</si>
  <si>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</si>
  <si>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</si>
  <si>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</si>
  <si>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</si>
  <si>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</si>
  <si>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</si>
  <si>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</si>
  <si>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</si>
  <si>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</si>
  <si>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</si>
  <si>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</si>
  <si>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</si>
  <si>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</si>
  <si>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</si>
  <si>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</si>
  <si>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</si>
  <si>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</si>
  <si>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</si>
  <si>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</si>
  <si>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</si>
  <si>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</si>
  <si>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</si>
  <si>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</si>
  <si>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</si>
  <si>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</si>
  <si>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</si>
  <si>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</si>
  <si>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</si>
  <si>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</si>
  <si>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</si>
  <si>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</si>
  <si>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</si>
  <si>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</si>
  <si>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</si>
  <si>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</si>
  <si>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</si>
  <si>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</si>
  <si>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</si>
  <si>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</si>
  <si>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</si>
  <si>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</si>
  <si>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</si>
  <si>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</si>
  <si>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</si>
  <si>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</si>
  <si>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</si>
  <si>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</si>
  <si>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</si>
  <si>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</si>
  <si>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</si>
  <si>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</si>
  <si>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</si>
  <si>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</si>
  <si>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</si>
  <si>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</si>
  <si>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</si>
  <si>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</si>
  <si>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</si>
  <si>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</si>
  <si>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</si>
  <si>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</si>
  <si>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</si>
  <si>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</si>
  <si>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</si>
  <si>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</si>
  <si>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</si>
  <si>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</si>
  <si>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</si>
  <si>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</si>
  <si>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</si>
  <si>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</si>
  <si>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</si>
  <si>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</si>
  <si>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</si>
  <si>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</si>
  <si>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</si>
  <si>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</si>
  <si>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</si>
  <si>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</si>
  <si>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</si>
  <si>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</si>
  <si>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</si>
  <si>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</si>
  <si>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</si>
  <si>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</si>
  <si>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</si>
  <si>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</si>
  <si>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</si>
  <si>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</si>
  <si>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</si>
  <si>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</si>
  <si>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</si>
  <si>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</si>
  <si>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</si>
  <si>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</si>
  <si>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</si>
  <si>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</si>
  <si>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</si>
  <si>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</si>
  <si>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</si>
  <si>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</si>
  <si>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</si>
  <si>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</si>
  <si>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</si>
  <si>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</si>
  <si>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</si>
  <si>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</si>
  <si>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</si>
  <si>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</si>
  <si>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</si>
  <si>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</si>
  <si>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</si>
  <si>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</si>
  <si>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</si>
  <si>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</si>
  <si>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</si>
  <si>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</si>
  <si>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</si>
  <si>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</si>
  <si>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</si>
  <si>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</si>
  <si>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</si>
  <si>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</si>
  <si>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</si>
  <si>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</si>
  <si>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</si>
  <si>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</si>
  <si>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</si>
  <si>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</si>
  <si>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</si>
  <si>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</si>
  <si>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</si>
  <si>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</si>
  <si>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</si>
  <si>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</si>
  <si>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</si>
  <si>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</si>
  <si>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</si>
  <si>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</si>
  <si>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</si>
  <si>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</si>
  <si>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</si>
  <si>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</si>
  <si>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</si>
  <si>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</si>
  <si>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</si>
  <si>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</si>
  <si>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</si>
  <si>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</si>
  <si>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</si>
  <si>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</si>
  <si>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</si>
  <si>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</si>
  <si>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</si>
  <si>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</si>
  <si>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</si>
  <si>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</si>
  <si>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</si>
  <si>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</si>
  <si>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</si>
  <si>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</si>
  <si>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</si>
  <si>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</si>
  <si>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</si>
  <si>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</si>
  <si>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</si>
  <si>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</si>
  <si>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</si>
  <si>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</si>
  <si>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</si>
  <si>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</si>
  <si>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</si>
  <si>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</si>
  <si>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</si>
  <si>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</si>
  <si>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</si>
  <si>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</si>
  <si>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</si>
  <si>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</si>
  <si>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</si>
  <si>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</si>
  <si>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</si>
  <si>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</si>
  <si>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</si>
  <si>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</si>
  <si>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</si>
  <si>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</si>
  <si>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</si>
  <si>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</si>
  <si>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</si>
  <si>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</si>
  <si>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</si>
  <si>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</si>
  <si>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</si>
  <si>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</si>
  <si>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</si>
  <si>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</si>
  <si>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</si>
  <si>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</si>
  <si>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</si>
  <si>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</si>
  <si>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</si>
  <si>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</si>
  <si>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</si>
  <si>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</si>
  <si>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</si>
  <si>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</si>
  <si>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</si>
  <si>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</si>
  <si>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</si>
  <si>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</si>
  <si>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</si>
  <si>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</si>
  <si>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</si>
  <si>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</si>
  <si>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</si>
  <si>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</si>
  <si>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</si>
  <si>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</si>
  <si>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</si>
  <si>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</si>
  <si>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</si>
  <si>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</si>
  <si>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</si>
  <si>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</si>
  <si>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</si>
  <si>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</si>
  <si>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</si>
  <si>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</si>
  <si>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</si>
  <si>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</si>
  <si>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</si>
  <si>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</si>
  <si>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</si>
  <si>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</si>
  <si>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</si>
  <si>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</si>
  <si>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</si>
  <si>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</si>
  <si>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</si>
  <si>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</si>
  <si>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</si>
  <si>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</si>
  <si>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</si>
  <si>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</si>
  <si>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</si>
  <si>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</si>
  <si>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</si>
  <si>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</si>
  <si>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</si>
  <si>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</si>
  <si>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</si>
  <si>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</si>
  <si>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</si>
  <si>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</si>
  <si>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</si>
  <si>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</si>
  <si>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</si>
  <si>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</si>
  <si>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</si>
  <si>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</si>
  <si>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</si>
  <si>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</si>
  <si>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</si>
  <si>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</si>
  <si>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</si>
  <si>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</si>
  <si>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</si>
  <si>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</si>
  <si>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</si>
  <si>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</si>
  <si>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</si>
  <si>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</si>
  <si>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</si>
  <si>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</si>
  <si>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</si>
  <si>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</si>
  <si>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</si>
  <si>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</si>
  <si>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</si>
  <si>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</si>
  <si>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</si>
  <si>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</si>
  <si>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</si>
  <si>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</si>
  <si>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</si>
  <si>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</si>
  <si>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</si>
  <si>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</si>
  <si>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</si>
  <si>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</si>
  <si>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</si>
  <si>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</si>
  <si>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</si>
  <si>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</si>
  <si>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</si>
  <si>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</si>
  <si>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</si>
  <si>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</si>
  <si>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</si>
  <si>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</si>
  <si>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</si>
  <si>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</si>
  <si>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81.7 m</t>
  </si>
  <si>
    <t>85.8 m</t>
  </si>
  <si>
    <t>82.7 m</t>
  </si>
  <si>
    <t>500 m</t>
  </si>
  <si>
    <t>250 m</t>
  </si>
  <si>
    <t>14.3 m</t>
  </si>
  <si>
    <t>14.9 m</t>
  </si>
  <si>
    <t>13.8 m</t>
  </si>
  <si>
    <t>50.5 m</t>
  </si>
  <si>
    <t>46.8 m</t>
  </si>
  <si>
    <t>48.6 m</t>
  </si>
  <si>
    <t>10 Hp</t>
  </si>
  <si>
    <t>7.5 Hp</t>
  </si>
  <si>
    <t>㎥/일</t>
  </si>
  <si>
    <t xml:space="preserve"> ㎥/일</t>
  </si>
  <si>
    <t>130 ㎥/일</t>
  </si>
  <si>
    <t>Q1, 수질 1번</t>
  </si>
  <si>
    <t>Q2, 수질 1번</t>
  </si>
  <si>
    <t>Q3, 수질 1번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</si>
</sst>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8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5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3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6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1" fillId="32" borderId="99" xfId="16" applyFont="1" applyFill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49" fillId="32" borderId="99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0" borderId="99" xfId="16" applyFont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51" fillId="0" borderId="99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2" fontId="49" fillId="0" borderId="99" xfId="16" applyNumberFormat="1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0" fontId="53" fillId="33" borderId="102" xfId="16" applyFont="1" applyFill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2" fillId="0" borderId="102" xfId="16" applyFont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4" fillId="0" borderId="105" xfId="16" applyFont="1" applyBorder="1" applyAlignment="1">
      <alignment horizontal="center" vertical="center"/>
    </xf>
    <xf numFmtId="0" fontId="54" fillId="32" borderId="106" xfId="16" applyFont="1" applyFill="1" applyBorder="1" applyAlignment="1">
      <alignment horizontal="center" vertical="center"/>
    </xf>
    <xf numFmtId="0" fontId="54" fillId="0" borderId="106" xfId="16" applyFont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109" xfId="0" applyFont="1" applyFill="1" applyBorder="1" applyAlignment="1">
      <alignment horizontal="center" vertical="center"/>
    </xf>
    <xf numFmtId="0" fontId="25" fillId="15" borderId="110" xfId="0" applyFont="1" applyFill="1" applyBorder="1" applyAlignment="1">
      <alignment horizontal="center" vertical="center" wrapText="1"/>
    </xf>
    <xf numFmtId="0" fontId="25" fillId="15" borderId="110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0" fontId="25" fillId="0" borderId="113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25" fillId="0" borderId="115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11" xfId="0" applyFont="1" applyFill="1" applyBorder="1" applyAlignment="1">
      <alignment horizontal="center" vertical="center"/>
    </xf>
    <xf numFmtId="189" fontId="25" fillId="0" borderId="113" xfId="0" applyNumberFormat="1" applyFont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6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4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0" fontId="15" fillId="0" borderId="124" xfId="0" applyFont="1" applyBorder="1" applyAlignment="1">
      <alignment horizontal="center" vertical="center"/>
    </xf>
    <xf numFmtId="3" fontId="34" fillId="0" borderId="124" xfId="20" applyNumberFormat="1" applyFont="1" applyBorder="1" applyAlignment="1" applyProtection="1">
      <alignment horizontal="center" vertical="center"/>
      <protection locked="0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0" fontId="15" fillId="0" borderId="127" xfId="0" applyFont="1" applyBorder="1" applyAlignment="1">
      <alignment horizontal="center" vertical="center"/>
    </xf>
    <xf numFmtId="3" fontId="34" fillId="0" borderId="127" xfId="20" applyNumberFormat="1" applyFont="1" applyBorder="1" applyAlignment="1" applyProtection="1">
      <alignment horizontal="center" vertical="center"/>
      <protection locked="0"/>
    </xf>
    <xf numFmtId="0" fontId="34" fillId="0" borderId="128" xfId="0" applyFont="1" applyBorder="1" applyAlignment="1">
      <alignment horizontal="center" vertical="center"/>
    </xf>
    <xf numFmtId="0" fontId="57" fillId="0" borderId="0" xfId="0" applyFont="1" applyAlignment="1">
      <alignment horizontal="justify" vertical="center"/>
    </xf>
    <xf numFmtId="0" fontId="47" fillId="0" borderId="108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120" xfId="0" applyFont="1" applyFill="1" applyBorder="1" applyAlignment="1">
      <alignment horizontal="center" vertical="center"/>
    </xf>
    <xf numFmtId="0" fontId="29" fillId="9" borderId="123" xfId="0" applyFont="1" applyFill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/>
    </xf>
    <xf numFmtId="0" fontId="29" fillId="9" borderId="124" xfId="0" applyFont="1" applyFill="1" applyBorder="1" applyAlignment="1">
      <alignment horizontal="center" vertical="center"/>
    </xf>
    <xf numFmtId="0" fontId="29" fillId="9" borderId="122" xfId="0" applyFont="1" applyFill="1" applyBorder="1" applyAlignment="1">
      <alignment horizontal="center" vertical="center"/>
    </xf>
    <xf numFmtId="0" fontId="29" fillId="9" borderId="125" xfId="0" applyFont="1" applyFill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 wrapText="1"/>
    </xf>
    <xf numFmtId="0" fontId="29" fillId="9" borderId="124" xfId="0" applyFont="1" applyFill="1" applyBorder="1" applyAlignment="1">
      <alignment horizontal="center" vertical="center" wrapText="1"/>
    </xf>
    <xf numFmtId="41" fontId="29" fillId="9" borderId="121" xfId="20" applyFont="1" applyFill="1" applyBorder="1" applyAlignment="1">
      <alignment horizontal="center" vertical="center" wrapText="1"/>
    </xf>
    <xf numFmtId="41" fontId="29" fillId="9" borderId="124" xfId="20" applyFont="1" applyFill="1" applyBorder="1" applyAlignment="1">
      <alignment horizontal="center" vertical="center" wrapText="1"/>
    </xf>
    <xf numFmtId="0" fontId="44" fillId="9" borderId="121" xfId="21" applyFont="1" applyFill="1" applyBorder="1" applyAlignment="1">
      <alignment horizontal="center" vertical="center" wrapText="1"/>
    </xf>
    <xf numFmtId="0" fontId="44" fillId="9" borderId="124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108" xfId="0" applyFont="1" applyBorder="1" applyAlignment="1">
      <alignment horizontal="center" vertical="center"/>
    </xf>
    <xf numFmtId="190" fontId="47" fillId="0" borderId="119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7" xfId="0" applyNumberFormat="1" applyFont="1" applyBorder="1" applyAlignment="1">
      <alignment horizontal="center" vertical="center"/>
    </xf>
    <xf numFmtId="182" fontId="48" fillId="0" borderId="108" xfId="0" applyNumberFormat="1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118" xfId="0" applyFont="1" applyBorder="1" applyAlignment="1">
      <alignment horizontal="center" vertical="center"/>
    </xf>
    <xf numFmtId="0" fontId="48" fillId="0" borderId="119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108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7" xfId="0" applyNumberFormat="1" applyFont="1" applyBorder="1" applyAlignment="1">
      <alignment horizontal="center" vertical="center"/>
    </xf>
    <xf numFmtId="177" fontId="48" fillId="0" borderId="108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5.emf"/><Relationship Id="rId7" Type="http://schemas.openxmlformats.org/officeDocument/2006/relationships/image" Target="../media/image38.emf"/><Relationship Id="rId12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2.emf"/><Relationship Id="rId11" Type="http://schemas.openxmlformats.org/officeDocument/2006/relationships/image" Target="../media/image28.emf"/><Relationship Id="rId5" Type="http://schemas.openxmlformats.org/officeDocument/2006/relationships/image" Target="../media/image37.emf"/><Relationship Id="rId10" Type="http://schemas.openxmlformats.org/officeDocument/2006/relationships/image" Target="../media/image29.emf"/><Relationship Id="rId4" Type="http://schemas.openxmlformats.org/officeDocument/2006/relationships/image" Target="../media/image36.emf"/><Relationship Id="rId9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57.emf"/><Relationship Id="rId7" Type="http://schemas.openxmlformats.org/officeDocument/2006/relationships/image" Target="../media/image5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2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5" Type="http://schemas.openxmlformats.org/officeDocument/2006/relationships/image" Target="../media/image76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0</xdr:rowOff>
        </xdr:from>
        <xdr:to>
          <xdr:col>7</xdr:col>
          <xdr:colOff>104775</xdr:colOff>
          <xdr:row>3</xdr:row>
          <xdr:rowOff>131400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171450</xdr:rowOff>
        </xdr:from>
        <xdr:to>
          <xdr:col>7</xdr:col>
          <xdr:colOff>104775</xdr:colOff>
          <xdr:row>4</xdr:row>
          <xdr:rowOff>198075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9525</xdr:rowOff>
        </xdr:from>
        <xdr:to>
          <xdr:col>7</xdr:col>
          <xdr:colOff>104775</xdr:colOff>
          <xdr:row>6</xdr:row>
          <xdr:rowOff>45675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85725</xdr:rowOff>
        </xdr:from>
        <xdr:to>
          <xdr:col>7</xdr:col>
          <xdr:colOff>104775</xdr:colOff>
          <xdr:row>7</xdr:row>
          <xdr:rowOff>121875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FAE0542B-77C2-A597-4463-F4378EBF9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7</xdr:col>
          <xdr:colOff>104775</xdr:colOff>
          <xdr:row>8</xdr:row>
          <xdr:rowOff>198075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3DFDC75-FC04-48AB-977E-8DA16C3AA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8</xdr:col>
          <xdr:colOff>676275</xdr:colOff>
          <xdr:row>2</xdr:row>
          <xdr:rowOff>226650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1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57150</xdr:rowOff>
        </xdr:from>
        <xdr:to>
          <xdr:col>8</xdr:col>
          <xdr:colOff>676275</xdr:colOff>
          <xdr:row>4</xdr:row>
          <xdr:rowOff>188550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28575</xdr:rowOff>
        </xdr:from>
        <xdr:to>
          <xdr:col>8</xdr:col>
          <xdr:colOff>676275</xdr:colOff>
          <xdr:row>6</xdr:row>
          <xdr:rowOff>64725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123825</xdr:rowOff>
        </xdr:from>
        <xdr:to>
          <xdr:col>8</xdr:col>
          <xdr:colOff>676275</xdr:colOff>
          <xdr:row>7</xdr:row>
          <xdr:rowOff>159975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7</xdr:row>
          <xdr:rowOff>219075</xdr:rowOff>
        </xdr:from>
        <xdr:to>
          <xdr:col>8</xdr:col>
          <xdr:colOff>685800</xdr:colOff>
          <xdr:row>8</xdr:row>
          <xdr:rowOff>257175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8C07D8EF-3B5C-EFEC-3717-6C8EF292A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207600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2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188550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2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188550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8</xdr:row>
          <xdr:rowOff>302850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74250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207600</xdr:rowOff>
        </xdr:to>
        <xdr:sp macro="" textlink="">
          <xdr:nvSpPr>
            <xdr:cNvPr id="364545" name="CommandButton1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E630081B-942B-43E8-BB50-0201D6865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188550</xdr:rowOff>
        </xdr:to>
        <xdr:sp macro="" textlink="">
          <xdr:nvSpPr>
            <xdr:cNvPr id="364546" name="CommandButton2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4A835D32-9B8B-47D4-AD21-C564EF952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74250</xdr:rowOff>
        </xdr:to>
        <xdr:sp macro="" textlink="">
          <xdr:nvSpPr>
            <xdr:cNvPr id="364549" name="CommandButton5" hidden="1">
              <a:extLst>
                <a:ext uri="{63B3BB69-23CF-44E3-9099-C40C66FF867C}">
                  <a14:compatExt spid="_x0000_s364549"/>
                </a:ext>
                <a:ext uri="{FF2B5EF4-FFF2-40B4-BE49-F238E27FC236}">
                  <a16:creationId xmlns:a16="http://schemas.microsoft.com/office/drawing/2014/main" id="{66B8BAC2-AF00-431B-BDCC-F35D1BE71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2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3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31.emf"/><Relationship Id="rId24" Type="http://schemas.openxmlformats.org/officeDocument/2006/relationships/control" Target="../activeX/activeX29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35.emf"/><Relationship Id="rId4" Type="http://schemas.openxmlformats.org/officeDocument/2006/relationships/control" Target="../activeX/activeX19.xml"/><Relationship Id="rId9" Type="http://schemas.openxmlformats.org/officeDocument/2006/relationships/image" Target="../media/image30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0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42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6.xml"/><Relationship Id="rId4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4" Type="http://schemas.openxmlformats.org/officeDocument/2006/relationships/control" Target="../activeX/activeX37.xml"/><Relationship Id="rId9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53.emf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44.xml"/><Relationship Id="rId17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43.xml"/><Relationship Id="rId19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1.emf"/><Relationship Id="rId14" Type="http://schemas.openxmlformats.org/officeDocument/2006/relationships/control" Target="../activeX/activeX45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9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6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4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4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2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7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80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7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8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5" Type="http://schemas.openxmlformats.org/officeDocument/2006/relationships/image" Target="../media/image81.emf"/><Relationship Id="rId4" Type="http://schemas.openxmlformats.org/officeDocument/2006/relationships/control" Target="../activeX/activeX72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45" t="s">
        <v>231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296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176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175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161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177</v>
      </c>
      <c r="C51" s="167" t="s">
        <v>161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topLeftCell="A13" zoomScaleNormal="100" workbookViewId="0">
      <selection activeCell="R24" sqref="R24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167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168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189</v>
      </c>
      <c r="D23" s="240" t="s">
        <v>190</v>
      </c>
      <c r="E23" s="240" t="s">
        <v>191</v>
      </c>
    </row>
    <row r="24" spans="1:16" ht="21.95" customHeight="1" thickBot="1">
      <c r="B24" s="225" t="s">
        <v>95</v>
      </c>
      <c r="C24" s="228">
        <f>O16</f>
        <v>785.4</v>
      </c>
      <c r="D24" s="215"/>
      <c r="E24" s="205"/>
      <c r="H24" s="213" t="s">
        <v>186</v>
      </c>
      <c r="I24" s="546" t="s">
        <v>301</v>
      </c>
      <c r="J24" s="547"/>
      <c r="K24" s="379">
        <f>INDEX(Location[recharge], MATCH(I24,Location[name],0))</f>
        <v>0.128</v>
      </c>
      <c r="L24" s="380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187</v>
      </c>
      <c r="I25" s="548" t="s">
        <v>196</v>
      </c>
      <c r="J25" s="549"/>
      <c r="K25" s="381">
        <f>INDEX(Location[recharge], MATCH(I25,Location[name],0))</f>
        <v>0.16600000000000001</v>
      </c>
      <c r="L25" s="382">
        <f>INDEX(Location[ratio], MATCH(I25,Location[name],0))</f>
        <v>0.64</v>
      </c>
    </row>
    <row r="26" spans="1:16" ht="21.95" customHeight="1">
      <c r="B26" s="206" t="s">
        <v>166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188</v>
      </c>
      <c r="I26" s="550" t="s">
        <v>266</v>
      </c>
      <c r="J26" s="551"/>
      <c r="K26" s="383">
        <f>INDEX(Location[recharge], MATCH(I26,Location[name],0))</f>
        <v>0.127</v>
      </c>
      <c r="L26" s="384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169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170</v>
      </c>
      <c r="B32"/>
      <c r="C32"/>
      <c r="D32"/>
    </row>
    <row r="33" spans="1:6" ht="17.25" customHeight="1">
      <c r="A33" s="79" t="s">
        <v>171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52" t="s">
        <v>305</v>
      </c>
      <c r="B37" s="553"/>
      <c r="C37" s="231"/>
      <c r="D37" s="389"/>
    </row>
    <row r="38" spans="1:6" ht="17.25" thickBot="1">
      <c r="A38" s="390"/>
      <c r="B38" s="391" t="s">
        <v>235</v>
      </c>
      <c r="C38" s="391" t="s">
        <v>236</v>
      </c>
      <c r="D38" s="392" t="s">
        <v>237</v>
      </c>
    </row>
    <row r="39" spans="1:6">
      <c r="A39" s="417" t="s">
        <v>295</v>
      </c>
      <c r="B39" s="393">
        <v>500</v>
      </c>
      <c r="C39" s="394">
        <v>250</v>
      </c>
      <c r="D39" s="395">
        <v>250</v>
      </c>
    </row>
    <row r="40" spans="1:6">
      <c r="A40" s="418" t="s">
        <v>306</v>
      </c>
      <c r="B40" s="396">
        <v>130</v>
      </c>
      <c r="C40" s="397">
        <v>130</v>
      </c>
      <c r="D40" s="398">
        <v>130</v>
      </c>
    </row>
    <row r="41" spans="1:6">
      <c r="A41" s="418" t="s">
        <v>307</v>
      </c>
      <c r="B41" s="399">
        <v>200</v>
      </c>
      <c r="C41" s="400">
        <v>150</v>
      </c>
      <c r="D41" s="401">
        <v>150</v>
      </c>
    </row>
    <row r="42" spans="1:6">
      <c r="A42" s="419" t="s">
        <v>308</v>
      </c>
      <c r="B42" s="402">
        <f>ROUND(B41/10,1)</f>
        <v>20</v>
      </c>
      <c r="C42" s="403">
        <f>ROUND(C41/10,1)</f>
        <v>15</v>
      </c>
      <c r="D42" s="404">
        <f>ROUND(D41/10,1)</f>
        <v>15</v>
      </c>
    </row>
    <row r="43" spans="1:6">
      <c r="A43" s="419" t="s">
        <v>309</v>
      </c>
      <c r="B43" s="405">
        <f>B41+B42</f>
        <v>220</v>
      </c>
      <c r="C43" s="406">
        <f>C41+C42</f>
        <v>165</v>
      </c>
      <c r="D43" s="407">
        <f>D41+D42</f>
        <v>165</v>
      </c>
    </row>
    <row r="44" spans="1:6">
      <c r="A44" s="419" t="s">
        <v>310</v>
      </c>
      <c r="B44" s="408">
        <v>0.45250000000000001</v>
      </c>
      <c r="C44" s="409">
        <v>0.45250000000000001</v>
      </c>
      <c r="D44" s="410">
        <v>0.45250000000000001</v>
      </c>
    </row>
    <row r="45" spans="1:6">
      <c r="A45" s="419"/>
      <c r="B45" s="402"/>
      <c r="C45" s="403"/>
      <c r="D45" s="404"/>
    </row>
    <row r="46" spans="1:6">
      <c r="A46" s="419" t="s">
        <v>311</v>
      </c>
      <c r="B46" s="402">
        <f>ROUND((B40*B43)/(6572.5*B44),4)</f>
        <v>9.6165000000000003</v>
      </c>
      <c r="C46" s="403">
        <f>ROUND((C40*C43)/(6572.5*C44),4)</f>
        <v>7.2123999999999997</v>
      </c>
      <c r="D46" s="404">
        <f>ROUND((D40*D43)/(6572.5*D44),4)</f>
        <v>7.2123999999999997</v>
      </c>
    </row>
    <row r="47" spans="1:6" ht="19.5" thickBot="1">
      <c r="A47" s="420"/>
      <c r="B47" s="411">
        <f>ROUNDUP(B46,0)</f>
        <v>10</v>
      </c>
      <c r="C47" s="412">
        <f>ROUNDUP(C46,0)</f>
        <v>8</v>
      </c>
      <c r="D47" s="413">
        <f>ROUNDUP(D46,0)</f>
        <v>8</v>
      </c>
    </row>
    <row r="48" spans="1:6">
      <c r="A48" s="417" t="s">
        <v>312</v>
      </c>
      <c r="B48" s="393">
        <v>10</v>
      </c>
      <c r="C48" s="394">
        <v>7.5</v>
      </c>
      <c r="D48" s="395">
        <v>7.5</v>
      </c>
    </row>
    <row r="49" spans="1:4" ht="17.25" thickBot="1">
      <c r="A49" s="420" t="s">
        <v>313</v>
      </c>
      <c r="B49" s="414">
        <f>ROUND((B48*B44*6572.5)/B43,1)</f>
        <v>135.19999999999999</v>
      </c>
      <c r="C49" s="415">
        <f>ROUND((C48*C44*6572.5)/C43,1)</f>
        <v>135.19999999999999</v>
      </c>
      <c r="D49" s="416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536" t="s">
        <v>408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201</v>
      </c>
      <c r="B1" s="322" t="s">
        <v>202</v>
      </c>
      <c r="C1" s="322" t="s">
        <v>203</v>
      </c>
    </row>
    <row r="2" spans="1:12" ht="18" customHeight="1">
      <c r="A2" s="322" t="s">
        <v>200</v>
      </c>
      <c r="B2" s="326">
        <v>0.13600000000000001</v>
      </c>
      <c r="C2" s="326">
        <v>0.66</v>
      </c>
    </row>
    <row r="3" spans="1:12" ht="18" customHeight="1">
      <c r="A3" s="322" t="s">
        <v>192</v>
      </c>
      <c r="B3" s="326">
        <v>0.151</v>
      </c>
      <c r="C3" s="326">
        <v>0.65</v>
      </c>
    </row>
    <row r="4" spans="1:12" ht="18" customHeight="1">
      <c r="A4" s="322" t="s">
        <v>182</v>
      </c>
      <c r="B4" s="326">
        <v>0.16700000000000001</v>
      </c>
      <c r="C4" s="326">
        <v>0.65</v>
      </c>
      <c r="J4" s="327" t="s">
        <v>194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183</v>
      </c>
      <c r="B5" s="326">
        <v>0.17299999999999999</v>
      </c>
      <c r="C5" s="326">
        <v>0.66849999999999998</v>
      </c>
    </row>
    <row r="6" spans="1:12" ht="18" customHeight="1">
      <c r="A6" s="322" t="s">
        <v>193</v>
      </c>
      <c r="B6" s="326">
        <v>0.16300000000000001</v>
      </c>
      <c r="C6" s="326">
        <v>0.67</v>
      </c>
    </row>
    <row r="7" spans="1:12" ht="18" customHeight="1">
      <c r="A7" s="322" t="s">
        <v>195</v>
      </c>
      <c r="B7" s="326">
        <v>0.16600000000000001</v>
      </c>
      <c r="C7" s="326">
        <v>0.64</v>
      </c>
      <c r="E7" s="327" t="s">
        <v>204</v>
      </c>
    </row>
    <row r="8" spans="1:12" ht="18" customHeight="1">
      <c r="A8" s="322" t="s">
        <v>196</v>
      </c>
      <c r="B8" s="326">
        <v>0.16600000000000001</v>
      </c>
      <c r="C8" s="326">
        <v>0.64</v>
      </c>
    </row>
    <row r="9" spans="1:12" ht="18" customHeight="1">
      <c r="A9" s="322" t="s">
        <v>184</v>
      </c>
      <c r="B9" s="326">
        <v>0.125</v>
      </c>
      <c r="C9" s="326">
        <v>0.67</v>
      </c>
    </row>
    <row r="10" spans="1:12" ht="18" customHeight="1">
      <c r="A10" s="322" t="s">
        <v>197</v>
      </c>
      <c r="B10" s="326">
        <v>0.127</v>
      </c>
      <c r="C10" s="326">
        <v>0.65</v>
      </c>
    </row>
    <row r="11" spans="1:12" ht="18" customHeight="1">
      <c r="A11" s="322" t="s">
        <v>198</v>
      </c>
      <c r="B11" s="326">
        <v>0.128</v>
      </c>
      <c r="C11" s="326">
        <v>0.64</v>
      </c>
    </row>
    <row r="12" spans="1:12" ht="18" customHeight="1">
      <c r="A12" s="322" t="s">
        <v>199</v>
      </c>
      <c r="B12" s="326">
        <v>0.17499999999999999</v>
      </c>
      <c r="C12" s="326">
        <v>0.67</v>
      </c>
    </row>
    <row r="13" spans="1:12" ht="18" customHeight="1">
      <c r="A13" s="322" t="s">
        <v>212</v>
      </c>
      <c r="B13" s="326">
        <v>0.13</v>
      </c>
      <c r="C13" s="326">
        <v>0.63</v>
      </c>
    </row>
    <row r="14" spans="1:12" ht="18" customHeight="1">
      <c r="A14" s="322" t="s">
        <v>213</v>
      </c>
      <c r="B14" s="326">
        <v>0.13400000000000001</v>
      </c>
      <c r="C14" s="326">
        <v>0.65</v>
      </c>
    </row>
    <row r="15" spans="1:12" ht="18" customHeight="1">
      <c r="A15" s="322" t="s">
        <v>214</v>
      </c>
      <c r="B15" s="326">
        <v>0.16500000000000001</v>
      </c>
      <c r="C15" s="326">
        <v>0.62</v>
      </c>
    </row>
    <row r="16" spans="1:12" ht="18" customHeight="1">
      <c r="A16" s="322" t="s">
        <v>267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0" t="s">
        <v>341</v>
      </c>
    </row>
    <row r="4" spans="3:11" ht="40.5" customHeight="1">
      <c r="C4" s="487" t="s">
        <v>334</v>
      </c>
      <c r="D4" s="488" t="s">
        <v>294</v>
      </c>
      <c r="E4" s="488" t="s">
        <v>335</v>
      </c>
      <c r="F4" s="489" t="s">
        <v>340</v>
      </c>
      <c r="G4" s="488" t="s">
        <v>326</v>
      </c>
      <c r="H4" s="488" t="s">
        <v>336</v>
      </c>
      <c r="I4" s="488" t="s">
        <v>337</v>
      </c>
      <c r="J4" s="488" t="s">
        <v>338</v>
      </c>
      <c r="K4" s="490" t="s">
        <v>339</v>
      </c>
    </row>
    <row r="5" spans="3:11" ht="97.5" customHeight="1">
      <c r="C5" s="354" t="s">
        <v>235</v>
      </c>
      <c r="D5" s="486" t="s">
        <v>342</v>
      </c>
      <c r="E5" s="486" t="s">
        <v>343</v>
      </c>
      <c r="F5" s="486" t="s">
        <v>344</v>
      </c>
      <c r="G5" s="486" t="s">
        <v>345</v>
      </c>
      <c r="H5" s="486" t="s">
        <v>346</v>
      </c>
      <c r="I5" s="486" t="s">
        <v>347</v>
      </c>
      <c r="J5" s="486" t="s">
        <v>348</v>
      </c>
      <c r="K5" s="491" t="s">
        <v>349</v>
      </c>
    </row>
    <row r="6" spans="3:11" ht="97.5" customHeight="1">
      <c r="C6" s="354" t="s">
        <v>236</v>
      </c>
      <c r="D6" s="486" t="s">
        <v>342</v>
      </c>
      <c r="E6" s="486" t="s">
        <v>343</v>
      </c>
      <c r="F6" s="486" t="s">
        <v>344</v>
      </c>
      <c r="G6" s="486" t="s">
        <v>345</v>
      </c>
      <c r="H6" s="486" t="s">
        <v>350</v>
      </c>
      <c r="I6" s="486" t="s">
        <v>351</v>
      </c>
      <c r="J6" s="486" t="s">
        <v>352</v>
      </c>
      <c r="K6" s="491" t="s">
        <v>353</v>
      </c>
    </row>
    <row r="7" spans="3:11" ht="97.5" customHeight="1">
      <c r="C7" s="354" t="s">
        <v>237</v>
      </c>
      <c r="D7" s="486" t="s">
        <v>342</v>
      </c>
      <c r="E7" s="486" t="s">
        <v>343</v>
      </c>
      <c r="F7" s="486" t="s">
        <v>344</v>
      </c>
      <c r="G7" s="486" t="s">
        <v>345</v>
      </c>
      <c r="H7" s="486" t="s">
        <v>354</v>
      </c>
      <c r="I7" s="486" t="s">
        <v>355</v>
      </c>
      <c r="J7" s="486" t="s">
        <v>356</v>
      </c>
      <c r="K7" s="491" t="s">
        <v>357</v>
      </c>
    </row>
    <row r="8" spans="3:11" ht="97.5" customHeight="1">
      <c r="C8" s="354">
        <v>4</v>
      </c>
      <c r="D8" s="455"/>
      <c r="E8" s="455"/>
      <c r="F8" s="455"/>
      <c r="G8" s="455"/>
      <c r="H8" s="455"/>
      <c r="I8" s="455"/>
      <c r="J8" s="455"/>
      <c r="K8" s="484"/>
    </row>
    <row r="9" spans="3:11" ht="97.5" customHeight="1">
      <c r="C9" s="354">
        <v>5</v>
      </c>
      <c r="D9" s="455"/>
      <c r="E9" s="455"/>
      <c r="F9" s="455"/>
      <c r="G9" s="455"/>
      <c r="H9" s="455"/>
      <c r="I9" s="455"/>
      <c r="J9" s="455"/>
      <c r="K9" s="484"/>
    </row>
    <row r="10" spans="3:11" ht="97.5" customHeight="1">
      <c r="C10" s="354">
        <v>6</v>
      </c>
      <c r="D10" s="455"/>
      <c r="E10" s="455"/>
      <c r="F10" s="455"/>
      <c r="G10" s="455"/>
      <c r="H10" s="455"/>
      <c r="I10" s="455"/>
      <c r="J10" s="455"/>
      <c r="K10" s="484"/>
    </row>
    <row r="11" spans="3:11" ht="97.5" customHeight="1">
      <c r="C11" s="354">
        <v>7</v>
      </c>
      <c r="D11" s="455"/>
      <c r="E11" s="455"/>
      <c r="F11" s="455"/>
      <c r="G11" s="455"/>
      <c r="H11" s="455"/>
      <c r="I11" s="455"/>
      <c r="J11" s="455"/>
      <c r="K11" s="484"/>
    </row>
    <row r="12" spans="3:11" ht="97.5" customHeight="1">
      <c r="C12" s="354">
        <v>8</v>
      </c>
      <c r="D12" s="455"/>
      <c r="E12" s="455"/>
      <c r="F12" s="455"/>
      <c r="G12" s="455"/>
      <c r="H12" s="455"/>
      <c r="I12" s="455"/>
      <c r="J12" s="455"/>
      <c r="K12" s="484"/>
    </row>
    <row r="13" spans="3:11" ht="97.5" customHeight="1">
      <c r="C13" s="354">
        <v>9</v>
      </c>
      <c r="D13" s="455"/>
      <c r="E13" s="455"/>
      <c r="F13" s="455"/>
      <c r="G13" s="455"/>
      <c r="H13" s="455"/>
      <c r="I13" s="455"/>
      <c r="J13" s="455"/>
      <c r="K13" s="484"/>
    </row>
    <row r="14" spans="3:11" ht="97.5" customHeight="1">
      <c r="C14" s="354">
        <v>10</v>
      </c>
      <c r="D14" s="455"/>
      <c r="E14" s="455"/>
      <c r="F14" s="455"/>
      <c r="G14" s="455"/>
      <c r="H14" s="455"/>
      <c r="I14" s="455"/>
      <c r="J14" s="455"/>
      <c r="K14" s="484"/>
    </row>
    <row r="15" spans="3:11" ht="97.5" customHeight="1">
      <c r="C15" s="354">
        <v>11</v>
      </c>
      <c r="D15" s="455"/>
      <c r="E15" s="455"/>
      <c r="F15" s="455"/>
      <c r="G15" s="455"/>
      <c r="H15" s="455"/>
      <c r="I15" s="455"/>
      <c r="J15" s="455"/>
      <c r="K15" s="484"/>
    </row>
    <row r="16" spans="3:11" ht="97.5" customHeight="1">
      <c r="C16" s="354">
        <v>12</v>
      </c>
      <c r="D16" s="455"/>
      <c r="E16" s="455"/>
      <c r="F16" s="455"/>
      <c r="G16" s="455"/>
      <c r="H16" s="455"/>
      <c r="I16" s="455"/>
      <c r="J16" s="455"/>
      <c r="K16" s="484"/>
    </row>
    <row r="17" spans="3:11" ht="97.5" customHeight="1">
      <c r="C17" s="354">
        <v>13</v>
      </c>
      <c r="D17" s="455"/>
      <c r="E17" s="455"/>
      <c r="F17" s="455"/>
      <c r="G17" s="455"/>
      <c r="H17" s="455"/>
      <c r="I17" s="455"/>
      <c r="J17" s="455"/>
      <c r="K17" s="484"/>
    </row>
    <row r="18" spans="3:11" ht="97.5" customHeight="1">
      <c r="C18" s="354">
        <v>14</v>
      </c>
      <c r="D18" s="455"/>
      <c r="E18" s="455"/>
      <c r="F18" s="455"/>
      <c r="G18" s="455"/>
      <c r="H18" s="455"/>
      <c r="I18" s="455"/>
      <c r="J18" s="455"/>
      <c r="K18" s="484"/>
    </row>
    <row r="19" spans="3:11" ht="97.5" customHeight="1" thickBot="1">
      <c r="C19" s="355">
        <v>15</v>
      </c>
      <c r="D19" s="456"/>
      <c r="E19" s="456"/>
      <c r="F19" s="456"/>
      <c r="G19" s="456"/>
      <c r="H19" s="456"/>
      <c r="I19" s="456"/>
      <c r="J19" s="456"/>
      <c r="K19" s="48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E18" sqref="E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98" customFormat="1" ht="72.75" customHeight="1" thickTop="1">
      <c r="A4" s="495" t="s">
        <v>314</v>
      </c>
      <c r="B4" s="496" t="s">
        <v>368</v>
      </c>
      <c r="C4" s="496" t="s">
        <v>369</v>
      </c>
      <c r="D4" s="496" t="s">
        <v>378</v>
      </c>
      <c r="E4" s="496" t="s">
        <v>386</v>
      </c>
      <c r="F4" s="496" t="s">
        <v>385</v>
      </c>
      <c r="G4" s="496" t="s">
        <v>370</v>
      </c>
      <c r="H4" s="497" t="s">
        <v>360</v>
      </c>
      <c r="I4" s="496" t="s">
        <v>371</v>
      </c>
      <c r="J4" s="496" t="s">
        <v>372</v>
      </c>
      <c r="K4" s="496" t="s">
        <v>376</v>
      </c>
      <c r="L4" s="496" t="s">
        <v>375</v>
      </c>
      <c r="M4" s="496" t="s">
        <v>373</v>
      </c>
      <c r="N4" s="496" t="s">
        <v>366</v>
      </c>
      <c r="O4" s="497" t="s">
        <v>361</v>
      </c>
      <c r="P4" s="497" t="s">
        <v>362</v>
      </c>
      <c r="Q4" s="496" t="s">
        <v>374</v>
      </c>
      <c r="R4" s="496" t="s">
        <v>379</v>
      </c>
      <c r="S4" s="496" t="s">
        <v>380</v>
      </c>
      <c r="T4" s="497" t="s">
        <v>365</v>
      </c>
      <c r="U4" s="496" t="s">
        <v>377</v>
      </c>
      <c r="V4" s="497" t="s">
        <v>363</v>
      </c>
      <c r="W4" s="497" t="s">
        <v>364</v>
      </c>
      <c r="X4" s="497" t="s">
        <v>367</v>
      </c>
      <c r="Y4" s="496" t="s">
        <v>383</v>
      </c>
      <c r="Z4" s="496" t="s">
        <v>384</v>
      </c>
      <c r="AA4" s="496" t="s">
        <v>391</v>
      </c>
      <c r="AB4" s="496" t="s">
        <v>392</v>
      </c>
      <c r="AC4" s="496" t="s">
        <v>387</v>
      </c>
      <c r="AD4" s="496" t="s">
        <v>381</v>
      </c>
      <c r="AE4" s="496" t="s">
        <v>382</v>
      </c>
      <c r="AF4" s="496" t="s">
        <v>388</v>
      </c>
      <c r="AG4" s="497" t="s">
        <v>389</v>
      </c>
      <c r="AH4" s="508" t="s">
        <v>390</v>
      </c>
    </row>
    <row r="5" spans="1:34" ht="23.1" customHeight="1">
      <c r="A5" s="499" t="s">
        <v>235</v>
      </c>
      <c r="B5" s="455">
        <v>14.3</v>
      </c>
      <c r="C5" s="455">
        <v>64.8</v>
      </c>
      <c r="D5" s="506">
        <v>16.491080206622705</v>
      </c>
      <c r="E5" s="506">
        <v>48.308919793377292</v>
      </c>
      <c r="F5" s="506">
        <v>50.5</v>
      </c>
      <c r="G5" s="455">
        <v>200</v>
      </c>
      <c r="H5" s="455">
        <v>0.1</v>
      </c>
      <c r="I5" s="455">
        <v>500</v>
      </c>
      <c r="J5" s="455">
        <v>12</v>
      </c>
      <c r="K5" s="455">
        <v>130</v>
      </c>
      <c r="L5" s="506">
        <v>3.9890328339016063</v>
      </c>
      <c r="M5" s="455">
        <v>10</v>
      </c>
      <c r="N5" s="455">
        <v>485.7</v>
      </c>
      <c r="O5" s="504">
        <v>1.732</v>
      </c>
      <c r="P5" s="504">
        <v>1.5549999999999999</v>
      </c>
      <c r="Q5" s="504">
        <v>1.6435</v>
      </c>
      <c r="R5" s="455">
        <v>8.8969999999999994E-2</v>
      </c>
      <c r="S5" s="507">
        <v>3.2289999999999999E-4</v>
      </c>
      <c r="T5" s="504">
        <v>3.3800000000000002E-3</v>
      </c>
      <c r="U5" s="455">
        <v>0.58330000000000004</v>
      </c>
      <c r="V5" s="505">
        <v>43</v>
      </c>
      <c r="W5" s="505">
        <v>52.7</v>
      </c>
      <c r="X5" s="505">
        <v>81.7</v>
      </c>
      <c r="Y5" s="455">
        <v>-2.8094999999999999</v>
      </c>
      <c r="Z5" s="504">
        <v>1.66</v>
      </c>
      <c r="AA5" s="455">
        <v>149</v>
      </c>
      <c r="AB5" s="455">
        <v>133.96</v>
      </c>
      <c r="AC5" s="455">
        <v>81</v>
      </c>
      <c r="AD5" s="455">
        <v>21.13</v>
      </c>
      <c r="AE5" s="455">
        <v>44.94</v>
      </c>
      <c r="AF5" s="455">
        <v>6.0139999999999998E-4</v>
      </c>
      <c r="AG5" s="455">
        <v>0.21038480000000001</v>
      </c>
      <c r="AH5" s="509">
        <v>0.89261744966442957</v>
      </c>
    </row>
    <row r="6" spans="1:34" ht="23.1" customHeight="1">
      <c r="A6" s="499" t="s">
        <v>236</v>
      </c>
      <c r="B6" s="455">
        <v>14.9</v>
      </c>
      <c r="C6" s="455">
        <v>61.7</v>
      </c>
      <c r="D6" s="506">
        <v>17.057988721779331</v>
      </c>
      <c r="E6" s="506">
        <v>44.642011278220671</v>
      </c>
      <c r="F6" s="506">
        <v>46.800000000000004</v>
      </c>
      <c r="G6" s="455">
        <v>200</v>
      </c>
      <c r="H6" s="455">
        <v>0.1</v>
      </c>
      <c r="I6" s="455">
        <v>250</v>
      </c>
      <c r="J6" s="455">
        <v>12</v>
      </c>
      <c r="K6" s="455">
        <v>130</v>
      </c>
      <c r="L6" s="506">
        <v>3.7991159487113451</v>
      </c>
      <c r="M6" s="455">
        <v>7.5</v>
      </c>
      <c r="N6" s="455">
        <v>235.1</v>
      </c>
      <c r="O6" s="504">
        <v>1.877</v>
      </c>
      <c r="P6" s="504">
        <v>1.6819999999999999</v>
      </c>
      <c r="Q6" s="504">
        <v>1.7795000000000001</v>
      </c>
      <c r="R6" s="455">
        <v>9.2749999999999999E-2</v>
      </c>
      <c r="S6" s="507">
        <v>3.1720000000000001E-4</v>
      </c>
      <c r="T6" s="504">
        <v>7.5599999999999999E-3</v>
      </c>
      <c r="U6" s="455">
        <v>0.58330000000000004</v>
      </c>
      <c r="V6" s="505">
        <v>62.5</v>
      </c>
      <c r="W6" s="505">
        <v>76.5</v>
      </c>
      <c r="X6" s="505">
        <v>85.8</v>
      </c>
      <c r="Y6" s="455">
        <v>-2.8389000000000002</v>
      </c>
      <c r="Z6" s="504">
        <v>1.71</v>
      </c>
      <c r="AA6" s="455">
        <v>149</v>
      </c>
      <c r="AB6" s="455">
        <v>133.93</v>
      </c>
      <c r="AC6" s="455">
        <v>81</v>
      </c>
      <c r="AD6" s="455">
        <v>19.59</v>
      </c>
      <c r="AE6" s="455">
        <v>41.65</v>
      </c>
      <c r="AF6" s="455">
        <v>5.5579999999999996E-4</v>
      </c>
      <c r="AG6" s="455">
        <v>0.19516990000000001</v>
      </c>
      <c r="AH6" s="509">
        <v>0.89261744966442957</v>
      </c>
    </row>
    <row r="7" spans="1:34" ht="23.1" customHeight="1">
      <c r="A7" s="499" t="s">
        <v>237</v>
      </c>
      <c r="B7" s="455">
        <v>13.8</v>
      </c>
      <c r="C7" s="455">
        <v>62.4</v>
      </c>
      <c r="D7" s="506">
        <v>15.974338991033088</v>
      </c>
      <c r="E7" s="506">
        <v>46.425661008966912</v>
      </c>
      <c r="F7" s="506">
        <v>48.599999999999994</v>
      </c>
      <c r="G7" s="455">
        <v>200</v>
      </c>
      <c r="H7" s="455">
        <v>0.1</v>
      </c>
      <c r="I7" s="455">
        <v>250</v>
      </c>
      <c r="J7" s="455">
        <v>12</v>
      </c>
      <c r="K7" s="455">
        <v>130</v>
      </c>
      <c r="L7" s="506">
        <v>3.8914763181450334</v>
      </c>
      <c r="M7" s="455">
        <v>7.5</v>
      </c>
      <c r="N7" s="455">
        <v>236.2</v>
      </c>
      <c r="O7" s="504">
        <v>1.8029999999999999</v>
      </c>
      <c r="P7" s="504">
        <v>1.534</v>
      </c>
      <c r="Q7" s="504">
        <v>1.6684999999999999</v>
      </c>
      <c r="R7" s="455">
        <v>9.0880000000000002E-2</v>
      </c>
      <c r="S7" s="507">
        <v>3.2009999999999997E-4</v>
      </c>
      <c r="T7" s="504">
        <v>7.0600000000000003E-3</v>
      </c>
      <c r="U7" s="455">
        <v>0.58330000000000004</v>
      </c>
      <c r="V7" s="505">
        <v>61.2</v>
      </c>
      <c r="W7" s="505">
        <v>75</v>
      </c>
      <c r="X7" s="505">
        <v>82.7</v>
      </c>
      <c r="Y7" s="455">
        <v>-2.8243999999999998</v>
      </c>
      <c r="Z7" s="504">
        <v>1.6850000000000001</v>
      </c>
      <c r="AA7" s="455">
        <v>149</v>
      </c>
      <c r="AB7" s="455">
        <v>133.94</v>
      </c>
      <c r="AC7" s="455">
        <v>81</v>
      </c>
      <c r="AD7" s="455">
        <v>20.34</v>
      </c>
      <c r="AE7" s="455">
        <v>43.25</v>
      </c>
      <c r="AF7" s="455">
        <v>5.7790000000000001E-4</v>
      </c>
      <c r="AG7" s="455">
        <v>0.2025769</v>
      </c>
      <c r="AH7" s="509">
        <v>0.89261744966442957</v>
      </c>
    </row>
    <row r="8" spans="1:34" ht="23.1" customHeight="1">
      <c r="A8" s="499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5"/>
      <c r="X8" s="455"/>
      <c r="Y8" s="455"/>
      <c r="Z8" s="455"/>
      <c r="AA8" s="455"/>
      <c r="AB8" s="455"/>
      <c r="AC8" s="455"/>
      <c r="AD8" s="455"/>
      <c r="AE8" s="455"/>
      <c r="AF8" s="455"/>
      <c r="AG8" s="455"/>
      <c r="AH8" s="500"/>
    </row>
    <row r="9" spans="1:34" ht="23.1" customHeight="1">
      <c r="A9" s="499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M9" s="455"/>
      <c r="N9" s="455"/>
      <c r="O9" s="455"/>
      <c r="P9" s="455"/>
      <c r="Q9" s="455"/>
      <c r="R9" s="455"/>
      <c r="S9" s="455"/>
      <c r="T9" s="455"/>
      <c r="U9" s="455"/>
      <c r="V9" s="455"/>
      <c r="W9" s="455"/>
      <c r="X9" s="455"/>
      <c r="Y9" s="455"/>
      <c r="Z9" s="455"/>
      <c r="AA9" s="455"/>
      <c r="AB9" s="455"/>
      <c r="AC9" s="455"/>
      <c r="AD9" s="455"/>
      <c r="AE9" s="455"/>
      <c r="AF9" s="455"/>
      <c r="AG9" s="455"/>
      <c r="AH9" s="500"/>
    </row>
    <row r="10" spans="1:34" ht="23.1" customHeight="1">
      <c r="A10" s="499"/>
      <c r="B10" s="455"/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500"/>
    </row>
    <row r="11" spans="1:34" ht="23.1" customHeight="1">
      <c r="A11" s="499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  <c r="AD11" s="455"/>
      <c r="AE11" s="455"/>
      <c r="AF11" s="455"/>
      <c r="AG11" s="455"/>
      <c r="AH11" s="500"/>
    </row>
    <row r="12" spans="1:34" ht="23.1" customHeight="1">
      <c r="A12" s="499"/>
      <c r="B12" s="455"/>
      <c r="C12" s="455"/>
      <c r="D12" s="455"/>
      <c r="E12" s="455"/>
      <c r="F12" s="455"/>
      <c r="G12" s="455"/>
      <c r="H12" s="455"/>
      <c r="I12" s="455"/>
      <c r="J12" s="455"/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5"/>
      <c r="X12" s="455"/>
      <c r="Y12" s="455"/>
      <c r="Z12" s="455"/>
      <c r="AA12" s="455"/>
      <c r="AB12" s="455"/>
      <c r="AC12" s="455"/>
      <c r="AD12" s="455"/>
      <c r="AE12" s="455"/>
      <c r="AF12" s="455"/>
      <c r="AG12" s="455"/>
      <c r="AH12" s="500"/>
    </row>
    <row r="13" spans="1:34" ht="23.1" customHeight="1">
      <c r="A13" s="499"/>
      <c r="B13" s="455"/>
      <c r="C13" s="455"/>
      <c r="D13" s="455"/>
      <c r="E13" s="455"/>
      <c r="F13" s="455"/>
      <c r="G13" s="455"/>
      <c r="H13" s="455"/>
      <c r="I13" s="455"/>
      <c r="J13" s="455"/>
      <c r="K13" s="455"/>
      <c r="L13" s="455"/>
      <c r="M13" s="455"/>
      <c r="N13" s="455"/>
      <c r="O13" s="455"/>
      <c r="P13" s="455"/>
      <c r="Q13" s="455"/>
      <c r="R13" s="455"/>
      <c r="S13" s="455"/>
      <c r="T13" s="455"/>
      <c r="U13" s="455"/>
      <c r="V13" s="455"/>
      <c r="W13" s="455"/>
      <c r="X13" s="455"/>
      <c r="Y13" s="455"/>
      <c r="Z13" s="455"/>
      <c r="AA13" s="455"/>
      <c r="AB13" s="455"/>
      <c r="AC13" s="455"/>
      <c r="AD13" s="455"/>
      <c r="AE13" s="455"/>
      <c r="AF13" s="455"/>
      <c r="AG13" s="455"/>
      <c r="AH13" s="500"/>
    </row>
    <row r="14" spans="1:34" ht="23.1" customHeight="1">
      <c r="A14" s="499"/>
      <c r="B14" s="455"/>
      <c r="C14" s="455"/>
      <c r="D14" s="455"/>
      <c r="E14" s="455"/>
      <c r="F14" s="455"/>
      <c r="G14" s="455"/>
      <c r="H14" s="455"/>
      <c r="I14" s="455"/>
      <c r="J14" s="455"/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5"/>
      <c r="X14" s="455"/>
      <c r="Y14" s="455"/>
      <c r="Z14" s="455"/>
      <c r="AA14" s="455"/>
      <c r="AB14" s="455"/>
      <c r="AC14" s="455"/>
      <c r="AD14" s="455"/>
      <c r="AE14" s="455"/>
      <c r="AF14" s="455"/>
      <c r="AG14" s="455"/>
      <c r="AH14" s="500"/>
    </row>
    <row r="15" spans="1:34" ht="23.1" customHeight="1">
      <c r="A15" s="499"/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L15" s="455"/>
      <c r="M15" s="455"/>
      <c r="N15" s="455"/>
      <c r="O15" s="455"/>
      <c r="P15" s="455"/>
      <c r="Q15" s="455"/>
      <c r="R15" s="455"/>
      <c r="S15" s="455"/>
      <c r="T15" s="455"/>
      <c r="U15" s="455"/>
      <c r="V15" s="455"/>
      <c r="W15" s="455"/>
      <c r="X15" s="455"/>
      <c r="Y15" s="455"/>
      <c r="Z15" s="455"/>
      <c r="AA15" s="455"/>
      <c r="AB15" s="455"/>
      <c r="AC15" s="455"/>
      <c r="AD15" s="455"/>
      <c r="AE15" s="455"/>
      <c r="AF15" s="455"/>
      <c r="AG15" s="455"/>
      <c r="AH15" s="500"/>
    </row>
    <row r="16" spans="1:34" ht="23.1" customHeight="1">
      <c r="A16" s="499"/>
      <c r="B16" s="455"/>
      <c r="C16" s="455"/>
      <c r="D16" s="455"/>
      <c r="E16" s="455"/>
      <c r="F16" s="455"/>
      <c r="G16" s="455"/>
      <c r="H16" s="455"/>
      <c r="I16" s="455"/>
      <c r="J16" s="455"/>
      <c r="K16" s="455"/>
      <c r="L16" s="455"/>
      <c r="M16" s="455"/>
      <c r="N16" s="455"/>
      <c r="O16" s="455"/>
      <c r="P16" s="455"/>
      <c r="Q16" s="455"/>
      <c r="R16" s="455"/>
      <c r="S16" s="455"/>
      <c r="T16" s="455"/>
      <c r="U16" s="455"/>
      <c r="V16" s="455"/>
      <c r="W16" s="455"/>
      <c r="X16" s="455"/>
      <c r="Y16" s="455"/>
      <c r="Z16" s="455"/>
      <c r="AA16" s="455"/>
      <c r="AB16" s="455"/>
      <c r="AC16" s="455"/>
      <c r="AD16" s="455"/>
      <c r="AE16" s="455"/>
      <c r="AF16" s="455"/>
      <c r="AG16" s="455"/>
      <c r="AH16" s="500"/>
    </row>
    <row r="17" spans="1:34" ht="23.1" customHeight="1">
      <c r="A17" s="499"/>
      <c r="B17" s="455"/>
      <c r="C17" s="455"/>
      <c r="D17" s="455"/>
      <c r="E17" s="455"/>
      <c r="F17" s="455"/>
      <c r="G17" s="455"/>
      <c r="H17" s="455"/>
      <c r="I17" s="455"/>
      <c r="J17" s="455"/>
      <c r="K17" s="455"/>
      <c r="L17" s="455"/>
      <c r="M17" s="455"/>
      <c r="N17" s="455"/>
      <c r="O17" s="455"/>
      <c r="P17" s="455"/>
      <c r="Q17" s="455"/>
      <c r="R17" s="455"/>
      <c r="S17" s="455"/>
      <c r="T17" s="455"/>
      <c r="U17" s="455"/>
      <c r="V17" s="455"/>
      <c r="W17" s="455"/>
      <c r="X17" s="455"/>
      <c r="Y17" s="455"/>
      <c r="Z17" s="455"/>
      <c r="AA17" s="455"/>
      <c r="AB17" s="455"/>
      <c r="AC17" s="455"/>
      <c r="AD17" s="455"/>
      <c r="AE17" s="455"/>
      <c r="AF17" s="455"/>
      <c r="AG17" s="455"/>
      <c r="AH17" s="500"/>
    </row>
    <row r="18" spans="1:34" ht="23.1" customHeight="1">
      <c r="A18" s="499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  <c r="N18" s="455"/>
      <c r="O18" s="455"/>
      <c r="P18" s="455"/>
      <c r="Q18" s="455"/>
      <c r="R18" s="455"/>
      <c r="S18" s="455"/>
      <c r="T18" s="455"/>
      <c r="U18" s="455"/>
      <c r="V18" s="455"/>
      <c r="W18" s="455"/>
      <c r="X18" s="455"/>
      <c r="Y18" s="455"/>
      <c r="Z18" s="455"/>
      <c r="AA18" s="455"/>
      <c r="AB18" s="455"/>
      <c r="AC18" s="455"/>
      <c r="AD18" s="455"/>
      <c r="AE18" s="455"/>
      <c r="AF18" s="455"/>
      <c r="AG18" s="455"/>
      <c r="AH18" s="500"/>
    </row>
    <row r="19" spans="1:34" ht="23.1" customHeight="1" thickBot="1">
      <c r="A19" s="501"/>
      <c r="B19" s="502"/>
      <c r="C19" s="502"/>
      <c r="D19" s="502"/>
      <c r="E19" s="502"/>
      <c r="F19" s="502"/>
      <c r="G19" s="502"/>
      <c r="H19" s="502"/>
      <c r="I19" s="502"/>
      <c r="J19" s="502"/>
      <c r="K19" s="502"/>
      <c r="L19" s="502"/>
      <c r="M19" s="502"/>
      <c r="N19" s="502"/>
      <c r="O19" s="502"/>
      <c r="P19" s="502"/>
      <c r="Q19" s="502"/>
      <c r="R19" s="502"/>
      <c r="S19" s="502"/>
      <c r="T19" s="502"/>
      <c r="U19" s="502"/>
      <c r="V19" s="502"/>
      <c r="W19" s="502"/>
      <c r="X19" s="502"/>
      <c r="Y19" s="502"/>
      <c r="Z19" s="502"/>
      <c r="AA19" s="502"/>
      <c r="AB19" s="502"/>
      <c r="AC19" s="502"/>
      <c r="AD19" s="502"/>
      <c r="AE19" s="502"/>
      <c r="AF19" s="502"/>
      <c r="AG19" s="502"/>
      <c r="AH19" s="50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zoomScaleNormal="100" workbookViewId="0">
      <selection activeCell="A6" sqref="A6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279</v>
      </c>
      <c r="J1" s="68"/>
    </row>
    <row r="2" spans="1:18" s="77" customFormat="1" ht="23.1" customHeight="1">
      <c r="A2" s="554" t="s">
        <v>0</v>
      </c>
      <c r="B2" s="556" t="s">
        <v>39</v>
      </c>
      <c r="C2" s="556" t="s">
        <v>6</v>
      </c>
      <c r="D2" s="556" t="s">
        <v>38</v>
      </c>
      <c r="E2" s="556" t="s">
        <v>206</v>
      </c>
      <c r="F2" s="556" t="s">
        <v>205</v>
      </c>
      <c r="G2" s="560" t="s">
        <v>1</v>
      </c>
      <c r="H2" s="560" t="s">
        <v>2</v>
      </c>
      <c r="I2" s="560" t="s">
        <v>174</v>
      </c>
      <c r="J2" s="564" t="s">
        <v>288</v>
      </c>
      <c r="K2" s="560" t="s">
        <v>287</v>
      </c>
      <c r="L2" s="560" t="s">
        <v>3</v>
      </c>
      <c r="M2" s="560" t="s">
        <v>4</v>
      </c>
      <c r="N2" s="560" t="s">
        <v>5</v>
      </c>
      <c r="O2" s="560" t="s">
        <v>286</v>
      </c>
      <c r="P2" s="562" t="s">
        <v>285</v>
      </c>
      <c r="Q2" s="556" t="s">
        <v>160</v>
      </c>
      <c r="R2" s="558" t="s">
        <v>93</v>
      </c>
    </row>
    <row r="3" spans="1:18" s="77" customFormat="1" ht="27" customHeight="1">
      <c r="A3" s="555"/>
      <c r="B3" s="557"/>
      <c r="C3" s="557"/>
      <c r="D3" s="557"/>
      <c r="E3" s="557"/>
      <c r="F3" s="557"/>
      <c r="G3" s="561"/>
      <c r="H3" s="561"/>
      <c r="I3" s="561"/>
      <c r="J3" s="565"/>
      <c r="K3" s="561"/>
      <c r="L3" s="561"/>
      <c r="M3" s="561"/>
      <c r="N3" s="561"/>
      <c r="O3" s="561"/>
      <c r="P3" s="563"/>
      <c r="Q3" s="557"/>
      <c r="R3" s="559"/>
    </row>
    <row r="4" spans="1:18" ht="23.1" customHeight="1">
      <c r="A4" s="522" t="s">
        <v>265</v>
      </c>
      <c r="B4" s="523" t="s">
        <v>232</v>
      </c>
      <c r="C4" s="524"/>
      <c r="D4" s="523" t="s">
        <v>277</v>
      </c>
      <c r="E4" s="523" t="s">
        <v>278</v>
      </c>
      <c r="F4" s="523" t="s">
        <v>233</v>
      </c>
      <c r="G4" s="523">
        <v>200</v>
      </c>
      <c r="H4" s="523">
        <v>500</v>
      </c>
      <c r="I4" s="523">
        <v>130</v>
      </c>
      <c r="J4" s="523">
        <v>143</v>
      </c>
      <c r="K4" s="523">
        <v>143</v>
      </c>
      <c r="L4" s="523">
        <v>10</v>
      </c>
      <c r="M4" s="523">
        <v>200</v>
      </c>
      <c r="N4" s="525">
        <v>50</v>
      </c>
      <c r="O4" s="526">
        <v>172.8</v>
      </c>
      <c r="P4" s="527">
        <v>3059068</v>
      </c>
      <c r="Q4" s="523"/>
      <c r="R4" s="528"/>
    </row>
    <row r="5" spans="1:18" ht="23.1" customHeight="1">
      <c r="A5" s="522" t="s">
        <v>275</v>
      </c>
      <c r="B5" s="523" t="s">
        <v>232</v>
      </c>
      <c r="C5" s="524"/>
      <c r="D5" s="523" t="s">
        <v>277</v>
      </c>
      <c r="E5" s="523" t="s">
        <v>278</v>
      </c>
      <c r="F5" s="523" t="s">
        <v>233</v>
      </c>
      <c r="G5" s="523">
        <v>200</v>
      </c>
      <c r="H5" s="523">
        <v>250</v>
      </c>
      <c r="I5" s="523">
        <v>130</v>
      </c>
      <c r="J5" s="523">
        <v>143</v>
      </c>
      <c r="K5" s="523">
        <v>143</v>
      </c>
      <c r="L5" s="523">
        <v>7.5</v>
      </c>
      <c r="M5" s="523">
        <v>150</v>
      </c>
      <c r="N5" s="525">
        <v>40</v>
      </c>
      <c r="O5" s="526">
        <v>172.8</v>
      </c>
      <c r="P5" s="527">
        <v>3059068</v>
      </c>
      <c r="Q5" s="523"/>
      <c r="R5" s="528"/>
    </row>
    <row r="6" spans="1:18" ht="23.1" customHeight="1" thickBot="1">
      <c r="A6" s="529" t="s">
        <v>276</v>
      </c>
      <c r="B6" s="530" t="s">
        <v>232</v>
      </c>
      <c r="C6" s="531"/>
      <c r="D6" s="530" t="s">
        <v>277</v>
      </c>
      <c r="E6" s="530" t="s">
        <v>278</v>
      </c>
      <c r="F6" s="530" t="s">
        <v>233</v>
      </c>
      <c r="G6" s="530">
        <v>200</v>
      </c>
      <c r="H6" s="530">
        <v>250</v>
      </c>
      <c r="I6" s="530">
        <v>130</v>
      </c>
      <c r="J6" s="530">
        <v>143</v>
      </c>
      <c r="K6" s="530">
        <v>143</v>
      </c>
      <c r="L6" s="530">
        <v>7.5</v>
      </c>
      <c r="M6" s="530">
        <v>150</v>
      </c>
      <c r="N6" s="532">
        <v>40</v>
      </c>
      <c r="O6" s="533">
        <v>172.8</v>
      </c>
      <c r="P6" s="534">
        <v>3059068</v>
      </c>
      <c r="Q6" s="530"/>
      <c r="R6" s="535"/>
    </row>
    <row r="7" spans="1:18" ht="23.25" customHeight="1" thickBot="1">
      <c r="A7" s="322"/>
      <c r="J7" s="356"/>
      <c r="P7" s="357"/>
    </row>
    <row r="8" spans="1:18" ht="23.25" customHeight="1" thickBot="1">
      <c r="I8" s="378">
        <f>SUM(I4:I7)</f>
        <v>390</v>
      </c>
    </row>
    <row r="12" spans="1:18">
      <c r="Q12" s="37" t="s">
        <v>358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P27" sqref="P2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240</v>
      </c>
    </row>
    <row r="2" spans="7:19" ht="29.25" customHeight="1">
      <c r="G2" s="458" t="s">
        <v>211</v>
      </c>
      <c r="H2" s="459" t="s">
        <v>208</v>
      </c>
      <c r="I2" s="460" t="s">
        <v>217</v>
      </c>
      <c r="J2" s="459" t="s">
        <v>209</v>
      </c>
      <c r="K2" s="461" t="s">
        <v>210</v>
      </c>
      <c r="M2" s="464"/>
      <c r="N2" s="465" t="s">
        <v>215</v>
      </c>
      <c r="O2" s="461" t="s">
        <v>216</v>
      </c>
      <c r="Q2" s="458" t="s">
        <v>211</v>
      </c>
      <c r="R2" s="465" t="s">
        <v>219</v>
      </c>
      <c r="S2" s="461" t="s">
        <v>220</v>
      </c>
    </row>
    <row r="3" spans="7:19" ht="20.100000000000001" customHeight="1">
      <c r="G3" s="436" t="s">
        <v>235</v>
      </c>
      <c r="H3" s="424">
        <v>149</v>
      </c>
      <c r="I3" s="462">
        <v>133.96</v>
      </c>
      <c r="J3" s="424">
        <v>130</v>
      </c>
      <c r="K3" s="463">
        <v>0.89261744966442957</v>
      </c>
      <c r="M3" s="466" t="s">
        <v>210</v>
      </c>
      <c r="N3" s="467">
        <v>0.89261744966442957</v>
      </c>
      <c r="O3" s="468">
        <v>0.89261744966442957</v>
      </c>
      <c r="Q3" s="474" t="s">
        <v>235</v>
      </c>
      <c r="R3" s="475">
        <v>6.0139999999999998E-4</v>
      </c>
      <c r="S3" s="476">
        <v>0.21038480000000001</v>
      </c>
    </row>
    <row r="4" spans="7:19" ht="20.100000000000001" customHeight="1">
      <c r="G4" s="436" t="s">
        <v>236</v>
      </c>
      <c r="H4" s="424">
        <v>149</v>
      </c>
      <c r="I4" s="462">
        <v>133.93</v>
      </c>
      <c r="J4" s="424">
        <v>130</v>
      </c>
      <c r="K4" s="463">
        <v>0.89261744966442957</v>
      </c>
      <c r="M4" s="466" t="s">
        <v>217</v>
      </c>
      <c r="N4" s="469">
        <v>133.93</v>
      </c>
      <c r="O4" s="470">
        <v>133.96</v>
      </c>
      <c r="Q4" s="474" t="s">
        <v>236</v>
      </c>
      <c r="R4" s="475">
        <v>5.5579999999999996E-4</v>
      </c>
      <c r="S4" s="476">
        <v>0.19516990000000001</v>
      </c>
    </row>
    <row r="5" spans="7:19" ht="20.100000000000001" customHeight="1" thickBot="1">
      <c r="G5" s="436" t="s">
        <v>237</v>
      </c>
      <c r="H5" s="424">
        <v>149</v>
      </c>
      <c r="I5" s="462">
        <v>133.94</v>
      </c>
      <c r="J5" s="424">
        <v>130</v>
      </c>
      <c r="K5" s="463">
        <v>0.89261744966442957</v>
      </c>
      <c r="M5" s="471" t="s">
        <v>218</v>
      </c>
      <c r="N5" s="472">
        <v>130</v>
      </c>
      <c r="O5" s="473">
        <v>130</v>
      </c>
      <c r="Q5" s="474" t="s">
        <v>237</v>
      </c>
      <c r="R5" s="475">
        <v>5.7790000000000001E-4</v>
      </c>
      <c r="S5" s="476">
        <v>0.2025769</v>
      </c>
    </row>
    <row r="6" spans="7:19" ht="20.100000000000001" customHeight="1">
      <c r="G6" s="436"/>
      <c r="H6" s="424"/>
      <c r="I6" s="424"/>
      <c r="J6" s="424"/>
      <c r="K6" s="425"/>
      <c r="Q6" s="474"/>
      <c r="R6" s="475"/>
      <c r="S6" s="476"/>
    </row>
    <row r="7" spans="7:19" ht="20.100000000000001" customHeight="1">
      <c r="G7" s="436"/>
      <c r="H7" s="424"/>
      <c r="I7" s="424"/>
      <c r="J7" s="424"/>
      <c r="K7" s="425"/>
      <c r="Q7" s="474"/>
      <c r="R7" s="475"/>
      <c r="S7" s="476"/>
    </row>
    <row r="8" spans="7:19" ht="20.100000000000001" customHeight="1">
      <c r="G8" s="436"/>
      <c r="H8" s="424"/>
      <c r="I8" s="424"/>
      <c r="J8" s="424"/>
      <c r="K8" s="425"/>
      <c r="Q8" s="436"/>
      <c r="R8" s="424"/>
      <c r="S8" s="425"/>
    </row>
    <row r="9" spans="7:19" ht="20.100000000000001" customHeight="1">
      <c r="G9" s="436"/>
      <c r="H9" s="424"/>
      <c r="I9" s="424"/>
      <c r="J9" s="424"/>
      <c r="K9" s="425"/>
      <c r="Q9" s="436"/>
      <c r="R9" s="424"/>
      <c r="S9" s="425"/>
    </row>
    <row r="10" spans="7:19" ht="20.100000000000001" customHeight="1">
      <c r="G10" s="436"/>
      <c r="H10" s="424"/>
      <c r="I10" s="424"/>
      <c r="J10" s="424"/>
      <c r="K10" s="425"/>
      <c r="Q10" s="436"/>
      <c r="R10" s="424"/>
      <c r="S10" s="425"/>
    </row>
    <row r="11" spans="7:19" ht="20.100000000000001" customHeight="1">
      <c r="G11" s="436"/>
      <c r="H11" s="424"/>
      <c r="I11" s="424"/>
      <c r="J11" s="424"/>
      <c r="K11" s="425"/>
      <c r="Q11" s="436"/>
      <c r="R11" s="424"/>
      <c r="S11" s="425"/>
    </row>
    <row r="12" spans="7:19" ht="20.100000000000001" customHeight="1">
      <c r="G12" s="436"/>
      <c r="H12" s="424"/>
      <c r="I12" s="424"/>
      <c r="J12" s="424"/>
      <c r="K12" s="425"/>
      <c r="Q12" s="436"/>
      <c r="R12" s="424"/>
      <c r="S12" s="425"/>
    </row>
    <row r="13" spans="7:19" ht="20.100000000000001" customHeight="1">
      <c r="G13" s="436"/>
      <c r="H13" s="424"/>
      <c r="I13" s="424"/>
      <c r="J13" s="424"/>
      <c r="K13" s="425"/>
      <c r="Q13" s="436"/>
      <c r="R13" s="424"/>
      <c r="S13" s="425"/>
    </row>
    <row r="14" spans="7:19" ht="20.100000000000001" customHeight="1">
      <c r="G14" s="436"/>
      <c r="H14" s="424"/>
      <c r="I14" s="424"/>
      <c r="J14" s="424"/>
      <c r="K14" s="425"/>
      <c r="Q14" s="436"/>
      <c r="R14" s="424"/>
      <c r="S14" s="425"/>
    </row>
    <row r="15" spans="7:19" ht="20.100000000000001" customHeight="1">
      <c r="G15" s="436"/>
      <c r="H15" s="424"/>
      <c r="I15" s="424"/>
      <c r="J15" s="424"/>
      <c r="K15" s="425"/>
      <c r="Q15" s="436"/>
      <c r="R15" s="424"/>
      <c r="S15" s="425"/>
    </row>
    <row r="16" spans="7:19" ht="20.100000000000001" customHeight="1">
      <c r="G16" s="436"/>
      <c r="H16" s="424"/>
      <c r="I16" s="424"/>
      <c r="J16" s="424"/>
      <c r="K16" s="425"/>
      <c r="Q16" s="436"/>
      <c r="R16" s="424"/>
      <c r="S16" s="425"/>
    </row>
    <row r="17" spans="6:19" ht="20.100000000000001" customHeight="1">
      <c r="G17" s="436"/>
      <c r="H17" s="424"/>
      <c r="I17" s="424"/>
      <c r="J17" s="424"/>
      <c r="K17" s="425"/>
      <c r="Q17" s="436"/>
      <c r="R17" s="424"/>
      <c r="S17" s="425"/>
    </row>
    <row r="18" spans="6:19" ht="20.100000000000001" customHeight="1">
      <c r="G18" s="436"/>
      <c r="H18" s="424"/>
      <c r="I18" s="424"/>
      <c r="J18" s="424"/>
      <c r="K18" s="425"/>
      <c r="Q18" s="436"/>
      <c r="R18" s="424"/>
      <c r="S18" s="425"/>
    </row>
    <row r="19" spans="6:19" ht="20.100000000000001" customHeight="1" thickBot="1">
      <c r="G19" s="438"/>
      <c r="H19" s="375"/>
      <c r="I19" s="375"/>
      <c r="J19" s="375"/>
      <c r="K19" s="376"/>
      <c r="Q19" s="438"/>
      <c r="R19" s="375"/>
      <c r="S19" s="37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462"/>
      <c r="N23" s="462"/>
      <c r="O23" s="462"/>
      <c r="P23" s="541"/>
      <c r="Q23" s="542"/>
      <c r="R23" s="328"/>
      <c r="S23" s="328"/>
    </row>
    <row r="24" spans="6:19" ht="20.100000000000001" customHeight="1">
      <c r="M24" s="424"/>
      <c r="N24" s="424"/>
      <c r="O24" s="424"/>
      <c r="P24" s="543"/>
      <c r="Q24" s="544"/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538" t="s">
        <v>248</v>
      </c>
      <c r="H26" s="539"/>
      <c r="I26" s="540"/>
    </row>
    <row r="27" spans="6:19" ht="15.95" customHeight="1">
      <c r="F27" s="574" t="s">
        <v>235</v>
      </c>
      <c r="G27" s="572">
        <v>149</v>
      </c>
      <c r="H27" s="537">
        <v>44.94</v>
      </c>
      <c r="I27" s="573">
        <v>133.96</v>
      </c>
    </row>
    <row r="28" spans="6:19" ht="15.95" customHeight="1">
      <c r="F28" s="566"/>
      <c r="G28" s="567"/>
      <c r="H28" s="424">
        <v>21.13</v>
      </c>
      <c r="I28" s="568"/>
      <c r="K28" s="37"/>
    </row>
    <row r="29" spans="6:19" ht="15.95" customHeight="1">
      <c r="F29" s="566" t="s">
        <v>236</v>
      </c>
      <c r="G29" s="567">
        <v>149</v>
      </c>
      <c r="H29" s="424">
        <v>41.65</v>
      </c>
      <c r="I29" s="568">
        <v>133.93</v>
      </c>
    </row>
    <row r="30" spans="6:19" ht="15.95" customHeight="1">
      <c r="F30" s="566"/>
      <c r="G30" s="567"/>
      <c r="H30" s="424">
        <v>19.59</v>
      </c>
      <c r="I30" s="568"/>
    </row>
    <row r="31" spans="6:19" ht="15.95" customHeight="1">
      <c r="F31" s="566" t="s">
        <v>237</v>
      </c>
      <c r="G31" s="567">
        <v>149</v>
      </c>
      <c r="H31" s="424">
        <v>43.25</v>
      </c>
      <c r="I31" s="568">
        <v>133.94</v>
      </c>
    </row>
    <row r="32" spans="6:19" ht="15.95" customHeight="1">
      <c r="F32" s="566"/>
      <c r="G32" s="567"/>
      <c r="H32" s="424">
        <v>20.34</v>
      </c>
      <c r="I32" s="568"/>
    </row>
    <row r="33" spans="6:9" ht="15.95" customHeight="1">
      <c r="F33" s="566"/>
      <c r="G33" s="567"/>
      <c r="H33" s="424"/>
      <c r="I33" s="568"/>
    </row>
    <row r="34" spans="6:9" ht="15.95" customHeight="1">
      <c r="F34" s="566"/>
      <c r="G34" s="567"/>
      <c r="H34" s="424"/>
      <c r="I34" s="568"/>
    </row>
    <row r="35" spans="6:9" ht="15.95" customHeight="1">
      <c r="F35" s="566"/>
      <c r="G35" s="567"/>
      <c r="H35" s="424"/>
      <c r="I35" s="568"/>
    </row>
    <row r="36" spans="6:9" ht="15.95" customHeight="1">
      <c r="F36" s="566"/>
      <c r="G36" s="567"/>
      <c r="H36" s="424"/>
      <c r="I36" s="568"/>
    </row>
    <row r="37" spans="6:9" ht="15.95" customHeight="1">
      <c r="F37" s="566"/>
      <c r="G37" s="567"/>
      <c r="H37" s="424"/>
      <c r="I37" s="568"/>
    </row>
    <row r="38" spans="6:9" ht="15.95" customHeight="1">
      <c r="F38" s="566"/>
      <c r="G38" s="567"/>
      <c r="H38" s="424"/>
      <c r="I38" s="568"/>
    </row>
    <row r="39" spans="6:9" ht="15.95" customHeight="1">
      <c r="F39" s="566"/>
      <c r="G39" s="567"/>
      <c r="H39" s="424"/>
      <c r="I39" s="568"/>
    </row>
    <row r="40" spans="6:9" ht="15.95" customHeight="1">
      <c r="F40" s="566"/>
      <c r="G40" s="567"/>
      <c r="H40" s="424"/>
      <c r="I40" s="568"/>
    </row>
    <row r="41" spans="6:9" ht="15.95" customHeight="1">
      <c r="F41" s="566"/>
      <c r="G41" s="567"/>
      <c r="H41" s="424"/>
      <c r="I41" s="568"/>
    </row>
    <row r="42" spans="6:9" ht="15.95" customHeight="1">
      <c r="F42" s="566"/>
      <c r="G42" s="567"/>
      <c r="H42" s="424"/>
      <c r="I42" s="568"/>
    </row>
    <row r="43" spans="6:9" ht="15.95" customHeight="1">
      <c r="F43" s="566"/>
      <c r="G43" s="567"/>
      <c r="H43" s="424"/>
      <c r="I43" s="568"/>
    </row>
    <row r="44" spans="6:9" ht="15.95" customHeight="1">
      <c r="F44" s="566"/>
      <c r="G44" s="567"/>
      <c r="H44" s="424"/>
      <c r="I44" s="568"/>
    </row>
    <row r="45" spans="6:9" ht="15.95" customHeight="1">
      <c r="F45" s="566"/>
      <c r="G45" s="567"/>
      <c r="H45" s="424"/>
      <c r="I45" s="568"/>
    </row>
    <row r="46" spans="6:9" ht="15.95" customHeight="1">
      <c r="F46" s="566"/>
      <c r="G46" s="567"/>
      <c r="H46" s="424"/>
      <c r="I46" s="568"/>
    </row>
    <row r="47" spans="6:9" ht="15.95" customHeight="1">
      <c r="F47" s="566"/>
      <c r="G47" s="567"/>
      <c r="H47" s="424"/>
      <c r="I47" s="568"/>
    </row>
    <row r="48" spans="6:9" ht="15.95" customHeight="1">
      <c r="F48" s="566"/>
      <c r="G48" s="567"/>
      <c r="H48" s="424"/>
      <c r="I48" s="568"/>
    </row>
    <row r="49" spans="6:9" ht="15.95" customHeight="1">
      <c r="F49" s="566"/>
      <c r="G49" s="567"/>
      <c r="H49" s="424"/>
      <c r="I49" s="568"/>
    </row>
    <row r="50" spans="6:9" ht="15.95" customHeight="1" thickBot="1">
      <c r="F50" s="569"/>
      <c r="G50" s="570"/>
      <c r="H50" s="375"/>
      <c r="I50" s="571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F36" sqref="F36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30" t="s">
        <v>359</v>
      </c>
      <c r="L1" s="330" t="s">
        <v>243</v>
      </c>
      <c r="S1" s="330" t="s">
        <v>244</v>
      </c>
    </row>
    <row r="2" spans="4:21" ht="36.75" customHeight="1">
      <c r="D2" s="433" t="s">
        <v>221</v>
      </c>
      <c r="E2" s="434" t="s">
        <v>218</v>
      </c>
      <c r="F2" s="434" t="s">
        <v>225</v>
      </c>
      <c r="G2" s="434" t="s">
        <v>226</v>
      </c>
      <c r="H2" s="434" t="s">
        <v>165</v>
      </c>
      <c r="I2" s="434" t="s">
        <v>227</v>
      </c>
      <c r="J2" s="435" t="s">
        <v>228</v>
      </c>
      <c r="L2" s="433" t="s">
        <v>218</v>
      </c>
      <c r="M2" s="434" t="s">
        <v>222</v>
      </c>
      <c r="N2" s="434" t="s">
        <v>223</v>
      </c>
      <c r="O2" s="434" t="s">
        <v>224</v>
      </c>
      <c r="P2" s="434" t="s">
        <v>246</v>
      </c>
      <c r="Q2" s="435" t="s">
        <v>247</v>
      </c>
      <c r="S2" s="433" t="s">
        <v>226</v>
      </c>
      <c r="T2" s="434" t="s">
        <v>229</v>
      </c>
      <c r="U2" s="435" t="s">
        <v>230</v>
      </c>
    </row>
    <row r="3" spans="4:21" ht="20.100000000000001" customHeight="1">
      <c r="D3" s="436" t="s">
        <v>235</v>
      </c>
      <c r="E3" s="424">
        <v>130</v>
      </c>
      <c r="F3" s="424">
        <v>14.3</v>
      </c>
      <c r="G3" s="424">
        <v>64.8</v>
      </c>
      <c r="H3" s="424">
        <v>50.5</v>
      </c>
      <c r="I3" s="424">
        <v>0.1</v>
      </c>
      <c r="J3" s="437">
        <v>3.9890328339016063</v>
      </c>
      <c r="K3" s="37"/>
      <c r="L3" s="436">
        <v>130</v>
      </c>
      <c r="M3" s="424">
        <v>0.1</v>
      </c>
      <c r="N3" s="424">
        <v>0.1</v>
      </c>
      <c r="O3" s="424">
        <v>485.7</v>
      </c>
      <c r="P3" s="424">
        <v>1.732</v>
      </c>
      <c r="Q3" s="425">
        <v>8.8969999999999994E-2</v>
      </c>
      <c r="S3" s="440">
        <v>64.8</v>
      </c>
      <c r="T3" s="441">
        <v>16.491080206622705</v>
      </c>
      <c r="U3" s="437">
        <v>48.308919793377292</v>
      </c>
    </row>
    <row r="4" spans="4:21" ht="20.100000000000001" customHeight="1">
      <c r="D4" s="436" t="s">
        <v>236</v>
      </c>
      <c r="E4" s="424">
        <v>130</v>
      </c>
      <c r="F4" s="424">
        <v>14.9</v>
      </c>
      <c r="G4" s="424">
        <v>61.7</v>
      </c>
      <c r="H4" s="424">
        <v>46.800000000000004</v>
      </c>
      <c r="I4" s="424">
        <v>0.1</v>
      </c>
      <c r="J4" s="437">
        <v>3.7991159487113451</v>
      </c>
      <c r="K4" s="37"/>
      <c r="L4" s="436">
        <v>130</v>
      </c>
      <c r="M4" s="424">
        <v>0.1</v>
      </c>
      <c r="N4" s="424">
        <v>0.1</v>
      </c>
      <c r="O4" s="424">
        <v>235.1</v>
      </c>
      <c r="P4" s="424">
        <v>1.877</v>
      </c>
      <c r="Q4" s="425">
        <v>9.2749999999999999E-2</v>
      </c>
      <c r="S4" s="440">
        <v>61.7</v>
      </c>
      <c r="T4" s="441">
        <v>17.057988721779331</v>
      </c>
      <c r="U4" s="437">
        <v>44.642011278220671</v>
      </c>
    </row>
    <row r="5" spans="4:21" ht="20.100000000000001" customHeight="1">
      <c r="D5" s="436" t="s">
        <v>237</v>
      </c>
      <c r="E5" s="424">
        <v>130</v>
      </c>
      <c r="F5" s="424">
        <v>13.8</v>
      </c>
      <c r="G5" s="424">
        <v>62.4</v>
      </c>
      <c r="H5" s="424">
        <v>48.599999999999994</v>
      </c>
      <c r="I5" s="424">
        <v>0.1</v>
      </c>
      <c r="J5" s="437">
        <v>3.8914763181450334</v>
      </c>
      <c r="K5" s="37"/>
      <c r="L5" s="436">
        <v>130</v>
      </c>
      <c r="M5" s="424">
        <v>0.1</v>
      </c>
      <c r="N5" s="424">
        <v>0.1</v>
      </c>
      <c r="O5" s="424">
        <v>236.2</v>
      </c>
      <c r="P5" s="424">
        <v>1.8029999999999999</v>
      </c>
      <c r="Q5" s="425">
        <v>9.0880000000000002E-2</v>
      </c>
      <c r="S5" s="440">
        <v>62.4</v>
      </c>
      <c r="T5" s="441">
        <v>15.974338991033088</v>
      </c>
      <c r="U5" s="437">
        <v>46.425661008966912</v>
      </c>
    </row>
    <row r="6" spans="4:21" ht="20.100000000000001" customHeight="1">
      <c r="D6" s="436"/>
      <c r="E6" s="424"/>
      <c r="F6" s="424"/>
      <c r="G6" s="424"/>
      <c r="H6" s="424"/>
      <c r="I6" s="424"/>
      <c r="J6" s="437"/>
      <c r="K6" s="37"/>
      <c r="L6" s="436"/>
      <c r="M6" s="424"/>
      <c r="N6" s="424"/>
      <c r="O6" s="424"/>
      <c r="P6" s="424"/>
      <c r="Q6" s="425"/>
      <c r="S6" s="440"/>
      <c r="T6" s="441"/>
      <c r="U6" s="437"/>
    </row>
    <row r="7" spans="4:21" ht="20.100000000000001" customHeight="1">
      <c r="D7" s="436"/>
      <c r="E7" s="424"/>
      <c r="F7" s="424"/>
      <c r="G7" s="424"/>
      <c r="H7" s="424"/>
      <c r="I7" s="424"/>
      <c r="J7" s="437"/>
      <c r="K7" s="37"/>
      <c r="L7" s="436"/>
      <c r="M7" s="424"/>
      <c r="N7" s="424"/>
      <c r="O7" s="424"/>
      <c r="P7" s="424"/>
      <c r="Q7" s="425"/>
      <c r="S7" s="440"/>
      <c r="T7" s="441"/>
      <c r="U7" s="437"/>
    </row>
    <row r="8" spans="4:21" ht="20.100000000000001" customHeight="1">
      <c r="D8" s="436"/>
      <c r="E8" s="424"/>
      <c r="F8" s="424"/>
      <c r="G8" s="424"/>
      <c r="H8" s="424"/>
      <c r="I8" s="424"/>
      <c r="J8" s="437"/>
      <c r="K8" s="37"/>
      <c r="L8" s="436"/>
      <c r="M8" s="424"/>
      <c r="N8" s="424"/>
      <c r="O8" s="424"/>
      <c r="P8" s="424"/>
      <c r="Q8" s="425"/>
      <c r="S8" s="436"/>
      <c r="T8" s="441"/>
      <c r="U8" s="437"/>
    </row>
    <row r="9" spans="4:21" ht="20.100000000000001" customHeight="1">
      <c r="D9" s="436"/>
      <c r="E9" s="424"/>
      <c r="F9" s="424"/>
      <c r="G9" s="424"/>
      <c r="H9" s="424"/>
      <c r="I9" s="424"/>
      <c r="J9" s="437"/>
      <c r="K9" s="37"/>
      <c r="L9" s="436"/>
      <c r="M9" s="424"/>
      <c r="N9" s="424"/>
      <c r="O9" s="424"/>
      <c r="P9" s="424"/>
      <c r="Q9" s="425"/>
      <c r="S9" s="436"/>
      <c r="T9" s="441"/>
      <c r="U9" s="437"/>
    </row>
    <row r="10" spans="4:21" ht="20.100000000000001" customHeight="1">
      <c r="D10" s="436"/>
      <c r="E10" s="424"/>
      <c r="F10" s="424"/>
      <c r="G10" s="424"/>
      <c r="H10" s="424"/>
      <c r="I10" s="424"/>
      <c r="J10" s="437"/>
      <c r="K10" s="37"/>
      <c r="L10" s="436"/>
      <c r="M10" s="424"/>
      <c r="N10" s="424"/>
      <c r="O10" s="424"/>
      <c r="P10" s="424"/>
      <c r="Q10" s="425"/>
      <c r="S10" s="436"/>
      <c r="T10" s="441"/>
      <c r="U10" s="437"/>
    </row>
    <row r="11" spans="4:21" ht="20.100000000000001" customHeight="1">
      <c r="D11" s="436"/>
      <c r="E11" s="424"/>
      <c r="F11" s="424"/>
      <c r="G11" s="424"/>
      <c r="H11" s="424"/>
      <c r="I11" s="424"/>
      <c r="J11" s="437"/>
      <c r="K11" s="37"/>
      <c r="L11" s="436"/>
      <c r="M11" s="424"/>
      <c r="N11" s="424"/>
      <c r="O11" s="424"/>
      <c r="P11" s="424"/>
      <c r="Q11" s="425"/>
      <c r="S11" s="436"/>
      <c r="T11" s="441"/>
      <c r="U11" s="437"/>
    </row>
    <row r="12" spans="4:21" ht="20.100000000000001" customHeight="1">
      <c r="D12" s="436"/>
      <c r="E12" s="424"/>
      <c r="F12" s="424"/>
      <c r="G12" s="424"/>
      <c r="H12" s="424"/>
      <c r="I12" s="424"/>
      <c r="J12" s="437"/>
      <c r="K12" s="37"/>
      <c r="L12" s="436"/>
      <c r="M12" s="424"/>
      <c r="N12" s="424"/>
      <c r="O12" s="424"/>
      <c r="P12" s="424"/>
      <c r="Q12" s="425"/>
      <c r="S12" s="436"/>
      <c r="T12" s="441"/>
      <c r="U12" s="437"/>
    </row>
    <row r="13" spans="4:21" ht="20.100000000000001" customHeight="1">
      <c r="D13" s="436"/>
      <c r="E13" s="424"/>
      <c r="F13" s="424"/>
      <c r="G13" s="424"/>
      <c r="H13" s="424"/>
      <c r="I13" s="424"/>
      <c r="J13" s="437"/>
      <c r="K13" s="37"/>
      <c r="L13" s="436"/>
      <c r="M13" s="424"/>
      <c r="N13" s="424"/>
      <c r="O13" s="424"/>
      <c r="P13" s="424"/>
      <c r="Q13" s="425"/>
      <c r="S13" s="436"/>
      <c r="T13" s="441"/>
      <c r="U13" s="437"/>
    </row>
    <row r="14" spans="4:21" ht="20.100000000000001" customHeight="1">
      <c r="D14" s="436"/>
      <c r="E14" s="424"/>
      <c r="F14" s="424"/>
      <c r="G14" s="424"/>
      <c r="H14" s="424"/>
      <c r="I14" s="424"/>
      <c r="J14" s="437"/>
      <c r="K14" s="37"/>
      <c r="L14" s="436"/>
      <c r="M14" s="424"/>
      <c r="N14" s="424"/>
      <c r="O14" s="424"/>
      <c r="P14" s="424"/>
      <c r="Q14" s="425"/>
      <c r="S14" s="436"/>
      <c r="T14" s="441"/>
      <c r="U14" s="437"/>
    </row>
    <row r="15" spans="4:21" ht="20.100000000000001" customHeight="1">
      <c r="D15" s="436"/>
      <c r="E15" s="424"/>
      <c r="F15" s="424"/>
      <c r="G15" s="424"/>
      <c r="H15" s="424"/>
      <c r="I15" s="424"/>
      <c r="J15" s="437"/>
      <c r="K15" s="37"/>
      <c r="L15" s="436"/>
      <c r="M15" s="424"/>
      <c r="N15" s="424"/>
      <c r="O15" s="424"/>
      <c r="P15" s="424"/>
      <c r="Q15" s="425"/>
      <c r="S15" s="436"/>
      <c r="T15" s="441"/>
      <c r="U15" s="437"/>
    </row>
    <row r="16" spans="4:21" ht="20.100000000000001" customHeight="1" thickBot="1">
      <c r="D16" s="438"/>
      <c r="E16" s="375"/>
      <c r="F16" s="375"/>
      <c r="G16" s="375"/>
      <c r="H16" s="375"/>
      <c r="I16" s="375"/>
      <c r="J16" s="439"/>
      <c r="K16" s="37"/>
      <c r="L16" s="438"/>
      <c r="M16" s="375"/>
      <c r="N16" s="375"/>
      <c r="O16" s="375"/>
      <c r="P16" s="375"/>
      <c r="Q16" s="376"/>
      <c r="S16" s="438"/>
      <c r="T16" s="442"/>
      <c r="U16" s="439"/>
    </row>
    <row r="17" spans="3:21" ht="20.100000000000001" customHeight="1">
      <c r="D17" s="37"/>
      <c r="E17" s="37"/>
      <c r="F17" s="37"/>
      <c r="G17" s="37"/>
      <c r="H17" s="37"/>
      <c r="I17" s="37"/>
      <c r="J17" s="331"/>
      <c r="K17" s="37"/>
      <c r="L17" s="37"/>
      <c r="M17" s="37"/>
      <c r="N17" s="37"/>
      <c r="O17" s="37"/>
      <c r="P17" s="37"/>
      <c r="Q17" s="37"/>
      <c r="S17" s="37"/>
      <c r="T17" s="331"/>
      <c r="U17" s="331"/>
    </row>
    <row r="18" spans="3:21" ht="20.100000000000001" customHeight="1">
      <c r="D18" s="37"/>
      <c r="E18" s="37"/>
      <c r="F18" s="37"/>
      <c r="G18" s="37"/>
      <c r="H18" s="37"/>
      <c r="I18" s="37"/>
      <c r="J18" s="331"/>
      <c r="K18" s="37"/>
      <c r="L18" s="37"/>
      <c r="M18" s="37"/>
      <c r="N18" s="37"/>
      <c r="O18" s="37"/>
      <c r="P18" s="37"/>
      <c r="Q18" s="37"/>
      <c r="S18" s="37"/>
      <c r="T18" s="331"/>
      <c r="U18" s="331"/>
    </row>
    <row r="19" spans="3:21" ht="20.100000000000001" customHeight="1">
      <c r="H19" s="332"/>
      <c r="J19" s="333"/>
      <c r="K19" s="333"/>
      <c r="L19" s="333"/>
      <c r="M19" s="333"/>
      <c r="N19" s="333"/>
      <c r="O19" s="333"/>
      <c r="P19" s="333"/>
      <c r="S19" s="37"/>
      <c r="T19" s="331"/>
      <c r="U19" s="331"/>
    </row>
    <row r="20" spans="3:21" s="334" customFormat="1" ht="26.25" customHeight="1" thickBot="1">
      <c r="D20" s="330" t="s">
        <v>260</v>
      </c>
      <c r="F20" s="330"/>
      <c r="H20" s="335"/>
      <c r="T20" s="336"/>
      <c r="U20" s="336"/>
    </row>
    <row r="21" spans="3:21" s="52" customFormat="1" ht="36" customHeight="1">
      <c r="D21" s="443" t="s">
        <v>297</v>
      </c>
      <c r="E21" s="444" t="s">
        <v>235</v>
      </c>
      <c r="F21" s="445" t="s">
        <v>236</v>
      </c>
      <c r="G21" s="444" t="s">
        <v>237</v>
      </c>
      <c r="H21" s="446"/>
      <c r="I21" s="444"/>
      <c r="J21" s="444"/>
      <c r="K21" s="444"/>
      <c r="L21" s="444"/>
      <c r="M21" s="444"/>
      <c r="N21" s="444"/>
      <c r="O21" s="444"/>
      <c r="P21" s="447"/>
      <c r="Q21" s="53"/>
      <c r="S21" s="53"/>
      <c r="T21" s="338"/>
      <c r="U21" s="338"/>
    </row>
    <row r="22" spans="3:21" s="37" customFormat="1" ht="23.1" customHeight="1">
      <c r="D22" s="477" t="s">
        <v>264</v>
      </c>
      <c r="E22" s="431">
        <v>1.6435</v>
      </c>
      <c r="F22" s="431">
        <v>1.7795000000000001</v>
      </c>
      <c r="G22" s="431">
        <v>1.6684999999999999</v>
      </c>
      <c r="H22" s="424"/>
      <c r="I22" s="424"/>
      <c r="J22" s="448"/>
      <c r="K22" s="448"/>
      <c r="L22" s="448"/>
      <c r="M22" s="448"/>
      <c r="N22" s="448"/>
      <c r="O22" s="448"/>
      <c r="P22" s="449"/>
      <c r="T22" s="331"/>
      <c r="U22" s="331"/>
    </row>
    <row r="23" spans="3:21" s="37" customFormat="1" ht="23.1" customHeight="1">
      <c r="D23" s="477" t="s">
        <v>241</v>
      </c>
      <c r="E23" s="431">
        <v>3.3800000000000002E-3</v>
      </c>
      <c r="F23" s="431">
        <v>7.5599999999999999E-3</v>
      </c>
      <c r="G23" s="431">
        <v>7.0600000000000003E-3</v>
      </c>
      <c r="H23" s="424"/>
      <c r="I23" s="424"/>
      <c r="J23" s="448"/>
      <c r="K23" s="448"/>
      <c r="L23" s="448"/>
      <c r="M23" s="448"/>
      <c r="N23" s="448"/>
      <c r="O23" s="448"/>
      <c r="P23" s="449"/>
      <c r="T23" s="331"/>
      <c r="U23" s="331"/>
    </row>
    <row r="24" spans="3:21" s="37" customFormat="1" ht="23.1" customHeight="1">
      <c r="D24" s="477" t="s">
        <v>242</v>
      </c>
      <c r="E24" s="424">
        <v>3.2289999999999999E-4</v>
      </c>
      <c r="F24" s="424">
        <v>3.1720000000000001E-4</v>
      </c>
      <c r="G24" s="424">
        <v>3.2009999999999997E-4</v>
      </c>
      <c r="H24" s="424"/>
      <c r="I24" s="424"/>
      <c r="J24" s="448"/>
      <c r="K24" s="448"/>
      <c r="L24" s="448"/>
      <c r="M24" s="448"/>
      <c r="N24" s="448"/>
      <c r="O24" s="448"/>
      <c r="P24" s="449"/>
      <c r="T24" s="331"/>
      <c r="U24" s="331"/>
    </row>
    <row r="25" spans="3:21" s="37" customFormat="1" ht="23.1" customHeight="1">
      <c r="D25" s="477" t="s">
        <v>263</v>
      </c>
      <c r="E25" s="424">
        <v>0.58330000000000004</v>
      </c>
      <c r="F25" s="424">
        <v>0.58330000000000004</v>
      </c>
      <c r="G25" s="424">
        <v>0.58330000000000004</v>
      </c>
      <c r="H25" s="424"/>
      <c r="I25" s="424"/>
      <c r="J25" s="448"/>
      <c r="K25" s="448"/>
      <c r="L25" s="448"/>
      <c r="M25" s="448"/>
      <c r="N25" s="448"/>
      <c r="O25" s="448"/>
      <c r="P25" s="449"/>
      <c r="T25" s="331"/>
      <c r="U25" s="331"/>
    </row>
    <row r="26" spans="3:21" s="37" customFormat="1" ht="23.1" customHeight="1">
      <c r="D26" s="477" t="s">
        <v>262</v>
      </c>
      <c r="E26" s="424">
        <v>50.5</v>
      </c>
      <c r="F26" s="424">
        <v>46.800000000000004</v>
      </c>
      <c r="G26" s="424">
        <v>48.599999999999994</v>
      </c>
      <c r="H26" s="424"/>
      <c r="I26" s="424"/>
      <c r="J26" s="448"/>
      <c r="K26" s="448"/>
      <c r="L26" s="448"/>
      <c r="M26" s="448"/>
      <c r="N26" s="448"/>
      <c r="O26" s="448"/>
      <c r="P26" s="449"/>
      <c r="T26" s="331"/>
      <c r="U26" s="331"/>
    </row>
    <row r="27" spans="3:21" s="37" customFormat="1" ht="23.1" customHeight="1" thickBot="1">
      <c r="D27" s="478" t="s">
        <v>261</v>
      </c>
      <c r="E27" s="375">
        <v>485.7</v>
      </c>
      <c r="F27" s="375">
        <v>235.1</v>
      </c>
      <c r="G27" s="375">
        <v>236.2</v>
      </c>
      <c r="H27" s="375"/>
      <c r="I27" s="375"/>
      <c r="J27" s="450"/>
      <c r="K27" s="450"/>
      <c r="L27" s="450"/>
      <c r="M27" s="450"/>
      <c r="N27" s="450"/>
      <c r="O27" s="450"/>
      <c r="P27" s="451"/>
      <c r="T27" s="331"/>
      <c r="U27" s="331"/>
    </row>
    <row r="28" spans="3:21" ht="20.100000000000001" customHeight="1">
      <c r="D28" s="44"/>
      <c r="E28" s="44"/>
      <c r="F28" s="333"/>
      <c r="G28" s="44"/>
      <c r="H28" s="332"/>
      <c r="T28" s="337"/>
      <c r="U28" s="337"/>
    </row>
    <row r="29" spans="3:21" ht="20.100000000000001" customHeight="1">
      <c r="D29" s="37"/>
      <c r="E29" s="37"/>
      <c r="F29" s="37"/>
      <c r="G29" s="37"/>
      <c r="H29" s="37"/>
      <c r="I29" s="37"/>
      <c r="J29" s="331"/>
      <c r="K29" s="37"/>
      <c r="L29" s="37"/>
      <c r="M29" s="37"/>
      <c r="N29" s="37"/>
      <c r="O29" s="37"/>
      <c r="P29" s="37"/>
      <c r="Q29" s="37"/>
      <c r="T29" s="337"/>
      <c r="U29" s="337"/>
    </row>
    <row r="30" spans="3:21" ht="32.25" customHeight="1" thickBot="1">
      <c r="D30" s="37"/>
      <c r="E30" s="37"/>
      <c r="F30" s="37"/>
      <c r="G30" s="37"/>
      <c r="H30" s="53" t="s">
        <v>393</v>
      </c>
      <c r="I30" s="330"/>
      <c r="J30" s="331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52" t="s">
        <v>221</v>
      </c>
      <c r="D31" s="453" t="s">
        <v>245</v>
      </c>
      <c r="E31" s="453" t="s">
        <v>302</v>
      </c>
      <c r="F31" s="454" t="s">
        <v>303</v>
      </c>
      <c r="H31" s="452" t="s">
        <v>268</v>
      </c>
      <c r="I31" s="453" t="s">
        <v>269</v>
      </c>
      <c r="J31" s="457" t="s">
        <v>270</v>
      </c>
      <c r="K31" s="453" t="s">
        <v>271</v>
      </c>
      <c r="L31" s="453" t="s">
        <v>272</v>
      </c>
      <c r="M31" s="454" t="s">
        <v>273</v>
      </c>
      <c r="O31" s="421" t="s">
        <v>314</v>
      </c>
      <c r="P31" s="422" t="s">
        <v>315</v>
      </c>
      <c r="Q31" s="423" t="s">
        <v>316</v>
      </c>
    </row>
    <row r="32" spans="3:21" ht="20.100000000000001" customHeight="1">
      <c r="C32" s="575" t="s">
        <v>235</v>
      </c>
      <c r="D32" s="455" t="s">
        <v>280</v>
      </c>
      <c r="E32" s="431">
        <v>1.732</v>
      </c>
      <c r="F32" s="425">
        <v>3.2289999999999999E-4</v>
      </c>
      <c r="G32" s="37"/>
      <c r="H32" s="354" t="s">
        <v>235</v>
      </c>
      <c r="I32" s="462">
        <v>43</v>
      </c>
      <c r="J32" s="462">
        <v>52.7</v>
      </c>
      <c r="K32" s="462">
        <v>81.7</v>
      </c>
      <c r="L32" s="424">
        <v>59.1</v>
      </c>
      <c r="M32" s="425">
        <v>81.7</v>
      </c>
      <c r="N32" s="37"/>
      <c r="O32" s="354" t="s">
        <v>235</v>
      </c>
      <c r="P32" s="431">
        <v>-2.8094999999999999</v>
      </c>
      <c r="Q32" s="432">
        <v>1.66</v>
      </c>
    </row>
    <row r="33" spans="3:17" ht="20.100000000000001" customHeight="1">
      <c r="C33" s="575"/>
      <c r="D33" s="455" t="s">
        <v>281</v>
      </c>
      <c r="E33" s="431">
        <v>1.5549999999999999</v>
      </c>
      <c r="F33" s="425"/>
      <c r="G33" s="37"/>
      <c r="H33" s="354" t="s">
        <v>236</v>
      </c>
      <c r="I33" s="462">
        <v>62.5</v>
      </c>
      <c r="J33" s="462">
        <v>76.5</v>
      </c>
      <c r="K33" s="462">
        <v>85.8</v>
      </c>
      <c r="L33" s="424">
        <v>74.900000000000006</v>
      </c>
      <c r="M33" s="425">
        <v>85.8</v>
      </c>
      <c r="N33" s="37"/>
      <c r="O33" s="354" t="s">
        <v>236</v>
      </c>
      <c r="P33" s="431">
        <v>-2.8389000000000002</v>
      </c>
      <c r="Q33" s="432">
        <v>1.71</v>
      </c>
    </row>
    <row r="34" spans="3:17" ht="20.100000000000001" customHeight="1">
      <c r="C34" s="575"/>
      <c r="D34" s="455" t="s">
        <v>282</v>
      </c>
      <c r="E34" s="431">
        <v>1.6435</v>
      </c>
      <c r="F34" s="425">
        <v>3.2289999999999999E-4</v>
      </c>
      <c r="G34" s="37"/>
      <c r="H34" s="354" t="s">
        <v>237</v>
      </c>
      <c r="I34" s="462">
        <v>61.2</v>
      </c>
      <c r="J34" s="462">
        <v>75</v>
      </c>
      <c r="K34" s="462">
        <v>82.7</v>
      </c>
      <c r="L34" s="424">
        <v>73</v>
      </c>
      <c r="M34" s="425">
        <v>82.7</v>
      </c>
      <c r="N34" s="37"/>
      <c r="O34" s="354" t="s">
        <v>237</v>
      </c>
      <c r="P34" s="431">
        <v>-2.8243999999999998</v>
      </c>
      <c r="Q34" s="432">
        <v>1.6850000000000001</v>
      </c>
    </row>
    <row r="35" spans="3:17" ht="20.100000000000001" customHeight="1">
      <c r="C35" s="575" t="s">
        <v>236</v>
      </c>
      <c r="D35" s="455" t="s">
        <v>280</v>
      </c>
      <c r="E35" s="431">
        <v>1.877</v>
      </c>
      <c r="F35" s="425">
        <v>3.1720000000000001E-4</v>
      </c>
      <c r="G35" s="37"/>
      <c r="H35" s="354"/>
      <c r="I35" s="424"/>
      <c r="J35" s="441"/>
      <c r="K35" s="424"/>
      <c r="L35" s="424"/>
      <c r="M35" s="425"/>
      <c r="N35" s="37"/>
      <c r="O35" s="354"/>
      <c r="P35" s="424"/>
      <c r="Q35" s="425"/>
    </row>
    <row r="36" spans="3:17" ht="20.100000000000001" customHeight="1">
      <c r="C36" s="575"/>
      <c r="D36" s="455" t="s">
        <v>281</v>
      </c>
      <c r="E36" s="431">
        <v>1.6819999999999999</v>
      </c>
      <c r="F36" s="425"/>
      <c r="G36" s="37"/>
      <c r="H36" s="354"/>
      <c r="I36" s="424"/>
      <c r="J36" s="424"/>
      <c r="K36" s="424"/>
      <c r="L36" s="424"/>
      <c r="M36" s="425"/>
      <c r="N36" s="37"/>
      <c r="O36" s="354"/>
      <c r="P36" s="424"/>
      <c r="Q36" s="425"/>
    </row>
    <row r="37" spans="3:17" ht="20.100000000000001" customHeight="1">
      <c r="C37" s="575"/>
      <c r="D37" s="455" t="s">
        <v>282</v>
      </c>
      <c r="E37" s="431">
        <v>1.7795000000000001</v>
      </c>
      <c r="F37" s="425">
        <v>3.1720000000000001E-4</v>
      </c>
      <c r="G37" s="37"/>
      <c r="H37" s="354"/>
      <c r="I37" s="424"/>
      <c r="J37" s="424"/>
      <c r="K37" s="424"/>
      <c r="L37" s="424"/>
      <c r="M37" s="425"/>
      <c r="N37" s="37"/>
      <c r="O37" s="354"/>
      <c r="P37" s="424"/>
      <c r="Q37" s="425"/>
    </row>
    <row r="38" spans="3:17" ht="20.100000000000001" customHeight="1">
      <c r="C38" s="575" t="s">
        <v>237</v>
      </c>
      <c r="D38" s="455" t="s">
        <v>280</v>
      </c>
      <c r="E38" s="431">
        <v>1.8029999999999999</v>
      </c>
      <c r="F38" s="425">
        <v>3.2009999999999997E-4</v>
      </c>
      <c r="G38" s="37"/>
      <c r="H38" s="354"/>
      <c r="I38" s="424"/>
      <c r="J38" s="424"/>
      <c r="K38" s="424"/>
      <c r="L38" s="424"/>
      <c r="M38" s="425"/>
      <c r="N38" s="37"/>
      <c r="O38" s="354"/>
      <c r="P38" s="424"/>
      <c r="Q38" s="425"/>
    </row>
    <row r="39" spans="3:17" ht="20.100000000000001" customHeight="1">
      <c r="C39" s="575"/>
      <c r="D39" s="455" t="s">
        <v>281</v>
      </c>
      <c r="E39" s="431">
        <v>1.534</v>
      </c>
      <c r="F39" s="425"/>
      <c r="G39" s="37"/>
      <c r="H39" s="354"/>
      <c r="I39" s="424"/>
      <c r="J39" s="424"/>
      <c r="K39" s="424"/>
      <c r="L39" s="424"/>
      <c r="M39" s="425"/>
      <c r="N39" s="37"/>
      <c r="O39" s="354"/>
      <c r="P39" s="424"/>
      <c r="Q39" s="425"/>
    </row>
    <row r="40" spans="3:17" ht="20.100000000000001" customHeight="1">
      <c r="C40" s="575"/>
      <c r="D40" s="455" t="s">
        <v>282</v>
      </c>
      <c r="E40" s="431">
        <v>1.6684999999999999</v>
      </c>
      <c r="F40" s="425">
        <v>3.2009999999999997E-4</v>
      </c>
      <c r="G40" s="37"/>
      <c r="H40" s="354"/>
      <c r="I40" s="424"/>
      <c r="J40" s="424"/>
      <c r="K40" s="424"/>
      <c r="L40" s="424"/>
      <c r="M40" s="425"/>
      <c r="N40" s="37"/>
      <c r="O40" s="354"/>
      <c r="P40" s="424"/>
      <c r="Q40" s="425"/>
    </row>
    <row r="41" spans="3:17" ht="20.100000000000001" customHeight="1">
      <c r="C41" s="575"/>
      <c r="D41" s="455"/>
      <c r="E41" s="424"/>
      <c r="F41" s="425"/>
      <c r="G41" s="37"/>
      <c r="H41" s="354"/>
      <c r="I41" s="424"/>
      <c r="J41" s="424"/>
      <c r="K41" s="424"/>
      <c r="L41" s="424"/>
      <c r="M41" s="425"/>
      <c r="N41" s="37"/>
      <c r="O41" s="354"/>
      <c r="P41" s="424"/>
      <c r="Q41" s="425"/>
    </row>
    <row r="42" spans="3:17" ht="20.100000000000001" customHeight="1">
      <c r="C42" s="575"/>
      <c r="D42" s="455"/>
      <c r="E42" s="424"/>
      <c r="F42" s="425"/>
      <c r="G42" s="37"/>
      <c r="H42" s="354"/>
      <c r="I42" s="424"/>
      <c r="J42" s="424"/>
      <c r="K42" s="424"/>
      <c r="L42" s="424"/>
      <c r="M42" s="425"/>
      <c r="N42" s="37"/>
      <c r="O42" s="354"/>
      <c r="P42" s="424"/>
      <c r="Q42" s="425"/>
    </row>
    <row r="43" spans="3:17" ht="20.100000000000001" customHeight="1">
      <c r="C43" s="575"/>
      <c r="D43" s="455"/>
      <c r="E43" s="424"/>
      <c r="F43" s="425"/>
      <c r="G43" s="37"/>
      <c r="H43" s="354"/>
      <c r="I43" s="424"/>
      <c r="J43" s="424"/>
      <c r="K43" s="424"/>
      <c r="L43" s="424"/>
      <c r="M43" s="425"/>
      <c r="N43" s="37"/>
      <c r="O43" s="354"/>
      <c r="P43" s="424"/>
      <c r="Q43" s="425"/>
    </row>
    <row r="44" spans="3:17" ht="20.100000000000001" customHeight="1">
      <c r="C44" s="575"/>
      <c r="D44" s="455"/>
      <c r="E44" s="424"/>
      <c r="F44" s="425"/>
      <c r="G44" s="37"/>
      <c r="H44" s="354"/>
      <c r="I44" s="424"/>
      <c r="J44" s="424"/>
      <c r="K44" s="424"/>
      <c r="L44" s="424"/>
      <c r="M44" s="425"/>
      <c r="N44" s="37"/>
      <c r="O44" s="354"/>
      <c r="P44" s="424"/>
      <c r="Q44" s="425"/>
    </row>
    <row r="45" spans="3:17" ht="20.100000000000001" customHeight="1" thickBot="1">
      <c r="C45" s="575"/>
      <c r="D45" s="455"/>
      <c r="E45" s="424"/>
      <c r="F45" s="425"/>
      <c r="G45" s="37"/>
      <c r="H45" s="355"/>
      <c r="I45" s="375"/>
      <c r="J45" s="375"/>
      <c r="K45" s="375"/>
      <c r="L45" s="375"/>
      <c r="M45" s="376"/>
      <c r="N45" s="37"/>
      <c r="O45" s="355"/>
      <c r="P45" s="375"/>
      <c r="Q45" s="376"/>
    </row>
    <row r="46" spans="3:17" ht="20.100000000000001" customHeight="1">
      <c r="C46" s="575"/>
      <c r="D46" s="455"/>
      <c r="E46" s="424"/>
      <c r="F46" s="425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75"/>
      <c r="D47" s="455"/>
      <c r="E47" s="424"/>
      <c r="F47" s="425"/>
    </row>
    <row r="48" spans="3:17" ht="20.100000000000001" customHeight="1">
      <c r="C48" s="575"/>
      <c r="D48" s="455"/>
      <c r="E48" s="424"/>
      <c r="F48" s="425"/>
    </row>
    <row r="49" spans="3:6" ht="20.100000000000001" customHeight="1">
      <c r="C49" s="575"/>
      <c r="D49" s="455"/>
      <c r="E49" s="424"/>
      <c r="F49" s="425"/>
    </row>
    <row r="50" spans="3:6" ht="20.100000000000001" customHeight="1">
      <c r="C50" s="575"/>
      <c r="D50" s="455"/>
      <c r="E50" s="424"/>
      <c r="F50" s="425"/>
    </row>
    <row r="51" spans="3:6" ht="20.100000000000001" customHeight="1">
      <c r="C51" s="575"/>
      <c r="D51" s="455"/>
      <c r="E51" s="424"/>
      <c r="F51" s="425"/>
    </row>
    <row r="52" spans="3:6" ht="20.100000000000001" customHeight="1">
      <c r="C52" s="575"/>
      <c r="D52" s="455"/>
      <c r="E52" s="424"/>
      <c r="F52" s="425"/>
    </row>
    <row r="53" spans="3:6" ht="20.100000000000001" customHeight="1">
      <c r="C53" s="575"/>
      <c r="D53" s="455"/>
      <c r="E53" s="424"/>
      <c r="F53" s="425"/>
    </row>
    <row r="54" spans="3:6" ht="20.100000000000001" customHeight="1">
      <c r="C54" s="575"/>
      <c r="D54" s="455"/>
      <c r="E54" s="424"/>
      <c r="F54" s="425"/>
    </row>
    <row r="55" spans="3:6" ht="20.100000000000001" customHeight="1">
      <c r="C55" s="575"/>
      <c r="D55" s="455"/>
      <c r="E55" s="424"/>
      <c r="F55" s="425"/>
    </row>
    <row r="56" spans="3:6" ht="20.100000000000001" customHeight="1">
      <c r="C56" s="575"/>
      <c r="D56" s="455"/>
      <c r="E56" s="424"/>
      <c r="F56" s="425"/>
    </row>
    <row r="57" spans="3:6" ht="20.100000000000001" customHeight="1">
      <c r="C57" s="575"/>
      <c r="D57" s="455"/>
      <c r="E57" s="424"/>
      <c r="F57" s="425"/>
    </row>
    <row r="58" spans="3:6" ht="20.100000000000001" customHeight="1">
      <c r="C58" s="575"/>
      <c r="D58" s="455"/>
      <c r="E58" s="424"/>
      <c r="F58" s="425"/>
    </row>
    <row r="59" spans="3:6" ht="20.100000000000001" customHeight="1">
      <c r="C59" s="575"/>
      <c r="D59" s="455"/>
      <c r="E59" s="424"/>
      <c r="F59" s="425"/>
    </row>
    <row r="60" spans="3:6" ht="20.100000000000001" customHeight="1">
      <c r="C60" s="575"/>
      <c r="D60" s="455"/>
      <c r="E60" s="424"/>
      <c r="F60" s="425"/>
    </row>
    <row r="61" spans="3:6" ht="20.100000000000001" customHeight="1">
      <c r="C61" s="575"/>
      <c r="D61" s="455"/>
      <c r="E61" s="424"/>
      <c r="F61" s="425"/>
    </row>
    <row r="62" spans="3:6" ht="20.100000000000001" customHeight="1">
      <c r="C62" s="575"/>
      <c r="D62" s="455"/>
      <c r="E62" s="424"/>
      <c r="F62" s="425"/>
    </row>
    <row r="63" spans="3:6" ht="20.100000000000001" customHeight="1">
      <c r="C63" s="575"/>
      <c r="D63" s="455"/>
      <c r="E63" s="424"/>
      <c r="F63" s="425"/>
    </row>
    <row r="64" spans="3:6" ht="20.100000000000001" customHeight="1">
      <c r="C64" s="575"/>
      <c r="D64" s="455"/>
      <c r="E64" s="424"/>
      <c r="F64" s="425"/>
    </row>
    <row r="65" spans="3:6" ht="20.100000000000001" customHeight="1">
      <c r="C65" s="575"/>
      <c r="D65" s="455"/>
      <c r="E65" s="424"/>
      <c r="F65" s="425"/>
    </row>
    <row r="66" spans="3:6" ht="20.100000000000001" customHeight="1">
      <c r="C66" s="575"/>
      <c r="D66" s="455"/>
      <c r="E66" s="424"/>
      <c r="F66" s="425"/>
    </row>
    <row r="67" spans="3:6" ht="20.100000000000001" customHeight="1" thickBot="1">
      <c r="C67" s="576"/>
      <c r="D67" s="456"/>
      <c r="E67" s="375"/>
      <c r="F67" s="37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9" t="s">
        <v>259</v>
      </c>
    </row>
    <row r="3" spans="3:15" s="53" customFormat="1" ht="28.5" customHeight="1">
      <c r="C3" s="452" t="s">
        <v>221</v>
      </c>
      <c r="D3" s="453" t="s">
        <v>249</v>
      </c>
      <c r="E3" s="453" t="s">
        <v>218</v>
      </c>
      <c r="F3" s="453" t="s">
        <v>250</v>
      </c>
      <c r="G3" s="453" t="s">
        <v>254</v>
      </c>
      <c r="H3" s="453" t="s">
        <v>256</v>
      </c>
      <c r="I3" s="453" t="s">
        <v>224</v>
      </c>
      <c r="J3" s="453" t="s">
        <v>257</v>
      </c>
      <c r="K3" s="453" t="s">
        <v>120</v>
      </c>
      <c r="L3" s="453" t="s">
        <v>255</v>
      </c>
      <c r="M3" s="453" t="s">
        <v>251</v>
      </c>
      <c r="N3" s="453" t="s">
        <v>252</v>
      </c>
      <c r="O3" s="454" t="s">
        <v>253</v>
      </c>
    </row>
    <row r="4" spans="3:15" ht="20.100000000000001" customHeight="1">
      <c r="C4" s="426" t="s">
        <v>235</v>
      </c>
      <c r="D4" s="583" t="s">
        <v>298</v>
      </c>
      <c r="E4" s="427">
        <v>143</v>
      </c>
      <c r="F4" s="427">
        <v>1.6435</v>
      </c>
      <c r="G4" s="577">
        <v>1.6972</v>
      </c>
      <c r="H4" s="583">
        <v>0.03</v>
      </c>
      <c r="I4" s="427">
        <v>485.7</v>
      </c>
      <c r="J4" s="586">
        <v>319</v>
      </c>
      <c r="K4" s="427">
        <v>194</v>
      </c>
      <c r="L4" s="586">
        <v>196.7</v>
      </c>
      <c r="M4" s="427">
        <v>2.53E-2</v>
      </c>
      <c r="N4" s="577">
        <v>2.2700000000000001E-2</v>
      </c>
      <c r="O4" s="580" t="s">
        <v>258</v>
      </c>
    </row>
    <row r="5" spans="3:15" ht="20.100000000000001" customHeight="1">
      <c r="C5" s="426" t="s">
        <v>236</v>
      </c>
      <c r="D5" s="584"/>
      <c r="E5" s="427">
        <v>143</v>
      </c>
      <c r="F5" s="427">
        <v>1.7795000000000001</v>
      </c>
      <c r="G5" s="578"/>
      <c r="H5" s="584"/>
      <c r="I5" s="427">
        <v>235.1</v>
      </c>
      <c r="J5" s="587"/>
      <c r="K5" s="427">
        <v>200</v>
      </c>
      <c r="L5" s="587"/>
      <c r="M5" s="427">
        <v>1.8100000000000002E-2</v>
      </c>
      <c r="N5" s="578"/>
      <c r="O5" s="581"/>
    </row>
    <row r="6" spans="3:15" ht="20.100000000000001" customHeight="1">
      <c r="C6" s="426" t="s">
        <v>237</v>
      </c>
      <c r="D6" s="585"/>
      <c r="E6" s="427">
        <v>143</v>
      </c>
      <c r="F6" s="427">
        <v>1.6684999999999999</v>
      </c>
      <c r="G6" s="579"/>
      <c r="H6" s="585"/>
      <c r="I6" s="427">
        <v>236.2</v>
      </c>
      <c r="J6" s="588"/>
      <c r="K6" s="427">
        <v>196</v>
      </c>
      <c r="L6" s="588"/>
      <c r="M6" s="427">
        <v>2.47E-2</v>
      </c>
      <c r="N6" s="579"/>
      <c r="O6" s="582"/>
    </row>
    <row r="7" spans="3:15" ht="20.100000000000001" customHeight="1">
      <c r="C7" s="426"/>
      <c r="D7" s="479"/>
      <c r="E7" s="427"/>
      <c r="F7" s="427"/>
      <c r="G7" s="479"/>
      <c r="H7" s="479"/>
      <c r="I7" s="427"/>
      <c r="J7" s="479"/>
      <c r="K7" s="427"/>
      <c r="L7" s="479"/>
      <c r="M7" s="427"/>
      <c r="N7" s="480"/>
      <c r="O7" s="481"/>
    </row>
    <row r="8" spans="3:15" ht="20.100000000000001" customHeight="1">
      <c r="C8" s="426"/>
      <c r="D8" s="479"/>
      <c r="E8" s="427"/>
      <c r="F8" s="427"/>
      <c r="G8" s="479"/>
      <c r="H8" s="479"/>
      <c r="I8" s="427"/>
      <c r="J8" s="479"/>
      <c r="K8" s="427"/>
      <c r="L8" s="479"/>
      <c r="M8" s="427"/>
      <c r="N8" s="480"/>
      <c r="O8" s="481"/>
    </row>
    <row r="9" spans="3:15" ht="20.100000000000001" customHeight="1">
      <c r="C9" s="426"/>
      <c r="D9" s="479"/>
      <c r="E9" s="427"/>
      <c r="F9" s="427"/>
      <c r="G9" s="479"/>
      <c r="H9" s="479"/>
      <c r="I9" s="427"/>
      <c r="J9" s="479"/>
      <c r="K9" s="427"/>
      <c r="L9" s="479"/>
      <c r="M9" s="427"/>
      <c r="N9" s="479"/>
      <c r="O9" s="481"/>
    </row>
    <row r="10" spans="3:15" ht="20.100000000000001" customHeight="1">
      <c r="C10" s="426"/>
      <c r="D10" s="479"/>
      <c r="E10" s="427"/>
      <c r="F10" s="427"/>
      <c r="G10" s="479"/>
      <c r="H10" s="479"/>
      <c r="I10" s="427"/>
      <c r="J10" s="479"/>
      <c r="K10" s="427"/>
      <c r="L10" s="479"/>
      <c r="M10" s="427"/>
      <c r="N10" s="479"/>
      <c r="O10" s="481"/>
    </row>
    <row r="11" spans="3:15" ht="20.100000000000001" customHeight="1">
      <c r="C11" s="426"/>
      <c r="D11" s="479"/>
      <c r="E11" s="427"/>
      <c r="F11" s="427"/>
      <c r="G11" s="479"/>
      <c r="H11" s="479"/>
      <c r="I11" s="427"/>
      <c r="J11" s="479"/>
      <c r="K11" s="427"/>
      <c r="L11" s="479"/>
      <c r="M11" s="427"/>
      <c r="N11" s="479"/>
      <c r="O11" s="481"/>
    </row>
    <row r="12" spans="3:15" ht="20.100000000000001" customHeight="1">
      <c r="C12" s="426"/>
      <c r="D12" s="479"/>
      <c r="E12" s="427"/>
      <c r="F12" s="427"/>
      <c r="G12" s="479"/>
      <c r="H12" s="479"/>
      <c r="I12" s="427"/>
      <c r="J12" s="479"/>
      <c r="K12" s="427"/>
      <c r="L12" s="479"/>
      <c r="M12" s="427"/>
      <c r="N12" s="479"/>
      <c r="O12" s="481"/>
    </row>
    <row r="13" spans="3:15" ht="20.100000000000001" customHeight="1">
      <c r="C13" s="426"/>
      <c r="D13" s="479"/>
      <c r="E13" s="427"/>
      <c r="F13" s="427"/>
      <c r="G13" s="479"/>
      <c r="H13" s="479"/>
      <c r="I13" s="427"/>
      <c r="J13" s="479"/>
      <c r="K13" s="427"/>
      <c r="L13" s="479"/>
      <c r="M13" s="427"/>
      <c r="N13" s="479"/>
      <c r="O13" s="481"/>
    </row>
    <row r="14" spans="3:15" ht="20.100000000000001" customHeight="1">
      <c r="C14" s="426"/>
      <c r="D14" s="479"/>
      <c r="E14" s="427"/>
      <c r="F14" s="427"/>
      <c r="G14" s="479"/>
      <c r="H14" s="479"/>
      <c r="I14" s="427"/>
      <c r="J14" s="479"/>
      <c r="K14" s="427"/>
      <c r="L14" s="479"/>
      <c r="M14" s="427"/>
      <c r="N14" s="479"/>
      <c r="O14" s="481"/>
    </row>
    <row r="15" spans="3:15" ht="20.100000000000001" customHeight="1">
      <c r="C15" s="426"/>
      <c r="D15" s="479"/>
      <c r="E15" s="427"/>
      <c r="F15" s="427"/>
      <c r="G15" s="479"/>
      <c r="H15" s="479"/>
      <c r="I15" s="427"/>
      <c r="J15" s="479"/>
      <c r="K15" s="427"/>
      <c r="L15" s="479"/>
      <c r="M15" s="427"/>
      <c r="N15" s="479"/>
      <c r="O15" s="481"/>
    </row>
    <row r="16" spans="3:15" ht="20.100000000000001" customHeight="1">
      <c r="C16" s="426"/>
      <c r="D16" s="479"/>
      <c r="E16" s="427"/>
      <c r="F16" s="427"/>
      <c r="G16" s="479"/>
      <c r="H16" s="479"/>
      <c r="I16" s="427"/>
      <c r="J16" s="479"/>
      <c r="K16" s="427"/>
      <c r="L16" s="479"/>
      <c r="M16" s="427"/>
      <c r="N16" s="479"/>
      <c r="O16" s="481"/>
    </row>
    <row r="17" spans="3:15" ht="20.100000000000001" customHeight="1" thickBot="1">
      <c r="C17" s="385"/>
      <c r="D17" s="482"/>
      <c r="E17" s="386"/>
      <c r="F17" s="386"/>
      <c r="G17" s="482"/>
      <c r="H17" s="482"/>
      <c r="I17" s="386"/>
      <c r="J17" s="482"/>
      <c r="K17" s="386"/>
      <c r="L17" s="482"/>
      <c r="M17" s="386"/>
      <c r="N17" s="482"/>
      <c r="O17" s="483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P7" sqref="P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2" customFormat="1" ht="27.75" customHeight="1" thickBot="1">
      <c r="D2" s="330" t="s">
        <v>284</v>
      </c>
    </row>
    <row r="3" spans="4:11" s="53" customFormat="1" ht="42.75" customHeight="1">
      <c r="D3" s="344" t="s">
        <v>317</v>
      </c>
      <c r="E3" s="345" t="s">
        <v>318</v>
      </c>
      <c r="F3" s="345" t="s">
        <v>319</v>
      </c>
      <c r="G3" s="345" t="s">
        <v>320</v>
      </c>
      <c r="H3" s="345" t="s">
        <v>321</v>
      </c>
      <c r="I3" s="345" t="s">
        <v>322</v>
      </c>
      <c r="J3" s="345" t="s">
        <v>290</v>
      </c>
      <c r="K3" s="346" t="s">
        <v>291</v>
      </c>
    </row>
    <row r="4" spans="4:11" s="343" customFormat="1" ht="33.75" customHeight="1" thickBot="1">
      <c r="D4" s="347">
        <v>3059068</v>
      </c>
      <c r="E4" s="348">
        <v>1198.3</v>
      </c>
      <c r="F4" s="348">
        <v>1285.4991550772602</v>
      </c>
      <c r="G4" s="349">
        <v>0.64</v>
      </c>
      <c r="H4" s="348">
        <v>822.71945924944657</v>
      </c>
      <c r="I4" s="350">
        <v>172.8</v>
      </c>
      <c r="J4" s="348">
        <v>390</v>
      </c>
      <c r="K4" s="351">
        <v>259.91945924944656</v>
      </c>
    </row>
    <row r="6" spans="4:11" ht="20.100000000000001" customHeight="1" thickBot="1"/>
    <row r="7" spans="4:11" ht="62.25" customHeight="1">
      <c r="D7" s="344" t="s">
        <v>317</v>
      </c>
      <c r="E7" s="345" t="s">
        <v>318</v>
      </c>
      <c r="F7" s="345" t="s">
        <v>319</v>
      </c>
      <c r="G7" s="345" t="s">
        <v>320</v>
      </c>
      <c r="H7" s="345" t="s">
        <v>321</v>
      </c>
      <c r="I7" s="345" t="s">
        <v>322</v>
      </c>
      <c r="J7" s="345" t="s">
        <v>323</v>
      </c>
      <c r="K7" s="346" t="s">
        <v>290</v>
      </c>
    </row>
    <row r="8" spans="4:11" ht="31.5" customHeight="1" thickBot="1">
      <c r="D8" s="347">
        <v>3059068</v>
      </c>
      <c r="E8" s="348">
        <v>1198.3</v>
      </c>
      <c r="F8" s="348">
        <v>1285.4991550772602</v>
      </c>
      <c r="G8" s="349">
        <v>0.64</v>
      </c>
      <c r="H8" s="348">
        <v>822.71945924944657</v>
      </c>
      <c r="I8" s="350">
        <v>172.8</v>
      </c>
      <c r="J8" s="348">
        <v>649.91945924944662</v>
      </c>
      <c r="K8" s="351">
        <v>390</v>
      </c>
    </row>
    <row r="10" spans="4:11" ht="30.75" customHeight="1" thickBot="1">
      <c r="D10" s="330" t="s">
        <v>331</v>
      </c>
    </row>
    <row r="11" spans="4:11" s="53" customFormat="1" ht="39" customHeight="1">
      <c r="D11" s="344" t="s">
        <v>324</v>
      </c>
      <c r="E11" s="352" t="s">
        <v>325</v>
      </c>
      <c r="F11" s="352" t="s">
        <v>326</v>
      </c>
      <c r="G11" s="352" t="s">
        <v>327</v>
      </c>
      <c r="H11" s="352" t="s">
        <v>328</v>
      </c>
      <c r="I11" s="352" t="s">
        <v>329</v>
      </c>
      <c r="J11" s="353" t="s">
        <v>330</v>
      </c>
    </row>
    <row r="12" spans="4:11" s="37" customFormat="1" ht="20.100000000000001" customHeight="1">
      <c r="D12" s="426" t="s">
        <v>235</v>
      </c>
      <c r="E12" s="427">
        <v>500</v>
      </c>
      <c r="F12" s="427">
        <v>143</v>
      </c>
      <c r="G12" s="427">
        <v>14.3</v>
      </c>
      <c r="H12" s="427">
        <v>64.8</v>
      </c>
      <c r="I12" s="427">
        <v>1.6435</v>
      </c>
      <c r="J12" s="428">
        <v>3.2289999999999999E-4</v>
      </c>
    </row>
    <row r="13" spans="4:11" s="37" customFormat="1" ht="20.100000000000001" customHeight="1">
      <c r="D13" s="426" t="s">
        <v>236</v>
      </c>
      <c r="E13" s="427">
        <v>250</v>
      </c>
      <c r="F13" s="427">
        <v>143</v>
      </c>
      <c r="G13" s="427">
        <v>14.9</v>
      </c>
      <c r="H13" s="427">
        <v>61.7</v>
      </c>
      <c r="I13" s="427">
        <v>1.7795000000000001</v>
      </c>
      <c r="J13" s="428">
        <v>3.1720000000000001E-4</v>
      </c>
    </row>
    <row r="14" spans="4:11" s="37" customFormat="1" ht="20.100000000000001" customHeight="1">
      <c r="D14" s="426" t="s">
        <v>237</v>
      </c>
      <c r="E14" s="427">
        <v>250</v>
      </c>
      <c r="F14" s="427">
        <v>143</v>
      </c>
      <c r="G14" s="427">
        <v>13.8</v>
      </c>
      <c r="H14" s="427">
        <v>62.4</v>
      </c>
      <c r="I14" s="427">
        <v>1.6684999999999999</v>
      </c>
      <c r="J14" s="428">
        <v>3.2009999999999997E-4</v>
      </c>
    </row>
    <row r="15" spans="4:11" s="37" customFormat="1" ht="20.100000000000001" customHeight="1">
      <c r="D15" s="426"/>
      <c r="E15" s="427"/>
      <c r="F15" s="427"/>
      <c r="G15" s="427"/>
      <c r="H15" s="427"/>
      <c r="I15" s="427"/>
      <c r="J15" s="428"/>
    </row>
    <row r="16" spans="4:11" s="37" customFormat="1" ht="20.100000000000001" customHeight="1">
      <c r="D16" s="426"/>
      <c r="E16" s="427"/>
      <c r="F16" s="427"/>
      <c r="G16" s="427"/>
      <c r="H16" s="427"/>
      <c r="I16" s="427"/>
      <c r="J16" s="428"/>
    </row>
    <row r="17" spans="4:10" s="37" customFormat="1" ht="20.100000000000001" customHeight="1">
      <c r="D17" s="426"/>
      <c r="E17" s="427"/>
      <c r="F17" s="427"/>
      <c r="G17" s="427"/>
      <c r="H17" s="427"/>
      <c r="I17" s="427"/>
      <c r="J17" s="428"/>
    </row>
    <row r="18" spans="4:10" s="37" customFormat="1" ht="20.100000000000001" customHeight="1">
      <c r="D18" s="426"/>
      <c r="E18" s="427"/>
      <c r="F18" s="427"/>
      <c r="G18" s="427"/>
      <c r="H18" s="427"/>
      <c r="I18" s="427"/>
      <c r="J18" s="428"/>
    </row>
    <row r="19" spans="4:10" s="37" customFormat="1" ht="20.100000000000001" customHeight="1">
      <c r="D19" s="426"/>
      <c r="E19" s="427"/>
      <c r="F19" s="427"/>
      <c r="G19" s="427"/>
      <c r="H19" s="427"/>
      <c r="I19" s="427"/>
      <c r="J19" s="428"/>
    </row>
    <row r="20" spans="4:10" s="37" customFormat="1" ht="20.100000000000001" customHeight="1">
      <c r="D20" s="426"/>
      <c r="E20" s="427"/>
      <c r="F20" s="427"/>
      <c r="G20" s="427"/>
      <c r="H20" s="427"/>
      <c r="I20" s="427"/>
      <c r="J20" s="428"/>
    </row>
    <row r="21" spans="4:10" s="37" customFormat="1" ht="20.100000000000001" customHeight="1">
      <c r="D21" s="426"/>
      <c r="E21" s="427"/>
      <c r="F21" s="427"/>
      <c r="G21" s="427"/>
      <c r="H21" s="427"/>
      <c r="I21" s="427"/>
      <c r="J21" s="428"/>
    </row>
    <row r="22" spans="4:10" s="37" customFormat="1" ht="20.100000000000001" customHeight="1">
      <c r="D22" s="426"/>
      <c r="E22" s="427"/>
      <c r="F22" s="427"/>
      <c r="G22" s="427"/>
      <c r="H22" s="427"/>
      <c r="I22" s="427"/>
      <c r="J22" s="428"/>
    </row>
    <row r="23" spans="4:10" s="37" customFormat="1" ht="20.100000000000001" customHeight="1">
      <c r="D23" s="426"/>
      <c r="E23" s="427"/>
      <c r="F23" s="427"/>
      <c r="G23" s="427"/>
      <c r="H23" s="427"/>
      <c r="I23" s="427"/>
      <c r="J23" s="428"/>
    </row>
    <row r="24" spans="4:10" s="37" customFormat="1" ht="20.100000000000001" customHeight="1" thickBot="1">
      <c r="D24" s="385"/>
      <c r="E24" s="386"/>
      <c r="F24" s="386"/>
      <c r="G24" s="386"/>
      <c r="H24" s="386"/>
      <c r="I24" s="386"/>
      <c r="J24" s="429"/>
    </row>
    <row r="25" spans="4:10" s="37" customFormat="1" ht="20.100000000000001" customHeight="1">
      <c r="D25" s="430"/>
      <c r="E25" s="430"/>
      <c r="F25" s="430"/>
      <c r="G25" s="430"/>
      <c r="H25" s="430"/>
      <c r="I25" s="430"/>
      <c r="J25" s="430"/>
    </row>
    <row r="26" spans="4:10" ht="20.100000000000001" customHeight="1" thickBot="1"/>
    <row r="27" spans="4:10" ht="31.5" customHeight="1">
      <c r="D27" s="344" t="s">
        <v>294</v>
      </c>
      <c r="E27" s="352" t="s">
        <v>292</v>
      </c>
      <c r="F27" s="353" t="s">
        <v>293</v>
      </c>
      <c r="H27" s="344" t="s">
        <v>294</v>
      </c>
      <c r="I27" s="352" t="s">
        <v>332</v>
      </c>
      <c r="J27" s="353" t="s">
        <v>333</v>
      </c>
    </row>
    <row r="28" spans="4:10" s="37" customFormat="1" ht="20.100000000000001" customHeight="1">
      <c r="D28" s="426" t="s">
        <v>235</v>
      </c>
      <c r="E28" s="427" t="s">
        <v>394</v>
      </c>
      <c r="F28" s="428"/>
      <c r="G28" s="430"/>
      <c r="H28" s="426" t="s">
        <v>235</v>
      </c>
      <c r="I28" s="427">
        <v>98</v>
      </c>
      <c r="J28" s="428">
        <v>123</v>
      </c>
    </row>
    <row r="29" spans="4:10" s="37" customFormat="1" ht="20.100000000000001" customHeight="1">
      <c r="D29" s="426" t="s">
        <v>236</v>
      </c>
      <c r="E29" s="427" t="s">
        <v>395</v>
      </c>
      <c r="F29" s="428"/>
      <c r="G29" s="430"/>
      <c r="H29" s="426" t="s">
        <v>236</v>
      </c>
      <c r="I29" s="427">
        <v>99</v>
      </c>
      <c r="J29" s="428">
        <v>126</v>
      </c>
    </row>
    <row r="30" spans="4:10" s="37" customFormat="1" ht="20.100000000000001" customHeight="1">
      <c r="D30" s="426" t="s">
        <v>237</v>
      </c>
      <c r="E30" s="427" t="s">
        <v>396</v>
      </c>
      <c r="F30" s="428"/>
      <c r="G30" s="430"/>
      <c r="H30" s="426" t="s">
        <v>237</v>
      </c>
      <c r="I30" s="427">
        <v>98</v>
      </c>
      <c r="J30" s="428">
        <v>123</v>
      </c>
    </row>
    <row r="31" spans="4:10" s="37" customFormat="1" ht="20.100000000000001" customHeight="1">
      <c r="D31" s="426"/>
      <c r="E31" s="427"/>
      <c r="F31" s="428"/>
      <c r="G31" s="430"/>
      <c r="H31" s="426"/>
      <c r="I31" s="427"/>
      <c r="J31" s="428"/>
    </row>
    <row r="32" spans="4:10" s="37" customFormat="1" ht="20.100000000000001" customHeight="1">
      <c r="D32" s="426"/>
      <c r="E32" s="427"/>
      <c r="F32" s="428"/>
      <c r="G32" s="430"/>
      <c r="H32" s="426"/>
      <c r="I32" s="427"/>
      <c r="J32" s="428"/>
    </row>
    <row r="33" spans="4:16" s="37" customFormat="1" ht="20.100000000000001" customHeight="1">
      <c r="D33" s="426"/>
      <c r="E33" s="427"/>
      <c r="F33" s="428"/>
      <c r="G33" s="430"/>
      <c r="H33" s="426"/>
      <c r="I33" s="427"/>
      <c r="J33" s="428"/>
    </row>
    <row r="34" spans="4:16" s="37" customFormat="1" ht="20.100000000000001" customHeight="1">
      <c r="D34" s="426"/>
      <c r="E34" s="427"/>
      <c r="F34" s="428"/>
      <c r="G34" s="430"/>
      <c r="H34" s="426"/>
      <c r="I34" s="427"/>
      <c r="J34" s="428"/>
    </row>
    <row r="35" spans="4:16" s="37" customFormat="1" ht="20.100000000000001" customHeight="1">
      <c r="D35" s="426"/>
      <c r="E35" s="427"/>
      <c r="F35" s="428"/>
      <c r="G35" s="430"/>
      <c r="H35" s="426"/>
      <c r="I35" s="427"/>
      <c r="J35" s="428"/>
    </row>
    <row r="36" spans="4:16" s="37" customFormat="1" ht="20.100000000000001" customHeight="1">
      <c r="D36" s="426"/>
      <c r="E36" s="427"/>
      <c r="F36" s="428"/>
      <c r="G36" s="430"/>
      <c r="H36" s="426"/>
      <c r="I36" s="427"/>
      <c r="J36" s="428"/>
    </row>
    <row r="37" spans="4:16" s="37" customFormat="1" ht="20.100000000000001" customHeight="1">
      <c r="D37" s="426"/>
      <c r="E37" s="427"/>
      <c r="F37" s="428"/>
      <c r="G37" s="430"/>
      <c r="H37" s="426"/>
      <c r="I37" s="427"/>
      <c r="J37" s="428"/>
    </row>
    <row r="38" spans="4:16" s="37" customFormat="1" ht="20.100000000000001" customHeight="1">
      <c r="D38" s="426"/>
      <c r="E38" s="427"/>
      <c r="F38" s="428"/>
      <c r="G38" s="430"/>
      <c r="H38" s="426"/>
      <c r="I38" s="427"/>
      <c r="J38" s="428"/>
    </row>
    <row r="39" spans="4:16" s="37" customFormat="1" ht="20.100000000000001" customHeight="1">
      <c r="D39" s="426"/>
      <c r="E39" s="427"/>
      <c r="F39" s="428"/>
      <c r="G39" s="430"/>
      <c r="H39" s="426"/>
      <c r="I39" s="427"/>
      <c r="J39" s="428"/>
    </row>
    <row r="40" spans="4:16" s="37" customFormat="1" ht="19.5" customHeight="1" thickBot="1">
      <c r="D40" s="385"/>
      <c r="E40" s="386"/>
      <c r="F40" s="429"/>
      <c r="G40" s="430"/>
      <c r="H40" s="385"/>
      <c r="I40" s="386"/>
      <c r="J40" s="429"/>
    </row>
    <row r="41" spans="4:16" ht="20.100000000000001" customHeight="1">
      <c r="D41" s="340"/>
      <c r="L41" s="536" t="s">
        <v>407</v>
      </c>
    </row>
    <row r="42" spans="4:16" ht="20.100000000000001" customHeight="1">
      <c r="D42" s="340"/>
    </row>
    <row r="43" spans="4:16" ht="20.100000000000001" customHeight="1" thickBot="1">
      <c r="D43" s="341" t="s">
        <v>283</v>
      </c>
    </row>
    <row r="44" spans="4:16" s="37" customFormat="1" ht="31.5" customHeight="1">
      <c r="D44" s="344" t="s">
        <v>235</v>
      </c>
      <c r="E44" s="352" t="s">
        <v>236</v>
      </c>
      <c r="F44" s="352" t="s">
        <v>237</v>
      </c>
      <c r="G44" s="352"/>
      <c r="H44" s="352"/>
      <c r="I44" s="352"/>
      <c r="J44" s="352"/>
      <c r="K44" s="352"/>
      <c r="L44" s="352"/>
      <c r="M44" s="352"/>
      <c r="N44" s="352"/>
      <c r="O44" s="352"/>
      <c r="P44" s="353"/>
    </row>
    <row r="45" spans="4:16" s="377" customFormat="1" ht="30" customHeight="1" thickBot="1">
      <c r="D45" s="385" t="s">
        <v>409</v>
      </c>
      <c r="E45" s="386" t="s">
        <v>409</v>
      </c>
      <c r="F45" s="386" t="s">
        <v>409</v>
      </c>
      <c r="G45" s="375"/>
      <c r="H45" s="375"/>
      <c r="I45" s="375"/>
      <c r="J45" s="375"/>
      <c r="K45" s="375"/>
      <c r="L45" s="375"/>
      <c r="M45" s="375"/>
      <c r="N45" s="375"/>
      <c r="O45" s="375"/>
      <c r="P45" s="376"/>
    </row>
    <row r="46" spans="4:16" ht="20.100000000000001" customHeight="1">
      <c r="D46" s="340"/>
    </row>
    <row r="47" spans="4:16" ht="20.100000000000001" customHeight="1">
      <c r="D47" s="340"/>
    </row>
    <row r="48" spans="4:16" ht="22.5" customHeight="1" thickBot="1">
      <c r="D48" s="341" t="s">
        <v>295</v>
      </c>
    </row>
    <row r="49" spans="4:16" s="37" customFormat="1" ht="36.75" customHeight="1">
      <c r="D49" s="344" t="s">
        <v>235</v>
      </c>
      <c r="E49" s="352" t="s">
        <v>236</v>
      </c>
      <c r="F49" s="352" t="s">
        <v>237</v>
      </c>
      <c r="G49" s="352"/>
      <c r="H49" s="352"/>
      <c r="I49" s="352"/>
      <c r="J49" s="352"/>
      <c r="K49" s="352"/>
      <c r="L49" s="352"/>
      <c r="M49" s="352"/>
      <c r="N49" s="352"/>
      <c r="O49" s="352"/>
      <c r="P49" s="353"/>
    </row>
    <row r="50" spans="4:16" s="377" customFormat="1" ht="30" customHeight="1" thickBot="1">
      <c r="D50" s="385" t="s">
        <v>397</v>
      </c>
      <c r="E50" s="386" t="s">
        <v>398</v>
      </c>
      <c r="F50" s="386" t="s">
        <v>398</v>
      </c>
      <c r="G50" s="375"/>
      <c r="H50" s="375"/>
      <c r="I50" s="375"/>
      <c r="J50" s="375"/>
      <c r="K50" s="375"/>
      <c r="L50" s="375"/>
      <c r="M50" s="375"/>
      <c r="N50" s="375"/>
      <c r="O50" s="375"/>
      <c r="P50" s="376"/>
    </row>
    <row r="51" spans="4:16" ht="20.100000000000001" customHeight="1">
      <c r="D51" s="340"/>
    </row>
    <row r="52" spans="4:16" ht="20.100000000000001" customHeight="1">
      <c r="D52" s="340"/>
    </row>
    <row r="53" spans="4:16" ht="20.100000000000001" customHeight="1" thickBot="1">
      <c r="D53" s="341" t="s">
        <v>300</v>
      </c>
    </row>
    <row r="54" spans="4:16" s="37" customFormat="1" ht="40.5" customHeight="1">
      <c r="D54" s="344" t="s">
        <v>235</v>
      </c>
      <c r="E54" s="352" t="s">
        <v>236</v>
      </c>
      <c r="F54" s="352" t="s">
        <v>237</v>
      </c>
      <c r="G54" s="352"/>
      <c r="H54" s="352"/>
      <c r="I54" s="352"/>
      <c r="J54" s="352"/>
      <c r="K54" s="352"/>
      <c r="L54" s="352"/>
      <c r="M54" s="352"/>
      <c r="N54" s="352"/>
      <c r="O54" s="352"/>
      <c r="P54" s="353"/>
    </row>
    <row r="55" spans="4:16" s="377" customFormat="1" ht="30" customHeight="1" thickBot="1">
      <c r="D55" s="385" t="s">
        <v>405</v>
      </c>
      <c r="E55" s="386" t="s">
        <v>406</v>
      </c>
      <c r="F55" s="386" t="s">
        <v>406</v>
      </c>
      <c r="G55" s="375"/>
      <c r="H55" s="375"/>
      <c r="I55" s="375"/>
      <c r="J55" s="375"/>
      <c r="K55" s="375"/>
      <c r="L55" s="375"/>
      <c r="M55" s="375"/>
      <c r="N55" s="375"/>
      <c r="O55" s="375"/>
      <c r="P55" s="376"/>
    </row>
    <row r="58" spans="4:16" ht="20.100000000000001" customHeight="1" thickBot="1">
      <c r="D58" s="341" t="s">
        <v>225</v>
      </c>
    </row>
    <row r="59" spans="4:16" ht="36.75" customHeight="1">
      <c r="D59" s="344" t="s">
        <v>235</v>
      </c>
      <c r="E59" s="352" t="s">
        <v>236</v>
      </c>
      <c r="F59" s="352" t="s">
        <v>237</v>
      </c>
      <c r="G59" s="352"/>
      <c r="H59" s="352"/>
      <c r="I59" s="352"/>
      <c r="J59" s="352"/>
      <c r="K59" s="352"/>
      <c r="L59" s="352"/>
      <c r="M59" s="352"/>
      <c r="N59" s="352"/>
      <c r="O59" s="352"/>
      <c r="P59" s="353"/>
    </row>
    <row r="60" spans="4:16" ht="30" customHeight="1" thickBot="1">
      <c r="D60" s="385" t="s">
        <v>399</v>
      </c>
      <c r="E60" s="386" t="s">
        <v>400</v>
      </c>
      <c r="F60" s="386" t="s">
        <v>401</v>
      </c>
      <c r="G60" s="375"/>
      <c r="H60" s="375"/>
      <c r="I60" s="375"/>
      <c r="J60" s="375"/>
      <c r="K60" s="375"/>
      <c r="L60" s="375"/>
      <c r="M60" s="375"/>
      <c r="N60" s="375"/>
      <c r="O60" s="375"/>
      <c r="P60" s="376"/>
    </row>
    <row r="63" spans="4:16" ht="20.100000000000001" customHeight="1" thickBot="1">
      <c r="D63" s="341" t="s">
        <v>226</v>
      </c>
    </row>
    <row r="64" spans="4:16" ht="36.75" customHeight="1">
      <c r="D64" s="344" t="s">
        <v>235</v>
      </c>
      <c r="E64" s="352" t="s">
        <v>236</v>
      </c>
      <c r="F64" s="352" t="s">
        <v>237</v>
      </c>
      <c r="G64" s="352"/>
      <c r="H64" s="352"/>
      <c r="I64" s="352"/>
      <c r="J64" s="352"/>
      <c r="K64" s="352"/>
      <c r="L64" s="352"/>
      <c r="M64" s="352"/>
      <c r="N64" s="352"/>
      <c r="O64" s="352"/>
      <c r="P64" s="353"/>
    </row>
    <row r="65" spans="4:16" ht="30" customHeight="1" thickBot="1">
      <c r="D65" s="385" t="s">
        <v>402</v>
      </c>
      <c r="E65" s="386" t="s">
        <v>403</v>
      </c>
      <c r="F65" s="386" t="s">
        <v>404</v>
      </c>
      <c r="G65" s="375"/>
      <c r="H65" s="375"/>
      <c r="I65" s="375"/>
      <c r="J65" s="375"/>
      <c r="K65" s="375"/>
      <c r="L65" s="375"/>
      <c r="M65" s="375"/>
      <c r="N65" s="375"/>
      <c r="O65" s="375"/>
      <c r="P65" s="37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92" t="str">
        <f>Well!D4</f>
        <v>충남 보령시 천북면 하만리 산 143-5</v>
      </c>
      <c r="H2"/>
      <c r="I2" s="297" t="s">
        <v>207</v>
      </c>
      <c r="J2"/>
      <c r="K2"/>
      <c r="L2"/>
      <c r="M2"/>
    </row>
    <row r="3" spans="1:13" ht="20.100000000000001" customHeight="1">
      <c r="B3" s="2" t="s">
        <v>48</v>
      </c>
      <c r="C3" s="510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1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1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2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513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13">
        <f>Well!G4</f>
        <v>200</v>
      </c>
    </row>
    <row r="9" spans="1:13" ht="20.100000000000001" customHeight="1" thickBot="1">
      <c r="B9" s="6" t="s">
        <v>61</v>
      </c>
      <c r="C9" s="514">
        <f>C10+C11</f>
        <v>12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15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515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93" t="s">
        <v>118</v>
      </c>
      <c r="K11" s="594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16">
        <f>C7-C9</f>
        <v>488</v>
      </c>
      <c r="H12" s="18"/>
      <c r="J12" s="184" t="s">
        <v>120</v>
      </c>
      <c r="K12" s="388">
        <v>14</v>
      </c>
      <c r="L12" s="387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5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113</v>
      </c>
      <c r="K13" s="226">
        <v>1252</v>
      </c>
      <c r="L13" s="42"/>
    </row>
    <row r="14" spans="1:13" ht="20.100000000000001" customHeight="1">
      <c r="B14" s="6" t="s">
        <v>68</v>
      </c>
      <c r="C14" s="514">
        <f>C7-IF(C20&gt;C9,C20,C9)</f>
        <v>485.7</v>
      </c>
      <c r="G14" s="188">
        <f>max</f>
        <v>1198.3</v>
      </c>
      <c r="H14" s="19"/>
      <c r="J14" s="184" t="s">
        <v>114</v>
      </c>
      <c r="K14" s="226">
        <v>56</v>
      </c>
      <c r="L14" s="42"/>
    </row>
    <row r="15" spans="1:13" ht="20.100000000000001" customHeight="1" thickBot="1">
      <c r="B15" s="6" t="s">
        <v>69</v>
      </c>
      <c r="C15" s="513">
        <f>Well!I4</f>
        <v>130</v>
      </c>
      <c r="E15" s="41">
        <v>1</v>
      </c>
      <c r="J15" s="184" t="s">
        <v>115</v>
      </c>
      <c r="K15" s="226">
        <v>10</v>
      </c>
      <c r="L15" s="42"/>
    </row>
    <row r="16" spans="1:13" ht="20.100000000000001" customHeight="1">
      <c r="B16" s="6" t="s">
        <v>70</v>
      </c>
      <c r="C16" s="517">
        <f>Well!J4</f>
        <v>143</v>
      </c>
      <c r="E16" s="156" t="s">
        <v>289</v>
      </c>
      <c r="F16" s="157" t="s">
        <v>97</v>
      </c>
      <c r="G16" s="158" t="s">
        <v>96</v>
      </c>
      <c r="H16" s="19"/>
      <c r="J16" s="184" t="s">
        <v>121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513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116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513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173</v>
      </c>
      <c r="I18" s="28"/>
      <c r="J18" s="186" t="s">
        <v>117</v>
      </c>
      <c r="K18" s="187">
        <f>(K17/K13)</f>
        <v>2.5319488817891377E-2</v>
      </c>
      <c r="L18" s="374">
        <f>K18*100</f>
        <v>2.5319488817891376</v>
      </c>
    </row>
    <row r="19" spans="2:12" ht="20.100000000000001" customHeight="1" thickBot="1">
      <c r="B19" s="21" t="s">
        <v>76</v>
      </c>
      <c r="C19" s="51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19">
        <v>14.3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165</v>
      </c>
      <c r="C22" s="521">
        <f>C21-C20</f>
        <v>50.5</v>
      </c>
      <c r="E22" s="595">
        <f>E21+F21</f>
        <v>562.79999999999995</v>
      </c>
      <c r="F22" s="596"/>
      <c r="G22" s="20"/>
      <c r="I22" s="19"/>
    </row>
    <row r="23" spans="2:12" ht="20.100000000000001" customHeight="1" thickBot="1">
      <c r="B23" s="493" t="s">
        <v>239</v>
      </c>
      <c r="C23" s="494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9" t="s">
        <v>98</v>
      </c>
      <c r="C25" s="590"/>
      <c r="D25" s="189" t="s">
        <v>107</v>
      </c>
      <c r="E25" s="189" t="s">
        <v>108</v>
      </c>
      <c r="F25" s="189" t="s">
        <v>99</v>
      </c>
      <c r="G25" s="189" t="s">
        <v>100</v>
      </c>
      <c r="H25" s="189" t="s">
        <v>122</v>
      </c>
      <c r="I25" s="189" t="s">
        <v>101</v>
      </c>
      <c r="J25" s="190" t="s">
        <v>102</v>
      </c>
      <c r="K25" s="191" t="s">
        <v>103</v>
      </c>
    </row>
    <row r="26" spans="2:12" ht="25.5" customHeight="1">
      <c r="B26" s="591" t="s">
        <v>104</v>
      </c>
      <c r="C26" s="192" t="s">
        <v>105</v>
      </c>
      <c r="D26" s="193">
        <f>C20</f>
        <v>14.3</v>
      </c>
      <c r="E26" s="194">
        <f>Recharge!C30</f>
        <v>15.338239999999999</v>
      </c>
      <c r="F26" s="195" t="s">
        <v>185</v>
      </c>
      <c r="G26" s="193" t="s">
        <v>234</v>
      </c>
      <c r="H26" s="196">
        <f>L18</f>
        <v>2.5319488817891376</v>
      </c>
      <c r="I26" s="193" t="s">
        <v>185</v>
      </c>
      <c r="J26" s="193">
        <f>(E7/C14)/864</f>
        <v>3.9164073997819102E-6</v>
      </c>
      <c r="K26" s="197" t="s">
        <v>304</v>
      </c>
    </row>
    <row r="27" spans="2:12" ht="25.5" customHeight="1">
      <c r="B27" s="591"/>
      <c r="C27" s="192" t="s">
        <v>106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238</v>
      </c>
    </row>
    <row r="28" spans="2:12" ht="25.5" customHeight="1">
      <c r="B28" s="591"/>
      <c r="C28" s="209" t="s">
        <v>178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91"/>
      <c r="C29" s="209" t="s">
        <v>179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91"/>
      <c r="C30" s="198" t="s">
        <v>180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92"/>
      <c r="C31" s="201" t="s">
        <v>181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236</v>
      </c>
      <c r="C2" s="492" t="str">
        <f>Well!D5</f>
        <v>충남 보령시 천북면 하만리 산 143-5</v>
      </c>
      <c r="H2"/>
      <c r="I2" s="297" t="s">
        <v>274</v>
      </c>
      <c r="J2"/>
      <c r="K2"/>
      <c r="L2"/>
      <c r="M2"/>
    </row>
    <row r="3" spans="1:13" ht="20.100000000000001" customHeight="1">
      <c r="B3" s="2" t="s">
        <v>6</v>
      </c>
      <c r="C3" s="510">
        <f>Well!C5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1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1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2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513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13">
        <f>Well!G5</f>
        <v>200</v>
      </c>
    </row>
    <row r="9" spans="1:13" ht="20.100000000000001" customHeight="1" thickBot="1">
      <c r="B9" s="6" t="s">
        <v>61</v>
      </c>
      <c r="C9" s="514">
        <f>C10+C11</f>
        <v>12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15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515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93" t="s">
        <v>118</v>
      </c>
      <c r="K11" s="594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16">
        <f>C7-C9</f>
        <v>238</v>
      </c>
      <c r="H12" s="18"/>
      <c r="J12" s="184" t="s">
        <v>120</v>
      </c>
      <c r="K12" s="388">
        <v>20</v>
      </c>
      <c r="L12" s="387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5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113</v>
      </c>
      <c r="K13" s="226">
        <v>1163</v>
      </c>
      <c r="L13" s="42"/>
    </row>
    <row r="14" spans="1:13" ht="20.100000000000001" customHeight="1">
      <c r="B14" s="6" t="s">
        <v>68</v>
      </c>
      <c r="C14" s="514">
        <f>C7-IF(C20&gt;C9,C20,C9)</f>
        <v>235.1</v>
      </c>
      <c r="G14" s="188">
        <f>max</f>
        <v>1198.3</v>
      </c>
      <c r="H14" s="19"/>
      <c r="J14" s="184" t="s">
        <v>114</v>
      </c>
      <c r="K14" s="226">
        <v>46</v>
      </c>
      <c r="L14" s="42"/>
    </row>
    <row r="15" spans="1:13" ht="20.100000000000001" customHeight="1" thickBot="1">
      <c r="B15" s="6" t="s">
        <v>69</v>
      </c>
      <c r="C15" s="513">
        <f>Well!I5</f>
        <v>130</v>
      </c>
      <c r="E15" s="41">
        <v>2</v>
      </c>
      <c r="J15" s="184" t="s">
        <v>115</v>
      </c>
      <c r="K15" s="226">
        <v>10</v>
      </c>
      <c r="L15" s="42"/>
    </row>
    <row r="16" spans="1:13" ht="20.100000000000001" customHeight="1">
      <c r="B16" s="6" t="s">
        <v>70</v>
      </c>
      <c r="C16" s="517">
        <f>Well!J5</f>
        <v>143</v>
      </c>
      <c r="E16" s="156" t="s">
        <v>289</v>
      </c>
      <c r="F16" s="157" t="s">
        <v>97</v>
      </c>
      <c r="G16" s="158" t="s">
        <v>96</v>
      </c>
      <c r="H16" s="19"/>
      <c r="J16" s="184" t="s">
        <v>121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513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116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513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173</v>
      </c>
      <c r="I18" s="28"/>
      <c r="J18" s="186" t="s">
        <v>117</v>
      </c>
      <c r="K18" s="187">
        <f>(K17/K13)</f>
        <v>1.8142734307824593E-2</v>
      </c>
      <c r="L18" s="374">
        <f>K18*100</f>
        <v>1.8142734307824593</v>
      </c>
    </row>
    <row r="19" spans="2:12" ht="20.100000000000001" customHeight="1" thickBot="1">
      <c r="B19" s="21" t="s">
        <v>76</v>
      </c>
      <c r="C19" s="51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19">
        <v>14.9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165</v>
      </c>
      <c r="C22" s="521">
        <f>C21-C20</f>
        <v>46.800000000000004</v>
      </c>
      <c r="E22" s="595">
        <f>E21+F21</f>
        <v>302.8</v>
      </c>
      <c r="F22" s="596"/>
      <c r="G22" s="20"/>
      <c r="I22" s="19"/>
    </row>
    <row r="23" spans="2:12" ht="20.100000000000001" customHeight="1" thickBot="1">
      <c r="B23" s="493" t="s">
        <v>239</v>
      </c>
      <c r="C23" s="494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9" t="s">
        <v>98</v>
      </c>
      <c r="C25" s="590"/>
      <c r="D25" s="189" t="s">
        <v>107</v>
      </c>
      <c r="E25" s="189" t="s">
        <v>108</v>
      </c>
      <c r="F25" s="189" t="s">
        <v>99</v>
      </c>
      <c r="G25" s="189" t="s">
        <v>100</v>
      </c>
      <c r="H25" s="189" t="s">
        <v>122</v>
      </c>
      <c r="I25" s="189" t="s">
        <v>101</v>
      </c>
      <c r="J25" s="190" t="s">
        <v>102</v>
      </c>
      <c r="K25" s="191" t="s">
        <v>103</v>
      </c>
    </row>
    <row r="26" spans="2:12" ht="25.5" customHeight="1">
      <c r="B26" s="591" t="s">
        <v>49</v>
      </c>
      <c r="C26" s="192" t="s">
        <v>105</v>
      </c>
      <c r="D26" s="193">
        <f>C20</f>
        <v>14.9</v>
      </c>
      <c r="E26" s="194">
        <f>Recharge!C30</f>
        <v>15.338239999999999</v>
      </c>
      <c r="F26" s="195" t="s">
        <v>185</v>
      </c>
      <c r="G26" s="193" t="s">
        <v>234</v>
      </c>
      <c r="H26" s="196">
        <f>L18</f>
        <v>1.8142734307824593</v>
      </c>
      <c r="I26" s="193" t="s">
        <v>185</v>
      </c>
      <c r="J26" s="193">
        <f>(E7/C14)/864</f>
        <v>8.7605550041747415E-6</v>
      </c>
      <c r="K26" s="197" t="s">
        <v>304</v>
      </c>
    </row>
    <row r="27" spans="2:12" ht="25.5" customHeight="1">
      <c r="B27" s="591"/>
      <c r="C27" s="192" t="s">
        <v>106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238</v>
      </c>
    </row>
    <row r="28" spans="2:12" ht="25.5" customHeight="1">
      <c r="B28" s="591"/>
      <c r="C28" s="209" t="s">
        <v>178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91"/>
      <c r="C29" s="209" t="s">
        <v>179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91"/>
      <c r="C30" s="198" t="s">
        <v>180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92"/>
      <c r="C31" s="201" t="s">
        <v>181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492" t="str">
        <f>Well!D6</f>
        <v>충남 보령시 천북면 하만리 산 143-5</v>
      </c>
      <c r="H2"/>
      <c r="I2" s="297" t="s">
        <v>299</v>
      </c>
      <c r="J2"/>
      <c r="K2"/>
      <c r="L2"/>
      <c r="M2"/>
    </row>
    <row r="3" spans="1:13" ht="20.100000000000001" customHeight="1">
      <c r="B3" s="2" t="s">
        <v>6</v>
      </c>
      <c r="C3" s="510">
        <f>Well!C6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1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1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2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513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13">
        <f>Well!G6</f>
        <v>200</v>
      </c>
    </row>
    <row r="9" spans="1:13" ht="20.100000000000001" customHeight="1" thickBot="1">
      <c r="B9" s="6" t="s">
        <v>61</v>
      </c>
      <c r="C9" s="514">
        <f>C10+C11</f>
        <v>12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15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515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93" t="s">
        <v>118</v>
      </c>
      <c r="K11" s="594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16">
        <f>C7-C9</f>
        <v>238</v>
      </c>
      <c r="H12" s="18"/>
      <c r="J12" s="184" t="s">
        <v>120</v>
      </c>
      <c r="K12" s="388">
        <v>16</v>
      </c>
      <c r="L12" s="387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5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113</v>
      </c>
      <c r="K13" s="226">
        <v>1140</v>
      </c>
      <c r="L13" s="42"/>
    </row>
    <row r="14" spans="1:13" ht="20.100000000000001" customHeight="1">
      <c r="B14" s="6" t="s">
        <v>68</v>
      </c>
      <c r="C14" s="514">
        <f>C7-IF(C20&gt;C9,C20,C9)</f>
        <v>236.2</v>
      </c>
      <c r="G14" s="188">
        <f>max</f>
        <v>1198.3</v>
      </c>
      <c r="H14" s="19"/>
      <c r="J14" s="184" t="s">
        <v>114</v>
      </c>
      <c r="K14" s="226">
        <v>52</v>
      </c>
      <c r="L14" s="42"/>
    </row>
    <row r="15" spans="1:13" ht="20.100000000000001" customHeight="1" thickBot="1">
      <c r="B15" s="6" t="s">
        <v>69</v>
      </c>
      <c r="C15" s="513">
        <f>Well!I6</f>
        <v>130</v>
      </c>
      <c r="E15" s="41">
        <v>3</v>
      </c>
      <c r="J15" s="184" t="s">
        <v>115</v>
      </c>
      <c r="K15" s="226">
        <v>10</v>
      </c>
      <c r="L15" s="42"/>
    </row>
    <row r="16" spans="1:13" ht="20.100000000000001" customHeight="1">
      <c r="B16" s="6" t="s">
        <v>70</v>
      </c>
      <c r="C16" s="517">
        <f>Well!J6</f>
        <v>143</v>
      </c>
      <c r="E16" s="156" t="s">
        <v>289</v>
      </c>
      <c r="F16" s="157" t="s">
        <v>97</v>
      </c>
      <c r="G16" s="158" t="s">
        <v>96</v>
      </c>
      <c r="H16" s="19"/>
      <c r="J16" s="184" t="s">
        <v>121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513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116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513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173</v>
      </c>
      <c r="I18" s="28"/>
      <c r="J18" s="186" t="s">
        <v>117</v>
      </c>
      <c r="K18" s="187">
        <f>(K17/K13)</f>
        <v>2.4736842105263161E-2</v>
      </c>
      <c r="L18" s="374">
        <f>K18*100</f>
        <v>2.4736842105263159</v>
      </c>
    </row>
    <row r="19" spans="2:12" ht="20.100000000000001" customHeight="1" thickBot="1">
      <c r="B19" s="21" t="s">
        <v>76</v>
      </c>
      <c r="C19" s="51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19">
        <v>13.8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165</v>
      </c>
      <c r="C22" s="521">
        <f>C21-C20</f>
        <v>48.599999999999994</v>
      </c>
      <c r="E22" s="595">
        <f>E21+F21</f>
        <v>302.8</v>
      </c>
      <c r="F22" s="596"/>
      <c r="G22" s="20"/>
      <c r="I22" s="19"/>
    </row>
    <row r="23" spans="2:12" ht="20.100000000000001" customHeight="1" thickBot="1">
      <c r="B23" s="493" t="s">
        <v>239</v>
      </c>
      <c r="C23" s="494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9" t="s">
        <v>98</v>
      </c>
      <c r="C25" s="590"/>
      <c r="D25" s="189" t="s">
        <v>107</v>
      </c>
      <c r="E25" s="189" t="s">
        <v>108</v>
      </c>
      <c r="F25" s="189" t="s">
        <v>99</v>
      </c>
      <c r="G25" s="189" t="s">
        <v>100</v>
      </c>
      <c r="H25" s="189" t="s">
        <v>122</v>
      </c>
      <c r="I25" s="189" t="s">
        <v>101</v>
      </c>
      <c r="J25" s="190" t="s">
        <v>102</v>
      </c>
      <c r="K25" s="191" t="s">
        <v>103</v>
      </c>
    </row>
    <row r="26" spans="2:12" ht="25.5" customHeight="1">
      <c r="B26" s="591" t="s">
        <v>49</v>
      </c>
      <c r="C26" s="192" t="s">
        <v>105</v>
      </c>
      <c r="D26" s="193">
        <f>C20</f>
        <v>13.8</v>
      </c>
      <c r="E26" s="194">
        <f>Recharge!C30</f>
        <v>15.338239999999999</v>
      </c>
      <c r="F26" s="195" t="s">
        <v>185</v>
      </c>
      <c r="G26" s="193" t="s">
        <v>234</v>
      </c>
      <c r="H26" s="196">
        <f>L18</f>
        <v>2.4736842105263159</v>
      </c>
      <c r="I26" s="193" t="s">
        <v>185</v>
      </c>
      <c r="J26" s="193">
        <f>(E7/C14)/864</f>
        <v>8.175843603976543E-6</v>
      </c>
      <c r="K26" s="197" t="s">
        <v>304</v>
      </c>
    </row>
    <row r="27" spans="2:12" ht="25.5" customHeight="1">
      <c r="B27" s="591"/>
      <c r="C27" s="192" t="s">
        <v>106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238</v>
      </c>
    </row>
    <row r="28" spans="2:12" ht="25.5" customHeight="1">
      <c r="B28" s="591"/>
      <c r="C28" s="209" t="s">
        <v>178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91"/>
      <c r="C29" s="209" t="s">
        <v>179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91"/>
      <c r="C30" s="198" t="s">
        <v>180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92"/>
      <c r="C31" s="201" t="s">
        <v>181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B5" sqref="B5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410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58" t="s">
        <v>82</v>
      </c>
      <c r="C6" s="371">
        <v>44753.861111111109</v>
      </c>
      <c r="D6" s="125"/>
      <c r="E6" s="37"/>
      <c r="F6" s="37"/>
    </row>
    <row r="7" spans="2:14" s="38" customFormat="1" ht="26.1" customHeight="1" thickBot="1">
      <c r="B7" s="361" t="s">
        <v>83</v>
      </c>
      <c r="C7" s="366">
        <v>14.6</v>
      </c>
      <c r="D7" s="125"/>
      <c r="E7" s="37"/>
      <c r="F7" s="37"/>
    </row>
    <row r="8" spans="2:14" s="38" customFormat="1" ht="26.1" customHeight="1">
      <c r="B8" s="358" t="s">
        <v>84</v>
      </c>
      <c r="C8" s="372">
        <v>211</v>
      </c>
      <c r="D8" s="125"/>
      <c r="E8" s="37"/>
      <c r="F8" s="37"/>
    </row>
    <row r="9" spans="2:14" s="38" customFormat="1" ht="26.1" customHeight="1" thickBot="1">
      <c r="B9" s="361" t="s">
        <v>85</v>
      </c>
      <c r="C9" s="373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99" t="s">
        <v>86</v>
      </c>
      <c r="C12" s="600"/>
      <c r="D12" s="601" t="s">
        <v>87</v>
      </c>
      <c r="E12" s="602"/>
      <c r="F12" s="600"/>
      <c r="H12" s="599" t="s">
        <v>87</v>
      </c>
      <c r="I12" s="602"/>
      <c r="J12" s="600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603" t="s">
        <v>36</v>
      </c>
      <c r="C24" s="604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603" t="s">
        <v>37</v>
      </c>
      <c r="C25" s="604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97" t="s">
        <v>92</v>
      </c>
      <c r="C26" s="598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7</xdr:col>
                <xdr:colOff>104775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76200</xdr:colOff>
                <xdr:row>6</xdr:row>
                <xdr:rowOff>85725</xdr:rowOff>
              </from>
              <to>
                <xdr:col>7</xdr:col>
                <xdr:colOff>104775</xdr:colOff>
                <xdr:row>7</xdr:row>
                <xdr:rowOff>123825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2</xdr:row>
                <xdr:rowOff>0</xdr:rowOff>
              </from>
              <to>
                <xdr:col>7</xdr:col>
                <xdr:colOff>104775</xdr:colOff>
                <xdr:row>3</xdr:row>
                <xdr:rowOff>133350</xdr:rowOff>
              </to>
            </anchor>
          </controlPr>
        </control>
      </mc:Choice>
      <mc:Fallback>
        <control shapeId="129025" r:id="rId8" name="CommandButton1"/>
      </mc:Fallback>
    </mc:AlternateContent>
    <mc:AlternateContent xmlns:mc="http://schemas.openxmlformats.org/markup-compatibility/2006">
      <mc:Choice Requires="x14">
        <control shapeId="129026" r:id="rId10" name="CommandButton2">
          <controlPr defaultSize="0" autoLine="0" r:id="rId11">
            <anchor moveWithCells="1">
              <from>
                <xdr:col>4</xdr:col>
                <xdr:colOff>76200</xdr:colOff>
                <xdr:row>3</xdr:row>
                <xdr:rowOff>171450</xdr:rowOff>
              </from>
              <to>
                <xdr:col>7</xdr:col>
                <xdr:colOff>104775</xdr:colOff>
                <xdr:row>4</xdr:row>
                <xdr:rowOff>200025</xdr:rowOff>
              </to>
            </anchor>
          </controlPr>
        </control>
      </mc:Choice>
      <mc:Fallback>
        <control shapeId="129026" r:id="rId10" name="CommandButton2"/>
      </mc:Fallback>
    </mc:AlternateContent>
    <mc:AlternateContent xmlns:mc="http://schemas.openxmlformats.org/markup-compatibility/2006">
      <mc:Choice Requires="x14">
        <control shapeId="129027" r:id="rId12" name="CommandButton3">
          <controlPr defaultSize="0" autoLine="0" r:id="rId13">
            <anchor moveWithCells="1">
              <from>
                <xdr:col>4</xdr:col>
                <xdr:colOff>76200</xdr:colOff>
                <xdr:row>5</xdr:row>
                <xdr:rowOff>9525</xdr:rowOff>
              </from>
              <to>
                <xdr:col>7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29027" r:id="rId12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10" sqref="M10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411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4" t="s">
        <v>82</v>
      </c>
      <c r="C6" s="365">
        <v>44753.861111111109</v>
      </c>
      <c r="D6" s="125"/>
      <c r="E6" s="37"/>
      <c r="F6" s="37"/>
    </row>
    <row r="7" spans="2:9" s="38" customFormat="1" ht="26.1" customHeight="1" thickBot="1">
      <c r="B7" s="361" t="s">
        <v>83</v>
      </c>
      <c r="C7" s="366">
        <v>14</v>
      </c>
      <c r="D7" s="125"/>
      <c r="E7" s="37"/>
      <c r="F7" s="37"/>
    </row>
    <row r="8" spans="2:9" s="38" customFormat="1" ht="26.1" customHeight="1">
      <c r="B8" s="358" t="s">
        <v>84</v>
      </c>
      <c r="C8" s="359">
        <v>226</v>
      </c>
      <c r="D8" s="360">
        <v>229</v>
      </c>
      <c r="E8" s="37"/>
      <c r="F8" s="37"/>
    </row>
    <row r="9" spans="2:9" s="38" customFormat="1" ht="26.1" customHeight="1" thickBot="1">
      <c r="B9" s="361" t="s">
        <v>85</v>
      </c>
      <c r="C9" s="362">
        <v>7.9</v>
      </c>
      <c r="D9" s="363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99" t="s">
        <v>86</v>
      </c>
      <c r="C12" s="600"/>
      <c r="D12" s="599" t="s">
        <v>87</v>
      </c>
      <c r="E12" s="602"/>
      <c r="F12" s="600"/>
      <c r="G12" s="605" t="s">
        <v>158</v>
      </c>
      <c r="H12" s="606"/>
      <c r="I12" s="607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603" t="s">
        <v>36</v>
      </c>
      <c r="C24" s="604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603" t="s">
        <v>37</v>
      </c>
      <c r="C25" s="604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97" t="s">
        <v>92</v>
      </c>
      <c r="C26" s="598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99" t="s">
        <v>87</v>
      </c>
      <c r="E29" s="602"/>
      <c r="F29" s="600"/>
      <c r="H29" s="599" t="s">
        <v>158</v>
      </c>
      <c r="I29" s="602"/>
      <c r="J29" s="600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66675</xdr:colOff>
                <xdr:row>7</xdr:row>
                <xdr:rowOff>219075</xdr:rowOff>
              </from>
              <to>
                <xdr:col>8</xdr:col>
                <xdr:colOff>685800</xdr:colOff>
                <xdr:row>8</xdr:row>
                <xdr:rowOff>257175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57150</xdr:colOff>
                <xdr:row>6</xdr:row>
                <xdr:rowOff>123825</xdr:rowOff>
              </from>
              <to>
                <xdr:col>8</xdr:col>
                <xdr:colOff>676275</xdr:colOff>
                <xdr:row>7</xdr:row>
                <xdr:rowOff>161925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57150</xdr:colOff>
                <xdr:row>5</xdr:row>
                <xdr:rowOff>28575</xdr:rowOff>
              </from>
              <to>
                <xdr:col>8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7" r:id="rId10" name="CommandButton1">
          <controlPr defaultSize="0" autoLine="0" r:id="rId11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8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26977" r:id="rId10" name="CommandButton1"/>
      </mc:Fallback>
    </mc:AlternateContent>
    <mc:AlternateContent xmlns:mc="http://schemas.openxmlformats.org/markup-compatibility/2006">
      <mc:Choice Requires="x14">
        <control shapeId="126978" r:id="rId12" name="CommandButton2">
          <controlPr defaultSize="0" autoLine="0" r:id="rId13">
            <anchor moveWithCells="1">
              <from>
                <xdr:col>5</xdr:col>
                <xdr:colOff>57150</xdr:colOff>
                <xdr:row>3</xdr:row>
                <xdr:rowOff>57150</xdr:rowOff>
              </from>
              <to>
                <xdr:col>8</xdr:col>
                <xdr:colOff>676275</xdr:colOff>
                <xdr:row>4</xdr:row>
                <xdr:rowOff>190500</xdr:rowOff>
              </to>
            </anchor>
          </controlPr>
        </control>
      </mc:Choice>
      <mc:Fallback>
        <control shapeId="126978" r:id="rId12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B5" sqref="B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412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64" t="s">
        <v>82</v>
      </c>
      <c r="C6" s="365">
        <v>44717.430555555555</v>
      </c>
      <c r="D6" s="125"/>
      <c r="E6" s="125"/>
      <c r="F6" s="37"/>
    </row>
    <row r="7" spans="2:12" s="38" customFormat="1" ht="26.1" customHeight="1" thickBot="1">
      <c r="B7" s="367" t="s">
        <v>83</v>
      </c>
      <c r="C7" s="368">
        <v>14.7</v>
      </c>
      <c r="D7" s="125"/>
      <c r="E7" s="125"/>
      <c r="F7" s="37"/>
    </row>
    <row r="8" spans="2:12" s="38" customFormat="1" ht="26.1" customHeight="1">
      <c r="B8" s="358" t="s">
        <v>84</v>
      </c>
      <c r="C8" s="359">
        <v>197</v>
      </c>
      <c r="D8" s="369">
        <v>197</v>
      </c>
      <c r="E8" s="360">
        <v>194</v>
      </c>
      <c r="F8" s="37"/>
    </row>
    <row r="9" spans="2:12" s="38" customFormat="1" ht="26.1" customHeight="1" thickBot="1">
      <c r="B9" s="361" t="s">
        <v>85</v>
      </c>
      <c r="C9" s="362">
        <v>8.4</v>
      </c>
      <c r="D9" s="370">
        <v>8.3000000000000007</v>
      </c>
      <c r="E9" s="363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99" t="s">
        <v>86</v>
      </c>
      <c r="C12" s="600"/>
      <c r="D12" s="605" t="s">
        <v>87</v>
      </c>
      <c r="E12" s="606"/>
      <c r="F12" s="607"/>
      <c r="G12" s="605" t="s">
        <v>158</v>
      </c>
      <c r="H12" s="606"/>
      <c r="I12" s="607"/>
      <c r="J12" s="605" t="s">
        <v>159</v>
      </c>
      <c r="K12" s="606"/>
      <c r="L12" s="607"/>
    </row>
    <row r="13" spans="2:12" s="37" customFormat="1" ht="27" customHeight="1">
      <c r="B13" s="128" t="s">
        <v>82</v>
      </c>
      <c r="C13" s="129" t="s">
        <v>88</v>
      </c>
      <c r="D13" s="311" t="s">
        <v>162</v>
      </c>
      <c r="E13" s="312" t="s">
        <v>172</v>
      </c>
      <c r="F13" s="313" t="s">
        <v>91</v>
      </c>
      <c r="G13" s="311" t="s">
        <v>162</v>
      </c>
      <c r="H13" s="312" t="s">
        <v>172</v>
      </c>
      <c r="I13" s="313" t="s">
        <v>91</v>
      </c>
      <c r="J13" s="311" t="s">
        <v>162</v>
      </c>
      <c r="K13" s="312" t="s">
        <v>172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603" t="s">
        <v>36</v>
      </c>
      <c r="C24" s="604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603" t="s">
        <v>37</v>
      </c>
      <c r="C25" s="604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97" t="s">
        <v>92</v>
      </c>
      <c r="C26" s="598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99" t="s">
        <v>87</v>
      </c>
      <c r="E29" s="602"/>
      <c r="F29" s="600"/>
      <c r="H29" s="599" t="s">
        <v>158</v>
      </c>
      <c r="I29" s="602"/>
      <c r="J29" s="600"/>
      <c r="L29" s="599" t="s">
        <v>159</v>
      </c>
      <c r="M29" s="602"/>
      <c r="N29" s="600"/>
    </row>
    <row r="30" spans="2:14" s="38" customFormat="1" ht="18" customHeight="1">
      <c r="D30" s="128" t="s">
        <v>163</v>
      </c>
      <c r="E30" s="130" t="s">
        <v>164</v>
      </c>
      <c r="F30" s="129" t="s">
        <v>91</v>
      </c>
      <c r="H30" s="128" t="s">
        <v>163</v>
      </c>
      <c r="I30" s="130" t="s">
        <v>164</v>
      </c>
      <c r="J30" s="129" t="s">
        <v>91</v>
      </c>
      <c r="L30" s="128" t="s">
        <v>163</v>
      </c>
      <c r="M30" s="130" t="s">
        <v>164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autoPict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autoPict="0" r:id="rId7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8</xdr:row>
                <xdr:rowOff>304800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autoPict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190500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1" r:id="rId10" name="CommandButton1">
          <controlPr defaultSize="0" autoLine="0" autoPict="0" r:id="rId11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209550</xdr:rowOff>
              </to>
            </anchor>
          </controlPr>
        </control>
      </mc:Choice>
      <mc:Fallback>
        <control shapeId="128001" r:id="rId10" name="CommandButton1"/>
      </mc:Fallback>
    </mc:AlternateContent>
    <mc:AlternateContent xmlns:mc="http://schemas.openxmlformats.org/markup-compatibility/2006">
      <mc:Choice Requires="x14">
        <control shapeId="128002" r:id="rId12" name="CommandButton2">
          <controlPr defaultSize="0" autoLine="0" autoPict="0" r:id="rId13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190500</xdr:rowOff>
              </to>
            </anchor>
          </controlPr>
        </control>
      </mc:Choice>
      <mc:Fallback>
        <control shapeId="128002" r:id="rId12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7A687-D9EC-4C0C-9DA5-7E4BDCF6AE5C}">
  <sheetPr codeName="Sheet_Q4">
    <tabColor theme="6"/>
  </sheetPr>
  <dimension ref="B1:N44"/>
  <sheetViews>
    <sheetView tabSelected="1" workbookViewId="0">
      <selection activeCell="P5" sqref="P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412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64" t="s">
        <v>82</v>
      </c>
      <c r="C6" s="365">
        <v>44717.430555555555</v>
      </c>
      <c r="D6" s="125"/>
      <c r="E6" s="125"/>
      <c r="F6" s="37"/>
    </row>
    <row r="7" spans="2:12" s="38" customFormat="1" ht="26.1" customHeight="1" thickBot="1">
      <c r="B7" s="367" t="s">
        <v>83</v>
      </c>
      <c r="C7" s="368">
        <v>14.7</v>
      </c>
      <c r="D7" s="125"/>
      <c r="E7" s="125"/>
      <c r="F7" s="37"/>
    </row>
    <row r="8" spans="2:12" s="38" customFormat="1" ht="26.1" customHeight="1">
      <c r="B8" s="358" t="s">
        <v>84</v>
      </c>
      <c r="C8" s="359">
        <v>197</v>
      </c>
      <c r="D8" s="369">
        <v>197</v>
      </c>
      <c r="E8" s="360">
        <v>194</v>
      </c>
      <c r="F8" s="37"/>
    </row>
    <row r="9" spans="2:12" s="38" customFormat="1" ht="26.1" customHeight="1" thickBot="1">
      <c r="B9" s="361" t="s">
        <v>85</v>
      </c>
      <c r="C9" s="362">
        <v>8.4</v>
      </c>
      <c r="D9" s="370">
        <v>8.3000000000000007</v>
      </c>
      <c r="E9" s="363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99" t="s">
        <v>86</v>
      </c>
      <c r="C12" s="600"/>
      <c r="D12" s="605" t="s">
        <v>235</v>
      </c>
      <c r="E12" s="606"/>
      <c r="F12" s="607"/>
      <c r="G12" s="605" t="s">
        <v>236</v>
      </c>
      <c r="H12" s="606"/>
      <c r="I12" s="607"/>
      <c r="J12" s="605" t="s">
        <v>237</v>
      </c>
      <c r="K12" s="606"/>
      <c r="L12" s="607"/>
    </row>
    <row r="13" spans="2:12" s="37" customFormat="1" ht="27" customHeight="1">
      <c r="B13" s="128" t="s">
        <v>82</v>
      </c>
      <c r="C13" s="129" t="s">
        <v>88</v>
      </c>
      <c r="D13" s="311" t="s">
        <v>162</v>
      </c>
      <c r="E13" s="312" t="s">
        <v>172</v>
      </c>
      <c r="F13" s="313" t="s">
        <v>91</v>
      </c>
      <c r="G13" s="311" t="s">
        <v>162</v>
      </c>
      <c r="H13" s="312" t="s">
        <v>172</v>
      </c>
      <c r="I13" s="313" t="s">
        <v>91</v>
      </c>
      <c r="J13" s="311" t="s">
        <v>162</v>
      </c>
      <c r="K13" s="312" t="s">
        <v>172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603" t="s">
        <v>36</v>
      </c>
      <c r="C24" s="604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603" t="s">
        <v>37</v>
      </c>
      <c r="C25" s="604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97" t="s">
        <v>92</v>
      </c>
      <c r="C26" s="598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99" t="s">
        <v>235</v>
      </c>
      <c r="E29" s="602"/>
      <c r="F29" s="600"/>
      <c r="H29" s="599" t="s">
        <v>236</v>
      </c>
      <c r="I29" s="602"/>
      <c r="J29" s="600"/>
      <c r="L29" s="599" t="s">
        <v>237</v>
      </c>
      <c r="M29" s="602"/>
      <c r="N29" s="600"/>
    </row>
    <row r="30" spans="2:14" s="38" customFormat="1" ht="18" customHeight="1">
      <c r="D30" s="128" t="s">
        <v>163</v>
      </c>
      <c r="E30" s="130" t="s">
        <v>164</v>
      </c>
      <c r="F30" s="129" t="s">
        <v>91</v>
      </c>
      <c r="H30" s="128" t="s">
        <v>163</v>
      </c>
      <c r="I30" s="130" t="s">
        <v>164</v>
      </c>
      <c r="J30" s="129" t="s">
        <v>91</v>
      </c>
      <c r="L30" s="128" t="s">
        <v>163</v>
      </c>
      <c r="M30" s="130" t="s">
        <v>164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454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4549" r:id="rId4" name="CommandButton5"/>
      </mc:Fallback>
    </mc:AlternateContent>
    <mc:AlternateContent xmlns:mc="http://schemas.openxmlformats.org/markup-compatibility/2006">
      <mc:Choice Requires="x14">
        <control shapeId="36454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190500</xdr:rowOff>
              </to>
            </anchor>
          </controlPr>
        </control>
      </mc:Choice>
      <mc:Fallback>
        <control shapeId="364546" r:id="rId6" name="CommandButton2"/>
      </mc:Fallback>
    </mc:AlternateContent>
    <mc:AlternateContent xmlns:mc="http://schemas.openxmlformats.org/markup-compatibility/2006">
      <mc:Choice Requires="x14">
        <control shapeId="364545" r:id="rId8" name="CommandButton1">
          <controlPr defaultSize="0" autoLine="0" r:id="rId9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209550</xdr:rowOff>
              </to>
            </anchor>
          </controlPr>
        </control>
      </mc:Choice>
      <mc:Fallback>
        <control shapeId="364545" r:id="rId8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14</vt:i4>
      </vt:variant>
    </vt:vector>
  </HeadingPairs>
  <TitlesOfParts>
    <vt:vector size="34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p1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2023-03-20T11:29:52Z</dcterms:modified>
</cp:coreProperties>
</file>