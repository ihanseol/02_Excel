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AB5EB209-EA2F-4A02-9EDD-15A002919752}" xr6:coauthVersionLast="47" xr6:coauthVersionMax="47" xr10:uidLastSave="{00000000-0000-0000-0000-000000000000}"/>
  <bookViews>
    <workbookView xWindow="3420" yWindow="495" windowWidth="28515" windowHeight="19635" tabRatio="59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aggWhpa" sheetId="172" state="hidden" r:id="rId9"/>
    <sheet name="AggSum" sheetId="175" state="hidden" r:id="rId10"/>
    <sheet name="1" sheetId="55" r:id="rId11"/>
    <sheet name="2" sheetId="185" r:id="rId12"/>
    <sheet name="3" sheetId="186" r:id="rId13"/>
    <sheet name="Q1" sheetId="100" r:id="rId14"/>
    <sheet name="Q2" sheetId="117" r:id="rId15"/>
    <sheet name="Q3" sheetId="115" r:id="rId16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3">'Q1'!$C$7</definedName>
    <definedName name="baseTemp" localSheetId="14">'Q2'!$C$7</definedName>
    <definedName name="baseTemp" localSheetId="15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9" i="23" l="1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I8" i="52" l="1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5" i="115" s="1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4" i="115" l="1"/>
  <c r="E24" i="115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E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<sst xmlns="http://schemas.openxmlformats.org/spreadsheetml/2006/main" count="681" uniqueCount="334">
  <si>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</si>
  <si>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</si>
  <si>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</si>
  <si>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</si>
  <si>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</si>
  <si>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</si>
  <si>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</si>
  <si>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</si>
  <si>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</si>
  <si>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</si>
  <si>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</si>
  <si>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</si>
  <si>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</si>
  <si>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</si>
  <si>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</si>
  <si>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</si>
  <si>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</si>
  <si>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</si>
  <si>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</si>
  <si>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</si>
  <si>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</si>
  <si>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</si>
  <si>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</si>
  <si>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</si>
  <si>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</si>
  <si>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</si>
  <si>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</si>
  <si>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</si>
  <si>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</si>
  <si>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</si>
  <si>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</si>
  <si>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</si>
  <si>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</si>
  <si>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</si>
  <si>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</si>
  <si>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</si>
  <si>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</si>
  <si>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</si>
  <si>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</si>
  <si>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</si>
  <si>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</si>
  <si>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</si>
  <si>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</si>
  <si>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</si>
  <si>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</si>
  <si>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</si>
  <si>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</si>
  <si>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</si>
  <si>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</si>
  <si>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</si>
  <si>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</si>
  <si>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</si>
  <si>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</si>
  <si>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</si>
  <si>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</si>
  <si>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</si>
  <si>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</si>
  <si>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</si>
  <si>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</si>
  <si>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</si>
  <si>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</si>
  <si>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</si>
  <si>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</si>
  <si>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</si>
  <si>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</si>
  <si>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</si>
  <si>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</si>
  <si>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</si>
  <si>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</si>
  <si>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</si>
  <si>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</si>
  <si>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</si>
  <si>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</si>
  <si>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</si>
  <si>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</si>
  <si>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</si>
  <si>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</si>
  <si>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</si>
  <si>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</si>
  <si>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</si>
  <si>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</si>
  <si>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</si>
  <si>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</si>
  <si>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</si>
  <si>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</si>
  <si>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</si>
  <si>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</si>
  <si>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</si>
  <si>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</si>
  <si>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</si>
  <si>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</si>
  <si>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</si>
  <si>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</si>
  <si>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</si>
  <si>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</si>
  <si>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</si>
  <si>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</si>
  <si>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</si>
  <si>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</si>
  <si>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</si>
  <si>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</si>
  <si>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</si>
  <si>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</si>
  <si>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</si>
  <si>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</si>
  <si>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</si>
  <si>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</si>
  <si>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</si>
  <si>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</si>
  <si>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</si>
  <si>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</si>
  <si>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</si>
  <si>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</si>
  <si>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</si>
  <si>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</si>
  <si>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</si>
  <si>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</si>
  <si>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</si>
  <si>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</si>
  <si>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</si>
  <si>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</si>
  <si>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</si>
  <si>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</si>
  <si>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</si>
  <si>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</si>
  <si>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</si>
  <si>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</si>
  <si>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</si>
  <si>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</si>
  <si>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</si>
  <si>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</si>
  <si>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</si>
  <si>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</si>
  <si>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</si>
  <si>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</si>
  <si>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</si>
  <si>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</si>
  <si>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</si>
  <si>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</si>
  <si>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</si>
  <si>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</si>
  <si>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</si>
  <si>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</si>
  <si>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</si>
  <si>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</si>
  <si>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</si>
  <si>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</si>
  <si>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</si>
  <si>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</si>
  <si>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</si>
  <si>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</si>
  <si>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</si>
  <si>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</si>
  <si>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</si>
  <si>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</si>
  <si>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</si>
  <si>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</si>
  <si>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</si>
  <si>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</si>
  <si>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</si>
  <si>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</si>
  <si>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</si>
  <si>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</si>
  <si>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</si>
  <si>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</si>
  <si>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</si>
  <si>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</si>
  <si>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</si>
  <si>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</si>
  <si>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</si>
  <si>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</si>
  <si>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</si>
  <si>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</si>
  <si>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</si>
  <si>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</si>
  <si>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</si>
  <si>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</si>
  <si>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</si>
  <si>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</si>
  <si>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</si>
  <si>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</si>
  <si>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</si>
  <si>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</si>
  <si>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</si>
  <si>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</si>
  <si>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</si>
  <si>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</si>
  <si>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</si>
  <si>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</si>
  <si>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</si>
  <si>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</si>
  <si>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</si>
  <si>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</si>
  <si>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</si>
  <si>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</si>
  <si>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</si>
  <si>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</si>
  <si>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</si>
  <si>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</si>
  <si>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</si>
  <si>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</si>
  <si>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</si>
  <si>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</si>
  <si>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</si>
  <si>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</si>
  <si>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</si>
  <si>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</si>
  <si>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</si>
  <si>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</si>
  <si>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</si>
  <si>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</si>
  <si>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</si>
  <si>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</si>
  <si>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</si>
  <si>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</si>
  <si>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</si>
  <si>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</si>
  <si>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</si>
  <si>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</si>
  <si>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</si>
  <si>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</si>
  <si>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</si>
  <si>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</si>
  <si>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</si>
  <si>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</si>
  <si>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</si>
  <si>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</si>
  <si>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</si>
  <si>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</si>
  <si>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</si>
  <si>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</si>
  <si>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</si>
  <si>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</si>
  <si>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</si>
  <si>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</si>
  <si>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</si>
  <si>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</si>
  <si>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</si>
  <si>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</si>
  <si>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</si>
  <si>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</si>
  <si>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</si>
  <si>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</si>
  <si>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</si>
  <si>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3-3, 장기양수시험결과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</si>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</sst>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</numFmts>
  <fonts count="55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theme="6"/>
      </left>
      <right/>
      <top style="medium">
        <color indexed="64"/>
      </top>
      <bottom/>
      <diagonal/>
    </border>
    <border>
      <left style="thin">
        <color theme="6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8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9" xfId="0" applyFont="1" applyFill="1" applyBorder="1" applyAlignment="1">
      <alignment horizontal="center"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28" fillId="31" borderId="35" xfId="18" applyFont="1" applyFill="1" applyBorder="1" applyAlignment="1">
      <alignment horizontal="center" vertical="center"/>
    </xf>
    <xf numFmtId="187" fontId="28" fillId="32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89" fontId="42" fillId="23" borderId="16" xfId="25" applyNumberFormat="1" applyFont="1" applyFill="1" applyBorder="1" applyAlignment="1">
      <alignment horizontal="center" vertical="center"/>
    </xf>
    <xf numFmtId="189" fontId="42" fillId="23" borderId="90" xfId="25" applyNumberFormat="1" applyFont="1" applyFill="1" applyBorder="1" applyAlignment="1">
      <alignment horizontal="center" vertical="center"/>
    </xf>
    <xf numFmtId="189" fontId="42" fillId="23" borderId="91" xfId="25" applyNumberFormat="1" applyFont="1" applyFill="1" applyBorder="1" applyAlignment="1">
      <alignment horizontal="center" vertical="center"/>
    </xf>
    <xf numFmtId="189" fontId="42" fillId="23" borderId="92" xfId="25" applyNumberFormat="1" applyFont="1" applyFill="1" applyBorder="1" applyAlignment="1">
      <alignment horizontal="center" vertical="center"/>
    </xf>
    <xf numFmtId="0" fontId="42" fillId="23" borderId="90" xfId="16" applyFont="1" applyFill="1" applyBorder="1" applyAlignment="1">
      <alignment horizontal="center" vertical="center"/>
    </xf>
    <xf numFmtId="189" fontId="42" fillId="23" borderId="71" xfId="25" applyNumberFormat="1" applyFont="1" applyFill="1" applyBorder="1" applyAlignment="1">
      <alignment horizontal="center" vertical="center"/>
    </xf>
    <xf numFmtId="0" fontId="25" fillId="0" borderId="77" xfId="0" applyFont="1" applyBorder="1" applyAlignment="1">
      <alignment horizontal="center" vertical="center"/>
    </xf>
    <xf numFmtId="189" fontId="42" fillId="23" borderId="93" xfId="25" applyNumberFormat="1" applyFont="1" applyFill="1" applyBorder="1" applyAlignment="1">
      <alignment horizontal="center" vertical="center"/>
    </xf>
    <xf numFmtId="189" fontId="18" fillId="0" borderId="89" xfId="25" applyNumberFormat="1" applyFont="1" applyBorder="1" applyAlignment="1">
      <alignment horizontal="center" vertical="center"/>
    </xf>
    <xf numFmtId="189" fontId="18" fillId="0" borderId="94" xfId="25" applyNumberFormat="1" applyFont="1" applyBorder="1" applyAlignment="1">
      <alignment horizontal="center" vertical="center"/>
    </xf>
    <xf numFmtId="189" fontId="18" fillId="0" borderId="105" xfId="25" applyNumberFormat="1" applyFont="1" applyBorder="1" applyAlignment="1">
      <alignment horizontal="center" vertical="center"/>
    </xf>
    <xf numFmtId="0" fontId="18" fillId="0" borderId="89" xfId="25" applyNumberFormat="1" applyFont="1" applyBorder="1" applyAlignment="1">
      <alignment horizontal="center" vertical="center"/>
    </xf>
    <xf numFmtId="0" fontId="18" fillId="0" borderId="94" xfId="25" applyNumberFormat="1" applyFont="1" applyBorder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0" borderId="94" xfId="0" applyNumberFormat="1" applyFont="1" applyBorder="1" applyAlignment="1">
      <alignment horizontal="center" vertical="center"/>
    </xf>
    <xf numFmtId="189" fontId="42" fillId="23" borderId="95" xfId="25" applyNumberFormat="1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25" fillId="0" borderId="79" xfId="0" applyFont="1" applyBorder="1" applyAlignment="1">
      <alignment horizontal="center" vertical="center"/>
    </xf>
    <xf numFmtId="0" fontId="25" fillId="0" borderId="78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8" fillId="30" borderId="104" xfId="0" applyFont="1" applyFill="1" applyBorder="1" applyAlignment="1">
      <alignment horizontal="center" vertical="center"/>
    </xf>
    <xf numFmtId="0" fontId="28" fillId="30" borderId="71" xfId="0" applyFont="1" applyFill="1" applyBorder="1" applyAlignment="1">
      <alignment horizontal="center" vertical="center"/>
    </xf>
    <xf numFmtId="0" fontId="28" fillId="30" borderId="16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2" fontId="25" fillId="0" borderId="79" xfId="0" applyNumberFormat="1" applyFont="1" applyBorder="1" applyAlignment="1">
      <alignment horizontal="center" vertical="center"/>
    </xf>
    <xf numFmtId="2" fontId="25" fillId="0" borderId="77" xfId="0" applyNumberFormat="1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2" fontId="25" fillId="0" borderId="17" xfId="0" applyNumberFormat="1" applyFont="1" applyBorder="1" applyAlignment="1">
      <alignment horizontal="center" vertical="center"/>
    </xf>
    <xf numFmtId="2" fontId="25" fillId="0" borderId="72" xfId="0" applyNumberFormat="1" applyFont="1" applyBorder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0" fontId="28" fillId="21" borderId="35" xfId="0" applyFont="1" applyFill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0" fontId="25" fillId="0" borderId="79" xfId="0" applyFont="1" applyBorder="1"/>
    <xf numFmtId="0" fontId="28" fillId="0" borderId="18" xfId="0" applyFont="1" applyBorder="1" applyAlignment="1">
      <alignment horizontal="center" vertical="center"/>
    </xf>
    <xf numFmtId="0" fontId="25" fillId="0" borderId="72" xfId="0" applyFont="1" applyBorder="1"/>
    <xf numFmtId="0" fontId="25" fillId="0" borderId="17" xfId="0" applyFont="1" applyBorder="1"/>
    <xf numFmtId="2" fontId="25" fillId="0" borderId="0" xfId="0" applyNumberFormat="1" applyFont="1"/>
    <xf numFmtId="0" fontId="28" fillId="9" borderId="40" xfId="0" applyFont="1" applyFill="1" applyBorder="1" applyAlignment="1">
      <alignment horizontal="center" vertical="center"/>
    </xf>
    <xf numFmtId="0" fontId="28" fillId="9" borderId="35" xfId="0" applyFont="1" applyFill="1" applyBorder="1" applyAlignment="1">
      <alignment horizontal="center" vertical="center"/>
    </xf>
    <xf numFmtId="0" fontId="28" fillId="9" borderId="36" xfId="0" applyFont="1" applyFill="1" applyBorder="1" applyAlignment="1">
      <alignment horizontal="center" vertical="center"/>
    </xf>
    <xf numFmtId="2" fontId="28" fillId="9" borderId="3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25" fillId="0" borderId="102" xfId="0" applyNumberFormat="1" applyFont="1" applyBorder="1" applyAlignment="1">
      <alignment horizontal="center" vertical="center"/>
    </xf>
    <xf numFmtId="0" fontId="28" fillId="21" borderId="2" xfId="0" applyFont="1" applyFill="1" applyBorder="1" applyAlignment="1">
      <alignment horizontal="center" vertical="center"/>
    </xf>
    <xf numFmtId="190" fontId="28" fillId="21" borderId="2" xfId="0" applyNumberFormat="1" applyFont="1" applyFill="1" applyBorder="1" applyAlignment="1">
      <alignment horizontal="center" vertical="center"/>
    </xf>
    <xf numFmtId="189" fontId="28" fillId="21" borderId="2" xfId="25" applyNumberFormat="1" applyFont="1" applyFill="1" applyBorder="1" applyAlignment="1">
      <alignment horizontal="center" vertical="center"/>
    </xf>
    <xf numFmtId="0" fontId="28" fillId="21" borderId="36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25" fillId="0" borderId="102" xfId="0" applyFont="1" applyBorder="1" applyAlignment="1">
      <alignment vertical="center"/>
    </xf>
    <xf numFmtId="182" fontId="25" fillId="0" borderId="102" xfId="0" applyNumberFormat="1" applyFont="1" applyBorder="1" applyAlignment="1">
      <alignment vertical="center"/>
    </xf>
    <xf numFmtId="0" fontId="25" fillId="0" borderId="18" xfId="0" applyFont="1" applyBorder="1" applyAlignment="1">
      <alignment vertical="center"/>
    </xf>
    <xf numFmtId="0" fontId="25" fillId="0" borderId="79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9" fillId="0" borderId="0" xfId="18" applyFont="1" applyAlignment="1">
      <alignment horizontal="left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0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0" fontId="15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11" xfId="20" applyNumberFormat="1" applyFont="1" applyBorder="1" applyAlignment="1" applyProtection="1">
      <alignment horizontal="center" vertical="center"/>
      <protection locked="0"/>
    </xf>
    <xf numFmtId="3" fontId="34" fillId="0" borderId="114" xfId="20" applyNumberFormat="1" applyFont="1" applyBorder="1" applyAlignment="1" applyProtection="1">
      <alignment horizontal="center" vertical="center"/>
      <protection locked="0"/>
    </xf>
    <xf numFmtId="0" fontId="25" fillId="0" borderId="35" xfId="0" applyFont="1" applyBorder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2" fillId="23" borderId="14" xfId="16" applyFont="1" applyFill="1" applyBorder="1" applyAlignment="1">
      <alignment horizontal="center" vertical="center"/>
    </xf>
    <xf numFmtId="0" fontId="42" fillId="23" borderId="116" xfId="16" applyFont="1" applyFill="1" applyBorder="1" applyAlignment="1">
      <alignment horizontal="center" vertical="center"/>
    </xf>
    <xf numFmtId="190" fontId="42" fillId="23" borderId="116" xfId="16" applyNumberFormat="1" applyFont="1" applyFill="1" applyBorder="1" applyAlignment="1">
      <alignment horizontal="center" vertical="center"/>
    </xf>
    <xf numFmtId="189" fontId="42" fillId="23" borderId="117" xfId="25" applyNumberFormat="1" applyFont="1" applyFill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189" fontId="25" fillId="0" borderId="16" xfId="0" applyNumberFormat="1" applyFont="1" applyBorder="1" applyAlignment="1">
      <alignment horizontal="center" vertical="center"/>
    </xf>
    <xf numFmtId="189" fontId="25" fillId="0" borderId="79" xfId="0" applyNumberFormat="1" applyFont="1" applyBorder="1" applyAlignment="1">
      <alignment horizontal="center" vertical="center"/>
    </xf>
    <xf numFmtId="177" fontId="25" fillId="0" borderId="71" xfId="0" applyNumberFormat="1" applyFont="1" applyBorder="1" applyAlignment="1">
      <alignment horizontal="center" vertical="center"/>
    </xf>
    <xf numFmtId="177" fontId="25" fillId="0" borderId="0" xfId="0" applyNumberFormat="1" applyFont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102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107" xfId="16" applyFont="1" applyBorder="1" applyAlignment="1">
      <alignment horizontal="right" vertical="center"/>
    </xf>
    <xf numFmtId="0" fontId="52" fillId="0" borderId="108" xfId="16" applyFont="1" applyBorder="1" applyAlignment="1">
      <alignment horizontal="right" vertical="center"/>
    </xf>
    <xf numFmtId="0" fontId="52" fillId="0" borderId="109" xfId="16" applyFont="1" applyBorder="1" applyAlignment="1">
      <alignment horizontal="right" vertical="center"/>
    </xf>
    <xf numFmtId="0" fontId="51" fillId="33" borderId="110" xfId="16" applyFont="1" applyFill="1" applyBorder="1" applyAlignment="1">
      <alignment horizontal="right" vertical="center"/>
    </xf>
    <xf numFmtId="0" fontId="51" fillId="33" borderId="111" xfId="16" applyFont="1" applyFill="1" applyBorder="1" applyAlignment="1">
      <alignment horizontal="right" vertical="center"/>
    </xf>
    <xf numFmtId="0" fontId="51" fillId="33" borderId="112" xfId="16" applyFont="1" applyFill="1" applyBorder="1" applyAlignment="1">
      <alignment horizontal="right" vertical="center"/>
    </xf>
    <xf numFmtId="0" fontId="49" fillId="33" borderId="110" xfId="16" applyFont="1" applyFill="1" applyBorder="1" applyAlignment="1">
      <alignment horizontal="right" vertical="center"/>
    </xf>
    <xf numFmtId="0" fontId="49" fillId="33" borderId="111" xfId="16" applyFont="1" applyFill="1" applyBorder="1" applyAlignment="1">
      <alignment horizontal="right" vertical="center"/>
    </xf>
    <xf numFmtId="0" fontId="49" fillId="33" borderId="112" xfId="16" applyFont="1" applyFill="1" applyBorder="1" applyAlignment="1">
      <alignment horizontal="right" vertical="center"/>
    </xf>
    <xf numFmtId="0" fontId="49" fillId="0" borderId="110" xfId="16" applyFont="1" applyBorder="1" applyAlignment="1">
      <alignment horizontal="right" vertical="center"/>
    </xf>
    <xf numFmtId="0" fontId="49" fillId="0" borderId="111" xfId="16" applyFont="1" applyBorder="1" applyAlignment="1">
      <alignment horizontal="right" vertical="center"/>
    </xf>
    <xf numFmtId="0" fontId="49" fillId="0" borderId="112" xfId="16" applyFont="1" applyBorder="1" applyAlignment="1">
      <alignment horizontal="right" vertical="center"/>
    </xf>
    <xf numFmtId="0" fontId="51" fillId="0" borderId="110" xfId="16" applyFont="1" applyBorder="1" applyAlignment="1">
      <alignment horizontal="right" vertical="center"/>
    </xf>
    <xf numFmtId="0" fontId="51" fillId="0" borderId="111" xfId="16" applyFont="1" applyBorder="1" applyAlignment="1">
      <alignment horizontal="right" vertical="center"/>
    </xf>
    <xf numFmtId="0" fontId="51" fillId="0" borderId="112" xfId="16" applyFont="1" applyBorder="1" applyAlignment="1">
      <alignment horizontal="right" vertical="center"/>
    </xf>
    <xf numFmtId="2" fontId="49" fillId="0" borderId="110" xfId="16" applyNumberFormat="1" applyFont="1" applyBorder="1" applyAlignment="1">
      <alignment horizontal="right" vertical="center"/>
    </xf>
    <xf numFmtId="2" fontId="49" fillId="0" borderId="111" xfId="16" applyNumberFormat="1" applyFont="1" applyBorder="1" applyAlignment="1">
      <alignment horizontal="right" vertical="center"/>
    </xf>
    <xf numFmtId="2" fontId="49" fillId="0" borderId="112" xfId="16" applyNumberFormat="1" applyFont="1" applyBorder="1" applyAlignment="1">
      <alignment horizontal="right" vertical="center"/>
    </xf>
    <xf numFmtId="0" fontId="53" fillId="34" borderId="113" xfId="16" applyFont="1" applyFill="1" applyBorder="1" applyAlignment="1">
      <alignment horizontal="right" vertical="center"/>
    </xf>
    <xf numFmtId="0" fontId="53" fillId="34" borderId="114" xfId="16" applyFont="1" applyFill="1" applyBorder="1" applyAlignment="1">
      <alignment horizontal="right" vertical="center"/>
    </xf>
    <xf numFmtId="0" fontId="53" fillId="34" borderId="115" xfId="16" applyFont="1" applyFill="1" applyBorder="1" applyAlignment="1">
      <alignment horizontal="right" vertical="center"/>
    </xf>
    <xf numFmtId="0" fontId="52" fillId="0" borderId="113" xfId="16" applyFont="1" applyBorder="1" applyAlignment="1">
      <alignment horizontal="right" vertical="center"/>
    </xf>
    <xf numFmtId="0" fontId="52" fillId="0" borderId="114" xfId="16" applyFont="1" applyBorder="1" applyAlignment="1">
      <alignment horizontal="right" vertical="center"/>
    </xf>
    <xf numFmtId="0" fontId="52" fillId="0" borderId="115" xfId="16" applyFont="1" applyBorder="1" applyAlignment="1">
      <alignment horizontal="right" vertical="center"/>
    </xf>
    <xf numFmtId="0" fontId="54" fillId="0" borderId="118" xfId="16" applyFont="1" applyBorder="1" applyAlignment="1">
      <alignment horizontal="center" vertical="center"/>
    </xf>
    <xf numFmtId="0" fontId="54" fillId="33" borderId="119" xfId="16" applyFont="1" applyFill="1" applyBorder="1" applyAlignment="1">
      <alignment horizontal="center" vertical="center"/>
    </xf>
    <xf numFmtId="0" fontId="54" fillId="0" borderId="119" xfId="16" applyFont="1" applyBorder="1" applyAlignment="1">
      <alignment horizontal="center" vertical="center"/>
    </xf>
    <xf numFmtId="0" fontId="54" fillId="0" borderId="120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192" fontId="25" fillId="0" borderId="74" xfId="0" applyNumberFormat="1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107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08" xfId="0" applyFont="1" applyFill="1" applyBorder="1" applyAlignment="1">
      <alignment horizontal="center" vertical="center" wrapText="1"/>
    </xf>
    <xf numFmtId="0" fontId="29" fillId="9" borderId="111" xfId="0" applyFont="1" applyFill="1" applyBorder="1" applyAlignment="1">
      <alignment horizontal="center" vertical="center" wrapText="1"/>
    </xf>
    <xf numFmtId="41" fontId="29" fillId="9" borderId="108" xfId="20" applyFont="1" applyFill="1" applyBorder="1" applyAlignment="1">
      <alignment horizontal="center" vertical="center" wrapText="1"/>
    </xf>
    <xf numFmtId="41" fontId="29" fillId="9" borderId="111" xfId="20" applyFont="1" applyFill="1" applyBorder="1" applyAlignment="1">
      <alignment horizontal="center" vertical="center" wrapText="1"/>
    </xf>
    <xf numFmtId="0" fontId="44" fillId="9" borderId="108" xfId="21" applyFont="1" applyFill="1" applyBorder="1" applyAlignment="1">
      <alignment horizontal="center" vertical="center" wrapText="1"/>
    </xf>
    <xf numFmtId="0" fontId="44" fillId="9" borderId="111" xfId="21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90" fontId="25" fillId="0" borderId="16" xfId="0" applyNumberFormat="1" applyFont="1" applyBorder="1" applyAlignment="1">
      <alignment horizontal="center" vertical="center"/>
    </xf>
    <xf numFmtId="190" fontId="25" fillId="0" borderId="17" xfId="0" applyNumberFormat="1" applyFont="1" applyBorder="1" applyAlignment="1">
      <alignment horizontal="center" vertical="center"/>
    </xf>
    <xf numFmtId="0" fontId="28" fillId="0" borderId="77" xfId="0" applyFont="1" applyBorder="1" applyAlignment="1">
      <alignment horizontal="center" vertical="center"/>
    </xf>
    <xf numFmtId="182" fontId="25" fillId="0" borderId="104" xfId="0" applyNumberFormat="1" applyFont="1" applyBorder="1" applyAlignment="1">
      <alignment horizontal="center" vertical="center"/>
    </xf>
    <xf numFmtId="182" fontId="25" fillId="0" borderId="102" xfId="0" applyNumberFormat="1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20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Relationship Id="rId9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7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438150</xdr:rowOff>
        </xdr:from>
        <xdr:to>
          <xdr:col>14</xdr:col>
          <xdr:colOff>523875</xdr:colOff>
          <xdr:row>0</xdr:row>
          <xdr:rowOff>752475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571500</xdr:colOff>
          <xdr:row>0</xdr:row>
          <xdr:rowOff>438150</xdr:rowOff>
        </xdr:from>
        <xdr:to>
          <xdr:col>15</xdr:col>
          <xdr:colOff>609600</xdr:colOff>
          <xdr:row>0</xdr:row>
          <xdr:rowOff>752475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0</xdr:row>
          <xdr:rowOff>438150</xdr:rowOff>
        </xdr:from>
        <xdr:to>
          <xdr:col>16</xdr:col>
          <xdr:colOff>476250</xdr:colOff>
          <xdr:row>0</xdr:row>
          <xdr:rowOff>752475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5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428625</xdr:rowOff>
        </xdr:from>
        <xdr:to>
          <xdr:col>16</xdr:col>
          <xdr:colOff>1276350</xdr:colOff>
          <xdr:row>0</xdr:row>
          <xdr:rowOff>742950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5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5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8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8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9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9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A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A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A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A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A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A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A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A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A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B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B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B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B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C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C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C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C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F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4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4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18" Type="http://schemas.openxmlformats.org/officeDocument/2006/relationships/control" Target="../activeX/activeX3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1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5" Type="http://schemas.openxmlformats.org/officeDocument/2006/relationships/image" Target="../media/image34.emf"/><Relationship Id="rId10" Type="http://schemas.openxmlformats.org/officeDocument/2006/relationships/control" Target="../activeX/activeX32.xml"/><Relationship Id="rId19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Relationship Id="rId14" Type="http://schemas.openxmlformats.org/officeDocument/2006/relationships/control" Target="../activeX/activeX34.xml"/><Relationship Id="rId2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12" Type="http://schemas.openxmlformats.org/officeDocument/2006/relationships/comments" Target="../comments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12" Type="http://schemas.openxmlformats.org/officeDocument/2006/relationships/comments" Target="../comments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7.xml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5" Type="http://schemas.openxmlformats.org/officeDocument/2006/relationships/image" Target="../media/image52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30" t="s">
        <v>232</v>
      </c>
      <c r="C2" s="530"/>
      <c r="D2" s="530"/>
      <c r="E2" s="530"/>
      <c r="F2" s="530"/>
      <c r="G2" s="530"/>
      <c r="H2" s="530"/>
      <c r="I2" s="530"/>
      <c r="J2" s="530"/>
      <c r="K2" s="530"/>
      <c r="L2" s="530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7" t="s">
        <v>298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zoomScaleNormal="100" workbookViewId="0">
      <selection activeCell="G44" sqref="G44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31" t="s">
        <v>303</v>
      </c>
      <c r="J24" s="532"/>
      <c r="K24" s="473">
        <f>INDEX(Location[recharge], MATCH(I24,Location[name],0))</f>
        <v>0.128</v>
      </c>
      <c r="L24" s="474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33" t="s">
        <v>197</v>
      </c>
      <c r="J25" s="534"/>
      <c r="K25" s="475">
        <f>INDEX(Location[recharge], MATCH(I25,Location[name],0))</f>
        <v>0.16600000000000001</v>
      </c>
      <c r="L25" s="476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35" t="s">
        <v>268</v>
      </c>
      <c r="J26" s="536"/>
      <c r="K26" s="477">
        <f>INDEX(Location[recharge], MATCH(I26,Location[name],0))</f>
        <v>0.127</v>
      </c>
      <c r="L26" s="478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37" t="s">
        <v>307</v>
      </c>
      <c r="B37" s="538"/>
      <c r="C37" s="231"/>
      <c r="D37" s="493"/>
    </row>
    <row r="38" spans="1:6" ht="17.25" thickBot="1">
      <c r="A38" s="494"/>
      <c r="B38" s="495" t="s">
        <v>236</v>
      </c>
      <c r="C38" s="495" t="s">
        <v>237</v>
      </c>
      <c r="D38" s="496" t="s">
        <v>238</v>
      </c>
    </row>
    <row r="39" spans="1:6">
      <c r="A39" s="521" t="s">
        <v>297</v>
      </c>
      <c r="B39" s="497">
        <v>500</v>
      </c>
      <c r="C39" s="498">
        <v>250</v>
      </c>
      <c r="D39" s="499">
        <v>250</v>
      </c>
    </row>
    <row r="40" spans="1:6">
      <c r="A40" s="522" t="s">
        <v>308</v>
      </c>
      <c r="B40" s="500">
        <v>130</v>
      </c>
      <c r="C40" s="501">
        <v>130</v>
      </c>
      <c r="D40" s="502">
        <v>130</v>
      </c>
    </row>
    <row r="41" spans="1:6">
      <c r="A41" s="522" t="s">
        <v>309</v>
      </c>
      <c r="B41" s="503">
        <v>200</v>
      </c>
      <c r="C41" s="504">
        <v>150</v>
      </c>
      <c r="D41" s="505">
        <v>150</v>
      </c>
    </row>
    <row r="42" spans="1:6">
      <c r="A42" s="523" t="s">
        <v>310</v>
      </c>
      <c r="B42" s="506">
        <f>ROUND(B41/10,1)</f>
        <v>20</v>
      </c>
      <c r="C42" s="507">
        <f>ROUND(C41/10,1)</f>
        <v>15</v>
      </c>
      <c r="D42" s="508">
        <f>ROUND(D41/10,1)</f>
        <v>15</v>
      </c>
    </row>
    <row r="43" spans="1:6">
      <c r="A43" s="523" t="s">
        <v>311</v>
      </c>
      <c r="B43" s="509">
        <f>B41+B42</f>
        <v>220</v>
      </c>
      <c r="C43" s="510">
        <f>C41+C42</f>
        <v>165</v>
      </c>
      <c r="D43" s="511">
        <f>D41+D42</f>
        <v>165</v>
      </c>
    </row>
    <row r="44" spans="1:6">
      <c r="A44" s="523" t="s">
        <v>312</v>
      </c>
      <c r="B44" s="512">
        <v>0.45250000000000001</v>
      </c>
      <c r="C44" s="513">
        <v>0.45250000000000001</v>
      </c>
      <c r="D44" s="514">
        <v>0.45250000000000001</v>
      </c>
    </row>
    <row r="45" spans="1:6">
      <c r="A45" s="523"/>
      <c r="B45" s="506"/>
      <c r="C45" s="507"/>
      <c r="D45" s="508"/>
    </row>
    <row r="46" spans="1:6">
      <c r="A46" s="523" t="s">
        <v>313</v>
      </c>
      <c r="B46" s="506">
        <f>ROUND((B40*B43)/(6572.5*B44),4)</f>
        <v>9.6165000000000003</v>
      </c>
      <c r="C46" s="507">
        <f>ROUND((C40*C43)/(6572.5*C44),4)</f>
        <v>7.2123999999999997</v>
      </c>
      <c r="D46" s="508">
        <f>ROUND((D40*D43)/(6572.5*D44),4)</f>
        <v>7.2123999999999997</v>
      </c>
    </row>
    <row r="47" spans="1:6" ht="19.5" thickBot="1">
      <c r="A47" s="524"/>
      <c r="B47" s="515">
        <f>ROUNDUP(B46,0)</f>
        <v>10</v>
      </c>
      <c r="C47" s="516">
        <f>ROUNDUP(C46,0)</f>
        <v>8</v>
      </c>
      <c r="D47" s="517">
        <f>ROUNDUP(D46,0)</f>
        <v>8</v>
      </c>
    </row>
    <row r="48" spans="1:6">
      <c r="A48" s="521" t="s">
        <v>314</v>
      </c>
      <c r="B48" s="497">
        <v>10</v>
      </c>
      <c r="C48" s="498">
        <v>7.5</v>
      </c>
      <c r="D48" s="499">
        <v>7.5</v>
      </c>
    </row>
    <row r="49" spans="1:4" ht="17.25" thickBot="1">
      <c r="A49" s="524" t="s">
        <v>315</v>
      </c>
      <c r="B49" s="518">
        <f>ROUND((B48*B44*6572.5)/B43,1)</f>
        <v>135.19999999999999</v>
      </c>
      <c r="C49" s="519">
        <f>ROUND((C48*C44*6572.5)/C43,1)</f>
        <v>135.19999999999999</v>
      </c>
      <c r="D49" s="520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9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8">
        <v>0.13600000000000001</v>
      </c>
      <c r="C2" s="328">
        <v>0.66</v>
      </c>
    </row>
    <row r="3" spans="1:12" ht="18" customHeight="1">
      <c r="A3" s="322" t="s">
        <v>193</v>
      </c>
      <c r="B3" s="328">
        <v>0.151</v>
      </c>
      <c r="C3" s="328">
        <v>0.65</v>
      </c>
    </row>
    <row r="4" spans="1:12" ht="18" customHeight="1">
      <c r="A4" s="322" t="s">
        <v>183</v>
      </c>
      <c r="B4" s="328">
        <v>0.16700000000000001</v>
      </c>
      <c r="C4" s="328">
        <v>0.65</v>
      </c>
      <c r="J4" s="329" t="s">
        <v>195</v>
      </c>
      <c r="K4" s="329">
        <f>INDEX(Location[recharge],MATCH(J4,Location[name],0))</f>
        <v>0.16600000000000001</v>
      </c>
      <c r="L4" s="329">
        <f>INDEX(Location[ratio], MATCH(J4,Location[name]))</f>
        <v>0.65</v>
      </c>
    </row>
    <row r="5" spans="1:12" ht="18" customHeight="1">
      <c r="A5" s="322" t="s">
        <v>184</v>
      </c>
      <c r="B5" s="328">
        <v>0.17299999999999999</v>
      </c>
      <c r="C5" s="328">
        <v>0.66849999999999998</v>
      </c>
    </row>
    <row r="6" spans="1:12" ht="18" customHeight="1">
      <c r="A6" s="322" t="s">
        <v>194</v>
      </c>
      <c r="B6" s="328">
        <v>0.16300000000000001</v>
      </c>
      <c r="C6" s="328">
        <v>0.67</v>
      </c>
    </row>
    <row r="7" spans="1:12" ht="18" customHeight="1">
      <c r="A7" s="322" t="s">
        <v>196</v>
      </c>
      <c r="B7" s="328">
        <v>0.16600000000000001</v>
      </c>
      <c r="C7" s="328">
        <v>0.64</v>
      </c>
      <c r="E7" s="329" t="s">
        <v>205</v>
      </c>
    </row>
    <row r="8" spans="1:12" ht="18" customHeight="1">
      <c r="A8" s="322" t="s">
        <v>197</v>
      </c>
      <c r="B8" s="328">
        <v>0.16600000000000001</v>
      </c>
      <c r="C8" s="328">
        <v>0.64</v>
      </c>
    </row>
    <row r="9" spans="1:12" ht="18" customHeight="1">
      <c r="A9" s="322" t="s">
        <v>185</v>
      </c>
      <c r="B9" s="328">
        <v>0.125</v>
      </c>
      <c r="C9" s="328">
        <v>0.67</v>
      </c>
    </row>
    <row r="10" spans="1:12" ht="18" customHeight="1">
      <c r="A10" s="322" t="s">
        <v>198</v>
      </c>
      <c r="B10" s="328">
        <v>0.127</v>
      </c>
      <c r="C10" s="328">
        <v>0.65</v>
      </c>
    </row>
    <row r="11" spans="1:12" ht="18" customHeight="1">
      <c r="A11" s="322" t="s">
        <v>199</v>
      </c>
      <c r="B11" s="328">
        <v>0.128</v>
      </c>
      <c r="C11" s="328">
        <v>0.64</v>
      </c>
    </row>
    <row r="12" spans="1:12" ht="18" customHeight="1">
      <c r="A12" s="322" t="s">
        <v>200</v>
      </c>
      <c r="B12" s="328">
        <v>0.17499999999999999</v>
      </c>
      <c r="C12" s="328">
        <v>0.67</v>
      </c>
    </row>
    <row r="13" spans="1:12" ht="18" customHeight="1">
      <c r="A13" s="322" t="s">
        <v>213</v>
      </c>
      <c r="B13" s="328">
        <v>0.13</v>
      </c>
      <c r="C13" s="328">
        <v>0.63</v>
      </c>
    </row>
    <row r="14" spans="1:12" ht="18" customHeight="1">
      <c r="A14" s="322" t="s">
        <v>214</v>
      </c>
      <c r="B14" s="328">
        <v>0.13400000000000001</v>
      </c>
      <c r="C14" s="328">
        <v>0.65</v>
      </c>
    </row>
    <row r="15" spans="1:12" ht="18" customHeight="1">
      <c r="A15" s="322" t="s">
        <v>215</v>
      </c>
      <c r="B15" s="328">
        <v>0.16500000000000001</v>
      </c>
      <c r="C15" s="328">
        <v>0.62</v>
      </c>
    </row>
    <row r="16" spans="1:12" ht="18" customHeight="1">
      <c r="A16" s="322" t="s">
        <v>269</v>
      </c>
      <c r="B16" s="328">
        <v>0.16300000000000001</v>
      </c>
      <c r="C16" s="328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7"/>
  <sheetViews>
    <sheetView tabSelected="1" zoomScaleNormal="100" workbookViewId="0">
      <selection activeCell="J12" sqref="J12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281</v>
      </c>
      <c r="J1" s="68"/>
    </row>
    <row r="2" spans="1:18" s="77" customFormat="1" ht="23.1" customHeight="1">
      <c r="A2" s="539" t="s">
        <v>0</v>
      </c>
      <c r="B2" s="541" t="s">
        <v>39</v>
      </c>
      <c r="C2" s="541" t="s">
        <v>6</v>
      </c>
      <c r="D2" s="541" t="s">
        <v>38</v>
      </c>
      <c r="E2" s="541" t="s">
        <v>207</v>
      </c>
      <c r="F2" s="541" t="s">
        <v>206</v>
      </c>
      <c r="G2" s="545" t="s">
        <v>1</v>
      </c>
      <c r="H2" s="545" t="s">
        <v>2</v>
      </c>
      <c r="I2" s="545" t="s">
        <v>175</v>
      </c>
      <c r="J2" s="549" t="s">
        <v>290</v>
      </c>
      <c r="K2" s="545" t="s">
        <v>289</v>
      </c>
      <c r="L2" s="545" t="s">
        <v>3</v>
      </c>
      <c r="M2" s="545" t="s">
        <v>4</v>
      </c>
      <c r="N2" s="545" t="s">
        <v>5</v>
      </c>
      <c r="O2" s="545" t="s">
        <v>288</v>
      </c>
      <c r="P2" s="547" t="s">
        <v>287</v>
      </c>
      <c r="Q2" s="541" t="s">
        <v>161</v>
      </c>
      <c r="R2" s="543" t="s">
        <v>93</v>
      </c>
    </row>
    <row r="3" spans="1:18" s="77" customFormat="1" ht="27" customHeight="1">
      <c r="A3" s="540"/>
      <c r="B3" s="542"/>
      <c r="C3" s="542"/>
      <c r="D3" s="542"/>
      <c r="E3" s="542"/>
      <c r="F3" s="542"/>
      <c r="G3" s="546"/>
      <c r="H3" s="546"/>
      <c r="I3" s="546"/>
      <c r="J3" s="550"/>
      <c r="K3" s="546"/>
      <c r="L3" s="546"/>
      <c r="M3" s="546"/>
      <c r="N3" s="546"/>
      <c r="O3" s="546"/>
      <c r="P3" s="548"/>
      <c r="Q3" s="542"/>
      <c r="R3" s="544"/>
    </row>
    <row r="4" spans="1:18" ht="23.1" customHeight="1">
      <c r="A4" s="453" t="s">
        <v>267</v>
      </c>
      <c r="B4" s="454" t="s">
        <v>233</v>
      </c>
      <c r="C4" s="455"/>
      <c r="D4" s="454" t="s">
        <v>279</v>
      </c>
      <c r="E4" s="454" t="s">
        <v>280</v>
      </c>
      <c r="F4" s="454" t="s">
        <v>234</v>
      </c>
      <c r="G4" s="454">
        <v>200</v>
      </c>
      <c r="H4" s="454">
        <v>500</v>
      </c>
      <c r="I4" s="454">
        <v>130</v>
      </c>
      <c r="J4" s="454">
        <v>143</v>
      </c>
      <c r="K4" s="454">
        <v>143</v>
      </c>
      <c r="L4" s="454">
        <v>10</v>
      </c>
      <c r="M4" s="454">
        <v>200</v>
      </c>
      <c r="N4" s="456">
        <v>50</v>
      </c>
      <c r="O4" s="457">
        <v>172.8</v>
      </c>
      <c r="P4" s="469">
        <v>3059068</v>
      </c>
      <c r="Q4" s="454"/>
      <c r="R4" s="458"/>
    </row>
    <row r="5" spans="1:18" ht="23.1" customHeight="1">
      <c r="A5" s="453" t="s">
        <v>277</v>
      </c>
      <c r="B5" s="454" t="s">
        <v>233</v>
      </c>
      <c r="C5" s="455"/>
      <c r="D5" s="454" t="s">
        <v>279</v>
      </c>
      <c r="E5" s="454" t="s">
        <v>280</v>
      </c>
      <c r="F5" s="454" t="s">
        <v>234</v>
      </c>
      <c r="G5" s="454">
        <v>200</v>
      </c>
      <c r="H5" s="454">
        <v>250</v>
      </c>
      <c r="I5" s="454">
        <v>130</v>
      </c>
      <c r="J5" s="454">
        <v>143</v>
      </c>
      <c r="K5" s="454">
        <v>143</v>
      </c>
      <c r="L5" s="454">
        <v>7.5</v>
      </c>
      <c r="M5" s="454">
        <v>150</v>
      </c>
      <c r="N5" s="456">
        <v>40</v>
      </c>
      <c r="O5" s="457">
        <v>172.8</v>
      </c>
      <c r="P5" s="469">
        <v>3059068</v>
      </c>
      <c r="Q5" s="454"/>
      <c r="R5" s="458"/>
    </row>
    <row r="6" spans="1:18" ht="23.1" customHeight="1" thickBot="1">
      <c r="A6" s="459" t="s">
        <v>278</v>
      </c>
      <c r="B6" s="460" t="s">
        <v>233</v>
      </c>
      <c r="C6" s="461"/>
      <c r="D6" s="460" t="s">
        <v>279</v>
      </c>
      <c r="E6" s="460" t="s">
        <v>280</v>
      </c>
      <c r="F6" s="460" t="s">
        <v>234</v>
      </c>
      <c r="G6" s="460">
        <v>200</v>
      </c>
      <c r="H6" s="460">
        <v>250</v>
      </c>
      <c r="I6" s="460">
        <v>130</v>
      </c>
      <c r="J6" s="460">
        <v>143</v>
      </c>
      <c r="K6" s="460">
        <v>143</v>
      </c>
      <c r="L6" s="460">
        <v>7.5</v>
      </c>
      <c r="M6" s="460">
        <v>150</v>
      </c>
      <c r="N6" s="462">
        <v>40</v>
      </c>
      <c r="O6" s="463">
        <v>172.8</v>
      </c>
      <c r="P6" s="470">
        <v>3059068</v>
      </c>
      <c r="Q6" s="460"/>
      <c r="R6" s="464"/>
    </row>
    <row r="7" spans="1:18" ht="23.25" customHeight="1" thickBot="1">
      <c r="A7" s="322"/>
      <c r="J7" s="423"/>
      <c r="P7" s="424"/>
    </row>
    <row r="8" spans="1:18" ht="23.25" customHeight="1" thickBot="1">
      <c r="I8" s="472">
        <f>SUM(I4:I7)</f>
        <v>390</v>
      </c>
    </row>
    <row r="16" spans="1:18" ht="17.25" thickBot="1"/>
    <row r="17" spans="14:14" ht="17.25" thickBot="1">
      <c r="N17" s="471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53" r:id="rId4" name="CommandButton8">
          <controlPr defaultSize="0" autoLine="0" autoPict="0" r:id="rId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4" name="CommandButton8"/>
      </mc:Fallback>
    </mc:AlternateContent>
    <mc:AlternateContent xmlns:mc="http://schemas.openxmlformats.org/markup-compatibility/2006">
      <mc:Choice Requires="x14">
        <control shapeId="99346" r:id="rId6" name="CommandButton3">
          <controlPr defaultSize="0" autoLine="0" r:id="rId7">
            <anchor moveWithCells="1">
              <from>
                <xdr:col>16</xdr:col>
                <xdr:colOff>514350</xdr:colOff>
                <xdr:row>0</xdr:row>
                <xdr:rowOff>428625</xdr:rowOff>
              </from>
              <to>
                <xdr:col>16</xdr:col>
                <xdr:colOff>1276350</xdr:colOff>
                <xdr:row>0</xdr:row>
                <xdr:rowOff>742950</xdr:rowOff>
              </to>
            </anchor>
          </controlPr>
        </control>
      </mc:Choice>
      <mc:Fallback>
        <control shapeId="99346" r:id="rId6" name="CommandButton3"/>
      </mc:Fallback>
    </mc:AlternateContent>
    <mc:AlternateContent xmlns:mc="http://schemas.openxmlformats.org/markup-compatibility/2006">
      <mc:Choice Requires="x14">
        <control shapeId="99336" r:id="rId8" name="CommandButton6">
          <controlPr defaultSize="0" autoLine="0" r:id="rId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8" name="CommandButton6"/>
      </mc:Fallback>
    </mc:AlternateContent>
    <mc:AlternateContent xmlns:mc="http://schemas.openxmlformats.org/markup-compatibility/2006">
      <mc:Choice Requires="x14">
        <control shapeId="99329" r:id="rId10" name="CommandButton1">
          <controlPr defaultSize="0" autoLine="0" r:id="rId11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0" name="CommandButton1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13</xdr:col>
                <xdr:colOff>323850</xdr:colOff>
                <xdr:row>0</xdr:row>
                <xdr:rowOff>438150</xdr:rowOff>
              </from>
              <to>
                <xdr:col>14</xdr:col>
                <xdr:colOff>523875</xdr:colOff>
                <xdr:row>0</xdr:row>
                <xdr:rowOff>752475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4" r:id="rId16" name="SingleColor">
          <controlPr defaultSize="0" autoLine="0" r:id="rId1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6" name="SingleColor"/>
      </mc:Fallback>
    </mc:AlternateContent>
    <mc:AlternateContent xmlns:mc="http://schemas.openxmlformats.org/markup-compatibility/2006">
      <mc:Choice Requires="x14">
        <control shapeId="99335" r:id="rId18" name="CommandButton5">
          <controlPr defaultSize="0" autoLine="0" r:id="rId19">
            <anchor moveWithCells="1">
              <from>
                <xdr:col>14</xdr:col>
                <xdr:colOff>571500</xdr:colOff>
                <xdr:row>0</xdr:row>
                <xdr:rowOff>438150</xdr:rowOff>
              </from>
              <to>
                <xdr:col>15</xdr:col>
                <xdr:colOff>609600</xdr:colOff>
                <xdr:row>0</xdr:row>
                <xdr:rowOff>752475</xdr:rowOff>
              </to>
            </anchor>
          </controlPr>
        </control>
      </mc:Choice>
      <mc:Fallback>
        <control shapeId="99335" r:id="rId18" name="CommandButton5"/>
      </mc:Fallback>
    </mc:AlternateContent>
    <mc:AlternateContent xmlns:mc="http://schemas.openxmlformats.org/markup-compatibility/2006">
      <mc:Choice Requires="x14">
        <control shapeId="99342" r:id="rId20" name="CommandButton7">
          <controlPr defaultSize="0" autoLine="0" r:id="rId21">
            <anchor moveWithCells="1">
              <from>
                <xdr:col>15</xdr:col>
                <xdr:colOff>657225</xdr:colOff>
                <xdr:row>0</xdr:row>
                <xdr:rowOff>438150</xdr:rowOff>
              </from>
              <to>
                <xdr:col>16</xdr:col>
                <xdr:colOff>476250</xdr:colOff>
                <xdr:row>0</xdr:row>
                <xdr:rowOff>752475</xdr:rowOff>
              </to>
            </anchor>
          </controlPr>
        </control>
      </mc:Choice>
      <mc:Fallback>
        <control shapeId="99342" r:id="rId20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O15" sqref="O15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30" customWidth="1"/>
    <col min="10" max="10" width="11.77734375" style="37" customWidth="1"/>
    <col min="11" max="11" width="11.77734375" style="331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 thickBot="1">
      <c r="G2" s="481" t="s">
        <v>212</v>
      </c>
      <c r="H2" s="482" t="s">
        <v>209</v>
      </c>
      <c r="I2" s="483" t="s">
        <v>218</v>
      </c>
      <c r="J2" s="482" t="s">
        <v>210</v>
      </c>
      <c r="K2" s="484" t="s">
        <v>211</v>
      </c>
      <c r="M2" s="333"/>
      <c r="N2" s="334" t="s">
        <v>216</v>
      </c>
      <c r="O2" s="335" t="s">
        <v>217</v>
      </c>
      <c r="Q2" s="336" t="s">
        <v>212</v>
      </c>
      <c r="R2" s="337" t="s">
        <v>220</v>
      </c>
      <c r="S2" s="332" t="s">
        <v>221</v>
      </c>
    </row>
    <row r="3" spans="7:19" ht="20.100000000000001" customHeight="1" thickBot="1">
      <c r="G3" s="485" t="s">
        <v>236</v>
      </c>
      <c r="H3" s="486">
        <v>149</v>
      </c>
      <c r="I3" s="489">
        <v>133.95966914143432</v>
      </c>
      <c r="J3" s="486">
        <v>130</v>
      </c>
      <c r="K3" s="487">
        <v>0.89261744966442957</v>
      </c>
      <c r="M3" s="339" t="s">
        <v>211</v>
      </c>
      <c r="N3" s="340">
        <v>0.89261744966442957</v>
      </c>
      <c r="O3" s="341">
        <v>0.89261744966442957</v>
      </c>
      <c r="Q3" s="342" t="s">
        <v>236</v>
      </c>
      <c r="R3" s="343">
        <v>6.0139999999999998E-4</v>
      </c>
      <c r="S3" s="344">
        <v>0.21038480000000001</v>
      </c>
    </row>
    <row r="4" spans="7:19" ht="20.100000000000001" customHeight="1" thickBot="1">
      <c r="G4" s="338" t="s">
        <v>237</v>
      </c>
      <c r="H4" s="37">
        <v>149</v>
      </c>
      <c r="I4" s="490">
        <v>133.92821031130663</v>
      </c>
      <c r="J4" s="37">
        <v>130</v>
      </c>
      <c r="K4" s="488">
        <v>0.89261744966442957</v>
      </c>
      <c r="M4" s="339" t="s">
        <v>218</v>
      </c>
      <c r="N4" s="345">
        <v>133.92821031130663</v>
      </c>
      <c r="O4" s="346">
        <v>133.95966914143432</v>
      </c>
      <c r="Q4" s="342" t="s">
        <v>237</v>
      </c>
      <c r="R4" s="343">
        <v>5.5579999999999996E-4</v>
      </c>
      <c r="S4" s="344">
        <v>0.19516990000000001</v>
      </c>
    </row>
    <row r="5" spans="7:19" ht="20.100000000000001" customHeight="1" thickBot="1">
      <c r="G5" s="338" t="s">
        <v>238</v>
      </c>
      <c r="H5" s="37">
        <v>149</v>
      </c>
      <c r="I5" s="490">
        <v>133.93943451037802</v>
      </c>
      <c r="J5" s="37">
        <v>130</v>
      </c>
      <c r="K5" s="488">
        <v>0.89261744966442957</v>
      </c>
      <c r="M5" s="347" t="s">
        <v>219</v>
      </c>
      <c r="N5" s="348">
        <v>130</v>
      </c>
      <c r="O5" s="349">
        <v>130</v>
      </c>
      <c r="Q5" s="342" t="s">
        <v>238</v>
      </c>
      <c r="R5" s="343">
        <v>5.7790000000000001E-4</v>
      </c>
      <c r="S5" s="344">
        <v>0.2025769</v>
      </c>
    </row>
    <row r="6" spans="7:19" ht="20.100000000000001" customHeight="1">
      <c r="G6" s="338"/>
      <c r="I6" s="37"/>
      <c r="K6" s="350"/>
      <c r="Q6" s="342"/>
      <c r="R6" s="343"/>
      <c r="S6" s="344"/>
    </row>
    <row r="7" spans="7:19" ht="20.100000000000001" customHeight="1">
      <c r="G7" s="338"/>
      <c r="I7" s="37"/>
      <c r="K7" s="350"/>
      <c r="Q7" s="342"/>
      <c r="R7" s="343"/>
      <c r="S7" s="344"/>
    </row>
    <row r="8" spans="7:19" ht="20.100000000000001" customHeight="1">
      <c r="G8" s="338"/>
      <c r="I8" s="37"/>
      <c r="K8" s="350"/>
      <c r="Q8" s="338"/>
      <c r="S8" s="350"/>
    </row>
    <row r="9" spans="7:19" ht="20.100000000000001" customHeight="1">
      <c r="G9" s="338"/>
      <c r="I9" s="37"/>
      <c r="K9" s="350"/>
      <c r="Q9" s="338"/>
      <c r="S9" s="350"/>
    </row>
    <row r="10" spans="7:19" ht="20.100000000000001" customHeight="1">
      <c r="G10" s="338"/>
      <c r="I10" s="37"/>
      <c r="K10" s="350"/>
      <c r="Q10" s="338"/>
      <c r="S10" s="350"/>
    </row>
    <row r="11" spans="7:19" ht="20.100000000000001" customHeight="1">
      <c r="G11" s="338"/>
      <c r="I11" s="37"/>
      <c r="K11" s="350"/>
      <c r="Q11" s="338"/>
      <c r="S11" s="350"/>
    </row>
    <row r="12" spans="7:19" ht="20.100000000000001" customHeight="1">
      <c r="G12" s="338"/>
      <c r="I12" s="37"/>
      <c r="K12" s="350"/>
      <c r="Q12" s="338"/>
      <c r="S12" s="350"/>
    </row>
    <row r="13" spans="7:19" ht="20.100000000000001" customHeight="1">
      <c r="G13" s="338"/>
      <c r="I13" s="37"/>
      <c r="K13" s="350"/>
      <c r="Q13" s="338"/>
      <c r="S13" s="350"/>
    </row>
    <row r="14" spans="7:19" ht="20.100000000000001" customHeight="1">
      <c r="G14" s="338"/>
      <c r="I14" s="37"/>
      <c r="K14" s="350"/>
      <c r="Q14" s="338"/>
      <c r="S14" s="350"/>
    </row>
    <row r="15" spans="7:19" ht="20.100000000000001" customHeight="1">
      <c r="G15" s="338"/>
      <c r="I15" s="37"/>
      <c r="K15" s="350"/>
      <c r="Q15" s="338"/>
      <c r="S15" s="350"/>
    </row>
    <row r="16" spans="7:19" ht="20.100000000000001" customHeight="1">
      <c r="G16" s="338"/>
      <c r="I16" s="37"/>
      <c r="K16" s="350"/>
      <c r="Q16" s="338"/>
      <c r="S16" s="350"/>
    </row>
    <row r="17" spans="6:19" ht="20.100000000000001" customHeight="1">
      <c r="G17" s="338"/>
      <c r="I17" s="37"/>
      <c r="K17" s="350"/>
      <c r="Q17" s="338"/>
      <c r="S17" s="350"/>
    </row>
    <row r="18" spans="6:19" ht="20.100000000000001" customHeight="1">
      <c r="G18" s="338"/>
      <c r="I18" s="37"/>
      <c r="K18" s="350"/>
      <c r="Q18" s="338"/>
      <c r="S18" s="350"/>
    </row>
    <row r="19" spans="6:19" ht="20.100000000000001" customHeight="1" thickBot="1">
      <c r="G19" s="351"/>
      <c r="H19" s="352"/>
      <c r="I19" s="352"/>
      <c r="J19" s="352"/>
      <c r="K19" s="353"/>
      <c r="Q19" s="351"/>
      <c r="R19" s="352"/>
      <c r="S19" s="353"/>
    </row>
    <row r="22" spans="6:19" ht="20.100000000000001" customHeight="1">
      <c r="M22" s="330"/>
      <c r="N22" s="330"/>
      <c r="O22" s="330"/>
      <c r="P22" s="330"/>
      <c r="Q22" s="330"/>
      <c r="R22" s="330"/>
      <c r="S22" s="330"/>
    </row>
    <row r="23" spans="6:19" ht="20.100000000000001" customHeight="1">
      <c r="M23" s="354">
        <v>133.95966914143432</v>
      </c>
      <c r="N23" s="345">
        <v>133.92821031130663</v>
      </c>
      <c r="O23" s="354">
        <v>133.93943451037802</v>
      </c>
      <c r="P23" s="345">
        <v>124.10752425577586</v>
      </c>
      <c r="Q23" s="354">
        <v>155.45958109179159</v>
      </c>
      <c r="R23" s="330"/>
      <c r="S23" s="330"/>
    </row>
    <row r="24" spans="6:19" ht="20.100000000000001" customHeight="1">
      <c r="M24" s="355">
        <v>130</v>
      </c>
      <c r="N24" s="356">
        <v>130</v>
      </c>
      <c r="O24" s="355">
        <v>130</v>
      </c>
      <c r="P24" s="356">
        <v>120</v>
      </c>
      <c r="Q24" s="355">
        <v>150</v>
      </c>
      <c r="R24" s="330"/>
      <c r="S24" s="330"/>
    </row>
    <row r="25" spans="6:19" ht="20.100000000000001" customHeight="1" thickBot="1">
      <c r="M25" s="330"/>
      <c r="N25" s="330"/>
      <c r="O25" s="330"/>
      <c r="P25" s="330"/>
      <c r="Q25" s="330"/>
      <c r="R25" s="330"/>
      <c r="S25" s="330"/>
    </row>
    <row r="26" spans="6:19" ht="27" customHeight="1" thickBot="1">
      <c r="G26" s="357" t="s">
        <v>250</v>
      </c>
      <c r="H26" s="358"/>
      <c r="I26" s="359"/>
    </row>
    <row r="27" spans="6:19" ht="15.95" customHeight="1">
      <c r="F27" s="551" t="s">
        <v>236</v>
      </c>
      <c r="G27" s="553">
        <v>149</v>
      </c>
      <c r="H27" s="360">
        <v>44.94</v>
      </c>
      <c r="I27" s="555">
        <v>133.95966914143432</v>
      </c>
    </row>
    <row r="28" spans="6:19" ht="15.95" customHeight="1" thickBot="1">
      <c r="F28" s="552"/>
      <c r="G28" s="554"/>
      <c r="H28" s="361">
        <v>21.13</v>
      </c>
      <c r="I28" s="556"/>
      <c r="K28" s="37"/>
    </row>
    <row r="29" spans="6:19" ht="15.95" customHeight="1">
      <c r="F29" s="551" t="s">
        <v>237</v>
      </c>
      <c r="G29" s="553">
        <v>149</v>
      </c>
      <c r="H29" s="360">
        <v>41.65</v>
      </c>
      <c r="I29" s="555">
        <v>133.92821031130663</v>
      </c>
    </row>
    <row r="30" spans="6:19" ht="15.95" customHeight="1" thickBot="1">
      <c r="F30" s="552"/>
      <c r="G30" s="554"/>
      <c r="H30" s="361">
        <v>19.59</v>
      </c>
      <c r="I30" s="556"/>
    </row>
    <row r="31" spans="6:19" ht="15.95" customHeight="1">
      <c r="F31" s="551" t="s">
        <v>238</v>
      </c>
      <c r="G31" s="553">
        <v>149</v>
      </c>
      <c r="H31" s="360">
        <v>43.25</v>
      </c>
      <c r="I31" s="555">
        <v>133.93943451037802</v>
      </c>
    </row>
    <row r="32" spans="6:19" ht="15.95" customHeight="1" thickBot="1">
      <c r="F32" s="552"/>
      <c r="G32" s="554"/>
      <c r="H32" s="361">
        <v>20.34</v>
      </c>
      <c r="I32" s="556"/>
    </row>
    <row r="33" spans="6:9" ht="15.95" customHeight="1">
      <c r="F33" s="551"/>
      <c r="G33" s="553"/>
      <c r="H33" s="360"/>
      <c r="I33" s="555"/>
    </row>
    <row r="34" spans="6:9" ht="15.95" customHeight="1" thickBot="1">
      <c r="F34" s="552"/>
      <c r="G34" s="554"/>
      <c r="H34" s="361"/>
      <c r="I34" s="556"/>
    </row>
    <row r="35" spans="6:9" ht="15.95" customHeight="1">
      <c r="F35" s="551"/>
      <c r="G35" s="553"/>
      <c r="H35" s="360"/>
      <c r="I35" s="555"/>
    </row>
    <row r="36" spans="6:9" ht="15.95" customHeight="1" thickBot="1">
      <c r="F36" s="552"/>
      <c r="G36" s="554"/>
      <c r="H36" s="361"/>
      <c r="I36" s="556"/>
    </row>
    <row r="37" spans="6:9" ht="15.95" customHeight="1">
      <c r="F37" s="551"/>
      <c r="G37" s="553"/>
      <c r="H37" s="360"/>
      <c r="I37" s="555"/>
    </row>
    <row r="38" spans="6:9" ht="15.95" customHeight="1" thickBot="1">
      <c r="F38" s="552"/>
      <c r="G38" s="554"/>
      <c r="H38" s="361"/>
      <c r="I38" s="556"/>
    </row>
    <row r="39" spans="6:9" ht="15.95" customHeight="1">
      <c r="F39" s="551"/>
      <c r="G39" s="553"/>
      <c r="H39" s="360"/>
      <c r="I39" s="555"/>
    </row>
    <row r="40" spans="6:9" ht="15.95" customHeight="1" thickBot="1">
      <c r="F40" s="552"/>
      <c r="G40" s="554"/>
      <c r="H40" s="361"/>
      <c r="I40" s="556"/>
    </row>
    <row r="41" spans="6:9" ht="15.95" customHeight="1">
      <c r="F41" s="551"/>
      <c r="G41" s="553"/>
      <c r="H41" s="360"/>
      <c r="I41" s="555"/>
    </row>
    <row r="42" spans="6:9" ht="15.95" customHeight="1" thickBot="1">
      <c r="F42" s="552"/>
      <c r="G42" s="554"/>
      <c r="H42" s="361"/>
      <c r="I42" s="556"/>
    </row>
    <row r="43" spans="6:9" ht="15.95" customHeight="1">
      <c r="F43" s="551"/>
      <c r="G43" s="553"/>
      <c r="H43" s="360"/>
      <c r="I43" s="555"/>
    </row>
    <row r="44" spans="6:9" ht="15.95" customHeight="1" thickBot="1">
      <c r="F44" s="552"/>
      <c r="G44" s="554"/>
      <c r="H44" s="361"/>
      <c r="I44" s="556"/>
    </row>
    <row r="45" spans="6:9" ht="15.95" customHeight="1">
      <c r="F45" s="551"/>
      <c r="G45" s="553"/>
      <c r="H45" s="360"/>
      <c r="I45" s="555"/>
    </row>
    <row r="46" spans="6:9" ht="15.95" customHeight="1" thickBot="1">
      <c r="F46" s="552"/>
      <c r="G46" s="554"/>
      <c r="H46" s="361"/>
      <c r="I46" s="556"/>
    </row>
    <row r="47" spans="6:9" ht="15.95" customHeight="1">
      <c r="F47" s="551"/>
      <c r="G47" s="553"/>
      <c r="H47" s="360"/>
      <c r="I47" s="555"/>
    </row>
    <row r="48" spans="6:9" ht="15.95" customHeight="1" thickBot="1">
      <c r="F48" s="552"/>
      <c r="G48" s="554"/>
      <c r="H48" s="361"/>
      <c r="I48" s="556"/>
    </row>
    <row r="49" spans="6:9" ht="15.95" customHeight="1">
      <c r="F49" s="551"/>
      <c r="G49" s="553"/>
      <c r="H49" s="360"/>
      <c r="I49" s="555"/>
    </row>
    <row r="50" spans="6:9" ht="15.95" customHeight="1" thickBot="1">
      <c r="F50" s="552"/>
      <c r="G50" s="554"/>
      <c r="H50" s="361"/>
      <c r="I50" s="556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J28" sqref="J28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0.109375" style="43" customWidth="1"/>
    <col min="18" max="16384" width="8.88671875" style="43"/>
  </cols>
  <sheetData>
    <row r="1" spans="4:21" ht="20.100000000000001" customHeight="1" thickBot="1">
      <c r="D1" s="53" t="s">
        <v>244</v>
      </c>
      <c r="L1" s="362" t="s">
        <v>245</v>
      </c>
      <c r="S1" s="362" t="s">
        <v>246</v>
      </c>
    </row>
    <row r="2" spans="4:21" ht="36.75" customHeight="1">
      <c r="D2" s="363" t="s">
        <v>222</v>
      </c>
      <c r="E2" s="364" t="s">
        <v>219</v>
      </c>
      <c r="F2" s="364" t="s">
        <v>226</v>
      </c>
      <c r="G2" s="364" t="s">
        <v>227</v>
      </c>
      <c r="H2" s="364" t="s">
        <v>166</v>
      </c>
      <c r="I2" s="364" t="s">
        <v>228</v>
      </c>
      <c r="J2" s="365" t="s">
        <v>229</v>
      </c>
      <c r="L2" s="366" t="s">
        <v>219</v>
      </c>
      <c r="M2" s="364" t="s">
        <v>223</v>
      </c>
      <c r="N2" s="364" t="s">
        <v>224</v>
      </c>
      <c r="O2" s="364" t="s">
        <v>225</v>
      </c>
      <c r="P2" s="364" t="s">
        <v>248</v>
      </c>
      <c r="Q2" s="365" t="s">
        <v>249</v>
      </c>
      <c r="S2" s="366" t="s">
        <v>227</v>
      </c>
      <c r="T2" s="364" t="s">
        <v>230</v>
      </c>
      <c r="U2" s="365" t="s">
        <v>231</v>
      </c>
    </row>
    <row r="3" spans="4:21" ht="20.100000000000001" customHeight="1">
      <c r="D3" s="367" t="s">
        <v>236</v>
      </c>
      <c r="E3" s="37">
        <v>130</v>
      </c>
      <c r="F3" s="37">
        <v>14.3</v>
      </c>
      <c r="G3" s="37">
        <v>64.8</v>
      </c>
      <c r="H3" s="37">
        <v>50.5</v>
      </c>
      <c r="I3" s="37">
        <v>0.1</v>
      </c>
      <c r="J3" s="368">
        <v>3.9890328339016063</v>
      </c>
      <c r="K3" s="37"/>
      <c r="L3" s="338">
        <v>130</v>
      </c>
      <c r="M3" s="37">
        <v>0.1</v>
      </c>
      <c r="N3" s="37">
        <v>0.1</v>
      </c>
      <c r="O3" s="37">
        <v>485.7</v>
      </c>
      <c r="P3" s="37">
        <v>1.732</v>
      </c>
      <c r="Q3" s="350">
        <v>8.8969999999999994E-2</v>
      </c>
      <c r="S3" s="369">
        <v>64.8</v>
      </c>
      <c r="T3" s="370">
        <v>16.491080206622705</v>
      </c>
      <c r="U3" s="368">
        <v>48.308919793377292</v>
      </c>
    </row>
    <row r="4" spans="4:21" ht="20.100000000000001" customHeight="1">
      <c r="D4" s="367" t="s">
        <v>237</v>
      </c>
      <c r="E4" s="37">
        <v>130</v>
      </c>
      <c r="F4" s="37">
        <v>14.9</v>
      </c>
      <c r="G4" s="37">
        <v>61.7</v>
      </c>
      <c r="H4" s="37">
        <v>46.800000000000004</v>
      </c>
      <c r="I4" s="37">
        <v>0.1</v>
      </c>
      <c r="J4" s="368">
        <v>3.7991159487113451</v>
      </c>
      <c r="K4" s="37"/>
      <c r="L4" s="338">
        <v>130</v>
      </c>
      <c r="M4" s="37">
        <v>0.1</v>
      </c>
      <c r="N4" s="37">
        <v>0.1</v>
      </c>
      <c r="O4" s="37">
        <v>235.1</v>
      </c>
      <c r="P4" s="37">
        <v>1.877</v>
      </c>
      <c r="Q4" s="350">
        <v>9.2749999999999999E-2</v>
      </c>
      <c r="S4" s="369">
        <v>61.7</v>
      </c>
      <c r="T4" s="370">
        <v>17.057988721779331</v>
      </c>
      <c r="U4" s="368">
        <v>44.642011278220671</v>
      </c>
    </row>
    <row r="5" spans="4:21" ht="20.100000000000001" customHeight="1">
      <c r="D5" s="367" t="s">
        <v>238</v>
      </c>
      <c r="E5" s="37">
        <v>130</v>
      </c>
      <c r="F5" s="37">
        <v>13.8</v>
      </c>
      <c r="G5" s="37">
        <v>62.4</v>
      </c>
      <c r="H5" s="37">
        <v>48.599999999999994</v>
      </c>
      <c r="I5" s="37">
        <v>0.1</v>
      </c>
      <c r="J5" s="368">
        <v>3.8914763181450334</v>
      </c>
      <c r="K5" s="37"/>
      <c r="L5" s="338">
        <v>130</v>
      </c>
      <c r="M5" s="37">
        <v>0.1</v>
      </c>
      <c r="N5" s="37">
        <v>0.1</v>
      </c>
      <c r="O5" s="37">
        <v>236.2</v>
      </c>
      <c r="P5" s="37">
        <v>1.8029999999999999</v>
      </c>
      <c r="Q5" s="350">
        <v>9.0880000000000002E-2</v>
      </c>
      <c r="S5" s="369">
        <v>62.4</v>
      </c>
      <c r="T5" s="370">
        <v>15.974338991033088</v>
      </c>
      <c r="U5" s="368">
        <v>46.425661008966912</v>
      </c>
    </row>
    <row r="6" spans="4:21" ht="20.100000000000001" customHeight="1">
      <c r="D6" s="367"/>
      <c r="E6" s="37"/>
      <c r="F6" s="37"/>
      <c r="G6" s="37"/>
      <c r="H6" s="37"/>
      <c r="I6" s="37"/>
      <c r="J6" s="368"/>
      <c r="K6" s="37"/>
      <c r="L6" s="338"/>
      <c r="M6" s="37"/>
      <c r="N6" s="37"/>
      <c r="O6" s="37"/>
      <c r="P6" s="37"/>
      <c r="Q6" s="350"/>
      <c r="S6" s="369"/>
      <c r="T6" s="370"/>
      <c r="U6" s="368"/>
    </row>
    <row r="7" spans="4:21" ht="20.100000000000001" customHeight="1">
      <c r="D7" s="367"/>
      <c r="E7" s="37"/>
      <c r="F7" s="37"/>
      <c r="G7" s="37"/>
      <c r="H7" s="37"/>
      <c r="I7" s="37"/>
      <c r="J7" s="368"/>
      <c r="K7" s="37"/>
      <c r="L7" s="338"/>
      <c r="M7" s="37"/>
      <c r="N7" s="37"/>
      <c r="O7" s="37"/>
      <c r="P7" s="37"/>
      <c r="Q7" s="350"/>
      <c r="S7" s="369"/>
      <c r="T7" s="370"/>
      <c r="U7" s="368"/>
    </row>
    <row r="8" spans="4:21" ht="20.100000000000001" customHeight="1">
      <c r="D8" s="367"/>
      <c r="E8" s="37"/>
      <c r="F8" s="37"/>
      <c r="G8" s="37"/>
      <c r="H8" s="37"/>
      <c r="I8" s="37"/>
      <c r="J8" s="368"/>
      <c r="K8" s="37"/>
      <c r="L8" s="338"/>
      <c r="M8" s="37"/>
      <c r="N8" s="37"/>
      <c r="O8" s="37"/>
      <c r="P8" s="37"/>
      <c r="Q8" s="350"/>
      <c r="S8" s="338"/>
      <c r="T8" s="370"/>
      <c r="U8" s="368"/>
    </row>
    <row r="9" spans="4:21" ht="20.100000000000001" customHeight="1">
      <c r="D9" s="367"/>
      <c r="E9" s="37"/>
      <c r="F9" s="37"/>
      <c r="G9" s="37"/>
      <c r="H9" s="37"/>
      <c r="I9" s="37"/>
      <c r="J9" s="368"/>
      <c r="K9" s="37"/>
      <c r="L9" s="338"/>
      <c r="M9" s="37"/>
      <c r="N9" s="37"/>
      <c r="O9" s="37"/>
      <c r="P9" s="37"/>
      <c r="Q9" s="350"/>
      <c r="S9" s="338"/>
      <c r="T9" s="370"/>
      <c r="U9" s="368"/>
    </row>
    <row r="10" spans="4:21" ht="20.100000000000001" customHeight="1">
      <c r="D10" s="367"/>
      <c r="E10" s="37"/>
      <c r="F10" s="37"/>
      <c r="G10" s="37"/>
      <c r="H10" s="37"/>
      <c r="I10" s="37"/>
      <c r="J10" s="368"/>
      <c r="K10" s="37"/>
      <c r="L10" s="338"/>
      <c r="M10" s="37"/>
      <c r="N10" s="37"/>
      <c r="O10" s="37"/>
      <c r="P10" s="37"/>
      <c r="Q10" s="350"/>
      <c r="S10" s="338"/>
      <c r="T10" s="370"/>
      <c r="U10" s="368"/>
    </row>
    <row r="11" spans="4:21" ht="20.100000000000001" customHeight="1">
      <c r="D11" s="367"/>
      <c r="E11" s="37"/>
      <c r="F11" s="37"/>
      <c r="G11" s="37"/>
      <c r="H11" s="37"/>
      <c r="I11" s="37"/>
      <c r="J11" s="368"/>
      <c r="K11" s="37"/>
      <c r="L11" s="338"/>
      <c r="M11" s="37"/>
      <c r="N11" s="37"/>
      <c r="O11" s="37"/>
      <c r="P11" s="37"/>
      <c r="Q11" s="350"/>
      <c r="S11" s="338"/>
      <c r="T11" s="370"/>
      <c r="U11" s="368"/>
    </row>
    <row r="12" spans="4:21" ht="20.100000000000001" customHeight="1">
      <c r="D12" s="367"/>
      <c r="E12" s="37"/>
      <c r="F12" s="37"/>
      <c r="G12" s="37"/>
      <c r="H12" s="37"/>
      <c r="I12" s="37"/>
      <c r="J12" s="368"/>
      <c r="K12" s="37"/>
      <c r="L12" s="338"/>
      <c r="M12" s="37"/>
      <c r="N12" s="37"/>
      <c r="O12" s="37"/>
      <c r="P12" s="37"/>
      <c r="Q12" s="350"/>
      <c r="S12" s="338"/>
      <c r="T12" s="370"/>
      <c r="U12" s="368"/>
    </row>
    <row r="13" spans="4:21" ht="20.100000000000001" customHeight="1">
      <c r="D13" s="367"/>
      <c r="E13" s="37"/>
      <c r="F13" s="37"/>
      <c r="G13" s="37"/>
      <c r="H13" s="37"/>
      <c r="I13" s="37"/>
      <c r="J13" s="368"/>
      <c r="K13" s="37"/>
      <c r="L13" s="338"/>
      <c r="M13" s="37"/>
      <c r="N13" s="37"/>
      <c r="O13" s="37"/>
      <c r="P13" s="37"/>
      <c r="Q13" s="350"/>
      <c r="S13" s="338"/>
      <c r="T13" s="370"/>
      <c r="U13" s="368"/>
    </row>
    <row r="14" spans="4:21" ht="20.100000000000001" customHeight="1">
      <c r="D14" s="367"/>
      <c r="E14" s="37"/>
      <c r="F14" s="37"/>
      <c r="G14" s="37"/>
      <c r="H14" s="37"/>
      <c r="I14" s="37"/>
      <c r="J14" s="368"/>
      <c r="K14" s="37"/>
      <c r="L14" s="338"/>
      <c r="M14" s="37"/>
      <c r="N14" s="37"/>
      <c r="O14" s="37"/>
      <c r="P14" s="37"/>
      <c r="Q14" s="350"/>
      <c r="S14" s="338"/>
      <c r="T14" s="370"/>
      <c r="U14" s="368"/>
    </row>
    <row r="15" spans="4:21" ht="20.100000000000001" customHeight="1">
      <c r="D15" s="367"/>
      <c r="E15" s="37"/>
      <c r="F15" s="37"/>
      <c r="G15" s="37"/>
      <c r="H15" s="37"/>
      <c r="I15" s="37"/>
      <c r="J15" s="368"/>
      <c r="K15" s="37"/>
      <c r="L15" s="338"/>
      <c r="M15" s="37"/>
      <c r="N15" s="37"/>
      <c r="O15" s="37"/>
      <c r="P15" s="37"/>
      <c r="Q15" s="350"/>
      <c r="S15" s="338"/>
      <c r="T15" s="370"/>
      <c r="U15" s="368"/>
    </row>
    <row r="16" spans="4:21" ht="20.100000000000001" customHeight="1" thickBot="1">
      <c r="D16" s="361"/>
      <c r="E16" s="352"/>
      <c r="F16" s="352"/>
      <c r="G16" s="352"/>
      <c r="H16" s="352"/>
      <c r="I16" s="352"/>
      <c r="J16" s="371"/>
      <c r="K16" s="37"/>
      <c r="L16" s="351"/>
      <c r="M16" s="352"/>
      <c r="N16" s="352"/>
      <c r="O16" s="352"/>
      <c r="P16" s="352"/>
      <c r="Q16" s="353"/>
      <c r="S16" s="351"/>
      <c r="T16" s="372"/>
      <c r="U16" s="371"/>
    </row>
    <row r="17" spans="3:21" ht="20.100000000000001" customHeight="1">
      <c r="D17" s="37"/>
      <c r="E17" s="37"/>
      <c r="F17" s="37"/>
      <c r="G17" s="37"/>
      <c r="H17" s="37"/>
      <c r="I17" s="37"/>
      <c r="J17" s="370"/>
      <c r="K17" s="37"/>
      <c r="L17" s="37"/>
      <c r="M17" s="37"/>
      <c r="N17" s="37"/>
      <c r="O17" s="37"/>
      <c r="P17" s="37"/>
      <c r="Q17" s="37"/>
      <c r="S17" s="37"/>
      <c r="T17" s="370"/>
      <c r="U17" s="370"/>
    </row>
    <row r="18" spans="3:21" ht="20.100000000000001" customHeight="1">
      <c r="D18" s="37"/>
      <c r="E18" s="37"/>
      <c r="F18" s="37"/>
      <c r="G18" s="37"/>
      <c r="H18" s="37"/>
      <c r="I18" s="37"/>
      <c r="J18" s="370"/>
      <c r="K18" s="37"/>
      <c r="L18" s="37"/>
      <c r="M18" s="37"/>
      <c r="N18" s="37"/>
      <c r="O18" s="37"/>
      <c r="P18" s="37"/>
      <c r="Q18" s="37"/>
      <c r="S18" s="37"/>
      <c r="T18" s="370"/>
      <c r="U18" s="370"/>
    </row>
    <row r="19" spans="3:21" ht="20.100000000000001" customHeight="1">
      <c r="H19" s="373"/>
      <c r="J19" s="374"/>
      <c r="K19" s="374"/>
      <c r="L19" s="374"/>
      <c r="M19" s="374"/>
      <c r="N19" s="374"/>
      <c r="O19" s="374"/>
      <c r="P19" s="374"/>
      <c r="S19" s="37"/>
      <c r="T19" s="370"/>
      <c r="U19" s="370"/>
    </row>
    <row r="20" spans="3:21" s="375" customFormat="1" ht="26.25" customHeight="1" thickBot="1">
      <c r="D20" s="362" t="s">
        <v>262</v>
      </c>
      <c r="F20" s="362"/>
      <c r="H20" s="376"/>
      <c r="T20" s="377"/>
      <c r="U20" s="377"/>
    </row>
    <row r="21" spans="3:21" s="52" customFormat="1" ht="36" customHeight="1" thickBot="1">
      <c r="D21" s="378" t="s">
        <v>299</v>
      </c>
      <c r="E21" s="391" t="s">
        <v>236</v>
      </c>
      <c r="F21" s="392" t="s">
        <v>237</v>
      </c>
      <c r="G21" s="391" t="s">
        <v>238</v>
      </c>
      <c r="H21" s="393"/>
      <c r="I21" s="391"/>
      <c r="J21" s="391"/>
      <c r="K21" s="391"/>
      <c r="L21" s="391"/>
      <c r="M21" s="391"/>
      <c r="N21" s="391"/>
      <c r="O21" s="391"/>
      <c r="P21" s="394"/>
      <c r="Q21" s="53"/>
      <c r="S21" s="53"/>
      <c r="T21" s="395"/>
      <c r="U21" s="395"/>
    </row>
    <row r="22" spans="3:21" s="37" customFormat="1" ht="23.1" customHeight="1">
      <c r="D22" s="379" t="s">
        <v>266</v>
      </c>
      <c r="E22" s="37">
        <v>1.5549999999999999</v>
      </c>
      <c r="F22" s="37">
        <v>1.6819999999999999</v>
      </c>
      <c r="G22" s="37">
        <v>1.534</v>
      </c>
      <c r="J22" s="43"/>
      <c r="K22" s="43"/>
      <c r="L22" s="43"/>
      <c r="M22" s="43"/>
      <c r="N22" s="43"/>
      <c r="O22" s="43"/>
      <c r="P22" s="380"/>
      <c r="T22" s="370"/>
      <c r="U22" s="370"/>
    </row>
    <row r="23" spans="3:21" s="37" customFormat="1" ht="23.1" customHeight="1">
      <c r="D23" s="379" t="s">
        <v>242</v>
      </c>
      <c r="E23" s="37">
        <v>3.3800000000000002E-3</v>
      </c>
      <c r="F23" s="37">
        <v>7.5599999999999999E-3</v>
      </c>
      <c r="G23" s="37">
        <v>7.0600000000000003E-3</v>
      </c>
      <c r="J23" s="43"/>
      <c r="K23" s="43"/>
      <c r="L23" s="43"/>
      <c r="M23" s="43"/>
      <c r="N23" s="43"/>
      <c r="O23" s="43"/>
      <c r="P23" s="380"/>
      <c r="T23" s="370"/>
      <c r="U23" s="370"/>
    </row>
    <row r="24" spans="3:21" s="37" customFormat="1" ht="23.1" customHeight="1">
      <c r="D24" s="379" t="s">
        <v>243</v>
      </c>
      <c r="E24" s="37">
        <v>3.2289999999999999E-4</v>
      </c>
      <c r="F24" s="37">
        <v>3.1720000000000001E-4</v>
      </c>
      <c r="G24" s="37">
        <v>3.2009999999999997E-4</v>
      </c>
      <c r="J24" s="43"/>
      <c r="K24" s="43"/>
      <c r="L24" s="43"/>
      <c r="M24" s="43"/>
      <c r="N24" s="43"/>
      <c r="O24" s="43"/>
      <c r="P24" s="380"/>
      <c r="T24" s="370"/>
      <c r="U24" s="370"/>
    </row>
    <row r="25" spans="3:21" s="37" customFormat="1" ht="23.1" customHeight="1">
      <c r="D25" s="379" t="s">
        <v>265</v>
      </c>
      <c r="E25" s="37">
        <v>0.58330000000000004</v>
      </c>
      <c r="F25" s="37">
        <v>0.58330000000000004</v>
      </c>
      <c r="G25" s="37">
        <v>0.58330000000000004</v>
      </c>
      <c r="J25" s="43"/>
      <c r="K25" s="43"/>
      <c r="L25" s="43"/>
      <c r="M25" s="43"/>
      <c r="N25" s="43"/>
      <c r="O25" s="43"/>
      <c r="P25" s="380"/>
      <c r="T25" s="370"/>
      <c r="U25" s="370"/>
    </row>
    <row r="26" spans="3:21" s="37" customFormat="1" ht="23.1" customHeight="1">
      <c r="D26" s="379" t="s">
        <v>264</v>
      </c>
      <c r="E26" s="37">
        <v>50.5</v>
      </c>
      <c r="F26" s="37">
        <v>46.800000000000004</v>
      </c>
      <c r="G26" s="37">
        <v>48.599999999999994</v>
      </c>
      <c r="J26" s="43"/>
      <c r="K26" s="43"/>
      <c r="L26" s="43"/>
      <c r="M26" s="43"/>
      <c r="N26" s="43"/>
      <c r="O26" s="43"/>
      <c r="P26" s="380"/>
      <c r="T26" s="370"/>
      <c r="U26" s="370"/>
    </row>
    <row r="27" spans="3:21" s="37" customFormat="1" ht="23.1" customHeight="1" thickBot="1">
      <c r="D27" s="381" t="s">
        <v>263</v>
      </c>
      <c r="E27" s="352">
        <v>485.7</v>
      </c>
      <c r="F27" s="352">
        <v>235.1</v>
      </c>
      <c r="G27" s="352">
        <v>236.2</v>
      </c>
      <c r="H27" s="352"/>
      <c r="I27" s="352"/>
      <c r="J27" s="382"/>
      <c r="K27" s="382"/>
      <c r="L27" s="382"/>
      <c r="M27" s="382"/>
      <c r="N27" s="382"/>
      <c r="O27" s="382"/>
      <c r="P27" s="383"/>
      <c r="T27" s="370"/>
      <c r="U27" s="370"/>
    </row>
    <row r="28" spans="3:21" ht="20.100000000000001" customHeight="1">
      <c r="D28" s="44"/>
      <c r="E28" s="44"/>
      <c r="F28" s="374"/>
      <c r="G28" s="44"/>
      <c r="H28" s="373"/>
      <c r="T28" s="384"/>
      <c r="U28" s="384"/>
    </row>
    <row r="29" spans="3:21" ht="20.100000000000001" customHeight="1">
      <c r="D29" s="37"/>
      <c r="E29" s="37"/>
      <c r="F29" s="37"/>
      <c r="G29" s="37"/>
      <c r="H29" s="37"/>
      <c r="I29" s="37"/>
      <c r="J29" s="370"/>
      <c r="K29" s="37"/>
      <c r="L29" s="37"/>
      <c r="M29" s="37"/>
      <c r="N29" s="37"/>
      <c r="O29" s="37"/>
      <c r="P29" s="37"/>
      <c r="Q29" s="37"/>
      <c r="T29" s="384"/>
      <c r="U29" s="384"/>
    </row>
    <row r="30" spans="3:21" ht="32.25" customHeight="1" thickBot="1">
      <c r="D30" s="37"/>
      <c r="E30" s="37"/>
      <c r="F30" s="37"/>
      <c r="G30" s="37"/>
      <c r="H30" s="37"/>
      <c r="I30" s="362"/>
      <c r="J30" s="370"/>
      <c r="K30" s="37"/>
      <c r="L30" s="37"/>
      <c r="M30" s="37"/>
      <c r="N30" s="37"/>
      <c r="O30" s="37"/>
      <c r="P30" s="37"/>
      <c r="Q30" s="37"/>
    </row>
    <row r="31" spans="3:21" s="37" customFormat="1" ht="33.75" customHeight="1" thickBot="1">
      <c r="C31" s="385" t="s">
        <v>222</v>
      </c>
      <c r="D31" s="386" t="s">
        <v>247</v>
      </c>
      <c r="E31" s="386" t="s">
        <v>304</v>
      </c>
      <c r="F31" s="387" t="s">
        <v>305</v>
      </c>
      <c r="H31" s="386" t="s">
        <v>270</v>
      </c>
      <c r="I31" s="386" t="s">
        <v>271</v>
      </c>
      <c r="J31" s="388" t="s">
        <v>272</v>
      </c>
      <c r="K31" s="386" t="s">
        <v>273</v>
      </c>
      <c r="L31" s="386" t="s">
        <v>274</v>
      </c>
      <c r="M31" s="387" t="s">
        <v>275</v>
      </c>
      <c r="O31" s="525" t="s">
        <v>316</v>
      </c>
      <c r="P31" s="526" t="s">
        <v>317</v>
      </c>
      <c r="Q31" s="527" t="s">
        <v>318</v>
      </c>
    </row>
    <row r="32" spans="3:21" ht="20.100000000000001" customHeight="1">
      <c r="C32" s="551" t="s">
        <v>236</v>
      </c>
      <c r="D32" s="360" t="s">
        <v>282</v>
      </c>
      <c r="E32" s="360">
        <v>1.732</v>
      </c>
      <c r="F32" s="389">
        <v>3.2289999999999999E-4</v>
      </c>
      <c r="G32" s="37"/>
      <c r="H32" s="367" t="s">
        <v>236</v>
      </c>
      <c r="I32" s="367">
        <v>43</v>
      </c>
      <c r="J32" s="390">
        <v>52.7</v>
      </c>
      <c r="K32" s="367">
        <v>81.7</v>
      </c>
      <c r="L32" s="367">
        <v>59.1</v>
      </c>
      <c r="M32" s="350">
        <v>81.7</v>
      </c>
      <c r="N32" s="37"/>
      <c r="O32" s="417" t="s">
        <v>236</v>
      </c>
      <c r="P32" s="529">
        <v>-2.8094802274899022</v>
      </c>
      <c r="Q32" s="528">
        <v>1.66</v>
      </c>
    </row>
    <row r="33" spans="3:17" ht="20.100000000000001" customHeight="1">
      <c r="C33" s="557"/>
      <c r="D33" s="367" t="s">
        <v>283</v>
      </c>
      <c r="E33" s="367">
        <v>1.5549999999999999</v>
      </c>
      <c r="F33" s="350"/>
      <c r="G33" s="37"/>
      <c r="H33" s="367" t="s">
        <v>237</v>
      </c>
      <c r="I33" s="367">
        <v>62.5</v>
      </c>
      <c r="J33" s="390">
        <v>76.5</v>
      </c>
      <c r="K33" s="367">
        <v>85.8</v>
      </c>
      <c r="L33" s="367">
        <v>74.900000000000006</v>
      </c>
      <c r="M33" s="350">
        <v>85.8</v>
      </c>
      <c r="N33" s="37"/>
      <c r="O33" s="417" t="s">
        <v>237</v>
      </c>
      <c r="P33" s="529">
        <v>-2.8389074274559167</v>
      </c>
      <c r="Q33" s="528">
        <v>1.71</v>
      </c>
    </row>
    <row r="34" spans="3:17" ht="20.100000000000001" customHeight="1" thickBot="1">
      <c r="C34" s="552"/>
      <c r="D34" s="361" t="s">
        <v>284</v>
      </c>
      <c r="E34" s="361">
        <v>1.6435</v>
      </c>
      <c r="F34" s="353">
        <v>3.2289999999999999E-4</v>
      </c>
      <c r="G34" s="37"/>
      <c r="H34" s="367" t="s">
        <v>238</v>
      </c>
      <c r="I34" s="367">
        <v>61.2</v>
      </c>
      <c r="J34" s="390">
        <v>75</v>
      </c>
      <c r="K34" s="367">
        <v>82.7</v>
      </c>
      <c r="L34" s="367">
        <v>73</v>
      </c>
      <c r="M34" s="350">
        <v>82.7</v>
      </c>
      <c r="N34" s="37"/>
      <c r="O34" s="417" t="s">
        <v>238</v>
      </c>
      <c r="P34" s="529">
        <v>-2.8243578961535829</v>
      </c>
      <c r="Q34" s="528">
        <v>1.6850000000000001</v>
      </c>
    </row>
    <row r="35" spans="3:17" ht="20.100000000000001" customHeight="1">
      <c r="C35" s="551" t="s">
        <v>237</v>
      </c>
      <c r="D35" s="360" t="s">
        <v>282</v>
      </c>
      <c r="E35" s="360">
        <v>1.877</v>
      </c>
      <c r="F35" s="389">
        <v>3.1720000000000001E-4</v>
      </c>
      <c r="G35" s="37"/>
      <c r="H35" s="367"/>
      <c r="I35" s="367"/>
      <c r="J35" s="390"/>
      <c r="K35" s="367"/>
      <c r="L35" s="367"/>
      <c r="M35" s="350"/>
      <c r="N35" s="37"/>
      <c r="O35" s="417"/>
      <c r="P35" s="418"/>
      <c r="Q35" s="419"/>
    </row>
    <row r="36" spans="3:17" ht="20.100000000000001" customHeight="1">
      <c r="C36" s="557"/>
      <c r="D36" s="367" t="s">
        <v>283</v>
      </c>
      <c r="E36" s="367">
        <v>1.6819999999999999</v>
      </c>
      <c r="F36" s="350"/>
      <c r="G36" s="37"/>
      <c r="H36" s="367"/>
      <c r="I36" s="367"/>
      <c r="J36" s="367"/>
      <c r="K36" s="367"/>
      <c r="L36" s="367"/>
      <c r="M36" s="350"/>
      <c r="N36" s="37"/>
      <c r="O36" s="417"/>
      <c r="P36" s="418"/>
      <c r="Q36" s="419"/>
    </row>
    <row r="37" spans="3:17" ht="20.100000000000001" customHeight="1" thickBot="1">
      <c r="C37" s="552"/>
      <c r="D37" s="361" t="s">
        <v>284</v>
      </c>
      <c r="E37" s="361">
        <v>1.7795000000000001</v>
      </c>
      <c r="F37" s="353">
        <v>3.1720000000000001E-4</v>
      </c>
      <c r="G37" s="37"/>
      <c r="H37" s="367"/>
      <c r="I37" s="367"/>
      <c r="J37" s="367"/>
      <c r="K37" s="367"/>
      <c r="L37" s="367"/>
      <c r="M37" s="350"/>
      <c r="N37" s="37"/>
      <c r="O37" s="417"/>
      <c r="P37" s="418"/>
      <c r="Q37" s="419"/>
    </row>
    <row r="38" spans="3:17" ht="20.100000000000001" customHeight="1">
      <c r="C38" s="551" t="s">
        <v>238</v>
      </c>
      <c r="D38" s="360" t="s">
        <v>282</v>
      </c>
      <c r="E38" s="360">
        <v>1.8029999999999999</v>
      </c>
      <c r="F38" s="389">
        <v>3.2009999999999997E-4</v>
      </c>
      <c r="G38" s="37"/>
      <c r="H38" s="367"/>
      <c r="I38" s="367"/>
      <c r="J38" s="367"/>
      <c r="K38" s="367"/>
      <c r="L38" s="367"/>
      <c r="M38" s="350"/>
      <c r="N38" s="37"/>
      <c r="O38" s="417"/>
      <c r="P38" s="418"/>
      <c r="Q38" s="419"/>
    </row>
    <row r="39" spans="3:17" ht="20.100000000000001" customHeight="1">
      <c r="C39" s="557"/>
      <c r="D39" s="367" t="s">
        <v>283</v>
      </c>
      <c r="E39" s="367">
        <v>1.534</v>
      </c>
      <c r="F39" s="350"/>
      <c r="G39" s="37"/>
      <c r="H39" s="367"/>
      <c r="I39" s="367"/>
      <c r="J39" s="367"/>
      <c r="K39" s="367"/>
      <c r="L39" s="367"/>
      <c r="M39" s="350"/>
      <c r="N39" s="37"/>
      <c r="O39" s="417"/>
      <c r="P39" s="418"/>
      <c r="Q39" s="419"/>
    </row>
    <row r="40" spans="3:17" ht="20.100000000000001" customHeight="1" thickBot="1">
      <c r="C40" s="552"/>
      <c r="D40" s="361" t="s">
        <v>284</v>
      </c>
      <c r="E40" s="361">
        <v>1.6684999999999999</v>
      </c>
      <c r="F40" s="353">
        <v>3.2009999999999997E-4</v>
      </c>
      <c r="G40" s="37"/>
      <c r="H40" s="367"/>
      <c r="I40" s="367"/>
      <c r="J40" s="367"/>
      <c r="K40" s="367"/>
      <c r="L40" s="367"/>
      <c r="M40" s="350"/>
      <c r="N40" s="37"/>
      <c r="O40" s="417"/>
      <c r="P40" s="418"/>
      <c r="Q40" s="419"/>
    </row>
    <row r="41" spans="3:17" ht="20.100000000000001" customHeight="1">
      <c r="C41" s="557"/>
      <c r="D41" s="367"/>
      <c r="E41" s="360"/>
      <c r="F41" s="389"/>
      <c r="G41" s="37"/>
      <c r="H41" s="367"/>
      <c r="I41" s="367"/>
      <c r="J41" s="367"/>
      <c r="K41" s="367"/>
      <c r="L41" s="367"/>
      <c r="M41" s="350"/>
      <c r="N41" s="37"/>
      <c r="O41" s="417"/>
      <c r="P41" s="418"/>
      <c r="Q41" s="419"/>
    </row>
    <row r="42" spans="3:17" ht="20.100000000000001" customHeight="1">
      <c r="C42" s="557"/>
      <c r="D42" s="367"/>
      <c r="E42" s="367"/>
      <c r="F42" s="350"/>
      <c r="G42" s="37"/>
      <c r="H42" s="367"/>
      <c r="I42" s="367"/>
      <c r="J42" s="367"/>
      <c r="K42" s="367"/>
      <c r="L42" s="367"/>
      <c r="M42" s="350"/>
      <c r="N42" s="37"/>
      <c r="O42" s="417"/>
      <c r="P42" s="418"/>
      <c r="Q42" s="419"/>
    </row>
    <row r="43" spans="3:17" ht="20.100000000000001" customHeight="1" thickBot="1">
      <c r="C43" s="552"/>
      <c r="D43" s="361"/>
      <c r="E43" s="361"/>
      <c r="F43" s="353"/>
      <c r="G43" s="37"/>
      <c r="H43" s="367"/>
      <c r="I43" s="367"/>
      <c r="J43" s="367"/>
      <c r="K43" s="367"/>
      <c r="L43" s="367"/>
      <c r="M43" s="350"/>
      <c r="N43" s="37"/>
      <c r="O43" s="417"/>
      <c r="P43" s="418"/>
      <c r="Q43" s="419"/>
    </row>
    <row r="44" spans="3:17" ht="20.100000000000001" customHeight="1">
      <c r="C44" s="551"/>
      <c r="D44" s="360"/>
      <c r="E44" s="360"/>
      <c r="F44" s="389"/>
      <c r="G44" s="37"/>
      <c r="H44" s="367"/>
      <c r="I44" s="367"/>
      <c r="J44" s="367"/>
      <c r="K44" s="367"/>
      <c r="L44" s="367"/>
      <c r="M44" s="350"/>
      <c r="N44" s="37"/>
      <c r="O44" s="417"/>
      <c r="P44" s="418"/>
      <c r="Q44" s="419"/>
    </row>
    <row r="45" spans="3:17" ht="20.100000000000001" customHeight="1" thickBot="1">
      <c r="C45" s="557"/>
      <c r="D45" s="367"/>
      <c r="E45" s="367"/>
      <c r="F45" s="350"/>
      <c r="G45" s="37"/>
      <c r="H45" s="361"/>
      <c r="I45" s="361"/>
      <c r="J45" s="361"/>
      <c r="K45" s="361"/>
      <c r="L45" s="361"/>
      <c r="M45" s="353"/>
      <c r="N45" s="37"/>
      <c r="O45" s="420"/>
      <c r="P45" s="421"/>
      <c r="Q45" s="422"/>
    </row>
    <row r="46" spans="3:17" ht="20.100000000000001" customHeight="1" thickBot="1">
      <c r="C46" s="552"/>
      <c r="D46" s="361"/>
      <c r="E46" s="361"/>
      <c r="F46" s="353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51"/>
      <c r="D47" s="360"/>
      <c r="E47" s="360"/>
      <c r="F47" s="389"/>
    </row>
    <row r="48" spans="3:17" ht="20.100000000000001" customHeight="1">
      <c r="C48" s="557"/>
      <c r="D48" s="367"/>
      <c r="E48" s="367"/>
      <c r="F48" s="350"/>
    </row>
    <row r="49" spans="3:6" ht="20.100000000000001" customHeight="1" thickBot="1">
      <c r="C49" s="552"/>
      <c r="D49" s="361"/>
      <c r="E49" s="361"/>
      <c r="F49" s="353"/>
    </row>
    <row r="50" spans="3:6" ht="20.100000000000001" customHeight="1">
      <c r="C50" s="551"/>
      <c r="D50" s="360"/>
      <c r="E50" s="360"/>
      <c r="F50" s="389"/>
    </row>
    <row r="51" spans="3:6" ht="20.100000000000001" customHeight="1">
      <c r="C51" s="557"/>
      <c r="D51" s="367"/>
      <c r="E51" s="367"/>
      <c r="F51" s="350"/>
    </row>
    <row r="52" spans="3:6" ht="20.100000000000001" customHeight="1" thickBot="1">
      <c r="C52" s="552"/>
      <c r="D52" s="361"/>
      <c r="E52" s="361"/>
      <c r="F52" s="353"/>
    </row>
    <row r="53" spans="3:6" ht="20.100000000000001" customHeight="1">
      <c r="C53" s="551"/>
      <c r="D53" s="360"/>
      <c r="E53" s="360"/>
      <c r="F53" s="389"/>
    </row>
    <row r="54" spans="3:6" ht="20.100000000000001" customHeight="1">
      <c r="C54" s="557"/>
      <c r="D54" s="367"/>
      <c r="E54" s="367"/>
      <c r="F54" s="350"/>
    </row>
    <row r="55" spans="3:6" ht="20.100000000000001" customHeight="1" thickBot="1">
      <c r="C55" s="552"/>
      <c r="D55" s="361"/>
      <c r="E55" s="361"/>
      <c r="F55" s="353"/>
    </row>
    <row r="56" spans="3:6" ht="20.100000000000001" customHeight="1">
      <c r="C56" s="551"/>
      <c r="D56" s="360"/>
      <c r="E56" s="360"/>
      <c r="F56" s="389"/>
    </row>
    <row r="57" spans="3:6" ht="20.100000000000001" customHeight="1">
      <c r="C57" s="557"/>
      <c r="D57" s="367"/>
      <c r="E57" s="367"/>
      <c r="F57" s="350"/>
    </row>
    <row r="58" spans="3:6" ht="20.100000000000001" customHeight="1" thickBot="1">
      <c r="C58" s="552"/>
      <c r="D58" s="361"/>
      <c r="E58" s="361"/>
      <c r="F58" s="353"/>
    </row>
    <row r="59" spans="3:6" ht="20.100000000000001" customHeight="1">
      <c r="C59" s="551"/>
      <c r="D59" s="360"/>
      <c r="E59" s="360"/>
      <c r="F59" s="389"/>
    </row>
    <row r="60" spans="3:6" ht="20.100000000000001" customHeight="1">
      <c r="C60" s="557"/>
      <c r="D60" s="367"/>
      <c r="E60" s="367"/>
      <c r="F60" s="350"/>
    </row>
    <row r="61" spans="3:6" ht="20.100000000000001" customHeight="1" thickBot="1">
      <c r="C61" s="552"/>
      <c r="D61" s="361"/>
      <c r="E61" s="361"/>
      <c r="F61" s="353"/>
    </row>
    <row r="62" spans="3:6" ht="20.100000000000001" customHeight="1">
      <c r="C62" s="551"/>
      <c r="D62" s="360"/>
      <c r="E62" s="360"/>
      <c r="F62" s="389"/>
    </row>
    <row r="63" spans="3:6" ht="20.100000000000001" customHeight="1">
      <c r="C63" s="557"/>
      <c r="D63" s="367"/>
      <c r="E63" s="367"/>
      <c r="F63" s="350"/>
    </row>
    <row r="64" spans="3:6" ht="20.100000000000001" customHeight="1" thickBot="1">
      <c r="C64" s="552"/>
      <c r="D64" s="361"/>
      <c r="E64" s="361"/>
      <c r="F64" s="353"/>
    </row>
    <row r="65" spans="3:6" ht="20.100000000000001" customHeight="1">
      <c r="C65" s="551"/>
      <c r="D65" s="360"/>
      <c r="E65" s="367"/>
      <c r="F65" s="350"/>
    </row>
    <row r="66" spans="3:6" ht="20.100000000000001" customHeight="1">
      <c r="C66" s="557"/>
      <c r="D66" s="367"/>
      <c r="E66" s="367"/>
      <c r="F66" s="350"/>
    </row>
    <row r="67" spans="3:6" ht="20.100000000000001" customHeight="1" thickBot="1">
      <c r="C67" s="552"/>
      <c r="D67" s="361"/>
      <c r="E67" s="361"/>
      <c r="F67" s="353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5" r:id="rId3" name="CommandButton1">
          <controlPr defaultSize="0" autoLine="0" r:id="rId4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3" name="CommandButton1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9" sqref="F29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96" t="s">
        <v>261</v>
      </c>
    </row>
    <row r="3" spans="3:15" s="53" customFormat="1" ht="28.5" customHeight="1" thickBot="1">
      <c r="C3" s="386" t="s">
        <v>222</v>
      </c>
      <c r="D3" s="386" t="s">
        <v>251</v>
      </c>
      <c r="E3" s="397" t="s">
        <v>219</v>
      </c>
      <c r="F3" s="386" t="s">
        <v>252</v>
      </c>
      <c r="G3" s="387" t="s">
        <v>256</v>
      </c>
      <c r="H3" s="387" t="s">
        <v>258</v>
      </c>
      <c r="I3" s="387" t="s">
        <v>225</v>
      </c>
      <c r="J3" s="387" t="s">
        <v>259</v>
      </c>
      <c r="K3" s="386" t="s">
        <v>121</v>
      </c>
      <c r="L3" s="387" t="s">
        <v>257</v>
      </c>
      <c r="M3" s="386" t="s">
        <v>253</v>
      </c>
      <c r="N3" s="386" t="s">
        <v>254</v>
      </c>
      <c r="O3" s="387" t="s">
        <v>255</v>
      </c>
    </row>
    <row r="4" spans="3:15" ht="20.100000000000001" customHeight="1">
      <c r="C4" s="367" t="s">
        <v>236</v>
      </c>
      <c r="D4" s="553" t="s">
        <v>300</v>
      </c>
      <c r="E4" s="37">
        <v>143</v>
      </c>
      <c r="F4" s="367">
        <v>1.6435</v>
      </c>
      <c r="G4" s="553">
        <v>1.6972</v>
      </c>
      <c r="H4" s="553">
        <v>0.03</v>
      </c>
      <c r="I4" s="350">
        <v>485.7</v>
      </c>
      <c r="J4" s="553">
        <v>319</v>
      </c>
      <c r="K4" s="367">
        <v>194</v>
      </c>
      <c r="L4" s="553">
        <v>196.7</v>
      </c>
      <c r="M4" s="367">
        <v>2.53E-2</v>
      </c>
      <c r="N4" s="558">
        <v>2.2700000000000001E-2</v>
      </c>
      <c r="O4" s="553" t="s">
        <v>260</v>
      </c>
    </row>
    <row r="5" spans="3:15" ht="20.100000000000001" customHeight="1">
      <c r="C5" s="367" t="s">
        <v>237</v>
      </c>
      <c r="D5" s="560"/>
      <c r="E5" s="37">
        <v>143</v>
      </c>
      <c r="F5" s="367">
        <v>1.7795000000000001</v>
      </c>
      <c r="G5" s="560"/>
      <c r="H5" s="560"/>
      <c r="I5" s="350">
        <v>235.1</v>
      </c>
      <c r="J5" s="560"/>
      <c r="K5" s="367">
        <v>200</v>
      </c>
      <c r="L5" s="560"/>
      <c r="M5" s="367">
        <v>1.8100000000000002E-2</v>
      </c>
      <c r="N5" s="559"/>
      <c r="O5" s="560"/>
    </row>
    <row r="6" spans="3:15" ht="20.100000000000001" customHeight="1">
      <c r="C6" s="367" t="s">
        <v>238</v>
      </c>
      <c r="D6" s="560"/>
      <c r="E6" s="37">
        <v>143</v>
      </c>
      <c r="F6" s="367">
        <v>1.6684999999999999</v>
      </c>
      <c r="G6" s="560"/>
      <c r="H6" s="560"/>
      <c r="I6" s="350">
        <v>236.2</v>
      </c>
      <c r="J6" s="560"/>
      <c r="K6" s="367">
        <v>196</v>
      </c>
      <c r="L6" s="560"/>
      <c r="M6" s="367">
        <v>2.47E-2</v>
      </c>
      <c r="N6" s="559"/>
      <c r="O6" s="560"/>
    </row>
    <row r="7" spans="3:15" ht="20.100000000000001" customHeight="1">
      <c r="C7" s="367"/>
      <c r="D7" s="398"/>
      <c r="F7" s="367"/>
      <c r="G7" s="398"/>
      <c r="H7" s="398"/>
      <c r="I7" s="350"/>
      <c r="J7" s="398"/>
      <c r="K7" s="367"/>
      <c r="L7" s="398"/>
      <c r="M7" s="367"/>
      <c r="N7" s="399"/>
      <c r="O7" s="398"/>
    </row>
    <row r="8" spans="3:15" ht="20.100000000000001" customHeight="1">
      <c r="C8" s="367"/>
      <c r="D8" s="398"/>
      <c r="F8" s="367"/>
      <c r="G8" s="398"/>
      <c r="H8" s="398"/>
      <c r="I8" s="350"/>
      <c r="J8" s="398"/>
      <c r="K8" s="367"/>
      <c r="L8" s="398"/>
      <c r="M8" s="367"/>
      <c r="N8" s="399"/>
      <c r="O8" s="398"/>
    </row>
    <row r="9" spans="3:15" ht="20.100000000000001" customHeight="1">
      <c r="C9" s="367"/>
      <c r="D9" s="398"/>
      <c r="F9" s="367"/>
      <c r="G9" s="401"/>
      <c r="H9" s="398"/>
      <c r="I9" s="350"/>
      <c r="J9" s="398"/>
      <c r="K9" s="367"/>
      <c r="L9" s="401"/>
      <c r="M9" s="367"/>
      <c r="N9" s="398"/>
      <c r="O9" s="398"/>
    </row>
    <row r="10" spans="3:15" ht="20.100000000000001" customHeight="1">
      <c r="C10" s="367"/>
      <c r="D10" s="398"/>
      <c r="F10" s="367"/>
      <c r="G10" s="401"/>
      <c r="H10" s="398"/>
      <c r="I10" s="350"/>
      <c r="J10" s="398"/>
      <c r="K10" s="367"/>
      <c r="L10" s="401"/>
      <c r="M10" s="367"/>
      <c r="N10" s="398"/>
      <c r="O10" s="398"/>
    </row>
    <row r="11" spans="3:15" ht="20.100000000000001" customHeight="1">
      <c r="C11" s="367"/>
      <c r="D11" s="398"/>
      <c r="F11" s="367"/>
      <c r="G11" s="401"/>
      <c r="H11" s="398"/>
      <c r="I11" s="350"/>
      <c r="J11" s="398"/>
      <c r="K11" s="367"/>
      <c r="L11" s="401"/>
      <c r="M11" s="367"/>
      <c r="N11" s="398"/>
      <c r="O11" s="398"/>
    </row>
    <row r="12" spans="3:15" ht="20.100000000000001" customHeight="1">
      <c r="C12" s="367"/>
      <c r="D12" s="398"/>
      <c r="F12" s="367"/>
      <c r="G12" s="401"/>
      <c r="H12" s="398"/>
      <c r="I12" s="350"/>
      <c r="J12" s="398"/>
      <c r="K12" s="367"/>
      <c r="L12" s="401"/>
      <c r="M12" s="367"/>
      <c r="N12" s="398"/>
      <c r="O12" s="398"/>
    </row>
    <row r="13" spans="3:15" ht="20.100000000000001" customHeight="1">
      <c r="C13" s="367"/>
      <c r="D13" s="398"/>
      <c r="F13" s="367"/>
      <c r="G13" s="401"/>
      <c r="H13" s="398"/>
      <c r="I13" s="350"/>
      <c r="J13" s="398"/>
      <c r="K13" s="367"/>
      <c r="L13" s="401"/>
      <c r="M13" s="367"/>
      <c r="N13" s="398"/>
      <c r="O13" s="398"/>
    </row>
    <row r="14" spans="3:15" ht="20.100000000000001" customHeight="1">
      <c r="C14" s="367"/>
      <c r="D14" s="398"/>
      <c r="F14" s="367"/>
      <c r="G14" s="401"/>
      <c r="H14" s="398"/>
      <c r="I14" s="350"/>
      <c r="J14" s="398"/>
      <c r="K14" s="367"/>
      <c r="L14" s="401"/>
      <c r="M14" s="367"/>
      <c r="N14" s="398"/>
      <c r="O14" s="398"/>
    </row>
    <row r="15" spans="3:15" ht="20.100000000000001" customHeight="1">
      <c r="C15" s="367"/>
      <c r="D15" s="398"/>
      <c r="F15" s="367"/>
      <c r="G15" s="401"/>
      <c r="H15" s="398"/>
      <c r="I15" s="350"/>
      <c r="J15" s="398"/>
      <c r="K15" s="367"/>
      <c r="L15" s="401"/>
      <c r="M15" s="367"/>
      <c r="N15" s="398"/>
      <c r="O15" s="398"/>
    </row>
    <row r="16" spans="3:15" ht="20.100000000000001" customHeight="1">
      <c r="C16" s="367"/>
      <c r="D16" s="398"/>
      <c r="F16" s="367"/>
      <c r="G16" s="401"/>
      <c r="H16" s="398"/>
      <c r="I16" s="350"/>
      <c r="J16" s="398"/>
      <c r="K16" s="367"/>
      <c r="L16" s="401"/>
      <c r="M16" s="367"/>
      <c r="N16" s="398"/>
      <c r="O16" s="398"/>
    </row>
    <row r="17" spans="3:15" ht="20.100000000000001" customHeight="1" thickBot="1">
      <c r="C17" s="361"/>
      <c r="D17" s="400"/>
      <c r="E17" s="352"/>
      <c r="F17" s="361"/>
      <c r="G17" s="402"/>
      <c r="H17" s="400"/>
      <c r="I17" s="353"/>
      <c r="J17" s="400"/>
      <c r="K17" s="361"/>
      <c r="L17" s="402"/>
      <c r="M17" s="361"/>
      <c r="N17" s="400"/>
      <c r="O17" s="400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55"/>
  <sheetViews>
    <sheetView workbookViewId="0">
      <selection activeCell="I28" sqref="I28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405" customFormat="1" ht="27.75" customHeight="1" thickBot="1">
      <c r="D2" s="362" t="s">
        <v>286</v>
      </c>
    </row>
    <row r="3" spans="4:11" s="53" customFormat="1" ht="42.75" customHeight="1">
      <c r="D3" s="407" t="s">
        <v>319</v>
      </c>
      <c r="E3" s="408" t="s">
        <v>320</v>
      </c>
      <c r="F3" s="408" t="s">
        <v>321</v>
      </c>
      <c r="G3" s="408" t="s">
        <v>322</v>
      </c>
      <c r="H3" s="408" t="s">
        <v>323</v>
      </c>
      <c r="I3" s="408" t="s">
        <v>324</v>
      </c>
      <c r="J3" s="408" t="s">
        <v>292</v>
      </c>
      <c r="K3" s="409" t="s">
        <v>293</v>
      </c>
    </row>
    <row r="4" spans="4:11" s="406" customFormat="1" ht="33.75" customHeight="1" thickBot="1">
      <c r="D4" s="410">
        <v>3059068</v>
      </c>
      <c r="E4" s="411">
        <v>1198.3</v>
      </c>
      <c r="F4" s="411">
        <v>1285.4991550772602</v>
      </c>
      <c r="G4" s="412">
        <v>0.64</v>
      </c>
      <c r="H4" s="411">
        <v>822.71945924944657</v>
      </c>
      <c r="I4" s="413">
        <v>172.8</v>
      </c>
      <c r="J4" s="411">
        <v>390</v>
      </c>
      <c r="K4" s="414">
        <v>259.91945924944656</v>
      </c>
    </row>
    <row r="6" spans="4:11" ht="20.100000000000001" customHeight="1" thickBot="1"/>
    <row r="7" spans="4:11" ht="62.25" customHeight="1">
      <c r="D7" s="407" t="s">
        <v>319</v>
      </c>
      <c r="E7" s="408" t="s">
        <v>320</v>
      </c>
      <c r="F7" s="408" t="s">
        <v>321</v>
      </c>
      <c r="G7" s="408" t="s">
        <v>322</v>
      </c>
      <c r="H7" s="408" t="s">
        <v>323</v>
      </c>
      <c r="I7" s="408" t="s">
        <v>324</v>
      </c>
      <c r="J7" s="408" t="s">
        <v>325</v>
      </c>
      <c r="K7" s="409" t="s">
        <v>292</v>
      </c>
    </row>
    <row r="8" spans="4:11" ht="31.5" customHeight="1" thickBot="1">
      <c r="D8" s="410">
        <v>3059068</v>
      </c>
      <c r="E8" s="411">
        <v>1198.3</v>
      </c>
      <c r="F8" s="411">
        <v>1285.4991550772602</v>
      </c>
      <c r="G8" s="412">
        <v>0.64</v>
      </c>
      <c r="H8" s="411">
        <v>822.71945924944657</v>
      </c>
      <c r="I8" s="413">
        <v>172.8</v>
      </c>
      <c r="J8" s="411">
        <v>649.91945924944662</v>
      </c>
      <c r="K8" s="414">
        <v>390</v>
      </c>
    </row>
    <row r="10" spans="4:11" ht="30.75" customHeight="1" thickBot="1">
      <c r="D10" s="362" t="s">
        <v>333</v>
      </c>
    </row>
    <row r="11" spans="4:11" s="53" customFormat="1" ht="39" customHeight="1">
      <c r="D11" s="407" t="s">
        <v>326</v>
      </c>
      <c r="E11" s="415" t="s">
        <v>327</v>
      </c>
      <c r="F11" s="415" t="s">
        <v>328</v>
      </c>
      <c r="G11" s="415" t="s">
        <v>329</v>
      </c>
      <c r="H11" s="415" t="s">
        <v>330</v>
      </c>
      <c r="I11" s="415" t="s">
        <v>331</v>
      </c>
      <c r="J11" s="416" t="s">
        <v>332</v>
      </c>
    </row>
    <row r="12" spans="4:11" s="37" customFormat="1" ht="20.100000000000001" customHeight="1">
      <c r="D12" s="580" t="s">
        <v>236</v>
      </c>
      <c r="E12" s="581">
        <v>500</v>
      </c>
      <c r="F12" s="581">
        <v>143</v>
      </c>
      <c r="G12" s="581">
        <v>14.3</v>
      </c>
      <c r="H12" s="581">
        <v>64.8</v>
      </c>
      <c r="I12" s="581">
        <v>1.6435</v>
      </c>
      <c r="J12" s="582">
        <v>3.2289999999999999E-4</v>
      </c>
    </row>
    <row r="13" spans="4:11" s="37" customFormat="1" ht="20.100000000000001" customHeight="1">
      <c r="D13" s="580" t="s">
        <v>237</v>
      </c>
      <c r="E13" s="581">
        <v>250</v>
      </c>
      <c r="F13" s="581">
        <v>143</v>
      </c>
      <c r="G13" s="581">
        <v>14.9</v>
      </c>
      <c r="H13" s="581">
        <v>61.7</v>
      </c>
      <c r="I13" s="581">
        <v>1.7795000000000001</v>
      </c>
      <c r="J13" s="582">
        <v>3.1720000000000001E-4</v>
      </c>
    </row>
    <row r="14" spans="4:11" s="37" customFormat="1" ht="20.100000000000001" customHeight="1">
      <c r="D14" s="580" t="s">
        <v>238</v>
      </c>
      <c r="E14" s="581">
        <v>250</v>
      </c>
      <c r="F14" s="581">
        <v>143</v>
      </c>
      <c r="G14" s="581">
        <v>13.8</v>
      </c>
      <c r="H14" s="581">
        <v>62.4</v>
      </c>
      <c r="I14" s="581">
        <v>1.6684999999999999</v>
      </c>
      <c r="J14" s="582">
        <v>3.2009999999999997E-4</v>
      </c>
    </row>
    <row r="15" spans="4:11" s="37" customFormat="1" ht="20.100000000000001" customHeight="1">
      <c r="D15" s="580"/>
      <c r="E15" s="581"/>
      <c r="F15" s="581"/>
      <c r="G15" s="581"/>
      <c r="H15" s="581"/>
      <c r="I15" s="581"/>
      <c r="J15" s="582"/>
    </row>
    <row r="16" spans="4:11" s="37" customFormat="1" ht="20.100000000000001" customHeight="1">
      <c r="D16" s="580"/>
      <c r="E16" s="581"/>
      <c r="F16" s="581"/>
      <c r="G16" s="581"/>
      <c r="H16" s="581"/>
      <c r="I16" s="581"/>
      <c r="J16" s="582"/>
    </row>
    <row r="17" spans="4:10" s="37" customFormat="1" ht="20.100000000000001" customHeight="1">
      <c r="D17" s="580"/>
      <c r="E17" s="581"/>
      <c r="F17" s="581"/>
      <c r="G17" s="581"/>
      <c r="H17" s="581"/>
      <c r="I17" s="581"/>
      <c r="J17" s="582"/>
    </row>
    <row r="18" spans="4:10" s="37" customFormat="1" ht="20.100000000000001" customHeight="1">
      <c r="D18" s="580"/>
      <c r="E18" s="581"/>
      <c r="F18" s="581"/>
      <c r="G18" s="581"/>
      <c r="H18" s="581"/>
      <c r="I18" s="581"/>
      <c r="J18" s="582"/>
    </row>
    <row r="19" spans="4:10" s="37" customFormat="1" ht="20.100000000000001" customHeight="1">
      <c r="D19" s="580"/>
      <c r="E19" s="581"/>
      <c r="F19" s="581"/>
      <c r="G19" s="581"/>
      <c r="H19" s="581"/>
      <c r="I19" s="581"/>
      <c r="J19" s="582"/>
    </row>
    <row r="20" spans="4:10" s="37" customFormat="1" ht="20.100000000000001" customHeight="1">
      <c r="D20" s="580"/>
      <c r="E20" s="581"/>
      <c r="F20" s="581"/>
      <c r="G20" s="581"/>
      <c r="H20" s="581"/>
      <c r="I20" s="581"/>
      <c r="J20" s="582"/>
    </row>
    <row r="21" spans="4:10" s="37" customFormat="1" ht="20.100000000000001" customHeight="1">
      <c r="D21" s="580"/>
      <c r="E21" s="581"/>
      <c r="F21" s="581"/>
      <c r="G21" s="581"/>
      <c r="H21" s="581"/>
      <c r="I21" s="581"/>
      <c r="J21" s="582"/>
    </row>
    <row r="22" spans="4:10" s="37" customFormat="1" ht="20.100000000000001" customHeight="1">
      <c r="D22" s="580"/>
      <c r="E22" s="581"/>
      <c r="F22" s="581"/>
      <c r="G22" s="581"/>
      <c r="H22" s="581"/>
      <c r="I22" s="581"/>
      <c r="J22" s="582"/>
    </row>
    <row r="23" spans="4:10" s="37" customFormat="1" ht="20.100000000000001" customHeight="1">
      <c r="D23" s="580"/>
      <c r="E23" s="581"/>
      <c r="F23" s="581"/>
      <c r="G23" s="581"/>
      <c r="H23" s="581"/>
      <c r="I23" s="581"/>
      <c r="J23" s="582"/>
    </row>
    <row r="24" spans="4:10" s="37" customFormat="1" ht="20.100000000000001" customHeight="1" thickBot="1">
      <c r="D24" s="479"/>
      <c r="E24" s="480"/>
      <c r="F24" s="480"/>
      <c r="G24" s="480"/>
      <c r="H24" s="480"/>
      <c r="I24" s="480"/>
      <c r="J24" s="583"/>
    </row>
    <row r="25" spans="4:10" s="37" customFormat="1" ht="20.100000000000001" customHeight="1"/>
    <row r="26" spans="4:10" ht="20.100000000000001" customHeight="1" thickBot="1"/>
    <row r="27" spans="4:10" ht="31.5" customHeight="1">
      <c r="D27" s="407" t="s">
        <v>296</v>
      </c>
      <c r="E27" s="415" t="s">
        <v>294</v>
      </c>
      <c r="F27" s="416" t="s">
        <v>295</v>
      </c>
    </row>
    <row r="28" spans="4:10" s="37" customFormat="1" ht="20.100000000000001" customHeight="1">
      <c r="D28" s="580" t="s">
        <v>236</v>
      </c>
      <c r="E28" s="581">
        <v>81.7</v>
      </c>
      <c r="F28" s="582"/>
    </row>
    <row r="29" spans="4:10" s="37" customFormat="1" ht="20.100000000000001" customHeight="1">
      <c r="D29" s="580" t="s">
        <v>237</v>
      </c>
      <c r="E29" s="581">
        <v>85.8</v>
      </c>
      <c r="F29" s="582"/>
    </row>
    <row r="30" spans="4:10" s="37" customFormat="1" ht="20.100000000000001" customHeight="1">
      <c r="D30" s="580" t="s">
        <v>238</v>
      </c>
      <c r="E30" s="581">
        <v>82.7</v>
      </c>
      <c r="F30" s="582"/>
    </row>
    <row r="31" spans="4:10" s="37" customFormat="1" ht="20.100000000000001" customHeight="1">
      <c r="D31" s="580"/>
      <c r="E31" s="581"/>
      <c r="F31" s="582"/>
    </row>
    <row r="32" spans="4:10" s="37" customFormat="1" ht="20.100000000000001" customHeight="1">
      <c r="D32" s="580"/>
      <c r="E32" s="581"/>
      <c r="F32" s="582"/>
    </row>
    <row r="33" spans="4:16" s="37" customFormat="1" ht="20.100000000000001" customHeight="1">
      <c r="D33" s="580"/>
      <c r="E33" s="581"/>
      <c r="F33" s="582"/>
    </row>
    <row r="34" spans="4:16" s="37" customFormat="1" ht="20.100000000000001" customHeight="1">
      <c r="D34" s="580"/>
      <c r="E34" s="581"/>
      <c r="F34" s="582"/>
    </row>
    <row r="35" spans="4:16" s="37" customFormat="1" ht="20.100000000000001" customHeight="1">
      <c r="D35" s="580"/>
      <c r="E35" s="581"/>
      <c r="F35" s="582"/>
    </row>
    <row r="36" spans="4:16" s="37" customFormat="1" ht="20.100000000000001" customHeight="1">
      <c r="D36" s="580"/>
      <c r="E36" s="581"/>
      <c r="F36" s="582"/>
    </row>
    <row r="37" spans="4:16" s="37" customFormat="1" ht="20.100000000000001" customHeight="1">
      <c r="D37" s="580"/>
      <c r="E37" s="581"/>
      <c r="F37" s="582"/>
    </row>
    <row r="38" spans="4:16" s="37" customFormat="1" ht="20.100000000000001" customHeight="1">
      <c r="D38" s="580"/>
      <c r="E38" s="581"/>
      <c r="F38" s="582"/>
    </row>
    <row r="39" spans="4:16" s="37" customFormat="1" ht="20.100000000000001" customHeight="1">
      <c r="D39" s="580"/>
      <c r="E39" s="581"/>
      <c r="F39" s="582"/>
    </row>
    <row r="40" spans="4:16" s="37" customFormat="1" ht="19.5" customHeight="1" thickBot="1">
      <c r="D40" s="479"/>
      <c r="E40" s="480"/>
      <c r="F40" s="583"/>
    </row>
    <row r="41" spans="4:16" ht="20.100000000000001" customHeight="1">
      <c r="D41" s="403"/>
    </row>
    <row r="42" spans="4:16" ht="20.100000000000001" customHeight="1">
      <c r="D42" s="403"/>
    </row>
    <row r="43" spans="4:16" ht="20.100000000000001" customHeight="1" thickBot="1">
      <c r="D43" s="404" t="s">
        <v>285</v>
      </c>
    </row>
    <row r="44" spans="4:16" s="37" customFormat="1" ht="31.5" customHeight="1">
      <c r="D44" s="407" t="s">
        <v>236</v>
      </c>
      <c r="E44" s="415" t="s">
        <v>237</v>
      </c>
      <c r="F44" s="415" t="s">
        <v>238</v>
      </c>
      <c r="G44" s="415"/>
      <c r="H44" s="415"/>
      <c r="I44" s="415"/>
      <c r="J44" s="415"/>
      <c r="K44" s="415"/>
      <c r="L44" s="415"/>
      <c r="M44" s="415"/>
      <c r="N44" s="415"/>
      <c r="O44" s="415"/>
      <c r="P44" s="416"/>
    </row>
    <row r="45" spans="4:16" s="468" customFormat="1" ht="30" customHeight="1" thickBot="1">
      <c r="D45" s="479">
        <v>130</v>
      </c>
      <c r="E45" s="480">
        <v>130</v>
      </c>
      <c r="F45" s="480">
        <v>130</v>
      </c>
      <c r="G45" s="466"/>
      <c r="H45" s="466"/>
      <c r="I45" s="466"/>
      <c r="J45" s="466"/>
      <c r="K45" s="466"/>
      <c r="L45" s="466"/>
      <c r="M45" s="466"/>
      <c r="N45" s="466"/>
      <c r="O45" s="466"/>
      <c r="P45" s="467"/>
    </row>
    <row r="46" spans="4:16" ht="20.100000000000001" customHeight="1">
      <c r="D46" s="403"/>
    </row>
    <row r="47" spans="4:16" ht="20.100000000000001" customHeight="1">
      <c r="D47" s="403"/>
    </row>
    <row r="48" spans="4:16" ht="22.5" customHeight="1" thickBot="1">
      <c r="D48" s="404" t="s">
        <v>297</v>
      </c>
    </row>
    <row r="49" spans="4:16" s="37" customFormat="1" ht="36.75" customHeight="1">
      <c r="D49" s="407" t="s">
        <v>236</v>
      </c>
      <c r="E49" s="415" t="s">
        <v>237</v>
      </c>
      <c r="F49" s="415" t="s">
        <v>238</v>
      </c>
      <c r="G49" s="415"/>
      <c r="H49" s="415"/>
      <c r="I49" s="415"/>
      <c r="J49" s="415"/>
      <c r="K49" s="415"/>
      <c r="L49" s="415"/>
      <c r="M49" s="415"/>
      <c r="N49" s="415"/>
      <c r="O49" s="415"/>
      <c r="P49" s="416"/>
    </row>
    <row r="50" spans="4:16" s="468" customFormat="1" ht="30" customHeight="1" thickBot="1">
      <c r="D50" s="479">
        <v>500</v>
      </c>
      <c r="E50" s="480">
        <v>250</v>
      </c>
      <c r="F50" s="480">
        <v>250</v>
      </c>
      <c r="G50" s="466"/>
      <c r="H50" s="466"/>
      <c r="I50" s="466"/>
      <c r="J50" s="466"/>
      <c r="K50" s="466"/>
      <c r="L50" s="466"/>
      <c r="M50" s="466"/>
      <c r="N50" s="466"/>
      <c r="O50" s="466"/>
      <c r="P50" s="467"/>
    </row>
    <row r="51" spans="4:16" ht="20.100000000000001" customHeight="1">
      <c r="D51" s="403"/>
    </row>
    <row r="52" spans="4:16" ht="20.100000000000001" customHeight="1">
      <c r="D52" s="403"/>
    </row>
    <row r="53" spans="4:16" ht="20.100000000000001" customHeight="1" thickBot="1">
      <c r="D53" s="404" t="s">
        <v>302</v>
      </c>
    </row>
    <row r="54" spans="4:16" s="37" customFormat="1" ht="40.5" customHeight="1">
      <c r="D54" s="407" t="s">
        <v>236</v>
      </c>
      <c r="E54" s="415" t="s">
        <v>237</v>
      </c>
      <c r="F54" s="415" t="s">
        <v>238</v>
      </c>
      <c r="G54" s="415"/>
      <c r="H54" s="415"/>
      <c r="I54" s="415"/>
      <c r="J54" s="415"/>
      <c r="K54" s="415"/>
      <c r="L54" s="415"/>
      <c r="M54" s="415"/>
      <c r="N54" s="415"/>
      <c r="O54" s="415"/>
      <c r="P54" s="416"/>
    </row>
    <row r="55" spans="4:16" s="468" customFormat="1" ht="30" customHeight="1" thickBot="1">
      <c r="D55" s="479">
        <v>10</v>
      </c>
      <c r="E55" s="480">
        <v>7.5</v>
      </c>
      <c r="F55" s="480">
        <v>7.5</v>
      </c>
      <c r="G55" s="466"/>
      <c r="H55" s="466"/>
      <c r="I55" s="466"/>
      <c r="J55" s="466"/>
      <c r="K55" s="466"/>
      <c r="L55" s="466"/>
      <c r="M55" s="466"/>
      <c r="N55" s="466"/>
      <c r="O55" s="466"/>
      <c r="P55" s="467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workbookViewId="0">
      <selection activeCell="B25" sqref="B25: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441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442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43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43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44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445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45">
        <f>Well!G4</f>
        <v>200</v>
      </c>
    </row>
    <row r="9" spans="1:13" ht="20.100000000000001" customHeight="1" thickBot="1">
      <c r="B9" s="6" t="s">
        <v>61</v>
      </c>
      <c r="C9" s="446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44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444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47">
        <f>C7-C9</f>
        <v>488</v>
      </c>
      <c r="H12" s="18"/>
      <c r="J12" s="184" t="s">
        <v>121</v>
      </c>
      <c r="K12" s="492">
        <v>14</v>
      </c>
      <c r="L12" s="491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447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446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445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48">
        <f>Well!J4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445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445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65">
        <f>K18*100</f>
        <v>2.5319488817891376</v>
      </c>
    </row>
    <row r="19" spans="2:12" ht="20.100000000000001" customHeight="1" thickBot="1">
      <c r="B19" s="21" t="s">
        <v>76</v>
      </c>
      <c r="C19" s="449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50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1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452">
        <f>C21-C20</f>
        <v>50.5</v>
      </c>
      <c r="E22" s="567">
        <f>E21+F21</f>
        <v>562.79999999999995</v>
      </c>
      <c r="F22" s="568"/>
      <c r="G22" s="20"/>
      <c r="I22" s="19"/>
    </row>
    <row r="23" spans="2:12" ht="20.100000000000001" customHeight="1" thickBot="1">
      <c r="B23" s="326" t="s">
        <v>240</v>
      </c>
      <c r="C23" s="325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306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7">
    <tabColor rgb="FFC00000"/>
  </sheetPr>
  <dimension ref="A1:M41"/>
  <sheetViews>
    <sheetView topLeftCell="A7" workbookViewId="0">
      <selection activeCell="N16" sqref="N1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441" t="str">
        <f>Well!D5</f>
        <v>충남 보령시 천북면 하만리 산 143-5</v>
      </c>
      <c r="H2"/>
      <c r="I2" s="297" t="s">
        <v>276</v>
      </c>
      <c r="J2"/>
      <c r="K2"/>
      <c r="L2"/>
      <c r="M2"/>
    </row>
    <row r="3" spans="1:13" ht="20.100000000000001" customHeight="1">
      <c r="B3" s="2" t="s">
        <v>6</v>
      </c>
      <c r="C3" s="442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43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43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44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445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45">
        <f>Well!G5</f>
        <v>200</v>
      </c>
    </row>
    <row r="9" spans="1:13" ht="20.100000000000001" customHeight="1" thickBot="1">
      <c r="B9" s="6" t="s">
        <v>61</v>
      </c>
      <c r="C9" s="446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44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444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47">
        <f>C7-C9</f>
        <v>238</v>
      </c>
      <c r="H12" s="18"/>
      <c r="J12" s="184" t="s">
        <v>121</v>
      </c>
      <c r="K12" s="492">
        <v>20</v>
      </c>
      <c r="L12" s="491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447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446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445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48">
        <f>Well!J5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445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445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65">
        <f>K18*100</f>
        <v>1.8142734307824593</v>
      </c>
    </row>
    <row r="19" spans="2:12" ht="20.100000000000001" customHeight="1" thickBot="1">
      <c r="B19" s="21" t="s">
        <v>76</v>
      </c>
      <c r="C19" s="449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50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1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452">
        <f>C21-C20</f>
        <v>46.800000000000004</v>
      </c>
      <c r="E22" s="567">
        <f>E21+F21</f>
        <v>302.8</v>
      </c>
      <c r="F22" s="568"/>
      <c r="G22" s="20"/>
      <c r="I22" s="19"/>
    </row>
    <row r="23" spans="2:12" ht="20.100000000000001" customHeight="1" thickBot="1">
      <c r="B23" s="326" t="s">
        <v>240</v>
      </c>
      <c r="C23" s="325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306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8">
    <tabColor rgb="FFC00000"/>
  </sheetPr>
  <dimension ref="A1:M41"/>
  <sheetViews>
    <sheetView topLeftCell="A7" workbookViewId="0">
      <selection activeCell="N17" sqref="N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441" t="str">
        <f>Well!D6</f>
        <v>충남 보령시 천북면 하만리 산 143-5</v>
      </c>
      <c r="H2"/>
      <c r="I2" s="297" t="s">
        <v>301</v>
      </c>
      <c r="J2"/>
      <c r="K2"/>
      <c r="L2"/>
      <c r="M2"/>
    </row>
    <row r="3" spans="1:13" ht="20.100000000000001" customHeight="1">
      <c r="B3" s="2" t="s">
        <v>6</v>
      </c>
      <c r="C3" s="442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43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43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44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45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45">
        <f>Well!G6</f>
        <v>200</v>
      </c>
    </row>
    <row r="9" spans="1:13" ht="20.100000000000001" customHeight="1" thickBot="1">
      <c r="B9" s="6" t="s">
        <v>61</v>
      </c>
      <c r="C9" s="446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444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444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65" t="s">
        <v>119</v>
      </c>
      <c r="K11" s="566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47">
        <f>C7-C9</f>
        <v>238</v>
      </c>
      <c r="H12" s="18"/>
      <c r="J12" s="184" t="s">
        <v>121</v>
      </c>
      <c r="K12" s="492">
        <v>16</v>
      </c>
      <c r="L12" s="491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447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446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445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448">
        <f>Well!J6</f>
        <v>143</v>
      </c>
      <c r="E16" s="156" t="s">
        <v>291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445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445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65">
        <f>K18*100</f>
        <v>2.4736842105263159</v>
      </c>
    </row>
    <row r="19" spans="2:12" ht="20.100000000000001" customHeight="1" thickBot="1">
      <c r="B19" s="21" t="s">
        <v>76</v>
      </c>
      <c r="C19" s="449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450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51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452">
        <f>C21-C20</f>
        <v>48.599999999999994</v>
      </c>
      <c r="E22" s="567">
        <f>E21+F21</f>
        <v>302.8</v>
      </c>
      <c r="F22" s="568"/>
      <c r="G22" s="20"/>
      <c r="I22" s="19"/>
    </row>
    <row r="23" spans="2:12" ht="20.100000000000001" customHeight="1" thickBot="1">
      <c r="B23" s="326" t="s">
        <v>240</v>
      </c>
      <c r="C23" s="325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1" t="s">
        <v>99</v>
      </c>
      <c r="C25" s="562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63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306</v>
      </c>
    </row>
    <row r="27" spans="2:12" ht="25.5" customHeight="1">
      <c r="B27" s="563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63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63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63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64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22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425" t="s">
        <v>82</v>
      </c>
      <c r="C6" s="438">
        <v>44753.861111111109</v>
      </c>
      <c r="D6" s="125"/>
      <c r="E6" s="37"/>
      <c r="F6" s="37"/>
    </row>
    <row r="7" spans="2:14" s="38" customFormat="1" ht="26.1" customHeight="1" thickBot="1">
      <c r="B7" s="428" t="s">
        <v>83</v>
      </c>
      <c r="C7" s="433">
        <v>14.6</v>
      </c>
      <c r="D7" s="125"/>
      <c r="E7" s="37"/>
      <c r="F7" s="37"/>
    </row>
    <row r="8" spans="2:14" s="38" customFormat="1" ht="26.1" customHeight="1">
      <c r="B8" s="425" t="s">
        <v>84</v>
      </c>
      <c r="C8" s="439">
        <v>211</v>
      </c>
      <c r="D8" s="125"/>
      <c r="E8" s="37"/>
      <c r="F8" s="37"/>
    </row>
    <row r="9" spans="2:14" s="38" customFormat="1" ht="26.1" customHeight="1" thickBot="1">
      <c r="B9" s="428" t="s">
        <v>85</v>
      </c>
      <c r="C9" s="44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71" t="s">
        <v>86</v>
      </c>
      <c r="C12" s="572"/>
      <c r="D12" s="573" t="s">
        <v>87</v>
      </c>
      <c r="E12" s="574"/>
      <c r="F12" s="572"/>
      <c r="H12" s="571" t="s">
        <v>87</v>
      </c>
      <c r="I12" s="574"/>
      <c r="J12" s="572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75" t="s">
        <v>36</v>
      </c>
      <c r="C24" s="576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75" t="s">
        <v>37</v>
      </c>
      <c r="C25" s="576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69" t="s">
        <v>92</v>
      </c>
      <c r="C26" s="570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23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431" t="s">
        <v>82</v>
      </c>
      <c r="C6" s="432">
        <v>44753.861111111109</v>
      </c>
      <c r="D6" s="125"/>
      <c r="E6" s="37"/>
      <c r="F6" s="37"/>
    </row>
    <row r="7" spans="2:9" s="38" customFormat="1" ht="26.1" customHeight="1" thickBot="1">
      <c r="B7" s="428" t="s">
        <v>83</v>
      </c>
      <c r="C7" s="433">
        <v>14</v>
      </c>
      <c r="D7" s="125"/>
      <c r="E7" s="37"/>
      <c r="F7" s="37"/>
    </row>
    <row r="8" spans="2:9" s="38" customFormat="1" ht="26.1" customHeight="1">
      <c r="B8" s="425" t="s">
        <v>84</v>
      </c>
      <c r="C8" s="426">
        <v>226</v>
      </c>
      <c r="D8" s="427">
        <v>229</v>
      </c>
      <c r="E8" s="37"/>
      <c r="F8" s="37"/>
    </row>
    <row r="9" spans="2:9" s="38" customFormat="1" ht="26.1" customHeight="1" thickBot="1">
      <c r="B9" s="428" t="s">
        <v>85</v>
      </c>
      <c r="C9" s="429">
        <v>7.9</v>
      </c>
      <c r="D9" s="43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1" t="s">
        <v>86</v>
      </c>
      <c r="C12" s="572"/>
      <c r="D12" s="571" t="s">
        <v>87</v>
      </c>
      <c r="E12" s="574"/>
      <c r="F12" s="572"/>
      <c r="G12" s="577" t="s">
        <v>159</v>
      </c>
      <c r="H12" s="578"/>
      <c r="I12" s="579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75" t="s">
        <v>36</v>
      </c>
      <c r="C24" s="576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75" t="s">
        <v>37</v>
      </c>
      <c r="C25" s="576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69" t="s">
        <v>92</v>
      </c>
      <c r="C26" s="570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1" t="s">
        <v>87</v>
      </c>
      <c r="E29" s="574"/>
      <c r="F29" s="572"/>
      <c r="H29" s="571" t="s">
        <v>159</v>
      </c>
      <c r="I29" s="574"/>
      <c r="J29" s="572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24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431" t="s">
        <v>82</v>
      </c>
      <c r="C6" s="432">
        <v>44717.430555555555</v>
      </c>
      <c r="D6" s="125"/>
      <c r="E6" s="125"/>
      <c r="F6" s="37"/>
    </row>
    <row r="7" spans="2:12" s="38" customFormat="1" ht="26.1" customHeight="1" thickBot="1">
      <c r="B7" s="434" t="s">
        <v>83</v>
      </c>
      <c r="C7" s="435">
        <v>14.7</v>
      </c>
      <c r="D7" s="125"/>
      <c r="E7" s="125"/>
      <c r="F7" s="37"/>
    </row>
    <row r="8" spans="2:12" s="38" customFormat="1" ht="26.1" customHeight="1">
      <c r="B8" s="425" t="s">
        <v>84</v>
      </c>
      <c r="C8" s="426">
        <v>197</v>
      </c>
      <c r="D8" s="436">
        <v>197</v>
      </c>
      <c r="E8" s="427">
        <v>194</v>
      </c>
      <c r="F8" s="37"/>
    </row>
    <row r="9" spans="2:12" s="38" customFormat="1" ht="26.1" customHeight="1" thickBot="1">
      <c r="B9" s="428" t="s">
        <v>85</v>
      </c>
      <c r="C9" s="429">
        <v>8.4</v>
      </c>
      <c r="D9" s="437">
        <v>8.3000000000000007</v>
      </c>
      <c r="E9" s="43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71" t="s">
        <v>86</v>
      </c>
      <c r="C12" s="572"/>
      <c r="D12" s="577" t="s">
        <v>87</v>
      </c>
      <c r="E12" s="578"/>
      <c r="F12" s="579"/>
      <c r="G12" s="577" t="s">
        <v>159</v>
      </c>
      <c r="H12" s="578"/>
      <c r="I12" s="579"/>
      <c r="J12" s="577" t="s">
        <v>160</v>
      </c>
      <c r="K12" s="578"/>
      <c r="L12" s="579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75" t="s">
        <v>36</v>
      </c>
      <c r="C24" s="576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75" t="s">
        <v>37</v>
      </c>
      <c r="C25" s="576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69" t="s">
        <v>92</v>
      </c>
      <c r="C26" s="570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71" t="s">
        <v>87</v>
      </c>
      <c r="E29" s="574"/>
      <c r="F29" s="572"/>
      <c r="H29" s="571" t="s">
        <v>159</v>
      </c>
      <c r="I29" s="574"/>
      <c r="J29" s="572"/>
      <c r="L29" s="571" t="s">
        <v>160</v>
      </c>
      <c r="M29" s="574"/>
      <c r="N29" s="572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13</vt:i4>
      </vt:variant>
    </vt:vector>
  </HeadingPairs>
  <TitlesOfParts>
    <vt:vector size="29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2023-03-17T11:32:52Z</dcterms:modified>
</cp:coreProperties>
</file>