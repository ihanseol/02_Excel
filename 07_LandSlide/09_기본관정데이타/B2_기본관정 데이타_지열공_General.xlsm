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3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7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8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5F36913F-6D67-492E-A0DA-80448ABB6EA6}" xr6:coauthVersionLast="47" xr6:coauthVersionMax="47" xr10:uidLastSave="{00000000-0000-0000-0000-000000000000}"/>
  <bookViews>
    <workbookView xWindow="7665" yWindow="615" windowWidth="28500" windowHeight="19980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86" l="1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42" i="23"/>
  <c r="D43" i="23" s="1"/>
  <c r="C42" i="23"/>
  <c r="C43" i="23" s="1"/>
  <c r="B42" i="23"/>
  <c r="B43" i="23" s="1"/>
  <c r="B46" i="23" l="1"/>
  <c r="B47" i="23" s="1"/>
  <c r="B49" i="23"/>
  <c r="C49" i="23"/>
  <c r="C46" i="23"/>
  <c r="C47" i="23" s="1"/>
  <c r="D49" i="23"/>
  <c r="D46" i="23"/>
  <c r="D47" i="23" s="1"/>
  <c r="I8" i="52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E22" i="186" l="1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<sst xmlns="http://schemas.openxmlformats.org/spreadsheetml/2006/main" count="786" uniqueCount="408">
  <si>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</si>
  <si>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</si>
  <si>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</si>
  <si>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</si>
  <si>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</si>
  <si>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</si>
  <si>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</si>
  <si>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</si>
  <si>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</si>
  <si>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</si>
  <si>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</si>
  <si>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</si>
  <si>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</si>
  <si>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</si>
  <si>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</si>
  <si>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</si>
  <si>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</si>
  <si>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</si>
  <si>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</si>
  <si>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</si>
  <si>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</si>
  <si>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</si>
  <si>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</si>
  <si>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</si>
  <si>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</si>
  <si>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</si>
  <si>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</si>
  <si>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</si>
  <si>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</si>
  <si>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</si>
  <si>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</si>
  <si>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</si>
  <si>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</si>
  <si>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</si>
  <si>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</si>
  <si>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</si>
  <si>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</si>
  <si>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</si>
  <si>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</si>
  <si>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</si>
  <si>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</si>
  <si>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</si>
  <si>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</si>
  <si>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</si>
  <si>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</si>
  <si>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</si>
  <si>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</si>
  <si>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</si>
  <si>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</si>
  <si>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</si>
  <si>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</si>
  <si>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</si>
  <si>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</si>
  <si>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</si>
  <si>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</si>
  <si>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</si>
  <si>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</si>
  <si>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</si>
  <si>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</si>
  <si>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</si>
  <si>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</si>
  <si>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</si>
  <si>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</si>
  <si>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</si>
  <si>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</si>
  <si>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</si>
  <si>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</si>
  <si>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</si>
  <si>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</si>
  <si>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</si>
  <si>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</si>
  <si>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</si>
  <si>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</si>
  <si>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</si>
  <si>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</si>
  <si>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</si>
  <si>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</si>
  <si>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</si>
  <si>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</si>
  <si>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</si>
  <si>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</si>
  <si>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</si>
  <si>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</si>
  <si>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</si>
  <si>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</si>
  <si>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</si>
  <si>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</si>
  <si>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</si>
  <si>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</si>
  <si>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</si>
  <si>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</si>
  <si>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</si>
  <si>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</si>
  <si>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</si>
  <si>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</si>
  <si>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</si>
  <si>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</si>
  <si>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</si>
  <si>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</si>
  <si>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</si>
  <si>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</si>
  <si>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</si>
  <si>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</si>
  <si>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</si>
  <si>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</si>
  <si>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</si>
  <si>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</si>
  <si>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</si>
  <si>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</si>
  <si>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</si>
  <si>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</si>
  <si>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</si>
  <si>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</si>
  <si>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</si>
  <si>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</si>
  <si>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</si>
  <si>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</si>
  <si>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</si>
  <si>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</si>
  <si>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</si>
  <si>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</si>
  <si>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</si>
  <si>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</si>
  <si>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</si>
  <si>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</si>
  <si>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</si>
  <si>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</si>
  <si>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</si>
  <si>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</si>
  <si>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</si>
  <si>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</si>
  <si>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</si>
  <si>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</si>
  <si>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</si>
  <si>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</si>
  <si>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</si>
  <si>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</si>
  <si>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</si>
  <si>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</si>
  <si>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</si>
  <si>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</si>
  <si>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</si>
  <si>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</si>
  <si>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</si>
  <si>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</si>
  <si>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</si>
  <si>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</si>
  <si>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</si>
  <si>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</si>
  <si>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</si>
  <si>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</si>
  <si>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</si>
  <si>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</si>
  <si>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</si>
  <si>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</si>
  <si>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</si>
  <si>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</si>
  <si>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</si>
  <si>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</si>
  <si>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</si>
  <si>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</si>
  <si>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</si>
  <si>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</si>
  <si>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</si>
  <si>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</si>
  <si>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</si>
  <si>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</si>
  <si>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</si>
  <si>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</si>
  <si>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</si>
  <si>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</si>
  <si>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</si>
  <si>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</si>
  <si>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</si>
  <si>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</si>
  <si>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</si>
  <si>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</si>
  <si>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</si>
  <si>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</si>
  <si>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</si>
  <si>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</si>
  <si>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</si>
  <si>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</si>
  <si>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</si>
  <si>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</si>
  <si>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</si>
  <si>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</si>
  <si>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</si>
  <si>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</si>
  <si>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</si>
  <si>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</si>
  <si>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</si>
  <si>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</si>
  <si>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</si>
  <si>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</si>
  <si>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</si>
  <si>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</si>
  <si>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</si>
  <si>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</si>
  <si>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</si>
  <si>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</si>
  <si>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</si>
  <si>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</si>
  <si>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</si>
  <si>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</si>
  <si>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</si>
  <si>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</si>
  <si>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</si>
  <si>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</si>
  <si>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</si>
  <si>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</si>
  <si>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</si>
  <si>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</si>
  <si>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</si>
  <si>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</si>
  <si>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</si>
  <si>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</si>
  <si>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</si>
  <si>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</si>
  <si>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</si>
  <si>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</si>
  <si>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</si>
  <si>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</si>
  <si>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</si>
  <si>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</si>
  <si>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</si>
  <si>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</si>
  <si>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</si>
  <si>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</si>
  <si>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</si>
  <si>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</si>
  <si>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</si>
  <si>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</si>
  <si>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</si>
  <si>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</si>
  <si>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</si>
  <si>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</si>
  <si>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</si>
  <si>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</si>
  <si>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</si>
  <si>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</si>
  <si>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</si>
  <si>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</si>
  <si>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</si>
  <si>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</si>
  <si>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</si>
  <si>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</si>
  <si>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</si>
  <si>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</si>
  <si>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</si>
  <si>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</si>
  <si>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</si>
  <si>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</si>
  <si>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</si>
  <si>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</si>
  <si>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</si>
  <si>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</si>
  <si>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</si>
  <si>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</si>
  <si>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</si>
  <si>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</si>
  <si>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</si>
  <si>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</si>
  <si>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</si>
  <si>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</si>
  <si>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</si>
  <si>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</si>
  <si>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</si>
  <si>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</si>
  <si>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</si>
  <si>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</si>
  <si>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</si>
  <si>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</si>
  <si>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</si>
  <si>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</si>
  <si>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</si>
  <si>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</si>
  <si>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</si>
  <si>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</si>
  <si>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</si>
  <si>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</si>
  <si>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</si>
  <si>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</si>
  <si>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</si>
  <si>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</si>
  <si>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</si>
  <si>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</si>
  <si>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</si>
  <si>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</si>
  <si>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</si>
  <si>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</si>
  <si>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</si>
  <si>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</si>
  <si>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</si>
  <si>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</si>
  <si>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</si>
  <si>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</si>
  <si>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</si>
  <si>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</si>
  <si>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</si>
  <si>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</si>
  <si>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</si>
  <si>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</si>
  <si>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</si>
  <si>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</si>
  <si>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</si>
  <si>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</si>
  <si>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</si>
  <si>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</si>
  <si>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</si>
  <si>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</si>
  <si>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</si>
  <si>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</si>
  <si>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</si>
  <si>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</si>
  <si>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</si>
  <si>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</si>
  <si>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</si>
  <si>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</si>
  <si>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</si>
  <si>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</si>
  <si>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</si>
  <si>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</si>
  <si>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</si>
  <si>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</si>
  <si>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</si>
  <si>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</si>
  <si>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</si>
  <si>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</si>
  <si>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</si>
  <si>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</si>
  <si>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</si>
  <si>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</si>
  <si>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</si>
  <si>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</si>
  <si>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</si>
  <si>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</si>
  <si>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</si>
  <si>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</si>
  <si>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</si>
  <si>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</si>
  <si>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</si>
  <si>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</si>
  <si>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</si>
  <si>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</si>
  <si>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</si>
  <si>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</si>
  <si>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</si>
  <si>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</si>
  <si>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</si>
  <si>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</si>
  <si>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</si>
  <si>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</si>
  <si>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</si>
  <si>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</si>
  <si>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</si>
  <si>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</si>
  <si>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</si>
  <si>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</si>
  <si>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</si>
  <si>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</si>
  <si>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</si>
  <si>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</si>
  <si>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</si>
  <si>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</si>
  <si>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</si>
  <si>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</si>
  <si>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</si>
  <si>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</si>
  <si>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</si>
  <si>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</si>
  <si>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</si>
  <si>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</si>
  <si>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</si>
  <si>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</si>
  <si>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</si>
  <si>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</si>
  <si>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</si>
  <si>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</si>
  <si>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</si>
  <si>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</si>
  <si>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</si>
  <si>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</si>
  <si>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</si>
  <si>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</si>
  <si>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</si>
  <si>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</si>
  <si>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</si>
  <si>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</si>
  <si>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</si>
  <si>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</si>
  <si>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</si>
  <si>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</si>
  <si>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</si>
  <si>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</si>
  <si>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81.7 m</t>
  </si>
  <si>
    <t>85.8 m</t>
  </si>
  <si>
    <t>82.7 m</t>
  </si>
  <si>
    <t>500 m</t>
  </si>
  <si>
    <t>250 m</t>
  </si>
  <si>
    <t>14.3 m</t>
  </si>
  <si>
    <t>14.9 m</t>
  </si>
  <si>
    <t>13.8 m</t>
  </si>
  <si>
    <t>50.5 m</t>
  </si>
  <si>
    <t>46.8 m</t>
  </si>
  <si>
    <t>48.6 m</t>
  </si>
  <si>
    <t>10 Hp</t>
  </si>
  <si>
    <t>7.5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</si>
</sst>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51" fillId="32" borderId="102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32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3" fillId="33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2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110" xfId="0" applyFont="1" applyFill="1" applyBorder="1" applyAlignment="1">
      <alignment horizontal="center" vertical="center"/>
    </xf>
    <xf numFmtId="0" fontId="25" fillId="15" borderId="111" xfId="0" applyFont="1" applyFill="1" applyBorder="1" applyAlignment="1">
      <alignment horizontal="center" vertical="center" wrapText="1"/>
    </xf>
    <xf numFmtId="0" fontId="25" fillId="15" borderId="111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113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25" fillId="0" borderId="115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0" fontId="25" fillId="0" borderId="11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12" xfId="0" applyFont="1" applyFill="1" applyBorder="1" applyAlignment="1">
      <alignment horizontal="center" vertical="center"/>
    </xf>
    <xf numFmtId="189" fontId="25" fillId="0" borderId="11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8" xfId="0" applyNumberFormat="1" applyFont="1" applyBorder="1" applyAlignment="1">
      <alignment horizontal="center" vertical="center"/>
    </xf>
    <xf numFmtId="182" fontId="48" fillId="0" borderId="109" xfId="0" applyNumberFormat="1" applyFont="1" applyBorder="1" applyAlignment="1">
      <alignment horizontal="center" vertical="center"/>
    </xf>
    <xf numFmtId="0" fontId="48" fillId="0" borderId="96" xfId="0" applyFont="1" applyBorder="1" applyAlignment="1">
      <alignment horizontal="center" vertical="center"/>
    </xf>
    <xf numFmtId="0" fontId="48" fillId="0" borderId="119" xfId="0" applyFont="1" applyBorder="1" applyAlignment="1">
      <alignment horizontal="center" vertical="center"/>
    </xf>
    <xf numFmtId="0" fontId="48" fillId="0" borderId="12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8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8" xfId="0" applyNumberFormat="1" applyFont="1" applyBorder="1" applyAlignment="1">
      <alignment horizontal="center" vertical="center"/>
    </xf>
    <xf numFmtId="177" fontId="48" fillId="0" borderId="109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15" fillId="3" borderId="28" xfId="18" applyNumberFormat="1" applyFont="1" applyFill="1" applyBorder="1" applyAlignment="1">
      <alignment horizontal="center" vertical="center"/>
    </xf>
    <xf numFmtId="0" fontId="15" fillId="3" borderId="31" xfId="18" applyNumberFormat="1" applyFont="1" applyFill="1" applyBorder="1" applyAlignment="1">
      <alignment horizontal="center" vertical="center"/>
    </xf>
    <xf numFmtId="0" fontId="56" fillId="3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9" borderId="31" xfId="18" applyNumberFormat="1" applyFont="1" applyFill="1" applyBorder="1" applyAlignment="1">
      <alignment horizontal="center" vertical="center"/>
    </xf>
    <xf numFmtId="0" fontId="19" fillId="3" borderId="31" xfId="18" applyNumberFormat="1" applyFont="1" applyFill="1" applyBorder="1" applyAlignment="1">
      <alignment horizontal="center" vertical="center"/>
    </xf>
    <xf numFmtId="0" fontId="15" fillId="13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3" borderId="95" xfId="18" applyNumberFormat="1" applyFont="1" applyFill="1" applyBorder="1" applyAlignment="1">
      <alignment horizontal="center" vertical="center"/>
    </xf>
    <xf numFmtId="0" fontId="15" fillId="3" borderId="32" xfId="18" applyNumberFormat="1" applyFont="1" applyFill="1" applyBorder="1" applyAlignment="1">
      <alignment horizontal="center" vertical="center"/>
    </xf>
    <xf numFmtId="0" fontId="15" fillId="10" borderId="36" xfId="18" applyNumberFormat="1" applyFont="1" applyFill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/>
    </xf>
    <xf numFmtId="0" fontId="29" fillId="9" borderId="122" xfId="0" applyFont="1" applyFill="1" applyBorder="1" applyAlignment="1">
      <alignment horizontal="center" vertical="center"/>
    </xf>
    <xf numFmtId="0" fontId="29" fillId="9" borderId="122" xfId="0" applyFont="1" applyFill="1" applyBorder="1" applyAlignment="1">
      <alignment horizontal="center" vertical="center" wrapText="1"/>
    </xf>
    <xf numFmtId="0" fontId="44" fillId="9" borderId="122" xfId="21" applyFont="1" applyFill="1" applyBorder="1" applyAlignment="1">
      <alignment horizontal="center" vertical="center" wrapText="1"/>
    </xf>
    <xf numFmtId="41" fontId="29" fillId="9" borderId="122" xfId="20" applyFont="1" applyFill="1" applyBorder="1" applyAlignment="1">
      <alignment horizontal="center" vertical="center" wrapText="1"/>
    </xf>
    <xf numFmtId="0" fontId="29" fillId="9" borderId="123" xfId="0" applyFont="1" applyFill="1" applyBorder="1" applyAlignment="1">
      <alignment horizontal="center" vertical="center"/>
    </xf>
    <xf numFmtId="0" fontId="29" fillId="9" borderId="124" xfId="0" applyFont="1" applyFill="1" applyBorder="1" applyAlignment="1">
      <alignment horizontal="center" vertical="center"/>
    </xf>
    <xf numFmtId="0" fontId="29" fillId="9" borderId="125" xfId="0" applyFont="1" applyFill="1" applyBorder="1" applyAlignment="1">
      <alignment horizontal="center" vertical="center"/>
    </xf>
    <xf numFmtId="0" fontId="29" fillId="9" borderId="125" xfId="0" applyFont="1" applyFill="1" applyBorder="1" applyAlignment="1">
      <alignment horizontal="center" vertical="center" wrapText="1"/>
    </xf>
    <xf numFmtId="0" fontId="44" fillId="9" borderId="125" xfId="21" applyFont="1" applyFill="1" applyBorder="1" applyAlignment="1">
      <alignment horizontal="center" vertical="center" wrapText="1"/>
    </xf>
    <xf numFmtId="41" fontId="29" fillId="9" borderId="125" xfId="20" applyFont="1" applyFill="1" applyBorder="1" applyAlignment="1">
      <alignment horizontal="center" vertical="center" wrapText="1"/>
    </xf>
    <xf numFmtId="0" fontId="29" fillId="9" borderId="126" xfId="0" applyFont="1" applyFill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0" fontId="34" fillId="0" borderId="125" xfId="0" applyFont="1" applyBorder="1" applyAlignment="1">
      <alignment horizontal="center" vertical="center"/>
    </xf>
    <xf numFmtId="17" fontId="34" fillId="0" borderId="125" xfId="0" applyNumberFormat="1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 wrapText="1"/>
    </xf>
    <xf numFmtId="0" fontId="15" fillId="0" borderId="125" xfId="0" applyFont="1" applyBorder="1" applyAlignment="1">
      <alignment horizontal="center" vertical="center"/>
    </xf>
    <xf numFmtId="3" fontId="34" fillId="0" borderId="125" xfId="20" applyNumberFormat="1" applyFont="1" applyBorder="1" applyAlignment="1" applyProtection="1">
      <alignment horizontal="center" vertical="center"/>
      <protection locked="0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0" fontId="34" fillId="0" borderId="128" xfId="0" applyFont="1" applyBorder="1" applyAlignment="1">
      <alignment horizontal="center" vertical="center"/>
    </xf>
    <xf numFmtId="17" fontId="34" fillId="0" borderId="128" xfId="0" applyNumberFormat="1" applyFont="1" applyBorder="1" applyAlignment="1">
      <alignment horizontal="center" vertical="center"/>
    </xf>
    <xf numFmtId="0" fontId="15" fillId="0" borderId="128" xfId="0" applyFont="1" applyBorder="1" applyAlignment="1">
      <alignment horizontal="center" vertical="center" wrapText="1"/>
    </xf>
    <xf numFmtId="0" fontId="15" fillId="0" borderId="128" xfId="0" applyFont="1" applyBorder="1" applyAlignment="1">
      <alignment horizontal="center" vertical="center"/>
    </xf>
    <xf numFmtId="3" fontId="34" fillId="0" borderId="128" xfId="20" applyNumberFormat="1" applyFont="1" applyBorder="1" applyAlignment="1" applyProtection="1">
      <alignment horizontal="center" vertical="center"/>
      <protection locked="0"/>
    </xf>
    <xf numFmtId="0" fontId="34" fillId="0" borderId="129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5.emf"/><Relationship Id="rId7" Type="http://schemas.openxmlformats.org/officeDocument/2006/relationships/image" Target="../media/image38.emf"/><Relationship Id="rId12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2.emf"/><Relationship Id="rId11" Type="http://schemas.openxmlformats.org/officeDocument/2006/relationships/image" Target="../media/image28.emf"/><Relationship Id="rId5" Type="http://schemas.openxmlformats.org/officeDocument/2006/relationships/image" Target="../media/image37.emf"/><Relationship Id="rId10" Type="http://schemas.openxmlformats.org/officeDocument/2006/relationships/image" Target="../media/image29.emf"/><Relationship Id="rId4" Type="http://schemas.openxmlformats.org/officeDocument/2006/relationships/image" Target="../media/image36.emf"/><Relationship Id="rId9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6.emf"/><Relationship Id="rId7" Type="http://schemas.openxmlformats.org/officeDocument/2006/relationships/image" Target="../media/image50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Relationship Id="rId9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6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66675</xdr:rowOff>
        </xdr:from>
        <xdr:to>
          <xdr:col>7</xdr:col>
          <xdr:colOff>41550</xdr:colOff>
          <xdr:row>5</xdr:row>
          <xdr:rowOff>234075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290512</xdr:rowOff>
        </xdr:from>
        <xdr:to>
          <xdr:col>7</xdr:col>
          <xdr:colOff>41550</xdr:colOff>
          <xdr:row>7</xdr:row>
          <xdr:rowOff>38812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95250</xdr:rowOff>
        </xdr:from>
        <xdr:to>
          <xdr:col>7</xdr:col>
          <xdr:colOff>41550</xdr:colOff>
          <xdr:row>8</xdr:row>
          <xdr:rowOff>167400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57335</xdr:colOff>
          <xdr:row>2</xdr:row>
          <xdr:rowOff>142875</xdr:rowOff>
        </xdr:from>
        <xdr:to>
          <xdr:col>8</xdr:col>
          <xdr:colOff>679910</xdr:colOff>
          <xdr:row>4</xdr:row>
          <xdr:rowOff>81675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1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57335</xdr:colOff>
          <xdr:row>4</xdr:row>
          <xdr:rowOff>107950</xdr:rowOff>
        </xdr:from>
        <xdr:to>
          <xdr:col>8</xdr:col>
          <xdr:colOff>679910</xdr:colOff>
          <xdr:row>5</xdr:row>
          <xdr:rowOff>275350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57335</xdr:colOff>
          <xdr:row>5</xdr:row>
          <xdr:rowOff>301625</xdr:rowOff>
        </xdr:from>
        <xdr:to>
          <xdr:col>8</xdr:col>
          <xdr:colOff>679910</xdr:colOff>
          <xdr:row>7</xdr:row>
          <xdr:rowOff>49925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57206</xdr:colOff>
          <xdr:row>7</xdr:row>
          <xdr:rowOff>76200</xdr:rowOff>
        </xdr:from>
        <xdr:to>
          <xdr:col>8</xdr:col>
          <xdr:colOff>679781</xdr:colOff>
          <xdr:row>8</xdr:row>
          <xdr:rowOff>148350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F80B5C31-068A-F9E6-9CED-1D38D8726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114298</xdr:colOff>
          <xdr:row>1</xdr:row>
          <xdr:rowOff>76199</xdr:rowOff>
        </xdr:from>
        <xdr:to>
          <xdr:col>10</xdr:col>
          <xdr:colOff>119698</xdr:colOff>
          <xdr:row>3</xdr:row>
          <xdr:rowOff>14999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2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114298</xdr:colOff>
          <xdr:row>3</xdr:row>
          <xdr:rowOff>58340</xdr:rowOff>
        </xdr:from>
        <xdr:to>
          <xdr:col>10</xdr:col>
          <xdr:colOff>119698</xdr:colOff>
          <xdr:row>4</xdr:row>
          <xdr:rowOff>225740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2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114298</xdr:colOff>
          <xdr:row>6</xdr:row>
          <xdr:rowOff>155972</xdr:rowOff>
        </xdr:from>
        <xdr:to>
          <xdr:col>10</xdr:col>
          <xdr:colOff>119698</xdr:colOff>
          <xdr:row>7</xdr:row>
          <xdr:rowOff>228122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114298</xdr:colOff>
          <xdr:row>7</xdr:row>
          <xdr:rowOff>271461</xdr:rowOff>
        </xdr:from>
        <xdr:to>
          <xdr:col>10</xdr:col>
          <xdr:colOff>119698</xdr:colOff>
          <xdr:row>9</xdr:row>
          <xdr:rowOff>19761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DF4E78F-9EBB-8876-F645-BD7071587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111917</xdr:colOff>
          <xdr:row>5</xdr:row>
          <xdr:rowOff>40481</xdr:rowOff>
        </xdr:from>
        <xdr:to>
          <xdr:col>10</xdr:col>
          <xdr:colOff>117317</xdr:colOff>
          <xdr:row>6</xdr:row>
          <xdr:rowOff>112631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10E589-0F9F-4E6F-9D44-C1DF8A94E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2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3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31.emf"/><Relationship Id="rId24" Type="http://schemas.openxmlformats.org/officeDocument/2006/relationships/control" Target="../activeX/activeX29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35.emf"/><Relationship Id="rId4" Type="http://schemas.openxmlformats.org/officeDocument/2006/relationships/control" Target="../activeX/activeX19.xml"/><Relationship Id="rId9" Type="http://schemas.openxmlformats.org/officeDocument/2006/relationships/image" Target="../media/image30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0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42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6.xml"/><Relationship Id="rId4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52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43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0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42.xml"/><Relationship Id="rId19" Type="http://schemas.openxmlformats.org/officeDocument/2006/relationships/image" Target="../media/image55.emf"/><Relationship Id="rId4" Type="http://schemas.openxmlformats.org/officeDocument/2006/relationships/control" Target="../activeX/activeX39.xml"/><Relationship Id="rId9" Type="http://schemas.openxmlformats.org/officeDocument/2006/relationships/image" Target="../media/image50.emf"/><Relationship Id="rId14" Type="http://schemas.openxmlformats.org/officeDocument/2006/relationships/control" Target="../activeX/activeX44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6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7.xml"/><Relationship Id="rId5" Type="http://schemas.openxmlformats.org/officeDocument/2006/relationships/image" Target="../media/image65.emf"/><Relationship Id="rId4" Type="http://schemas.openxmlformats.org/officeDocument/2006/relationships/control" Target="../activeX/activeX56.xml"/><Relationship Id="rId9" Type="http://schemas.openxmlformats.org/officeDocument/2006/relationships/image" Target="../media/image6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0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7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18" t="s">
        <v>232</v>
      </c>
      <c r="C2" s="518"/>
      <c r="D2" s="518"/>
      <c r="E2" s="518"/>
      <c r="F2" s="518"/>
      <c r="G2" s="518"/>
      <c r="H2" s="518"/>
      <c r="I2" s="518"/>
      <c r="J2" s="518"/>
      <c r="K2" s="518"/>
      <c r="L2" s="518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297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zoomScaleNormal="100" workbookViewId="0">
      <selection activeCell="M31" sqref="M3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19" t="s">
        <v>302</v>
      </c>
      <c r="J24" s="520"/>
      <c r="K24" s="386">
        <f>INDEX(Location[recharge], MATCH(I24,Location[name],0))</f>
        <v>0.128</v>
      </c>
      <c r="L24" s="387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21" t="s">
        <v>197</v>
      </c>
      <c r="J25" s="522"/>
      <c r="K25" s="388">
        <f>INDEX(Location[recharge], MATCH(I25,Location[name],0))</f>
        <v>0.16600000000000001</v>
      </c>
      <c r="L25" s="389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23" t="s">
        <v>267</v>
      </c>
      <c r="J26" s="524"/>
      <c r="K26" s="390">
        <f>INDEX(Location[recharge], MATCH(I26,Location[name],0))</f>
        <v>0.127</v>
      </c>
      <c r="L26" s="391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25" t="s">
        <v>306</v>
      </c>
      <c r="B37" s="526"/>
      <c r="C37" s="231"/>
      <c r="D37" s="396"/>
    </row>
    <row r="38" spans="1:6" ht="17.25" thickBot="1">
      <c r="A38" s="397"/>
      <c r="B38" s="398" t="s">
        <v>236</v>
      </c>
      <c r="C38" s="398" t="s">
        <v>237</v>
      </c>
      <c r="D38" s="399" t="s">
        <v>238</v>
      </c>
    </row>
    <row r="39" spans="1:6">
      <c r="A39" s="424" t="s">
        <v>296</v>
      </c>
      <c r="B39" s="400">
        <v>500</v>
      </c>
      <c r="C39" s="401">
        <v>250</v>
      </c>
      <c r="D39" s="402">
        <v>250</v>
      </c>
    </row>
    <row r="40" spans="1:6">
      <c r="A40" s="425" t="s">
        <v>307</v>
      </c>
      <c r="B40" s="403">
        <v>130</v>
      </c>
      <c r="C40" s="404">
        <v>130</v>
      </c>
      <c r="D40" s="405">
        <v>130</v>
      </c>
    </row>
    <row r="41" spans="1:6">
      <c r="A41" s="425" t="s">
        <v>308</v>
      </c>
      <c r="B41" s="406">
        <v>200</v>
      </c>
      <c r="C41" s="407">
        <v>150</v>
      </c>
      <c r="D41" s="408">
        <v>150</v>
      </c>
    </row>
    <row r="42" spans="1:6">
      <c r="A42" s="426" t="s">
        <v>309</v>
      </c>
      <c r="B42" s="409">
        <f>ROUND(B41/10,1)</f>
        <v>20</v>
      </c>
      <c r="C42" s="410">
        <f>ROUND(C41/10,1)</f>
        <v>15</v>
      </c>
      <c r="D42" s="411">
        <f>ROUND(D41/10,1)</f>
        <v>15</v>
      </c>
    </row>
    <row r="43" spans="1:6">
      <c r="A43" s="426" t="s">
        <v>310</v>
      </c>
      <c r="B43" s="412">
        <f>B41+B42</f>
        <v>220</v>
      </c>
      <c r="C43" s="413">
        <f>C41+C42</f>
        <v>165</v>
      </c>
      <c r="D43" s="414">
        <f>D41+D42</f>
        <v>165</v>
      </c>
    </row>
    <row r="44" spans="1:6">
      <c r="A44" s="426" t="s">
        <v>311</v>
      </c>
      <c r="B44" s="415">
        <v>0.45250000000000001</v>
      </c>
      <c r="C44" s="416">
        <v>0.45250000000000001</v>
      </c>
      <c r="D44" s="417">
        <v>0.45250000000000001</v>
      </c>
    </row>
    <row r="45" spans="1:6">
      <c r="A45" s="426"/>
      <c r="B45" s="409"/>
      <c r="C45" s="410"/>
      <c r="D45" s="411"/>
    </row>
    <row r="46" spans="1:6">
      <c r="A46" s="426" t="s">
        <v>312</v>
      </c>
      <c r="B46" s="409">
        <f>ROUND((B40*B43)/(6572.5*B44),4)</f>
        <v>9.6165000000000003</v>
      </c>
      <c r="C46" s="410">
        <f>ROUND((C40*C43)/(6572.5*C44),4)</f>
        <v>7.2123999999999997</v>
      </c>
      <c r="D46" s="411">
        <f>ROUND((D40*D43)/(6572.5*D44),4)</f>
        <v>7.2123999999999997</v>
      </c>
    </row>
    <row r="47" spans="1:6" ht="19.5" thickBot="1">
      <c r="A47" s="427"/>
      <c r="B47" s="418">
        <f>ROUNDUP(B46,0)</f>
        <v>10</v>
      </c>
      <c r="C47" s="419">
        <f>ROUNDUP(C46,0)</f>
        <v>8</v>
      </c>
      <c r="D47" s="420">
        <f>ROUNDUP(D46,0)</f>
        <v>8</v>
      </c>
    </row>
    <row r="48" spans="1:6">
      <c r="A48" s="424" t="s">
        <v>313</v>
      </c>
      <c r="B48" s="400">
        <v>10</v>
      </c>
      <c r="C48" s="401">
        <v>7.5</v>
      </c>
      <c r="D48" s="402">
        <v>7.5</v>
      </c>
    </row>
    <row r="49" spans="1:4" ht="17.25" thickBot="1">
      <c r="A49" s="427" t="s">
        <v>314</v>
      </c>
      <c r="B49" s="421">
        <f>ROUND((B48*B44*6572.5)/B43,1)</f>
        <v>135.19999999999999</v>
      </c>
      <c r="C49" s="422">
        <f>ROUND((C48*C44*6572.5)/C43,1)</f>
        <v>135.19999999999999</v>
      </c>
      <c r="D49" s="423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268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7" t="s">
        <v>342</v>
      </c>
    </row>
    <row r="4" spans="3:11" ht="40.5" customHeight="1">
      <c r="C4" s="495" t="s">
        <v>335</v>
      </c>
      <c r="D4" s="496" t="s">
        <v>295</v>
      </c>
      <c r="E4" s="496" t="s">
        <v>336</v>
      </c>
      <c r="F4" s="497" t="s">
        <v>341</v>
      </c>
      <c r="G4" s="496" t="s">
        <v>327</v>
      </c>
      <c r="H4" s="496" t="s">
        <v>337</v>
      </c>
      <c r="I4" s="496" t="s">
        <v>338</v>
      </c>
      <c r="J4" s="496" t="s">
        <v>339</v>
      </c>
      <c r="K4" s="498" t="s">
        <v>340</v>
      </c>
    </row>
    <row r="5" spans="3:11" ht="97.5" customHeight="1">
      <c r="C5" s="361" t="s">
        <v>236</v>
      </c>
      <c r="D5" s="494" t="s">
        <v>343</v>
      </c>
      <c r="E5" s="494" t="s">
        <v>344</v>
      </c>
      <c r="F5" s="494" t="s">
        <v>345</v>
      </c>
      <c r="G5" s="494" t="s">
        <v>346</v>
      </c>
      <c r="H5" s="494" t="s">
        <v>347</v>
      </c>
      <c r="I5" s="494" t="s">
        <v>348</v>
      </c>
      <c r="J5" s="494" t="s">
        <v>349</v>
      </c>
      <c r="K5" s="499" t="s">
        <v>350</v>
      </c>
    </row>
    <row r="6" spans="3:11" ht="97.5" customHeight="1">
      <c r="C6" s="361" t="s">
        <v>237</v>
      </c>
      <c r="D6" s="494" t="s">
        <v>343</v>
      </c>
      <c r="E6" s="494" t="s">
        <v>344</v>
      </c>
      <c r="F6" s="494" t="s">
        <v>345</v>
      </c>
      <c r="G6" s="494" t="s">
        <v>346</v>
      </c>
      <c r="H6" s="494" t="s">
        <v>351</v>
      </c>
      <c r="I6" s="494" t="s">
        <v>352</v>
      </c>
      <c r="J6" s="494" t="s">
        <v>353</v>
      </c>
      <c r="K6" s="499" t="s">
        <v>354</v>
      </c>
    </row>
    <row r="7" spans="3:11" ht="97.5" customHeight="1">
      <c r="C7" s="361" t="s">
        <v>238</v>
      </c>
      <c r="D7" s="494" t="s">
        <v>343</v>
      </c>
      <c r="E7" s="494" t="s">
        <v>344</v>
      </c>
      <c r="F7" s="494" t="s">
        <v>345</v>
      </c>
      <c r="G7" s="494" t="s">
        <v>346</v>
      </c>
      <c r="H7" s="494" t="s">
        <v>355</v>
      </c>
      <c r="I7" s="494" t="s">
        <v>356</v>
      </c>
      <c r="J7" s="494" t="s">
        <v>357</v>
      </c>
      <c r="K7" s="499" t="s">
        <v>358</v>
      </c>
    </row>
    <row r="8" spans="3:11" ht="97.5" customHeight="1">
      <c r="C8" s="361">
        <v>4</v>
      </c>
      <c r="D8" s="462"/>
      <c r="E8" s="462"/>
      <c r="F8" s="462"/>
      <c r="G8" s="462"/>
      <c r="H8" s="462"/>
      <c r="I8" s="462"/>
      <c r="J8" s="462"/>
      <c r="K8" s="492"/>
    </row>
    <row r="9" spans="3:11" ht="97.5" customHeight="1">
      <c r="C9" s="361">
        <v>5</v>
      </c>
      <c r="D9" s="462"/>
      <c r="E9" s="462"/>
      <c r="F9" s="462"/>
      <c r="G9" s="462"/>
      <c r="H9" s="462"/>
      <c r="I9" s="462"/>
      <c r="J9" s="462"/>
      <c r="K9" s="492"/>
    </row>
    <row r="10" spans="3:11" ht="97.5" customHeight="1">
      <c r="C10" s="361">
        <v>6</v>
      </c>
      <c r="D10" s="462"/>
      <c r="E10" s="462"/>
      <c r="F10" s="462"/>
      <c r="G10" s="462"/>
      <c r="H10" s="462"/>
      <c r="I10" s="462"/>
      <c r="J10" s="462"/>
      <c r="K10" s="492"/>
    </row>
    <row r="11" spans="3:11" ht="97.5" customHeight="1">
      <c r="C11" s="361">
        <v>7</v>
      </c>
      <c r="D11" s="462"/>
      <c r="E11" s="462"/>
      <c r="F11" s="462"/>
      <c r="G11" s="462"/>
      <c r="H11" s="462"/>
      <c r="I11" s="462"/>
      <c r="J11" s="462"/>
      <c r="K11" s="492"/>
    </row>
    <row r="12" spans="3:11" ht="97.5" customHeight="1">
      <c r="C12" s="361">
        <v>8</v>
      </c>
      <c r="D12" s="462"/>
      <c r="E12" s="462"/>
      <c r="F12" s="462"/>
      <c r="G12" s="462"/>
      <c r="H12" s="462"/>
      <c r="I12" s="462"/>
      <c r="J12" s="462"/>
      <c r="K12" s="492"/>
    </row>
    <row r="13" spans="3:11" ht="97.5" customHeight="1">
      <c r="C13" s="361">
        <v>9</v>
      </c>
      <c r="D13" s="462"/>
      <c r="E13" s="462"/>
      <c r="F13" s="462"/>
      <c r="G13" s="462"/>
      <c r="H13" s="462"/>
      <c r="I13" s="462"/>
      <c r="J13" s="462"/>
      <c r="K13" s="492"/>
    </row>
    <row r="14" spans="3:11" ht="97.5" customHeight="1">
      <c r="C14" s="361">
        <v>10</v>
      </c>
      <c r="D14" s="462"/>
      <c r="E14" s="462"/>
      <c r="F14" s="462"/>
      <c r="G14" s="462"/>
      <c r="H14" s="462"/>
      <c r="I14" s="462"/>
      <c r="J14" s="462"/>
      <c r="K14" s="492"/>
    </row>
    <row r="15" spans="3:11" ht="97.5" customHeight="1">
      <c r="C15" s="361">
        <v>11</v>
      </c>
      <c r="D15" s="462"/>
      <c r="E15" s="462"/>
      <c r="F15" s="462"/>
      <c r="G15" s="462"/>
      <c r="H15" s="462"/>
      <c r="I15" s="462"/>
      <c r="J15" s="462"/>
      <c r="K15" s="492"/>
    </row>
    <row r="16" spans="3:11" ht="97.5" customHeight="1">
      <c r="C16" s="361">
        <v>12</v>
      </c>
      <c r="D16" s="462"/>
      <c r="E16" s="462"/>
      <c r="F16" s="462"/>
      <c r="G16" s="462"/>
      <c r="H16" s="462"/>
      <c r="I16" s="462"/>
      <c r="J16" s="462"/>
      <c r="K16" s="492"/>
    </row>
    <row r="17" spans="3:11" ht="97.5" customHeight="1">
      <c r="C17" s="361">
        <v>13</v>
      </c>
      <c r="D17" s="462"/>
      <c r="E17" s="462"/>
      <c r="F17" s="462"/>
      <c r="G17" s="462"/>
      <c r="H17" s="462"/>
      <c r="I17" s="462"/>
      <c r="J17" s="462"/>
      <c r="K17" s="492"/>
    </row>
    <row r="18" spans="3:11" ht="97.5" customHeight="1">
      <c r="C18" s="361">
        <v>14</v>
      </c>
      <c r="D18" s="462"/>
      <c r="E18" s="462"/>
      <c r="F18" s="462"/>
      <c r="G18" s="462"/>
      <c r="H18" s="462"/>
      <c r="I18" s="462"/>
      <c r="J18" s="462"/>
      <c r="K18" s="492"/>
    </row>
    <row r="19" spans="3:11" ht="97.5" customHeight="1" thickBot="1">
      <c r="C19" s="362">
        <v>15</v>
      </c>
      <c r="D19" s="463"/>
      <c r="E19" s="463"/>
      <c r="F19" s="463"/>
      <c r="G19" s="463"/>
      <c r="H19" s="463"/>
      <c r="I19" s="463"/>
      <c r="J19" s="463"/>
      <c r="K19" s="49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E18" sqref="E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506" customFormat="1" ht="72.75" customHeight="1" thickTop="1">
      <c r="A4" s="503" t="s">
        <v>315</v>
      </c>
      <c r="B4" s="504" t="s">
        <v>369</v>
      </c>
      <c r="C4" s="504" t="s">
        <v>370</v>
      </c>
      <c r="D4" s="504" t="s">
        <v>379</v>
      </c>
      <c r="E4" s="504" t="s">
        <v>387</v>
      </c>
      <c r="F4" s="504" t="s">
        <v>386</v>
      </c>
      <c r="G4" s="504" t="s">
        <v>371</v>
      </c>
      <c r="H4" s="505" t="s">
        <v>361</v>
      </c>
      <c r="I4" s="504" t="s">
        <v>372</v>
      </c>
      <c r="J4" s="504" t="s">
        <v>373</v>
      </c>
      <c r="K4" s="504" t="s">
        <v>377</v>
      </c>
      <c r="L4" s="504" t="s">
        <v>376</v>
      </c>
      <c r="M4" s="504" t="s">
        <v>374</v>
      </c>
      <c r="N4" s="504" t="s">
        <v>367</v>
      </c>
      <c r="O4" s="505" t="s">
        <v>362</v>
      </c>
      <c r="P4" s="505" t="s">
        <v>363</v>
      </c>
      <c r="Q4" s="504" t="s">
        <v>375</v>
      </c>
      <c r="R4" s="504" t="s">
        <v>380</v>
      </c>
      <c r="S4" s="504" t="s">
        <v>381</v>
      </c>
      <c r="T4" s="505" t="s">
        <v>366</v>
      </c>
      <c r="U4" s="504" t="s">
        <v>378</v>
      </c>
      <c r="V4" s="505" t="s">
        <v>364</v>
      </c>
      <c r="W4" s="505" t="s">
        <v>365</v>
      </c>
      <c r="X4" s="505" t="s">
        <v>368</v>
      </c>
      <c r="Y4" s="504" t="s">
        <v>384</v>
      </c>
      <c r="Z4" s="504" t="s">
        <v>385</v>
      </c>
      <c r="AA4" s="504" t="s">
        <v>392</v>
      </c>
      <c r="AB4" s="504" t="s">
        <v>393</v>
      </c>
      <c r="AC4" s="504" t="s">
        <v>388</v>
      </c>
      <c r="AD4" s="504" t="s">
        <v>382</v>
      </c>
      <c r="AE4" s="504" t="s">
        <v>383</v>
      </c>
      <c r="AF4" s="504" t="s">
        <v>389</v>
      </c>
      <c r="AG4" s="505" t="s">
        <v>390</v>
      </c>
      <c r="AH4" s="516" t="s">
        <v>391</v>
      </c>
    </row>
    <row r="5" spans="1:34" ht="23.1" customHeight="1">
      <c r="A5" s="507" t="s">
        <v>236</v>
      </c>
      <c r="B5" s="462">
        <v>14.3</v>
      </c>
      <c r="C5" s="462">
        <v>64.8</v>
      </c>
      <c r="D5" s="514">
        <v>16.491080206622705</v>
      </c>
      <c r="E5" s="514">
        <v>48.308919793377292</v>
      </c>
      <c r="F5" s="514">
        <v>50.5</v>
      </c>
      <c r="G5" s="462">
        <v>200</v>
      </c>
      <c r="H5" s="462">
        <v>0.1</v>
      </c>
      <c r="I5" s="462">
        <v>500</v>
      </c>
      <c r="J5" s="462">
        <v>12</v>
      </c>
      <c r="K5" s="462">
        <v>130</v>
      </c>
      <c r="L5" s="514">
        <v>3.9890328339016063</v>
      </c>
      <c r="M5" s="462">
        <v>10</v>
      </c>
      <c r="N5" s="462">
        <v>485.7</v>
      </c>
      <c r="O5" s="512">
        <v>1.732</v>
      </c>
      <c r="P5" s="512">
        <v>1.5549999999999999</v>
      </c>
      <c r="Q5" s="512">
        <v>1.6435</v>
      </c>
      <c r="R5" s="462">
        <v>8.8969999999999994E-2</v>
      </c>
      <c r="S5" s="515">
        <v>3.2289999999999999E-4</v>
      </c>
      <c r="T5" s="512">
        <v>3.3800000000000002E-3</v>
      </c>
      <c r="U5" s="462">
        <v>0.58330000000000004</v>
      </c>
      <c r="V5" s="513">
        <v>43</v>
      </c>
      <c r="W5" s="513">
        <v>52.7</v>
      </c>
      <c r="X5" s="513">
        <v>81.7</v>
      </c>
      <c r="Y5" s="462">
        <v>-2.8094999999999999</v>
      </c>
      <c r="Z5" s="512">
        <v>1.66</v>
      </c>
      <c r="AA5" s="462">
        <v>149</v>
      </c>
      <c r="AB5" s="462">
        <v>133.96</v>
      </c>
      <c r="AC5" s="462">
        <v>81</v>
      </c>
      <c r="AD5" s="462">
        <v>21.13</v>
      </c>
      <c r="AE5" s="462">
        <v>44.94</v>
      </c>
      <c r="AF5" s="462">
        <v>6.0139999999999998E-4</v>
      </c>
      <c r="AG5" s="462">
        <v>0.21038480000000001</v>
      </c>
      <c r="AH5" s="517">
        <v>0.89261744966442957</v>
      </c>
    </row>
    <row r="6" spans="1:34" ht="23.1" customHeight="1">
      <c r="A6" s="507" t="s">
        <v>237</v>
      </c>
      <c r="B6" s="462">
        <v>14.9</v>
      </c>
      <c r="C6" s="462">
        <v>61.7</v>
      </c>
      <c r="D6" s="514">
        <v>17.057988721779331</v>
      </c>
      <c r="E6" s="514">
        <v>44.642011278220671</v>
      </c>
      <c r="F6" s="514">
        <v>46.800000000000004</v>
      </c>
      <c r="G6" s="462">
        <v>200</v>
      </c>
      <c r="H6" s="462">
        <v>0.1</v>
      </c>
      <c r="I6" s="462">
        <v>250</v>
      </c>
      <c r="J6" s="462">
        <v>12</v>
      </c>
      <c r="K6" s="462">
        <v>130</v>
      </c>
      <c r="L6" s="514">
        <v>3.7991159487113451</v>
      </c>
      <c r="M6" s="462">
        <v>7.5</v>
      </c>
      <c r="N6" s="462">
        <v>235.1</v>
      </c>
      <c r="O6" s="512">
        <v>1.877</v>
      </c>
      <c r="P6" s="512">
        <v>1.6819999999999999</v>
      </c>
      <c r="Q6" s="512">
        <v>1.7795000000000001</v>
      </c>
      <c r="R6" s="462">
        <v>9.2749999999999999E-2</v>
      </c>
      <c r="S6" s="515">
        <v>3.1720000000000001E-4</v>
      </c>
      <c r="T6" s="512">
        <v>7.5599999999999999E-3</v>
      </c>
      <c r="U6" s="462">
        <v>0.58330000000000004</v>
      </c>
      <c r="V6" s="513">
        <v>62.5</v>
      </c>
      <c r="W6" s="513">
        <v>76.5</v>
      </c>
      <c r="X6" s="513">
        <v>85.8</v>
      </c>
      <c r="Y6" s="462">
        <v>-2.8389000000000002</v>
      </c>
      <c r="Z6" s="512">
        <v>1.71</v>
      </c>
      <c r="AA6" s="462">
        <v>149</v>
      </c>
      <c r="AB6" s="462">
        <v>133.93</v>
      </c>
      <c r="AC6" s="462">
        <v>81</v>
      </c>
      <c r="AD6" s="462">
        <v>19.59</v>
      </c>
      <c r="AE6" s="462">
        <v>41.65</v>
      </c>
      <c r="AF6" s="462">
        <v>5.5579999999999996E-4</v>
      </c>
      <c r="AG6" s="462">
        <v>0.19516990000000001</v>
      </c>
      <c r="AH6" s="517">
        <v>0.89261744966442957</v>
      </c>
    </row>
    <row r="7" spans="1:34" ht="23.1" customHeight="1">
      <c r="A7" s="507" t="s">
        <v>238</v>
      </c>
      <c r="B7" s="462">
        <v>13.8</v>
      </c>
      <c r="C7" s="462">
        <v>62.4</v>
      </c>
      <c r="D7" s="514">
        <v>15.974338991033088</v>
      </c>
      <c r="E7" s="514">
        <v>46.425661008966912</v>
      </c>
      <c r="F7" s="514">
        <v>48.599999999999994</v>
      </c>
      <c r="G7" s="462">
        <v>200</v>
      </c>
      <c r="H7" s="462">
        <v>0.1</v>
      </c>
      <c r="I7" s="462">
        <v>250</v>
      </c>
      <c r="J7" s="462">
        <v>12</v>
      </c>
      <c r="K7" s="462">
        <v>130</v>
      </c>
      <c r="L7" s="514">
        <v>3.8914763181450334</v>
      </c>
      <c r="M7" s="462">
        <v>7.5</v>
      </c>
      <c r="N7" s="462">
        <v>236.2</v>
      </c>
      <c r="O7" s="512">
        <v>1.8029999999999999</v>
      </c>
      <c r="P7" s="512">
        <v>1.534</v>
      </c>
      <c r="Q7" s="512">
        <v>1.6684999999999999</v>
      </c>
      <c r="R7" s="462">
        <v>9.0880000000000002E-2</v>
      </c>
      <c r="S7" s="515">
        <v>3.2009999999999997E-4</v>
      </c>
      <c r="T7" s="512">
        <v>7.0600000000000003E-3</v>
      </c>
      <c r="U7" s="462">
        <v>0.58330000000000004</v>
      </c>
      <c r="V7" s="513">
        <v>61.2</v>
      </c>
      <c r="W7" s="513">
        <v>75</v>
      </c>
      <c r="X7" s="513">
        <v>82.7</v>
      </c>
      <c r="Y7" s="462">
        <v>-2.8243999999999998</v>
      </c>
      <c r="Z7" s="512">
        <v>1.6850000000000001</v>
      </c>
      <c r="AA7" s="462">
        <v>149</v>
      </c>
      <c r="AB7" s="462">
        <v>133.94</v>
      </c>
      <c r="AC7" s="462">
        <v>81</v>
      </c>
      <c r="AD7" s="462">
        <v>20.34</v>
      </c>
      <c r="AE7" s="462">
        <v>43.25</v>
      </c>
      <c r="AF7" s="462">
        <v>5.7790000000000001E-4</v>
      </c>
      <c r="AG7" s="462">
        <v>0.2025769</v>
      </c>
      <c r="AH7" s="517">
        <v>0.89261744966442957</v>
      </c>
    </row>
    <row r="8" spans="1:34" ht="23.1" customHeight="1">
      <c r="A8" s="507"/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  <c r="Q8" s="462"/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  <c r="AD8" s="462"/>
      <c r="AE8" s="462"/>
      <c r="AF8" s="462"/>
      <c r="AG8" s="462"/>
      <c r="AH8" s="508"/>
    </row>
    <row r="9" spans="1:34" ht="23.1" customHeight="1">
      <c r="A9" s="507"/>
      <c r="B9" s="462"/>
      <c r="C9" s="462"/>
      <c r="D9" s="462"/>
      <c r="E9" s="462"/>
      <c r="F9" s="462"/>
      <c r="G9" s="462"/>
      <c r="H9" s="462"/>
      <c r="I9" s="462"/>
      <c r="J9" s="462"/>
      <c r="K9" s="462"/>
      <c r="L9" s="462"/>
      <c r="M9" s="462"/>
      <c r="N9" s="462"/>
      <c r="O9" s="462"/>
      <c r="P9" s="462"/>
      <c r="Q9" s="462"/>
      <c r="R9" s="462"/>
      <c r="S9" s="462"/>
      <c r="T9" s="462"/>
      <c r="U9" s="462"/>
      <c r="V9" s="462"/>
      <c r="W9" s="462"/>
      <c r="X9" s="462"/>
      <c r="Y9" s="462"/>
      <c r="Z9" s="462"/>
      <c r="AA9" s="462"/>
      <c r="AB9" s="462"/>
      <c r="AC9" s="462"/>
      <c r="AD9" s="462"/>
      <c r="AE9" s="462"/>
      <c r="AF9" s="462"/>
      <c r="AG9" s="462"/>
      <c r="AH9" s="508"/>
    </row>
    <row r="10" spans="1:34" ht="23.1" customHeight="1">
      <c r="A10" s="507"/>
      <c r="B10" s="462"/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  <c r="AC10" s="462"/>
      <c r="AD10" s="462"/>
      <c r="AE10" s="462"/>
      <c r="AF10" s="462"/>
      <c r="AG10" s="462"/>
      <c r="AH10" s="508"/>
    </row>
    <row r="11" spans="1:34" ht="23.1" customHeight="1">
      <c r="A11" s="507"/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2"/>
      <c r="AH11" s="508"/>
    </row>
    <row r="12" spans="1:34" ht="23.1" customHeight="1">
      <c r="A12" s="507"/>
      <c r="B12" s="462"/>
      <c r="C12" s="462"/>
      <c r="D12" s="462"/>
      <c r="E12" s="462"/>
      <c r="F12" s="462"/>
      <c r="G12" s="462"/>
      <c r="H12" s="462"/>
      <c r="I12" s="462"/>
      <c r="J12" s="462"/>
      <c r="K12" s="462"/>
      <c r="L12" s="462"/>
      <c r="M12" s="462"/>
      <c r="N12" s="462"/>
      <c r="O12" s="462"/>
      <c r="P12" s="462"/>
      <c r="Q12" s="462"/>
      <c r="R12" s="462"/>
      <c r="S12" s="462"/>
      <c r="T12" s="462"/>
      <c r="U12" s="462"/>
      <c r="V12" s="462"/>
      <c r="W12" s="462"/>
      <c r="X12" s="462"/>
      <c r="Y12" s="462"/>
      <c r="Z12" s="462"/>
      <c r="AA12" s="462"/>
      <c r="AB12" s="462"/>
      <c r="AC12" s="462"/>
      <c r="AD12" s="462"/>
      <c r="AE12" s="462"/>
      <c r="AF12" s="462"/>
      <c r="AG12" s="462"/>
      <c r="AH12" s="508"/>
    </row>
    <row r="13" spans="1:34" ht="23.1" customHeight="1">
      <c r="A13" s="507"/>
      <c r="B13" s="462"/>
      <c r="C13" s="462"/>
      <c r="D13" s="462"/>
      <c r="E13" s="462"/>
      <c r="F13" s="462"/>
      <c r="G13" s="462"/>
      <c r="H13" s="462"/>
      <c r="I13" s="462"/>
      <c r="J13" s="462"/>
      <c r="K13" s="462"/>
      <c r="L13" s="462"/>
      <c r="M13" s="462"/>
      <c r="N13" s="462"/>
      <c r="O13" s="462"/>
      <c r="P13" s="462"/>
      <c r="Q13" s="462"/>
      <c r="R13" s="462"/>
      <c r="S13" s="462"/>
      <c r="T13" s="462"/>
      <c r="U13" s="462"/>
      <c r="V13" s="462"/>
      <c r="W13" s="462"/>
      <c r="X13" s="462"/>
      <c r="Y13" s="462"/>
      <c r="Z13" s="462"/>
      <c r="AA13" s="462"/>
      <c r="AB13" s="462"/>
      <c r="AC13" s="462"/>
      <c r="AD13" s="462"/>
      <c r="AE13" s="462"/>
      <c r="AF13" s="462"/>
      <c r="AG13" s="462"/>
      <c r="AH13" s="508"/>
    </row>
    <row r="14" spans="1:34" ht="23.1" customHeight="1">
      <c r="A14" s="507"/>
      <c r="B14" s="462"/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  <c r="Q14" s="462"/>
      <c r="R14" s="462"/>
      <c r="S14" s="462"/>
      <c r="T14" s="462"/>
      <c r="U14" s="462"/>
      <c r="V14" s="462"/>
      <c r="W14" s="462"/>
      <c r="X14" s="462"/>
      <c r="Y14" s="462"/>
      <c r="Z14" s="462"/>
      <c r="AA14" s="462"/>
      <c r="AB14" s="462"/>
      <c r="AC14" s="462"/>
      <c r="AD14" s="462"/>
      <c r="AE14" s="462"/>
      <c r="AF14" s="462"/>
      <c r="AG14" s="462"/>
      <c r="AH14" s="508"/>
    </row>
    <row r="15" spans="1:34" ht="23.1" customHeight="1">
      <c r="A15" s="507"/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62"/>
      <c r="Q15" s="462"/>
      <c r="R15" s="462"/>
      <c r="S15" s="462"/>
      <c r="T15" s="462"/>
      <c r="U15" s="462"/>
      <c r="V15" s="462"/>
      <c r="W15" s="462"/>
      <c r="X15" s="462"/>
      <c r="Y15" s="462"/>
      <c r="Z15" s="462"/>
      <c r="AA15" s="462"/>
      <c r="AB15" s="462"/>
      <c r="AC15" s="462"/>
      <c r="AD15" s="462"/>
      <c r="AE15" s="462"/>
      <c r="AF15" s="462"/>
      <c r="AG15" s="462"/>
      <c r="AH15" s="508"/>
    </row>
    <row r="16" spans="1:34" ht="23.1" customHeight="1">
      <c r="A16" s="507"/>
      <c r="B16" s="462"/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462"/>
      <c r="T16" s="462"/>
      <c r="U16" s="462"/>
      <c r="V16" s="462"/>
      <c r="W16" s="462"/>
      <c r="X16" s="462"/>
      <c r="Y16" s="462"/>
      <c r="Z16" s="462"/>
      <c r="AA16" s="462"/>
      <c r="AB16" s="462"/>
      <c r="AC16" s="462"/>
      <c r="AD16" s="462"/>
      <c r="AE16" s="462"/>
      <c r="AF16" s="462"/>
      <c r="AG16" s="462"/>
      <c r="AH16" s="508"/>
    </row>
    <row r="17" spans="1:34" ht="23.1" customHeight="1">
      <c r="A17" s="507"/>
      <c r="B17" s="462"/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  <c r="Q17" s="462"/>
      <c r="R17" s="462"/>
      <c r="S17" s="462"/>
      <c r="T17" s="462"/>
      <c r="U17" s="462"/>
      <c r="V17" s="462"/>
      <c r="W17" s="462"/>
      <c r="X17" s="462"/>
      <c r="Y17" s="462"/>
      <c r="Z17" s="462"/>
      <c r="AA17" s="462"/>
      <c r="AB17" s="462"/>
      <c r="AC17" s="462"/>
      <c r="AD17" s="462"/>
      <c r="AE17" s="462"/>
      <c r="AF17" s="462"/>
      <c r="AG17" s="462"/>
      <c r="AH17" s="508"/>
    </row>
    <row r="18" spans="1:34" ht="23.1" customHeight="1">
      <c r="A18" s="507"/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P18" s="462"/>
      <c r="Q18" s="462"/>
      <c r="R18" s="462"/>
      <c r="S18" s="462"/>
      <c r="T18" s="462"/>
      <c r="U18" s="462"/>
      <c r="V18" s="462"/>
      <c r="W18" s="462"/>
      <c r="X18" s="462"/>
      <c r="Y18" s="462"/>
      <c r="Z18" s="462"/>
      <c r="AA18" s="462"/>
      <c r="AB18" s="462"/>
      <c r="AC18" s="462"/>
      <c r="AD18" s="462"/>
      <c r="AE18" s="462"/>
      <c r="AF18" s="462"/>
      <c r="AG18" s="462"/>
      <c r="AH18" s="508"/>
    </row>
    <row r="19" spans="1:34" ht="23.1" customHeight="1" thickBot="1">
      <c r="A19" s="509"/>
      <c r="B19" s="510"/>
      <c r="C19" s="510"/>
      <c r="D19" s="510"/>
      <c r="E19" s="510"/>
      <c r="F19" s="510"/>
      <c r="G19" s="510"/>
      <c r="H19" s="510"/>
      <c r="I19" s="510"/>
      <c r="J19" s="510"/>
      <c r="K19" s="510"/>
      <c r="L19" s="510"/>
      <c r="M19" s="510"/>
      <c r="N19" s="510"/>
      <c r="O19" s="510"/>
      <c r="P19" s="510"/>
      <c r="Q19" s="510"/>
      <c r="R19" s="510"/>
      <c r="S19" s="510"/>
      <c r="T19" s="510"/>
      <c r="U19" s="510"/>
      <c r="V19" s="510"/>
      <c r="W19" s="510"/>
      <c r="X19" s="510"/>
      <c r="Y19" s="510"/>
      <c r="Z19" s="510"/>
      <c r="AA19" s="510"/>
      <c r="AB19" s="510"/>
      <c r="AC19" s="510"/>
      <c r="AD19" s="510"/>
      <c r="AE19" s="510"/>
      <c r="AF19" s="510"/>
      <c r="AG19" s="510"/>
      <c r="AH19" s="511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L16" sqref="L16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280</v>
      </c>
      <c r="J1" s="68"/>
    </row>
    <row r="2" spans="1:18" s="77" customFormat="1" ht="23.1" customHeight="1">
      <c r="A2" s="581" t="s">
        <v>0</v>
      </c>
      <c r="B2" s="582" t="s">
        <v>39</v>
      </c>
      <c r="C2" s="582" t="s">
        <v>6</v>
      </c>
      <c r="D2" s="582" t="s">
        <v>38</v>
      </c>
      <c r="E2" s="582" t="s">
        <v>207</v>
      </c>
      <c r="F2" s="582" t="s">
        <v>206</v>
      </c>
      <c r="G2" s="583" t="s">
        <v>1</v>
      </c>
      <c r="H2" s="583" t="s">
        <v>2</v>
      </c>
      <c r="I2" s="583" t="s">
        <v>175</v>
      </c>
      <c r="J2" s="584" t="s">
        <v>289</v>
      </c>
      <c r="K2" s="583" t="s">
        <v>288</v>
      </c>
      <c r="L2" s="583" t="s">
        <v>3</v>
      </c>
      <c r="M2" s="583" t="s">
        <v>4</v>
      </c>
      <c r="N2" s="583" t="s">
        <v>5</v>
      </c>
      <c r="O2" s="583" t="s">
        <v>287</v>
      </c>
      <c r="P2" s="585" t="s">
        <v>286</v>
      </c>
      <c r="Q2" s="582" t="s">
        <v>161</v>
      </c>
      <c r="R2" s="586" t="s">
        <v>93</v>
      </c>
    </row>
    <row r="3" spans="1:18" s="77" customFormat="1" ht="27" customHeight="1">
      <c r="A3" s="587"/>
      <c r="B3" s="588"/>
      <c r="C3" s="588"/>
      <c r="D3" s="588"/>
      <c r="E3" s="588"/>
      <c r="F3" s="588"/>
      <c r="G3" s="589"/>
      <c r="H3" s="589"/>
      <c r="I3" s="589"/>
      <c r="J3" s="590"/>
      <c r="K3" s="589"/>
      <c r="L3" s="589"/>
      <c r="M3" s="589"/>
      <c r="N3" s="589"/>
      <c r="O3" s="589"/>
      <c r="P3" s="591"/>
      <c r="Q3" s="588"/>
      <c r="R3" s="592"/>
    </row>
    <row r="4" spans="1:18" ht="23.1" customHeight="1">
      <c r="A4" s="593" t="s">
        <v>266</v>
      </c>
      <c r="B4" s="594" t="s">
        <v>233</v>
      </c>
      <c r="C4" s="595"/>
      <c r="D4" s="594" t="s">
        <v>278</v>
      </c>
      <c r="E4" s="594" t="s">
        <v>279</v>
      </c>
      <c r="F4" s="594" t="s">
        <v>234</v>
      </c>
      <c r="G4" s="594">
        <v>200</v>
      </c>
      <c r="H4" s="594">
        <v>500</v>
      </c>
      <c r="I4" s="594">
        <v>130</v>
      </c>
      <c r="J4" s="594">
        <v>143</v>
      </c>
      <c r="K4" s="594">
        <v>143</v>
      </c>
      <c r="L4" s="594">
        <v>10</v>
      </c>
      <c r="M4" s="594">
        <v>200</v>
      </c>
      <c r="N4" s="596">
        <v>50</v>
      </c>
      <c r="O4" s="597">
        <v>172.8</v>
      </c>
      <c r="P4" s="598">
        <v>3059068</v>
      </c>
      <c r="Q4" s="594"/>
      <c r="R4" s="599"/>
    </row>
    <row r="5" spans="1:18" ht="23.1" customHeight="1">
      <c r="A5" s="593" t="s">
        <v>276</v>
      </c>
      <c r="B5" s="594" t="s">
        <v>233</v>
      </c>
      <c r="C5" s="595"/>
      <c r="D5" s="594" t="s">
        <v>278</v>
      </c>
      <c r="E5" s="594" t="s">
        <v>279</v>
      </c>
      <c r="F5" s="594" t="s">
        <v>234</v>
      </c>
      <c r="G5" s="594">
        <v>200</v>
      </c>
      <c r="H5" s="594">
        <v>250</v>
      </c>
      <c r="I5" s="594">
        <v>130</v>
      </c>
      <c r="J5" s="594">
        <v>143</v>
      </c>
      <c r="K5" s="594">
        <v>143</v>
      </c>
      <c r="L5" s="594">
        <v>7.5</v>
      </c>
      <c r="M5" s="594">
        <v>150</v>
      </c>
      <c r="N5" s="596">
        <v>40</v>
      </c>
      <c r="O5" s="597">
        <v>172.8</v>
      </c>
      <c r="P5" s="598">
        <v>3059068</v>
      </c>
      <c r="Q5" s="594"/>
      <c r="R5" s="599"/>
    </row>
    <row r="6" spans="1:18" ht="23.1" customHeight="1" thickBot="1">
      <c r="A6" s="600" t="s">
        <v>277</v>
      </c>
      <c r="B6" s="601" t="s">
        <v>233</v>
      </c>
      <c r="C6" s="602"/>
      <c r="D6" s="601" t="s">
        <v>278</v>
      </c>
      <c r="E6" s="601" t="s">
        <v>279</v>
      </c>
      <c r="F6" s="601" t="s">
        <v>234</v>
      </c>
      <c r="G6" s="601">
        <v>200</v>
      </c>
      <c r="H6" s="601">
        <v>250</v>
      </c>
      <c r="I6" s="601">
        <v>130</v>
      </c>
      <c r="J6" s="601">
        <v>143</v>
      </c>
      <c r="K6" s="601">
        <v>143</v>
      </c>
      <c r="L6" s="601">
        <v>7.5</v>
      </c>
      <c r="M6" s="601">
        <v>150</v>
      </c>
      <c r="N6" s="603">
        <v>40</v>
      </c>
      <c r="O6" s="604">
        <v>172.8</v>
      </c>
      <c r="P6" s="605">
        <v>3059068</v>
      </c>
      <c r="Q6" s="601"/>
      <c r="R6" s="606"/>
    </row>
    <row r="7" spans="1:18" ht="23.25" customHeight="1" thickBot="1">
      <c r="A7" s="322"/>
      <c r="J7" s="363"/>
      <c r="P7" s="364"/>
    </row>
    <row r="8" spans="1:18" ht="23.25" customHeight="1" thickBot="1">
      <c r="I8" s="385">
        <f>SUM(I4:I7)</f>
        <v>390</v>
      </c>
    </row>
    <row r="12" spans="1:18">
      <c r="Q12" s="37" t="s">
        <v>359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24" sqref="M24:O2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65" t="s">
        <v>212</v>
      </c>
      <c r="H2" s="466" t="s">
        <v>209</v>
      </c>
      <c r="I2" s="467" t="s">
        <v>218</v>
      </c>
      <c r="J2" s="466" t="s">
        <v>210</v>
      </c>
      <c r="K2" s="468" t="s">
        <v>211</v>
      </c>
      <c r="M2" s="471"/>
      <c r="N2" s="472" t="s">
        <v>216</v>
      </c>
      <c r="O2" s="468" t="s">
        <v>217</v>
      </c>
      <c r="Q2" s="465" t="s">
        <v>212</v>
      </c>
      <c r="R2" s="472" t="s">
        <v>220</v>
      </c>
      <c r="S2" s="468" t="s">
        <v>221</v>
      </c>
    </row>
    <row r="3" spans="7:19" ht="20.100000000000001" customHeight="1">
      <c r="G3" s="443" t="s">
        <v>236</v>
      </c>
      <c r="H3" s="431">
        <v>149</v>
      </c>
      <c r="I3" s="469">
        <v>133.96</v>
      </c>
      <c r="J3" s="431">
        <v>130</v>
      </c>
      <c r="K3" s="470">
        <v>0.89261744966442957</v>
      </c>
      <c r="M3" s="473" t="s">
        <v>211</v>
      </c>
      <c r="N3" s="474">
        <v>0.89261744966442957</v>
      </c>
      <c r="O3" s="475">
        <v>0.89261744966442957</v>
      </c>
      <c r="Q3" s="481" t="s">
        <v>236</v>
      </c>
      <c r="R3" s="482">
        <v>6.0139999999999998E-4</v>
      </c>
      <c r="S3" s="483">
        <v>0.21038480000000001</v>
      </c>
    </row>
    <row r="4" spans="7:19" ht="20.100000000000001" customHeight="1">
      <c r="G4" s="443" t="s">
        <v>237</v>
      </c>
      <c r="H4" s="431">
        <v>149</v>
      </c>
      <c r="I4" s="469">
        <v>133.93</v>
      </c>
      <c r="J4" s="431">
        <v>130</v>
      </c>
      <c r="K4" s="470">
        <v>0.89261744966442957</v>
      </c>
      <c r="M4" s="473" t="s">
        <v>218</v>
      </c>
      <c r="N4" s="476">
        <v>133.93</v>
      </c>
      <c r="O4" s="477">
        <v>133.96</v>
      </c>
      <c r="Q4" s="481" t="s">
        <v>237</v>
      </c>
      <c r="R4" s="482">
        <v>5.5579999999999996E-4</v>
      </c>
      <c r="S4" s="483">
        <v>0.19516990000000001</v>
      </c>
    </row>
    <row r="5" spans="7:19" ht="20.100000000000001" customHeight="1" thickBot="1">
      <c r="G5" s="443" t="s">
        <v>238</v>
      </c>
      <c r="H5" s="431">
        <v>149</v>
      </c>
      <c r="I5" s="469">
        <v>133.94</v>
      </c>
      <c r="J5" s="431">
        <v>130</v>
      </c>
      <c r="K5" s="470">
        <v>0.89261744966442957</v>
      </c>
      <c r="M5" s="478" t="s">
        <v>219</v>
      </c>
      <c r="N5" s="479">
        <v>130</v>
      </c>
      <c r="O5" s="480">
        <v>130</v>
      </c>
      <c r="Q5" s="481" t="s">
        <v>238</v>
      </c>
      <c r="R5" s="482">
        <v>5.7790000000000001E-4</v>
      </c>
      <c r="S5" s="483">
        <v>0.2025769</v>
      </c>
    </row>
    <row r="6" spans="7:19" ht="20.100000000000001" customHeight="1">
      <c r="G6" s="443"/>
      <c r="H6" s="431"/>
      <c r="I6" s="431"/>
      <c r="J6" s="431"/>
      <c r="K6" s="432"/>
      <c r="Q6" s="481"/>
      <c r="R6" s="482"/>
      <c r="S6" s="483"/>
    </row>
    <row r="7" spans="7:19" ht="20.100000000000001" customHeight="1">
      <c r="G7" s="443"/>
      <c r="H7" s="431"/>
      <c r="I7" s="431"/>
      <c r="J7" s="431"/>
      <c r="K7" s="432"/>
      <c r="Q7" s="481"/>
      <c r="R7" s="482"/>
      <c r="S7" s="483"/>
    </row>
    <row r="8" spans="7:19" ht="20.100000000000001" customHeight="1">
      <c r="G8" s="443"/>
      <c r="H8" s="431"/>
      <c r="I8" s="431"/>
      <c r="J8" s="431"/>
      <c r="K8" s="432"/>
      <c r="Q8" s="443"/>
      <c r="R8" s="431"/>
      <c r="S8" s="432"/>
    </row>
    <row r="9" spans="7:19" ht="20.100000000000001" customHeight="1">
      <c r="G9" s="443"/>
      <c r="H9" s="431"/>
      <c r="I9" s="431"/>
      <c r="J9" s="431"/>
      <c r="K9" s="432"/>
      <c r="Q9" s="443"/>
      <c r="R9" s="431"/>
      <c r="S9" s="432"/>
    </row>
    <row r="10" spans="7:19" ht="20.100000000000001" customHeight="1">
      <c r="G10" s="443"/>
      <c r="H10" s="431"/>
      <c r="I10" s="431"/>
      <c r="J10" s="431"/>
      <c r="K10" s="432"/>
      <c r="Q10" s="443"/>
      <c r="R10" s="431"/>
      <c r="S10" s="432"/>
    </row>
    <row r="11" spans="7:19" ht="20.100000000000001" customHeight="1">
      <c r="G11" s="443"/>
      <c r="H11" s="431"/>
      <c r="I11" s="431"/>
      <c r="J11" s="431"/>
      <c r="K11" s="432"/>
      <c r="Q11" s="443"/>
      <c r="R11" s="431"/>
      <c r="S11" s="432"/>
    </row>
    <row r="12" spans="7:19" ht="20.100000000000001" customHeight="1">
      <c r="G12" s="443"/>
      <c r="H12" s="431"/>
      <c r="I12" s="431"/>
      <c r="J12" s="431"/>
      <c r="K12" s="432"/>
      <c r="Q12" s="443"/>
      <c r="R12" s="431"/>
      <c r="S12" s="432"/>
    </row>
    <row r="13" spans="7:19" ht="20.100000000000001" customHeight="1">
      <c r="G13" s="443"/>
      <c r="H13" s="431"/>
      <c r="I13" s="431"/>
      <c r="J13" s="431"/>
      <c r="K13" s="432"/>
      <c r="Q13" s="443"/>
      <c r="R13" s="431"/>
      <c r="S13" s="432"/>
    </row>
    <row r="14" spans="7:19" ht="20.100000000000001" customHeight="1">
      <c r="G14" s="443"/>
      <c r="H14" s="431"/>
      <c r="I14" s="431"/>
      <c r="J14" s="431"/>
      <c r="K14" s="432"/>
      <c r="Q14" s="443"/>
      <c r="R14" s="431"/>
      <c r="S14" s="432"/>
    </row>
    <row r="15" spans="7:19" ht="20.100000000000001" customHeight="1">
      <c r="G15" s="443"/>
      <c r="H15" s="431"/>
      <c r="I15" s="431"/>
      <c r="J15" s="431"/>
      <c r="K15" s="432"/>
      <c r="Q15" s="443"/>
      <c r="R15" s="431"/>
      <c r="S15" s="432"/>
    </row>
    <row r="16" spans="7:19" ht="20.100000000000001" customHeight="1">
      <c r="G16" s="443"/>
      <c r="H16" s="431"/>
      <c r="I16" s="431"/>
      <c r="J16" s="431"/>
      <c r="K16" s="432"/>
      <c r="Q16" s="443"/>
      <c r="R16" s="431"/>
      <c r="S16" s="432"/>
    </row>
    <row r="17" spans="6:19" ht="20.100000000000001" customHeight="1">
      <c r="G17" s="443"/>
      <c r="H17" s="431"/>
      <c r="I17" s="431"/>
      <c r="J17" s="431"/>
      <c r="K17" s="432"/>
      <c r="Q17" s="443"/>
      <c r="R17" s="431"/>
      <c r="S17" s="432"/>
    </row>
    <row r="18" spans="6:19" ht="20.100000000000001" customHeight="1">
      <c r="G18" s="443"/>
      <c r="H18" s="431"/>
      <c r="I18" s="431"/>
      <c r="J18" s="431"/>
      <c r="K18" s="432"/>
      <c r="Q18" s="443"/>
      <c r="R18" s="431"/>
      <c r="S18" s="432"/>
    </row>
    <row r="19" spans="6:19" ht="20.100000000000001" customHeight="1" thickBot="1">
      <c r="G19" s="445"/>
      <c r="H19" s="382"/>
      <c r="I19" s="382"/>
      <c r="J19" s="382"/>
      <c r="K19" s="383"/>
      <c r="Q19" s="445"/>
      <c r="R19" s="382"/>
      <c r="S19" s="383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469">
        <v>133.96</v>
      </c>
      <c r="N23" s="469">
        <v>133.93</v>
      </c>
      <c r="O23" s="469">
        <v>133.94</v>
      </c>
      <c r="P23" s="330">
        <v>124.10752425577586</v>
      </c>
      <c r="Q23" s="331">
        <v>155.45958109179159</v>
      </c>
      <c r="R23" s="328"/>
      <c r="S23" s="328"/>
    </row>
    <row r="24" spans="6:19" ht="20.100000000000001" customHeight="1">
      <c r="M24" s="431">
        <v>130</v>
      </c>
      <c r="N24" s="431">
        <v>130</v>
      </c>
      <c r="O24" s="431">
        <v>130</v>
      </c>
      <c r="P24" s="333">
        <v>120</v>
      </c>
      <c r="Q24" s="332">
        <v>150</v>
      </c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334" t="s">
        <v>249</v>
      </c>
      <c r="H26" s="335"/>
      <c r="I26" s="336"/>
    </row>
    <row r="27" spans="6:19" ht="15.95" customHeight="1">
      <c r="F27" s="535" t="s">
        <v>236</v>
      </c>
      <c r="G27" s="533">
        <v>149</v>
      </c>
      <c r="H27" s="484">
        <v>44.94</v>
      </c>
      <c r="I27" s="534">
        <v>133.96</v>
      </c>
    </row>
    <row r="28" spans="6:19" ht="15.95" customHeight="1">
      <c r="F28" s="527"/>
      <c r="G28" s="528"/>
      <c r="H28" s="431">
        <v>21.13</v>
      </c>
      <c r="I28" s="529"/>
      <c r="K28" s="37"/>
    </row>
    <row r="29" spans="6:19" ht="15.95" customHeight="1">
      <c r="F29" s="527" t="s">
        <v>237</v>
      </c>
      <c r="G29" s="528">
        <v>149</v>
      </c>
      <c r="H29" s="431">
        <v>41.65</v>
      </c>
      <c r="I29" s="529">
        <v>133.93</v>
      </c>
    </row>
    <row r="30" spans="6:19" ht="15.95" customHeight="1">
      <c r="F30" s="527"/>
      <c r="G30" s="528"/>
      <c r="H30" s="431">
        <v>19.59</v>
      </c>
      <c r="I30" s="529"/>
    </row>
    <row r="31" spans="6:19" ht="15.95" customHeight="1">
      <c r="F31" s="527" t="s">
        <v>238</v>
      </c>
      <c r="G31" s="528">
        <v>149</v>
      </c>
      <c r="H31" s="431">
        <v>43.25</v>
      </c>
      <c r="I31" s="529">
        <v>133.94</v>
      </c>
    </row>
    <row r="32" spans="6:19" ht="15.95" customHeight="1">
      <c r="F32" s="527"/>
      <c r="G32" s="528"/>
      <c r="H32" s="431">
        <v>20.34</v>
      </c>
      <c r="I32" s="529"/>
    </row>
    <row r="33" spans="6:9" ht="15.95" customHeight="1">
      <c r="F33" s="527"/>
      <c r="G33" s="528"/>
      <c r="H33" s="431"/>
      <c r="I33" s="529"/>
    </row>
    <row r="34" spans="6:9" ht="15.95" customHeight="1">
      <c r="F34" s="527"/>
      <c r="G34" s="528"/>
      <c r="H34" s="431"/>
      <c r="I34" s="529"/>
    </row>
    <row r="35" spans="6:9" ht="15.95" customHeight="1">
      <c r="F35" s="527"/>
      <c r="G35" s="528"/>
      <c r="H35" s="431"/>
      <c r="I35" s="529"/>
    </row>
    <row r="36" spans="6:9" ht="15.95" customHeight="1">
      <c r="F36" s="527"/>
      <c r="G36" s="528"/>
      <c r="H36" s="431"/>
      <c r="I36" s="529"/>
    </row>
    <row r="37" spans="6:9" ht="15.95" customHeight="1">
      <c r="F37" s="527"/>
      <c r="G37" s="528"/>
      <c r="H37" s="431"/>
      <c r="I37" s="529"/>
    </row>
    <row r="38" spans="6:9" ht="15.95" customHeight="1">
      <c r="F38" s="527"/>
      <c r="G38" s="528"/>
      <c r="H38" s="431"/>
      <c r="I38" s="529"/>
    </row>
    <row r="39" spans="6:9" ht="15.95" customHeight="1">
      <c r="F39" s="527"/>
      <c r="G39" s="528"/>
      <c r="H39" s="431"/>
      <c r="I39" s="529"/>
    </row>
    <row r="40" spans="6:9" ht="15.95" customHeight="1">
      <c r="F40" s="527"/>
      <c r="G40" s="528"/>
      <c r="H40" s="431"/>
      <c r="I40" s="529"/>
    </row>
    <row r="41" spans="6:9" ht="15.95" customHeight="1">
      <c r="F41" s="527"/>
      <c r="G41" s="528"/>
      <c r="H41" s="431"/>
      <c r="I41" s="529"/>
    </row>
    <row r="42" spans="6:9" ht="15.95" customHeight="1">
      <c r="F42" s="527"/>
      <c r="G42" s="528"/>
      <c r="H42" s="431"/>
      <c r="I42" s="529"/>
    </row>
    <row r="43" spans="6:9" ht="15.95" customHeight="1">
      <c r="F43" s="527"/>
      <c r="G43" s="528"/>
      <c r="H43" s="431"/>
      <c r="I43" s="529"/>
    </row>
    <row r="44" spans="6:9" ht="15.95" customHeight="1">
      <c r="F44" s="527"/>
      <c r="G44" s="528"/>
      <c r="H44" s="431"/>
      <c r="I44" s="529"/>
    </row>
    <row r="45" spans="6:9" ht="15.95" customHeight="1">
      <c r="F45" s="527"/>
      <c r="G45" s="528"/>
      <c r="H45" s="431"/>
      <c r="I45" s="529"/>
    </row>
    <row r="46" spans="6:9" ht="15.95" customHeight="1">
      <c r="F46" s="527"/>
      <c r="G46" s="528"/>
      <c r="H46" s="431"/>
      <c r="I46" s="529"/>
    </row>
    <row r="47" spans="6:9" ht="15.95" customHeight="1">
      <c r="F47" s="527"/>
      <c r="G47" s="528"/>
      <c r="H47" s="431"/>
      <c r="I47" s="529"/>
    </row>
    <row r="48" spans="6:9" ht="15.95" customHeight="1">
      <c r="F48" s="527"/>
      <c r="G48" s="528"/>
      <c r="H48" s="431"/>
      <c r="I48" s="529"/>
    </row>
    <row r="49" spans="6:9" ht="15.95" customHeight="1">
      <c r="F49" s="527"/>
      <c r="G49" s="528"/>
      <c r="H49" s="431"/>
      <c r="I49" s="529"/>
    </row>
    <row r="50" spans="6:9" ht="15.95" customHeight="1" thickBot="1">
      <c r="F50" s="530"/>
      <c r="G50" s="531"/>
      <c r="H50" s="382"/>
      <c r="I50" s="532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37" t="s">
        <v>360</v>
      </c>
      <c r="L1" s="337" t="s">
        <v>244</v>
      </c>
      <c r="S1" s="337" t="s">
        <v>245</v>
      </c>
    </row>
    <row r="2" spans="4:21" ht="36.75" customHeight="1">
      <c r="D2" s="440" t="s">
        <v>222</v>
      </c>
      <c r="E2" s="441" t="s">
        <v>219</v>
      </c>
      <c r="F2" s="441" t="s">
        <v>226</v>
      </c>
      <c r="G2" s="441" t="s">
        <v>227</v>
      </c>
      <c r="H2" s="441" t="s">
        <v>166</v>
      </c>
      <c r="I2" s="441" t="s">
        <v>228</v>
      </c>
      <c r="J2" s="442" t="s">
        <v>229</v>
      </c>
      <c r="L2" s="440" t="s">
        <v>219</v>
      </c>
      <c r="M2" s="441" t="s">
        <v>223</v>
      </c>
      <c r="N2" s="441" t="s">
        <v>224</v>
      </c>
      <c r="O2" s="441" t="s">
        <v>225</v>
      </c>
      <c r="P2" s="441" t="s">
        <v>247</v>
      </c>
      <c r="Q2" s="442" t="s">
        <v>248</v>
      </c>
      <c r="S2" s="440" t="s">
        <v>227</v>
      </c>
      <c r="T2" s="441" t="s">
        <v>230</v>
      </c>
      <c r="U2" s="442" t="s">
        <v>231</v>
      </c>
    </row>
    <row r="3" spans="4:21" ht="20.100000000000001" customHeight="1">
      <c r="D3" s="443" t="s">
        <v>236</v>
      </c>
      <c r="E3" s="431">
        <v>130</v>
      </c>
      <c r="F3" s="431">
        <v>14.3</v>
      </c>
      <c r="G3" s="431">
        <v>64.8</v>
      </c>
      <c r="H3" s="431">
        <v>50.5</v>
      </c>
      <c r="I3" s="431">
        <v>0.1</v>
      </c>
      <c r="J3" s="444">
        <v>3.9890328339016063</v>
      </c>
      <c r="K3" s="37"/>
      <c r="L3" s="443">
        <v>130</v>
      </c>
      <c r="M3" s="431">
        <v>0.1</v>
      </c>
      <c r="N3" s="431">
        <v>0.1</v>
      </c>
      <c r="O3" s="431">
        <v>485.7</v>
      </c>
      <c r="P3" s="431">
        <v>1.732</v>
      </c>
      <c r="Q3" s="432">
        <v>8.8969999999999994E-2</v>
      </c>
      <c r="S3" s="447">
        <v>64.8</v>
      </c>
      <c r="T3" s="448">
        <v>16.491080206622705</v>
      </c>
      <c r="U3" s="444">
        <v>48.308919793377292</v>
      </c>
    </row>
    <row r="4" spans="4:21" ht="20.100000000000001" customHeight="1">
      <c r="D4" s="443" t="s">
        <v>237</v>
      </c>
      <c r="E4" s="431">
        <v>130</v>
      </c>
      <c r="F4" s="431">
        <v>14.9</v>
      </c>
      <c r="G4" s="431">
        <v>61.7</v>
      </c>
      <c r="H4" s="431">
        <v>46.800000000000004</v>
      </c>
      <c r="I4" s="431">
        <v>0.1</v>
      </c>
      <c r="J4" s="444">
        <v>3.7991159487113451</v>
      </c>
      <c r="K4" s="37"/>
      <c r="L4" s="443">
        <v>130</v>
      </c>
      <c r="M4" s="431">
        <v>0.1</v>
      </c>
      <c r="N4" s="431">
        <v>0.1</v>
      </c>
      <c r="O4" s="431">
        <v>235.1</v>
      </c>
      <c r="P4" s="431">
        <v>1.877</v>
      </c>
      <c r="Q4" s="432">
        <v>9.2749999999999999E-2</v>
      </c>
      <c r="S4" s="447">
        <v>61.7</v>
      </c>
      <c r="T4" s="448">
        <v>17.057988721779331</v>
      </c>
      <c r="U4" s="444">
        <v>44.642011278220671</v>
      </c>
    </row>
    <row r="5" spans="4:21" ht="20.100000000000001" customHeight="1">
      <c r="D5" s="443" t="s">
        <v>238</v>
      </c>
      <c r="E5" s="431">
        <v>130</v>
      </c>
      <c r="F5" s="431">
        <v>13.8</v>
      </c>
      <c r="G5" s="431">
        <v>62.4</v>
      </c>
      <c r="H5" s="431">
        <v>48.599999999999994</v>
      </c>
      <c r="I5" s="431">
        <v>0.1</v>
      </c>
      <c r="J5" s="444">
        <v>3.8914763181450334</v>
      </c>
      <c r="K5" s="37"/>
      <c r="L5" s="443">
        <v>130</v>
      </c>
      <c r="M5" s="431">
        <v>0.1</v>
      </c>
      <c r="N5" s="431">
        <v>0.1</v>
      </c>
      <c r="O5" s="431">
        <v>236.2</v>
      </c>
      <c r="P5" s="431">
        <v>1.8029999999999999</v>
      </c>
      <c r="Q5" s="432">
        <v>9.0880000000000002E-2</v>
      </c>
      <c r="S5" s="447">
        <v>62.4</v>
      </c>
      <c r="T5" s="448">
        <v>15.974338991033088</v>
      </c>
      <c r="U5" s="444">
        <v>46.425661008966912</v>
      </c>
    </row>
    <row r="6" spans="4:21" ht="20.100000000000001" customHeight="1">
      <c r="D6" s="443"/>
      <c r="E6" s="431"/>
      <c r="F6" s="431"/>
      <c r="G6" s="431"/>
      <c r="H6" s="431"/>
      <c r="I6" s="431"/>
      <c r="J6" s="444"/>
      <c r="K6" s="37"/>
      <c r="L6" s="443"/>
      <c r="M6" s="431"/>
      <c r="N6" s="431"/>
      <c r="O6" s="431"/>
      <c r="P6" s="431"/>
      <c r="Q6" s="432"/>
      <c r="S6" s="447"/>
      <c r="T6" s="448"/>
      <c r="U6" s="444"/>
    </row>
    <row r="7" spans="4:21" ht="20.100000000000001" customHeight="1">
      <c r="D7" s="443"/>
      <c r="E7" s="431"/>
      <c r="F7" s="431"/>
      <c r="G7" s="431"/>
      <c r="H7" s="431"/>
      <c r="I7" s="431"/>
      <c r="J7" s="444"/>
      <c r="K7" s="37"/>
      <c r="L7" s="443"/>
      <c r="M7" s="431"/>
      <c r="N7" s="431"/>
      <c r="O7" s="431"/>
      <c r="P7" s="431"/>
      <c r="Q7" s="432"/>
      <c r="S7" s="447"/>
      <c r="T7" s="448"/>
      <c r="U7" s="444"/>
    </row>
    <row r="8" spans="4:21" ht="20.100000000000001" customHeight="1">
      <c r="D8" s="443"/>
      <c r="E8" s="431"/>
      <c r="F8" s="431"/>
      <c r="G8" s="431"/>
      <c r="H8" s="431"/>
      <c r="I8" s="431"/>
      <c r="J8" s="444"/>
      <c r="K8" s="37"/>
      <c r="L8" s="443"/>
      <c r="M8" s="431"/>
      <c r="N8" s="431"/>
      <c r="O8" s="431"/>
      <c r="P8" s="431"/>
      <c r="Q8" s="432"/>
      <c r="S8" s="443"/>
      <c r="T8" s="448"/>
      <c r="U8" s="444"/>
    </row>
    <row r="9" spans="4:21" ht="20.100000000000001" customHeight="1">
      <c r="D9" s="443"/>
      <c r="E9" s="431"/>
      <c r="F9" s="431"/>
      <c r="G9" s="431"/>
      <c r="H9" s="431"/>
      <c r="I9" s="431"/>
      <c r="J9" s="444"/>
      <c r="K9" s="37"/>
      <c r="L9" s="443"/>
      <c r="M9" s="431"/>
      <c r="N9" s="431"/>
      <c r="O9" s="431"/>
      <c r="P9" s="431"/>
      <c r="Q9" s="432"/>
      <c r="S9" s="443"/>
      <c r="T9" s="448"/>
      <c r="U9" s="444"/>
    </row>
    <row r="10" spans="4:21" ht="20.100000000000001" customHeight="1">
      <c r="D10" s="443"/>
      <c r="E10" s="431"/>
      <c r="F10" s="431"/>
      <c r="G10" s="431"/>
      <c r="H10" s="431"/>
      <c r="I10" s="431"/>
      <c r="J10" s="444"/>
      <c r="K10" s="37"/>
      <c r="L10" s="443"/>
      <c r="M10" s="431"/>
      <c r="N10" s="431"/>
      <c r="O10" s="431"/>
      <c r="P10" s="431"/>
      <c r="Q10" s="432"/>
      <c r="S10" s="443"/>
      <c r="T10" s="448"/>
      <c r="U10" s="444"/>
    </row>
    <row r="11" spans="4:21" ht="20.100000000000001" customHeight="1">
      <c r="D11" s="443"/>
      <c r="E11" s="431"/>
      <c r="F11" s="431"/>
      <c r="G11" s="431"/>
      <c r="H11" s="431"/>
      <c r="I11" s="431"/>
      <c r="J11" s="444"/>
      <c r="K11" s="37"/>
      <c r="L11" s="443"/>
      <c r="M11" s="431"/>
      <c r="N11" s="431"/>
      <c r="O11" s="431"/>
      <c r="P11" s="431"/>
      <c r="Q11" s="432"/>
      <c r="S11" s="443"/>
      <c r="T11" s="448"/>
      <c r="U11" s="444"/>
    </row>
    <row r="12" spans="4:21" ht="20.100000000000001" customHeight="1">
      <c r="D12" s="443"/>
      <c r="E12" s="431"/>
      <c r="F12" s="431"/>
      <c r="G12" s="431"/>
      <c r="H12" s="431"/>
      <c r="I12" s="431"/>
      <c r="J12" s="444"/>
      <c r="K12" s="37"/>
      <c r="L12" s="443"/>
      <c r="M12" s="431"/>
      <c r="N12" s="431"/>
      <c r="O12" s="431"/>
      <c r="P12" s="431"/>
      <c r="Q12" s="432"/>
      <c r="S12" s="443"/>
      <c r="T12" s="448"/>
      <c r="U12" s="444"/>
    </row>
    <row r="13" spans="4:21" ht="20.100000000000001" customHeight="1">
      <c r="D13" s="443"/>
      <c r="E13" s="431"/>
      <c r="F13" s="431"/>
      <c r="G13" s="431"/>
      <c r="H13" s="431"/>
      <c r="I13" s="431"/>
      <c r="J13" s="444"/>
      <c r="K13" s="37"/>
      <c r="L13" s="443"/>
      <c r="M13" s="431"/>
      <c r="N13" s="431"/>
      <c r="O13" s="431"/>
      <c r="P13" s="431"/>
      <c r="Q13" s="432"/>
      <c r="S13" s="443"/>
      <c r="T13" s="448"/>
      <c r="U13" s="444"/>
    </row>
    <row r="14" spans="4:21" ht="20.100000000000001" customHeight="1">
      <c r="D14" s="443"/>
      <c r="E14" s="431"/>
      <c r="F14" s="431"/>
      <c r="G14" s="431"/>
      <c r="H14" s="431"/>
      <c r="I14" s="431"/>
      <c r="J14" s="444"/>
      <c r="K14" s="37"/>
      <c r="L14" s="443"/>
      <c r="M14" s="431"/>
      <c r="N14" s="431"/>
      <c r="O14" s="431"/>
      <c r="P14" s="431"/>
      <c r="Q14" s="432"/>
      <c r="S14" s="443"/>
      <c r="T14" s="448"/>
      <c r="U14" s="444"/>
    </row>
    <row r="15" spans="4:21" ht="20.100000000000001" customHeight="1">
      <c r="D15" s="443"/>
      <c r="E15" s="431"/>
      <c r="F15" s="431"/>
      <c r="G15" s="431"/>
      <c r="H15" s="431"/>
      <c r="I15" s="431"/>
      <c r="J15" s="444"/>
      <c r="K15" s="37"/>
      <c r="L15" s="443"/>
      <c r="M15" s="431"/>
      <c r="N15" s="431"/>
      <c r="O15" s="431"/>
      <c r="P15" s="431"/>
      <c r="Q15" s="432"/>
      <c r="S15" s="443"/>
      <c r="T15" s="448"/>
      <c r="U15" s="444"/>
    </row>
    <row r="16" spans="4:21" ht="20.100000000000001" customHeight="1" thickBot="1">
      <c r="D16" s="445"/>
      <c r="E16" s="382"/>
      <c r="F16" s="382"/>
      <c r="G16" s="382"/>
      <c r="H16" s="382"/>
      <c r="I16" s="382"/>
      <c r="J16" s="446"/>
      <c r="K16" s="37"/>
      <c r="L16" s="445"/>
      <c r="M16" s="382"/>
      <c r="N16" s="382"/>
      <c r="O16" s="382"/>
      <c r="P16" s="382"/>
      <c r="Q16" s="383"/>
      <c r="S16" s="445"/>
      <c r="T16" s="449"/>
      <c r="U16" s="446"/>
    </row>
    <row r="17" spans="3:21" ht="20.100000000000001" customHeight="1">
      <c r="D17" s="37"/>
      <c r="E17" s="37"/>
      <c r="F17" s="37"/>
      <c r="G17" s="37"/>
      <c r="H17" s="37"/>
      <c r="I17" s="37"/>
      <c r="J17" s="338"/>
      <c r="K17" s="37"/>
      <c r="L17" s="37"/>
      <c r="M17" s="37"/>
      <c r="N17" s="37"/>
      <c r="O17" s="37"/>
      <c r="P17" s="37"/>
      <c r="Q17" s="37"/>
      <c r="S17" s="37"/>
      <c r="T17" s="338"/>
      <c r="U17" s="338"/>
    </row>
    <row r="18" spans="3:21" ht="20.100000000000001" customHeight="1">
      <c r="D18" s="37"/>
      <c r="E18" s="37"/>
      <c r="F18" s="37"/>
      <c r="G18" s="37"/>
      <c r="H18" s="37"/>
      <c r="I18" s="37"/>
      <c r="J18" s="338"/>
      <c r="K18" s="37"/>
      <c r="L18" s="37"/>
      <c r="M18" s="37"/>
      <c r="N18" s="37"/>
      <c r="O18" s="37"/>
      <c r="P18" s="37"/>
      <c r="Q18" s="37"/>
      <c r="S18" s="37"/>
      <c r="T18" s="338"/>
      <c r="U18" s="338"/>
    </row>
    <row r="19" spans="3:21" ht="20.100000000000001" customHeight="1">
      <c r="H19" s="339"/>
      <c r="J19" s="340"/>
      <c r="K19" s="340"/>
      <c r="L19" s="340"/>
      <c r="M19" s="340"/>
      <c r="N19" s="340"/>
      <c r="O19" s="340"/>
      <c r="P19" s="340"/>
      <c r="S19" s="37"/>
      <c r="T19" s="338"/>
      <c r="U19" s="338"/>
    </row>
    <row r="20" spans="3:21" s="341" customFormat="1" ht="26.25" customHeight="1" thickBot="1">
      <c r="D20" s="337" t="s">
        <v>261</v>
      </c>
      <c r="F20" s="337"/>
      <c r="H20" s="342"/>
      <c r="T20" s="343"/>
      <c r="U20" s="343"/>
    </row>
    <row r="21" spans="3:21" s="52" customFormat="1" ht="36" customHeight="1">
      <c r="D21" s="450" t="s">
        <v>298</v>
      </c>
      <c r="E21" s="451" t="s">
        <v>236</v>
      </c>
      <c r="F21" s="452" t="s">
        <v>237</v>
      </c>
      <c r="G21" s="451" t="s">
        <v>238</v>
      </c>
      <c r="H21" s="453"/>
      <c r="I21" s="451"/>
      <c r="J21" s="451"/>
      <c r="K21" s="451"/>
      <c r="L21" s="451"/>
      <c r="M21" s="451"/>
      <c r="N21" s="451"/>
      <c r="O21" s="451"/>
      <c r="P21" s="454"/>
      <c r="Q21" s="53"/>
      <c r="S21" s="53"/>
      <c r="T21" s="345"/>
      <c r="U21" s="345"/>
    </row>
    <row r="22" spans="3:21" s="37" customFormat="1" ht="23.1" customHeight="1">
      <c r="D22" s="485" t="s">
        <v>265</v>
      </c>
      <c r="E22" s="438">
        <v>1.5549999999999999</v>
      </c>
      <c r="F22" s="438">
        <v>1.6819999999999999</v>
      </c>
      <c r="G22" s="438">
        <v>1.534</v>
      </c>
      <c r="H22" s="431"/>
      <c r="I22" s="431"/>
      <c r="J22" s="455"/>
      <c r="K22" s="455"/>
      <c r="L22" s="455"/>
      <c r="M22" s="455"/>
      <c r="N22" s="455"/>
      <c r="O22" s="455"/>
      <c r="P22" s="456"/>
      <c r="T22" s="338"/>
      <c r="U22" s="338"/>
    </row>
    <row r="23" spans="3:21" s="37" customFormat="1" ht="23.1" customHeight="1">
      <c r="D23" s="485" t="s">
        <v>242</v>
      </c>
      <c r="E23" s="438">
        <v>3.3800000000000002E-3</v>
      </c>
      <c r="F23" s="438">
        <v>7.5599999999999999E-3</v>
      </c>
      <c r="G23" s="438">
        <v>7.0600000000000003E-3</v>
      </c>
      <c r="H23" s="431"/>
      <c r="I23" s="431"/>
      <c r="J23" s="455"/>
      <c r="K23" s="455"/>
      <c r="L23" s="455"/>
      <c r="M23" s="455"/>
      <c r="N23" s="455"/>
      <c r="O23" s="455"/>
      <c r="P23" s="456"/>
      <c r="T23" s="338"/>
      <c r="U23" s="338"/>
    </row>
    <row r="24" spans="3:21" s="37" customFormat="1" ht="23.1" customHeight="1">
      <c r="D24" s="485" t="s">
        <v>243</v>
      </c>
      <c r="E24" s="431">
        <v>3.2289999999999999E-4</v>
      </c>
      <c r="F24" s="431">
        <v>3.1720000000000001E-4</v>
      </c>
      <c r="G24" s="431">
        <v>3.2009999999999997E-4</v>
      </c>
      <c r="H24" s="431"/>
      <c r="I24" s="431"/>
      <c r="J24" s="455"/>
      <c r="K24" s="455"/>
      <c r="L24" s="455"/>
      <c r="M24" s="455"/>
      <c r="N24" s="455"/>
      <c r="O24" s="455"/>
      <c r="P24" s="456"/>
      <c r="T24" s="338"/>
      <c r="U24" s="338"/>
    </row>
    <row r="25" spans="3:21" s="37" customFormat="1" ht="23.1" customHeight="1">
      <c r="D25" s="485" t="s">
        <v>264</v>
      </c>
      <c r="E25" s="431">
        <v>0.58330000000000004</v>
      </c>
      <c r="F25" s="431">
        <v>0.58330000000000004</v>
      </c>
      <c r="G25" s="431">
        <v>0.58330000000000004</v>
      </c>
      <c r="H25" s="431"/>
      <c r="I25" s="431"/>
      <c r="J25" s="455"/>
      <c r="K25" s="455"/>
      <c r="L25" s="455"/>
      <c r="M25" s="455"/>
      <c r="N25" s="455"/>
      <c r="O25" s="455"/>
      <c r="P25" s="456"/>
      <c r="T25" s="338"/>
      <c r="U25" s="338"/>
    </row>
    <row r="26" spans="3:21" s="37" customFormat="1" ht="23.1" customHeight="1">
      <c r="D26" s="485" t="s">
        <v>263</v>
      </c>
      <c r="E26" s="431">
        <v>50.5</v>
      </c>
      <c r="F26" s="431">
        <v>46.800000000000004</v>
      </c>
      <c r="G26" s="431">
        <v>48.599999999999994</v>
      </c>
      <c r="H26" s="431"/>
      <c r="I26" s="431"/>
      <c r="J26" s="455"/>
      <c r="K26" s="455"/>
      <c r="L26" s="455"/>
      <c r="M26" s="455"/>
      <c r="N26" s="455"/>
      <c r="O26" s="455"/>
      <c r="P26" s="456"/>
      <c r="T26" s="338"/>
      <c r="U26" s="338"/>
    </row>
    <row r="27" spans="3:21" s="37" customFormat="1" ht="23.1" customHeight="1" thickBot="1">
      <c r="D27" s="486" t="s">
        <v>262</v>
      </c>
      <c r="E27" s="382">
        <v>485.7</v>
      </c>
      <c r="F27" s="382">
        <v>235.1</v>
      </c>
      <c r="G27" s="382">
        <v>236.2</v>
      </c>
      <c r="H27" s="382"/>
      <c r="I27" s="382"/>
      <c r="J27" s="457"/>
      <c r="K27" s="457"/>
      <c r="L27" s="457"/>
      <c r="M27" s="457"/>
      <c r="N27" s="457"/>
      <c r="O27" s="457"/>
      <c r="P27" s="458"/>
      <c r="T27" s="338"/>
      <c r="U27" s="338"/>
    </row>
    <row r="28" spans="3:21" ht="20.100000000000001" customHeight="1">
      <c r="D28" s="44"/>
      <c r="E28" s="44"/>
      <c r="F28" s="340"/>
      <c r="G28" s="44"/>
      <c r="H28" s="339"/>
      <c r="T28" s="344"/>
      <c r="U28" s="344"/>
    </row>
    <row r="29" spans="3:21" ht="20.100000000000001" customHeight="1">
      <c r="D29" s="37"/>
      <c r="E29" s="37"/>
      <c r="F29" s="37"/>
      <c r="G29" s="37"/>
      <c r="H29" s="37"/>
      <c r="I29" s="37"/>
      <c r="J29" s="338"/>
      <c r="K29" s="37"/>
      <c r="L29" s="37"/>
      <c r="M29" s="37"/>
      <c r="N29" s="37"/>
      <c r="O29" s="37"/>
      <c r="P29" s="37"/>
      <c r="Q29" s="37"/>
      <c r="T29" s="344"/>
      <c r="U29" s="344"/>
    </row>
    <row r="30" spans="3:21" ht="32.25" customHeight="1" thickBot="1">
      <c r="D30" s="37"/>
      <c r="E30" s="37"/>
      <c r="F30" s="37"/>
      <c r="G30" s="37"/>
      <c r="H30" s="53" t="s">
        <v>394</v>
      </c>
      <c r="I30" s="337"/>
      <c r="J30" s="33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59" t="s">
        <v>222</v>
      </c>
      <c r="D31" s="460" t="s">
        <v>246</v>
      </c>
      <c r="E31" s="460" t="s">
        <v>303</v>
      </c>
      <c r="F31" s="461" t="s">
        <v>304</v>
      </c>
      <c r="H31" s="459" t="s">
        <v>269</v>
      </c>
      <c r="I31" s="460" t="s">
        <v>270</v>
      </c>
      <c r="J31" s="464" t="s">
        <v>271</v>
      </c>
      <c r="K31" s="460" t="s">
        <v>272</v>
      </c>
      <c r="L31" s="460" t="s">
        <v>273</v>
      </c>
      <c r="M31" s="461" t="s">
        <v>274</v>
      </c>
      <c r="O31" s="428" t="s">
        <v>315</v>
      </c>
      <c r="P31" s="429" t="s">
        <v>316</v>
      </c>
      <c r="Q31" s="430" t="s">
        <v>317</v>
      </c>
    </row>
    <row r="32" spans="3:21" ht="20.100000000000001" customHeight="1">
      <c r="C32" s="536" t="s">
        <v>236</v>
      </c>
      <c r="D32" s="462" t="s">
        <v>281</v>
      </c>
      <c r="E32" s="438">
        <v>1.732</v>
      </c>
      <c r="F32" s="432">
        <v>3.2289999999999999E-4</v>
      </c>
      <c r="G32" s="37"/>
      <c r="H32" s="361" t="s">
        <v>236</v>
      </c>
      <c r="I32" s="469">
        <v>43</v>
      </c>
      <c r="J32" s="469">
        <v>52.7</v>
      </c>
      <c r="K32" s="469">
        <v>81.7</v>
      </c>
      <c r="L32" s="431">
        <v>59.1</v>
      </c>
      <c r="M32" s="432">
        <v>81.7</v>
      </c>
      <c r="N32" s="37"/>
      <c r="O32" s="361" t="s">
        <v>236</v>
      </c>
      <c r="P32" s="438">
        <v>-2.8094999999999999</v>
      </c>
      <c r="Q32" s="439">
        <v>1.66</v>
      </c>
    </row>
    <row r="33" spans="3:17" ht="20.100000000000001" customHeight="1">
      <c r="C33" s="536"/>
      <c r="D33" s="462" t="s">
        <v>282</v>
      </c>
      <c r="E33" s="438">
        <v>1.5549999999999999</v>
      </c>
      <c r="F33" s="432"/>
      <c r="G33" s="37"/>
      <c r="H33" s="361" t="s">
        <v>237</v>
      </c>
      <c r="I33" s="469">
        <v>62.5</v>
      </c>
      <c r="J33" s="469">
        <v>76.5</v>
      </c>
      <c r="K33" s="469">
        <v>85.8</v>
      </c>
      <c r="L33" s="431">
        <v>74.900000000000006</v>
      </c>
      <c r="M33" s="432">
        <v>85.8</v>
      </c>
      <c r="N33" s="37"/>
      <c r="O33" s="361" t="s">
        <v>237</v>
      </c>
      <c r="P33" s="438">
        <v>-2.8389000000000002</v>
      </c>
      <c r="Q33" s="439">
        <v>1.71</v>
      </c>
    </row>
    <row r="34" spans="3:17" ht="20.100000000000001" customHeight="1">
      <c r="C34" s="536"/>
      <c r="D34" s="462" t="s">
        <v>283</v>
      </c>
      <c r="E34" s="438">
        <v>1.6435</v>
      </c>
      <c r="F34" s="432">
        <v>3.2289999999999999E-4</v>
      </c>
      <c r="G34" s="37"/>
      <c r="H34" s="361" t="s">
        <v>238</v>
      </c>
      <c r="I34" s="469">
        <v>61.2</v>
      </c>
      <c r="J34" s="469">
        <v>75</v>
      </c>
      <c r="K34" s="469">
        <v>82.7</v>
      </c>
      <c r="L34" s="431">
        <v>73</v>
      </c>
      <c r="M34" s="432">
        <v>82.7</v>
      </c>
      <c r="N34" s="37"/>
      <c r="O34" s="361" t="s">
        <v>238</v>
      </c>
      <c r="P34" s="438">
        <v>-2.8243999999999998</v>
      </c>
      <c r="Q34" s="439">
        <v>1.6850000000000001</v>
      </c>
    </row>
    <row r="35" spans="3:17" ht="20.100000000000001" customHeight="1">
      <c r="C35" s="536" t="s">
        <v>237</v>
      </c>
      <c r="D35" s="462" t="s">
        <v>281</v>
      </c>
      <c r="E35" s="438">
        <v>1.877</v>
      </c>
      <c r="F35" s="432">
        <v>3.1720000000000001E-4</v>
      </c>
      <c r="G35" s="37"/>
      <c r="H35" s="361"/>
      <c r="I35" s="431"/>
      <c r="J35" s="448"/>
      <c r="K35" s="431"/>
      <c r="L35" s="431"/>
      <c r="M35" s="432"/>
      <c r="N35" s="37"/>
      <c r="O35" s="361"/>
      <c r="P35" s="431"/>
      <c r="Q35" s="432"/>
    </row>
    <row r="36" spans="3:17" ht="20.100000000000001" customHeight="1">
      <c r="C36" s="536"/>
      <c r="D36" s="462" t="s">
        <v>282</v>
      </c>
      <c r="E36" s="438">
        <v>1.6819999999999999</v>
      </c>
      <c r="F36" s="432"/>
      <c r="G36" s="37"/>
      <c r="H36" s="361"/>
      <c r="I36" s="431"/>
      <c r="J36" s="431"/>
      <c r="K36" s="431"/>
      <c r="L36" s="431"/>
      <c r="M36" s="432"/>
      <c r="N36" s="37"/>
      <c r="O36" s="361"/>
      <c r="P36" s="431"/>
      <c r="Q36" s="432"/>
    </row>
    <row r="37" spans="3:17" ht="20.100000000000001" customHeight="1">
      <c r="C37" s="536"/>
      <c r="D37" s="462" t="s">
        <v>283</v>
      </c>
      <c r="E37" s="438">
        <v>1.7795000000000001</v>
      </c>
      <c r="F37" s="432">
        <v>3.1720000000000001E-4</v>
      </c>
      <c r="G37" s="37"/>
      <c r="H37" s="361"/>
      <c r="I37" s="431"/>
      <c r="J37" s="431"/>
      <c r="K37" s="431"/>
      <c r="L37" s="431"/>
      <c r="M37" s="432"/>
      <c r="N37" s="37"/>
      <c r="O37" s="361"/>
      <c r="P37" s="431"/>
      <c r="Q37" s="432"/>
    </row>
    <row r="38" spans="3:17" ht="20.100000000000001" customHeight="1">
      <c r="C38" s="536" t="s">
        <v>238</v>
      </c>
      <c r="D38" s="462" t="s">
        <v>281</v>
      </c>
      <c r="E38" s="438">
        <v>1.8029999999999999</v>
      </c>
      <c r="F38" s="432">
        <v>3.2009999999999997E-4</v>
      </c>
      <c r="G38" s="37"/>
      <c r="H38" s="361"/>
      <c r="I38" s="431"/>
      <c r="J38" s="431"/>
      <c r="K38" s="431"/>
      <c r="L38" s="431"/>
      <c r="M38" s="432"/>
      <c r="N38" s="37"/>
      <c r="O38" s="361"/>
      <c r="P38" s="431"/>
      <c r="Q38" s="432"/>
    </row>
    <row r="39" spans="3:17" ht="20.100000000000001" customHeight="1">
      <c r="C39" s="536"/>
      <c r="D39" s="462" t="s">
        <v>282</v>
      </c>
      <c r="E39" s="438">
        <v>1.534</v>
      </c>
      <c r="F39" s="432"/>
      <c r="G39" s="37"/>
      <c r="H39" s="361"/>
      <c r="I39" s="431"/>
      <c r="J39" s="431"/>
      <c r="K39" s="431"/>
      <c r="L39" s="431"/>
      <c r="M39" s="432"/>
      <c r="N39" s="37"/>
      <c r="O39" s="361"/>
      <c r="P39" s="431"/>
      <c r="Q39" s="432"/>
    </row>
    <row r="40" spans="3:17" ht="20.100000000000001" customHeight="1">
      <c r="C40" s="536"/>
      <c r="D40" s="462" t="s">
        <v>283</v>
      </c>
      <c r="E40" s="438">
        <v>1.6684999999999999</v>
      </c>
      <c r="F40" s="432">
        <v>3.2009999999999997E-4</v>
      </c>
      <c r="G40" s="37"/>
      <c r="H40" s="361"/>
      <c r="I40" s="431"/>
      <c r="J40" s="431"/>
      <c r="K40" s="431"/>
      <c r="L40" s="431"/>
      <c r="M40" s="432"/>
      <c r="N40" s="37"/>
      <c r="O40" s="361"/>
      <c r="P40" s="431"/>
      <c r="Q40" s="432"/>
    </row>
    <row r="41" spans="3:17" ht="20.100000000000001" customHeight="1">
      <c r="C41" s="536"/>
      <c r="D41" s="462"/>
      <c r="E41" s="431"/>
      <c r="F41" s="432"/>
      <c r="G41" s="37"/>
      <c r="H41" s="361"/>
      <c r="I41" s="431"/>
      <c r="J41" s="431"/>
      <c r="K41" s="431"/>
      <c r="L41" s="431"/>
      <c r="M41" s="432"/>
      <c r="N41" s="37"/>
      <c r="O41" s="361"/>
      <c r="P41" s="431"/>
      <c r="Q41" s="432"/>
    </row>
    <row r="42" spans="3:17" ht="20.100000000000001" customHeight="1">
      <c r="C42" s="536"/>
      <c r="D42" s="462"/>
      <c r="E42" s="431"/>
      <c r="F42" s="432"/>
      <c r="G42" s="37"/>
      <c r="H42" s="361"/>
      <c r="I42" s="431"/>
      <c r="J42" s="431"/>
      <c r="K42" s="431"/>
      <c r="L42" s="431"/>
      <c r="M42" s="432"/>
      <c r="N42" s="37"/>
      <c r="O42" s="361"/>
      <c r="P42" s="431"/>
      <c r="Q42" s="432"/>
    </row>
    <row r="43" spans="3:17" ht="20.100000000000001" customHeight="1">
      <c r="C43" s="536"/>
      <c r="D43" s="462"/>
      <c r="E43" s="431"/>
      <c r="F43" s="432"/>
      <c r="G43" s="37"/>
      <c r="H43" s="361"/>
      <c r="I43" s="431"/>
      <c r="J43" s="431"/>
      <c r="K43" s="431"/>
      <c r="L43" s="431"/>
      <c r="M43" s="432"/>
      <c r="N43" s="37"/>
      <c r="O43" s="361"/>
      <c r="P43" s="431"/>
      <c r="Q43" s="432"/>
    </row>
    <row r="44" spans="3:17" ht="20.100000000000001" customHeight="1">
      <c r="C44" s="536"/>
      <c r="D44" s="462"/>
      <c r="E44" s="431"/>
      <c r="F44" s="432"/>
      <c r="G44" s="37"/>
      <c r="H44" s="361"/>
      <c r="I44" s="431"/>
      <c r="J44" s="431"/>
      <c r="K44" s="431"/>
      <c r="L44" s="431"/>
      <c r="M44" s="432"/>
      <c r="N44" s="37"/>
      <c r="O44" s="361"/>
      <c r="P44" s="431"/>
      <c r="Q44" s="432"/>
    </row>
    <row r="45" spans="3:17" ht="20.100000000000001" customHeight="1" thickBot="1">
      <c r="C45" s="536"/>
      <c r="D45" s="462"/>
      <c r="E45" s="431"/>
      <c r="F45" s="432"/>
      <c r="G45" s="37"/>
      <c r="H45" s="362"/>
      <c r="I45" s="382"/>
      <c r="J45" s="382"/>
      <c r="K45" s="382"/>
      <c r="L45" s="382"/>
      <c r="M45" s="383"/>
      <c r="N45" s="37"/>
      <c r="O45" s="362"/>
      <c r="P45" s="382"/>
      <c r="Q45" s="383"/>
    </row>
    <row r="46" spans="3:17" ht="20.100000000000001" customHeight="1">
      <c r="C46" s="536"/>
      <c r="D46" s="462"/>
      <c r="E46" s="431"/>
      <c r="F46" s="432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36"/>
      <c r="D47" s="462"/>
      <c r="E47" s="431"/>
      <c r="F47" s="432"/>
    </row>
    <row r="48" spans="3:17" ht="20.100000000000001" customHeight="1">
      <c r="C48" s="536"/>
      <c r="D48" s="462"/>
      <c r="E48" s="431"/>
      <c r="F48" s="432"/>
    </row>
    <row r="49" spans="3:6" ht="20.100000000000001" customHeight="1">
      <c r="C49" s="536"/>
      <c r="D49" s="462"/>
      <c r="E49" s="431"/>
      <c r="F49" s="432"/>
    </row>
    <row r="50" spans="3:6" ht="20.100000000000001" customHeight="1">
      <c r="C50" s="536"/>
      <c r="D50" s="462"/>
      <c r="E50" s="431"/>
      <c r="F50" s="432"/>
    </row>
    <row r="51" spans="3:6" ht="20.100000000000001" customHeight="1">
      <c r="C51" s="536"/>
      <c r="D51" s="462"/>
      <c r="E51" s="431"/>
      <c r="F51" s="432"/>
    </row>
    <row r="52" spans="3:6" ht="20.100000000000001" customHeight="1">
      <c r="C52" s="536"/>
      <c r="D52" s="462"/>
      <c r="E52" s="431"/>
      <c r="F52" s="432"/>
    </row>
    <row r="53" spans="3:6" ht="20.100000000000001" customHeight="1">
      <c r="C53" s="536"/>
      <c r="D53" s="462"/>
      <c r="E53" s="431"/>
      <c r="F53" s="432"/>
    </row>
    <row r="54" spans="3:6" ht="20.100000000000001" customHeight="1">
      <c r="C54" s="536"/>
      <c r="D54" s="462"/>
      <c r="E54" s="431"/>
      <c r="F54" s="432"/>
    </row>
    <row r="55" spans="3:6" ht="20.100000000000001" customHeight="1">
      <c r="C55" s="536"/>
      <c r="D55" s="462"/>
      <c r="E55" s="431"/>
      <c r="F55" s="432"/>
    </row>
    <row r="56" spans="3:6" ht="20.100000000000001" customHeight="1">
      <c r="C56" s="536"/>
      <c r="D56" s="462"/>
      <c r="E56" s="431"/>
      <c r="F56" s="432"/>
    </row>
    <row r="57" spans="3:6" ht="20.100000000000001" customHeight="1">
      <c r="C57" s="536"/>
      <c r="D57" s="462"/>
      <c r="E57" s="431"/>
      <c r="F57" s="432"/>
    </row>
    <row r="58" spans="3:6" ht="20.100000000000001" customHeight="1">
      <c r="C58" s="536"/>
      <c r="D58" s="462"/>
      <c r="E58" s="431"/>
      <c r="F58" s="432"/>
    </row>
    <row r="59" spans="3:6" ht="20.100000000000001" customHeight="1">
      <c r="C59" s="536"/>
      <c r="D59" s="462"/>
      <c r="E59" s="431"/>
      <c r="F59" s="432"/>
    </row>
    <row r="60" spans="3:6" ht="20.100000000000001" customHeight="1">
      <c r="C60" s="536"/>
      <c r="D60" s="462"/>
      <c r="E60" s="431"/>
      <c r="F60" s="432"/>
    </row>
    <row r="61" spans="3:6" ht="20.100000000000001" customHeight="1">
      <c r="C61" s="536"/>
      <c r="D61" s="462"/>
      <c r="E61" s="431"/>
      <c r="F61" s="432"/>
    </row>
    <row r="62" spans="3:6" ht="20.100000000000001" customHeight="1">
      <c r="C62" s="536"/>
      <c r="D62" s="462"/>
      <c r="E62" s="431"/>
      <c r="F62" s="432"/>
    </row>
    <row r="63" spans="3:6" ht="20.100000000000001" customHeight="1">
      <c r="C63" s="536"/>
      <c r="D63" s="462"/>
      <c r="E63" s="431"/>
      <c r="F63" s="432"/>
    </row>
    <row r="64" spans="3:6" ht="20.100000000000001" customHeight="1">
      <c r="C64" s="536"/>
      <c r="D64" s="462"/>
      <c r="E64" s="431"/>
      <c r="F64" s="432"/>
    </row>
    <row r="65" spans="3:6" ht="20.100000000000001" customHeight="1">
      <c r="C65" s="536"/>
      <c r="D65" s="462"/>
      <c r="E65" s="431"/>
      <c r="F65" s="432"/>
    </row>
    <row r="66" spans="3:6" ht="20.100000000000001" customHeight="1">
      <c r="C66" s="536"/>
      <c r="D66" s="462"/>
      <c r="E66" s="431"/>
      <c r="F66" s="432"/>
    </row>
    <row r="67" spans="3:6" ht="20.100000000000001" customHeight="1" thickBot="1">
      <c r="C67" s="537"/>
      <c r="D67" s="463"/>
      <c r="E67" s="382"/>
      <c r="F67" s="383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6" t="s">
        <v>260</v>
      </c>
    </row>
    <row r="3" spans="3:15" s="53" customFormat="1" ht="28.5" customHeight="1">
      <c r="C3" s="459" t="s">
        <v>222</v>
      </c>
      <c r="D3" s="460" t="s">
        <v>250</v>
      </c>
      <c r="E3" s="460" t="s">
        <v>219</v>
      </c>
      <c r="F3" s="460" t="s">
        <v>251</v>
      </c>
      <c r="G3" s="460" t="s">
        <v>255</v>
      </c>
      <c r="H3" s="460" t="s">
        <v>257</v>
      </c>
      <c r="I3" s="460" t="s">
        <v>225</v>
      </c>
      <c r="J3" s="460" t="s">
        <v>258</v>
      </c>
      <c r="K3" s="460" t="s">
        <v>121</v>
      </c>
      <c r="L3" s="460" t="s">
        <v>256</v>
      </c>
      <c r="M3" s="460" t="s">
        <v>252</v>
      </c>
      <c r="N3" s="460" t="s">
        <v>253</v>
      </c>
      <c r="O3" s="461" t="s">
        <v>254</v>
      </c>
    </row>
    <row r="4" spans="3:15" ht="20.100000000000001" customHeight="1">
      <c r="C4" s="433" t="s">
        <v>236</v>
      </c>
      <c r="D4" s="544" t="s">
        <v>299</v>
      </c>
      <c r="E4" s="434">
        <v>143</v>
      </c>
      <c r="F4" s="434">
        <v>1.6435</v>
      </c>
      <c r="G4" s="538">
        <v>1.6972</v>
      </c>
      <c r="H4" s="544">
        <v>0.03</v>
      </c>
      <c r="I4" s="434">
        <v>485.7</v>
      </c>
      <c r="J4" s="547">
        <v>319</v>
      </c>
      <c r="K4" s="434">
        <v>194</v>
      </c>
      <c r="L4" s="547">
        <v>196.7</v>
      </c>
      <c r="M4" s="434">
        <v>2.53E-2</v>
      </c>
      <c r="N4" s="538">
        <v>2.2700000000000001E-2</v>
      </c>
      <c r="O4" s="541" t="s">
        <v>259</v>
      </c>
    </row>
    <row r="5" spans="3:15" ht="20.100000000000001" customHeight="1">
      <c r="C5" s="433" t="s">
        <v>237</v>
      </c>
      <c r="D5" s="545"/>
      <c r="E5" s="434">
        <v>143</v>
      </c>
      <c r="F5" s="434">
        <v>1.7795000000000001</v>
      </c>
      <c r="G5" s="539"/>
      <c r="H5" s="545"/>
      <c r="I5" s="434">
        <v>235.1</v>
      </c>
      <c r="J5" s="548"/>
      <c r="K5" s="434">
        <v>200</v>
      </c>
      <c r="L5" s="548"/>
      <c r="M5" s="434">
        <v>1.8100000000000002E-2</v>
      </c>
      <c r="N5" s="539"/>
      <c r="O5" s="542"/>
    </row>
    <row r="6" spans="3:15" ht="20.100000000000001" customHeight="1">
      <c r="C6" s="433" t="s">
        <v>238</v>
      </c>
      <c r="D6" s="546"/>
      <c r="E6" s="434">
        <v>143</v>
      </c>
      <c r="F6" s="434">
        <v>1.6684999999999999</v>
      </c>
      <c r="G6" s="540"/>
      <c r="H6" s="546"/>
      <c r="I6" s="434">
        <v>236.2</v>
      </c>
      <c r="J6" s="549"/>
      <c r="K6" s="434">
        <v>196</v>
      </c>
      <c r="L6" s="549"/>
      <c r="M6" s="434">
        <v>2.47E-2</v>
      </c>
      <c r="N6" s="540"/>
      <c r="O6" s="543"/>
    </row>
    <row r="7" spans="3:15" ht="20.100000000000001" customHeight="1">
      <c r="C7" s="433"/>
      <c r="D7" s="487"/>
      <c r="E7" s="434"/>
      <c r="F7" s="434"/>
      <c r="G7" s="487"/>
      <c r="H7" s="487"/>
      <c r="I7" s="434"/>
      <c r="J7" s="487"/>
      <c r="K7" s="434"/>
      <c r="L7" s="487"/>
      <c r="M7" s="434"/>
      <c r="N7" s="488"/>
      <c r="O7" s="489"/>
    </row>
    <row r="8" spans="3:15" ht="20.100000000000001" customHeight="1">
      <c r="C8" s="433"/>
      <c r="D8" s="487"/>
      <c r="E8" s="434"/>
      <c r="F8" s="434"/>
      <c r="G8" s="487"/>
      <c r="H8" s="487"/>
      <c r="I8" s="434"/>
      <c r="J8" s="487"/>
      <c r="K8" s="434"/>
      <c r="L8" s="487"/>
      <c r="M8" s="434"/>
      <c r="N8" s="488"/>
      <c r="O8" s="489"/>
    </row>
    <row r="9" spans="3:15" ht="20.100000000000001" customHeight="1">
      <c r="C9" s="433"/>
      <c r="D9" s="487"/>
      <c r="E9" s="434"/>
      <c r="F9" s="434"/>
      <c r="G9" s="487"/>
      <c r="H9" s="487"/>
      <c r="I9" s="434"/>
      <c r="J9" s="487"/>
      <c r="K9" s="434"/>
      <c r="L9" s="487"/>
      <c r="M9" s="434"/>
      <c r="N9" s="487"/>
      <c r="O9" s="489"/>
    </row>
    <row r="10" spans="3:15" ht="20.100000000000001" customHeight="1">
      <c r="C10" s="433"/>
      <c r="D10" s="487"/>
      <c r="E10" s="434"/>
      <c r="F10" s="434"/>
      <c r="G10" s="487"/>
      <c r="H10" s="487"/>
      <c r="I10" s="434"/>
      <c r="J10" s="487"/>
      <c r="K10" s="434"/>
      <c r="L10" s="487"/>
      <c r="M10" s="434"/>
      <c r="N10" s="487"/>
      <c r="O10" s="489"/>
    </row>
    <row r="11" spans="3:15" ht="20.100000000000001" customHeight="1">
      <c r="C11" s="433"/>
      <c r="D11" s="487"/>
      <c r="E11" s="434"/>
      <c r="F11" s="434"/>
      <c r="G11" s="487"/>
      <c r="H11" s="487"/>
      <c r="I11" s="434"/>
      <c r="J11" s="487"/>
      <c r="K11" s="434"/>
      <c r="L11" s="487"/>
      <c r="M11" s="434"/>
      <c r="N11" s="487"/>
      <c r="O11" s="489"/>
    </row>
    <row r="12" spans="3:15" ht="20.100000000000001" customHeight="1">
      <c r="C12" s="433"/>
      <c r="D12" s="487"/>
      <c r="E12" s="434"/>
      <c r="F12" s="434"/>
      <c r="G12" s="487"/>
      <c r="H12" s="487"/>
      <c r="I12" s="434"/>
      <c r="J12" s="487"/>
      <c r="K12" s="434"/>
      <c r="L12" s="487"/>
      <c r="M12" s="434"/>
      <c r="N12" s="487"/>
      <c r="O12" s="489"/>
    </row>
    <row r="13" spans="3:15" ht="20.100000000000001" customHeight="1">
      <c r="C13" s="433"/>
      <c r="D13" s="487"/>
      <c r="E13" s="434"/>
      <c r="F13" s="434"/>
      <c r="G13" s="487"/>
      <c r="H13" s="487"/>
      <c r="I13" s="434"/>
      <c r="J13" s="487"/>
      <c r="K13" s="434"/>
      <c r="L13" s="487"/>
      <c r="M13" s="434"/>
      <c r="N13" s="487"/>
      <c r="O13" s="489"/>
    </row>
    <row r="14" spans="3:15" ht="20.100000000000001" customHeight="1">
      <c r="C14" s="433"/>
      <c r="D14" s="487"/>
      <c r="E14" s="434"/>
      <c r="F14" s="434"/>
      <c r="G14" s="487"/>
      <c r="H14" s="487"/>
      <c r="I14" s="434"/>
      <c r="J14" s="487"/>
      <c r="K14" s="434"/>
      <c r="L14" s="487"/>
      <c r="M14" s="434"/>
      <c r="N14" s="487"/>
      <c r="O14" s="489"/>
    </row>
    <row r="15" spans="3:15" ht="20.100000000000001" customHeight="1">
      <c r="C15" s="433"/>
      <c r="D15" s="487"/>
      <c r="E15" s="434"/>
      <c r="F15" s="434"/>
      <c r="G15" s="487"/>
      <c r="H15" s="487"/>
      <c r="I15" s="434"/>
      <c r="J15" s="487"/>
      <c r="K15" s="434"/>
      <c r="L15" s="487"/>
      <c r="M15" s="434"/>
      <c r="N15" s="487"/>
      <c r="O15" s="489"/>
    </row>
    <row r="16" spans="3:15" ht="20.100000000000001" customHeight="1">
      <c r="C16" s="433"/>
      <c r="D16" s="487"/>
      <c r="E16" s="434"/>
      <c r="F16" s="434"/>
      <c r="G16" s="487"/>
      <c r="H16" s="487"/>
      <c r="I16" s="434"/>
      <c r="J16" s="487"/>
      <c r="K16" s="434"/>
      <c r="L16" s="487"/>
      <c r="M16" s="434"/>
      <c r="N16" s="487"/>
      <c r="O16" s="489"/>
    </row>
    <row r="17" spans="3:15" ht="20.100000000000001" customHeight="1" thickBot="1">
      <c r="C17" s="392"/>
      <c r="D17" s="490"/>
      <c r="E17" s="393"/>
      <c r="F17" s="393"/>
      <c r="G17" s="490"/>
      <c r="H17" s="490"/>
      <c r="I17" s="393"/>
      <c r="J17" s="490"/>
      <c r="K17" s="393"/>
      <c r="L17" s="490"/>
      <c r="M17" s="393"/>
      <c r="N17" s="490"/>
      <c r="O17" s="491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M22" sqref="M22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9" customFormat="1" ht="27.75" customHeight="1" thickBot="1">
      <c r="D2" s="337" t="s">
        <v>285</v>
      </c>
    </row>
    <row r="3" spans="4:11" s="53" customFormat="1" ht="42.75" customHeight="1">
      <c r="D3" s="351" t="s">
        <v>318</v>
      </c>
      <c r="E3" s="352" t="s">
        <v>319</v>
      </c>
      <c r="F3" s="352" t="s">
        <v>320</v>
      </c>
      <c r="G3" s="352" t="s">
        <v>321</v>
      </c>
      <c r="H3" s="352" t="s">
        <v>322</v>
      </c>
      <c r="I3" s="352" t="s">
        <v>323</v>
      </c>
      <c r="J3" s="352" t="s">
        <v>291</v>
      </c>
      <c r="K3" s="353" t="s">
        <v>292</v>
      </c>
    </row>
    <row r="4" spans="4:11" s="350" customFormat="1" ht="33.75" customHeight="1" thickBot="1">
      <c r="D4" s="354">
        <v>3059068</v>
      </c>
      <c r="E4" s="355">
        <v>1198.3</v>
      </c>
      <c r="F4" s="355">
        <v>1285.4991550772602</v>
      </c>
      <c r="G4" s="356">
        <v>0.64</v>
      </c>
      <c r="H4" s="355">
        <v>822.71945924944657</v>
      </c>
      <c r="I4" s="357">
        <v>172.8</v>
      </c>
      <c r="J4" s="355">
        <v>390</v>
      </c>
      <c r="K4" s="358">
        <v>259.91945924944656</v>
      </c>
    </row>
    <row r="6" spans="4:11" ht="20.100000000000001" customHeight="1" thickBot="1"/>
    <row r="7" spans="4:11" ht="62.25" customHeight="1">
      <c r="D7" s="351" t="s">
        <v>318</v>
      </c>
      <c r="E7" s="352" t="s">
        <v>319</v>
      </c>
      <c r="F7" s="352" t="s">
        <v>320</v>
      </c>
      <c r="G7" s="352" t="s">
        <v>321</v>
      </c>
      <c r="H7" s="352" t="s">
        <v>322</v>
      </c>
      <c r="I7" s="352" t="s">
        <v>323</v>
      </c>
      <c r="J7" s="352" t="s">
        <v>324</v>
      </c>
      <c r="K7" s="353" t="s">
        <v>291</v>
      </c>
    </row>
    <row r="8" spans="4:11" ht="31.5" customHeight="1" thickBot="1">
      <c r="D8" s="354">
        <v>3059068</v>
      </c>
      <c r="E8" s="355">
        <v>1198.3</v>
      </c>
      <c r="F8" s="355">
        <v>1285.4991550772602</v>
      </c>
      <c r="G8" s="356">
        <v>0.64</v>
      </c>
      <c r="H8" s="355">
        <v>822.71945924944657</v>
      </c>
      <c r="I8" s="357">
        <v>172.8</v>
      </c>
      <c r="J8" s="355">
        <v>649.91945924944662</v>
      </c>
      <c r="K8" s="358">
        <v>390</v>
      </c>
    </row>
    <row r="10" spans="4:11" ht="30.75" customHeight="1" thickBot="1">
      <c r="D10" s="337" t="s">
        <v>332</v>
      </c>
    </row>
    <row r="11" spans="4:11" s="53" customFormat="1" ht="39" customHeight="1">
      <c r="D11" s="351" t="s">
        <v>325</v>
      </c>
      <c r="E11" s="359" t="s">
        <v>326</v>
      </c>
      <c r="F11" s="359" t="s">
        <v>327</v>
      </c>
      <c r="G11" s="359" t="s">
        <v>328</v>
      </c>
      <c r="H11" s="359" t="s">
        <v>329</v>
      </c>
      <c r="I11" s="359" t="s">
        <v>330</v>
      </c>
      <c r="J11" s="360" t="s">
        <v>331</v>
      </c>
    </row>
    <row r="12" spans="4:11" s="37" customFormat="1" ht="20.100000000000001" customHeight="1">
      <c r="D12" s="433" t="s">
        <v>236</v>
      </c>
      <c r="E12" s="434">
        <v>500</v>
      </c>
      <c r="F12" s="434">
        <v>143</v>
      </c>
      <c r="G12" s="434">
        <v>14.3</v>
      </c>
      <c r="H12" s="434">
        <v>64.8</v>
      </c>
      <c r="I12" s="434">
        <v>1.6435</v>
      </c>
      <c r="J12" s="435">
        <v>3.2289999999999999E-4</v>
      </c>
    </row>
    <row r="13" spans="4:11" s="37" customFormat="1" ht="20.100000000000001" customHeight="1">
      <c r="D13" s="433" t="s">
        <v>237</v>
      </c>
      <c r="E13" s="434">
        <v>250</v>
      </c>
      <c r="F13" s="434">
        <v>143</v>
      </c>
      <c r="G13" s="434">
        <v>14.9</v>
      </c>
      <c r="H13" s="434">
        <v>61.7</v>
      </c>
      <c r="I13" s="434">
        <v>1.7795000000000001</v>
      </c>
      <c r="J13" s="435">
        <v>3.1720000000000001E-4</v>
      </c>
    </row>
    <row r="14" spans="4:11" s="37" customFormat="1" ht="20.100000000000001" customHeight="1">
      <c r="D14" s="433" t="s">
        <v>238</v>
      </c>
      <c r="E14" s="434">
        <v>250</v>
      </c>
      <c r="F14" s="434">
        <v>143</v>
      </c>
      <c r="G14" s="434">
        <v>13.8</v>
      </c>
      <c r="H14" s="434">
        <v>62.4</v>
      </c>
      <c r="I14" s="434">
        <v>1.6684999999999999</v>
      </c>
      <c r="J14" s="435">
        <v>3.2009999999999997E-4</v>
      </c>
    </row>
    <row r="15" spans="4:11" s="37" customFormat="1" ht="20.100000000000001" customHeight="1">
      <c r="D15" s="433"/>
      <c r="E15" s="434"/>
      <c r="F15" s="434"/>
      <c r="G15" s="434"/>
      <c r="H15" s="434"/>
      <c r="I15" s="434"/>
      <c r="J15" s="435"/>
    </row>
    <row r="16" spans="4:11" s="37" customFormat="1" ht="20.100000000000001" customHeight="1">
      <c r="D16" s="433"/>
      <c r="E16" s="434"/>
      <c r="F16" s="434"/>
      <c r="G16" s="434"/>
      <c r="H16" s="434"/>
      <c r="I16" s="434"/>
      <c r="J16" s="435"/>
    </row>
    <row r="17" spans="4:10" s="37" customFormat="1" ht="20.100000000000001" customHeight="1">
      <c r="D17" s="433"/>
      <c r="E17" s="434"/>
      <c r="F17" s="434"/>
      <c r="G17" s="434"/>
      <c r="H17" s="434"/>
      <c r="I17" s="434"/>
      <c r="J17" s="435"/>
    </row>
    <row r="18" spans="4:10" s="37" customFormat="1" ht="20.100000000000001" customHeight="1">
      <c r="D18" s="433"/>
      <c r="E18" s="434"/>
      <c r="F18" s="434"/>
      <c r="G18" s="434"/>
      <c r="H18" s="434"/>
      <c r="I18" s="434"/>
      <c r="J18" s="435"/>
    </row>
    <row r="19" spans="4:10" s="37" customFormat="1" ht="20.100000000000001" customHeight="1">
      <c r="D19" s="433"/>
      <c r="E19" s="434"/>
      <c r="F19" s="434"/>
      <c r="G19" s="434"/>
      <c r="H19" s="434"/>
      <c r="I19" s="434"/>
      <c r="J19" s="435"/>
    </row>
    <row r="20" spans="4:10" s="37" customFormat="1" ht="20.100000000000001" customHeight="1">
      <c r="D20" s="433"/>
      <c r="E20" s="434"/>
      <c r="F20" s="434"/>
      <c r="G20" s="434"/>
      <c r="H20" s="434"/>
      <c r="I20" s="434"/>
      <c r="J20" s="435"/>
    </row>
    <row r="21" spans="4:10" s="37" customFormat="1" ht="20.100000000000001" customHeight="1">
      <c r="D21" s="433"/>
      <c r="E21" s="434"/>
      <c r="F21" s="434"/>
      <c r="G21" s="434"/>
      <c r="H21" s="434"/>
      <c r="I21" s="434"/>
      <c r="J21" s="435"/>
    </row>
    <row r="22" spans="4:10" s="37" customFormat="1" ht="20.100000000000001" customHeight="1">
      <c r="D22" s="433"/>
      <c r="E22" s="434"/>
      <c r="F22" s="434"/>
      <c r="G22" s="434"/>
      <c r="H22" s="434"/>
      <c r="I22" s="434"/>
      <c r="J22" s="435"/>
    </row>
    <row r="23" spans="4:10" s="37" customFormat="1" ht="20.100000000000001" customHeight="1">
      <c r="D23" s="433"/>
      <c r="E23" s="434"/>
      <c r="F23" s="434"/>
      <c r="G23" s="434"/>
      <c r="H23" s="434"/>
      <c r="I23" s="434"/>
      <c r="J23" s="435"/>
    </row>
    <row r="24" spans="4:10" s="37" customFormat="1" ht="20.100000000000001" customHeight="1" thickBot="1">
      <c r="D24" s="392"/>
      <c r="E24" s="393"/>
      <c r="F24" s="393"/>
      <c r="G24" s="393"/>
      <c r="H24" s="393"/>
      <c r="I24" s="393"/>
      <c r="J24" s="436"/>
    </row>
    <row r="25" spans="4:10" s="37" customFormat="1" ht="20.100000000000001" customHeight="1">
      <c r="D25" s="437"/>
      <c r="E25" s="437"/>
      <c r="F25" s="437"/>
      <c r="G25" s="437"/>
      <c r="H25" s="437"/>
      <c r="I25" s="437"/>
      <c r="J25" s="437"/>
    </row>
    <row r="26" spans="4:10" ht="20.100000000000001" customHeight="1" thickBot="1"/>
    <row r="27" spans="4:10" ht="31.5" customHeight="1">
      <c r="D27" s="351" t="s">
        <v>295</v>
      </c>
      <c r="E27" s="359" t="s">
        <v>293</v>
      </c>
      <c r="F27" s="360" t="s">
        <v>294</v>
      </c>
      <c r="H27" s="351" t="s">
        <v>295</v>
      </c>
      <c r="I27" s="359" t="s">
        <v>333</v>
      </c>
      <c r="J27" s="360" t="s">
        <v>334</v>
      </c>
    </row>
    <row r="28" spans="4:10" s="37" customFormat="1" ht="20.100000000000001" customHeight="1">
      <c r="D28" s="433" t="s">
        <v>236</v>
      </c>
      <c r="E28" s="434" t="s">
        <v>395</v>
      </c>
      <c r="F28" s="435"/>
      <c r="G28" s="437"/>
      <c r="H28" s="433" t="s">
        <v>236</v>
      </c>
      <c r="I28" s="434">
        <v>98</v>
      </c>
      <c r="J28" s="435">
        <v>123</v>
      </c>
    </row>
    <row r="29" spans="4:10" s="37" customFormat="1" ht="20.100000000000001" customHeight="1">
      <c r="D29" s="433" t="s">
        <v>237</v>
      </c>
      <c r="E29" s="434" t="s">
        <v>396</v>
      </c>
      <c r="F29" s="435"/>
      <c r="G29" s="437"/>
      <c r="H29" s="433" t="s">
        <v>237</v>
      </c>
      <c r="I29" s="434">
        <v>99</v>
      </c>
      <c r="J29" s="435">
        <v>126</v>
      </c>
    </row>
    <row r="30" spans="4:10" s="37" customFormat="1" ht="20.100000000000001" customHeight="1">
      <c r="D30" s="433" t="s">
        <v>238</v>
      </c>
      <c r="E30" s="434" t="s">
        <v>397</v>
      </c>
      <c r="F30" s="435"/>
      <c r="G30" s="437"/>
      <c r="H30" s="433" t="s">
        <v>238</v>
      </c>
      <c r="I30" s="434">
        <v>98</v>
      </c>
      <c r="J30" s="435">
        <v>123</v>
      </c>
    </row>
    <row r="31" spans="4:10" s="37" customFormat="1" ht="20.100000000000001" customHeight="1">
      <c r="D31" s="433"/>
      <c r="E31" s="434"/>
      <c r="F31" s="435"/>
      <c r="G31" s="437"/>
      <c r="H31" s="433"/>
      <c r="I31" s="434"/>
      <c r="J31" s="435"/>
    </row>
    <row r="32" spans="4:10" s="37" customFormat="1" ht="20.100000000000001" customHeight="1">
      <c r="D32" s="433"/>
      <c r="E32" s="434"/>
      <c r="F32" s="435"/>
      <c r="G32" s="437"/>
      <c r="H32" s="433"/>
      <c r="I32" s="434"/>
      <c r="J32" s="435"/>
    </row>
    <row r="33" spans="4:16" s="37" customFormat="1" ht="20.100000000000001" customHeight="1">
      <c r="D33" s="433"/>
      <c r="E33" s="434"/>
      <c r="F33" s="435"/>
      <c r="G33" s="437"/>
      <c r="H33" s="433"/>
      <c r="I33" s="434"/>
      <c r="J33" s="435"/>
    </row>
    <row r="34" spans="4:16" s="37" customFormat="1" ht="20.100000000000001" customHeight="1">
      <c r="D34" s="433"/>
      <c r="E34" s="434"/>
      <c r="F34" s="435"/>
      <c r="G34" s="437"/>
      <c r="H34" s="433"/>
      <c r="I34" s="434"/>
      <c r="J34" s="435"/>
    </row>
    <row r="35" spans="4:16" s="37" customFormat="1" ht="20.100000000000001" customHeight="1">
      <c r="D35" s="433"/>
      <c r="E35" s="434"/>
      <c r="F35" s="435"/>
      <c r="G35" s="437"/>
      <c r="H35" s="433"/>
      <c r="I35" s="434"/>
      <c r="J35" s="435"/>
    </row>
    <row r="36" spans="4:16" s="37" customFormat="1" ht="20.100000000000001" customHeight="1">
      <c r="D36" s="433"/>
      <c r="E36" s="434"/>
      <c r="F36" s="435"/>
      <c r="G36" s="437"/>
      <c r="H36" s="433"/>
      <c r="I36" s="434"/>
      <c r="J36" s="435"/>
    </row>
    <row r="37" spans="4:16" s="37" customFormat="1" ht="20.100000000000001" customHeight="1">
      <c r="D37" s="433"/>
      <c r="E37" s="434"/>
      <c r="F37" s="435"/>
      <c r="G37" s="437"/>
      <c r="H37" s="433"/>
      <c r="I37" s="434"/>
      <c r="J37" s="435"/>
    </row>
    <row r="38" spans="4:16" s="37" customFormat="1" ht="20.100000000000001" customHeight="1">
      <c r="D38" s="433"/>
      <c r="E38" s="434"/>
      <c r="F38" s="435"/>
      <c r="G38" s="437"/>
      <c r="H38" s="433"/>
      <c r="I38" s="434"/>
      <c r="J38" s="435"/>
    </row>
    <row r="39" spans="4:16" s="37" customFormat="1" ht="20.100000000000001" customHeight="1">
      <c r="D39" s="433"/>
      <c r="E39" s="434"/>
      <c r="F39" s="435"/>
      <c r="G39" s="437"/>
      <c r="H39" s="433"/>
      <c r="I39" s="434"/>
      <c r="J39" s="435"/>
    </row>
    <row r="40" spans="4:16" s="37" customFormat="1" ht="19.5" customHeight="1" thickBot="1">
      <c r="D40" s="392"/>
      <c r="E40" s="393"/>
      <c r="F40" s="436"/>
      <c r="G40" s="437"/>
      <c r="H40" s="392"/>
      <c r="I40" s="393"/>
      <c r="J40" s="436"/>
    </row>
    <row r="41" spans="4:16" ht="20.100000000000001" customHeight="1">
      <c r="D41" s="347"/>
    </row>
    <row r="42" spans="4:16" ht="20.100000000000001" customHeight="1">
      <c r="D42" s="347"/>
    </row>
    <row r="43" spans="4:16" ht="20.100000000000001" customHeight="1" thickBot="1">
      <c r="D43" s="348" t="s">
        <v>284</v>
      </c>
    </row>
    <row r="44" spans="4:16" s="37" customFormat="1" ht="31.5" customHeight="1">
      <c r="D44" s="351" t="s">
        <v>236</v>
      </c>
      <c r="E44" s="359" t="s">
        <v>237</v>
      </c>
      <c r="F44" s="359" t="s">
        <v>238</v>
      </c>
      <c r="G44" s="359"/>
      <c r="H44" s="359"/>
      <c r="I44" s="359"/>
      <c r="J44" s="359"/>
      <c r="K44" s="359"/>
      <c r="L44" s="359"/>
      <c r="M44" s="359"/>
      <c r="N44" s="359"/>
      <c r="O44" s="359"/>
      <c r="P44" s="360"/>
    </row>
    <row r="45" spans="4:16" s="384" customFormat="1" ht="30" customHeight="1" thickBot="1">
      <c r="D45" s="392">
        <v>130</v>
      </c>
      <c r="E45" s="393">
        <v>130</v>
      </c>
      <c r="F45" s="393">
        <v>130</v>
      </c>
      <c r="G45" s="382"/>
      <c r="H45" s="382"/>
      <c r="I45" s="382"/>
      <c r="J45" s="382"/>
      <c r="K45" s="382"/>
      <c r="L45" s="382"/>
      <c r="M45" s="382"/>
      <c r="N45" s="382"/>
      <c r="O45" s="382"/>
      <c r="P45" s="383"/>
    </row>
    <row r="46" spans="4:16" ht="20.100000000000001" customHeight="1">
      <c r="D46" s="347"/>
    </row>
    <row r="47" spans="4:16" ht="20.100000000000001" customHeight="1">
      <c r="D47" s="347"/>
    </row>
    <row r="48" spans="4:16" ht="22.5" customHeight="1" thickBot="1">
      <c r="D48" s="348" t="s">
        <v>296</v>
      </c>
    </row>
    <row r="49" spans="4:16" s="37" customFormat="1" ht="36.75" customHeight="1">
      <c r="D49" s="351" t="s">
        <v>236</v>
      </c>
      <c r="E49" s="359" t="s">
        <v>237</v>
      </c>
      <c r="F49" s="359" t="s">
        <v>238</v>
      </c>
      <c r="G49" s="359"/>
      <c r="H49" s="359"/>
      <c r="I49" s="359"/>
      <c r="J49" s="359"/>
      <c r="K49" s="359"/>
      <c r="L49" s="359"/>
      <c r="M49" s="359"/>
      <c r="N49" s="359"/>
      <c r="O49" s="359"/>
      <c r="P49" s="360"/>
    </row>
    <row r="50" spans="4:16" s="384" customFormat="1" ht="30" customHeight="1" thickBot="1">
      <c r="D50" s="392" t="s">
        <v>398</v>
      </c>
      <c r="E50" s="393" t="s">
        <v>399</v>
      </c>
      <c r="F50" s="393" t="s">
        <v>399</v>
      </c>
      <c r="G50" s="382"/>
      <c r="H50" s="382"/>
      <c r="I50" s="382"/>
      <c r="J50" s="382"/>
      <c r="K50" s="382"/>
      <c r="L50" s="382"/>
      <c r="M50" s="382"/>
      <c r="N50" s="382"/>
      <c r="O50" s="382"/>
      <c r="P50" s="383"/>
    </row>
    <row r="51" spans="4:16" ht="20.100000000000001" customHeight="1">
      <c r="D51" s="347"/>
    </row>
    <row r="52" spans="4:16" ht="20.100000000000001" customHeight="1">
      <c r="D52" s="347"/>
    </row>
    <row r="53" spans="4:16" ht="20.100000000000001" customHeight="1" thickBot="1">
      <c r="D53" s="348" t="s">
        <v>301</v>
      </c>
    </row>
    <row r="54" spans="4:16" s="37" customFormat="1" ht="40.5" customHeight="1">
      <c r="D54" s="351" t="s">
        <v>236</v>
      </c>
      <c r="E54" s="359" t="s">
        <v>237</v>
      </c>
      <c r="F54" s="359" t="s">
        <v>238</v>
      </c>
      <c r="G54" s="359"/>
      <c r="H54" s="359"/>
      <c r="I54" s="359"/>
      <c r="J54" s="359"/>
      <c r="K54" s="359"/>
      <c r="L54" s="359"/>
      <c r="M54" s="359"/>
      <c r="N54" s="359"/>
      <c r="O54" s="359"/>
      <c r="P54" s="360"/>
    </row>
    <row r="55" spans="4:16" s="384" customFormat="1" ht="30" customHeight="1" thickBot="1">
      <c r="D55" s="392" t="s">
        <v>406</v>
      </c>
      <c r="E55" s="393" t="s">
        <v>407</v>
      </c>
      <c r="F55" s="393" t="s">
        <v>407</v>
      </c>
      <c r="G55" s="382"/>
      <c r="H55" s="382"/>
      <c r="I55" s="382"/>
      <c r="J55" s="382"/>
      <c r="K55" s="382"/>
      <c r="L55" s="382"/>
      <c r="M55" s="382"/>
      <c r="N55" s="382"/>
      <c r="O55" s="382"/>
      <c r="P55" s="383"/>
    </row>
    <row r="58" spans="4:16" ht="20.100000000000001" customHeight="1" thickBot="1">
      <c r="D58" s="348" t="s">
        <v>226</v>
      </c>
    </row>
    <row r="59" spans="4:16" ht="36.75" customHeight="1">
      <c r="D59" s="351" t="s">
        <v>236</v>
      </c>
      <c r="E59" s="359" t="s">
        <v>237</v>
      </c>
      <c r="F59" s="359" t="s">
        <v>238</v>
      </c>
      <c r="G59" s="359"/>
      <c r="H59" s="359"/>
      <c r="I59" s="359"/>
      <c r="J59" s="359"/>
      <c r="K59" s="359"/>
      <c r="L59" s="359"/>
      <c r="M59" s="359"/>
      <c r="N59" s="359"/>
      <c r="O59" s="359"/>
      <c r="P59" s="360"/>
    </row>
    <row r="60" spans="4:16" ht="30" customHeight="1" thickBot="1">
      <c r="D60" s="392" t="s">
        <v>400</v>
      </c>
      <c r="E60" s="393" t="s">
        <v>401</v>
      </c>
      <c r="F60" s="393" t="s">
        <v>402</v>
      </c>
      <c r="G60" s="382"/>
      <c r="H60" s="382"/>
      <c r="I60" s="382"/>
      <c r="J60" s="382"/>
      <c r="K60" s="382"/>
      <c r="L60" s="382"/>
      <c r="M60" s="382"/>
      <c r="N60" s="382"/>
      <c r="O60" s="382"/>
      <c r="P60" s="383"/>
    </row>
    <row r="63" spans="4:16" ht="20.100000000000001" customHeight="1" thickBot="1">
      <c r="D63" s="348" t="s">
        <v>227</v>
      </c>
    </row>
    <row r="64" spans="4:16" ht="36.75" customHeight="1">
      <c r="D64" s="351" t="s">
        <v>236</v>
      </c>
      <c r="E64" s="359" t="s">
        <v>237</v>
      </c>
      <c r="F64" s="359" t="s">
        <v>238</v>
      </c>
      <c r="G64" s="359"/>
      <c r="H64" s="359"/>
      <c r="I64" s="359"/>
      <c r="J64" s="359"/>
      <c r="K64" s="359"/>
      <c r="L64" s="359"/>
      <c r="M64" s="359"/>
      <c r="N64" s="359"/>
      <c r="O64" s="359"/>
      <c r="P64" s="360"/>
    </row>
    <row r="65" spans="4:16" ht="30" customHeight="1" thickBot="1">
      <c r="D65" s="392" t="s">
        <v>403</v>
      </c>
      <c r="E65" s="393" t="s">
        <v>404</v>
      </c>
      <c r="F65" s="393" t="s">
        <v>405</v>
      </c>
      <c r="G65" s="382"/>
      <c r="H65" s="382"/>
      <c r="I65" s="382"/>
      <c r="J65" s="382"/>
      <c r="K65" s="382"/>
      <c r="L65" s="382"/>
      <c r="M65" s="382"/>
      <c r="N65" s="382"/>
      <c r="O65" s="382"/>
      <c r="P65" s="38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500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569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Well!G4</f>
        <v>200</v>
      </c>
    </row>
    <row r="9" spans="1:13" ht="20.100000000000001" customHeight="1" thickBot="1">
      <c r="B9" s="6" t="s">
        <v>61</v>
      </c>
      <c r="C9" s="573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574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54" t="s">
        <v>119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488</v>
      </c>
      <c r="H12" s="18"/>
      <c r="J12" s="184" t="s">
        <v>121</v>
      </c>
      <c r="K12" s="395">
        <v>14</v>
      </c>
      <c r="L12" s="394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575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573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572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576">
        <f>Well!J4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572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572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381">
        <f>K18*100</f>
        <v>2.5319488817891376</v>
      </c>
    </row>
    <row r="19" spans="2:12" ht="20.100000000000001" customHeight="1" thickBot="1">
      <c r="B19" s="21" t="s">
        <v>76</v>
      </c>
      <c r="C19" s="577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78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580">
        <f>C21-C20</f>
        <v>50.5</v>
      </c>
      <c r="E22" s="556">
        <f>E21+F21</f>
        <v>562.79999999999995</v>
      </c>
      <c r="F22" s="557"/>
      <c r="G22" s="20"/>
      <c r="I22" s="19"/>
    </row>
    <row r="23" spans="2:12" ht="20.100000000000001" customHeight="1" thickBot="1">
      <c r="B23" s="501" t="s">
        <v>240</v>
      </c>
      <c r="C23" s="502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99</v>
      </c>
      <c r="C25" s="551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52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305</v>
      </c>
    </row>
    <row r="27" spans="2:12" ht="25.5" customHeight="1">
      <c r="B27" s="552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52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52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52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53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500" t="str">
        <f>Well!D5</f>
        <v>충남 보령시 천북면 하만리 산 143-5</v>
      </c>
      <c r="H2"/>
      <c r="I2" s="297" t="s">
        <v>275</v>
      </c>
      <c r="J2"/>
      <c r="K2"/>
      <c r="L2"/>
      <c r="M2"/>
    </row>
    <row r="3" spans="1:13" ht="20.100000000000001" customHeight="1">
      <c r="B3" s="2" t="s">
        <v>6</v>
      </c>
      <c r="C3" s="569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Well!G5</f>
        <v>200</v>
      </c>
    </row>
    <row r="9" spans="1:13" ht="20.100000000000001" customHeight="1" thickBot="1">
      <c r="B9" s="6" t="s">
        <v>61</v>
      </c>
      <c r="C9" s="573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574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54" t="s">
        <v>119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238</v>
      </c>
      <c r="H12" s="18"/>
      <c r="J12" s="184" t="s">
        <v>121</v>
      </c>
      <c r="K12" s="395">
        <v>20</v>
      </c>
      <c r="L12" s="394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575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573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572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576">
        <f>Well!J5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572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572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381">
        <f>K18*100</f>
        <v>1.8142734307824593</v>
      </c>
    </row>
    <row r="19" spans="2:12" ht="20.100000000000001" customHeight="1" thickBot="1">
      <c r="B19" s="21" t="s">
        <v>76</v>
      </c>
      <c r="C19" s="577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78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580">
        <f>C21-C20</f>
        <v>46.800000000000004</v>
      </c>
      <c r="E22" s="556">
        <f>E21+F21</f>
        <v>302.8</v>
      </c>
      <c r="F22" s="557"/>
      <c r="G22" s="20"/>
      <c r="I22" s="19"/>
    </row>
    <row r="23" spans="2:12" ht="20.100000000000001" customHeight="1" thickBot="1">
      <c r="B23" s="501" t="s">
        <v>240</v>
      </c>
      <c r="C23" s="502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99</v>
      </c>
      <c r="C25" s="551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52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305</v>
      </c>
    </row>
    <row r="27" spans="2:12" ht="25.5" customHeight="1">
      <c r="B27" s="552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52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52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52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53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500" t="str">
        <f>Well!D6</f>
        <v>충남 보령시 천북면 하만리 산 143-5</v>
      </c>
      <c r="H2"/>
      <c r="I2" s="297" t="s">
        <v>300</v>
      </c>
      <c r="J2"/>
      <c r="K2"/>
      <c r="L2"/>
      <c r="M2"/>
    </row>
    <row r="3" spans="1:13" ht="20.100000000000001" customHeight="1">
      <c r="B3" s="2" t="s">
        <v>6</v>
      </c>
      <c r="C3" s="569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Well!G6</f>
        <v>200</v>
      </c>
    </row>
    <row r="9" spans="1:13" ht="20.100000000000001" customHeight="1" thickBot="1">
      <c r="B9" s="6" t="s">
        <v>61</v>
      </c>
      <c r="C9" s="573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574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54" t="s">
        <v>119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238</v>
      </c>
      <c r="H12" s="18"/>
      <c r="J12" s="184" t="s">
        <v>121</v>
      </c>
      <c r="K12" s="395">
        <v>16</v>
      </c>
      <c r="L12" s="394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575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573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572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576">
        <f>Well!J6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572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572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381">
        <f>K18*100</f>
        <v>2.4736842105263159</v>
      </c>
    </row>
    <row r="19" spans="2:12" ht="20.100000000000001" customHeight="1" thickBot="1">
      <c r="B19" s="21" t="s">
        <v>76</v>
      </c>
      <c r="C19" s="577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578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580">
        <f>C21-C20</f>
        <v>48.599999999999994</v>
      </c>
      <c r="E22" s="556">
        <f>E21+F21</f>
        <v>302.8</v>
      </c>
      <c r="F22" s="557"/>
      <c r="G22" s="20"/>
      <c r="I22" s="19"/>
    </row>
    <row r="23" spans="2:12" ht="20.100000000000001" customHeight="1" thickBot="1">
      <c r="B23" s="501" t="s">
        <v>240</v>
      </c>
      <c r="C23" s="502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99</v>
      </c>
      <c r="C25" s="551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52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305</v>
      </c>
    </row>
    <row r="27" spans="2:12" ht="25.5" customHeight="1">
      <c r="B27" s="552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52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52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52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53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F30" sqref="F30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5" t="s">
        <v>82</v>
      </c>
      <c r="C6" s="378">
        <v>44753.861111111109</v>
      </c>
      <c r="D6" s="125"/>
      <c r="E6" s="37"/>
      <c r="F6" s="37"/>
    </row>
    <row r="7" spans="2:14" s="38" customFormat="1" ht="26.1" customHeight="1" thickBot="1">
      <c r="B7" s="368" t="s">
        <v>83</v>
      </c>
      <c r="C7" s="373">
        <v>14.6</v>
      </c>
      <c r="D7" s="125"/>
      <c r="E7" s="37"/>
      <c r="F7" s="37"/>
    </row>
    <row r="8" spans="2:14" s="38" customFormat="1" ht="26.1" customHeight="1">
      <c r="B8" s="365" t="s">
        <v>84</v>
      </c>
      <c r="C8" s="379">
        <v>211</v>
      </c>
      <c r="D8" s="125"/>
      <c r="E8" s="37"/>
      <c r="F8" s="37"/>
    </row>
    <row r="9" spans="2:14" s="38" customFormat="1" ht="26.1" customHeight="1" thickBot="1">
      <c r="B9" s="368" t="s">
        <v>85</v>
      </c>
      <c r="C9" s="38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60" t="s">
        <v>86</v>
      </c>
      <c r="C12" s="561"/>
      <c r="D12" s="562" t="s">
        <v>87</v>
      </c>
      <c r="E12" s="563"/>
      <c r="F12" s="561"/>
      <c r="H12" s="560" t="s">
        <v>87</v>
      </c>
      <c r="I12" s="563"/>
      <c r="J12" s="561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64" t="s">
        <v>36</v>
      </c>
      <c r="C24" s="565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64" t="s">
        <v>37</v>
      </c>
      <c r="C25" s="565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58" t="s">
        <v>92</v>
      </c>
      <c r="C26" s="559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9525</xdr:colOff>
                <xdr:row>4</xdr:row>
                <xdr:rowOff>66675</xdr:rowOff>
              </from>
              <to>
                <xdr:col>7</xdr:col>
                <xdr:colOff>38100</xdr:colOff>
                <xdr:row>5</xdr:row>
                <xdr:rowOff>238125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9525</xdr:colOff>
                <xdr:row>5</xdr:row>
                <xdr:rowOff>285750</xdr:rowOff>
              </from>
              <to>
                <xdr:col>7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9525</xdr:colOff>
                <xdr:row>7</xdr:row>
                <xdr:rowOff>95250</xdr:rowOff>
              </from>
              <to>
                <xdr:col>7</xdr:col>
                <xdr:colOff>38100</xdr:colOff>
                <xdr:row>8</xdr:row>
                <xdr:rowOff>171450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8" sqref="L8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1" t="s">
        <v>82</v>
      </c>
      <c r="C6" s="372">
        <v>44753.861111111109</v>
      </c>
      <c r="D6" s="125"/>
      <c r="E6" s="37"/>
      <c r="F6" s="37"/>
    </row>
    <row r="7" spans="2:9" s="38" customFormat="1" ht="26.1" customHeight="1" thickBot="1">
      <c r="B7" s="368" t="s">
        <v>83</v>
      </c>
      <c r="C7" s="373">
        <v>14</v>
      </c>
      <c r="D7" s="125"/>
      <c r="E7" s="37"/>
      <c r="F7" s="37"/>
    </row>
    <row r="8" spans="2:9" s="38" customFormat="1" ht="26.1" customHeight="1">
      <c r="B8" s="365" t="s">
        <v>84</v>
      </c>
      <c r="C8" s="366">
        <v>226</v>
      </c>
      <c r="D8" s="367">
        <v>229</v>
      </c>
      <c r="E8" s="37"/>
      <c r="F8" s="37"/>
    </row>
    <row r="9" spans="2:9" s="38" customFormat="1" ht="26.1" customHeight="1" thickBot="1">
      <c r="B9" s="368" t="s">
        <v>85</v>
      </c>
      <c r="C9" s="369">
        <v>7.9</v>
      </c>
      <c r="D9" s="37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60" t="s">
        <v>86</v>
      </c>
      <c r="C12" s="561"/>
      <c r="D12" s="560" t="s">
        <v>87</v>
      </c>
      <c r="E12" s="563"/>
      <c r="F12" s="561"/>
      <c r="G12" s="566" t="s">
        <v>159</v>
      </c>
      <c r="H12" s="567"/>
      <c r="I12" s="568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64" t="s">
        <v>36</v>
      </c>
      <c r="C24" s="565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64" t="s">
        <v>37</v>
      </c>
      <c r="C25" s="565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58" t="s">
        <v>92</v>
      </c>
      <c r="C26" s="559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60" t="s">
        <v>87</v>
      </c>
      <c r="E29" s="563"/>
      <c r="F29" s="561"/>
      <c r="H29" s="560" t="s">
        <v>159</v>
      </c>
      <c r="I29" s="563"/>
      <c r="J29" s="561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4" r:id="rId4" name="CommandButton4">
          <controlPr defaultSize="0" autoLine="0" autoPict="0" r:id="rId5">
            <anchor moveWithCells="1">
              <from>
                <xdr:col>5</xdr:col>
                <xdr:colOff>57150</xdr:colOff>
                <xdr:row>7</xdr:row>
                <xdr:rowOff>76200</xdr:rowOff>
              </from>
              <to>
                <xdr:col>8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26984" r:id="rId4" name="CommandButton4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57150</xdr:colOff>
                <xdr:row>5</xdr:row>
                <xdr:rowOff>304800</xdr:rowOff>
              </from>
              <to>
                <xdr:col>8</xdr:col>
                <xdr:colOff>676275</xdr:colOff>
                <xdr:row>7</xdr:row>
                <xdr:rowOff>47625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77" r:id="rId8" name="CommandButton1">
          <controlPr defaultSize="0" autoLine="0" autoPict="0" r:id="rId9">
            <anchor moveWithCells="1">
              <from>
                <xdr:col>5</xdr:col>
                <xdr:colOff>57150</xdr:colOff>
                <xdr:row>2</xdr:row>
                <xdr:rowOff>142875</xdr:rowOff>
              </from>
              <to>
                <xdr:col>8</xdr:col>
                <xdr:colOff>676275</xdr:colOff>
                <xdr:row>4</xdr:row>
                <xdr:rowOff>85725</xdr:rowOff>
              </to>
            </anchor>
          </controlPr>
        </control>
      </mc:Choice>
      <mc:Fallback>
        <control shapeId="126977" r:id="rId8" name="CommandButton1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57150</xdr:colOff>
                <xdr:row>4</xdr:row>
                <xdr:rowOff>104775</xdr:rowOff>
              </from>
              <to>
                <xdr:col>8</xdr:col>
                <xdr:colOff>676275</xdr:colOff>
                <xdr:row>5</xdr:row>
                <xdr:rowOff>276225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O9" sqref="O9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1" t="s">
        <v>82</v>
      </c>
      <c r="C6" s="372">
        <v>44717.430555555555</v>
      </c>
      <c r="D6" s="125"/>
      <c r="E6" s="125"/>
      <c r="F6" s="37"/>
    </row>
    <row r="7" spans="2:12" s="38" customFormat="1" ht="26.1" customHeight="1" thickBot="1">
      <c r="B7" s="374" t="s">
        <v>83</v>
      </c>
      <c r="C7" s="375">
        <v>14.7</v>
      </c>
      <c r="D7" s="125"/>
      <c r="E7" s="125"/>
      <c r="F7" s="37"/>
    </row>
    <row r="8" spans="2:12" s="38" customFormat="1" ht="26.1" customHeight="1">
      <c r="B8" s="365" t="s">
        <v>84</v>
      </c>
      <c r="C8" s="366">
        <v>197</v>
      </c>
      <c r="D8" s="376">
        <v>197</v>
      </c>
      <c r="E8" s="367">
        <v>194</v>
      </c>
      <c r="F8" s="37"/>
    </row>
    <row r="9" spans="2:12" s="38" customFormat="1" ht="26.1" customHeight="1" thickBot="1">
      <c r="B9" s="368" t="s">
        <v>85</v>
      </c>
      <c r="C9" s="369">
        <v>8.4</v>
      </c>
      <c r="D9" s="377">
        <v>8.3000000000000007</v>
      </c>
      <c r="E9" s="37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60" t="s">
        <v>86</v>
      </c>
      <c r="C12" s="561"/>
      <c r="D12" s="566" t="s">
        <v>87</v>
      </c>
      <c r="E12" s="567"/>
      <c r="F12" s="568"/>
      <c r="G12" s="566" t="s">
        <v>159</v>
      </c>
      <c r="H12" s="567"/>
      <c r="I12" s="568"/>
      <c r="J12" s="566" t="s">
        <v>160</v>
      </c>
      <c r="K12" s="567"/>
      <c r="L12" s="568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64" t="s">
        <v>36</v>
      </c>
      <c r="C24" s="565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64" t="s">
        <v>37</v>
      </c>
      <c r="C25" s="565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58" t="s">
        <v>92</v>
      </c>
      <c r="C26" s="559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60" t="s">
        <v>87</v>
      </c>
      <c r="E29" s="563"/>
      <c r="F29" s="561"/>
      <c r="H29" s="560" t="s">
        <v>159</v>
      </c>
      <c r="I29" s="563"/>
      <c r="J29" s="561"/>
      <c r="L29" s="560" t="s">
        <v>160</v>
      </c>
      <c r="M29" s="563"/>
      <c r="N29" s="561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114300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9</xdr:row>
                <xdr:rowOff>19050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1" r:id="rId10" name="CommandButton1">
          <controlPr defaultSize="0" autoLine="0" autoPict="0" r:id="rId11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3</xdr:row>
                <xdr:rowOff>19050</xdr:rowOff>
              </to>
            </anchor>
          </controlPr>
        </control>
      </mc:Choice>
      <mc:Fallback>
        <control shapeId="128001" r:id="rId10" name="CommandButton1"/>
      </mc:Fallback>
    </mc:AlternateContent>
    <mc:AlternateContent xmlns:mc="http://schemas.openxmlformats.org/markup-compatibility/2006">
      <mc:Choice Requires="x14">
        <control shapeId="128002" r:id="rId12" name="CommandButton2">
          <controlPr defaultSize="0" autoLine="0" r:id="rId13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28002" r:id="rId12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2023-03-18T14:53:55Z</dcterms:modified>
</cp:coreProperties>
</file>