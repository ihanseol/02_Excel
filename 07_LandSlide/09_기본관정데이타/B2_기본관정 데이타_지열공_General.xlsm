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8_ihanseol - 2023\01_농업용 - 학성농장, 관정개발 - 산수개발\"/>
    </mc:Choice>
  </mc:AlternateContent>
  <xr:revisionPtr revIDLastSave="0" documentId="13_ncr:1_{F904E57B-6598-42CA-98DE-0079E275B335}" xr6:coauthVersionLast="47" xr6:coauthVersionMax="47" xr10:uidLastSave="{00000000-0000-0000-0000-000000000000}"/>
  <bookViews>
    <workbookView xWindow="40155" yWindow="375" windowWidth="28515" windowHeight="19635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5" r:id="rId12"/>
    <sheet name="3" sheetId="186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<sst xmlns="http://schemas.openxmlformats.org/spreadsheetml/2006/main" count="687" uniqueCount="336">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</sst>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theme="6"/>
      </left>
      <right/>
      <top style="medium">
        <color indexed="64"/>
      </top>
      <bottom/>
      <diagonal/>
    </border>
    <border>
      <left style="thin">
        <color theme="6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6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4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9" fillId="0" borderId="0" xfId="18" applyFont="1" applyAlignment="1">
      <alignment horizontal="lef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11" xfId="20" applyNumberFormat="1" applyFont="1" applyBorder="1" applyAlignment="1" applyProtection="1">
      <alignment horizontal="center" vertical="center"/>
      <protection locked="0"/>
    </xf>
    <xf numFmtId="3" fontId="34" fillId="0" borderId="11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116" xfId="16" applyFont="1" applyFill="1" applyBorder="1" applyAlignment="1">
      <alignment horizontal="center" vertical="center"/>
    </xf>
    <xf numFmtId="190" fontId="42" fillId="23" borderId="116" xfId="16" applyNumberFormat="1" applyFont="1" applyFill="1" applyBorder="1" applyAlignment="1">
      <alignment horizontal="center" vertical="center"/>
    </xf>
    <xf numFmtId="189" fontId="42" fillId="23" borderId="117" xfId="25" applyNumberFormat="1" applyFont="1" applyFill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102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107" xfId="16" applyFont="1" applyBorder="1" applyAlignment="1">
      <alignment horizontal="right" vertical="center"/>
    </xf>
    <xf numFmtId="0" fontId="52" fillId="0" borderId="108" xfId="16" applyFont="1" applyBorder="1" applyAlignment="1">
      <alignment horizontal="right" vertical="center"/>
    </xf>
    <xf numFmtId="0" fontId="52" fillId="0" borderId="109" xfId="16" applyFont="1" applyBorder="1" applyAlignment="1">
      <alignment horizontal="right" vertical="center"/>
    </xf>
    <xf numFmtId="0" fontId="51" fillId="33" borderId="110" xfId="16" applyFont="1" applyFill="1" applyBorder="1" applyAlignment="1">
      <alignment horizontal="right" vertical="center"/>
    </xf>
    <xf numFmtId="0" fontId="51" fillId="33" borderId="111" xfId="16" applyFont="1" applyFill="1" applyBorder="1" applyAlignment="1">
      <alignment horizontal="right" vertical="center"/>
    </xf>
    <xf numFmtId="0" fontId="51" fillId="33" borderId="112" xfId="16" applyFont="1" applyFill="1" applyBorder="1" applyAlignment="1">
      <alignment horizontal="right" vertical="center"/>
    </xf>
    <xf numFmtId="0" fontId="49" fillId="33" borderId="110" xfId="16" applyFont="1" applyFill="1" applyBorder="1" applyAlignment="1">
      <alignment horizontal="right" vertical="center"/>
    </xf>
    <xf numFmtId="0" fontId="49" fillId="33" borderId="111" xfId="16" applyFont="1" applyFill="1" applyBorder="1" applyAlignment="1">
      <alignment horizontal="right" vertical="center"/>
    </xf>
    <xf numFmtId="0" fontId="49" fillId="33" borderId="112" xfId="16" applyFont="1" applyFill="1" applyBorder="1" applyAlignment="1">
      <alignment horizontal="right" vertical="center"/>
    </xf>
    <xf numFmtId="0" fontId="49" fillId="0" borderId="110" xfId="16" applyFont="1" applyBorder="1" applyAlignment="1">
      <alignment horizontal="right" vertical="center"/>
    </xf>
    <xf numFmtId="0" fontId="49" fillId="0" borderId="111" xfId="16" applyFont="1" applyBorder="1" applyAlignment="1">
      <alignment horizontal="right" vertical="center"/>
    </xf>
    <xf numFmtId="0" fontId="49" fillId="0" borderId="112" xfId="16" applyFont="1" applyBorder="1" applyAlignment="1">
      <alignment horizontal="right" vertical="center"/>
    </xf>
    <xf numFmtId="0" fontId="51" fillId="0" borderId="110" xfId="16" applyFont="1" applyBorder="1" applyAlignment="1">
      <alignment horizontal="right" vertical="center"/>
    </xf>
    <xf numFmtId="0" fontId="51" fillId="0" borderId="111" xfId="16" applyFont="1" applyBorder="1" applyAlignment="1">
      <alignment horizontal="right" vertical="center"/>
    </xf>
    <xf numFmtId="0" fontId="51" fillId="0" borderId="112" xfId="16" applyFont="1" applyBorder="1" applyAlignment="1">
      <alignment horizontal="right" vertical="center"/>
    </xf>
    <xf numFmtId="2" fontId="49" fillId="0" borderId="110" xfId="16" applyNumberFormat="1" applyFont="1" applyBorder="1" applyAlignment="1">
      <alignment horizontal="right" vertical="center"/>
    </xf>
    <xf numFmtId="2" fontId="49" fillId="0" borderId="111" xfId="16" applyNumberFormat="1" applyFont="1" applyBorder="1" applyAlignment="1">
      <alignment horizontal="right" vertical="center"/>
    </xf>
    <xf numFmtId="2" fontId="49" fillId="0" borderId="112" xfId="16" applyNumberFormat="1" applyFont="1" applyBorder="1" applyAlignment="1">
      <alignment horizontal="right" vertical="center"/>
    </xf>
    <xf numFmtId="0" fontId="53" fillId="34" borderId="113" xfId="16" applyFont="1" applyFill="1" applyBorder="1" applyAlignment="1">
      <alignment horizontal="right" vertical="center"/>
    </xf>
    <xf numFmtId="0" fontId="53" fillId="34" borderId="114" xfId="16" applyFont="1" applyFill="1" applyBorder="1" applyAlignment="1">
      <alignment horizontal="right" vertical="center"/>
    </xf>
    <xf numFmtId="0" fontId="53" fillId="34" borderId="115" xfId="16" applyFont="1" applyFill="1" applyBorder="1" applyAlignment="1">
      <alignment horizontal="right" vertical="center"/>
    </xf>
    <xf numFmtId="0" fontId="52" fillId="0" borderId="113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0" fontId="54" fillId="0" borderId="118" xfId="16" applyFont="1" applyBorder="1" applyAlignment="1">
      <alignment horizontal="center" vertical="center"/>
    </xf>
    <xf numFmtId="0" fontId="54" fillId="33" borderId="119" xfId="16" applyFont="1" applyFill="1" applyBorder="1" applyAlignment="1">
      <alignment horizontal="center" vertical="center"/>
    </xf>
    <xf numFmtId="0" fontId="54" fillId="0" borderId="119" xfId="16" applyFont="1" applyBorder="1" applyAlignment="1">
      <alignment horizontal="center" vertical="center"/>
    </xf>
    <xf numFmtId="0" fontId="54" fillId="0" borderId="120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107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 wrapText="1"/>
    </xf>
    <xf numFmtId="41" fontId="29" fillId="9" borderId="108" xfId="20" applyFont="1" applyFill="1" applyBorder="1" applyAlignment="1">
      <alignment horizontal="center" vertical="center" wrapText="1"/>
    </xf>
    <xf numFmtId="41" fontId="29" fillId="9" borderId="111" xfId="20" applyFont="1" applyFill="1" applyBorder="1" applyAlignment="1">
      <alignment horizontal="center" vertical="center" wrapText="1"/>
    </xf>
    <xf numFmtId="0" fontId="44" fillId="9" borderId="108" xfId="21" applyFont="1" applyFill="1" applyBorder="1" applyAlignment="1">
      <alignment horizontal="center" vertical="center" wrapText="1"/>
    </xf>
    <xf numFmtId="0" fontId="44" fillId="9" borderId="111" xfId="21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0" borderId="14" xfId="0" applyFont="1" applyBorder="1" applyAlignment="1">
      <alignment horizontal="center" vertical="center"/>
    </xf>
    <xf numFmtId="0" fontId="47" fillId="0" borderId="71" xfId="0" applyFont="1" applyBorder="1" applyAlignment="1">
      <alignment horizontal="center" vertical="center"/>
    </xf>
    <xf numFmtId="177" fontId="47" fillId="0" borderId="71" xfId="0" applyNumberFormat="1" applyFont="1" applyBorder="1" applyAlignment="1">
      <alignment horizontal="center" vertical="center"/>
    </xf>
    <xf numFmtId="189" fontId="47" fillId="0" borderId="16" xfId="0" applyNumberFormat="1" applyFont="1" applyBorder="1" applyAlignment="1">
      <alignment horizontal="center" vertical="center"/>
    </xf>
    <xf numFmtId="0" fontId="47" fillId="0" borderId="77" xfId="0" applyFont="1" applyBorder="1" applyAlignment="1">
      <alignment horizontal="center" vertical="center"/>
    </xf>
    <xf numFmtId="177" fontId="47" fillId="0" borderId="0" xfId="0" applyNumberFormat="1" applyFont="1" applyAlignment="1">
      <alignment horizontal="center" vertical="center"/>
    </xf>
    <xf numFmtId="189" fontId="47" fillId="0" borderId="79" xfId="0" applyNumberFormat="1" applyFont="1" applyBorder="1" applyAlignment="1">
      <alignment horizontal="center" vertical="center"/>
    </xf>
    <xf numFmtId="0" fontId="47" fillId="0" borderId="79" xfId="0" applyFont="1" applyBorder="1" applyAlignment="1">
      <alignment horizontal="center" vertical="center"/>
    </xf>
    <xf numFmtId="0" fontId="47" fillId="0" borderId="78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189" fontId="55" fillId="0" borderId="89" xfId="25" applyNumberFormat="1" applyFont="1" applyBorder="1" applyAlignment="1">
      <alignment horizontal="center" vertical="center"/>
    </xf>
    <xf numFmtId="189" fontId="55" fillId="0" borderId="94" xfId="25" applyNumberFormat="1" applyFont="1" applyBorder="1" applyAlignment="1">
      <alignment horizontal="center" vertical="center"/>
    </xf>
    <xf numFmtId="190" fontId="55" fillId="0" borderId="89" xfId="0" applyNumberFormat="1" applyFont="1" applyBorder="1" applyAlignment="1">
      <alignment horizontal="center" vertical="center"/>
    </xf>
    <xf numFmtId="190" fontId="55" fillId="0" borderId="94" xfId="0" applyNumberFormat="1" applyFont="1" applyBorder="1" applyAlignment="1">
      <alignment horizontal="center" vertical="center"/>
    </xf>
    <xf numFmtId="0" fontId="55" fillId="0" borderId="96" xfId="0" applyFont="1" applyBorder="1" applyAlignment="1">
      <alignment horizontal="center" vertical="center"/>
    </xf>
    <xf numFmtId="0" fontId="55" fillId="0" borderId="97" xfId="0" applyFont="1" applyBorder="1" applyAlignment="1">
      <alignment horizontal="center" vertical="center"/>
    </xf>
    <xf numFmtId="189" fontId="55" fillId="0" borderId="105" xfId="25" applyNumberFormat="1" applyFont="1" applyBorder="1" applyAlignment="1">
      <alignment horizontal="center" vertical="center"/>
    </xf>
    <xf numFmtId="0" fontId="55" fillId="0" borderId="89" xfId="25" applyNumberFormat="1" applyFont="1" applyBorder="1" applyAlignment="1">
      <alignment horizontal="center" vertical="center"/>
    </xf>
    <xf numFmtId="0" fontId="55" fillId="0" borderId="94" xfId="25" applyNumberFormat="1" applyFont="1" applyBorder="1" applyAlignment="1">
      <alignment horizontal="center" vertical="center"/>
    </xf>
    <xf numFmtId="0" fontId="46" fillId="0" borderId="14" xfId="0" applyFont="1" applyBorder="1" applyAlignment="1">
      <alignment horizontal="center" vertical="center"/>
    </xf>
    <xf numFmtId="0" fontId="47" fillId="0" borderId="104" xfId="0" applyFont="1" applyBorder="1" applyAlignment="1">
      <alignment horizontal="center" vertical="center"/>
    </xf>
    <xf numFmtId="0" fontId="47" fillId="0" borderId="104" xfId="0" applyFont="1" applyBorder="1" applyAlignment="1">
      <alignment horizontal="center" vertical="center"/>
    </xf>
    <xf numFmtId="190" fontId="47" fillId="0" borderId="16" xfId="0" applyNumberFormat="1" applyFont="1" applyBorder="1" applyAlignment="1">
      <alignment horizontal="center" vertical="center"/>
    </xf>
    <xf numFmtId="0" fontId="46" fillId="0" borderId="78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0" fontId="47" fillId="0" borderId="18" xfId="0" applyFont="1" applyBorder="1" applyAlignment="1">
      <alignment horizontal="center" vertical="center"/>
    </xf>
    <xf numFmtId="190" fontId="47" fillId="0" borderId="17" xfId="0" applyNumberFormat="1" applyFont="1" applyBorder="1" applyAlignment="1">
      <alignment horizontal="center" vertical="center"/>
    </xf>
    <xf numFmtId="0" fontId="47" fillId="0" borderId="102" xfId="0" applyFont="1" applyBorder="1" applyAlignment="1">
      <alignment horizontal="center" vertical="center"/>
    </xf>
    <xf numFmtId="2" fontId="47" fillId="0" borderId="79" xfId="0" applyNumberFormat="1" applyFont="1" applyBorder="1" applyAlignment="1">
      <alignment horizontal="center" vertical="center"/>
    </xf>
    <xf numFmtId="2" fontId="47" fillId="0" borderId="17" xfId="0" applyNumberFormat="1" applyFont="1" applyBorder="1" applyAlignment="1">
      <alignment horizontal="center" vertical="center"/>
    </xf>
    <xf numFmtId="2" fontId="47" fillId="0" borderId="77" xfId="0" applyNumberFormat="1" applyFont="1" applyBorder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2" fontId="47" fillId="0" borderId="72" xfId="0" applyNumberFormat="1" applyFont="1" applyBorder="1" applyAlignment="1">
      <alignment horizontal="center" vertical="center"/>
    </xf>
    <xf numFmtId="0" fontId="47" fillId="0" borderId="0" xfId="0" applyFont="1"/>
    <xf numFmtId="0" fontId="47" fillId="0" borderId="79" xfId="0" applyFont="1" applyBorder="1"/>
    <xf numFmtId="0" fontId="47" fillId="0" borderId="72" xfId="0" applyFont="1" applyBorder="1"/>
    <xf numFmtId="0" fontId="47" fillId="0" borderId="17" xfId="0" applyFont="1" applyBorder="1"/>
    <xf numFmtId="0" fontId="47" fillId="0" borderId="16" xfId="0" applyFont="1" applyBorder="1" applyAlignment="1">
      <alignment horizontal="center" vertical="center"/>
    </xf>
    <xf numFmtId="2" fontId="47" fillId="0" borderId="102" xfId="0" applyNumberFormat="1" applyFont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79" xfId="0" applyFont="1" applyBorder="1" applyAlignment="1">
      <alignment horizontal="center" vertical="center"/>
    </xf>
    <xf numFmtId="182" fontId="48" fillId="0" borderId="104" xfId="0" applyNumberFormat="1" applyFont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182" fontId="48" fillId="0" borderId="102" xfId="0" applyNumberFormat="1" applyFont="1" applyBorder="1" applyAlignment="1">
      <alignment horizontal="center" vertical="center"/>
    </xf>
    <xf numFmtId="0" fontId="48" fillId="0" borderId="102" xfId="0" applyFont="1" applyBorder="1" applyAlignment="1">
      <alignment vertical="center"/>
    </xf>
    <xf numFmtId="182" fontId="48" fillId="0" borderId="102" xfId="0" applyNumberFormat="1" applyFont="1" applyBorder="1" applyAlignment="1">
      <alignment vertical="center"/>
    </xf>
    <xf numFmtId="0" fontId="48" fillId="0" borderId="79" xfId="0" applyFont="1" applyBorder="1" applyAlignment="1">
      <alignment vertical="center"/>
    </xf>
    <xf numFmtId="0" fontId="48" fillId="0" borderId="18" xfId="0" applyFont="1" applyBorder="1" applyAlignment="1">
      <alignment horizontal="center" vertical="center"/>
    </xf>
    <xf numFmtId="0" fontId="48" fillId="0" borderId="18" xfId="0" applyFont="1" applyBorder="1" applyAlignment="1">
      <alignment vertical="center"/>
    </xf>
    <xf numFmtId="0" fontId="48" fillId="0" borderId="72" xfId="0" applyFont="1" applyBorder="1" applyAlignment="1">
      <alignment horizontal="center" vertical="center"/>
    </xf>
    <xf numFmtId="0" fontId="48" fillId="0" borderId="17" xfId="0" applyFont="1" applyBorder="1" applyAlignment="1">
      <alignment vertical="center"/>
    </xf>
    <xf numFmtId="0" fontId="48" fillId="0" borderId="17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2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Relationship Id="rId9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7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90" t="s">
        <v>232</v>
      </c>
      <c r="C2" s="490"/>
      <c r="D2" s="490"/>
      <c r="E2" s="490"/>
      <c r="F2" s="490"/>
      <c r="G2" s="490"/>
      <c r="H2" s="490"/>
      <c r="I2" s="490"/>
      <c r="J2" s="490"/>
      <c r="K2" s="490"/>
      <c r="L2" s="490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7" t="s">
        <v>298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491" t="s">
        <v>303</v>
      </c>
      <c r="J24" s="492"/>
      <c r="K24" s="441">
        <f>INDEX(Location[recharge], MATCH(I24,Location[name],0))</f>
        <v>0.128</v>
      </c>
      <c r="L24" s="44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493" t="s">
        <v>197</v>
      </c>
      <c r="J25" s="494"/>
      <c r="K25" s="443">
        <f>INDEX(Location[recharge], MATCH(I25,Location[name],0))</f>
        <v>0.16600000000000001</v>
      </c>
      <c r="L25" s="44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495" t="s">
        <v>268</v>
      </c>
      <c r="J26" s="496"/>
      <c r="K26" s="445">
        <f>INDEX(Location[recharge], MATCH(I26,Location[name],0))</f>
        <v>0.127</v>
      </c>
      <c r="L26" s="44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497" t="s">
        <v>307</v>
      </c>
      <c r="B37" s="498"/>
      <c r="C37" s="231"/>
      <c r="D37" s="455"/>
    </row>
    <row r="38" spans="1:6" ht="17.25" thickBot="1">
      <c r="A38" s="456"/>
      <c r="B38" s="457" t="s">
        <v>236</v>
      </c>
      <c r="C38" s="457" t="s">
        <v>237</v>
      </c>
      <c r="D38" s="458" t="s">
        <v>238</v>
      </c>
    </row>
    <row r="39" spans="1:6">
      <c r="A39" s="483" t="s">
        <v>297</v>
      </c>
      <c r="B39" s="459">
        <v>500</v>
      </c>
      <c r="C39" s="460">
        <v>250</v>
      </c>
      <c r="D39" s="461">
        <v>250</v>
      </c>
    </row>
    <row r="40" spans="1:6">
      <c r="A40" s="484" t="s">
        <v>308</v>
      </c>
      <c r="B40" s="462">
        <v>130</v>
      </c>
      <c r="C40" s="463">
        <v>130</v>
      </c>
      <c r="D40" s="464">
        <v>130</v>
      </c>
    </row>
    <row r="41" spans="1:6">
      <c r="A41" s="484" t="s">
        <v>309</v>
      </c>
      <c r="B41" s="465">
        <v>200</v>
      </c>
      <c r="C41" s="466">
        <v>150</v>
      </c>
      <c r="D41" s="467">
        <v>150</v>
      </c>
    </row>
    <row r="42" spans="1:6">
      <c r="A42" s="485" t="s">
        <v>310</v>
      </c>
      <c r="B42" s="468">
        <f>ROUND(B41/10,1)</f>
        <v>20</v>
      </c>
      <c r="C42" s="469">
        <f>ROUND(C41/10,1)</f>
        <v>15</v>
      </c>
      <c r="D42" s="470">
        <f>ROUND(D41/10,1)</f>
        <v>15</v>
      </c>
    </row>
    <row r="43" spans="1:6">
      <c r="A43" s="485" t="s">
        <v>311</v>
      </c>
      <c r="B43" s="471">
        <f>B41+B42</f>
        <v>220</v>
      </c>
      <c r="C43" s="472">
        <f>C41+C42</f>
        <v>165</v>
      </c>
      <c r="D43" s="473">
        <f>D41+D42</f>
        <v>165</v>
      </c>
    </row>
    <row r="44" spans="1:6">
      <c r="A44" s="485" t="s">
        <v>312</v>
      </c>
      <c r="B44" s="474">
        <v>0.45250000000000001</v>
      </c>
      <c r="C44" s="475">
        <v>0.45250000000000001</v>
      </c>
      <c r="D44" s="476">
        <v>0.45250000000000001</v>
      </c>
    </row>
    <row r="45" spans="1:6">
      <c r="A45" s="485"/>
      <c r="B45" s="468"/>
      <c r="C45" s="469"/>
      <c r="D45" s="470"/>
    </row>
    <row r="46" spans="1:6">
      <c r="A46" s="485" t="s">
        <v>313</v>
      </c>
      <c r="B46" s="468">
        <f>ROUND((B40*B43)/(6572.5*B44),4)</f>
        <v>9.6165000000000003</v>
      </c>
      <c r="C46" s="469">
        <f>ROUND((C40*C43)/(6572.5*C44),4)</f>
        <v>7.2123999999999997</v>
      </c>
      <c r="D46" s="470">
        <f>ROUND((D40*D43)/(6572.5*D44),4)</f>
        <v>7.2123999999999997</v>
      </c>
    </row>
    <row r="47" spans="1:6" ht="19.5" thickBot="1">
      <c r="A47" s="486"/>
      <c r="B47" s="477">
        <f>ROUNDUP(B46,0)</f>
        <v>10</v>
      </c>
      <c r="C47" s="478">
        <f>ROUNDUP(C46,0)</f>
        <v>8</v>
      </c>
      <c r="D47" s="479">
        <f>ROUNDUP(D46,0)</f>
        <v>8</v>
      </c>
    </row>
    <row r="48" spans="1:6">
      <c r="A48" s="483" t="s">
        <v>314</v>
      </c>
      <c r="B48" s="459">
        <v>10</v>
      </c>
      <c r="C48" s="460">
        <v>7.5</v>
      </c>
      <c r="D48" s="461">
        <v>7.5</v>
      </c>
    </row>
    <row r="49" spans="1:4" ht="17.25" thickBot="1">
      <c r="A49" s="486" t="s">
        <v>315</v>
      </c>
      <c r="B49" s="480">
        <f>ROUND((B48*B44*6572.5)/B43,1)</f>
        <v>135.19999999999999</v>
      </c>
      <c r="C49" s="481">
        <f>ROUND((C48*C44*6572.5)/C43,1)</f>
        <v>135.19999999999999</v>
      </c>
      <c r="D49" s="482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9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8">
        <v>0.13600000000000001</v>
      </c>
      <c r="C2" s="328">
        <v>0.66</v>
      </c>
    </row>
    <row r="3" spans="1:12" ht="18" customHeight="1">
      <c r="A3" s="322" t="s">
        <v>193</v>
      </c>
      <c r="B3" s="328">
        <v>0.151</v>
      </c>
      <c r="C3" s="328">
        <v>0.65</v>
      </c>
    </row>
    <row r="4" spans="1:12" ht="18" customHeight="1">
      <c r="A4" s="322" t="s">
        <v>183</v>
      </c>
      <c r="B4" s="328">
        <v>0.16700000000000001</v>
      </c>
      <c r="C4" s="328">
        <v>0.65</v>
      </c>
      <c r="J4" s="329" t="s">
        <v>195</v>
      </c>
      <c r="K4" s="329">
        <f>INDEX(Location[recharge],MATCH(J4,Location[name],0))</f>
        <v>0.16600000000000001</v>
      </c>
      <c r="L4" s="329">
        <f>INDEX(Location[ratio], MATCH(J4,Location[name]))</f>
        <v>0.65</v>
      </c>
    </row>
    <row r="5" spans="1:12" ht="18" customHeight="1">
      <c r="A5" s="322" t="s">
        <v>184</v>
      </c>
      <c r="B5" s="328">
        <v>0.17299999999999999</v>
      </c>
      <c r="C5" s="328">
        <v>0.66849999999999998</v>
      </c>
    </row>
    <row r="6" spans="1:12" ht="18" customHeight="1">
      <c r="A6" s="322" t="s">
        <v>194</v>
      </c>
      <c r="B6" s="328">
        <v>0.16300000000000001</v>
      </c>
      <c r="C6" s="328">
        <v>0.67</v>
      </c>
    </row>
    <row r="7" spans="1:12" ht="18" customHeight="1">
      <c r="A7" s="322" t="s">
        <v>196</v>
      </c>
      <c r="B7" s="328">
        <v>0.16600000000000001</v>
      </c>
      <c r="C7" s="328">
        <v>0.64</v>
      </c>
      <c r="E7" s="329" t="s">
        <v>205</v>
      </c>
    </row>
    <row r="8" spans="1:12" ht="18" customHeight="1">
      <c r="A8" s="322" t="s">
        <v>197</v>
      </c>
      <c r="B8" s="328">
        <v>0.16600000000000001</v>
      </c>
      <c r="C8" s="328">
        <v>0.64</v>
      </c>
    </row>
    <row r="9" spans="1:12" ht="18" customHeight="1">
      <c r="A9" s="322" t="s">
        <v>185</v>
      </c>
      <c r="B9" s="328">
        <v>0.125</v>
      </c>
      <c r="C9" s="328">
        <v>0.67</v>
      </c>
    </row>
    <row r="10" spans="1:12" ht="18" customHeight="1">
      <c r="A10" s="322" t="s">
        <v>198</v>
      </c>
      <c r="B10" s="328">
        <v>0.127</v>
      </c>
      <c r="C10" s="328">
        <v>0.65</v>
      </c>
    </row>
    <row r="11" spans="1:12" ht="18" customHeight="1">
      <c r="A11" s="322" t="s">
        <v>199</v>
      </c>
      <c r="B11" s="328">
        <v>0.128</v>
      </c>
      <c r="C11" s="328">
        <v>0.64</v>
      </c>
    </row>
    <row r="12" spans="1:12" ht="18" customHeight="1">
      <c r="A12" s="322" t="s">
        <v>200</v>
      </c>
      <c r="B12" s="328">
        <v>0.17499999999999999</v>
      </c>
      <c r="C12" s="328">
        <v>0.67</v>
      </c>
    </row>
    <row r="13" spans="1:12" ht="18" customHeight="1">
      <c r="A13" s="322" t="s">
        <v>213</v>
      </c>
      <c r="B13" s="328">
        <v>0.13</v>
      </c>
      <c r="C13" s="328">
        <v>0.63</v>
      </c>
    </row>
    <row r="14" spans="1:12" ht="18" customHeight="1">
      <c r="A14" s="322" t="s">
        <v>214</v>
      </c>
      <c r="B14" s="328">
        <v>0.13400000000000001</v>
      </c>
      <c r="C14" s="328">
        <v>0.65</v>
      </c>
    </row>
    <row r="15" spans="1:12" ht="18" customHeight="1">
      <c r="A15" s="322" t="s">
        <v>215</v>
      </c>
      <c r="B15" s="328">
        <v>0.16500000000000001</v>
      </c>
      <c r="C15" s="328">
        <v>0.62</v>
      </c>
    </row>
    <row r="16" spans="1:12" ht="18" customHeight="1">
      <c r="A16" s="322" t="s">
        <v>269</v>
      </c>
      <c r="B16" s="328">
        <v>0.16300000000000001</v>
      </c>
      <c r="C16" s="328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7"/>
  <sheetViews>
    <sheetView tabSelected="1" zoomScaleNormal="100" workbookViewId="0">
      <selection activeCell="K13" sqref="K13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281</v>
      </c>
      <c r="J1" s="68"/>
    </row>
    <row r="2" spans="1:18" s="77" customFormat="1" ht="23.1" customHeight="1">
      <c r="A2" s="499" t="s">
        <v>0</v>
      </c>
      <c r="B2" s="501" t="s">
        <v>39</v>
      </c>
      <c r="C2" s="501" t="s">
        <v>6</v>
      </c>
      <c r="D2" s="501" t="s">
        <v>38</v>
      </c>
      <c r="E2" s="501" t="s">
        <v>207</v>
      </c>
      <c r="F2" s="501" t="s">
        <v>206</v>
      </c>
      <c r="G2" s="505" t="s">
        <v>1</v>
      </c>
      <c r="H2" s="505" t="s">
        <v>2</v>
      </c>
      <c r="I2" s="505" t="s">
        <v>175</v>
      </c>
      <c r="J2" s="509" t="s">
        <v>290</v>
      </c>
      <c r="K2" s="505" t="s">
        <v>289</v>
      </c>
      <c r="L2" s="505" t="s">
        <v>3</v>
      </c>
      <c r="M2" s="505" t="s">
        <v>4</v>
      </c>
      <c r="N2" s="505" t="s">
        <v>5</v>
      </c>
      <c r="O2" s="505" t="s">
        <v>288</v>
      </c>
      <c r="P2" s="507" t="s">
        <v>287</v>
      </c>
      <c r="Q2" s="501" t="s">
        <v>161</v>
      </c>
      <c r="R2" s="503" t="s">
        <v>93</v>
      </c>
    </row>
    <row r="3" spans="1:18" s="77" customFormat="1" ht="27" customHeight="1">
      <c r="A3" s="500"/>
      <c r="B3" s="502"/>
      <c r="C3" s="502"/>
      <c r="D3" s="502"/>
      <c r="E3" s="502"/>
      <c r="F3" s="502"/>
      <c r="G3" s="506"/>
      <c r="H3" s="506"/>
      <c r="I3" s="506"/>
      <c r="J3" s="510"/>
      <c r="K3" s="506"/>
      <c r="L3" s="506"/>
      <c r="M3" s="506"/>
      <c r="N3" s="506"/>
      <c r="O3" s="506"/>
      <c r="P3" s="508"/>
      <c r="Q3" s="502"/>
      <c r="R3" s="504"/>
    </row>
    <row r="4" spans="1:18" ht="23.1" customHeight="1">
      <c r="A4" s="422" t="s">
        <v>267</v>
      </c>
      <c r="B4" s="423" t="s">
        <v>233</v>
      </c>
      <c r="C4" s="424"/>
      <c r="D4" s="423" t="s">
        <v>279</v>
      </c>
      <c r="E4" s="423" t="s">
        <v>280</v>
      </c>
      <c r="F4" s="423" t="s">
        <v>234</v>
      </c>
      <c r="G4" s="423">
        <v>200</v>
      </c>
      <c r="H4" s="423">
        <v>500</v>
      </c>
      <c r="I4" s="423">
        <v>130</v>
      </c>
      <c r="J4" s="423">
        <v>143</v>
      </c>
      <c r="K4" s="423">
        <v>143</v>
      </c>
      <c r="L4" s="423">
        <v>10</v>
      </c>
      <c r="M4" s="423">
        <v>200</v>
      </c>
      <c r="N4" s="425">
        <v>50</v>
      </c>
      <c r="O4" s="426">
        <v>172.8</v>
      </c>
      <c r="P4" s="438">
        <v>3059068</v>
      </c>
      <c r="Q4" s="423"/>
      <c r="R4" s="427"/>
    </row>
    <row r="5" spans="1:18" ht="23.1" customHeight="1">
      <c r="A5" s="422" t="s">
        <v>277</v>
      </c>
      <c r="B5" s="423" t="s">
        <v>233</v>
      </c>
      <c r="C5" s="424"/>
      <c r="D5" s="423" t="s">
        <v>279</v>
      </c>
      <c r="E5" s="423" t="s">
        <v>280</v>
      </c>
      <c r="F5" s="423" t="s">
        <v>234</v>
      </c>
      <c r="G5" s="423">
        <v>200</v>
      </c>
      <c r="H5" s="423">
        <v>250</v>
      </c>
      <c r="I5" s="423">
        <v>130</v>
      </c>
      <c r="J5" s="423">
        <v>143</v>
      </c>
      <c r="K5" s="423">
        <v>143</v>
      </c>
      <c r="L5" s="423">
        <v>7.5</v>
      </c>
      <c r="M5" s="423">
        <v>150</v>
      </c>
      <c r="N5" s="425">
        <v>40</v>
      </c>
      <c r="O5" s="426">
        <v>172.8</v>
      </c>
      <c r="P5" s="438">
        <v>3059068</v>
      </c>
      <c r="Q5" s="423"/>
      <c r="R5" s="427"/>
    </row>
    <row r="6" spans="1:18" ht="23.1" customHeight="1" thickBot="1">
      <c r="A6" s="428" t="s">
        <v>278</v>
      </c>
      <c r="B6" s="429" t="s">
        <v>233</v>
      </c>
      <c r="C6" s="430"/>
      <c r="D6" s="429" t="s">
        <v>279</v>
      </c>
      <c r="E6" s="429" t="s">
        <v>280</v>
      </c>
      <c r="F6" s="429" t="s">
        <v>234</v>
      </c>
      <c r="G6" s="429">
        <v>200</v>
      </c>
      <c r="H6" s="429">
        <v>250</v>
      </c>
      <c r="I6" s="429">
        <v>130</v>
      </c>
      <c r="J6" s="429">
        <v>143</v>
      </c>
      <c r="K6" s="429">
        <v>143</v>
      </c>
      <c r="L6" s="429">
        <v>7.5</v>
      </c>
      <c r="M6" s="429">
        <v>150</v>
      </c>
      <c r="N6" s="431">
        <v>40</v>
      </c>
      <c r="O6" s="432">
        <v>172.8</v>
      </c>
      <c r="P6" s="439">
        <v>3059068</v>
      </c>
      <c r="Q6" s="429"/>
      <c r="R6" s="433"/>
    </row>
    <row r="7" spans="1:18" ht="23.25" customHeight="1" thickBot="1">
      <c r="A7" s="322"/>
      <c r="J7" s="392"/>
      <c r="P7" s="393"/>
    </row>
    <row r="8" spans="1:18" ht="23.25" customHeight="1" thickBot="1">
      <c r="I8" s="440">
        <f>SUM(I4:I7)</f>
        <v>390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53" r:id="rId4" name="CommandButton8">
          <controlPr defaultSize="0" autoLine="0" autoPict="0" r:id="rId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4" name="CommandButton8"/>
      </mc:Fallback>
    </mc:AlternateContent>
    <mc:AlternateContent xmlns:mc="http://schemas.openxmlformats.org/markup-compatibility/2006">
      <mc:Choice Requires="x14">
        <control shapeId="99346" r:id="rId6" name="CommandButton3">
          <controlPr defaultSize="0" autoLine="0" r:id="rId7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6" name="CommandButton3"/>
      </mc:Fallback>
    </mc:AlternateContent>
    <mc:AlternateContent xmlns:mc="http://schemas.openxmlformats.org/markup-compatibility/2006">
      <mc:Choice Requires="x14">
        <control shapeId="99336" r:id="rId8" name="CommandButton6">
          <controlPr defaultSize="0" autoLine="0" r:id="rId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8" name="CommandButton6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0" name="CommandButton1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4" r:id="rId16" name="SingleColor">
          <controlPr defaultSize="0" autoLine="0" r:id="rId1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6" name="SingleColor"/>
      </mc:Fallback>
    </mc:AlternateContent>
    <mc:AlternateContent xmlns:mc="http://schemas.openxmlformats.org/markup-compatibility/2006">
      <mc:Choice Requires="x14">
        <control shapeId="99335" r:id="rId18" name="CommandButton5">
          <controlPr defaultSize="0" autoLine="0" r:id="rId19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8" name="CommandButton5"/>
      </mc:Fallback>
    </mc:AlternateContent>
    <mc:AlternateContent xmlns:mc="http://schemas.openxmlformats.org/markup-compatibility/2006">
      <mc:Choice Requires="x14">
        <control shapeId="99342" r:id="rId20" name="CommandButton7">
          <controlPr defaultSize="0" autoLine="0" r:id="rId21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20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L42" sqref="L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0" customWidth="1"/>
    <col min="10" max="10" width="11.77734375" style="37" customWidth="1"/>
    <col min="11" max="11" width="11.77734375" style="331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 thickBot="1">
      <c r="G2" s="449" t="s">
        <v>212</v>
      </c>
      <c r="H2" s="450" t="s">
        <v>209</v>
      </c>
      <c r="I2" s="451" t="s">
        <v>218</v>
      </c>
      <c r="J2" s="450" t="s">
        <v>210</v>
      </c>
      <c r="K2" s="452" t="s">
        <v>211</v>
      </c>
      <c r="M2" s="333"/>
      <c r="N2" s="334" t="s">
        <v>216</v>
      </c>
      <c r="O2" s="335" t="s">
        <v>217</v>
      </c>
      <c r="Q2" s="336" t="s">
        <v>212</v>
      </c>
      <c r="R2" s="337" t="s">
        <v>220</v>
      </c>
      <c r="S2" s="332" t="s">
        <v>221</v>
      </c>
    </row>
    <row r="3" spans="7:19" ht="20.100000000000001" customHeight="1" thickBot="1">
      <c r="G3" s="540" t="s">
        <v>236</v>
      </c>
      <c r="H3" s="541">
        <v>149</v>
      </c>
      <c r="I3" s="542">
        <v>133.95966914143432</v>
      </c>
      <c r="J3" s="541">
        <v>130</v>
      </c>
      <c r="K3" s="543">
        <v>0.89261744966442957</v>
      </c>
      <c r="M3" s="338" t="s">
        <v>211</v>
      </c>
      <c r="N3" s="551">
        <v>0.89261744966442957</v>
      </c>
      <c r="O3" s="552">
        <v>0.89261744966442957</v>
      </c>
      <c r="Q3" s="557" t="s">
        <v>236</v>
      </c>
      <c r="R3" s="558">
        <v>6.0139999999999998E-4</v>
      </c>
      <c r="S3" s="559">
        <v>0.21038480000000001</v>
      </c>
    </row>
    <row r="4" spans="7:19" ht="20.100000000000001" customHeight="1" thickBot="1">
      <c r="G4" s="544" t="s">
        <v>237</v>
      </c>
      <c r="H4" s="437">
        <v>149</v>
      </c>
      <c r="I4" s="545">
        <v>133.92821031130663</v>
      </c>
      <c r="J4" s="437">
        <v>130</v>
      </c>
      <c r="K4" s="546">
        <v>0.89261744966442957</v>
      </c>
      <c r="M4" s="338" t="s">
        <v>218</v>
      </c>
      <c r="N4" s="553">
        <v>133.92821031130663</v>
      </c>
      <c r="O4" s="554">
        <v>133.95966914143432</v>
      </c>
      <c r="Q4" s="557" t="s">
        <v>237</v>
      </c>
      <c r="R4" s="558">
        <v>5.5579999999999996E-4</v>
      </c>
      <c r="S4" s="559">
        <v>0.19516990000000001</v>
      </c>
    </row>
    <row r="5" spans="7:19" ht="20.100000000000001" customHeight="1" thickBot="1">
      <c r="G5" s="544" t="s">
        <v>238</v>
      </c>
      <c r="H5" s="437">
        <v>149</v>
      </c>
      <c r="I5" s="545">
        <v>133.93943451037802</v>
      </c>
      <c r="J5" s="437">
        <v>130</v>
      </c>
      <c r="K5" s="546">
        <v>0.89261744966442957</v>
      </c>
      <c r="M5" s="340" t="s">
        <v>219</v>
      </c>
      <c r="N5" s="555">
        <v>130</v>
      </c>
      <c r="O5" s="556">
        <v>130</v>
      </c>
      <c r="Q5" s="557" t="s">
        <v>238</v>
      </c>
      <c r="R5" s="558">
        <v>5.7790000000000001E-4</v>
      </c>
      <c r="S5" s="559">
        <v>0.2025769</v>
      </c>
    </row>
    <row r="6" spans="7:19" ht="20.100000000000001" customHeight="1">
      <c r="G6" s="544"/>
      <c r="H6" s="437"/>
      <c r="I6" s="437"/>
      <c r="J6" s="437"/>
      <c r="K6" s="547"/>
      <c r="Q6" s="557"/>
      <c r="R6" s="558"/>
      <c r="S6" s="559"/>
    </row>
    <row r="7" spans="7:19" ht="20.100000000000001" customHeight="1">
      <c r="G7" s="544"/>
      <c r="H7" s="437"/>
      <c r="I7" s="437"/>
      <c r="J7" s="437"/>
      <c r="K7" s="547"/>
      <c r="Q7" s="557"/>
      <c r="R7" s="558"/>
      <c r="S7" s="559"/>
    </row>
    <row r="8" spans="7:19" ht="20.100000000000001" customHeight="1">
      <c r="G8" s="544"/>
      <c r="H8" s="437"/>
      <c r="I8" s="437"/>
      <c r="J8" s="437"/>
      <c r="K8" s="547"/>
      <c r="Q8" s="544"/>
      <c r="R8" s="437"/>
      <c r="S8" s="547"/>
    </row>
    <row r="9" spans="7:19" ht="20.100000000000001" customHeight="1">
      <c r="G9" s="544"/>
      <c r="H9" s="437"/>
      <c r="I9" s="437"/>
      <c r="J9" s="437"/>
      <c r="K9" s="547"/>
      <c r="Q9" s="544"/>
      <c r="R9" s="437"/>
      <c r="S9" s="547"/>
    </row>
    <row r="10" spans="7:19" ht="20.100000000000001" customHeight="1">
      <c r="G10" s="544"/>
      <c r="H10" s="437"/>
      <c r="I10" s="437"/>
      <c r="J10" s="437"/>
      <c r="K10" s="547"/>
      <c r="Q10" s="544"/>
      <c r="R10" s="437"/>
      <c r="S10" s="547"/>
    </row>
    <row r="11" spans="7:19" ht="20.100000000000001" customHeight="1">
      <c r="G11" s="544"/>
      <c r="H11" s="437"/>
      <c r="I11" s="437"/>
      <c r="J11" s="437"/>
      <c r="K11" s="547"/>
      <c r="Q11" s="544"/>
      <c r="R11" s="437"/>
      <c r="S11" s="547"/>
    </row>
    <row r="12" spans="7:19" ht="20.100000000000001" customHeight="1">
      <c r="G12" s="544"/>
      <c r="H12" s="437"/>
      <c r="I12" s="437"/>
      <c r="J12" s="437"/>
      <c r="K12" s="547"/>
      <c r="Q12" s="544"/>
      <c r="R12" s="437"/>
      <c r="S12" s="547"/>
    </row>
    <row r="13" spans="7:19" ht="20.100000000000001" customHeight="1">
      <c r="G13" s="544"/>
      <c r="H13" s="437"/>
      <c r="I13" s="437"/>
      <c r="J13" s="437"/>
      <c r="K13" s="547"/>
      <c r="Q13" s="544"/>
      <c r="R13" s="437"/>
      <c r="S13" s="547"/>
    </row>
    <row r="14" spans="7:19" ht="20.100000000000001" customHeight="1">
      <c r="G14" s="544"/>
      <c r="H14" s="437"/>
      <c r="I14" s="437"/>
      <c r="J14" s="437"/>
      <c r="K14" s="547"/>
      <c r="Q14" s="544"/>
      <c r="R14" s="437"/>
      <c r="S14" s="547"/>
    </row>
    <row r="15" spans="7:19" ht="20.100000000000001" customHeight="1">
      <c r="G15" s="544"/>
      <c r="H15" s="437"/>
      <c r="I15" s="437"/>
      <c r="J15" s="437"/>
      <c r="K15" s="547"/>
      <c r="Q15" s="544"/>
      <c r="R15" s="437"/>
      <c r="S15" s="547"/>
    </row>
    <row r="16" spans="7:19" ht="20.100000000000001" customHeight="1">
      <c r="G16" s="544"/>
      <c r="H16" s="437"/>
      <c r="I16" s="437"/>
      <c r="J16" s="437"/>
      <c r="K16" s="547"/>
      <c r="Q16" s="544"/>
      <c r="R16" s="437"/>
      <c r="S16" s="547"/>
    </row>
    <row r="17" spans="6:19" ht="20.100000000000001" customHeight="1">
      <c r="G17" s="544"/>
      <c r="H17" s="437"/>
      <c r="I17" s="437"/>
      <c r="J17" s="437"/>
      <c r="K17" s="547"/>
      <c r="Q17" s="544"/>
      <c r="R17" s="437"/>
      <c r="S17" s="547"/>
    </row>
    <row r="18" spans="6:19" ht="20.100000000000001" customHeight="1">
      <c r="G18" s="544"/>
      <c r="H18" s="437"/>
      <c r="I18" s="437"/>
      <c r="J18" s="437"/>
      <c r="K18" s="547"/>
      <c r="Q18" s="544"/>
      <c r="R18" s="437"/>
      <c r="S18" s="547"/>
    </row>
    <row r="19" spans="6:19" ht="20.100000000000001" customHeight="1" thickBot="1">
      <c r="G19" s="548"/>
      <c r="H19" s="549"/>
      <c r="I19" s="549"/>
      <c r="J19" s="549"/>
      <c r="K19" s="550"/>
      <c r="Q19" s="548"/>
      <c r="R19" s="549"/>
      <c r="S19" s="550"/>
    </row>
    <row r="22" spans="6:19" ht="20.100000000000001" customHeight="1">
      <c r="M22" s="330"/>
      <c r="N22" s="330"/>
      <c r="O22" s="330"/>
      <c r="P22" s="330"/>
      <c r="Q22" s="330"/>
      <c r="R22" s="330"/>
      <c r="S22" s="330"/>
    </row>
    <row r="23" spans="6:19" ht="20.100000000000001" customHeight="1">
      <c r="M23" s="341">
        <v>133.95966914143432</v>
      </c>
      <c r="N23" s="339">
        <v>133.92821031130663</v>
      </c>
      <c r="O23" s="341">
        <v>133.93943451037802</v>
      </c>
      <c r="P23" s="339">
        <v>124.10752425577586</v>
      </c>
      <c r="Q23" s="341">
        <v>155.45958109179159</v>
      </c>
      <c r="R23" s="330"/>
      <c r="S23" s="330"/>
    </row>
    <row r="24" spans="6:19" ht="20.100000000000001" customHeight="1">
      <c r="M24" s="342">
        <v>130</v>
      </c>
      <c r="N24" s="343">
        <v>130</v>
      </c>
      <c r="O24" s="342">
        <v>130</v>
      </c>
      <c r="P24" s="343">
        <v>120</v>
      </c>
      <c r="Q24" s="342">
        <v>150</v>
      </c>
      <c r="R24" s="330"/>
      <c r="S24" s="330"/>
    </row>
    <row r="25" spans="6:19" ht="20.100000000000001" customHeight="1" thickBot="1">
      <c r="M25" s="330"/>
      <c r="N25" s="330"/>
      <c r="O25" s="330"/>
      <c r="P25" s="330"/>
      <c r="Q25" s="330"/>
      <c r="R25" s="330"/>
      <c r="S25" s="330"/>
    </row>
    <row r="26" spans="6:19" ht="27" customHeight="1" thickBot="1">
      <c r="G26" s="344" t="s">
        <v>250</v>
      </c>
      <c r="H26" s="345"/>
      <c r="I26" s="346"/>
    </row>
    <row r="27" spans="6:19" ht="15.95" customHeight="1">
      <c r="F27" s="560" t="s">
        <v>236</v>
      </c>
      <c r="G27" s="561">
        <v>149</v>
      </c>
      <c r="H27" s="562">
        <v>44.94</v>
      </c>
      <c r="I27" s="563">
        <v>133.95966914143432</v>
      </c>
    </row>
    <row r="28" spans="6:19" ht="15.95" customHeight="1" thickBot="1">
      <c r="F28" s="564"/>
      <c r="G28" s="565"/>
      <c r="H28" s="566">
        <v>21.13</v>
      </c>
      <c r="I28" s="567"/>
      <c r="K28" s="37"/>
    </row>
    <row r="29" spans="6:19" ht="15.95" customHeight="1">
      <c r="F29" s="560" t="s">
        <v>237</v>
      </c>
      <c r="G29" s="561">
        <v>149</v>
      </c>
      <c r="H29" s="562">
        <v>41.65</v>
      </c>
      <c r="I29" s="563">
        <v>133.92821031130663</v>
      </c>
    </row>
    <row r="30" spans="6:19" ht="15.95" customHeight="1" thickBot="1">
      <c r="F30" s="564"/>
      <c r="G30" s="565"/>
      <c r="H30" s="566">
        <v>19.59</v>
      </c>
      <c r="I30" s="567"/>
    </row>
    <row r="31" spans="6:19" ht="15.95" customHeight="1">
      <c r="F31" s="560" t="s">
        <v>238</v>
      </c>
      <c r="G31" s="561">
        <v>149</v>
      </c>
      <c r="H31" s="562">
        <v>43.25</v>
      </c>
      <c r="I31" s="563">
        <v>133.93943451037802</v>
      </c>
    </row>
    <row r="32" spans="6:19" ht="15.95" customHeight="1" thickBot="1">
      <c r="F32" s="564"/>
      <c r="G32" s="565"/>
      <c r="H32" s="566">
        <v>20.34</v>
      </c>
      <c r="I32" s="567"/>
    </row>
    <row r="33" spans="6:9" ht="15.95" customHeight="1">
      <c r="F33" s="560"/>
      <c r="G33" s="561"/>
      <c r="H33" s="562"/>
      <c r="I33" s="563"/>
    </row>
    <row r="34" spans="6:9" ht="15.95" customHeight="1" thickBot="1">
      <c r="F34" s="564"/>
      <c r="G34" s="565"/>
      <c r="H34" s="566"/>
      <c r="I34" s="567"/>
    </row>
    <row r="35" spans="6:9" ht="15.95" customHeight="1">
      <c r="F35" s="560"/>
      <c r="G35" s="561"/>
      <c r="H35" s="562"/>
      <c r="I35" s="563"/>
    </row>
    <row r="36" spans="6:9" ht="15.95" customHeight="1" thickBot="1">
      <c r="F36" s="564"/>
      <c r="G36" s="565"/>
      <c r="H36" s="566"/>
      <c r="I36" s="567"/>
    </row>
    <row r="37" spans="6:9" ht="15.95" customHeight="1">
      <c r="F37" s="560"/>
      <c r="G37" s="561"/>
      <c r="H37" s="562"/>
      <c r="I37" s="563"/>
    </row>
    <row r="38" spans="6:9" ht="15.95" customHeight="1" thickBot="1">
      <c r="F38" s="564"/>
      <c r="G38" s="565"/>
      <c r="H38" s="566"/>
      <c r="I38" s="567"/>
    </row>
    <row r="39" spans="6:9" ht="15.95" customHeight="1">
      <c r="F39" s="560"/>
      <c r="G39" s="561"/>
      <c r="H39" s="562"/>
      <c r="I39" s="563"/>
    </row>
    <row r="40" spans="6:9" ht="15.95" customHeight="1" thickBot="1">
      <c r="F40" s="564"/>
      <c r="G40" s="565"/>
      <c r="H40" s="566"/>
      <c r="I40" s="567"/>
    </row>
    <row r="41" spans="6:9" ht="15.95" customHeight="1">
      <c r="F41" s="560"/>
      <c r="G41" s="561"/>
      <c r="H41" s="562"/>
      <c r="I41" s="563"/>
    </row>
    <row r="42" spans="6:9" ht="15.95" customHeight="1" thickBot="1">
      <c r="F42" s="564"/>
      <c r="G42" s="565"/>
      <c r="H42" s="566"/>
      <c r="I42" s="567"/>
    </row>
    <row r="43" spans="6:9" ht="15.95" customHeight="1">
      <c r="F43" s="560"/>
      <c r="G43" s="561"/>
      <c r="H43" s="562"/>
      <c r="I43" s="563"/>
    </row>
    <row r="44" spans="6:9" ht="15.95" customHeight="1" thickBot="1">
      <c r="F44" s="564"/>
      <c r="G44" s="565"/>
      <c r="H44" s="566"/>
      <c r="I44" s="567"/>
    </row>
    <row r="45" spans="6:9" ht="15.95" customHeight="1">
      <c r="F45" s="560"/>
      <c r="G45" s="561"/>
      <c r="H45" s="562"/>
      <c r="I45" s="563"/>
    </row>
    <row r="46" spans="6:9" ht="15.95" customHeight="1" thickBot="1">
      <c r="F46" s="564"/>
      <c r="G46" s="565"/>
      <c r="H46" s="566"/>
      <c r="I46" s="567"/>
    </row>
    <row r="47" spans="6:9" ht="15.95" customHeight="1">
      <c r="F47" s="560"/>
      <c r="G47" s="561"/>
      <c r="H47" s="562"/>
      <c r="I47" s="563"/>
    </row>
    <row r="48" spans="6:9" ht="15.95" customHeight="1" thickBot="1">
      <c r="F48" s="564"/>
      <c r="G48" s="565"/>
      <c r="H48" s="566"/>
      <c r="I48" s="567"/>
    </row>
    <row r="49" spans="6:9" ht="15.95" customHeight="1">
      <c r="F49" s="560"/>
      <c r="G49" s="561"/>
      <c r="H49" s="562"/>
      <c r="I49" s="563"/>
    </row>
    <row r="50" spans="6:9" ht="15.95" customHeight="1" thickBot="1">
      <c r="F50" s="564"/>
      <c r="G50" s="565"/>
      <c r="H50" s="566"/>
      <c r="I50" s="567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H12" sqref="H12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53" t="s">
        <v>244</v>
      </c>
      <c r="L1" s="349" t="s">
        <v>245</v>
      </c>
      <c r="S1" s="349" t="s">
        <v>246</v>
      </c>
    </row>
    <row r="2" spans="4:21" ht="36.75" customHeight="1">
      <c r="D2" s="350" t="s">
        <v>222</v>
      </c>
      <c r="E2" s="351" t="s">
        <v>219</v>
      </c>
      <c r="F2" s="351" t="s">
        <v>226</v>
      </c>
      <c r="G2" s="351" t="s">
        <v>227</v>
      </c>
      <c r="H2" s="351" t="s">
        <v>166</v>
      </c>
      <c r="I2" s="351" t="s">
        <v>228</v>
      </c>
      <c r="J2" s="352" t="s">
        <v>229</v>
      </c>
      <c r="L2" s="353" t="s">
        <v>219</v>
      </c>
      <c r="M2" s="351" t="s">
        <v>223</v>
      </c>
      <c r="N2" s="351" t="s">
        <v>224</v>
      </c>
      <c r="O2" s="351" t="s">
        <v>225</v>
      </c>
      <c r="P2" s="351" t="s">
        <v>248</v>
      </c>
      <c r="Q2" s="352" t="s">
        <v>249</v>
      </c>
      <c r="S2" s="353" t="s">
        <v>227</v>
      </c>
      <c r="T2" s="351" t="s">
        <v>230</v>
      </c>
      <c r="U2" s="352" t="s">
        <v>231</v>
      </c>
    </row>
    <row r="3" spans="4:21" ht="20.100000000000001" customHeight="1">
      <c r="D3" s="568" t="s">
        <v>236</v>
      </c>
      <c r="E3" s="437">
        <v>130</v>
      </c>
      <c r="F3" s="437">
        <v>14.3</v>
      </c>
      <c r="G3" s="437">
        <v>64.8</v>
      </c>
      <c r="H3" s="437">
        <v>50.5</v>
      </c>
      <c r="I3" s="437">
        <v>0.1</v>
      </c>
      <c r="J3" s="569">
        <v>3.9890328339016063</v>
      </c>
      <c r="K3" s="37"/>
      <c r="L3" s="544">
        <v>130</v>
      </c>
      <c r="M3" s="437">
        <v>0.1</v>
      </c>
      <c r="N3" s="437">
        <v>0.1</v>
      </c>
      <c r="O3" s="437">
        <v>485.7</v>
      </c>
      <c r="P3" s="437">
        <v>1.732</v>
      </c>
      <c r="Q3" s="547">
        <v>8.8969999999999994E-2</v>
      </c>
      <c r="S3" s="571">
        <v>64.8</v>
      </c>
      <c r="T3" s="572">
        <v>16.491080206622705</v>
      </c>
      <c r="U3" s="569">
        <v>48.308919793377292</v>
      </c>
    </row>
    <row r="4" spans="4:21" ht="20.100000000000001" customHeight="1">
      <c r="D4" s="568" t="s">
        <v>237</v>
      </c>
      <c r="E4" s="437">
        <v>130</v>
      </c>
      <c r="F4" s="437">
        <v>14.9</v>
      </c>
      <c r="G4" s="437">
        <v>61.7</v>
      </c>
      <c r="H4" s="437">
        <v>46.800000000000004</v>
      </c>
      <c r="I4" s="437">
        <v>0.1</v>
      </c>
      <c r="J4" s="569">
        <v>3.7991159487113451</v>
      </c>
      <c r="K4" s="37"/>
      <c r="L4" s="544">
        <v>130</v>
      </c>
      <c r="M4" s="437">
        <v>0.1</v>
      </c>
      <c r="N4" s="437">
        <v>0.1</v>
      </c>
      <c r="O4" s="437">
        <v>235.1</v>
      </c>
      <c r="P4" s="437">
        <v>1.877</v>
      </c>
      <c r="Q4" s="547">
        <v>9.2749999999999999E-2</v>
      </c>
      <c r="S4" s="571">
        <v>61.7</v>
      </c>
      <c r="T4" s="572">
        <v>17.057988721779331</v>
      </c>
      <c r="U4" s="569">
        <v>44.642011278220671</v>
      </c>
    </row>
    <row r="5" spans="4:21" ht="20.100000000000001" customHeight="1">
      <c r="D5" s="568" t="s">
        <v>238</v>
      </c>
      <c r="E5" s="437">
        <v>130</v>
      </c>
      <c r="F5" s="437">
        <v>13.8</v>
      </c>
      <c r="G5" s="437">
        <v>62.4</v>
      </c>
      <c r="H5" s="437">
        <v>48.599999999999994</v>
      </c>
      <c r="I5" s="437">
        <v>0.1</v>
      </c>
      <c r="J5" s="569">
        <v>3.8914763181450334</v>
      </c>
      <c r="K5" s="37"/>
      <c r="L5" s="544">
        <v>130</v>
      </c>
      <c r="M5" s="437">
        <v>0.1</v>
      </c>
      <c r="N5" s="437">
        <v>0.1</v>
      </c>
      <c r="O5" s="437">
        <v>236.2</v>
      </c>
      <c r="P5" s="437">
        <v>1.8029999999999999</v>
      </c>
      <c r="Q5" s="547">
        <v>9.0880000000000002E-2</v>
      </c>
      <c r="S5" s="571">
        <v>62.4</v>
      </c>
      <c r="T5" s="572">
        <v>15.974338991033088</v>
      </c>
      <c r="U5" s="569">
        <v>46.425661008966912</v>
      </c>
    </row>
    <row r="6" spans="4:21" ht="20.100000000000001" customHeight="1">
      <c r="D6" s="568"/>
      <c r="E6" s="437"/>
      <c r="F6" s="437"/>
      <c r="G6" s="437"/>
      <c r="H6" s="437"/>
      <c r="I6" s="437"/>
      <c r="J6" s="569"/>
      <c r="K6" s="37"/>
      <c r="L6" s="544"/>
      <c r="M6" s="437"/>
      <c r="N6" s="437"/>
      <c r="O6" s="437"/>
      <c r="P6" s="437"/>
      <c r="Q6" s="547"/>
      <c r="S6" s="571"/>
      <c r="T6" s="572"/>
      <c r="U6" s="569"/>
    </row>
    <row r="7" spans="4:21" ht="20.100000000000001" customHeight="1">
      <c r="D7" s="568"/>
      <c r="E7" s="437"/>
      <c r="F7" s="437"/>
      <c r="G7" s="437"/>
      <c r="H7" s="437"/>
      <c r="I7" s="437"/>
      <c r="J7" s="569"/>
      <c r="K7" s="37"/>
      <c r="L7" s="544"/>
      <c r="M7" s="437"/>
      <c r="N7" s="437"/>
      <c r="O7" s="437"/>
      <c r="P7" s="437"/>
      <c r="Q7" s="547"/>
      <c r="S7" s="571"/>
      <c r="T7" s="572"/>
      <c r="U7" s="569"/>
    </row>
    <row r="8" spans="4:21" ht="20.100000000000001" customHeight="1">
      <c r="D8" s="568"/>
      <c r="E8" s="437"/>
      <c r="F8" s="437"/>
      <c r="G8" s="437"/>
      <c r="H8" s="437"/>
      <c r="I8" s="437"/>
      <c r="J8" s="569"/>
      <c r="K8" s="37"/>
      <c r="L8" s="544"/>
      <c r="M8" s="437"/>
      <c r="N8" s="437"/>
      <c r="O8" s="437"/>
      <c r="P8" s="437"/>
      <c r="Q8" s="547"/>
      <c r="S8" s="544"/>
      <c r="T8" s="572"/>
      <c r="U8" s="569"/>
    </row>
    <row r="9" spans="4:21" ht="20.100000000000001" customHeight="1">
      <c r="D9" s="568"/>
      <c r="E9" s="437"/>
      <c r="F9" s="437"/>
      <c r="G9" s="437"/>
      <c r="H9" s="437"/>
      <c r="I9" s="437"/>
      <c r="J9" s="569"/>
      <c r="K9" s="37"/>
      <c r="L9" s="544"/>
      <c r="M9" s="437"/>
      <c r="N9" s="437"/>
      <c r="O9" s="437"/>
      <c r="P9" s="437"/>
      <c r="Q9" s="547"/>
      <c r="S9" s="544"/>
      <c r="T9" s="572"/>
      <c r="U9" s="569"/>
    </row>
    <row r="10" spans="4:21" ht="20.100000000000001" customHeight="1">
      <c r="D10" s="568"/>
      <c r="E10" s="437"/>
      <c r="F10" s="437"/>
      <c r="G10" s="437"/>
      <c r="H10" s="437"/>
      <c r="I10" s="437"/>
      <c r="J10" s="569"/>
      <c r="K10" s="37"/>
      <c r="L10" s="544"/>
      <c r="M10" s="437"/>
      <c r="N10" s="437"/>
      <c r="O10" s="437"/>
      <c r="P10" s="437"/>
      <c r="Q10" s="547"/>
      <c r="S10" s="544"/>
      <c r="T10" s="572"/>
      <c r="U10" s="569"/>
    </row>
    <row r="11" spans="4:21" ht="20.100000000000001" customHeight="1">
      <c r="D11" s="568"/>
      <c r="E11" s="437"/>
      <c r="F11" s="437"/>
      <c r="G11" s="437"/>
      <c r="H11" s="437"/>
      <c r="I11" s="437"/>
      <c r="J11" s="569"/>
      <c r="K11" s="37"/>
      <c r="L11" s="544"/>
      <c r="M11" s="437"/>
      <c r="N11" s="437"/>
      <c r="O11" s="437"/>
      <c r="P11" s="437"/>
      <c r="Q11" s="547"/>
      <c r="S11" s="544"/>
      <c r="T11" s="572"/>
      <c r="U11" s="569"/>
    </row>
    <row r="12" spans="4:21" ht="20.100000000000001" customHeight="1">
      <c r="D12" s="568"/>
      <c r="E12" s="437"/>
      <c r="F12" s="437"/>
      <c r="G12" s="437"/>
      <c r="H12" s="437"/>
      <c r="I12" s="437"/>
      <c r="J12" s="569"/>
      <c r="K12" s="37"/>
      <c r="L12" s="544"/>
      <c r="M12" s="437"/>
      <c r="N12" s="437"/>
      <c r="O12" s="437"/>
      <c r="P12" s="437"/>
      <c r="Q12" s="547"/>
      <c r="S12" s="544"/>
      <c r="T12" s="572"/>
      <c r="U12" s="569"/>
    </row>
    <row r="13" spans="4:21" ht="20.100000000000001" customHeight="1">
      <c r="D13" s="568"/>
      <c r="E13" s="437"/>
      <c r="F13" s="437"/>
      <c r="G13" s="437"/>
      <c r="H13" s="437"/>
      <c r="I13" s="437"/>
      <c r="J13" s="569"/>
      <c r="K13" s="37"/>
      <c r="L13" s="544"/>
      <c r="M13" s="437"/>
      <c r="N13" s="437"/>
      <c r="O13" s="437"/>
      <c r="P13" s="437"/>
      <c r="Q13" s="547"/>
      <c r="S13" s="544"/>
      <c r="T13" s="572"/>
      <c r="U13" s="569"/>
    </row>
    <row r="14" spans="4:21" ht="20.100000000000001" customHeight="1">
      <c r="D14" s="568"/>
      <c r="E14" s="437"/>
      <c r="F14" s="437"/>
      <c r="G14" s="437"/>
      <c r="H14" s="437"/>
      <c r="I14" s="437"/>
      <c r="J14" s="569"/>
      <c r="K14" s="37"/>
      <c r="L14" s="544"/>
      <c r="M14" s="437"/>
      <c r="N14" s="437"/>
      <c r="O14" s="437"/>
      <c r="P14" s="437"/>
      <c r="Q14" s="547"/>
      <c r="S14" s="544"/>
      <c r="T14" s="572"/>
      <c r="U14" s="569"/>
    </row>
    <row r="15" spans="4:21" ht="20.100000000000001" customHeight="1">
      <c r="D15" s="568"/>
      <c r="E15" s="437"/>
      <c r="F15" s="437"/>
      <c r="G15" s="437"/>
      <c r="H15" s="437"/>
      <c r="I15" s="437"/>
      <c r="J15" s="569"/>
      <c r="K15" s="37"/>
      <c r="L15" s="544"/>
      <c r="M15" s="437"/>
      <c r="N15" s="437"/>
      <c r="O15" s="437"/>
      <c r="P15" s="437"/>
      <c r="Q15" s="547"/>
      <c r="S15" s="544"/>
      <c r="T15" s="572"/>
      <c r="U15" s="569"/>
    </row>
    <row r="16" spans="4:21" ht="20.100000000000001" customHeight="1" thickBot="1">
      <c r="D16" s="566"/>
      <c r="E16" s="549"/>
      <c r="F16" s="549"/>
      <c r="G16" s="549"/>
      <c r="H16" s="549"/>
      <c r="I16" s="549"/>
      <c r="J16" s="570"/>
      <c r="K16" s="37"/>
      <c r="L16" s="548"/>
      <c r="M16" s="549"/>
      <c r="N16" s="549"/>
      <c r="O16" s="549"/>
      <c r="P16" s="549"/>
      <c r="Q16" s="550"/>
      <c r="S16" s="548"/>
      <c r="T16" s="573"/>
      <c r="U16" s="570"/>
    </row>
    <row r="17" spans="3:21" ht="20.100000000000001" customHeight="1">
      <c r="D17" s="37"/>
      <c r="E17" s="37"/>
      <c r="F17" s="37"/>
      <c r="G17" s="37"/>
      <c r="H17" s="37"/>
      <c r="I17" s="37"/>
      <c r="J17" s="355"/>
      <c r="K17" s="37"/>
      <c r="L17" s="37"/>
      <c r="M17" s="37"/>
      <c r="N17" s="37"/>
      <c r="O17" s="37"/>
      <c r="P17" s="37"/>
      <c r="Q17" s="37"/>
      <c r="S17" s="37"/>
      <c r="T17" s="355"/>
      <c r="U17" s="355"/>
    </row>
    <row r="18" spans="3:21" ht="20.100000000000001" customHeight="1">
      <c r="D18" s="37"/>
      <c r="E18" s="37"/>
      <c r="F18" s="37"/>
      <c r="G18" s="37"/>
      <c r="H18" s="37"/>
      <c r="I18" s="37"/>
      <c r="J18" s="355"/>
      <c r="K18" s="37"/>
      <c r="L18" s="37"/>
      <c r="M18" s="37"/>
      <c r="N18" s="37"/>
      <c r="O18" s="37"/>
      <c r="P18" s="37"/>
      <c r="Q18" s="37"/>
      <c r="S18" s="37"/>
      <c r="T18" s="355"/>
      <c r="U18" s="355"/>
    </row>
    <row r="19" spans="3:21" ht="20.100000000000001" customHeight="1">
      <c r="H19" s="356"/>
      <c r="J19" s="357"/>
      <c r="K19" s="357"/>
      <c r="L19" s="357"/>
      <c r="M19" s="357"/>
      <c r="N19" s="357"/>
      <c r="O19" s="357"/>
      <c r="P19" s="357"/>
      <c r="S19" s="37"/>
      <c r="T19" s="355"/>
      <c r="U19" s="355"/>
    </row>
    <row r="20" spans="3:21" s="358" customFormat="1" ht="26.25" customHeight="1" thickBot="1">
      <c r="D20" s="349" t="s">
        <v>262</v>
      </c>
      <c r="F20" s="349"/>
      <c r="H20" s="359"/>
      <c r="T20" s="360"/>
      <c r="U20" s="360"/>
    </row>
    <row r="21" spans="3:21" s="52" customFormat="1" ht="36" customHeight="1" thickBot="1">
      <c r="D21" s="361" t="s">
        <v>299</v>
      </c>
      <c r="E21" s="369" t="s">
        <v>236</v>
      </c>
      <c r="F21" s="370" t="s">
        <v>237</v>
      </c>
      <c r="G21" s="369" t="s">
        <v>238</v>
      </c>
      <c r="H21" s="371"/>
      <c r="I21" s="369"/>
      <c r="J21" s="369"/>
      <c r="K21" s="369"/>
      <c r="L21" s="369"/>
      <c r="M21" s="369"/>
      <c r="N21" s="369"/>
      <c r="O21" s="369"/>
      <c r="P21" s="372"/>
      <c r="Q21" s="53"/>
      <c r="S21" s="53"/>
      <c r="T21" s="373"/>
      <c r="U21" s="373"/>
    </row>
    <row r="22" spans="3:21" s="37" customFormat="1" ht="23.1" customHeight="1">
      <c r="D22" s="362" t="s">
        <v>266</v>
      </c>
      <c r="E22" s="437">
        <v>1.5549999999999999</v>
      </c>
      <c r="F22" s="437">
        <v>1.6819999999999999</v>
      </c>
      <c r="G22" s="437">
        <v>1.534</v>
      </c>
      <c r="H22" s="437"/>
      <c r="I22" s="437"/>
      <c r="J22" s="574"/>
      <c r="K22" s="574"/>
      <c r="L22" s="574"/>
      <c r="M22" s="574"/>
      <c r="N22" s="574"/>
      <c r="O22" s="574"/>
      <c r="P22" s="575"/>
      <c r="T22" s="355"/>
      <c r="U22" s="355"/>
    </row>
    <row r="23" spans="3:21" s="37" customFormat="1" ht="23.1" customHeight="1">
      <c r="D23" s="362" t="s">
        <v>242</v>
      </c>
      <c r="E23" s="437">
        <v>3.3800000000000002E-3</v>
      </c>
      <c r="F23" s="437">
        <v>7.5599999999999999E-3</v>
      </c>
      <c r="G23" s="437">
        <v>7.0600000000000003E-3</v>
      </c>
      <c r="H23" s="437"/>
      <c r="I23" s="437"/>
      <c r="J23" s="574"/>
      <c r="K23" s="574"/>
      <c r="L23" s="574"/>
      <c r="M23" s="574"/>
      <c r="N23" s="574"/>
      <c r="O23" s="574"/>
      <c r="P23" s="575"/>
      <c r="T23" s="355"/>
      <c r="U23" s="355"/>
    </row>
    <row r="24" spans="3:21" s="37" customFormat="1" ht="23.1" customHeight="1">
      <c r="D24" s="362" t="s">
        <v>243</v>
      </c>
      <c r="E24" s="437">
        <v>3.2289999999999999E-4</v>
      </c>
      <c r="F24" s="437">
        <v>3.1720000000000001E-4</v>
      </c>
      <c r="G24" s="437">
        <v>3.2009999999999997E-4</v>
      </c>
      <c r="H24" s="437"/>
      <c r="I24" s="437"/>
      <c r="J24" s="574"/>
      <c r="K24" s="574"/>
      <c r="L24" s="574"/>
      <c r="M24" s="574"/>
      <c r="N24" s="574"/>
      <c r="O24" s="574"/>
      <c r="P24" s="575"/>
      <c r="T24" s="355"/>
      <c r="U24" s="355"/>
    </row>
    <row r="25" spans="3:21" s="37" customFormat="1" ht="23.1" customHeight="1">
      <c r="D25" s="362" t="s">
        <v>265</v>
      </c>
      <c r="E25" s="437">
        <v>0.58330000000000004</v>
      </c>
      <c r="F25" s="437">
        <v>0.58330000000000004</v>
      </c>
      <c r="G25" s="437">
        <v>0.58330000000000004</v>
      </c>
      <c r="H25" s="437"/>
      <c r="I25" s="437"/>
      <c r="J25" s="574"/>
      <c r="K25" s="574"/>
      <c r="L25" s="574"/>
      <c r="M25" s="574"/>
      <c r="N25" s="574"/>
      <c r="O25" s="574"/>
      <c r="P25" s="575"/>
      <c r="T25" s="355"/>
      <c r="U25" s="355"/>
    </row>
    <row r="26" spans="3:21" s="37" customFormat="1" ht="23.1" customHeight="1">
      <c r="D26" s="362" t="s">
        <v>264</v>
      </c>
      <c r="E26" s="437">
        <v>50.5</v>
      </c>
      <c r="F26" s="437">
        <v>46.800000000000004</v>
      </c>
      <c r="G26" s="437">
        <v>48.599999999999994</v>
      </c>
      <c r="H26" s="437"/>
      <c r="I26" s="437"/>
      <c r="J26" s="574"/>
      <c r="K26" s="574"/>
      <c r="L26" s="574"/>
      <c r="M26" s="574"/>
      <c r="N26" s="574"/>
      <c r="O26" s="574"/>
      <c r="P26" s="575"/>
      <c r="T26" s="355"/>
      <c r="U26" s="355"/>
    </row>
    <row r="27" spans="3:21" s="37" customFormat="1" ht="23.1" customHeight="1" thickBot="1">
      <c r="D27" s="363" t="s">
        <v>263</v>
      </c>
      <c r="E27" s="549">
        <v>485.7</v>
      </c>
      <c r="F27" s="549">
        <v>235.1</v>
      </c>
      <c r="G27" s="549">
        <v>236.2</v>
      </c>
      <c r="H27" s="549"/>
      <c r="I27" s="549"/>
      <c r="J27" s="576"/>
      <c r="K27" s="576"/>
      <c r="L27" s="576"/>
      <c r="M27" s="576"/>
      <c r="N27" s="576"/>
      <c r="O27" s="576"/>
      <c r="P27" s="577"/>
      <c r="T27" s="355"/>
      <c r="U27" s="355"/>
    </row>
    <row r="28" spans="3:21" ht="20.100000000000001" customHeight="1">
      <c r="D28" s="44"/>
      <c r="E28" s="44"/>
      <c r="F28" s="357"/>
      <c r="G28" s="44"/>
      <c r="H28" s="356"/>
      <c r="T28" s="364"/>
      <c r="U28" s="364"/>
    </row>
    <row r="29" spans="3:21" ht="20.100000000000001" customHeight="1">
      <c r="D29" s="37"/>
      <c r="E29" s="37"/>
      <c r="F29" s="37"/>
      <c r="G29" s="37"/>
      <c r="H29" s="37"/>
      <c r="I29" s="37"/>
      <c r="J29" s="355"/>
      <c r="K29" s="37"/>
      <c r="L29" s="37"/>
      <c r="M29" s="37"/>
      <c r="N29" s="37"/>
      <c r="O29" s="37"/>
      <c r="P29" s="37"/>
      <c r="Q29" s="37"/>
      <c r="T29" s="364"/>
      <c r="U29" s="364"/>
    </row>
    <row r="30" spans="3:21" ht="32.25" customHeight="1" thickBot="1">
      <c r="D30" s="37"/>
      <c r="E30" s="37"/>
      <c r="F30" s="37"/>
      <c r="G30" s="37"/>
      <c r="H30" s="37"/>
      <c r="I30" s="349"/>
      <c r="J30" s="355"/>
      <c r="K30" s="37"/>
      <c r="L30" s="37"/>
      <c r="M30" s="37"/>
      <c r="N30" s="37"/>
      <c r="O30" s="37"/>
      <c r="P30" s="37"/>
      <c r="Q30" s="37"/>
    </row>
    <row r="31" spans="3:21" s="37" customFormat="1" ht="33.75" customHeight="1" thickBot="1">
      <c r="C31" s="365" t="s">
        <v>222</v>
      </c>
      <c r="D31" s="366" t="s">
        <v>247</v>
      </c>
      <c r="E31" s="366" t="s">
        <v>304</v>
      </c>
      <c r="F31" s="367" t="s">
        <v>305</v>
      </c>
      <c r="H31" s="366" t="s">
        <v>270</v>
      </c>
      <c r="I31" s="366" t="s">
        <v>271</v>
      </c>
      <c r="J31" s="368" t="s">
        <v>272</v>
      </c>
      <c r="K31" s="366" t="s">
        <v>273</v>
      </c>
      <c r="L31" s="366" t="s">
        <v>274</v>
      </c>
      <c r="M31" s="367" t="s">
        <v>275</v>
      </c>
      <c r="O31" s="487" t="s">
        <v>316</v>
      </c>
      <c r="P31" s="488" t="s">
        <v>317</v>
      </c>
      <c r="Q31" s="489" t="s">
        <v>318</v>
      </c>
    </row>
    <row r="32" spans="3:21" ht="20.100000000000001" customHeight="1">
      <c r="C32" s="511" t="s">
        <v>236</v>
      </c>
      <c r="D32" s="347" t="s">
        <v>282</v>
      </c>
      <c r="E32" s="562">
        <v>1.732</v>
      </c>
      <c r="F32" s="578">
        <v>3.2289999999999999E-4</v>
      </c>
      <c r="G32" s="37"/>
      <c r="H32" s="354" t="s">
        <v>236</v>
      </c>
      <c r="I32" s="568">
        <v>43</v>
      </c>
      <c r="J32" s="579">
        <v>52.7</v>
      </c>
      <c r="K32" s="568">
        <v>81.7</v>
      </c>
      <c r="L32" s="568">
        <v>59.1</v>
      </c>
      <c r="M32" s="547">
        <v>81.7</v>
      </c>
      <c r="N32" s="37"/>
      <c r="O32" s="390" t="s">
        <v>236</v>
      </c>
      <c r="P32" s="580">
        <v>-2.8094802274899022</v>
      </c>
      <c r="Q32" s="581">
        <v>1.66</v>
      </c>
    </row>
    <row r="33" spans="3:17" ht="20.100000000000001" customHeight="1">
      <c r="C33" s="513"/>
      <c r="D33" s="354" t="s">
        <v>283</v>
      </c>
      <c r="E33" s="568">
        <v>1.5549999999999999</v>
      </c>
      <c r="F33" s="547"/>
      <c r="G33" s="37"/>
      <c r="H33" s="354" t="s">
        <v>237</v>
      </c>
      <c r="I33" s="568">
        <v>62.5</v>
      </c>
      <c r="J33" s="579">
        <v>76.5</v>
      </c>
      <c r="K33" s="568">
        <v>85.8</v>
      </c>
      <c r="L33" s="568">
        <v>74.900000000000006</v>
      </c>
      <c r="M33" s="547">
        <v>85.8</v>
      </c>
      <c r="N33" s="37"/>
      <c r="O33" s="390" t="s">
        <v>237</v>
      </c>
      <c r="P33" s="580">
        <v>-2.8389074274559167</v>
      </c>
      <c r="Q33" s="581">
        <v>1.71</v>
      </c>
    </row>
    <row r="34" spans="3:17" ht="20.100000000000001" customHeight="1" thickBot="1">
      <c r="C34" s="512"/>
      <c r="D34" s="348" t="s">
        <v>284</v>
      </c>
      <c r="E34" s="566">
        <v>1.6435</v>
      </c>
      <c r="F34" s="550">
        <v>3.2289999999999999E-4</v>
      </c>
      <c r="G34" s="37"/>
      <c r="H34" s="354" t="s">
        <v>238</v>
      </c>
      <c r="I34" s="568">
        <v>61.2</v>
      </c>
      <c r="J34" s="579">
        <v>75</v>
      </c>
      <c r="K34" s="568">
        <v>82.7</v>
      </c>
      <c r="L34" s="568">
        <v>73</v>
      </c>
      <c r="M34" s="547">
        <v>82.7</v>
      </c>
      <c r="N34" s="37"/>
      <c r="O34" s="390" t="s">
        <v>238</v>
      </c>
      <c r="P34" s="580">
        <v>-2.8243578961535829</v>
      </c>
      <c r="Q34" s="581">
        <v>1.6850000000000001</v>
      </c>
    </row>
    <row r="35" spans="3:17" ht="20.100000000000001" customHeight="1">
      <c r="C35" s="511" t="s">
        <v>237</v>
      </c>
      <c r="D35" s="347" t="s">
        <v>282</v>
      </c>
      <c r="E35" s="562">
        <v>1.877</v>
      </c>
      <c r="F35" s="578">
        <v>3.1720000000000001E-4</v>
      </c>
      <c r="G35" s="37"/>
      <c r="H35" s="354"/>
      <c r="I35" s="568"/>
      <c r="J35" s="579"/>
      <c r="K35" s="568"/>
      <c r="L35" s="568"/>
      <c r="M35" s="547"/>
      <c r="N35" s="37"/>
      <c r="O35" s="390"/>
      <c r="P35" s="533"/>
      <c r="Q35" s="534"/>
    </row>
    <row r="36" spans="3:17" ht="20.100000000000001" customHeight="1">
      <c r="C36" s="513"/>
      <c r="D36" s="354" t="s">
        <v>283</v>
      </c>
      <c r="E36" s="568">
        <v>1.6819999999999999</v>
      </c>
      <c r="F36" s="547"/>
      <c r="G36" s="37"/>
      <c r="H36" s="354"/>
      <c r="I36" s="568"/>
      <c r="J36" s="568"/>
      <c r="K36" s="568"/>
      <c r="L36" s="568"/>
      <c r="M36" s="547"/>
      <c r="N36" s="37"/>
      <c r="O36" s="390"/>
      <c r="P36" s="533"/>
      <c r="Q36" s="534"/>
    </row>
    <row r="37" spans="3:17" ht="20.100000000000001" customHeight="1" thickBot="1">
      <c r="C37" s="512"/>
      <c r="D37" s="348" t="s">
        <v>284</v>
      </c>
      <c r="E37" s="566">
        <v>1.7795000000000001</v>
      </c>
      <c r="F37" s="550">
        <v>3.1720000000000001E-4</v>
      </c>
      <c r="G37" s="37"/>
      <c r="H37" s="354"/>
      <c r="I37" s="568"/>
      <c r="J37" s="568"/>
      <c r="K37" s="568"/>
      <c r="L37" s="568"/>
      <c r="M37" s="547"/>
      <c r="N37" s="37"/>
      <c r="O37" s="390"/>
      <c r="P37" s="533"/>
      <c r="Q37" s="534"/>
    </row>
    <row r="38" spans="3:17" ht="20.100000000000001" customHeight="1">
      <c r="C38" s="511" t="s">
        <v>238</v>
      </c>
      <c r="D38" s="347" t="s">
        <v>282</v>
      </c>
      <c r="E38" s="562">
        <v>1.8029999999999999</v>
      </c>
      <c r="F38" s="578">
        <v>3.2009999999999997E-4</v>
      </c>
      <c r="G38" s="37"/>
      <c r="H38" s="354"/>
      <c r="I38" s="568"/>
      <c r="J38" s="568"/>
      <c r="K38" s="568"/>
      <c r="L38" s="568"/>
      <c r="M38" s="547"/>
      <c r="N38" s="37"/>
      <c r="O38" s="390"/>
      <c r="P38" s="533"/>
      <c r="Q38" s="534"/>
    </row>
    <row r="39" spans="3:17" ht="20.100000000000001" customHeight="1">
      <c r="C39" s="513"/>
      <c r="D39" s="354" t="s">
        <v>283</v>
      </c>
      <c r="E39" s="568">
        <v>1.534</v>
      </c>
      <c r="F39" s="547"/>
      <c r="G39" s="37"/>
      <c r="H39" s="354"/>
      <c r="I39" s="568"/>
      <c r="J39" s="568"/>
      <c r="K39" s="568"/>
      <c r="L39" s="568"/>
      <c r="M39" s="547"/>
      <c r="N39" s="37"/>
      <c r="O39" s="390"/>
      <c r="P39" s="533"/>
      <c r="Q39" s="534"/>
    </row>
    <row r="40" spans="3:17" ht="20.100000000000001" customHeight="1" thickBot="1">
      <c r="C40" s="512"/>
      <c r="D40" s="348" t="s">
        <v>284</v>
      </c>
      <c r="E40" s="566">
        <v>1.6684999999999999</v>
      </c>
      <c r="F40" s="550">
        <v>3.2009999999999997E-4</v>
      </c>
      <c r="G40" s="37"/>
      <c r="H40" s="354"/>
      <c r="I40" s="568"/>
      <c r="J40" s="568"/>
      <c r="K40" s="568"/>
      <c r="L40" s="568"/>
      <c r="M40" s="547"/>
      <c r="N40" s="37"/>
      <c r="O40" s="390"/>
      <c r="P40" s="533"/>
      <c r="Q40" s="534"/>
    </row>
    <row r="41" spans="3:17" ht="20.100000000000001" customHeight="1">
      <c r="C41" s="513"/>
      <c r="D41" s="354"/>
      <c r="E41" s="562"/>
      <c r="F41" s="578"/>
      <c r="G41" s="37"/>
      <c r="H41" s="354"/>
      <c r="I41" s="568"/>
      <c r="J41" s="568"/>
      <c r="K41" s="568"/>
      <c r="L41" s="568"/>
      <c r="M41" s="547"/>
      <c r="N41" s="37"/>
      <c r="O41" s="390"/>
      <c r="P41" s="533"/>
      <c r="Q41" s="534"/>
    </row>
    <row r="42" spans="3:17" ht="20.100000000000001" customHeight="1">
      <c r="C42" s="513"/>
      <c r="D42" s="354"/>
      <c r="E42" s="568"/>
      <c r="F42" s="547"/>
      <c r="G42" s="37"/>
      <c r="H42" s="354"/>
      <c r="I42" s="568"/>
      <c r="J42" s="568"/>
      <c r="K42" s="568"/>
      <c r="L42" s="568"/>
      <c r="M42" s="547"/>
      <c r="N42" s="37"/>
      <c r="O42" s="390"/>
      <c r="P42" s="533"/>
      <c r="Q42" s="534"/>
    </row>
    <row r="43" spans="3:17" ht="20.100000000000001" customHeight="1" thickBot="1">
      <c r="C43" s="512"/>
      <c r="D43" s="348"/>
      <c r="E43" s="566"/>
      <c r="F43" s="550"/>
      <c r="G43" s="37"/>
      <c r="H43" s="354"/>
      <c r="I43" s="568"/>
      <c r="J43" s="568"/>
      <c r="K43" s="568"/>
      <c r="L43" s="568"/>
      <c r="M43" s="547"/>
      <c r="N43" s="37"/>
      <c r="O43" s="390"/>
      <c r="P43" s="533"/>
      <c r="Q43" s="534"/>
    </row>
    <row r="44" spans="3:17" ht="20.100000000000001" customHeight="1">
      <c r="C44" s="511"/>
      <c r="D44" s="347"/>
      <c r="E44" s="562"/>
      <c r="F44" s="578"/>
      <c r="G44" s="37"/>
      <c r="H44" s="354"/>
      <c r="I44" s="568"/>
      <c r="J44" s="568"/>
      <c r="K44" s="568"/>
      <c r="L44" s="568"/>
      <c r="M44" s="547"/>
      <c r="N44" s="37"/>
      <c r="O44" s="390"/>
      <c r="P44" s="533"/>
      <c r="Q44" s="534"/>
    </row>
    <row r="45" spans="3:17" ht="20.100000000000001" customHeight="1" thickBot="1">
      <c r="C45" s="513"/>
      <c r="D45" s="354"/>
      <c r="E45" s="568"/>
      <c r="F45" s="547"/>
      <c r="G45" s="37"/>
      <c r="H45" s="348"/>
      <c r="I45" s="566"/>
      <c r="J45" s="566"/>
      <c r="K45" s="566"/>
      <c r="L45" s="566"/>
      <c r="M45" s="550"/>
      <c r="N45" s="37"/>
      <c r="O45" s="391"/>
      <c r="P45" s="435"/>
      <c r="Q45" s="436"/>
    </row>
    <row r="46" spans="3:17" ht="20.100000000000001" customHeight="1" thickBot="1">
      <c r="C46" s="512"/>
      <c r="D46" s="348"/>
      <c r="E46" s="566"/>
      <c r="F46" s="550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11"/>
      <c r="D47" s="347"/>
      <c r="E47" s="562"/>
      <c r="F47" s="578"/>
    </row>
    <row r="48" spans="3:17" ht="20.100000000000001" customHeight="1">
      <c r="C48" s="513"/>
      <c r="D48" s="354"/>
      <c r="E48" s="568"/>
      <c r="F48" s="547"/>
    </row>
    <row r="49" spans="3:6" ht="20.100000000000001" customHeight="1" thickBot="1">
      <c r="C49" s="512"/>
      <c r="D49" s="348"/>
      <c r="E49" s="566"/>
      <c r="F49" s="550"/>
    </row>
    <row r="50" spans="3:6" ht="20.100000000000001" customHeight="1">
      <c r="C50" s="511"/>
      <c r="D50" s="347"/>
      <c r="E50" s="562"/>
      <c r="F50" s="578"/>
    </row>
    <row r="51" spans="3:6" ht="20.100000000000001" customHeight="1">
      <c r="C51" s="513"/>
      <c r="D51" s="354"/>
      <c r="E51" s="568"/>
      <c r="F51" s="547"/>
    </row>
    <row r="52" spans="3:6" ht="20.100000000000001" customHeight="1" thickBot="1">
      <c r="C52" s="512"/>
      <c r="D52" s="348"/>
      <c r="E52" s="566"/>
      <c r="F52" s="550"/>
    </row>
    <row r="53" spans="3:6" ht="20.100000000000001" customHeight="1">
      <c r="C53" s="511"/>
      <c r="D53" s="347"/>
      <c r="E53" s="562"/>
      <c r="F53" s="578"/>
    </row>
    <row r="54" spans="3:6" ht="20.100000000000001" customHeight="1">
      <c r="C54" s="513"/>
      <c r="D54" s="354"/>
      <c r="E54" s="568"/>
      <c r="F54" s="547"/>
    </row>
    <row r="55" spans="3:6" ht="20.100000000000001" customHeight="1" thickBot="1">
      <c r="C55" s="512"/>
      <c r="D55" s="348"/>
      <c r="E55" s="566"/>
      <c r="F55" s="550"/>
    </row>
    <row r="56" spans="3:6" ht="20.100000000000001" customHeight="1">
      <c r="C56" s="511"/>
      <c r="D56" s="347"/>
      <c r="E56" s="562"/>
      <c r="F56" s="578"/>
    </row>
    <row r="57" spans="3:6" ht="20.100000000000001" customHeight="1">
      <c r="C57" s="513"/>
      <c r="D57" s="354"/>
      <c r="E57" s="568"/>
      <c r="F57" s="547"/>
    </row>
    <row r="58" spans="3:6" ht="20.100000000000001" customHeight="1" thickBot="1">
      <c r="C58" s="512"/>
      <c r="D58" s="348"/>
      <c r="E58" s="566"/>
      <c r="F58" s="550"/>
    </row>
    <row r="59" spans="3:6" ht="20.100000000000001" customHeight="1">
      <c r="C59" s="511"/>
      <c r="D59" s="347"/>
      <c r="E59" s="562"/>
      <c r="F59" s="578"/>
    </row>
    <row r="60" spans="3:6" ht="20.100000000000001" customHeight="1">
      <c r="C60" s="513"/>
      <c r="D60" s="354"/>
      <c r="E60" s="568"/>
      <c r="F60" s="547"/>
    </row>
    <row r="61" spans="3:6" ht="20.100000000000001" customHeight="1" thickBot="1">
      <c r="C61" s="512"/>
      <c r="D61" s="348"/>
      <c r="E61" s="566"/>
      <c r="F61" s="550"/>
    </row>
    <row r="62" spans="3:6" ht="20.100000000000001" customHeight="1">
      <c r="C62" s="511"/>
      <c r="D62" s="347"/>
      <c r="E62" s="562"/>
      <c r="F62" s="578"/>
    </row>
    <row r="63" spans="3:6" ht="20.100000000000001" customHeight="1">
      <c r="C63" s="513"/>
      <c r="D63" s="354"/>
      <c r="E63" s="568"/>
      <c r="F63" s="547"/>
    </row>
    <row r="64" spans="3:6" ht="20.100000000000001" customHeight="1" thickBot="1">
      <c r="C64" s="512"/>
      <c r="D64" s="348"/>
      <c r="E64" s="566"/>
      <c r="F64" s="550"/>
    </row>
    <row r="65" spans="3:6" ht="20.100000000000001" customHeight="1">
      <c r="C65" s="511"/>
      <c r="D65" s="347"/>
      <c r="E65" s="568"/>
      <c r="F65" s="547"/>
    </row>
    <row r="66" spans="3:6" ht="20.100000000000001" customHeight="1">
      <c r="C66" s="513"/>
      <c r="D66" s="354"/>
      <c r="E66" s="568"/>
      <c r="F66" s="547"/>
    </row>
    <row r="67" spans="3:6" ht="20.100000000000001" customHeight="1" thickBot="1">
      <c r="C67" s="512"/>
      <c r="D67" s="348"/>
      <c r="E67" s="566"/>
      <c r="F67" s="55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I23" sqref="I23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74" t="s">
        <v>261</v>
      </c>
    </row>
    <row r="3" spans="3:15" s="53" customFormat="1" ht="28.5" customHeight="1" thickBot="1">
      <c r="C3" s="366" t="s">
        <v>222</v>
      </c>
      <c r="D3" s="366" t="s">
        <v>251</v>
      </c>
      <c r="E3" s="375" t="s">
        <v>219</v>
      </c>
      <c r="F3" s="366" t="s">
        <v>252</v>
      </c>
      <c r="G3" s="367" t="s">
        <v>256</v>
      </c>
      <c r="H3" s="367" t="s">
        <v>258</v>
      </c>
      <c r="I3" s="367" t="s">
        <v>225</v>
      </c>
      <c r="J3" s="367" t="s">
        <v>259</v>
      </c>
      <c r="K3" s="366" t="s">
        <v>121</v>
      </c>
      <c r="L3" s="367" t="s">
        <v>257</v>
      </c>
      <c r="M3" s="366" t="s">
        <v>253</v>
      </c>
      <c r="N3" s="366" t="s">
        <v>254</v>
      </c>
      <c r="O3" s="367" t="s">
        <v>255</v>
      </c>
    </row>
    <row r="4" spans="3:15" ht="20.100000000000001" customHeight="1">
      <c r="C4" s="582" t="s">
        <v>236</v>
      </c>
      <c r="D4" s="583" t="s">
        <v>300</v>
      </c>
      <c r="E4" s="539">
        <v>143</v>
      </c>
      <c r="F4" s="582">
        <v>1.6435</v>
      </c>
      <c r="G4" s="583">
        <v>1.6972</v>
      </c>
      <c r="H4" s="583">
        <v>0.03</v>
      </c>
      <c r="I4" s="584">
        <v>485.7</v>
      </c>
      <c r="J4" s="583">
        <v>319</v>
      </c>
      <c r="K4" s="582">
        <v>194</v>
      </c>
      <c r="L4" s="583">
        <v>196.7</v>
      </c>
      <c r="M4" s="582">
        <v>2.53E-2</v>
      </c>
      <c r="N4" s="585">
        <v>2.2700000000000001E-2</v>
      </c>
      <c r="O4" s="583" t="s">
        <v>260</v>
      </c>
    </row>
    <row r="5" spans="3:15" ht="20.100000000000001" customHeight="1">
      <c r="C5" s="582" t="s">
        <v>237</v>
      </c>
      <c r="D5" s="586"/>
      <c r="E5" s="539">
        <v>143</v>
      </c>
      <c r="F5" s="582">
        <v>1.7795000000000001</v>
      </c>
      <c r="G5" s="586"/>
      <c r="H5" s="586"/>
      <c r="I5" s="584">
        <v>235.1</v>
      </c>
      <c r="J5" s="586"/>
      <c r="K5" s="582">
        <v>200</v>
      </c>
      <c r="L5" s="586"/>
      <c r="M5" s="582">
        <v>1.8100000000000002E-2</v>
      </c>
      <c r="N5" s="587"/>
      <c r="O5" s="586"/>
    </row>
    <row r="6" spans="3:15" ht="20.100000000000001" customHeight="1">
      <c r="C6" s="582" t="s">
        <v>238</v>
      </c>
      <c r="D6" s="586"/>
      <c r="E6" s="539">
        <v>143</v>
      </c>
      <c r="F6" s="582">
        <v>1.6684999999999999</v>
      </c>
      <c r="G6" s="586"/>
      <c r="H6" s="586"/>
      <c r="I6" s="584">
        <v>236.2</v>
      </c>
      <c r="J6" s="586"/>
      <c r="K6" s="582">
        <v>196</v>
      </c>
      <c r="L6" s="586"/>
      <c r="M6" s="582">
        <v>2.47E-2</v>
      </c>
      <c r="N6" s="587"/>
      <c r="O6" s="586"/>
    </row>
    <row r="7" spans="3:15" ht="20.100000000000001" customHeight="1">
      <c r="C7" s="582"/>
      <c r="D7" s="588"/>
      <c r="E7" s="539"/>
      <c r="F7" s="582"/>
      <c r="G7" s="588"/>
      <c r="H7" s="588"/>
      <c r="I7" s="584"/>
      <c r="J7" s="588"/>
      <c r="K7" s="582"/>
      <c r="L7" s="588"/>
      <c r="M7" s="582"/>
      <c r="N7" s="589"/>
      <c r="O7" s="588"/>
    </row>
    <row r="8" spans="3:15" ht="20.100000000000001" customHeight="1">
      <c r="C8" s="582"/>
      <c r="D8" s="588"/>
      <c r="E8" s="539"/>
      <c r="F8" s="582"/>
      <c r="G8" s="588"/>
      <c r="H8" s="588"/>
      <c r="I8" s="584"/>
      <c r="J8" s="588"/>
      <c r="K8" s="582"/>
      <c r="L8" s="588"/>
      <c r="M8" s="582"/>
      <c r="N8" s="589"/>
      <c r="O8" s="588"/>
    </row>
    <row r="9" spans="3:15" ht="20.100000000000001" customHeight="1">
      <c r="C9" s="582"/>
      <c r="D9" s="588"/>
      <c r="E9" s="539"/>
      <c r="F9" s="582"/>
      <c r="G9" s="590"/>
      <c r="H9" s="588"/>
      <c r="I9" s="584"/>
      <c r="J9" s="588"/>
      <c r="K9" s="582"/>
      <c r="L9" s="590"/>
      <c r="M9" s="582"/>
      <c r="N9" s="588"/>
      <c r="O9" s="588"/>
    </row>
    <row r="10" spans="3:15" ht="20.100000000000001" customHeight="1">
      <c r="C10" s="582"/>
      <c r="D10" s="588"/>
      <c r="E10" s="539"/>
      <c r="F10" s="582"/>
      <c r="G10" s="590"/>
      <c r="H10" s="588"/>
      <c r="I10" s="584"/>
      <c r="J10" s="588"/>
      <c r="K10" s="582"/>
      <c r="L10" s="590"/>
      <c r="M10" s="582"/>
      <c r="N10" s="588"/>
      <c r="O10" s="588"/>
    </row>
    <row r="11" spans="3:15" ht="20.100000000000001" customHeight="1">
      <c r="C11" s="582"/>
      <c r="D11" s="588"/>
      <c r="E11" s="539"/>
      <c r="F11" s="582"/>
      <c r="G11" s="590"/>
      <c r="H11" s="588"/>
      <c r="I11" s="584"/>
      <c r="J11" s="588"/>
      <c r="K11" s="582"/>
      <c r="L11" s="590"/>
      <c r="M11" s="582"/>
      <c r="N11" s="588"/>
      <c r="O11" s="588"/>
    </row>
    <row r="12" spans="3:15" ht="20.100000000000001" customHeight="1">
      <c r="C12" s="582"/>
      <c r="D12" s="588"/>
      <c r="E12" s="539"/>
      <c r="F12" s="582"/>
      <c r="G12" s="590"/>
      <c r="H12" s="588"/>
      <c r="I12" s="584"/>
      <c r="J12" s="588"/>
      <c r="K12" s="582"/>
      <c r="L12" s="590"/>
      <c r="M12" s="582"/>
      <c r="N12" s="588"/>
      <c r="O12" s="588"/>
    </row>
    <row r="13" spans="3:15" ht="20.100000000000001" customHeight="1">
      <c r="C13" s="582"/>
      <c r="D13" s="588"/>
      <c r="E13" s="539"/>
      <c r="F13" s="582"/>
      <c r="G13" s="590"/>
      <c r="H13" s="588"/>
      <c r="I13" s="584"/>
      <c r="J13" s="588"/>
      <c r="K13" s="582"/>
      <c r="L13" s="590"/>
      <c r="M13" s="582"/>
      <c r="N13" s="588"/>
      <c r="O13" s="588"/>
    </row>
    <row r="14" spans="3:15" ht="20.100000000000001" customHeight="1">
      <c r="C14" s="582"/>
      <c r="D14" s="588"/>
      <c r="E14" s="539"/>
      <c r="F14" s="582"/>
      <c r="G14" s="590"/>
      <c r="H14" s="588"/>
      <c r="I14" s="584"/>
      <c r="J14" s="588"/>
      <c r="K14" s="582"/>
      <c r="L14" s="590"/>
      <c r="M14" s="582"/>
      <c r="N14" s="588"/>
      <c r="O14" s="588"/>
    </row>
    <row r="15" spans="3:15" ht="20.100000000000001" customHeight="1">
      <c r="C15" s="582"/>
      <c r="D15" s="588"/>
      <c r="E15" s="539"/>
      <c r="F15" s="582"/>
      <c r="G15" s="590"/>
      <c r="H15" s="588"/>
      <c r="I15" s="584"/>
      <c r="J15" s="588"/>
      <c r="K15" s="582"/>
      <c r="L15" s="590"/>
      <c r="M15" s="582"/>
      <c r="N15" s="588"/>
      <c r="O15" s="588"/>
    </row>
    <row r="16" spans="3:15" ht="20.100000000000001" customHeight="1">
      <c r="C16" s="582"/>
      <c r="D16" s="588"/>
      <c r="E16" s="539"/>
      <c r="F16" s="582"/>
      <c r="G16" s="590"/>
      <c r="H16" s="588"/>
      <c r="I16" s="584"/>
      <c r="J16" s="588"/>
      <c r="K16" s="582"/>
      <c r="L16" s="590"/>
      <c r="M16" s="582"/>
      <c r="N16" s="588"/>
      <c r="O16" s="588"/>
    </row>
    <row r="17" spans="3:15" ht="20.100000000000001" customHeight="1" thickBot="1">
      <c r="C17" s="591"/>
      <c r="D17" s="592"/>
      <c r="E17" s="593"/>
      <c r="F17" s="591"/>
      <c r="G17" s="594"/>
      <c r="H17" s="592"/>
      <c r="I17" s="595"/>
      <c r="J17" s="592"/>
      <c r="K17" s="591"/>
      <c r="L17" s="594"/>
      <c r="M17" s="591"/>
      <c r="N17" s="592"/>
      <c r="O17" s="592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M30" sqref="M30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78" customFormat="1" ht="27.75" customHeight="1" thickBot="1">
      <c r="D2" s="349" t="s">
        <v>286</v>
      </c>
    </row>
    <row r="3" spans="4:11" s="53" customFormat="1" ht="42.75" customHeight="1">
      <c r="D3" s="380" t="s">
        <v>319</v>
      </c>
      <c r="E3" s="381" t="s">
        <v>320</v>
      </c>
      <c r="F3" s="381" t="s">
        <v>321</v>
      </c>
      <c r="G3" s="381" t="s">
        <v>322</v>
      </c>
      <c r="H3" s="381" t="s">
        <v>323</v>
      </c>
      <c r="I3" s="381" t="s">
        <v>324</v>
      </c>
      <c r="J3" s="381" t="s">
        <v>292</v>
      </c>
      <c r="K3" s="382" t="s">
        <v>293</v>
      </c>
    </row>
    <row r="4" spans="4:11" s="379" customFormat="1" ht="33.75" customHeight="1" thickBot="1">
      <c r="D4" s="383">
        <v>3059068</v>
      </c>
      <c r="E4" s="384">
        <v>1198.3</v>
      </c>
      <c r="F4" s="384">
        <v>1285.4991550772602</v>
      </c>
      <c r="G4" s="385">
        <v>0.64</v>
      </c>
      <c r="H4" s="384">
        <v>822.71945924944657</v>
      </c>
      <c r="I4" s="386">
        <v>172.8</v>
      </c>
      <c r="J4" s="384">
        <v>390</v>
      </c>
      <c r="K4" s="387">
        <v>259.91945924944656</v>
      </c>
    </row>
    <row r="6" spans="4:11" ht="20.100000000000001" customHeight="1" thickBot="1"/>
    <row r="7" spans="4:11" ht="62.25" customHeight="1">
      <c r="D7" s="380" t="s">
        <v>319</v>
      </c>
      <c r="E7" s="381" t="s">
        <v>320</v>
      </c>
      <c r="F7" s="381" t="s">
        <v>321</v>
      </c>
      <c r="G7" s="381" t="s">
        <v>322</v>
      </c>
      <c r="H7" s="381" t="s">
        <v>323</v>
      </c>
      <c r="I7" s="381" t="s">
        <v>324</v>
      </c>
      <c r="J7" s="381" t="s">
        <v>325</v>
      </c>
      <c r="K7" s="382" t="s">
        <v>292</v>
      </c>
    </row>
    <row r="8" spans="4:11" ht="31.5" customHeight="1" thickBot="1">
      <c r="D8" s="383">
        <v>3059068</v>
      </c>
      <c r="E8" s="384">
        <v>1198.3</v>
      </c>
      <c r="F8" s="384">
        <v>1285.4991550772602</v>
      </c>
      <c r="G8" s="385">
        <v>0.64</v>
      </c>
      <c r="H8" s="384">
        <v>822.71945924944657</v>
      </c>
      <c r="I8" s="386">
        <v>172.8</v>
      </c>
      <c r="J8" s="384">
        <v>649.91945924944662</v>
      </c>
      <c r="K8" s="387">
        <v>390</v>
      </c>
    </row>
    <row r="10" spans="4:11" ht="30.75" customHeight="1" thickBot="1">
      <c r="D10" s="349" t="s">
        <v>333</v>
      </c>
    </row>
    <row r="11" spans="4:11" s="53" customFormat="1" ht="39" customHeight="1">
      <c r="D11" s="380" t="s">
        <v>326</v>
      </c>
      <c r="E11" s="388" t="s">
        <v>327</v>
      </c>
      <c r="F11" s="388" t="s">
        <v>328</v>
      </c>
      <c r="G11" s="388" t="s">
        <v>329</v>
      </c>
      <c r="H11" s="388" t="s">
        <v>330</v>
      </c>
      <c r="I11" s="388" t="s">
        <v>331</v>
      </c>
      <c r="J11" s="389" t="s">
        <v>332</v>
      </c>
    </row>
    <row r="12" spans="4:11" s="37" customFormat="1" ht="20.100000000000001" customHeight="1">
      <c r="D12" s="535" t="s">
        <v>236</v>
      </c>
      <c r="E12" s="536">
        <v>500</v>
      </c>
      <c r="F12" s="536">
        <v>143</v>
      </c>
      <c r="G12" s="536">
        <v>14.3</v>
      </c>
      <c r="H12" s="536">
        <v>64.8</v>
      </c>
      <c r="I12" s="536">
        <v>1.6435</v>
      </c>
      <c r="J12" s="537">
        <v>3.2289999999999999E-4</v>
      </c>
    </row>
    <row r="13" spans="4:11" s="37" customFormat="1" ht="20.100000000000001" customHeight="1">
      <c r="D13" s="535" t="s">
        <v>237</v>
      </c>
      <c r="E13" s="536">
        <v>250</v>
      </c>
      <c r="F13" s="536">
        <v>143</v>
      </c>
      <c r="G13" s="536">
        <v>14.9</v>
      </c>
      <c r="H13" s="536">
        <v>61.7</v>
      </c>
      <c r="I13" s="536">
        <v>1.7795000000000001</v>
      </c>
      <c r="J13" s="537">
        <v>3.1720000000000001E-4</v>
      </c>
    </row>
    <row r="14" spans="4:11" s="37" customFormat="1" ht="20.100000000000001" customHeight="1">
      <c r="D14" s="535" t="s">
        <v>238</v>
      </c>
      <c r="E14" s="536">
        <v>250</v>
      </c>
      <c r="F14" s="536">
        <v>143</v>
      </c>
      <c r="G14" s="536">
        <v>13.8</v>
      </c>
      <c r="H14" s="536">
        <v>62.4</v>
      </c>
      <c r="I14" s="536">
        <v>1.6684999999999999</v>
      </c>
      <c r="J14" s="537">
        <v>3.2009999999999997E-4</v>
      </c>
    </row>
    <row r="15" spans="4:11" s="37" customFormat="1" ht="20.100000000000001" customHeight="1">
      <c r="D15" s="535"/>
      <c r="E15" s="536"/>
      <c r="F15" s="536"/>
      <c r="G15" s="536"/>
      <c r="H15" s="536"/>
      <c r="I15" s="536"/>
      <c r="J15" s="537"/>
    </row>
    <row r="16" spans="4:11" s="37" customFormat="1" ht="20.100000000000001" customHeight="1">
      <c r="D16" s="535"/>
      <c r="E16" s="536"/>
      <c r="F16" s="536"/>
      <c r="G16" s="536"/>
      <c r="H16" s="536"/>
      <c r="I16" s="536"/>
      <c r="J16" s="537"/>
    </row>
    <row r="17" spans="4:10" s="37" customFormat="1" ht="20.100000000000001" customHeight="1">
      <c r="D17" s="535"/>
      <c r="E17" s="536"/>
      <c r="F17" s="536"/>
      <c r="G17" s="536"/>
      <c r="H17" s="536"/>
      <c r="I17" s="536"/>
      <c r="J17" s="537"/>
    </row>
    <row r="18" spans="4:10" s="37" customFormat="1" ht="20.100000000000001" customHeight="1">
      <c r="D18" s="535"/>
      <c r="E18" s="536"/>
      <c r="F18" s="536"/>
      <c r="G18" s="536"/>
      <c r="H18" s="536"/>
      <c r="I18" s="536"/>
      <c r="J18" s="537"/>
    </row>
    <row r="19" spans="4:10" s="37" customFormat="1" ht="20.100000000000001" customHeight="1">
      <c r="D19" s="535"/>
      <c r="E19" s="536"/>
      <c r="F19" s="536"/>
      <c r="G19" s="536"/>
      <c r="H19" s="536"/>
      <c r="I19" s="536"/>
      <c r="J19" s="537"/>
    </row>
    <row r="20" spans="4:10" s="37" customFormat="1" ht="20.100000000000001" customHeight="1">
      <c r="D20" s="535"/>
      <c r="E20" s="536"/>
      <c r="F20" s="536"/>
      <c r="G20" s="536"/>
      <c r="H20" s="536"/>
      <c r="I20" s="536"/>
      <c r="J20" s="537"/>
    </row>
    <row r="21" spans="4:10" s="37" customFormat="1" ht="20.100000000000001" customHeight="1">
      <c r="D21" s="535"/>
      <c r="E21" s="536"/>
      <c r="F21" s="536"/>
      <c r="G21" s="536"/>
      <c r="H21" s="536"/>
      <c r="I21" s="536"/>
      <c r="J21" s="537"/>
    </row>
    <row r="22" spans="4:10" s="37" customFormat="1" ht="20.100000000000001" customHeight="1">
      <c r="D22" s="535"/>
      <c r="E22" s="536"/>
      <c r="F22" s="536"/>
      <c r="G22" s="536"/>
      <c r="H22" s="536"/>
      <c r="I22" s="536"/>
      <c r="J22" s="537"/>
    </row>
    <row r="23" spans="4:10" s="37" customFormat="1" ht="20.100000000000001" customHeight="1">
      <c r="D23" s="535"/>
      <c r="E23" s="536"/>
      <c r="F23" s="536"/>
      <c r="G23" s="536"/>
      <c r="H23" s="536"/>
      <c r="I23" s="536"/>
      <c r="J23" s="537"/>
    </row>
    <row r="24" spans="4:10" s="37" customFormat="1" ht="20.100000000000001" customHeight="1" thickBot="1">
      <c r="D24" s="447"/>
      <c r="E24" s="448"/>
      <c r="F24" s="448"/>
      <c r="G24" s="448"/>
      <c r="H24" s="448"/>
      <c r="I24" s="448"/>
      <c r="J24" s="538"/>
    </row>
    <row r="25" spans="4:10" s="37" customFormat="1" ht="20.100000000000001" customHeight="1">
      <c r="D25" s="539"/>
      <c r="E25" s="539"/>
      <c r="F25" s="539"/>
      <c r="G25" s="539"/>
      <c r="H25" s="539"/>
      <c r="I25" s="539"/>
      <c r="J25" s="539"/>
    </row>
    <row r="26" spans="4:10" ht="20.100000000000001" customHeight="1" thickBot="1"/>
    <row r="27" spans="4:10" ht="31.5" customHeight="1">
      <c r="D27" s="380" t="s">
        <v>296</v>
      </c>
      <c r="E27" s="388" t="s">
        <v>294</v>
      </c>
      <c r="F27" s="389" t="s">
        <v>295</v>
      </c>
      <c r="H27" s="380" t="s">
        <v>296</v>
      </c>
      <c r="I27" s="388" t="s">
        <v>334</v>
      </c>
      <c r="J27" s="389" t="s">
        <v>335</v>
      </c>
    </row>
    <row r="28" spans="4:10" s="37" customFormat="1" ht="20.100000000000001" customHeight="1">
      <c r="D28" s="535" t="s">
        <v>236</v>
      </c>
      <c r="E28" s="536">
        <v>81.7</v>
      </c>
      <c r="F28" s="537"/>
      <c r="G28" s="539"/>
      <c r="H28" s="535" t="s">
        <v>236</v>
      </c>
      <c r="I28" s="536">
        <v>98</v>
      </c>
      <c r="J28" s="537">
        <v>123</v>
      </c>
    </row>
    <row r="29" spans="4:10" s="37" customFormat="1" ht="20.100000000000001" customHeight="1">
      <c r="D29" s="535" t="s">
        <v>237</v>
      </c>
      <c r="E29" s="536">
        <v>85.8</v>
      </c>
      <c r="F29" s="537"/>
      <c r="G29" s="539"/>
      <c r="H29" s="535" t="s">
        <v>237</v>
      </c>
      <c r="I29" s="536">
        <v>99</v>
      </c>
      <c r="J29" s="537">
        <v>126</v>
      </c>
    </row>
    <row r="30" spans="4:10" s="37" customFormat="1" ht="20.100000000000001" customHeight="1">
      <c r="D30" s="535" t="s">
        <v>238</v>
      </c>
      <c r="E30" s="536">
        <v>82.7</v>
      </c>
      <c r="F30" s="537"/>
      <c r="G30" s="539"/>
      <c r="H30" s="535" t="s">
        <v>238</v>
      </c>
      <c r="I30" s="536">
        <v>98</v>
      </c>
      <c r="J30" s="537">
        <v>123</v>
      </c>
    </row>
    <row r="31" spans="4:10" s="37" customFormat="1" ht="20.100000000000001" customHeight="1">
      <c r="D31" s="535"/>
      <c r="E31" s="536"/>
      <c r="F31" s="537"/>
      <c r="G31" s="539"/>
      <c r="H31" s="535"/>
      <c r="I31" s="536"/>
      <c r="J31" s="537"/>
    </row>
    <row r="32" spans="4:10" s="37" customFormat="1" ht="20.100000000000001" customHeight="1">
      <c r="D32" s="535"/>
      <c r="E32" s="536"/>
      <c r="F32" s="537"/>
      <c r="G32" s="539"/>
      <c r="H32" s="535"/>
      <c r="I32" s="536"/>
      <c r="J32" s="537"/>
    </row>
    <row r="33" spans="4:16" s="37" customFormat="1" ht="20.100000000000001" customHeight="1">
      <c r="D33" s="535"/>
      <c r="E33" s="536"/>
      <c r="F33" s="537"/>
      <c r="G33" s="539"/>
      <c r="H33" s="535"/>
      <c r="I33" s="536"/>
      <c r="J33" s="537"/>
    </row>
    <row r="34" spans="4:16" s="37" customFormat="1" ht="20.100000000000001" customHeight="1">
      <c r="D34" s="535"/>
      <c r="E34" s="536"/>
      <c r="F34" s="537"/>
      <c r="G34" s="539"/>
      <c r="H34" s="535"/>
      <c r="I34" s="536"/>
      <c r="J34" s="537"/>
    </row>
    <row r="35" spans="4:16" s="37" customFormat="1" ht="20.100000000000001" customHeight="1">
      <c r="D35" s="535"/>
      <c r="E35" s="536"/>
      <c r="F35" s="537"/>
      <c r="G35" s="539"/>
      <c r="H35" s="535"/>
      <c r="I35" s="536"/>
      <c r="J35" s="537"/>
    </row>
    <row r="36" spans="4:16" s="37" customFormat="1" ht="20.100000000000001" customHeight="1">
      <c r="D36" s="535"/>
      <c r="E36" s="536"/>
      <c r="F36" s="537"/>
      <c r="G36" s="539"/>
      <c r="H36" s="535"/>
      <c r="I36" s="536"/>
      <c r="J36" s="537"/>
    </row>
    <row r="37" spans="4:16" s="37" customFormat="1" ht="20.100000000000001" customHeight="1">
      <c r="D37" s="535"/>
      <c r="E37" s="536"/>
      <c r="F37" s="537"/>
      <c r="G37" s="539"/>
      <c r="H37" s="535"/>
      <c r="I37" s="536"/>
      <c r="J37" s="537"/>
    </row>
    <row r="38" spans="4:16" s="37" customFormat="1" ht="20.100000000000001" customHeight="1">
      <c r="D38" s="535"/>
      <c r="E38" s="536"/>
      <c r="F38" s="537"/>
      <c r="G38" s="539"/>
      <c r="H38" s="535"/>
      <c r="I38" s="536"/>
      <c r="J38" s="537"/>
    </row>
    <row r="39" spans="4:16" s="37" customFormat="1" ht="20.100000000000001" customHeight="1">
      <c r="D39" s="535"/>
      <c r="E39" s="536"/>
      <c r="F39" s="537"/>
      <c r="G39" s="539"/>
      <c r="H39" s="535"/>
      <c r="I39" s="536"/>
      <c r="J39" s="537"/>
    </row>
    <row r="40" spans="4:16" s="37" customFormat="1" ht="19.5" customHeight="1" thickBot="1">
      <c r="D40" s="447"/>
      <c r="E40" s="448"/>
      <c r="F40" s="538"/>
      <c r="G40" s="539"/>
      <c r="H40" s="447"/>
      <c r="I40" s="448"/>
      <c r="J40" s="538"/>
    </row>
    <row r="41" spans="4:16" ht="20.100000000000001" customHeight="1">
      <c r="D41" s="376"/>
    </row>
    <row r="42" spans="4:16" ht="20.100000000000001" customHeight="1">
      <c r="D42" s="376"/>
    </row>
    <row r="43" spans="4:16" ht="20.100000000000001" customHeight="1" thickBot="1">
      <c r="D43" s="377" t="s">
        <v>285</v>
      </c>
    </row>
    <row r="44" spans="4:16" s="37" customFormat="1" ht="31.5" customHeight="1">
      <c r="D44" s="380" t="s">
        <v>236</v>
      </c>
      <c r="E44" s="388" t="s">
        <v>237</v>
      </c>
      <c r="F44" s="388" t="s">
        <v>238</v>
      </c>
      <c r="G44" s="388"/>
      <c r="H44" s="388"/>
      <c r="I44" s="388"/>
      <c r="J44" s="388"/>
      <c r="K44" s="388"/>
      <c r="L44" s="388"/>
      <c r="M44" s="388"/>
      <c r="N44" s="388"/>
      <c r="O44" s="388"/>
      <c r="P44" s="389"/>
    </row>
    <row r="45" spans="4:16" s="437" customFormat="1" ht="30" customHeight="1" thickBot="1">
      <c r="D45" s="447">
        <v>130</v>
      </c>
      <c r="E45" s="448">
        <v>130</v>
      </c>
      <c r="F45" s="448">
        <v>130</v>
      </c>
      <c r="G45" s="435"/>
      <c r="H45" s="435"/>
      <c r="I45" s="435"/>
      <c r="J45" s="435"/>
      <c r="K45" s="435"/>
      <c r="L45" s="435"/>
      <c r="M45" s="435"/>
      <c r="N45" s="435"/>
      <c r="O45" s="435"/>
      <c r="P45" s="436"/>
    </row>
    <row r="46" spans="4:16" ht="20.100000000000001" customHeight="1">
      <c r="D46" s="376"/>
    </row>
    <row r="47" spans="4:16" ht="20.100000000000001" customHeight="1">
      <c r="D47" s="376"/>
    </row>
    <row r="48" spans="4:16" ht="22.5" customHeight="1" thickBot="1">
      <c r="D48" s="377" t="s">
        <v>297</v>
      </c>
    </row>
    <row r="49" spans="4:16" s="37" customFormat="1" ht="36.75" customHeight="1">
      <c r="D49" s="380" t="s">
        <v>236</v>
      </c>
      <c r="E49" s="388" t="s">
        <v>237</v>
      </c>
      <c r="F49" s="388" t="s">
        <v>238</v>
      </c>
      <c r="G49" s="388"/>
      <c r="H49" s="388"/>
      <c r="I49" s="388"/>
      <c r="J49" s="388"/>
      <c r="K49" s="388"/>
      <c r="L49" s="388"/>
      <c r="M49" s="388"/>
      <c r="N49" s="388"/>
      <c r="O49" s="388"/>
      <c r="P49" s="389"/>
    </row>
    <row r="50" spans="4:16" s="437" customFormat="1" ht="30" customHeight="1" thickBot="1">
      <c r="D50" s="447">
        <v>500</v>
      </c>
      <c r="E50" s="448">
        <v>250</v>
      </c>
      <c r="F50" s="448">
        <v>250</v>
      </c>
      <c r="G50" s="435"/>
      <c r="H50" s="435"/>
      <c r="I50" s="435"/>
      <c r="J50" s="435"/>
      <c r="K50" s="435"/>
      <c r="L50" s="435"/>
      <c r="M50" s="435"/>
      <c r="N50" s="435"/>
      <c r="O50" s="435"/>
      <c r="P50" s="436"/>
    </row>
    <row r="51" spans="4:16" ht="20.100000000000001" customHeight="1">
      <c r="D51" s="376"/>
    </row>
    <row r="52" spans="4:16" ht="20.100000000000001" customHeight="1">
      <c r="D52" s="376"/>
    </row>
    <row r="53" spans="4:16" ht="20.100000000000001" customHeight="1" thickBot="1">
      <c r="D53" s="377" t="s">
        <v>302</v>
      </c>
    </row>
    <row r="54" spans="4:16" s="37" customFormat="1" ht="40.5" customHeight="1">
      <c r="D54" s="380" t="s">
        <v>236</v>
      </c>
      <c r="E54" s="388" t="s">
        <v>237</v>
      </c>
      <c r="F54" s="388" t="s">
        <v>238</v>
      </c>
      <c r="G54" s="388"/>
      <c r="H54" s="388"/>
      <c r="I54" s="388"/>
      <c r="J54" s="388"/>
      <c r="K54" s="388"/>
      <c r="L54" s="388"/>
      <c r="M54" s="388"/>
      <c r="N54" s="388"/>
      <c r="O54" s="388"/>
      <c r="P54" s="389"/>
    </row>
    <row r="55" spans="4:16" s="437" customFormat="1" ht="30" customHeight="1" thickBot="1">
      <c r="D55" s="447">
        <v>10</v>
      </c>
      <c r="E55" s="448">
        <v>7.5</v>
      </c>
      <c r="F55" s="448">
        <v>7.5</v>
      </c>
      <c r="G55" s="435"/>
      <c r="H55" s="435"/>
      <c r="I55" s="435"/>
      <c r="J55" s="435"/>
      <c r="K55" s="435"/>
      <c r="L55" s="435"/>
      <c r="M55" s="435"/>
      <c r="N55" s="435"/>
      <c r="O55" s="435"/>
      <c r="P55" s="4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opLeftCell="A10" workbookViewId="0">
      <selection activeCell="C36" sqref="C3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410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41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1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1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13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1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14">
        <f>Well!G4</f>
        <v>200</v>
      </c>
    </row>
    <row r="9" spans="1:13" ht="20.100000000000001" customHeight="1" thickBot="1">
      <c r="B9" s="6" t="s">
        <v>61</v>
      </c>
      <c r="C9" s="41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1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1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18" t="s">
        <v>119</v>
      </c>
      <c r="K11" s="51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16">
        <f>C7-C9</f>
        <v>488</v>
      </c>
      <c r="H12" s="18"/>
      <c r="J12" s="184" t="s">
        <v>121</v>
      </c>
      <c r="K12" s="454">
        <v>14</v>
      </c>
      <c r="L12" s="453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4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41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41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17">
        <f>Well!J4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41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41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34">
        <f>K18*100</f>
        <v>2.5319488817891376</v>
      </c>
    </row>
    <row r="19" spans="2:12" ht="20.100000000000001" customHeight="1" thickBot="1">
      <c r="B19" s="21" t="s">
        <v>76</v>
      </c>
      <c r="C19" s="41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1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2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421">
        <f>C21-C20</f>
        <v>50.5</v>
      </c>
      <c r="E22" s="520">
        <f>E21+F21</f>
        <v>562.79999999999995</v>
      </c>
      <c r="F22" s="521"/>
      <c r="G22" s="20"/>
      <c r="I22" s="19"/>
    </row>
    <row r="23" spans="2:12" ht="20.100000000000001" customHeight="1" thickBot="1">
      <c r="B23" s="326" t="s">
        <v>240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4" t="s">
        <v>99</v>
      </c>
      <c r="C25" s="51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6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306</v>
      </c>
    </row>
    <row r="27" spans="2:12" ht="25.5" customHeight="1">
      <c r="B27" s="51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1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1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topLeftCell="A7" workbookViewId="0">
      <selection activeCell="N16" sqref="N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10" t="str">
        <f>Well!D5</f>
        <v>충남 보령시 천북면 하만리 산 143-5</v>
      </c>
      <c r="H2"/>
      <c r="I2" s="297" t="s">
        <v>276</v>
      </c>
      <c r="J2"/>
      <c r="K2"/>
      <c r="L2"/>
      <c r="M2"/>
    </row>
    <row r="3" spans="1:13" ht="20.100000000000001" customHeight="1">
      <c r="B3" s="2" t="s">
        <v>6</v>
      </c>
      <c r="C3" s="41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1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1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13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41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14">
        <f>Well!G5</f>
        <v>200</v>
      </c>
    </row>
    <row r="9" spans="1:13" ht="20.100000000000001" customHeight="1" thickBot="1">
      <c r="B9" s="6" t="s">
        <v>61</v>
      </c>
      <c r="C9" s="41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1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41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18" t="s">
        <v>119</v>
      </c>
      <c r="K11" s="51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16">
        <f>C7-C9</f>
        <v>238</v>
      </c>
      <c r="H12" s="18"/>
      <c r="J12" s="184" t="s">
        <v>121</v>
      </c>
      <c r="K12" s="454">
        <v>20</v>
      </c>
      <c r="L12" s="453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4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41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41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17">
        <f>Well!J5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41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41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34">
        <f>K18*100</f>
        <v>1.8142734307824593</v>
      </c>
    </row>
    <row r="19" spans="2:12" ht="20.100000000000001" customHeight="1" thickBot="1">
      <c r="B19" s="21" t="s">
        <v>76</v>
      </c>
      <c r="C19" s="41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1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2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421">
        <f>C21-C20</f>
        <v>46.800000000000004</v>
      </c>
      <c r="E22" s="520">
        <f>E21+F21</f>
        <v>302.8</v>
      </c>
      <c r="F22" s="521"/>
      <c r="G22" s="20"/>
      <c r="I22" s="19"/>
    </row>
    <row r="23" spans="2:12" ht="20.100000000000001" customHeight="1" thickBot="1">
      <c r="B23" s="326" t="s">
        <v>240</v>
      </c>
      <c r="C23" s="325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4" t="s">
        <v>99</v>
      </c>
      <c r="C25" s="51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6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306</v>
      </c>
    </row>
    <row r="27" spans="2:12" ht="25.5" customHeight="1">
      <c r="B27" s="51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1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1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topLeftCell="A7" workbookViewId="0">
      <selection activeCell="N17" sqref="N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410" t="str">
        <f>Well!D6</f>
        <v>충남 보령시 천북면 하만리 산 143-5</v>
      </c>
      <c r="H2"/>
      <c r="I2" s="297" t="s">
        <v>301</v>
      </c>
      <c r="J2"/>
      <c r="K2"/>
      <c r="L2"/>
      <c r="M2"/>
    </row>
    <row r="3" spans="1:13" ht="20.100000000000001" customHeight="1">
      <c r="B3" s="2" t="s">
        <v>6</v>
      </c>
      <c r="C3" s="41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1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1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13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1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14">
        <f>Well!G6</f>
        <v>200</v>
      </c>
    </row>
    <row r="9" spans="1:13" ht="20.100000000000001" customHeight="1" thickBot="1">
      <c r="B9" s="6" t="s">
        <v>61</v>
      </c>
      <c r="C9" s="41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1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41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18" t="s">
        <v>119</v>
      </c>
      <c r="K11" s="519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16">
        <f>C7-C9</f>
        <v>238</v>
      </c>
      <c r="H12" s="18"/>
      <c r="J12" s="184" t="s">
        <v>121</v>
      </c>
      <c r="K12" s="454">
        <v>16</v>
      </c>
      <c r="L12" s="453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41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41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41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17">
        <f>Well!J6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41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41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34">
        <f>K18*100</f>
        <v>2.4736842105263159</v>
      </c>
    </row>
    <row r="19" spans="2:12" ht="20.100000000000001" customHeight="1" thickBot="1">
      <c r="B19" s="21" t="s">
        <v>76</v>
      </c>
      <c r="C19" s="41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1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2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421">
        <f>C21-C20</f>
        <v>48.599999999999994</v>
      </c>
      <c r="E22" s="520">
        <f>E21+F21</f>
        <v>302.8</v>
      </c>
      <c r="F22" s="521"/>
      <c r="G22" s="20"/>
      <c r="I22" s="19"/>
    </row>
    <row r="23" spans="2:12" ht="20.100000000000001" customHeight="1" thickBot="1">
      <c r="B23" s="326" t="s">
        <v>240</v>
      </c>
      <c r="C23" s="325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14" t="s">
        <v>99</v>
      </c>
      <c r="C25" s="515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16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306</v>
      </c>
    </row>
    <row r="27" spans="2:12" ht="25.5" customHeight="1">
      <c r="B27" s="516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16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16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16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17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94" t="s">
        <v>82</v>
      </c>
      <c r="C6" s="407">
        <v>44753.861111111109</v>
      </c>
      <c r="D6" s="125"/>
      <c r="E6" s="37"/>
      <c r="F6" s="37"/>
    </row>
    <row r="7" spans="2:14" s="38" customFormat="1" ht="26.1" customHeight="1" thickBot="1">
      <c r="B7" s="397" t="s">
        <v>83</v>
      </c>
      <c r="C7" s="402">
        <v>14.6</v>
      </c>
      <c r="D7" s="125"/>
      <c r="E7" s="37"/>
      <c r="F7" s="37"/>
    </row>
    <row r="8" spans="2:14" s="38" customFormat="1" ht="26.1" customHeight="1">
      <c r="B8" s="394" t="s">
        <v>84</v>
      </c>
      <c r="C8" s="408">
        <v>211</v>
      </c>
      <c r="D8" s="125"/>
      <c r="E8" s="37"/>
      <c r="F8" s="37"/>
    </row>
    <row r="9" spans="2:14" s="38" customFormat="1" ht="26.1" customHeight="1" thickBot="1">
      <c r="B9" s="397" t="s">
        <v>85</v>
      </c>
      <c r="C9" s="409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24" t="s">
        <v>86</v>
      </c>
      <c r="C12" s="525"/>
      <c r="D12" s="526" t="s">
        <v>87</v>
      </c>
      <c r="E12" s="527"/>
      <c r="F12" s="525"/>
      <c r="H12" s="524" t="s">
        <v>87</v>
      </c>
      <c r="I12" s="527"/>
      <c r="J12" s="525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28" t="s">
        <v>36</v>
      </c>
      <c r="C24" s="529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28" t="s">
        <v>37</v>
      </c>
      <c r="C25" s="529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22" t="s">
        <v>92</v>
      </c>
      <c r="C26" s="523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400" t="s">
        <v>82</v>
      </c>
      <c r="C6" s="401">
        <v>44753.861111111109</v>
      </c>
      <c r="D6" s="125"/>
      <c r="E6" s="37"/>
      <c r="F6" s="37"/>
    </row>
    <row r="7" spans="2:9" s="38" customFormat="1" ht="26.1" customHeight="1" thickBot="1">
      <c r="B7" s="397" t="s">
        <v>83</v>
      </c>
      <c r="C7" s="402">
        <v>14</v>
      </c>
      <c r="D7" s="125"/>
      <c r="E7" s="37"/>
      <c r="F7" s="37"/>
    </row>
    <row r="8" spans="2:9" s="38" customFormat="1" ht="26.1" customHeight="1">
      <c r="B8" s="394" t="s">
        <v>84</v>
      </c>
      <c r="C8" s="395">
        <v>226</v>
      </c>
      <c r="D8" s="396">
        <v>229</v>
      </c>
      <c r="E8" s="37"/>
      <c r="F8" s="37"/>
    </row>
    <row r="9" spans="2:9" s="38" customFormat="1" ht="26.1" customHeight="1" thickBot="1">
      <c r="B9" s="397" t="s">
        <v>85</v>
      </c>
      <c r="C9" s="398">
        <v>7.9</v>
      </c>
      <c r="D9" s="399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24" t="s">
        <v>86</v>
      </c>
      <c r="C12" s="525"/>
      <c r="D12" s="524" t="s">
        <v>87</v>
      </c>
      <c r="E12" s="527"/>
      <c r="F12" s="525"/>
      <c r="G12" s="530" t="s">
        <v>159</v>
      </c>
      <c r="H12" s="531"/>
      <c r="I12" s="532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28" t="s">
        <v>36</v>
      </c>
      <c r="C24" s="529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28" t="s">
        <v>37</v>
      </c>
      <c r="C25" s="529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22" t="s">
        <v>92</v>
      </c>
      <c r="C26" s="523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24" t="s">
        <v>87</v>
      </c>
      <c r="E29" s="527"/>
      <c r="F29" s="525"/>
      <c r="H29" s="524" t="s">
        <v>159</v>
      </c>
      <c r="I29" s="527"/>
      <c r="J29" s="525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400" t="s">
        <v>82</v>
      </c>
      <c r="C6" s="401">
        <v>44717.430555555555</v>
      </c>
      <c r="D6" s="125"/>
      <c r="E6" s="125"/>
      <c r="F6" s="37"/>
    </row>
    <row r="7" spans="2:12" s="38" customFormat="1" ht="26.1" customHeight="1" thickBot="1">
      <c r="B7" s="403" t="s">
        <v>83</v>
      </c>
      <c r="C7" s="404">
        <v>14.7</v>
      </c>
      <c r="D7" s="125"/>
      <c r="E7" s="125"/>
      <c r="F7" s="37"/>
    </row>
    <row r="8" spans="2:12" s="38" customFormat="1" ht="26.1" customHeight="1">
      <c r="B8" s="394" t="s">
        <v>84</v>
      </c>
      <c r="C8" s="395">
        <v>197</v>
      </c>
      <c r="D8" s="405">
        <v>197</v>
      </c>
      <c r="E8" s="396">
        <v>194</v>
      </c>
      <c r="F8" s="37"/>
    </row>
    <row r="9" spans="2:12" s="38" customFormat="1" ht="26.1" customHeight="1" thickBot="1">
      <c r="B9" s="397" t="s">
        <v>85</v>
      </c>
      <c r="C9" s="398">
        <v>8.4</v>
      </c>
      <c r="D9" s="406">
        <v>8.3000000000000007</v>
      </c>
      <c r="E9" s="399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24" t="s">
        <v>86</v>
      </c>
      <c r="C12" s="525"/>
      <c r="D12" s="530" t="s">
        <v>87</v>
      </c>
      <c r="E12" s="531"/>
      <c r="F12" s="532"/>
      <c r="G12" s="530" t="s">
        <v>159</v>
      </c>
      <c r="H12" s="531"/>
      <c r="I12" s="532"/>
      <c r="J12" s="530" t="s">
        <v>160</v>
      </c>
      <c r="K12" s="531"/>
      <c r="L12" s="532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28" t="s">
        <v>36</v>
      </c>
      <c r="C24" s="529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28" t="s">
        <v>37</v>
      </c>
      <c r="C25" s="529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22" t="s">
        <v>92</v>
      </c>
      <c r="C26" s="523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24" t="s">
        <v>87</v>
      </c>
      <c r="E29" s="527"/>
      <c r="F29" s="525"/>
      <c r="H29" s="524" t="s">
        <v>159</v>
      </c>
      <c r="I29" s="527"/>
      <c r="J29" s="525"/>
      <c r="L29" s="524" t="s">
        <v>160</v>
      </c>
      <c r="M29" s="527"/>
      <c r="N29" s="525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2023-03-17T12:02:38Z</dcterms:modified>
</cp:coreProperties>
</file>