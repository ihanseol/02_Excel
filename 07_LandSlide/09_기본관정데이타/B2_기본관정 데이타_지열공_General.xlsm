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3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7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8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88593761-5734-4845-B05C-7F79FC78F4E1}" xr6:coauthVersionLast="47" xr6:coauthVersionMax="47" xr10:uidLastSave="{00000000-0000-0000-0000-000000000000}"/>
  <bookViews>
    <workbookView xWindow="5430" yWindow="330" windowWidth="28500" windowHeight="1963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2" i="23" l="1"/>
  <c r="D43" i="23" s="1"/>
  <c r="C42" i="23"/>
  <c r="C43" i="23" s="1"/>
  <c r="B42" i="23"/>
  <c r="B43" i="23" s="1"/>
  <c r="B46" i="23" l="1"/>
  <c r="B47" i="23" s="1"/>
  <c r="B49" i="23"/>
  <c r="C49" i="23"/>
  <c r="C46" i="23"/>
  <c r="C47" i="23" s="1"/>
  <c r="D49" i="23"/>
  <c r="D46" i="23"/>
  <c r="D47" i="23" s="1"/>
  <c r="I8" i="52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<sst xmlns="http://schemas.openxmlformats.org/spreadsheetml/2006/main" count="786" uniqueCount="408">
  <si>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</si>
  <si>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</si>
  <si>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</si>
  <si>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</si>
  <si>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</si>
  <si>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</si>
  <si>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</si>
  <si>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</si>
  <si>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</si>
  <si>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</si>
  <si>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</si>
  <si>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</si>
  <si>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</si>
  <si>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</si>
  <si>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</si>
  <si>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</si>
  <si>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</si>
  <si>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</si>
  <si>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</si>
  <si>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</si>
  <si>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</si>
  <si>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</si>
  <si>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</si>
  <si>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</si>
  <si>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</si>
  <si>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</si>
  <si>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</si>
  <si>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</si>
  <si>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</si>
  <si>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</si>
  <si>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</si>
  <si>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</si>
  <si>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</si>
  <si>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</si>
  <si>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</si>
  <si>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</si>
  <si>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</si>
  <si>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</si>
  <si>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</si>
  <si>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</si>
  <si>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</si>
  <si>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</si>
  <si>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</si>
  <si>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</si>
  <si>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</si>
  <si>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</si>
  <si>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</si>
  <si>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</si>
  <si>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</si>
  <si>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</si>
  <si>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</si>
  <si>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</si>
  <si>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</si>
  <si>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</si>
  <si>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</si>
  <si>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</si>
  <si>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</si>
  <si>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</si>
  <si>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</si>
  <si>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</si>
  <si>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</si>
  <si>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</si>
  <si>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</si>
  <si>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</si>
  <si>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</si>
  <si>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</si>
  <si>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</si>
  <si>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</si>
  <si>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</si>
  <si>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</si>
  <si>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</si>
  <si>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</si>
  <si>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</si>
  <si>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</si>
  <si>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</si>
  <si>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</si>
  <si>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</si>
  <si>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</si>
  <si>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</si>
  <si>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</si>
  <si>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</si>
  <si>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</si>
  <si>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</si>
  <si>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</si>
  <si>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</si>
  <si>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</si>
  <si>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</si>
  <si>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</si>
  <si>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</si>
  <si>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</si>
  <si>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</si>
  <si>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</si>
  <si>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</si>
  <si>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</si>
  <si>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</si>
  <si>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</si>
  <si>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</si>
  <si>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</si>
  <si>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</si>
  <si>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</si>
  <si>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</si>
  <si>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</si>
  <si>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</si>
  <si>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</si>
  <si>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</si>
  <si>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</si>
  <si>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</si>
  <si>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</si>
  <si>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</si>
  <si>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</si>
  <si>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</si>
  <si>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</si>
  <si>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</si>
  <si>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</si>
  <si>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</si>
  <si>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</si>
  <si>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</si>
  <si>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</si>
  <si>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</si>
  <si>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</si>
  <si>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</si>
  <si>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</si>
  <si>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</si>
  <si>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</si>
  <si>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</si>
  <si>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</si>
  <si>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</si>
  <si>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</si>
  <si>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</si>
  <si>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</si>
  <si>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</si>
  <si>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</si>
  <si>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</si>
  <si>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</si>
  <si>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</si>
  <si>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</si>
  <si>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</si>
  <si>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</si>
  <si>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</si>
  <si>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</si>
  <si>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</si>
  <si>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</si>
  <si>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</si>
  <si>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</si>
  <si>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</si>
  <si>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</si>
  <si>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</si>
  <si>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</si>
  <si>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</si>
  <si>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</si>
  <si>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</si>
  <si>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</si>
  <si>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</si>
  <si>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</si>
  <si>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</si>
  <si>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</si>
  <si>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</si>
  <si>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</si>
  <si>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</si>
  <si>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</si>
  <si>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</si>
  <si>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</si>
  <si>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</si>
  <si>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</si>
  <si>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</si>
  <si>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</si>
  <si>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</si>
  <si>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</si>
  <si>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</si>
  <si>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</si>
  <si>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</si>
  <si>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</si>
  <si>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</si>
  <si>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</si>
  <si>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</si>
  <si>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</si>
  <si>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</si>
  <si>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</si>
  <si>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</si>
  <si>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</si>
  <si>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</si>
  <si>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</si>
  <si>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</si>
  <si>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</si>
  <si>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</si>
  <si>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</si>
  <si>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</si>
  <si>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</si>
  <si>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</si>
  <si>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</si>
  <si>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</si>
  <si>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</si>
  <si>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</si>
  <si>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</si>
  <si>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</si>
  <si>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</si>
  <si>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</si>
  <si>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</si>
  <si>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</si>
  <si>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</si>
  <si>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</si>
  <si>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</si>
  <si>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</si>
  <si>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</si>
  <si>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</si>
  <si>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</si>
  <si>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</si>
  <si>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</si>
  <si>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</si>
  <si>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</si>
  <si>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</si>
  <si>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</si>
  <si>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</si>
  <si>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</si>
  <si>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</si>
  <si>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</si>
  <si>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</si>
  <si>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</si>
  <si>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</si>
  <si>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</si>
  <si>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</si>
  <si>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</si>
  <si>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</si>
  <si>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</si>
  <si>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</si>
  <si>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</si>
  <si>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</si>
  <si>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</si>
  <si>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</si>
  <si>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</si>
  <si>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</si>
  <si>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</si>
  <si>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</si>
  <si>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</si>
  <si>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</si>
  <si>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</si>
  <si>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</si>
  <si>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</si>
  <si>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</si>
  <si>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</si>
  <si>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</si>
  <si>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</si>
  <si>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</si>
  <si>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</si>
  <si>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</si>
  <si>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</si>
  <si>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</si>
  <si>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</si>
  <si>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</si>
  <si>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</si>
  <si>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</si>
  <si>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</si>
  <si>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</si>
  <si>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</si>
  <si>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</si>
  <si>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</si>
  <si>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</si>
  <si>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</si>
  <si>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</si>
  <si>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</si>
  <si>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</si>
  <si>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</si>
  <si>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</si>
  <si>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</si>
  <si>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</si>
  <si>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</si>
  <si>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</si>
  <si>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</si>
  <si>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</si>
  <si>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</si>
  <si>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</si>
  <si>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</si>
  <si>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</si>
  <si>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</si>
  <si>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</si>
  <si>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</si>
  <si>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</si>
  <si>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</si>
  <si>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</si>
  <si>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</si>
  <si>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</si>
  <si>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</si>
  <si>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</si>
  <si>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</si>
  <si>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</si>
  <si>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</si>
  <si>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</si>
  <si>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</si>
  <si>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</si>
  <si>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</si>
  <si>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</si>
  <si>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</si>
  <si>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</si>
  <si>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</si>
  <si>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</si>
  <si>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</si>
  <si>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</si>
  <si>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</si>
  <si>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</si>
  <si>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</si>
  <si>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</si>
  <si>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</si>
  <si>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</si>
  <si>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</si>
  <si>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</si>
  <si>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</si>
  <si>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</si>
  <si>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</si>
  <si>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</si>
  <si>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</si>
  <si>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</si>
  <si>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</si>
  <si>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</si>
  <si>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</si>
  <si>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</si>
  <si>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</si>
  <si>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</si>
  <si>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</si>
  <si>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</si>
  <si>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</si>
  <si>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</si>
  <si>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</si>
  <si>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</si>
  <si>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</si>
  <si>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</si>
  <si>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</si>
  <si>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</si>
  <si>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</si>
  <si>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</si>
  <si>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</si>
  <si>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</si>
  <si>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</si>
  <si>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</si>
  <si>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</si>
  <si>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</si>
  <si>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</si>
  <si>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</si>
  <si>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</si>
  <si>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</si>
  <si>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</si>
  <si>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</si>
  <si>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</si>
  <si>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</si>
  <si>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</si>
  <si>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</si>
  <si>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</si>
  <si>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</si>
  <si>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</si>
  <si>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</si>
  <si>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</si>
  <si>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</si>
  <si>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</si>
  <si>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</si>
  <si>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</si>
  <si>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</si>
  <si>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</si>
  <si>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</si>
  <si>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</si>
  <si>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</si>
  <si>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</si>
  <si>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</si>
  <si>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</si>
  <si>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</si>
  <si>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</si>
  <si>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</si>
  <si>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</si>
  <si>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</si>
  <si>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</si>
  <si>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</si>
  <si>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</si>
  <si>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</si>
  <si>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</si>
  <si>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</si>
  <si>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</si>
  <si>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</si>
  <si>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</si>
  <si>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</si>
  <si>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</si>
  <si>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</si>
  <si>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</si>
  <si>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</si>
  <si>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</si>
  <si>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</si>
  <si>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</si>
  <si>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</si>
  <si>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</si>
  <si>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</si>
  <si>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</si>
  <si>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</si>
  <si>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</si>
  <si>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</si>
  <si>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</si>
  <si>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</si>
  <si>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</si>
  <si>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</si>
  <si>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81.7 m</t>
  </si>
  <si>
    <t>85.8 m</t>
  </si>
  <si>
    <t>82.7 m</t>
  </si>
  <si>
    <t>500 m</t>
  </si>
  <si>
    <t>250 m</t>
  </si>
  <si>
    <t>14.3 m</t>
  </si>
  <si>
    <t>14.9 m</t>
  </si>
  <si>
    <t>13.8 m</t>
  </si>
  <si>
    <t>50.5 m</t>
  </si>
  <si>
    <t>46.8 m</t>
  </si>
  <si>
    <t>48.6 m</t>
  </si>
  <si>
    <t>10 Hp</t>
  </si>
  <si>
    <t>7.5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</si>
</sst>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56" fillId="3" borderId="31" xfId="18" applyFont="1" applyFill="1" applyBorder="1" applyAlignment="1">
      <alignment horizontal="center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10" xfId="0" applyFont="1" applyFill="1" applyBorder="1" applyAlignment="1">
      <alignment horizontal="center" vertical="center"/>
    </xf>
    <xf numFmtId="0" fontId="25" fillId="15" borderId="111" xfId="0" applyFont="1" applyFill="1" applyBorder="1" applyAlignment="1">
      <alignment horizontal="center" vertical="center" wrapText="1"/>
    </xf>
    <xf numFmtId="0" fontId="25" fillId="15" borderId="111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13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115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25" fillId="0" borderId="11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2" xfId="0" applyFont="1" applyFill="1" applyBorder="1" applyAlignment="1">
      <alignment horizontal="center" vertical="center"/>
    </xf>
    <xf numFmtId="189" fontId="25" fillId="0" borderId="11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8" xfId="0" applyNumberFormat="1" applyFont="1" applyBorder="1" applyAlignment="1">
      <alignment horizontal="center" vertical="center"/>
    </xf>
    <xf numFmtId="182" fontId="48" fillId="0" borderId="109" xfId="0" applyNumberFormat="1" applyFont="1" applyBorder="1" applyAlignment="1">
      <alignment horizontal="center" vertical="center"/>
    </xf>
    <xf numFmtId="0" fontId="48" fillId="0" borderId="96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12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8" xfId="0" applyNumberFormat="1" applyFont="1" applyBorder="1" applyAlignment="1">
      <alignment horizontal="center" vertical="center"/>
    </xf>
    <xf numFmtId="177" fontId="48" fillId="0" borderId="109" xfId="0" applyNumberFormat="1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32.emf"/><Relationship Id="rId7" Type="http://schemas.openxmlformats.org/officeDocument/2006/relationships/image" Target="../media/image29.emf"/><Relationship Id="rId12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5.emf"/><Relationship Id="rId11" Type="http://schemas.openxmlformats.org/officeDocument/2006/relationships/image" Target="../media/image39.emf"/><Relationship Id="rId5" Type="http://schemas.openxmlformats.org/officeDocument/2006/relationships/image" Target="../media/image30.emf"/><Relationship Id="rId10" Type="http://schemas.openxmlformats.org/officeDocument/2006/relationships/image" Target="../media/image38.emf"/><Relationship Id="rId4" Type="http://schemas.openxmlformats.org/officeDocument/2006/relationships/image" Target="../media/image31.emf"/><Relationship Id="rId9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48.emf"/><Relationship Id="rId7" Type="http://schemas.openxmlformats.org/officeDocument/2006/relationships/image" Target="../media/image54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6" Type="http://schemas.openxmlformats.org/officeDocument/2006/relationships/image" Target="../media/image53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Relationship Id="rId9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1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2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52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43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0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42.xml"/><Relationship Id="rId19" Type="http://schemas.openxmlformats.org/officeDocument/2006/relationships/image" Target="../media/image55.emf"/><Relationship Id="rId4" Type="http://schemas.openxmlformats.org/officeDocument/2006/relationships/control" Target="../activeX/activeX39.xml"/><Relationship Id="rId9" Type="http://schemas.openxmlformats.org/officeDocument/2006/relationships/image" Target="../media/image50.emf"/><Relationship Id="rId14" Type="http://schemas.openxmlformats.org/officeDocument/2006/relationships/control" Target="../activeX/activeX44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6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7.xml"/><Relationship Id="rId5" Type="http://schemas.openxmlformats.org/officeDocument/2006/relationships/image" Target="../media/image65.emf"/><Relationship Id="rId4" Type="http://schemas.openxmlformats.org/officeDocument/2006/relationships/control" Target="../activeX/activeX56.xml"/><Relationship Id="rId9" Type="http://schemas.openxmlformats.org/officeDocument/2006/relationships/image" Target="../media/image6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0.xml"/><Relationship Id="rId5" Type="http://schemas.openxmlformats.org/officeDocument/2006/relationships/image" Target="../media/image68.emf"/><Relationship Id="rId4" Type="http://schemas.openxmlformats.org/officeDocument/2006/relationships/control" Target="../activeX/activeX59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3.xml"/><Relationship Id="rId5" Type="http://schemas.openxmlformats.org/officeDocument/2006/relationships/image" Target="../media/image71.emf"/><Relationship Id="rId4" Type="http://schemas.openxmlformats.org/officeDocument/2006/relationships/control" Target="../activeX/activeX62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44" t="s">
        <v>232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297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45" t="s">
        <v>302</v>
      </c>
      <c r="J24" s="546"/>
      <c r="K24" s="411">
        <f>INDEX(Location[recharge], MATCH(I24,Location[name],0))</f>
        <v>0.128</v>
      </c>
      <c r="L24" s="41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47" t="s">
        <v>197</v>
      </c>
      <c r="J25" s="548"/>
      <c r="K25" s="413">
        <f>INDEX(Location[recharge], MATCH(I25,Location[name],0))</f>
        <v>0.16600000000000001</v>
      </c>
      <c r="L25" s="41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49" t="s">
        <v>267</v>
      </c>
      <c r="J26" s="550"/>
      <c r="K26" s="415">
        <f>INDEX(Location[recharge], MATCH(I26,Location[name],0))</f>
        <v>0.127</v>
      </c>
      <c r="L26" s="41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51" t="s">
        <v>306</v>
      </c>
      <c r="B37" s="552"/>
      <c r="C37" s="231"/>
      <c r="D37" s="421"/>
    </row>
    <row r="38" spans="1:6" ht="17.25" thickBot="1">
      <c r="A38" s="422"/>
      <c r="B38" s="423" t="s">
        <v>236</v>
      </c>
      <c r="C38" s="423" t="s">
        <v>237</v>
      </c>
      <c r="D38" s="424" t="s">
        <v>238</v>
      </c>
    </row>
    <row r="39" spans="1:6">
      <c r="A39" s="449" t="s">
        <v>296</v>
      </c>
      <c r="B39" s="425">
        <v>500</v>
      </c>
      <c r="C39" s="426">
        <v>250</v>
      </c>
      <c r="D39" s="427">
        <v>250</v>
      </c>
    </row>
    <row r="40" spans="1:6">
      <c r="A40" s="450" t="s">
        <v>307</v>
      </c>
      <c r="B40" s="428">
        <v>130</v>
      </c>
      <c r="C40" s="429">
        <v>130</v>
      </c>
      <c r="D40" s="430">
        <v>130</v>
      </c>
    </row>
    <row r="41" spans="1:6">
      <c r="A41" s="450" t="s">
        <v>308</v>
      </c>
      <c r="B41" s="431">
        <v>200</v>
      </c>
      <c r="C41" s="432">
        <v>150</v>
      </c>
      <c r="D41" s="433">
        <v>150</v>
      </c>
    </row>
    <row r="42" spans="1:6">
      <c r="A42" s="451" t="s">
        <v>309</v>
      </c>
      <c r="B42" s="434">
        <f>ROUND(B41/10,1)</f>
        <v>20</v>
      </c>
      <c r="C42" s="435">
        <f>ROUND(C41/10,1)</f>
        <v>15</v>
      </c>
      <c r="D42" s="436">
        <f>ROUND(D41/10,1)</f>
        <v>15</v>
      </c>
    </row>
    <row r="43" spans="1:6">
      <c r="A43" s="451" t="s">
        <v>310</v>
      </c>
      <c r="B43" s="437">
        <f>B41+B42</f>
        <v>220</v>
      </c>
      <c r="C43" s="438">
        <f>C41+C42</f>
        <v>165</v>
      </c>
      <c r="D43" s="439">
        <f>D41+D42</f>
        <v>165</v>
      </c>
    </row>
    <row r="44" spans="1:6">
      <c r="A44" s="451" t="s">
        <v>311</v>
      </c>
      <c r="B44" s="440">
        <v>0.45250000000000001</v>
      </c>
      <c r="C44" s="441">
        <v>0.45250000000000001</v>
      </c>
      <c r="D44" s="442">
        <v>0.45250000000000001</v>
      </c>
    </row>
    <row r="45" spans="1:6">
      <c r="A45" s="451"/>
      <c r="B45" s="434"/>
      <c r="C45" s="435"/>
      <c r="D45" s="436"/>
    </row>
    <row r="46" spans="1:6">
      <c r="A46" s="451" t="s">
        <v>312</v>
      </c>
      <c r="B46" s="434">
        <f>ROUND((B40*B43)/(6572.5*B44),4)</f>
        <v>9.6165000000000003</v>
      </c>
      <c r="C46" s="435">
        <f>ROUND((C40*C43)/(6572.5*C44),4)</f>
        <v>7.2123999999999997</v>
      </c>
      <c r="D46" s="436">
        <f>ROUND((D40*D43)/(6572.5*D44),4)</f>
        <v>7.2123999999999997</v>
      </c>
    </row>
    <row r="47" spans="1:6" ht="19.5" thickBot="1">
      <c r="A47" s="452"/>
      <c r="B47" s="443">
        <f>ROUNDUP(B46,0)</f>
        <v>10</v>
      </c>
      <c r="C47" s="444">
        <f>ROUNDUP(C46,0)</f>
        <v>8</v>
      </c>
      <c r="D47" s="445">
        <f>ROUNDUP(D46,0)</f>
        <v>8</v>
      </c>
    </row>
    <row r="48" spans="1:6">
      <c r="A48" s="449" t="s">
        <v>313</v>
      </c>
      <c r="B48" s="425">
        <v>10</v>
      </c>
      <c r="C48" s="426">
        <v>7.5</v>
      </c>
      <c r="D48" s="427">
        <v>7.5</v>
      </c>
    </row>
    <row r="49" spans="1:4" ht="17.25" thickBot="1">
      <c r="A49" s="452" t="s">
        <v>314</v>
      </c>
      <c r="B49" s="446">
        <f>ROUND((B48*B44*6572.5)/B43,1)</f>
        <v>135.19999999999999</v>
      </c>
      <c r="C49" s="447">
        <f>ROUND((C48*C44*6572.5)/C43,1)</f>
        <v>135.19999999999999</v>
      </c>
      <c r="D49" s="448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268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342</v>
      </c>
    </row>
    <row r="4" spans="3:11" ht="40.5" customHeight="1">
      <c r="C4" s="520" t="s">
        <v>335</v>
      </c>
      <c r="D4" s="521" t="s">
        <v>295</v>
      </c>
      <c r="E4" s="521" t="s">
        <v>336</v>
      </c>
      <c r="F4" s="522" t="s">
        <v>341</v>
      </c>
      <c r="G4" s="521" t="s">
        <v>327</v>
      </c>
      <c r="H4" s="521" t="s">
        <v>337</v>
      </c>
      <c r="I4" s="521" t="s">
        <v>338</v>
      </c>
      <c r="J4" s="521" t="s">
        <v>339</v>
      </c>
      <c r="K4" s="523" t="s">
        <v>340</v>
      </c>
    </row>
    <row r="5" spans="3:11" ht="97.5" customHeight="1">
      <c r="C5" s="361" t="s">
        <v>236</v>
      </c>
      <c r="D5" s="519" t="s">
        <v>343</v>
      </c>
      <c r="E5" s="519" t="s">
        <v>344</v>
      </c>
      <c r="F5" s="519" t="s">
        <v>345</v>
      </c>
      <c r="G5" s="519" t="s">
        <v>346</v>
      </c>
      <c r="H5" s="519" t="s">
        <v>347</v>
      </c>
      <c r="I5" s="519" t="s">
        <v>348</v>
      </c>
      <c r="J5" s="519" t="s">
        <v>349</v>
      </c>
      <c r="K5" s="524" t="s">
        <v>350</v>
      </c>
    </row>
    <row r="6" spans="3:11" ht="97.5" customHeight="1">
      <c r="C6" s="361" t="s">
        <v>237</v>
      </c>
      <c r="D6" s="519" t="s">
        <v>343</v>
      </c>
      <c r="E6" s="519" t="s">
        <v>344</v>
      </c>
      <c r="F6" s="519" t="s">
        <v>345</v>
      </c>
      <c r="G6" s="519" t="s">
        <v>346</v>
      </c>
      <c r="H6" s="519" t="s">
        <v>351</v>
      </c>
      <c r="I6" s="519" t="s">
        <v>352</v>
      </c>
      <c r="J6" s="519" t="s">
        <v>353</v>
      </c>
      <c r="K6" s="524" t="s">
        <v>354</v>
      </c>
    </row>
    <row r="7" spans="3:11" ht="97.5" customHeight="1">
      <c r="C7" s="361" t="s">
        <v>238</v>
      </c>
      <c r="D7" s="519" t="s">
        <v>343</v>
      </c>
      <c r="E7" s="519" t="s">
        <v>344</v>
      </c>
      <c r="F7" s="519" t="s">
        <v>345</v>
      </c>
      <c r="G7" s="519" t="s">
        <v>346</v>
      </c>
      <c r="H7" s="519" t="s">
        <v>355</v>
      </c>
      <c r="I7" s="519" t="s">
        <v>356</v>
      </c>
      <c r="J7" s="519" t="s">
        <v>357</v>
      </c>
      <c r="K7" s="524" t="s">
        <v>358</v>
      </c>
    </row>
    <row r="8" spans="3:11" ht="97.5" customHeight="1">
      <c r="C8" s="361">
        <v>4</v>
      </c>
      <c r="D8" s="487"/>
      <c r="E8" s="487"/>
      <c r="F8" s="487"/>
      <c r="G8" s="487"/>
      <c r="H8" s="487"/>
      <c r="I8" s="487"/>
      <c r="J8" s="487"/>
      <c r="K8" s="517"/>
    </row>
    <row r="9" spans="3:11" ht="97.5" customHeight="1">
      <c r="C9" s="361">
        <v>5</v>
      </c>
      <c r="D9" s="487"/>
      <c r="E9" s="487"/>
      <c r="F9" s="487"/>
      <c r="G9" s="487"/>
      <c r="H9" s="487"/>
      <c r="I9" s="487"/>
      <c r="J9" s="487"/>
      <c r="K9" s="517"/>
    </row>
    <row r="10" spans="3:11" ht="97.5" customHeight="1">
      <c r="C10" s="361">
        <v>6</v>
      </c>
      <c r="D10" s="487"/>
      <c r="E10" s="487"/>
      <c r="F10" s="487"/>
      <c r="G10" s="487"/>
      <c r="H10" s="487"/>
      <c r="I10" s="487"/>
      <c r="J10" s="487"/>
      <c r="K10" s="517"/>
    </row>
    <row r="11" spans="3:11" ht="97.5" customHeight="1">
      <c r="C11" s="361">
        <v>7</v>
      </c>
      <c r="D11" s="487"/>
      <c r="E11" s="487"/>
      <c r="F11" s="487"/>
      <c r="G11" s="487"/>
      <c r="H11" s="487"/>
      <c r="I11" s="487"/>
      <c r="J11" s="487"/>
      <c r="K11" s="517"/>
    </row>
    <row r="12" spans="3:11" ht="97.5" customHeight="1">
      <c r="C12" s="361">
        <v>8</v>
      </c>
      <c r="D12" s="487"/>
      <c r="E12" s="487"/>
      <c r="F12" s="487"/>
      <c r="G12" s="487"/>
      <c r="H12" s="487"/>
      <c r="I12" s="487"/>
      <c r="J12" s="487"/>
      <c r="K12" s="517"/>
    </row>
    <row r="13" spans="3:11" ht="97.5" customHeight="1">
      <c r="C13" s="361">
        <v>9</v>
      </c>
      <c r="D13" s="487"/>
      <c r="E13" s="487"/>
      <c r="F13" s="487"/>
      <c r="G13" s="487"/>
      <c r="H13" s="487"/>
      <c r="I13" s="487"/>
      <c r="J13" s="487"/>
      <c r="K13" s="517"/>
    </row>
    <row r="14" spans="3:11" ht="97.5" customHeight="1">
      <c r="C14" s="361">
        <v>10</v>
      </c>
      <c r="D14" s="487"/>
      <c r="E14" s="487"/>
      <c r="F14" s="487"/>
      <c r="G14" s="487"/>
      <c r="H14" s="487"/>
      <c r="I14" s="487"/>
      <c r="J14" s="487"/>
      <c r="K14" s="517"/>
    </row>
    <row r="15" spans="3:11" ht="97.5" customHeight="1">
      <c r="C15" s="361">
        <v>11</v>
      </c>
      <c r="D15" s="487"/>
      <c r="E15" s="487"/>
      <c r="F15" s="487"/>
      <c r="G15" s="487"/>
      <c r="H15" s="487"/>
      <c r="I15" s="487"/>
      <c r="J15" s="487"/>
      <c r="K15" s="517"/>
    </row>
    <row r="16" spans="3:11" ht="97.5" customHeight="1">
      <c r="C16" s="361">
        <v>12</v>
      </c>
      <c r="D16" s="487"/>
      <c r="E16" s="487"/>
      <c r="F16" s="487"/>
      <c r="G16" s="487"/>
      <c r="H16" s="487"/>
      <c r="I16" s="487"/>
      <c r="J16" s="487"/>
      <c r="K16" s="517"/>
    </row>
    <row r="17" spans="3:11" ht="97.5" customHeight="1">
      <c r="C17" s="361">
        <v>13</v>
      </c>
      <c r="D17" s="487"/>
      <c r="E17" s="487"/>
      <c r="F17" s="487"/>
      <c r="G17" s="487"/>
      <c r="H17" s="487"/>
      <c r="I17" s="487"/>
      <c r="J17" s="487"/>
      <c r="K17" s="517"/>
    </row>
    <row r="18" spans="3:11" ht="97.5" customHeight="1">
      <c r="C18" s="361">
        <v>14</v>
      </c>
      <c r="D18" s="487"/>
      <c r="E18" s="487"/>
      <c r="F18" s="487"/>
      <c r="G18" s="487"/>
      <c r="H18" s="487"/>
      <c r="I18" s="487"/>
      <c r="J18" s="487"/>
      <c r="K18" s="517"/>
    </row>
    <row r="19" spans="3:11" ht="97.5" customHeight="1" thickBot="1">
      <c r="C19" s="362">
        <v>15</v>
      </c>
      <c r="D19" s="488"/>
      <c r="E19" s="488"/>
      <c r="F19" s="488"/>
      <c r="G19" s="488"/>
      <c r="H19" s="488"/>
      <c r="I19" s="488"/>
      <c r="J19" s="488"/>
      <c r="K19" s="51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E18" sqref="E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532" customFormat="1" ht="72.75" customHeight="1" thickTop="1">
      <c r="A4" s="529" t="s">
        <v>315</v>
      </c>
      <c r="B4" s="530" t="s">
        <v>369</v>
      </c>
      <c r="C4" s="530" t="s">
        <v>370</v>
      </c>
      <c r="D4" s="530" t="s">
        <v>379</v>
      </c>
      <c r="E4" s="530" t="s">
        <v>387</v>
      </c>
      <c r="F4" s="530" t="s">
        <v>386</v>
      </c>
      <c r="G4" s="530" t="s">
        <v>371</v>
      </c>
      <c r="H4" s="531" t="s">
        <v>361</v>
      </c>
      <c r="I4" s="530" t="s">
        <v>372</v>
      </c>
      <c r="J4" s="530" t="s">
        <v>373</v>
      </c>
      <c r="K4" s="530" t="s">
        <v>377</v>
      </c>
      <c r="L4" s="530" t="s">
        <v>376</v>
      </c>
      <c r="M4" s="530" t="s">
        <v>374</v>
      </c>
      <c r="N4" s="530" t="s">
        <v>367</v>
      </c>
      <c r="O4" s="531" t="s">
        <v>362</v>
      </c>
      <c r="P4" s="531" t="s">
        <v>363</v>
      </c>
      <c r="Q4" s="530" t="s">
        <v>375</v>
      </c>
      <c r="R4" s="530" t="s">
        <v>380</v>
      </c>
      <c r="S4" s="530" t="s">
        <v>381</v>
      </c>
      <c r="T4" s="531" t="s">
        <v>366</v>
      </c>
      <c r="U4" s="530" t="s">
        <v>378</v>
      </c>
      <c r="V4" s="531" t="s">
        <v>364</v>
      </c>
      <c r="W4" s="531" t="s">
        <v>365</v>
      </c>
      <c r="X4" s="531" t="s">
        <v>368</v>
      </c>
      <c r="Y4" s="530" t="s">
        <v>384</v>
      </c>
      <c r="Z4" s="530" t="s">
        <v>385</v>
      </c>
      <c r="AA4" s="530" t="s">
        <v>392</v>
      </c>
      <c r="AB4" s="530" t="s">
        <v>393</v>
      </c>
      <c r="AC4" s="530" t="s">
        <v>388</v>
      </c>
      <c r="AD4" s="530" t="s">
        <v>382</v>
      </c>
      <c r="AE4" s="530" t="s">
        <v>383</v>
      </c>
      <c r="AF4" s="530" t="s">
        <v>389</v>
      </c>
      <c r="AG4" s="531" t="s">
        <v>390</v>
      </c>
      <c r="AH4" s="542" t="s">
        <v>391</v>
      </c>
    </row>
    <row r="5" spans="1:34" ht="23.1" customHeight="1">
      <c r="A5" s="533" t="s">
        <v>236</v>
      </c>
      <c r="B5" s="487">
        <v>14.3</v>
      </c>
      <c r="C5" s="487">
        <v>64.8</v>
      </c>
      <c r="D5" s="540">
        <v>16.491080206622705</v>
      </c>
      <c r="E5" s="540">
        <v>48.308919793377292</v>
      </c>
      <c r="F5" s="540">
        <v>50.5</v>
      </c>
      <c r="G5" s="487">
        <v>200</v>
      </c>
      <c r="H5" s="487">
        <v>0.1</v>
      </c>
      <c r="I5" s="487">
        <v>500</v>
      </c>
      <c r="J5" s="487">
        <v>12</v>
      </c>
      <c r="K5" s="487">
        <v>130</v>
      </c>
      <c r="L5" s="540">
        <v>3.9890328339016063</v>
      </c>
      <c r="M5" s="487">
        <v>10</v>
      </c>
      <c r="N5" s="487">
        <v>485.7</v>
      </c>
      <c r="O5" s="538">
        <v>1.732</v>
      </c>
      <c r="P5" s="538">
        <v>1.5549999999999999</v>
      </c>
      <c r="Q5" s="538">
        <v>1.6435</v>
      </c>
      <c r="R5" s="487">
        <v>8.8969999999999994E-2</v>
      </c>
      <c r="S5" s="541">
        <v>3.2289999999999999E-4</v>
      </c>
      <c r="T5" s="538">
        <v>3.3800000000000002E-3</v>
      </c>
      <c r="U5" s="487">
        <v>0.58330000000000004</v>
      </c>
      <c r="V5" s="539">
        <v>43</v>
      </c>
      <c r="W5" s="539">
        <v>52.7</v>
      </c>
      <c r="X5" s="539">
        <v>81.7</v>
      </c>
      <c r="Y5" s="487">
        <v>-2.8094999999999999</v>
      </c>
      <c r="Z5" s="538">
        <v>1.66</v>
      </c>
      <c r="AA5" s="487">
        <v>149</v>
      </c>
      <c r="AB5" s="487">
        <v>133.96</v>
      </c>
      <c r="AC5" s="487">
        <v>81</v>
      </c>
      <c r="AD5" s="487">
        <v>21.13</v>
      </c>
      <c r="AE5" s="487">
        <v>44.94</v>
      </c>
      <c r="AF5" s="487">
        <v>6.0139999999999998E-4</v>
      </c>
      <c r="AG5" s="487">
        <v>0.21038480000000001</v>
      </c>
      <c r="AH5" s="543">
        <v>0.89261744966442957</v>
      </c>
    </row>
    <row r="6" spans="1:34" ht="23.1" customHeight="1">
      <c r="A6" s="533" t="s">
        <v>237</v>
      </c>
      <c r="B6" s="487">
        <v>14.9</v>
      </c>
      <c r="C6" s="487">
        <v>61.7</v>
      </c>
      <c r="D6" s="540">
        <v>17.057988721779331</v>
      </c>
      <c r="E6" s="540">
        <v>44.642011278220671</v>
      </c>
      <c r="F6" s="540">
        <v>46.800000000000004</v>
      </c>
      <c r="G6" s="487">
        <v>200</v>
      </c>
      <c r="H6" s="487">
        <v>0.1</v>
      </c>
      <c r="I6" s="487">
        <v>250</v>
      </c>
      <c r="J6" s="487">
        <v>12</v>
      </c>
      <c r="K6" s="487">
        <v>130</v>
      </c>
      <c r="L6" s="540">
        <v>3.7991159487113451</v>
      </c>
      <c r="M6" s="487">
        <v>7.5</v>
      </c>
      <c r="N6" s="487">
        <v>235.1</v>
      </c>
      <c r="O6" s="538">
        <v>1.877</v>
      </c>
      <c r="P6" s="538">
        <v>1.6819999999999999</v>
      </c>
      <c r="Q6" s="538">
        <v>1.7795000000000001</v>
      </c>
      <c r="R6" s="487">
        <v>9.2749999999999999E-2</v>
      </c>
      <c r="S6" s="541">
        <v>3.1720000000000001E-4</v>
      </c>
      <c r="T6" s="538">
        <v>7.5599999999999999E-3</v>
      </c>
      <c r="U6" s="487">
        <v>0.58330000000000004</v>
      </c>
      <c r="V6" s="539">
        <v>62.5</v>
      </c>
      <c r="W6" s="539">
        <v>76.5</v>
      </c>
      <c r="X6" s="539">
        <v>85.8</v>
      </c>
      <c r="Y6" s="487">
        <v>-2.8389000000000002</v>
      </c>
      <c r="Z6" s="538">
        <v>1.71</v>
      </c>
      <c r="AA6" s="487">
        <v>149</v>
      </c>
      <c r="AB6" s="487">
        <v>133.93</v>
      </c>
      <c r="AC6" s="487">
        <v>81</v>
      </c>
      <c r="AD6" s="487">
        <v>19.59</v>
      </c>
      <c r="AE6" s="487">
        <v>41.65</v>
      </c>
      <c r="AF6" s="487">
        <v>5.5579999999999996E-4</v>
      </c>
      <c r="AG6" s="487">
        <v>0.19516990000000001</v>
      </c>
      <c r="AH6" s="543">
        <v>0.89261744966442957</v>
      </c>
    </row>
    <row r="7" spans="1:34" ht="23.1" customHeight="1">
      <c r="A7" s="533" t="s">
        <v>238</v>
      </c>
      <c r="B7" s="487">
        <v>13.8</v>
      </c>
      <c r="C7" s="487">
        <v>62.4</v>
      </c>
      <c r="D7" s="540">
        <v>15.974338991033088</v>
      </c>
      <c r="E7" s="540">
        <v>46.425661008966912</v>
      </c>
      <c r="F7" s="540">
        <v>48.599999999999994</v>
      </c>
      <c r="G7" s="487">
        <v>200</v>
      </c>
      <c r="H7" s="487">
        <v>0.1</v>
      </c>
      <c r="I7" s="487">
        <v>250</v>
      </c>
      <c r="J7" s="487">
        <v>12</v>
      </c>
      <c r="K7" s="487">
        <v>130</v>
      </c>
      <c r="L7" s="540">
        <v>3.8914763181450334</v>
      </c>
      <c r="M7" s="487">
        <v>7.5</v>
      </c>
      <c r="N7" s="487">
        <v>236.2</v>
      </c>
      <c r="O7" s="538">
        <v>1.8029999999999999</v>
      </c>
      <c r="P7" s="538">
        <v>1.534</v>
      </c>
      <c r="Q7" s="538">
        <v>1.6684999999999999</v>
      </c>
      <c r="R7" s="487">
        <v>9.0880000000000002E-2</v>
      </c>
      <c r="S7" s="541">
        <v>3.2009999999999997E-4</v>
      </c>
      <c r="T7" s="538">
        <v>7.0600000000000003E-3</v>
      </c>
      <c r="U7" s="487">
        <v>0.58330000000000004</v>
      </c>
      <c r="V7" s="539">
        <v>61.2</v>
      </c>
      <c r="W7" s="539">
        <v>75</v>
      </c>
      <c r="X7" s="539">
        <v>82.7</v>
      </c>
      <c r="Y7" s="487">
        <v>-2.8243999999999998</v>
      </c>
      <c r="Z7" s="538">
        <v>1.6850000000000001</v>
      </c>
      <c r="AA7" s="487">
        <v>149</v>
      </c>
      <c r="AB7" s="487">
        <v>133.94</v>
      </c>
      <c r="AC7" s="487">
        <v>81</v>
      </c>
      <c r="AD7" s="487">
        <v>20.34</v>
      </c>
      <c r="AE7" s="487">
        <v>43.25</v>
      </c>
      <c r="AF7" s="487">
        <v>5.7790000000000001E-4</v>
      </c>
      <c r="AG7" s="487">
        <v>0.2025769</v>
      </c>
      <c r="AH7" s="543">
        <v>0.89261744966442957</v>
      </c>
    </row>
    <row r="8" spans="1:34" ht="23.1" customHeight="1">
      <c r="A8" s="533"/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487"/>
      <c r="AA8" s="487"/>
      <c r="AB8" s="487"/>
      <c r="AC8" s="487"/>
      <c r="AD8" s="487"/>
      <c r="AE8" s="487"/>
      <c r="AF8" s="487"/>
      <c r="AG8" s="487"/>
      <c r="AH8" s="534"/>
    </row>
    <row r="9" spans="1:34" ht="23.1" customHeight="1">
      <c r="A9" s="533"/>
      <c r="B9" s="487"/>
      <c r="C9" s="487"/>
      <c r="D9" s="487"/>
      <c r="E9" s="487"/>
      <c r="F9" s="487"/>
      <c r="G9" s="487"/>
      <c r="H9" s="487"/>
      <c r="I9" s="487"/>
      <c r="J9" s="487"/>
      <c r="K9" s="487"/>
      <c r="L9" s="487"/>
      <c r="M9" s="487"/>
      <c r="N9" s="487"/>
      <c r="O9" s="487"/>
      <c r="P9" s="487"/>
      <c r="Q9" s="487"/>
      <c r="R9" s="487"/>
      <c r="S9" s="487"/>
      <c r="T9" s="487"/>
      <c r="U9" s="487"/>
      <c r="V9" s="487"/>
      <c r="W9" s="487"/>
      <c r="X9" s="487"/>
      <c r="Y9" s="487"/>
      <c r="Z9" s="487"/>
      <c r="AA9" s="487"/>
      <c r="AB9" s="487"/>
      <c r="AC9" s="487"/>
      <c r="AD9" s="487"/>
      <c r="AE9" s="487"/>
      <c r="AF9" s="487"/>
      <c r="AG9" s="487"/>
      <c r="AH9" s="534"/>
    </row>
    <row r="10" spans="1:34" ht="23.1" customHeight="1">
      <c r="A10" s="533"/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7"/>
      <c r="AD10" s="487"/>
      <c r="AE10" s="487"/>
      <c r="AF10" s="487"/>
      <c r="AG10" s="487"/>
      <c r="AH10" s="534"/>
    </row>
    <row r="11" spans="1:34" ht="23.1" customHeight="1">
      <c r="A11" s="533"/>
      <c r="B11" s="487"/>
      <c r="C11" s="487"/>
      <c r="D11" s="487"/>
      <c r="E11" s="487"/>
      <c r="F11" s="487"/>
      <c r="G11" s="487"/>
      <c r="H11" s="487"/>
      <c r="I11" s="487"/>
      <c r="J11" s="487"/>
      <c r="K11" s="487"/>
      <c r="L11" s="487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7"/>
      <c r="Z11" s="487"/>
      <c r="AA11" s="487"/>
      <c r="AB11" s="487"/>
      <c r="AC11" s="487"/>
      <c r="AD11" s="487"/>
      <c r="AE11" s="487"/>
      <c r="AF11" s="487"/>
      <c r="AG11" s="487"/>
      <c r="AH11" s="534"/>
    </row>
    <row r="12" spans="1:34" ht="23.1" customHeight="1">
      <c r="A12" s="533"/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7"/>
      <c r="N12" s="487"/>
      <c r="O12" s="487"/>
      <c r="P12" s="487"/>
      <c r="Q12" s="487"/>
      <c r="R12" s="487"/>
      <c r="S12" s="487"/>
      <c r="T12" s="487"/>
      <c r="U12" s="487"/>
      <c r="V12" s="487"/>
      <c r="W12" s="487"/>
      <c r="X12" s="487"/>
      <c r="Y12" s="487"/>
      <c r="Z12" s="487"/>
      <c r="AA12" s="487"/>
      <c r="AB12" s="487"/>
      <c r="AC12" s="487"/>
      <c r="AD12" s="487"/>
      <c r="AE12" s="487"/>
      <c r="AF12" s="487"/>
      <c r="AG12" s="487"/>
      <c r="AH12" s="534"/>
    </row>
    <row r="13" spans="1:34" ht="23.1" customHeight="1">
      <c r="A13" s="533"/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87"/>
      <c r="O13" s="487"/>
      <c r="P13" s="487"/>
      <c r="Q13" s="487"/>
      <c r="R13" s="487"/>
      <c r="S13" s="487"/>
      <c r="T13" s="487"/>
      <c r="U13" s="487"/>
      <c r="V13" s="487"/>
      <c r="W13" s="487"/>
      <c r="X13" s="487"/>
      <c r="Y13" s="487"/>
      <c r="Z13" s="487"/>
      <c r="AA13" s="487"/>
      <c r="AB13" s="487"/>
      <c r="AC13" s="487"/>
      <c r="AD13" s="487"/>
      <c r="AE13" s="487"/>
      <c r="AF13" s="487"/>
      <c r="AG13" s="487"/>
      <c r="AH13" s="534"/>
    </row>
    <row r="14" spans="1:34" ht="23.1" customHeight="1">
      <c r="A14" s="533"/>
      <c r="B14" s="487"/>
      <c r="C14" s="487"/>
      <c r="D14" s="487"/>
      <c r="E14" s="487"/>
      <c r="F14" s="487"/>
      <c r="G14" s="487"/>
      <c r="H14" s="487"/>
      <c r="I14" s="487"/>
      <c r="J14" s="487"/>
      <c r="K14" s="487"/>
      <c r="L14" s="487"/>
      <c r="M14" s="487"/>
      <c r="N14" s="487"/>
      <c r="O14" s="487"/>
      <c r="P14" s="487"/>
      <c r="Q14" s="487"/>
      <c r="R14" s="487"/>
      <c r="S14" s="487"/>
      <c r="T14" s="487"/>
      <c r="U14" s="487"/>
      <c r="V14" s="487"/>
      <c r="W14" s="487"/>
      <c r="X14" s="487"/>
      <c r="Y14" s="487"/>
      <c r="Z14" s="487"/>
      <c r="AA14" s="487"/>
      <c r="AB14" s="487"/>
      <c r="AC14" s="487"/>
      <c r="AD14" s="487"/>
      <c r="AE14" s="487"/>
      <c r="AF14" s="487"/>
      <c r="AG14" s="487"/>
      <c r="AH14" s="534"/>
    </row>
    <row r="15" spans="1:34" ht="23.1" customHeight="1">
      <c r="A15" s="533"/>
      <c r="B15" s="487"/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  <c r="P15" s="487"/>
      <c r="Q15" s="487"/>
      <c r="R15" s="487"/>
      <c r="S15" s="487"/>
      <c r="T15" s="487"/>
      <c r="U15" s="487"/>
      <c r="V15" s="487"/>
      <c r="W15" s="487"/>
      <c r="X15" s="487"/>
      <c r="Y15" s="487"/>
      <c r="Z15" s="487"/>
      <c r="AA15" s="487"/>
      <c r="AB15" s="487"/>
      <c r="AC15" s="487"/>
      <c r="AD15" s="487"/>
      <c r="AE15" s="487"/>
      <c r="AF15" s="487"/>
      <c r="AG15" s="487"/>
      <c r="AH15" s="534"/>
    </row>
    <row r="16" spans="1:34" ht="23.1" customHeight="1">
      <c r="A16" s="533"/>
      <c r="B16" s="487"/>
      <c r="C16" s="487"/>
      <c r="D16" s="487"/>
      <c r="E16" s="487"/>
      <c r="F16" s="487"/>
      <c r="G16" s="487"/>
      <c r="H16" s="487"/>
      <c r="I16" s="487"/>
      <c r="J16" s="487"/>
      <c r="K16" s="487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534"/>
    </row>
    <row r="17" spans="1:34" ht="23.1" customHeight="1">
      <c r="A17" s="533"/>
      <c r="B17" s="487"/>
      <c r="C17" s="487"/>
      <c r="D17" s="487"/>
      <c r="E17" s="487"/>
      <c r="F17" s="487"/>
      <c r="G17" s="487"/>
      <c r="H17" s="487"/>
      <c r="I17" s="487"/>
      <c r="J17" s="487"/>
      <c r="K17" s="487"/>
      <c r="L17" s="487"/>
      <c r="M17" s="487"/>
      <c r="N17" s="487"/>
      <c r="O17" s="487"/>
      <c r="P17" s="487"/>
      <c r="Q17" s="487"/>
      <c r="R17" s="487"/>
      <c r="S17" s="487"/>
      <c r="T17" s="487"/>
      <c r="U17" s="487"/>
      <c r="V17" s="487"/>
      <c r="W17" s="487"/>
      <c r="X17" s="487"/>
      <c r="Y17" s="487"/>
      <c r="Z17" s="487"/>
      <c r="AA17" s="487"/>
      <c r="AB17" s="487"/>
      <c r="AC17" s="487"/>
      <c r="AD17" s="487"/>
      <c r="AE17" s="487"/>
      <c r="AF17" s="487"/>
      <c r="AG17" s="487"/>
      <c r="AH17" s="534"/>
    </row>
    <row r="18" spans="1:34" ht="23.1" customHeight="1">
      <c r="A18" s="533"/>
      <c r="B18" s="487"/>
      <c r="C18" s="487"/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  <c r="P18" s="487"/>
      <c r="Q18" s="487"/>
      <c r="R18" s="487"/>
      <c r="S18" s="487"/>
      <c r="T18" s="487"/>
      <c r="U18" s="487"/>
      <c r="V18" s="487"/>
      <c r="W18" s="487"/>
      <c r="X18" s="487"/>
      <c r="Y18" s="487"/>
      <c r="Z18" s="487"/>
      <c r="AA18" s="487"/>
      <c r="AB18" s="487"/>
      <c r="AC18" s="487"/>
      <c r="AD18" s="487"/>
      <c r="AE18" s="487"/>
      <c r="AF18" s="487"/>
      <c r="AG18" s="487"/>
      <c r="AH18" s="534"/>
    </row>
    <row r="19" spans="1:34" ht="23.1" customHeight="1" thickBot="1">
      <c r="A19" s="535"/>
      <c r="B19" s="536"/>
      <c r="C19" s="536"/>
      <c r="D19" s="536"/>
      <c r="E19" s="536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6"/>
      <c r="R19" s="536"/>
      <c r="S19" s="536"/>
      <c r="T19" s="536"/>
      <c r="U19" s="536"/>
      <c r="V19" s="536"/>
      <c r="W19" s="536"/>
      <c r="X19" s="536"/>
      <c r="Y19" s="536"/>
      <c r="Z19" s="536"/>
      <c r="AA19" s="536"/>
      <c r="AB19" s="536"/>
      <c r="AC19" s="536"/>
      <c r="AD19" s="536"/>
      <c r="AE19" s="536"/>
      <c r="AF19" s="536"/>
      <c r="AG19" s="536"/>
      <c r="AH19" s="53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P11" sqref="P11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280</v>
      </c>
      <c r="J1" s="68"/>
    </row>
    <row r="2" spans="1:18" s="77" customFormat="1" ht="23.1" customHeight="1">
      <c r="A2" s="563" t="s">
        <v>0</v>
      </c>
      <c r="B2" s="553" t="s">
        <v>39</v>
      </c>
      <c r="C2" s="553" t="s">
        <v>6</v>
      </c>
      <c r="D2" s="553" t="s">
        <v>38</v>
      </c>
      <c r="E2" s="553" t="s">
        <v>207</v>
      </c>
      <c r="F2" s="553" t="s">
        <v>206</v>
      </c>
      <c r="G2" s="557" t="s">
        <v>1</v>
      </c>
      <c r="H2" s="557" t="s">
        <v>2</v>
      </c>
      <c r="I2" s="557" t="s">
        <v>175</v>
      </c>
      <c r="J2" s="561" t="s">
        <v>289</v>
      </c>
      <c r="K2" s="557" t="s">
        <v>288</v>
      </c>
      <c r="L2" s="557" t="s">
        <v>3</v>
      </c>
      <c r="M2" s="557" t="s">
        <v>4</v>
      </c>
      <c r="N2" s="557" t="s">
        <v>5</v>
      </c>
      <c r="O2" s="557" t="s">
        <v>287</v>
      </c>
      <c r="P2" s="559" t="s">
        <v>286</v>
      </c>
      <c r="Q2" s="553" t="s">
        <v>161</v>
      </c>
      <c r="R2" s="555" t="s">
        <v>93</v>
      </c>
    </row>
    <row r="3" spans="1:18" s="77" customFormat="1" ht="27" customHeight="1">
      <c r="A3" s="564"/>
      <c r="B3" s="554"/>
      <c r="C3" s="554"/>
      <c r="D3" s="554"/>
      <c r="E3" s="554"/>
      <c r="F3" s="554"/>
      <c r="G3" s="558"/>
      <c r="H3" s="558"/>
      <c r="I3" s="558"/>
      <c r="J3" s="562"/>
      <c r="K3" s="558"/>
      <c r="L3" s="558"/>
      <c r="M3" s="558"/>
      <c r="N3" s="558"/>
      <c r="O3" s="558"/>
      <c r="P3" s="560"/>
      <c r="Q3" s="554"/>
      <c r="R3" s="556"/>
    </row>
    <row r="4" spans="1:18" ht="23.1" customHeight="1">
      <c r="A4" s="392" t="s">
        <v>266</v>
      </c>
      <c r="B4" s="393" t="s">
        <v>233</v>
      </c>
      <c r="C4" s="394"/>
      <c r="D4" s="393" t="s">
        <v>278</v>
      </c>
      <c r="E4" s="393" t="s">
        <v>279</v>
      </c>
      <c r="F4" s="393" t="s">
        <v>234</v>
      </c>
      <c r="G4" s="393">
        <v>200</v>
      </c>
      <c r="H4" s="393">
        <v>500</v>
      </c>
      <c r="I4" s="393">
        <v>130</v>
      </c>
      <c r="J4" s="393">
        <v>143</v>
      </c>
      <c r="K4" s="393">
        <v>143</v>
      </c>
      <c r="L4" s="393">
        <v>10</v>
      </c>
      <c r="M4" s="393">
        <v>200</v>
      </c>
      <c r="N4" s="395">
        <v>50</v>
      </c>
      <c r="O4" s="396">
        <v>172.8</v>
      </c>
      <c r="P4" s="408">
        <v>3059068</v>
      </c>
      <c r="Q4" s="393"/>
      <c r="R4" s="397"/>
    </row>
    <row r="5" spans="1:18" ht="23.1" customHeight="1">
      <c r="A5" s="392" t="s">
        <v>276</v>
      </c>
      <c r="B5" s="393" t="s">
        <v>233</v>
      </c>
      <c r="C5" s="394"/>
      <c r="D5" s="393" t="s">
        <v>278</v>
      </c>
      <c r="E5" s="393" t="s">
        <v>279</v>
      </c>
      <c r="F5" s="393" t="s">
        <v>234</v>
      </c>
      <c r="G5" s="393">
        <v>200</v>
      </c>
      <c r="H5" s="393">
        <v>250</v>
      </c>
      <c r="I5" s="393">
        <v>130</v>
      </c>
      <c r="J5" s="393">
        <v>143</v>
      </c>
      <c r="K5" s="393">
        <v>143</v>
      </c>
      <c r="L5" s="393">
        <v>7.5</v>
      </c>
      <c r="M5" s="393">
        <v>150</v>
      </c>
      <c r="N5" s="395">
        <v>40</v>
      </c>
      <c r="O5" s="396">
        <v>172.8</v>
      </c>
      <c r="P5" s="408">
        <v>3059068</v>
      </c>
      <c r="Q5" s="393"/>
      <c r="R5" s="397"/>
    </row>
    <row r="6" spans="1:18" ht="23.1" customHeight="1" thickBot="1">
      <c r="A6" s="398" t="s">
        <v>277</v>
      </c>
      <c r="B6" s="399" t="s">
        <v>233</v>
      </c>
      <c r="C6" s="400"/>
      <c r="D6" s="399" t="s">
        <v>278</v>
      </c>
      <c r="E6" s="399" t="s">
        <v>279</v>
      </c>
      <c r="F6" s="399" t="s">
        <v>234</v>
      </c>
      <c r="G6" s="399">
        <v>200</v>
      </c>
      <c r="H6" s="399">
        <v>250</v>
      </c>
      <c r="I6" s="399">
        <v>130</v>
      </c>
      <c r="J6" s="399">
        <v>143</v>
      </c>
      <c r="K6" s="399">
        <v>143</v>
      </c>
      <c r="L6" s="399">
        <v>7.5</v>
      </c>
      <c r="M6" s="399">
        <v>150</v>
      </c>
      <c r="N6" s="401">
        <v>40</v>
      </c>
      <c r="O6" s="402">
        <v>172.8</v>
      </c>
      <c r="P6" s="409">
        <v>3059068</v>
      </c>
      <c r="Q6" s="399"/>
      <c r="R6" s="403"/>
    </row>
    <row r="7" spans="1:18" ht="23.25" customHeight="1" thickBot="1">
      <c r="A7" s="322"/>
      <c r="J7" s="363"/>
      <c r="P7" s="364"/>
    </row>
    <row r="8" spans="1:18" ht="23.25" customHeight="1" thickBot="1">
      <c r="I8" s="410">
        <f>SUM(I4:I7)</f>
        <v>390</v>
      </c>
    </row>
    <row r="12" spans="1:18">
      <c r="Q12" s="37" t="s">
        <v>359</v>
      </c>
    </row>
    <row r="17" spans="14:14">
      <c r="N1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24" sqref="M24:O2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90" t="s">
        <v>212</v>
      </c>
      <c r="H2" s="491" t="s">
        <v>209</v>
      </c>
      <c r="I2" s="492" t="s">
        <v>218</v>
      </c>
      <c r="J2" s="491" t="s">
        <v>210</v>
      </c>
      <c r="K2" s="493" t="s">
        <v>211</v>
      </c>
      <c r="M2" s="496"/>
      <c r="N2" s="497" t="s">
        <v>216</v>
      </c>
      <c r="O2" s="493" t="s">
        <v>217</v>
      </c>
      <c r="Q2" s="490" t="s">
        <v>212</v>
      </c>
      <c r="R2" s="497" t="s">
        <v>220</v>
      </c>
      <c r="S2" s="493" t="s">
        <v>221</v>
      </c>
    </row>
    <row r="3" spans="7:19" ht="20.100000000000001" customHeight="1">
      <c r="G3" s="468" t="s">
        <v>236</v>
      </c>
      <c r="H3" s="456">
        <v>149</v>
      </c>
      <c r="I3" s="494">
        <v>133.96</v>
      </c>
      <c r="J3" s="456">
        <v>130</v>
      </c>
      <c r="K3" s="495">
        <v>0.89261744966442957</v>
      </c>
      <c r="M3" s="498" t="s">
        <v>211</v>
      </c>
      <c r="N3" s="499">
        <v>0.89261744966442957</v>
      </c>
      <c r="O3" s="500">
        <v>0.89261744966442957</v>
      </c>
      <c r="Q3" s="506" t="s">
        <v>236</v>
      </c>
      <c r="R3" s="507">
        <v>6.0139999999999998E-4</v>
      </c>
      <c r="S3" s="508">
        <v>0.21038480000000001</v>
      </c>
    </row>
    <row r="4" spans="7:19" ht="20.100000000000001" customHeight="1">
      <c r="G4" s="468" t="s">
        <v>237</v>
      </c>
      <c r="H4" s="456">
        <v>149</v>
      </c>
      <c r="I4" s="494">
        <v>133.93</v>
      </c>
      <c r="J4" s="456">
        <v>130</v>
      </c>
      <c r="K4" s="495">
        <v>0.89261744966442957</v>
      </c>
      <c r="M4" s="498" t="s">
        <v>218</v>
      </c>
      <c r="N4" s="501">
        <v>133.93</v>
      </c>
      <c r="O4" s="502">
        <v>133.96</v>
      </c>
      <c r="Q4" s="506" t="s">
        <v>237</v>
      </c>
      <c r="R4" s="507">
        <v>5.5579999999999996E-4</v>
      </c>
      <c r="S4" s="508">
        <v>0.19516990000000001</v>
      </c>
    </row>
    <row r="5" spans="7:19" ht="20.100000000000001" customHeight="1" thickBot="1">
      <c r="G5" s="468" t="s">
        <v>238</v>
      </c>
      <c r="H5" s="456">
        <v>149</v>
      </c>
      <c r="I5" s="494">
        <v>133.94</v>
      </c>
      <c r="J5" s="456">
        <v>130</v>
      </c>
      <c r="K5" s="495">
        <v>0.89261744966442957</v>
      </c>
      <c r="M5" s="503" t="s">
        <v>219</v>
      </c>
      <c r="N5" s="504">
        <v>130</v>
      </c>
      <c r="O5" s="505">
        <v>130</v>
      </c>
      <c r="Q5" s="506" t="s">
        <v>238</v>
      </c>
      <c r="R5" s="507">
        <v>5.7790000000000001E-4</v>
      </c>
      <c r="S5" s="508">
        <v>0.2025769</v>
      </c>
    </row>
    <row r="6" spans="7:19" ht="20.100000000000001" customHeight="1">
      <c r="G6" s="468"/>
      <c r="H6" s="456"/>
      <c r="I6" s="456"/>
      <c r="J6" s="456"/>
      <c r="K6" s="457"/>
      <c r="Q6" s="506"/>
      <c r="R6" s="507"/>
      <c r="S6" s="508"/>
    </row>
    <row r="7" spans="7:19" ht="20.100000000000001" customHeight="1">
      <c r="G7" s="468"/>
      <c r="H7" s="456"/>
      <c r="I7" s="456"/>
      <c r="J7" s="456"/>
      <c r="K7" s="457"/>
      <c r="Q7" s="506"/>
      <c r="R7" s="507"/>
      <c r="S7" s="508"/>
    </row>
    <row r="8" spans="7:19" ht="20.100000000000001" customHeight="1">
      <c r="G8" s="468"/>
      <c r="H8" s="456"/>
      <c r="I8" s="456"/>
      <c r="J8" s="456"/>
      <c r="K8" s="457"/>
      <c r="Q8" s="468"/>
      <c r="R8" s="456"/>
      <c r="S8" s="457"/>
    </row>
    <row r="9" spans="7:19" ht="20.100000000000001" customHeight="1">
      <c r="G9" s="468"/>
      <c r="H9" s="456"/>
      <c r="I9" s="456"/>
      <c r="J9" s="456"/>
      <c r="K9" s="457"/>
      <c r="Q9" s="468"/>
      <c r="R9" s="456"/>
      <c r="S9" s="457"/>
    </row>
    <row r="10" spans="7:19" ht="20.100000000000001" customHeight="1">
      <c r="G10" s="468"/>
      <c r="H10" s="456"/>
      <c r="I10" s="456"/>
      <c r="J10" s="456"/>
      <c r="K10" s="457"/>
      <c r="Q10" s="468"/>
      <c r="R10" s="456"/>
      <c r="S10" s="457"/>
    </row>
    <row r="11" spans="7:19" ht="20.100000000000001" customHeight="1">
      <c r="G11" s="468"/>
      <c r="H11" s="456"/>
      <c r="I11" s="456"/>
      <c r="J11" s="456"/>
      <c r="K11" s="457"/>
      <c r="Q11" s="468"/>
      <c r="R11" s="456"/>
      <c r="S11" s="457"/>
    </row>
    <row r="12" spans="7:19" ht="20.100000000000001" customHeight="1">
      <c r="G12" s="468"/>
      <c r="H12" s="456"/>
      <c r="I12" s="456"/>
      <c r="J12" s="456"/>
      <c r="K12" s="457"/>
      <c r="Q12" s="468"/>
      <c r="R12" s="456"/>
      <c r="S12" s="457"/>
    </row>
    <row r="13" spans="7:19" ht="20.100000000000001" customHeight="1">
      <c r="G13" s="468"/>
      <c r="H13" s="456"/>
      <c r="I13" s="456"/>
      <c r="J13" s="456"/>
      <c r="K13" s="457"/>
      <c r="Q13" s="468"/>
      <c r="R13" s="456"/>
      <c r="S13" s="457"/>
    </row>
    <row r="14" spans="7:19" ht="20.100000000000001" customHeight="1">
      <c r="G14" s="468"/>
      <c r="H14" s="456"/>
      <c r="I14" s="456"/>
      <c r="J14" s="456"/>
      <c r="K14" s="457"/>
      <c r="Q14" s="468"/>
      <c r="R14" s="456"/>
      <c r="S14" s="457"/>
    </row>
    <row r="15" spans="7:19" ht="20.100000000000001" customHeight="1">
      <c r="G15" s="468"/>
      <c r="H15" s="456"/>
      <c r="I15" s="456"/>
      <c r="J15" s="456"/>
      <c r="K15" s="457"/>
      <c r="Q15" s="468"/>
      <c r="R15" s="456"/>
      <c r="S15" s="457"/>
    </row>
    <row r="16" spans="7:19" ht="20.100000000000001" customHeight="1">
      <c r="G16" s="468"/>
      <c r="H16" s="456"/>
      <c r="I16" s="456"/>
      <c r="J16" s="456"/>
      <c r="K16" s="457"/>
      <c r="Q16" s="468"/>
      <c r="R16" s="456"/>
      <c r="S16" s="457"/>
    </row>
    <row r="17" spans="6:19" ht="20.100000000000001" customHeight="1">
      <c r="G17" s="468"/>
      <c r="H17" s="456"/>
      <c r="I17" s="456"/>
      <c r="J17" s="456"/>
      <c r="K17" s="457"/>
      <c r="Q17" s="468"/>
      <c r="R17" s="456"/>
      <c r="S17" s="457"/>
    </row>
    <row r="18" spans="6:19" ht="20.100000000000001" customHeight="1">
      <c r="G18" s="468"/>
      <c r="H18" s="456"/>
      <c r="I18" s="456"/>
      <c r="J18" s="456"/>
      <c r="K18" s="457"/>
      <c r="Q18" s="468"/>
      <c r="R18" s="456"/>
      <c r="S18" s="457"/>
    </row>
    <row r="19" spans="6:19" ht="20.100000000000001" customHeight="1" thickBot="1">
      <c r="G19" s="470"/>
      <c r="H19" s="405"/>
      <c r="I19" s="405"/>
      <c r="J19" s="405"/>
      <c r="K19" s="406"/>
      <c r="Q19" s="470"/>
      <c r="R19" s="405"/>
      <c r="S19" s="40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94">
        <v>133.96</v>
      </c>
      <c r="N23" s="494">
        <v>133.93</v>
      </c>
      <c r="O23" s="494">
        <v>133.94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456">
        <v>130</v>
      </c>
      <c r="N24" s="456">
        <v>130</v>
      </c>
      <c r="O24" s="456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249</v>
      </c>
      <c r="H26" s="335"/>
      <c r="I26" s="336"/>
    </row>
    <row r="27" spans="6:19" ht="15.95" customHeight="1">
      <c r="F27" s="569" t="s">
        <v>236</v>
      </c>
      <c r="G27" s="565">
        <v>149</v>
      </c>
      <c r="H27" s="509">
        <v>44.94</v>
      </c>
      <c r="I27" s="567">
        <v>133.96</v>
      </c>
    </row>
    <row r="28" spans="6:19" ht="15.95" customHeight="1">
      <c r="F28" s="570"/>
      <c r="G28" s="566"/>
      <c r="H28" s="456">
        <v>21.13</v>
      </c>
      <c r="I28" s="568"/>
      <c r="K28" s="37"/>
    </row>
    <row r="29" spans="6:19" ht="15.95" customHeight="1">
      <c r="F29" s="570" t="s">
        <v>237</v>
      </c>
      <c r="G29" s="566">
        <v>149</v>
      </c>
      <c r="H29" s="456">
        <v>41.65</v>
      </c>
      <c r="I29" s="568">
        <v>133.93</v>
      </c>
    </row>
    <row r="30" spans="6:19" ht="15.95" customHeight="1">
      <c r="F30" s="570"/>
      <c r="G30" s="566"/>
      <c r="H30" s="456">
        <v>19.59</v>
      </c>
      <c r="I30" s="568"/>
    </row>
    <row r="31" spans="6:19" ht="15.95" customHeight="1">
      <c r="F31" s="570" t="s">
        <v>238</v>
      </c>
      <c r="G31" s="566">
        <v>149</v>
      </c>
      <c r="H31" s="456">
        <v>43.25</v>
      </c>
      <c r="I31" s="568">
        <v>133.94</v>
      </c>
    </row>
    <row r="32" spans="6:19" ht="15.95" customHeight="1">
      <c r="F32" s="570"/>
      <c r="G32" s="566"/>
      <c r="H32" s="456">
        <v>20.34</v>
      </c>
      <c r="I32" s="568"/>
    </row>
    <row r="33" spans="6:9" ht="15.95" customHeight="1">
      <c r="F33" s="570"/>
      <c r="G33" s="566"/>
      <c r="H33" s="456"/>
      <c r="I33" s="568"/>
    </row>
    <row r="34" spans="6:9" ht="15.95" customHeight="1">
      <c r="F34" s="570"/>
      <c r="G34" s="566"/>
      <c r="H34" s="456"/>
      <c r="I34" s="568"/>
    </row>
    <row r="35" spans="6:9" ht="15.95" customHeight="1">
      <c r="F35" s="570"/>
      <c r="G35" s="566"/>
      <c r="H35" s="456"/>
      <c r="I35" s="568"/>
    </row>
    <row r="36" spans="6:9" ht="15.95" customHeight="1">
      <c r="F36" s="570"/>
      <c r="G36" s="566"/>
      <c r="H36" s="456"/>
      <c r="I36" s="568"/>
    </row>
    <row r="37" spans="6:9" ht="15.95" customHeight="1">
      <c r="F37" s="570"/>
      <c r="G37" s="566"/>
      <c r="H37" s="456"/>
      <c r="I37" s="568"/>
    </row>
    <row r="38" spans="6:9" ht="15.95" customHeight="1">
      <c r="F38" s="570"/>
      <c r="G38" s="566"/>
      <c r="H38" s="456"/>
      <c r="I38" s="568"/>
    </row>
    <row r="39" spans="6:9" ht="15.95" customHeight="1">
      <c r="F39" s="570"/>
      <c r="G39" s="566"/>
      <c r="H39" s="456"/>
      <c r="I39" s="568"/>
    </row>
    <row r="40" spans="6:9" ht="15.95" customHeight="1">
      <c r="F40" s="570"/>
      <c r="G40" s="566"/>
      <c r="H40" s="456"/>
      <c r="I40" s="568"/>
    </row>
    <row r="41" spans="6:9" ht="15.95" customHeight="1">
      <c r="F41" s="570"/>
      <c r="G41" s="566"/>
      <c r="H41" s="456"/>
      <c r="I41" s="568"/>
    </row>
    <row r="42" spans="6:9" ht="15.95" customHeight="1">
      <c r="F42" s="570"/>
      <c r="G42" s="566"/>
      <c r="H42" s="456"/>
      <c r="I42" s="568"/>
    </row>
    <row r="43" spans="6:9" ht="15.95" customHeight="1">
      <c r="F43" s="570"/>
      <c r="G43" s="566"/>
      <c r="H43" s="456"/>
      <c r="I43" s="568"/>
    </row>
    <row r="44" spans="6:9" ht="15.95" customHeight="1">
      <c r="F44" s="570"/>
      <c r="G44" s="566"/>
      <c r="H44" s="456"/>
      <c r="I44" s="568"/>
    </row>
    <row r="45" spans="6:9" ht="15.95" customHeight="1">
      <c r="F45" s="570"/>
      <c r="G45" s="566"/>
      <c r="H45" s="456"/>
      <c r="I45" s="568"/>
    </row>
    <row r="46" spans="6:9" ht="15.95" customHeight="1">
      <c r="F46" s="570"/>
      <c r="G46" s="566"/>
      <c r="H46" s="456"/>
      <c r="I46" s="568"/>
    </row>
    <row r="47" spans="6:9" ht="15.95" customHeight="1">
      <c r="F47" s="570"/>
      <c r="G47" s="566"/>
      <c r="H47" s="456"/>
      <c r="I47" s="568"/>
    </row>
    <row r="48" spans="6:9" ht="15.95" customHeight="1">
      <c r="F48" s="570"/>
      <c r="G48" s="566"/>
      <c r="H48" s="456"/>
      <c r="I48" s="568"/>
    </row>
    <row r="49" spans="6:9" ht="15.95" customHeight="1">
      <c r="F49" s="570"/>
      <c r="G49" s="566"/>
      <c r="H49" s="456"/>
      <c r="I49" s="568"/>
    </row>
    <row r="50" spans="6:9" ht="15.95" customHeight="1" thickBot="1">
      <c r="F50" s="571"/>
      <c r="G50" s="572"/>
      <c r="H50" s="405"/>
      <c r="I50" s="57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37" t="s">
        <v>360</v>
      </c>
      <c r="L1" s="337" t="s">
        <v>244</v>
      </c>
      <c r="S1" s="337" t="s">
        <v>245</v>
      </c>
    </row>
    <row r="2" spans="4:21" ht="36.75" customHeight="1">
      <c r="D2" s="465" t="s">
        <v>222</v>
      </c>
      <c r="E2" s="466" t="s">
        <v>219</v>
      </c>
      <c r="F2" s="466" t="s">
        <v>226</v>
      </c>
      <c r="G2" s="466" t="s">
        <v>227</v>
      </c>
      <c r="H2" s="466" t="s">
        <v>166</v>
      </c>
      <c r="I2" s="466" t="s">
        <v>228</v>
      </c>
      <c r="J2" s="467" t="s">
        <v>229</v>
      </c>
      <c r="L2" s="465" t="s">
        <v>219</v>
      </c>
      <c r="M2" s="466" t="s">
        <v>223</v>
      </c>
      <c r="N2" s="466" t="s">
        <v>224</v>
      </c>
      <c r="O2" s="466" t="s">
        <v>225</v>
      </c>
      <c r="P2" s="466" t="s">
        <v>247</v>
      </c>
      <c r="Q2" s="467" t="s">
        <v>248</v>
      </c>
      <c r="S2" s="465" t="s">
        <v>227</v>
      </c>
      <c r="T2" s="466" t="s">
        <v>230</v>
      </c>
      <c r="U2" s="467" t="s">
        <v>231</v>
      </c>
    </row>
    <row r="3" spans="4:21" ht="20.100000000000001" customHeight="1">
      <c r="D3" s="468" t="s">
        <v>236</v>
      </c>
      <c r="E3" s="456">
        <v>130</v>
      </c>
      <c r="F3" s="456">
        <v>14.3</v>
      </c>
      <c r="G3" s="456">
        <v>64.8</v>
      </c>
      <c r="H3" s="456">
        <v>50.5</v>
      </c>
      <c r="I3" s="456">
        <v>0.1</v>
      </c>
      <c r="J3" s="469">
        <v>3.9890328339016063</v>
      </c>
      <c r="K3" s="37"/>
      <c r="L3" s="468">
        <v>130</v>
      </c>
      <c r="M3" s="456">
        <v>0.1</v>
      </c>
      <c r="N3" s="456">
        <v>0.1</v>
      </c>
      <c r="O3" s="456">
        <v>485.7</v>
      </c>
      <c r="P3" s="456">
        <v>1.732</v>
      </c>
      <c r="Q3" s="457">
        <v>8.8969999999999994E-2</v>
      </c>
      <c r="S3" s="472">
        <v>64.8</v>
      </c>
      <c r="T3" s="473">
        <v>16.491080206622705</v>
      </c>
      <c r="U3" s="469">
        <v>48.308919793377292</v>
      </c>
    </row>
    <row r="4" spans="4:21" ht="20.100000000000001" customHeight="1">
      <c r="D4" s="468" t="s">
        <v>237</v>
      </c>
      <c r="E4" s="456">
        <v>130</v>
      </c>
      <c r="F4" s="456">
        <v>14.9</v>
      </c>
      <c r="G4" s="456">
        <v>61.7</v>
      </c>
      <c r="H4" s="456">
        <v>46.800000000000004</v>
      </c>
      <c r="I4" s="456">
        <v>0.1</v>
      </c>
      <c r="J4" s="469">
        <v>3.7991159487113451</v>
      </c>
      <c r="K4" s="37"/>
      <c r="L4" s="468">
        <v>130</v>
      </c>
      <c r="M4" s="456">
        <v>0.1</v>
      </c>
      <c r="N4" s="456">
        <v>0.1</v>
      </c>
      <c r="O4" s="456">
        <v>235.1</v>
      </c>
      <c r="P4" s="456">
        <v>1.877</v>
      </c>
      <c r="Q4" s="457">
        <v>9.2749999999999999E-2</v>
      </c>
      <c r="S4" s="472">
        <v>61.7</v>
      </c>
      <c r="T4" s="473">
        <v>17.057988721779331</v>
      </c>
      <c r="U4" s="469">
        <v>44.642011278220671</v>
      </c>
    </row>
    <row r="5" spans="4:21" ht="20.100000000000001" customHeight="1">
      <c r="D5" s="468" t="s">
        <v>238</v>
      </c>
      <c r="E5" s="456">
        <v>130</v>
      </c>
      <c r="F5" s="456">
        <v>13.8</v>
      </c>
      <c r="G5" s="456">
        <v>62.4</v>
      </c>
      <c r="H5" s="456">
        <v>48.599999999999994</v>
      </c>
      <c r="I5" s="456">
        <v>0.1</v>
      </c>
      <c r="J5" s="469">
        <v>3.8914763181450334</v>
      </c>
      <c r="K5" s="37"/>
      <c r="L5" s="468">
        <v>130</v>
      </c>
      <c r="M5" s="456">
        <v>0.1</v>
      </c>
      <c r="N5" s="456">
        <v>0.1</v>
      </c>
      <c r="O5" s="456">
        <v>236.2</v>
      </c>
      <c r="P5" s="456">
        <v>1.8029999999999999</v>
      </c>
      <c r="Q5" s="457">
        <v>9.0880000000000002E-2</v>
      </c>
      <c r="S5" s="472">
        <v>62.4</v>
      </c>
      <c r="T5" s="473">
        <v>15.974338991033088</v>
      </c>
      <c r="U5" s="469">
        <v>46.425661008966912</v>
      </c>
    </row>
    <row r="6" spans="4:21" ht="20.100000000000001" customHeight="1">
      <c r="D6" s="468"/>
      <c r="E6" s="456"/>
      <c r="F6" s="456"/>
      <c r="G6" s="456"/>
      <c r="H6" s="456"/>
      <c r="I6" s="456"/>
      <c r="J6" s="469"/>
      <c r="K6" s="37"/>
      <c r="L6" s="468"/>
      <c r="M6" s="456"/>
      <c r="N6" s="456"/>
      <c r="O6" s="456"/>
      <c r="P6" s="456"/>
      <c r="Q6" s="457"/>
      <c r="S6" s="472"/>
      <c r="T6" s="473"/>
      <c r="U6" s="469"/>
    </row>
    <row r="7" spans="4:21" ht="20.100000000000001" customHeight="1">
      <c r="D7" s="468"/>
      <c r="E7" s="456"/>
      <c r="F7" s="456"/>
      <c r="G7" s="456"/>
      <c r="H7" s="456"/>
      <c r="I7" s="456"/>
      <c r="J7" s="469"/>
      <c r="K7" s="37"/>
      <c r="L7" s="468"/>
      <c r="M7" s="456"/>
      <c r="N7" s="456"/>
      <c r="O7" s="456"/>
      <c r="P7" s="456"/>
      <c r="Q7" s="457"/>
      <c r="S7" s="472"/>
      <c r="T7" s="473"/>
      <c r="U7" s="469"/>
    </row>
    <row r="8" spans="4:21" ht="20.100000000000001" customHeight="1">
      <c r="D8" s="468"/>
      <c r="E8" s="456"/>
      <c r="F8" s="456"/>
      <c r="G8" s="456"/>
      <c r="H8" s="456"/>
      <c r="I8" s="456"/>
      <c r="J8" s="469"/>
      <c r="K8" s="37"/>
      <c r="L8" s="468"/>
      <c r="M8" s="456"/>
      <c r="N8" s="456"/>
      <c r="O8" s="456"/>
      <c r="P8" s="456"/>
      <c r="Q8" s="457"/>
      <c r="S8" s="468"/>
      <c r="T8" s="473"/>
      <c r="U8" s="469"/>
    </row>
    <row r="9" spans="4:21" ht="20.100000000000001" customHeight="1">
      <c r="D9" s="468"/>
      <c r="E9" s="456"/>
      <c r="F9" s="456"/>
      <c r="G9" s="456"/>
      <c r="H9" s="456"/>
      <c r="I9" s="456"/>
      <c r="J9" s="469"/>
      <c r="K9" s="37"/>
      <c r="L9" s="468"/>
      <c r="M9" s="456"/>
      <c r="N9" s="456"/>
      <c r="O9" s="456"/>
      <c r="P9" s="456"/>
      <c r="Q9" s="457"/>
      <c r="S9" s="468"/>
      <c r="T9" s="473"/>
      <c r="U9" s="469"/>
    </row>
    <row r="10" spans="4:21" ht="20.100000000000001" customHeight="1">
      <c r="D10" s="468"/>
      <c r="E10" s="456"/>
      <c r="F10" s="456"/>
      <c r="G10" s="456"/>
      <c r="H10" s="456"/>
      <c r="I10" s="456"/>
      <c r="J10" s="469"/>
      <c r="K10" s="37"/>
      <c r="L10" s="468"/>
      <c r="M10" s="456"/>
      <c r="N10" s="456"/>
      <c r="O10" s="456"/>
      <c r="P10" s="456"/>
      <c r="Q10" s="457"/>
      <c r="S10" s="468"/>
      <c r="T10" s="473"/>
      <c r="U10" s="469"/>
    </row>
    <row r="11" spans="4:21" ht="20.100000000000001" customHeight="1">
      <c r="D11" s="468"/>
      <c r="E11" s="456"/>
      <c r="F11" s="456"/>
      <c r="G11" s="456"/>
      <c r="H11" s="456"/>
      <c r="I11" s="456"/>
      <c r="J11" s="469"/>
      <c r="K11" s="37"/>
      <c r="L11" s="468"/>
      <c r="M11" s="456"/>
      <c r="N11" s="456"/>
      <c r="O11" s="456"/>
      <c r="P11" s="456"/>
      <c r="Q11" s="457"/>
      <c r="S11" s="468"/>
      <c r="T11" s="473"/>
      <c r="U11" s="469"/>
    </row>
    <row r="12" spans="4:21" ht="20.100000000000001" customHeight="1">
      <c r="D12" s="468"/>
      <c r="E12" s="456"/>
      <c r="F12" s="456"/>
      <c r="G12" s="456"/>
      <c r="H12" s="456"/>
      <c r="I12" s="456"/>
      <c r="J12" s="469"/>
      <c r="K12" s="37"/>
      <c r="L12" s="468"/>
      <c r="M12" s="456"/>
      <c r="N12" s="456"/>
      <c r="O12" s="456"/>
      <c r="P12" s="456"/>
      <c r="Q12" s="457"/>
      <c r="S12" s="468"/>
      <c r="T12" s="473"/>
      <c r="U12" s="469"/>
    </row>
    <row r="13" spans="4:21" ht="20.100000000000001" customHeight="1">
      <c r="D13" s="468"/>
      <c r="E13" s="456"/>
      <c r="F13" s="456"/>
      <c r="G13" s="456"/>
      <c r="H13" s="456"/>
      <c r="I13" s="456"/>
      <c r="J13" s="469"/>
      <c r="K13" s="37"/>
      <c r="L13" s="468"/>
      <c r="M13" s="456"/>
      <c r="N13" s="456"/>
      <c r="O13" s="456"/>
      <c r="P13" s="456"/>
      <c r="Q13" s="457"/>
      <c r="S13" s="468"/>
      <c r="T13" s="473"/>
      <c r="U13" s="469"/>
    </row>
    <row r="14" spans="4:21" ht="20.100000000000001" customHeight="1">
      <c r="D14" s="468"/>
      <c r="E14" s="456"/>
      <c r="F14" s="456"/>
      <c r="G14" s="456"/>
      <c r="H14" s="456"/>
      <c r="I14" s="456"/>
      <c r="J14" s="469"/>
      <c r="K14" s="37"/>
      <c r="L14" s="468"/>
      <c r="M14" s="456"/>
      <c r="N14" s="456"/>
      <c r="O14" s="456"/>
      <c r="P14" s="456"/>
      <c r="Q14" s="457"/>
      <c r="S14" s="468"/>
      <c r="T14" s="473"/>
      <c r="U14" s="469"/>
    </row>
    <row r="15" spans="4:21" ht="20.100000000000001" customHeight="1">
      <c r="D15" s="468"/>
      <c r="E15" s="456"/>
      <c r="F15" s="456"/>
      <c r="G15" s="456"/>
      <c r="H15" s="456"/>
      <c r="I15" s="456"/>
      <c r="J15" s="469"/>
      <c r="K15" s="37"/>
      <c r="L15" s="468"/>
      <c r="M15" s="456"/>
      <c r="N15" s="456"/>
      <c r="O15" s="456"/>
      <c r="P15" s="456"/>
      <c r="Q15" s="457"/>
      <c r="S15" s="468"/>
      <c r="T15" s="473"/>
      <c r="U15" s="469"/>
    </row>
    <row r="16" spans="4:21" ht="20.100000000000001" customHeight="1" thickBot="1">
      <c r="D16" s="470"/>
      <c r="E16" s="405"/>
      <c r="F16" s="405"/>
      <c r="G16" s="405"/>
      <c r="H16" s="405"/>
      <c r="I16" s="405"/>
      <c r="J16" s="471"/>
      <c r="K16" s="37"/>
      <c r="L16" s="470"/>
      <c r="M16" s="405"/>
      <c r="N16" s="405"/>
      <c r="O16" s="405"/>
      <c r="P16" s="405"/>
      <c r="Q16" s="406"/>
      <c r="S16" s="470"/>
      <c r="T16" s="474"/>
      <c r="U16" s="471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261</v>
      </c>
      <c r="F20" s="337"/>
      <c r="H20" s="342"/>
      <c r="T20" s="343"/>
      <c r="U20" s="343"/>
    </row>
    <row r="21" spans="3:21" s="52" customFormat="1" ht="36" customHeight="1">
      <c r="D21" s="475" t="s">
        <v>298</v>
      </c>
      <c r="E21" s="476" t="s">
        <v>236</v>
      </c>
      <c r="F21" s="477" t="s">
        <v>237</v>
      </c>
      <c r="G21" s="476" t="s">
        <v>238</v>
      </c>
      <c r="H21" s="478"/>
      <c r="I21" s="476"/>
      <c r="J21" s="476"/>
      <c r="K21" s="476"/>
      <c r="L21" s="476"/>
      <c r="M21" s="476"/>
      <c r="N21" s="476"/>
      <c r="O21" s="476"/>
      <c r="P21" s="479"/>
      <c r="Q21" s="53"/>
      <c r="S21" s="53"/>
      <c r="T21" s="345"/>
      <c r="U21" s="345"/>
    </row>
    <row r="22" spans="3:21" s="37" customFormat="1" ht="23.1" customHeight="1">
      <c r="D22" s="510" t="s">
        <v>265</v>
      </c>
      <c r="E22" s="463">
        <v>1.5549999999999999</v>
      </c>
      <c r="F22" s="463">
        <v>1.6819999999999999</v>
      </c>
      <c r="G22" s="463">
        <v>1.534</v>
      </c>
      <c r="H22" s="456"/>
      <c r="I22" s="456"/>
      <c r="J22" s="480"/>
      <c r="K22" s="480"/>
      <c r="L22" s="480"/>
      <c r="M22" s="480"/>
      <c r="N22" s="480"/>
      <c r="O22" s="480"/>
      <c r="P22" s="481"/>
      <c r="T22" s="338"/>
      <c r="U22" s="338"/>
    </row>
    <row r="23" spans="3:21" s="37" customFormat="1" ht="23.1" customHeight="1">
      <c r="D23" s="510" t="s">
        <v>242</v>
      </c>
      <c r="E23" s="463">
        <v>3.3800000000000002E-3</v>
      </c>
      <c r="F23" s="463">
        <v>7.5599999999999999E-3</v>
      </c>
      <c r="G23" s="463">
        <v>7.0600000000000003E-3</v>
      </c>
      <c r="H23" s="456"/>
      <c r="I23" s="456"/>
      <c r="J23" s="480"/>
      <c r="K23" s="480"/>
      <c r="L23" s="480"/>
      <c r="M23" s="480"/>
      <c r="N23" s="480"/>
      <c r="O23" s="480"/>
      <c r="P23" s="481"/>
      <c r="T23" s="338"/>
      <c r="U23" s="338"/>
    </row>
    <row r="24" spans="3:21" s="37" customFormat="1" ht="23.1" customHeight="1">
      <c r="D24" s="510" t="s">
        <v>243</v>
      </c>
      <c r="E24" s="456">
        <v>3.2289999999999999E-4</v>
      </c>
      <c r="F24" s="456">
        <v>3.1720000000000001E-4</v>
      </c>
      <c r="G24" s="456">
        <v>3.2009999999999997E-4</v>
      </c>
      <c r="H24" s="456"/>
      <c r="I24" s="456"/>
      <c r="J24" s="480"/>
      <c r="K24" s="480"/>
      <c r="L24" s="480"/>
      <c r="M24" s="480"/>
      <c r="N24" s="480"/>
      <c r="O24" s="480"/>
      <c r="P24" s="481"/>
      <c r="T24" s="338"/>
      <c r="U24" s="338"/>
    </row>
    <row r="25" spans="3:21" s="37" customFormat="1" ht="23.1" customHeight="1">
      <c r="D25" s="510" t="s">
        <v>264</v>
      </c>
      <c r="E25" s="456">
        <v>0.58330000000000004</v>
      </c>
      <c r="F25" s="456">
        <v>0.58330000000000004</v>
      </c>
      <c r="G25" s="456">
        <v>0.58330000000000004</v>
      </c>
      <c r="H25" s="456"/>
      <c r="I25" s="456"/>
      <c r="J25" s="480"/>
      <c r="K25" s="480"/>
      <c r="L25" s="480"/>
      <c r="M25" s="480"/>
      <c r="N25" s="480"/>
      <c r="O25" s="480"/>
      <c r="P25" s="481"/>
      <c r="T25" s="338"/>
      <c r="U25" s="338"/>
    </row>
    <row r="26" spans="3:21" s="37" customFormat="1" ht="23.1" customHeight="1">
      <c r="D26" s="510" t="s">
        <v>263</v>
      </c>
      <c r="E26" s="456">
        <v>50.5</v>
      </c>
      <c r="F26" s="456">
        <v>46.800000000000004</v>
      </c>
      <c r="G26" s="456">
        <v>48.599999999999994</v>
      </c>
      <c r="H26" s="456"/>
      <c r="I26" s="456"/>
      <c r="J26" s="480"/>
      <c r="K26" s="480"/>
      <c r="L26" s="480"/>
      <c r="M26" s="480"/>
      <c r="N26" s="480"/>
      <c r="O26" s="480"/>
      <c r="P26" s="481"/>
      <c r="T26" s="338"/>
      <c r="U26" s="338"/>
    </row>
    <row r="27" spans="3:21" s="37" customFormat="1" ht="23.1" customHeight="1" thickBot="1">
      <c r="D27" s="511" t="s">
        <v>262</v>
      </c>
      <c r="E27" s="405">
        <v>485.7</v>
      </c>
      <c r="F27" s="405">
        <v>235.1</v>
      </c>
      <c r="G27" s="405">
        <v>236.2</v>
      </c>
      <c r="H27" s="405"/>
      <c r="I27" s="405"/>
      <c r="J27" s="482"/>
      <c r="K27" s="482"/>
      <c r="L27" s="482"/>
      <c r="M27" s="482"/>
      <c r="N27" s="482"/>
      <c r="O27" s="482"/>
      <c r="P27" s="483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53" t="s">
        <v>394</v>
      </c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84" t="s">
        <v>222</v>
      </c>
      <c r="D31" s="485" t="s">
        <v>246</v>
      </c>
      <c r="E31" s="485" t="s">
        <v>303</v>
      </c>
      <c r="F31" s="486" t="s">
        <v>304</v>
      </c>
      <c r="H31" s="484" t="s">
        <v>269</v>
      </c>
      <c r="I31" s="485" t="s">
        <v>270</v>
      </c>
      <c r="J31" s="489" t="s">
        <v>271</v>
      </c>
      <c r="K31" s="485" t="s">
        <v>272</v>
      </c>
      <c r="L31" s="485" t="s">
        <v>273</v>
      </c>
      <c r="M31" s="486" t="s">
        <v>274</v>
      </c>
      <c r="O31" s="453" t="s">
        <v>315</v>
      </c>
      <c r="P31" s="454" t="s">
        <v>316</v>
      </c>
      <c r="Q31" s="455" t="s">
        <v>317</v>
      </c>
    </row>
    <row r="32" spans="3:21" ht="20.100000000000001" customHeight="1">
      <c r="C32" s="574" t="s">
        <v>236</v>
      </c>
      <c r="D32" s="487" t="s">
        <v>281</v>
      </c>
      <c r="E32" s="463">
        <v>1.732</v>
      </c>
      <c r="F32" s="457">
        <v>3.2289999999999999E-4</v>
      </c>
      <c r="G32" s="37"/>
      <c r="H32" s="361" t="s">
        <v>236</v>
      </c>
      <c r="I32" s="494">
        <v>43</v>
      </c>
      <c r="J32" s="494">
        <v>52.7</v>
      </c>
      <c r="K32" s="494">
        <v>81.7</v>
      </c>
      <c r="L32" s="456">
        <v>59.1</v>
      </c>
      <c r="M32" s="457">
        <v>81.7</v>
      </c>
      <c r="N32" s="37"/>
      <c r="O32" s="361" t="s">
        <v>236</v>
      </c>
      <c r="P32" s="463">
        <v>-2.8094999999999999</v>
      </c>
      <c r="Q32" s="464">
        <v>1.66</v>
      </c>
    </row>
    <row r="33" spans="3:17" ht="20.100000000000001" customHeight="1">
      <c r="C33" s="574"/>
      <c r="D33" s="487" t="s">
        <v>282</v>
      </c>
      <c r="E33" s="463">
        <v>1.5549999999999999</v>
      </c>
      <c r="F33" s="457"/>
      <c r="G33" s="37"/>
      <c r="H33" s="361" t="s">
        <v>237</v>
      </c>
      <c r="I33" s="494">
        <v>62.5</v>
      </c>
      <c r="J33" s="494">
        <v>76.5</v>
      </c>
      <c r="K33" s="494">
        <v>85.8</v>
      </c>
      <c r="L33" s="456">
        <v>74.900000000000006</v>
      </c>
      <c r="M33" s="457">
        <v>85.8</v>
      </c>
      <c r="N33" s="37"/>
      <c r="O33" s="361" t="s">
        <v>237</v>
      </c>
      <c r="P33" s="463">
        <v>-2.8389000000000002</v>
      </c>
      <c r="Q33" s="464">
        <v>1.71</v>
      </c>
    </row>
    <row r="34" spans="3:17" ht="20.100000000000001" customHeight="1">
      <c r="C34" s="574"/>
      <c r="D34" s="487" t="s">
        <v>283</v>
      </c>
      <c r="E34" s="463">
        <v>1.6435</v>
      </c>
      <c r="F34" s="457">
        <v>3.2289999999999999E-4</v>
      </c>
      <c r="G34" s="37"/>
      <c r="H34" s="361" t="s">
        <v>238</v>
      </c>
      <c r="I34" s="494">
        <v>61.2</v>
      </c>
      <c r="J34" s="494">
        <v>75</v>
      </c>
      <c r="K34" s="494">
        <v>82.7</v>
      </c>
      <c r="L34" s="456">
        <v>73</v>
      </c>
      <c r="M34" s="457">
        <v>82.7</v>
      </c>
      <c r="N34" s="37"/>
      <c r="O34" s="361" t="s">
        <v>238</v>
      </c>
      <c r="P34" s="463">
        <v>-2.8243999999999998</v>
      </c>
      <c r="Q34" s="464">
        <v>1.6850000000000001</v>
      </c>
    </row>
    <row r="35" spans="3:17" ht="20.100000000000001" customHeight="1">
      <c r="C35" s="574" t="s">
        <v>237</v>
      </c>
      <c r="D35" s="487" t="s">
        <v>281</v>
      </c>
      <c r="E35" s="463">
        <v>1.877</v>
      </c>
      <c r="F35" s="457">
        <v>3.1720000000000001E-4</v>
      </c>
      <c r="G35" s="37"/>
      <c r="H35" s="361"/>
      <c r="I35" s="456"/>
      <c r="J35" s="473"/>
      <c r="K35" s="456"/>
      <c r="L35" s="456"/>
      <c r="M35" s="457"/>
      <c r="N35" s="37"/>
      <c r="O35" s="361"/>
      <c r="P35" s="456"/>
      <c r="Q35" s="457"/>
    </row>
    <row r="36" spans="3:17" ht="20.100000000000001" customHeight="1">
      <c r="C36" s="574"/>
      <c r="D36" s="487" t="s">
        <v>282</v>
      </c>
      <c r="E36" s="463">
        <v>1.6819999999999999</v>
      </c>
      <c r="F36" s="457"/>
      <c r="G36" s="37"/>
      <c r="H36" s="361"/>
      <c r="I36" s="456"/>
      <c r="J36" s="456"/>
      <c r="K36" s="456"/>
      <c r="L36" s="456"/>
      <c r="M36" s="457"/>
      <c r="N36" s="37"/>
      <c r="O36" s="361"/>
      <c r="P36" s="456"/>
      <c r="Q36" s="457"/>
    </row>
    <row r="37" spans="3:17" ht="20.100000000000001" customHeight="1">
      <c r="C37" s="574"/>
      <c r="D37" s="487" t="s">
        <v>283</v>
      </c>
      <c r="E37" s="463">
        <v>1.7795000000000001</v>
      </c>
      <c r="F37" s="457">
        <v>3.1720000000000001E-4</v>
      </c>
      <c r="G37" s="37"/>
      <c r="H37" s="361"/>
      <c r="I37" s="456"/>
      <c r="J37" s="456"/>
      <c r="K37" s="456"/>
      <c r="L37" s="456"/>
      <c r="M37" s="457"/>
      <c r="N37" s="37"/>
      <c r="O37" s="361"/>
      <c r="P37" s="456"/>
      <c r="Q37" s="457"/>
    </row>
    <row r="38" spans="3:17" ht="20.100000000000001" customHeight="1">
      <c r="C38" s="574" t="s">
        <v>238</v>
      </c>
      <c r="D38" s="487" t="s">
        <v>281</v>
      </c>
      <c r="E38" s="463">
        <v>1.8029999999999999</v>
      </c>
      <c r="F38" s="457">
        <v>3.2009999999999997E-4</v>
      </c>
      <c r="G38" s="37"/>
      <c r="H38" s="361"/>
      <c r="I38" s="456"/>
      <c r="J38" s="456"/>
      <c r="K38" s="456"/>
      <c r="L38" s="456"/>
      <c r="M38" s="457"/>
      <c r="N38" s="37"/>
      <c r="O38" s="361"/>
      <c r="P38" s="456"/>
      <c r="Q38" s="457"/>
    </row>
    <row r="39" spans="3:17" ht="20.100000000000001" customHeight="1">
      <c r="C39" s="574"/>
      <c r="D39" s="487" t="s">
        <v>282</v>
      </c>
      <c r="E39" s="463">
        <v>1.534</v>
      </c>
      <c r="F39" s="457"/>
      <c r="G39" s="37"/>
      <c r="H39" s="361"/>
      <c r="I39" s="456"/>
      <c r="J39" s="456"/>
      <c r="K39" s="456"/>
      <c r="L39" s="456"/>
      <c r="M39" s="457"/>
      <c r="N39" s="37"/>
      <c r="O39" s="361"/>
      <c r="P39" s="456"/>
      <c r="Q39" s="457"/>
    </row>
    <row r="40" spans="3:17" ht="20.100000000000001" customHeight="1">
      <c r="C40" s="574"/>
      <c r="D40" s="487" t="s">
        <v>283</v>
      </c>
      <c r="E40" s="463">
        <v>1.6684999999999999</v>
      </c>
      <c r="F40" s="457">
        <v>3.2009999999999997E-4</v>
      </c>
      <c r="G40" s="37"/>
      <c r="H40" s="361"/>
      <c r="I40" s="456"/>
      <c r="J40" s="456"/>
      <c r="K40" s="456"/>
      <c r="L40" s="456"/>
      <c r="M40" s="457"/>
      <c r="N40" s="37"/>
      <c r="O40" s="361"/>
      <c r="P40" s="456"/>
      <c r="Q40" s="457"/>
    </row>
    <row r="41" spans="3:17" ht="20.100000000000001" customHeight="1">
      <c r="C41" s="574"/>
      <c r="D41" s="487"/>
      <c r="E41" s="456"/>
      <c r="F41" s="457"/>
      <c r="G41" s="37"/>
      <c r="H41" s="361"/>
      <c r="I41" s="456"/>
      <c r="J41" s="456"/>
      <c r="K41" s="456"/>
      <c r="L41" s="456"/>
      <c r="M41" s="457"/>
      <c r="N41" s="37"/>
      <c r="O41" s="361"/>
      <c r="P41" s="456"/>
      <c r="Q41" s="457"/>
    </row>
    <row r="42" spans="3:17" ht="20.100000000000001" customHeight="1">
      <c r="C42" s="574"/>
      <c r="D42" s="487"/>
      <c r="E42" s="456"/>
      <c r="F42" s="457"/>
      <c r="G42" s="37"/>
      <c r="H42" s="361"/>
      <c r="I42" s="456"/>
      <c r="J42" s="456"/>
      <c r="K42" s="456"/>
      <c r="L42" s="456"/>
      <c r="M42" s="457"/>
      <c r="N42" s="37"/>
      <c r="O42" s="361"/>
      <c r="P42" s="456"/>
      <c r="Q42" s="457"/>
    </row>
    <row r="43" spans="3:17" ht="20.100000000000001" customHeight="1">
      <c r="C43" s="574"/>
      <c r="D43" s="487"/>
      <c r="E43" s="456"/>
      <c r="F43" s="457"/>
      <c r="G43" s="37"/>
      <c r="H43" s="361"/>
      <c r="I43" s="456"/>
      <c r="J43" s="456"/>
      <c r="K43" s="456"/>
      <c r="L43" s="456"/>
      <c r="M43" s="457"/>
      <c r="N43" s="37"/>
      <c r="O43" s="361"/>
      <c r="P43" s="456"/>
      <c r="Q43" s="457"/>
    </row>
    <row r="44" spans="3:17" ht="20.100000000000001" customHeight="1">
      <c r="C44" s="574"/>
      <c r="D44" s="487"/>
      <c r="E44" s="456"/>
      <c r="F44" s="457"/>
      <c r="G44" s="37"/>
      <c r="H44" s="361"/>
      <c r="I44" s="456"/>
      <c r="J44" s="456"/>
      <c r="K44" s="456"/>
      <c r="L44" s="456"/>
      <c r="M44" s="457"/>
      <c r="N44" s="37"/>
      <c r="O44" s="361"/>
      <c r="P44" s="456"/>
      <c r="Q44" s="457"/>
    </row>
    <row r="45" spans="3:17" ht="20.100000000000001" customHeight="1" thickBot="1">
      <c r="C45" s="574"/>
      <c r="D45" s="487"/>
      <c r="E45" s="456"/>
      <c r="F45" s="457"/>
      <c r="G45" s="37"/>
      <c r="H45" s="362"/>
      <c r="I45" s="405"/>
      <c r="J45" s="405"/>
      <c r="K45" s="405"/>
      <c r="L45" s="405"/>
      <c r="M45" s="406"/>
      <c r="N45" s="37"/>
      <c r="O45" s="362"/>
      <c r="P45" s="405"/>
      <c r="Q45" s="406"/>
    </row>
    <row r="46" spans="3:17" ht="20.100000000000001" customHeight="1">
      <c r="C46" s="574"/>
      <c r="D46" s="487"/>
      <c r="E46" s="456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74"/>
      <c r="D47" s="487"/>
      <c r="E47" s="456"/>
      <c r="F47" s="457"/>
    </row>
    <row r="48" spans="3:17" ht="20.100000000000001" customHeight="1">
      <c r="C48" s="574"/>
      <c r="D48" s="487"/>
      <c r="E48" s="456"/>
      <c r="F48" s="457"/>
    </row>
    <row r="49" spans="3:6" ht="20.100000000000001" customHeight="1">
      <c r="C49" s="574"/>
      <c r="D49" s="487"/>
      <c r="E49" s="456"/>
      <c r="F49" s="457"/>
    </row>
    <row r="50" spans="3:6" ht="20.100000000000001" customHeight="1">
      <c r="C50" s="574"/>
      <c r="D50" s="487"/>
      <c r="E50" s="456"/>
      <c r="F50" s="457"/>
    </row>
    <row r="51" spans="3:6" ht="20.100000000000001" customHeight="1">
      <c r="C51" s="574"/>
      <c r="D51" s="487"/>
      <c r="E51" s="456"/>
      <c r="F51" s="457"/>
    </row>
    <row r="52" spans="3:6" ht="20.100000000000001" customHeight="1">
      <c r="C52" s="574"/>
      <c r="D52" s="487"/>
      <c r="E52" s="456"/>
      <c r="F52" s="457"/>
    </row>
    <row r="53" spans="3:6" ht="20.100000000000001" customHeight="1">
      <c r="C53" s="574"/>
      <c r="D53" s="487"/>
      <c r="E53" s="456"/>
      <c r="F53" s="457"/>
    </row>
    <row r="54" spans="3:6" ht="20.100000000000001" customHeight="1">
      <c r="C54" s="574"/>
      <c r="D54" s="487"/>
      <c r="E54" s="456"/>
      <c r="F54" s="457"/>
    </row>
    <row r="55" spans="3:6" ht="20.100000000000001" customHeight="1">
      <c r="C55" s="574"/>
      <c r="D55" s="487"/>
      <c r="E55" s="456"/>
      <c r="F55" s="457"/>
    </row>
    <row r="56" spans="3:6" ht="20.100000000000001" customHeight="1">
      <c r="C56" s="574"/>
      <c r="D56" s="487"/>
      <c r="E56" s="456"/>
      <c r="F56" s="457"/>
    </row>
    <row r="57" spans="3:6" ht="20.100000000000001" customHeight="1">
      <c r="C57" s="574"/>
      <c r="D57" s="487"/>
      <c r="E57" s="456"/>
      <c r="F57" s="457"/>
    </row>
    <row r="58" spans="3:6" ht="20.100000000000001" customHeight="1">
      <c r="C58" s="574"/>
      <c r="D58" s="487"/>
      <c r="E58" s="456"/>
      <c r="F58" s="457"/>
    </row>
    <row r="59" spans="3:6" ht="20.100000000000001" customHeight="1">
      <c r="C59" s="574"/>
      <c r="D59" s="487"/>
      <c r="E59" s="456"/>
      <c r="F59" s="457"/>
    </row>
    <row r="60" spans="3:6" ht="20.100000000000001" customHeight="1">
      <c r="C60" s="574"/>
      <c r="D60" s="487"/>
      <c r="E60" s="456"/>
      <c r="F60" s="457"/>
    </row>
    <row r="61" spans="3:6" ht="20.100000000000001" customHeight="1">
      <c r="C61" s="574"/>
      <c r="D61" s="487"/>
      <c r="E61" s="456"/>
      <c r="F61" s="457"/>
    </row>
    <row r="62" spans="3:6" ht="20.100000000000001" customHeight="1">
      <c r="C62" s="574"/>
      <c r="D62" s="487"/>
      <c r="E62" s="456"/>
      <c r="F62" s="457"/>
    </row>
    <row r="63" spans="3:6" ht="20.100000000000001" customHeight="1">
      <c r="C63" s="574"/>
      <c r="D63" s="487"/>
      <c r="E63" s="456"/>
      <c r="F63" s="457"/>
    </row>
    <row r="64" spans="3:6" ht="20.100000000000001" customHeight="1">
      <c r="C64" s="574"/>
      <c r="D64" s="487"/>
      <c r="E64" s="456"/>
      <c r="F64" s="457"/>
    </row>
    <row r="65" spans="3:6" ht="20.100000000000001" customHeight="1">
      <c r="C65" s="574"/>
      <c r="D65" s="487"/>
      <c r="E65" s="456"/>
      <c r="F65" s="457"/>
    </row>
    <row r="66" spans="3:6" ht="20.100000000000001" customHeight="1">
      <c r="C66" s="574"/>
      <c r="D66" s="487"/>
      <c r="E66" s="456"/>
      <c r="F66" s="457"/>
    </row>
    <row r="67" spans="3:6" ht="20.100000000000001" customHeight="1" thickBot="1">
      <c r="C67" s="575"/>
      <c r="D67" s="488"/>
      <c r="E67" s="405"/>
      <c r="F67" s="40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260</v>
      </c>
    </row>
    <row r="3" spans="3:15" s="53" customFormat="1" ht="28.5" customHeight="1">
      <c r="C3" s="484" t="s">
        <v>222</v>
      </c>
      <c r="D3" s="485" t="s">
        <v>250</v>
      </c>
      <c r="E3" s="485" t="s">
        <v>219</v>
      </c>
      <c r="F3" s="485" t="s">
        <v>251</v>
      </c>
      <c r="G3" s="485" t="s">
        <v>255</v>
      </c>
      <c r="H3" s="485" t="s">
        <v>257</v>
      </c>
      <c r="I3" s="485" t="s">
        <v>225</v>
      </c>
      <c r="J3" s="485" t="s">
        <v>258</v>
      </c>
      <c r="K3" s="485" t="s">
        <v>121</v>
      </c>
      <c r="L3" s="485" t="s">
        <v>256</v>
      </c>
      <c r="M3" s="485" t="s">
        <v>252</v>
      </c>
      <c r="N3" s="485" t="s">
        <v>253</v>
      </c>
      <c r="O3" s="486" t="s">
        <v>254</v>
      </c>
    </row>
    <row r="4" spans="3:15" ht="20.100000000000001" customHeight="1">
      <c r="C4" s="458" t="s">
        <v>236</v>
      </c>
      <c r="D4" s="582" t="s">
        <v>299</v>
      </c>
      <c r="E4" s="459">
        <v>143</v>
      </c>
      <c r="F4" s="459">
        <v>1.6435</v>
      </c>
      <c r="G4" s="576">
        <v>1.6972</v>
      </c>
      <c r="H4" s="582">
        <v>0.03</v>
      </c>
      <c r="I4" s="459">
        <v>485.7</v>
      </c>
      <c r="J4" s="604">
        <v>319</v>
      </c>
      <c r="K4" s="459">
        <v>194</v>
      </c>
      <c r="L4" s="604">
        <v>196.7</v>
      </c>
      <c r="M4" s="459">
        <v>2.53E-2</v>
      </c>
      <c r="N4" s="576">
        <v>2.2700000000000001E-2</v>
      </c>
      <c r="O4" s="579" t="s">
        <v>259</v>
      </c>
    </row>
    <row r="5" spans="3:15" ht="20.100000000000001" customHeight="1">
      <c r="C5" s="458" t="s">
        <v>237</v>
      </c>
      <c r="D5" s="583"/>
      <c r="E5" s="459">
        <v>143</v>
      </c>
      <c r="F5" s="459">
        <v>1.7795000000000001</v>
      </c>
      <c r="G5" s="577"/>
      <c r="H5" s="583"/>
      <c r="I5" s="459">
        <v>235.1</v>
      </c>
      <c r="J5" s="605"/>
      <c r="K5" s="459">
        <v>200</v>
      </c>
      <c r="L5" s="605"/>
      <c r="M5" s="459">
        <v>1.8100000000000002E-2</v>
      </c>
      <c r="N5" s="577"/>
      <c r="O5" s="580"/>
    </row>
    <row r="6" spans="3:15" ht="20.100000000000001" customHeight="1">
      <c r="C6" s="458" t="s">
        <v>238</v>
      </c>
      <c r="D6" s="584"/>
      <c r="E6" s="459">
        <v>143</v>
      </c>
      <c r="F6" s="459">
        <v>1.6684999999999999</v>
      </c>
      <c r="G6" s="578"/>
      <c r="H6" s="584"/>
      <c r="I6" s="459">
        <v>236.2</v>
      </c>
      <c r="J6" s="606"/>
      <c r="K6" s="459">
        <v>196</v>
      </c>
      <c r="L6" s="606"/>
      <c r="M6" s="459">
        <v>2.47E-2</v>
      </c>
      <c r="N6" s="578"/>
      <c r="O6" s="581"/>
    </row>
    <row r="7" spans="3:15" ht="20.100000000000001" customHeight="1">
      <c r="C7" s="458"/>
      <c r="D7" s="512"/>
      <c r="E7" s="459"/>
      <c r="F7" s="459"/>
      <c r="G7" s="512"/>
      <c r="H7" s="512"/>
      <c r="I7" s="459"/>
      <c r="J7" s="512"/>
      <c r="K7" s="459"/>
      <c r="L7" s="512"/>
      <c r="M7" s="459"/>
      <c r="N7" s="513"/>
      <c r="O7" s="514"/>
    </row>
    <row r="8" spans="3:15" ht="20.100000000000001" customHeight="1">
      <c r="C8" s="458"/>
      <c r="D8" s="512"/>
      <c r="E8" s="459"/>
      <c r="F8" s="459"/>
      <c r="G8" s="512"/>
      <c r="H8" s="512"/>
      <c r="I8" s="459"/>
      <c r="J8" s="512"/>
      <c r="K8" s="459"/>
      <c r="L8" s="512"/>
      <c r="M8" s="459"/>
      <c r="N8" s="513"/>
      <c r="O8" s="514"/>
    </row>
    <row r="9" spans="3:15" ht="20.100000000000001" customHeight="1">
      <c r="C9" s="458"/>
      <c r="D9" s="512"/>
      <c r="E9" s="459"/>
      <c r="F9" s="459"/>
      <c r="G9" s="512"/>
      <c r="H9" s="512"/>
      <c r="I9" s="459"/>
      <c r="J9" s="512"/>
      <c r="K9" s="459"/>
      <c r="L9" s="512"/>
      <c r="M9" s="459"/>
      <c r="N9" s="512"/>
      <c r="O9" s="514"/>
    </row>
    <row r="10" spans="3:15" ht="20.100000000000001" customHeight="1">
      <c r="C10" s="458"/>
      <c r="D10" s="512"/>
      <c r="E10" s="459"/>
      <c r="F10" s="459"/>
      <c r="G10" s="512"/>
      <c r="H10" s="512"/>
      <c r="I10" s="459"/>
      <c r="J10" s="512"/>
      <c r="K10" s="459"/>
      <c r="L10" s="512"/>
      <c r="M10" s="459"/>
      <c r="N10" s="512"/>
      <c r="O10" s="514"/>
    </row>
    <row r="11" spans="3:15" ht="20.100000000000001" customHeight="1">
      <c r="C11" s="458"/>
      <c r="D11" s="512"/>
      <c r="E11" s="459"/>
      <c r="F11" s="459"/>
      <c r="G11" s="512"/>
      <c r="H11" s="512"/>
      <c r="I11" s="459"/>
      <c r="J11" s="512"/>
      <c r="K11" s="459"/>
      <c r="L11" s="512"/>
      <c r="M11" s="459"/>
      <c r="N11" s="512"/>
      <c r="O11" s="514"/>
    </row>
    <row r="12" spans="3:15" ht="20.100000000000001" customHeight="1">
      <c r="C12" s="458"/>
      <c r="D12" s="512"/>
      <c r="E12" s="459"/>
      <c r="F12" s="459"/>
      <c r="G12" s="512"/>
      <c r="H12" s="512"/>
      <c r="I12" s="459"/>
      <c r="J12" s="512"/>
      <c r="K12" s="459"/>
      <c r="L12" s="512"/>
      <c r="M12" s="459"/>
      <c r="N12" s="512"/>
      <c r="O12" s="514"/>
    </row>
    <row r="13" spans="3:15" ht="20.100000000000001" customHeight="1">
      <c r="C13" s="458"/>
      <c r="D13" s="512"/>
      <c r="E13" s="459"/>
      <c r="F13" s="459"/>
      <c r="G13" s="512"/>
      <c r="H13" s="512"/>
      <c r="I13" s="459"/>
      <c r="J13" s="512"/>
      <c r="K13" s="459"/>
      <c r="L13" s="512"/>
      <c r="M13" s="459"/>
      <c r="N13" s="512"/>
      <c r="O13" s="514"/>
    </row>
    <row r="14" spans="3:15" ht="20.100000000000001" customHeight="1">
      <c r="C14" s="458"/>
      <c r="D14" s="512"/>
      <c r="E14" s="459"/>
      <c r="F14" s="459"/>
      <c r="G14" s="512"/>
      <c r="H14" s="512"/>
      <c r="I14" s="459"/>
      <c r="J14" s="512"/>
      <c r="K14" s="459"/>
      <c r="L14" s="512"/>
      <c r="M14" s="459"/>
      <c r="N14" s="512"/>
      <c r="O14" s="514"/>
    </row>
    <row r="15" spans="3:15" ht="20.100000000000001" customHeight="1">
      <c r="C15" s="458"/>
      <c r="D15" s="512"/>
      <c r="E15" s="459"/>
      <c r="F15" s="459"/>
      <c r="G15" s="512"/>
      <c r="H15" s="512"/>
      <c r="I15" s="459"/>
      <c r="J15" s="512"/>
      <c r="K15" s="459"/>
      <c r="L15" s="512"/>
      <c r="M15" s="459"/>
      <c r="N15" s="512"/>
      <c r="O15" s="514"/>
    </row>
    <row r="16" spans="3:15" ht="20.100000000000001" customHeight="1">
      <c r="C16" s="458"/>
      <c r="D16" s="512"/>
      <c r="E16" s="459"/>
      <c r="F16" s="459"/>
      <c r="G16" s="512"/>
      <c r="H16" s="512"/>
      <c r="I16" s="459"/>
      <c r="J16" s="512"/>
      <c r="K16" s="459"/>
      <c r="L16" s="512"/>
      <c r="M16" s="459"/>
      <c r="N16" s="512"/>
      <c r="O16" s="514"/>
    </row>
    <row r="17" spans="3:15" ht="20.100000000000001" customHeight="1" thickBot="1">
      <c r="C17" s="417"/>
      <c r="D17" s="515"/>
      <c r="E17" s="418"/>
      <c r="F17" s="418"/>
      <c r="G17" s="515"/>
      <c r="H17" s="515"/>
      <c r="I17" s="418"/>
      <c r="J17" s="515"/>
      <c r="K17" s="418"/>
      <c r="L17" s="515"/>
      <c r="M17" s="418"/>
      <c r="N17" s="515"/>
      <c r="O17" s="516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M22" sqref="M22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285</v>
      </c>
    </row>
    <row r="3" spans="4:11" s="53" customFormat="1" ht="42.75" customHeight="1">
      <c r="D3" s="351" t="s">
        <v>318</v>
      </c>
      <c r="E3" s="352" t="s">
        <v>319</v>
      </c>
      <c r="F3" s="352" t="s">
        <v>320</v>
      </c>
      <c r="G3" s="352" t="s">
        <v>321</v>
      </c>
      <c r="H3" s="352" t="s">
        <v>322</v>
      </c>
      <c r="I3" s="352" t="s">
        <v>323</v>
      </c>
      <c r="J3" s="352" t="s">
        <v>291</v>
      </c>
      <c r="K3" s="353" t="s">
        <v>292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318</v>
      </c>
      <c r="E7" s="352" t="s">
        <v>319</v>
      </c>
      <c r="F7" s="352" t="s">
        <v>320</v>
      </c>
      <c r="G7" s="352" t="s">
        <v>321</v>
      </c>
      <c r="H7" s="352" t="s">
        <v>322</v>
      </c>
      <c r="I7" s="352" t="s">
        <v>323</v>
      </c>
      <c r="J7" s="352" t="s">
        <v>324</v>
      </c>
      <c r="K7" s="353" t="s">
        <v>291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332</v>
      </c>
    </row>
    <row r="11" spans="4:11" s="53" customFormat="1" ht="39" customHeight="1">
      <c r="D11" s="351" t="s">
        <v>325</v>
      </c>
      <c r="E11" s="359" t="s">
        <v>326</v>
      </c>
      <c r="F11" s="359" t="s">
        <v>327</v>
      </c>
      <c r="G11" s="359" t="s">
        <v>328</v>
      </c>
      <c r="H11" s="359" t="s">
        <v>329</v>
      </c>
      <c r="I11" s="359" t="s">
        <v>330</v>
      </c>
      <c r="J11" s="360" t="s">
        <v>331</v>
      </c>
    </row>
    <row r="12" spans="4:11" s="37" customFormat="1" ht="20.100000000000001" customHeight="1">
      <c r="D12" s="458" t="s">
        <v>236</v>
      </c>
      <c r="E12" s="459">
        <v>500</v>
      </c>
      <c r="F12" s="459">
        <v>143</v>
      </c>
      <c r="G12" s="459">
        <v>14.3</v>
      </c>
      <c r="H12" s="459">
        <v>64.8</v>
      </c>
      <c r="I12" s="459">
        <v>1.6435</v>
      </c>
      <c r="J12" s="460">
        <v>3.2289999999999999E-4</v>
      </c>
    </row>
    <row r="13" spans="4:11" s="37" customFormat="1" ht="20.100000000000001" customHeight="1">
      <c r="D13" s="458" t="s">
        <v>237</v>
      </c>
      <c r="E13" s="459">
        <v>250</v>
      </c>
      <c r="F13" s="459">
        <v>143</v>
      </c>
      <c r="G13" s="459">
        <v>14.9</v>
      </c>
      <c r="H13" s="459">
        <v>61.7</v>
      </c>
      <c r="I13" s="459">
        <v>1.7795000000000001</v>
      </c>
      <c r="J13" s="460">
        <v>3.1720000000000001E-4</v>
      </c>
    </row>
    <row r="14" spans="4:11" s="37" customFormat="1" ht="20.100000000000001" customHeight="1">
      <c r="D14" s="458" t="s">
        <v>238</v>
      </c>
      <c r="E14" s="459">
        <v>250</v>
      </c>
      <c r="F14" s="459">
        <v>143</v>
      </c>
      <c r="G14" s="459">
        <v>13.8</v>
      </c>
      <c r="H14" s="459">
        <v>62.4</v>
      </c>
      <c r="I14" s="459">
        <v>1.6684999999999999</v>
      </c>
      <c r="J14" s="460">
        <v>3.2009999999999997E-4</v>
      </c>
    </row>
    <row r="15" spans="4:11" s="37" customFormat="1" ht="20.100000000000001" customHeight="1">
      <c r="D15" s="458"/>
      <c r="E15" s="459"/>
      <c r="F15" s="459"/>
      <c r="G15" s="459"/>
      <c r="H15" s="459"/>
      <c r="I15" s="459"/>
      <c r="J15" s="460"/>
    </row>
    <row r="16" spans="4:11" s="37" customFormat="1" ht="20.100000000000001" customHeight="1">
      <c r="D16" s="458"/>
      <c r="E16" s="459"/>
      <c r="F16" s="459"/>
      <c r="G16" s="459"/>
      <c r="H16" s="459"/>
      <c r="I16" s="459"/>
      <c r="J16" s="460"/>
    </row>
    <row r="17" spans="4:10" s="37" customFormat="1" ht="20.100000000000001" customHeight="1">
      <c r="D17" s="458"/>
      <c r="E17" s="459"/>
      <c r="F17" s="459"/>
      <c r="G17" s="459"/>
      <c r="H17" s="459"/>
      <c r="I17" s="459"/>
      <c r="J17" s="460"/>
    </row>
    <row r="18" spans="4:10" s="37" customFormat="1" ht="20.100000000000001" customHeight="1">
      <c r="D18" s="458"/>
      <c r="E18" s="459"/>
      <c r="F18" s="459"/>
      <c r="G18" s="459"/>
      <c r="H18" s="459"/>
      <c r="I18" s="459"/>
      <c r="J18" s="460"/>
    </row>
    <row r="19" spans="4:10" s="37" customFormat="1" ht="20.100000000000001" customHeight="1">
      <c r="D19" s="458"/>
      <c r="E19" s="459"/>
      <c r="F19" s="459"/>
      <c r="G19" s="459"/>
      <c r="H19" s="459"/>
      <c r="I19" s="459"/>
      <c r="J19" s="460"/>
    </row>
    <row r="20" spans="4:10" s="37" customFormat="1" ht="20.100000000000001" customHeight="1">
      <c r="D20" s="458"/>
      <c r="E20" s="459"/>
      <c r="F20" s="459"/>
      <c r="G20" s="459"/>
      <c r="H20" s="459"/>
      <c r="I20" s="459"/>
      <c r="J20" s="460"/>
    </row>
    <row r="21" spans="4:10" s="37" customFormat="1" ht="20.100000000000001" customHeight="1">
      <c r="D21" s="458"/>
      <c r="E21" s="459"/>
      <c r="F21" s="459"/>
      <c r="G21" s="459"/>
      <c r="H21" s="459"/>
      <c r="I21" s="459"/>
      <c r="J21" s="460"/>
    </row>
    <row r="22" spans="4:10" s="37" customFormat="1" ht="20.100000000000001" customHeight="1">
      <c r="D22" s="458"/>
      <c r="E22" s="459"/>
      <c r="F22" s="459"/>
      <c r="G22" s="459"/>
      <c r="H22" s="459"/>
      <c r="I22" s="459"/>
      <c r="J22" s="460"/>
    </row>
    <row r="23" spans="4:10" s="37" customFormat="1" ht="20.100000000000001" customHeight="1">
      <c r="D23" s="458"/>
      <c r="E23" s="459"/>
      <c r="F23" s="459"/>
      <c r="G23" s="459"/>
      <c r="H23" s="459"/>
      <c r="I23" s="459"/>
      <c r="J23" s="460"/>
    </row>
    <row r="24" spans="4:10" s="37" customFormat="1" ht="20.100000000000001" customHeight="1" thickBot="1">
      <c r="D24" s="417"/>
      <c r="E24" s="418"/>
      <c r="F24" s="418"/>
      <c r="G24" s="418"/>
      <c r="H24" s="418"/>
      <c r="I24" s="418"/>
      <c r="J24" s="461"/>
    </row>
    <row r="25" spans="4:10" s="37" customFormat="1" ht="20.100000000000001" customHeight="1">
      <c r="D25" s="462"/>
      <c r="E25" s="462"/>
      <c r="F25" s="462"/>
      <c r="G25" s="462"/>
      <c r="H25" s="462"/>
      <c r="I25" s="462"/>
      <c r="J25" s="462"/>
    </row>
    <row r="26" spans="4:10" ht="20.100000000000001" customHeight="1" thickBot="1"/>
    <row r="27" spans="4:10" ht="31.5" customHeight="1">
      <c r="D27" s="351" t="s">
        <v>295</v>
      </c>
      <c r="E27" s="359" t="s">
        <v>293</v>
      </c>
      <c r="F27" s="360" t="s">
        <v>294</v>
      </c>
      <c r="H27" s="351" t="s">
        <v>295</v>
      </c>
      <c r="I27" s="359" t="s">
        <v>333</v>
      </c>
      <c r="J27" s="360" t="s">
        <v>334</v>
      </c>
    </row>
    <row r="28" spans="4:10" s="37" customFormat="1" ht="20.100000000000001" customHeight="1">
      <c r="D28" s="458" t="s">
        <v>236</v>
      </c>
      <c r="E28" s="459" t="s">
        <v>395</v>
      </c>
      <c r="F28" s="460"/>
      <c r="G28" s="462"/>
      <c r="H28" s="458" t="s">
        <v>236</v>
      </c>
      <c r="I28" s="459">
        <v>98</v>
      </c>
      <c r="J28" s="460">
        <v>123</v>
      </c>
    </row>
    <row r="29" spans="4:10" s="37" customFormat="1" ht="20.100000000000001" customHeight="1">
      <c r="D29" s="458" t="s">
        <v>237</v>
      </c>
      <c r="E29" s="459" t="s">
        <v>396</v>
      </c>
      <c r="F29" s="460"/>
      <c r="G29" s="462"/>
      <c r="H29" s="458" t="s">
        <v>237</v>
      </c>
      <c r="I29" s="459">
        <v>99</v>
      </c>
      <c r="J29" s="460">
        <v>126</v>
      </c>
    </row>
    <row r="30" spans="4:10" s="37" customFormat="1" ht="20.100000000000001" customHeight="1">
      <c r="D30" s="458" t="s">
        <v>238</v>
      </c>
      <c r="E30" s="459" t="s">
        <v>397</v>
      </c>
      <c r="F30" s="460"/>
      <c r="G30" s="462"/>
      <c r="H30" s="458" t="s">
        <v>238</v>
      </c>
      <c r="I30" s="459">
        <v>98</v>
      </c>
      <c r="J30" s="460">
        <v>123</v>
      </c>
    </row>
    <row r="31" spans="4:10" s="37" customFormat="1" ht="20.100000000000001" customHeight="1">
      <c r="D31" s="458"/>
      <c r="E31" s="459"/>
      <c r="F31" s="460"/>
      <c r="G31" s="462"/>
      <c r="H31" s="458"/>
      <c r="I31" s="459"/>
      <c r="J31" s="460"/>
    </row>
    <row r="32" spans="4:10" s="37" customFormat="1" ht="20.100000000000001" customHeight="1">
      <c r="D32" s="458"/>
      <c r="E32" s="459"/>
      <c r="F32" s="460"/>
      <c r="G32" s="462"/>
      <c r="H32" s="458"/>
      <c r="I32" s="459"/>
      <c r="J32" s="460"/>
    </row>
    <row r="33" spans="4:16" s="37" customFormat="1" ht="20.100000000000001" customHeight="1">
      <c r="D33" s="458"/>
      <c r="E33" s="459"/>
      <c r="F33" s="460"/>
      <c r="G33" s="462"/>
      <c r="H33" s="458"/>
      <c r="I33" s="459"/>
      <c r="J33" s="460"/>
    </row>
    <row r="34" spans="4:16" s="37" customFormat="1" ht="20.100000000000001" customHeight="1">
      <c r="D34" s="458"/>
      <c r="E34" s="459"/>
      <c r="F34" s="460"/>
      <c r="G34" s="462"/>
      <c r="H34" s="458"/>
      <c r="I34" s="459"/>
      <c r="J34" s="460"/>
    </row>
    <row r="35" spans="4:16" s="37" customFormat="1" ht="20.100000000000001" customHeight="1">
      <c r="D35" s="458"/>
      <c r="E35" s="459"/>
      <c r="F35" s="460"/>
      <c r="G35" s="462"/>
      <c r="H35" s="458"/>
      <c r="I35" s="459"/>
      <c r="J35" s="460"/>
    </row>
    <row r="36" spans="4:16" s="37" customFormat="1" ht="20.100000000000001" customHeight="1">
      <c r="D36" s="458"/>
      <c r="E36" s="459"/>
      <c r="F36" s="460"/>
      <c r="G36" s="462"/>
      <c r="H36" s="458"/>
      <c r="I36" s="459"/>
      <c r="J36" s="460"/>
    </row>
    <row r="37" spans="4:16" s="37" customFormat="1" ht="20.100000000000001" customHeight="1">
      <c r="D37" s="458"/>
      <c r="E37" s="459"/>
      <c r="F37" s="460"/>
      <c r="G37" s="462"/>
      <c r="H37" s="458"/>
      <c r="I37" s="459"/>
      <c r="J37" s="460"/>
    </row>
    <row r="38" spans="4:16" s="37" customFormat="1" ht="20.100000000000001" customHeight="1">
      <c r="D38" s="458"/>
      <c r="E38" s="459"/>
      <c r="F38" s="460"/>
      <c r="G38" s="462"/>
      <c r="H38" s="458"/>
      <c r="I38" s="459"/>
      <c r="J38" s="460"/>
    </row>
    <row r="39" spans="4:16" s="37" customFormat="1" ht="20.100000000000001" customHeight="1">
      <c r="D39" s="458"/>
      <c r="E39" s="459"/>
      <c r="F39" s="460"/>
      <c r="G39" s="462"/>
      <c r="H39" s="458"/>
      <c r="I39" s="459"/>
      <c r="J39" s="460"/>
    </row>
    <row r="40" spans="4:16" s="37" customFormat="1" ht="19.5" customHeight="1" thickBot="1">
      <c r="D40" s="417"/>
      <c r="E40" s="418"/>
      <c r="F40" s="461"/>
      <c r="G40" s="462"/>
      <c r="H40" s="417"/>
      <c r="I40" s="418"/>
      <c r="J40" s="461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284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407" customFormat="1" ht="30" customHeight="1" thickBot="1">
      <c r="D45" s="417">
        <v>130</v>
      </c>
      <c r="E45" s="418">
        <v>130</v>
      </c>
      <c r="F45" s="418">
        <v>130</v>
      </c>
      <c r="G45" s="405"/>
      <c r="H45" s="405"/>
      <c r="I45" s="405"/>
      <c r="J45" s="405"/>
      <c r="K45" s="405"/>
      <c r="L45" s="405"/>
      <c r="M45" s="405"/>
      <c r="N45" s="405"/>
      <c r="O45" s="405"/>
      <c r="P45" s="406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296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407" customFormat="1" ht="30" customHeight="1" thickBot="1">
      <c r="D50" s="417" t="s">
        <v>398</v>
      </c>
      <c r="E50" s="418" t="s">
        <v>399</v>
      </c>
      <c r="F50" s="418" t="s">
        <v>399</v>
      </c>
      <c r="G50" s="405"/>
      <c r="H50" s="405"/>
      <c r="I50" s="405"/>
      <c r="J50" s="405"/>
      <c r="K50" s="405"/>
      <c r="L50" s="405"/>
      <c r="M50" s="405"/>
      <c r="N50" s="405"/>
      <c r="O50" s="405"/>
      <c r="P50" s="406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301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407" customFormat="1" ht="30" customHeight="1" thickBot="1">
      <c r="D55" s="417" t="s">
        <v>406</v>
      </c>
      <c r="E55" s="418" t="s">
        <v>407</v>
      </c>
      <c r="F55" s="418" t="s">
        <v>407</v>
      </c>
      <c r="G55" s="405"/>
      <c r="H55" s="405"/>
      <c r="I55" s="405"/>
      <c r="J55" s="405"/>
      <c r="K55" s="405"/>
      <c r="L55" s="405"/>
      <c r="M55" s="405"/>
      <c r="N55" s="405"/>
      <c r="O55" s="405"/>
      <c r="P55" s="406"/>
    </row>
    <row r="58" spans="4:16" ht="20.100000000000001" customHeight="1" thickBot="1">
      <c r="D58" s="348" t="s">
        <v>226</v>
      </c>
    </row>
    <row r="59" spans="4:16" ht="36.75" customHeight="1">
      <c r="D59" s="351" t="s">
        <v>236</v>
      </c>
      <c r="E59" s="359" t="s">
        <v>237</v>
      </c>
      <c r="F59" s="359" t="s">
        <v>238</v>
      </c>
      <c r="G59" s="359"/>
      <c r="H59" s="359"/>
      <c r="I59" s="359"/>
      <c r="J59" s="359"/>
      <c r="K59" s="359"/>
      <c r="L59" s="359"/>
      <c r="M59" s="359"/>
      <c r="N59" s="359"/>
      <c r="O59" s="359"/>
      <c r="P59" s="360"/>
    </row>
    <row r="60" spans="4:16" ht="30" customHeight="1" thickBot="1">
      <c r="D60" s="417" t="s">
        <v>400</v>
      </c>
      <c r="E60" s="418" t="s">
        <v>401</v>
      </c>
      <c r="F60" s="418" t="s">
        <v>402</v>
      </c>
      <c r="G60" s="405"/>
      <c r="H60" s="405"/>
      <c r="I60" s="405"/>
      <c r="J60" s="405"/>
      <c r="K60" s="405"/>
      <c r="L60" s="405"/>
      <c r="M60" s="405"/>
      <c r="N60" s="405"/>
      <c r="O60" s="405"/>
      <c r="P60" s="406"/>
    </row>
    <row r="63" spans="4:16" ht="20.100000000000001" customHeight="1" thickBot="1">
      <c r="D63" s="348" t="s">
        <v>227</v>
      </c>
    </row>
    <row r="64" spans="4:16" ht="36.75" customHeight="1">
      <c r="D64" s="351" t="s">
        <v>236</v>
      </c>
      <c r="E64" s="359" t="s">
        <v>237</v>
      </c>
      <c r="F64" s="359" t="s">
        <v>238</v>
      </c>
      <c r="G64" s="359"/>
      <c r="H64" s="359"/>
      <c r="I64" s="359"/>
      <c r="J64" s="359"/>
      <c r="K64" s="359"/>
      <c r="L64" s="359"/>
      <c r="M64" s="359"/>
      <c r="N64" s="359"/>
      <c r="O64" s="359"/>
      <c r="P64" s="360"/>
    </row>
    <row r="65" spans="4:16" ht="30" customHeight="1" thickBot="1">
      <c r="D65" s="417" t="s">
        <v>403</v>
      </c>
      <c r="E65" s="418" t="s">
        <v>404</v>
      </c>
      <c r="F65" s="418" t="s">
        <v>405</v>
      </c>
      <c r="G65" s="405"/>
      <c r="H65" s="405"/>
      <c r="I65" s="405"/>
      <c r="J65" s="405"/>
      <c r="K65" s="405"/>
      <c r="L65" s="405"/>
      <c r="M65" s="405"/>
      <c r="N65" s="405"/>
      <c r="O65" s="405"/>
      <c r="P65" s="40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1" sqref="C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25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Well!G4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488</v>
      </c>
      <c r="H12" s="18"/>
      <c r="J12" s="184" t="s">
        <v>121</v>
      </c>
      <c r="K12" s="420">
        <v>14</v>
      </c>
      <c r="L12" s="419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Well!J4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4">
        <f>K18*100</f>
        <v>2.5319488817891376</v>
      </c>
    </row>
    <row r="19" spans="2:12" ht="20.100000000000001" customHeight="1" thickBot="1">
      <c r="B19" s="21" t="s">
        <v>76</v>
      </c>
      <c r="C19" s="38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1">
        <f>C21-C20</f>
        <v>50.5</v>
      </c>
      <c r="E22" s="591">
        <f>E21+F21</f>
        <v>562.79999999999995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25" t="str">
        <f>Well!D5</f>
        <v>충남 보령시 천북면 하만리 산 143-5</v>
      </c>
      <c r="H2"/>
      <c r="I2" s="297" t="s">
        <v>275</v>
      </c>
      <c r="J2"/>
      <c r="K2"/>
      <c r="L2"/>
      <c r="M2"/>
    </row>
    <row r="3" spans="1:13" ht="20.100000000000001" customHeight="1">
      <c r="B3" s="2" t="s">
        <v>6</v>
      </c>
      <c r="C3" s="38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Well!G5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20</v>
      </c>
      <c r="L12" s="419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Well!J5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4">
        <f>K18*100</f>
        <v>1.8142734307824593</v>
      </c>
    </row>
    <row r="19" spans="2:12" ht="20.100000000000001" customHeight="1" thickBot="1">
      <c r="B19" s="21" t="s">
        <v>76</v>
      </c>
      <c r="C19" s="38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46.800000000000004</v>
      </c>
      <c r="E22" s="591">
        <f>E21+F21</f>
        <v>302.8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25" t="str">
        <f>Well!D6</f>
        <v>충남 보령시 천북면 하만리 산 143-5</v>
      </c>
      <c r="H2"/>
      <c r="I2" s="297" t="s">
        <v>300</v>
      </c>
      <c r="J2"/>
      <c r="K2"/>
      <c r="L2"/>
      <c r="M2"/>
    </row>
    <row r="3" spans="1:13" ht="20.100000000000001" customHeight="1">
      <c r="B3" s="2" t="s">
        <v>6</v>
      </c>
      <c r="C3" s="38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Well!G6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16</v>
      </c>
      <c r="L12" s="419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Well!J6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4">
        <f>K18*100</f>
        <v>2.4736842105263159</v>
      </c>
    </row>
    <row r="19" spans="2:12" ht="20.100000000000001" customHeight="1" thickBot="1">
      <c r="B19" s="21" t="s">
        <v>76</v>
      </c>
      <c r="C19" s="38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48.599999999999994</v>
      </c>
      <c r="E22" s="591">
        <f>E21+F21</f>
        <v>302.8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95" t="s">
        <v>86</v>
      </c>
      <c r="C12" s="596"/>
      <c r="D12" s="597" t="s">
        <v>87</v>
      </c>
      <c r="E12" s="598"/>
      <c r="F12" s="596"/>
      <c r="H12" s="595" t="s">
        <v>87</v>
      </c>
      <c r="I12" s="598"/>
      <c r="J12" s="596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99" t="s">
        <v>36</v>
      </c>
      <c r="C24" s="600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99" t="s">
        <v>37</v>
      </c>
      <c r="C25" s="600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93" t="s">
        <v>92</v>
      </c>
      <c r="C26" s="594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95" t="s">
        <v>86</v>
      </c>
      <c r="C12" s="596"/>
      <c r="D12" s="595" t="s">
        <v>87</v>
      </c>
      <c r="E12" s="598"/>
      <c r="F12" s="596"/>
      <c r="G12" s="601" t="s">
        <v>159</v>
      </c>
      <c r="H12" s="602"/>
      <c r="I12" s="603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99" t="s">
        <v>36</v>
      </c>
      <c r="C24" s="600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99" t="s">
        <v>37</v>
      </c>
      <c r="C25" s="600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93" t="s">
        <v>92</v>
      </c>
      <c r="C26" s="594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95" t="s">
        <v>87</v>
      </c>
      <c r="E29" s="598"/>
      <c r="F29" s="596"/>
      <c r="H29" s="595" t="s">
        <v>159</v>
      </c>
      <c r="I29" s="598"/>
      <c r="J29" s="596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95" t="s">
        <v>86</v>
      </c>
      <c r="C12" s="596"/>
      <c r="D12" s="601" t="s">
        <v>87</v>
      </c>
      <c r="E12" s="602"/>
      <c r="F12" s="603"/>
      <c r="G12" s="601" t="s">
        <v>159</v>
      </c>
      <c r="H12" s="602"/>
      <c r="I12" s="603"/>
      <c r="J12" s="601" t="s">
        <v>160</v>
      </c>
      <c r="K12" s="602"/>
      <c r="L12" s="603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99" t="s">
        <v>36</v>
      </c>
      <c r="C24" s="600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99" t="s">
        <v>37</v>
      </c>
      <c r="C25" s="600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93" t="s">
        <v>92</v>
      </c>
      <c r="C26" s="594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95" t="s">
        <v>87</v>
      </c>
      <c r="E29" s="598"/>
      <c r="F29" s="596"/>
      <c r="H29" s="595" t="s">
        <v>159</v>
      </c>
      <c r="I29" s="598"/>
      <c r="J29" s="596"/>
      <c r="L29" s="595" t="s">
        <v>160</v>
      </c>
      <c r="M29" s="598"/>
      <c r="N29" s="596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2023-03-18T12:25:48Z</dcterms:modified>
</cp:coreProperties>
</file>