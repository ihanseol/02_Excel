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91B4114-807B-4565-A3D8-1335FA6F33C5}" xr6:coauthVersionLast="47" xr6:coauthVersionMax="47" xr10:uidLastSave="{00000000-0000-0000-0000-000000000000}"/>
  <bookViews>
    <workbookView xWindow="7140" yWindow="1845" windowWidth="28065" windowHeight="18435" tabRatio="598" activeTab="2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AggSum" sheetId="175" state="hidden" r:id="rId10"/>
    <sheet name="1" sheetId="55" r:id="rId11"/>
    <sheet name="2" sheetId="185" r:id="rId12"/>
    <sheet name="3" sheetId="186" r:id="rId13"/>
    <sheet name="Q1" sheetId="100" r:id="rId14"/>
    <sheet name="Q2" sheetId="117" r:id="rId15"/>
    <sheet name="Q3" sheetId="115" r:id="rId16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3">'Q1'!$C$7</definedName>
    <definedName name="baseTemp" localSheetId="14">'Q2'!$C$7</definedName>
    <definedName name="baseTemp" localSheetId="15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E21" i="186" l="1"/>
  <c r="F21" i="186"/>
  <c r="E22" i="186" s="1"/>
  <c r="E17" i="186"/>
  <c r="F17" i="186" s="1"/>
  <c r="G17" i="186" s="1"/>
  <c r="C19" i="186"/>
  <c r="C18" i="186"/>
  <c r="C17" i="186"/>
  <c r="C16" i="186"/>
  <c r="C15" i="186"/>
  <c r="C8" i="186"/>
  <c r="C7" i="186"/>
  <c r="C12" i="186" s="1"/>
  <c r="A13" i="186" s="1"/>
  <c r="A12" i="186" s="1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12" i="185" s="1"/>
  <c r="A13" i="185" s="1"/>
  <c r="A12" i="185" s="1"/>
  <c r="C6" i="185"/>
  <c r="C5" i="185"/>
  <c r="C4" i="185"/>
  <c r="C3" i="185"/>
  <c r="C2" i="185"/>
  <c r="F21" i="55"/>
  <c r="I8" i="175" s="1"/>
  <c r="E17" i="55"/>
  <c r="F17" i="55" s="1"/>
  <c r="G17" i="55" s="1"/>
  <c r="C19" i="55"/>
  <c r="C18" i="55"/>
  <c r="C17" i="55"/>
  <c r="C16" i="55"/>
  <c r="C15" i="55"/>
  <c r="C8" i="55"/>
  <c r="C7" i="55"/>
  <c r="C6" i="55"/>
  <c r="C5" i="55"/>
  <c r="C4" i="55"/>
  <c r="C3" i="55"/>
  <c r="C2" i="55"/>
  <c r="J31" i="186"/>
  <c r="I31" i="186"/>
  <c r="H31" i="186"/>
  <c r="G31" i="186"/>
  <c r="F31" i="186"/>
  <c r="E31" i="186"/>
  <c r="D31" i="186"/>
  <c r="K31" i="186" s="1"/>
  <c r="J30" i="186"/>
  <c r="I30" i="186"/>
  <c r="H30" i="186"/>
  <c r="G30" i="186"/>
  <c r="F30" i="186"/>
  <c r="E30" i="186"/>
  <c r="D30" i="186"/>
  <c r="K30" i="186" s="1"/>
  <c r="D26" i="186"/>
  <c r="C22" i="186"/>
  <c r="K16" i="186"/>
  <c r="K17" i="186" s="1"/>
  <c r="K18" i="186" s="1"/>
  <c r="L18" i="186" s="1"/>
  <c r="H26" i="186" s="1"/>
  <c r="G14" i="186"/>
  <c r="G13" i="186"/>
  <c r="F13" i="186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K31" i="185" s="1"/>
  <c r="J30" i="185"/>
  <c r="I30" i="185"/>
  <c r="H30" i="185"/>
  <c r="G30" i="185"/>
  <c r="F30" i="185"/>
  <c r="E30" i="185"/>
  <c r="D30" i="185"/>
  <c r="K30" i="185" s="1"/>
  <c r="D26" i="185"/>
  <c r="C22" i="185"/>
  <c r="F17" i="185"/>
  <c r="G17" i="185" s="1"/>
  <c r="K16" i="185"/>
  <c r="K17" i="185" s="1"/>
  <c r="K18" i="185" s="1"/>
  <c r="L18" i="185" s="1"/>
  <c r="H26" i="185" s="1"/>
  <c r="G14" i="185"/>
  <c r="C14" i="185"/>
  <c r="F6" i="185" s="1"/>
  <c r="G13" i="185"/>
  <c r="F13" i="185"/>
  <c r="E13" i="185"/>
  <c r="L12" i="185"/>
  <c r="G11" i="185"/>
  <c r="F11" i="185"/>
  <c r="E11" i="185"/>
  <c r="C9" i="185"/>
  <c r="G7" i="185"/>
  <c r="E7" i="185"/>
  <c r="I8" i="52"/>
  <c r="J4" i="175" s="1"/>
  <c r="E8" i="175"/>
  <c r="D8" i="175"/>
  <c r="D4" i="175"/>
  <c r="E4" i="175"/>
  <c r="G13" i="55"/>
  <c r="G8" i="175" s="1"/>
  <c r="F13" i="55"/>
  <c r="E13" i="55"/>
  <c r="C14" i="186" l="1"/>
  <c r="F5" i="186" s="1"/>
  <c r="E21" i="55"/>
  <c r="F7" i="186"/>
  <c r="F7" i="185"/>
  <c r="E22" i="185"/>
  <c r="F6" i="186"/>
  <c r="E19" i="186"/>
  <c r="F19" i="186" s="1"/>
  <c r="G19" i="186" s="1"/>
  <c r="J26" i="186"/>
  <c r="J26" i="185"/>
  <c r="F5" i="185"/>
  <c r="E19" i="185"/>
  <c r="F19" i="185" s="1"/>
  <c r="G19" i="185" s="1"/>
  <c r="G4" i="175"/>
  <c r="K8" i="175"/>
  <c r="I4" i="17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H19" i="186" l="1"/>
  <c r="G21" i="186"/>
  <c r="H19" i="185"/>
  <c r="G21" i="185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4" i="115" s="1"/>
  <c r="I23" i="115"/>
  <c r="I21" i="115"/>
  <c r="J23" i="115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K25" i="115"/>
  <c r="K24" i="115"/>
  <c r="G25" i="115" l="1"/>
  <c r="G24" i="115"/>
  <c r="I25" i="115"/>
  <c r="L25" i="115"/>
  <c r="D25" i="115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D22" i="100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F19" i="55" s="1"/>
  <c r="F8" i="175" l="1"/>
  <c r="F4" i="175"/>
  <c r="G19" i="55"/>
  <c r="C12" i="55"/>
  <c r="A13" i="55" s="1"/>
  <c r="H8" i="175" l="1"/>
  <c r="H4" i="175"/>
  <c r="A12" i="55"/>
  <c r="C14" i="55"/>
  <c r="G7" i="55"/>
  <c r="E7" i="55"/>
  <c r="J26" i="55" l="1"/>
  <c r="F5" i="55"/>
  <c r="F7" i="55"/>
  <c r="F6" i="55"/>
  <c r="C25" i="23"/>
  <c r="H19" i="55" l="1"/>
  <c r="J8" i="175" s="1"/>
  <c r="E30" i="23"/>
  <c r="G14" i="55"/>
  <c r="D30" i="23"/>
  <c r="C30" i="23"/>
  <c r="E26" i="185" l="1"/>
  <c r="E26" i="186"/>
  <c r="E26" i="55"/>
  <c r="C24" i="23"/>
  <c r="G21" i="55" l="1"/>
  <c r="K4" i="175" s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<sst xmlns="http://schemas.openxmlformats.org/spreadsheetml/2006/main" count="660" uniqueCount="322">
  <si>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</si>
  <si>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</si>
  <si>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</si>
  <si>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</si>
  <si>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</si>
  <si>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</si>
  <si>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</si>
  <si>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</si>
  <si>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</si>
  <si>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</si>
  <si>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</si>
  <si>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</si>
  <si>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</si>
  <si>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</si>
  <si>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</si>
  <si>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</si>
  <si>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</si>
  <si>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</si>
  <si>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</si>
  <si>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</si>
  <si>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</si>
  <si>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</si>
  <si>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</si>
  <si>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</si>
  <si>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</si>
  <si>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</si>
  <si>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</si>
  <si>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</si>
  <si>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</si>
  <si>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</si>
  <si>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</si>
  <si>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</si>
  <si>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</si>
  <si>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</si>
  <si>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</si>
  <si>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</si>
  <si>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</si>
  <si>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</si>
  <si>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</si>
  <si>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</si>
  <si>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</si>
  <si>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</si>
  <si>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</si>
  <si>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</si>
  <si>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</si>
  <si>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</si>
  <si>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</si>
  <si>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</si>
  <si>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</si>
  <si>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</si>
  <si>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</si>
  <si>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</si>
  <si>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</si>
  <si>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</si>
  <si>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</si>
  <si>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</si>
  <si>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</si>
  <si>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</si>
  <si>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</si>
  <si>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</si>
  <si>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</si>
  <si>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</si>
  <si>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</si>
  <si>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</si>
  <si>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</si>
  <si>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</si>
  <si>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</si>
  <si>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</si>
  <si>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</si>
  <si>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</si>
  <si>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</si>
  <si>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</si>
  <si>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</si>
  <si>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</si>
  <si>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</si>
  <si>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</si>
  <si>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</si>
  <si>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</si>
  <si>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</si>
  <si>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</si>
  <si>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</si>
  <si>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</si>
  <si>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</si>
  <si>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</si>
  <si>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</si>
  <si>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</si>
  <si>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</si>
  <si>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</si>
  <si>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</si>
  <si>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</si>
  <si>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</si>
  <si>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</si>
  <si>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</si>
  <si>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</si>
  <si>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</si>
  <si>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</si>
  <si>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</si>
  <si>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</si>
  <si>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</si>
  <si>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</si>
  <si>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</si>
  <si>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</si>
  <si>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</si>
  <si>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</si>
  <si>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</si>
  <si>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</si>
  <si>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</si>
  <si>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</si>
  <si>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</si>
  <si>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</si>
  <si>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</si>
  <si>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</si>
  <si>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</si>
  <si>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</si>
  <si>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</si>
  <si>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</si>
  <si>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</si>
  <si>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</si>
  <si>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</si>
  <si>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</si>
  <si>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</si>
  <si>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</si>
  <si>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</si>
  <si>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</si>
  <si>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</si>
  <si>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</si>
  <si>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</si>
  <si>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</si>
  <si>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</si>
  <si>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</si>
  <si>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</si>
  <si>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</si>
  <si>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</si>
  <si>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</si>
  <si>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</si>
  <si>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</si>
  <si>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</si>
  <si>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</si>
  <si>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</si>
  <si>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</si>
  <si>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</si>
  <si>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</si>
  <si>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</si>
  <si>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</si>
  <si>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</si>
  <si>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</si>
  <si>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</si>
  <si>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</si>
  <si>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</si>
  <si>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</si>
  <si>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</si>
  <si>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</si>
  <si>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</si>
  <si>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</si>
  <si>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</si>
  <si>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</si>
  <si>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</si>
  <si>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</si>
  <si>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</si>
  <si>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</si>
  <si>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</si>
  <si>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</si>
  <si>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</si>
  <si>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</si>
  <si>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</si>
  <si>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</si>
  <si>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</si>
  <si>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</si>
  <si>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</si>
  <si>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</si>
  <si>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</si>
  <si>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</si>
  <si>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</si>
  <si>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</si>
  <si>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</si>
  <si>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</si>
  <si>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</si>
  <si>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</si>
  <si>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</si>
  <si>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</si>
  <si>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</si>
  <si>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</si>
  <si>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</si>
  <si>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</si>
  <si>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</si>
  <si>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</si>
  <si>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</si>
  <si>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</si>
  <si>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</si>
  <si>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</si>
  <si>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</si>
  <si>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</si>
  <si>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</si>
  <si>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</si>
  <si>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</si>
  <si>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</si>
  <si>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</si>
  <si>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</si>
  <si>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</si>
  <si>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</si>
  <si>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</si>
  <si>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</si>
  <si>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</si>
  <si>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</si>
  <si>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</si>
  <si>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</si>
  <si>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</si>
  <si>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</si>
  <si>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</si>
  <si>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</si>
  <si>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</si>
  <si>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</si>
  <si>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</si>
  <si>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</si>
  <si>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</si>
  <si>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</si>
  <si>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</si>
  <si>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</si>
  <si>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</si>
  <si>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</si>
  <si>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</si>
  <si>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</si>
  <si>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</si>
  <si>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</si>
  <si>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</si>
  <si>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</si>
  <si>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</si>
  <si>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</si>
  <si>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</si>
  <si>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</si>
  <si>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</si>
  <si>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</si>
  <si>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</si>
  <si>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</si>
  <si>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</si>
  <si>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</si>
  <si>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</si>
  <si>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</si>
  <si>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</si>
  <si>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낮 음</t>
  </si>
  <si>
    <t>비교적낮음</t>
  </si>
  <si>
    <t>△s</t>
    <phoneticPr fontId="8" type="noConversion"/>
  </si>
  <si>
    <t>W-4</t>
    <phoneticPr fontId="7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</si>
  <si>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</si>
  <si>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</si>
  <si>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</si>
  <si>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</si>
  <si>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</si>
  <si>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</si>
  <si>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</si>
  <si>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</si>
  <si>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</si>
  <si>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</si>
  <si>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</si>
  <si>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</si>
  <si>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</si>
  <si>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</si>
  <si>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</si>
  <si>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</si>
  <si>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</si>
  <si>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</si>
  <si>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</si>
  <si>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</si>
  <si>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</si>
  <si>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</si>
  <si>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</si>
  <si>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</si>
  <si>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</si>
  <si>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</si>
  <si>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</si>
  <si>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</si>
  <si>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한강/한강고양</t>
  </si>
  <si>
    <t>금강/금강하구언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</si>
  <si>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</si>
  <si>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</si>
  <si>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</si>
  <si>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</si>
  <si>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</si>
  <si>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</si>
  <si>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</si>
  <si>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</si>
  <si>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</si>
  <si>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</si>
  <si>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</si>
  <si>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</si>
  <si>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</si>
  <si>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</si>
  <si>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</si>
  <si>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</si>
  <si>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</si>
  <si>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</si>
  <si>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</si>
  <si>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</si>
  <si>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</si>
  <si>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</si>
  <si>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함양량
(㎥/일)</t>
  </si>
  <si>
    <t>30년평균
강우량(mm)</t>
  </si>
  <si>
    <t>유역면적(㎡)</t>
  </si>
  <si>
    <t>면적(㎡)</t>
  </si>
  <si>
    <t>함양량대비
개발가능량(%)</t>
  </si>
  <si>
    <t>개발가능량
(㎥/일)</t>
  </si>
  <si>
    <t>기이용량
(㎥/일)</t>
  </si>
  <si>
    <t>취수계획량
(㎥/일)</t>
  </si>
  <si>
    <t>잔량
(㎥/일)</t>
  </si>
  <si>
    <t>양수량</t>
  </si>
  <si>
    <t>자연수위</t>
  </si>
  <si>
    <t>안정수위</t>
  </si>
  <si>
    <t>투수량계수</t>
  </si>
  <si>
    <t>저류계수</t>
  </si>
  <si>
    <t>공  번</t>
  </si>
  <si>
    <t>심  도</t>
  </si>
  <si>
    <t>양수영향반경</t>
  </si>
  <si>
    <t>장축부</t>
  </si>
  <si>
    <t>구분</t>
  </si>
  <si>
    <t>굴착심도</t>
  </si>
  <si>
    <t>양수시설</t>
  </si>
  <si>
    <t>2.6 대수층 특성 및 적정채수량 분석</t>
  </si>
  <si>
    <t>신규
개발가능량
(㎥/일)</t>
  </si>
  <si>
    <t>2023/3/17일</t>
  </si>
  <si>
    <t>공   번</t>
  </si>
  <si>
    <t>5년</t>
  </si>
  <si>
    <t>A3_ge_OriginalSaveFile.xlsm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</si>
</sst>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</numFmts>
  <fonts count="4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3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8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84" fontId="36" fillId="27" borderId="50" xfId="16" applyNumberFormat="1" applyFont="1" applyFill="1" applyBorder="1" applyAlignment="1">
      <alignment horizontal="center" vertical="center"/>
    </xf>
    <xf numFmtId="187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42" fillId="23" borderId="14" xfId="16" applyFont="1" applyFill="1" applyBorder="1" applyAlignment="1">
      <alignment horizontal="center" vertical="center"/>
    </xf>
    <xf numFmtId="0" fontId="42" fillId="23" borderId="71" xfId="16" applyFont="1" applyFill="1" applyBorder="1" applyAlignment="1">
      <alignment horizontal="center" vertical="center"/>
    </xf>
    <xf numFmtId="190" fontId="42" fillId="23" borderId="71" xfId="16" applyNumberFormat="1" applyFont="1" applyFill="1" applyBorder="1" applyAlignment="1">
      <alignment horizontal="center" vertical="center"/>
    </xf>
    <xf numFmtId="189" fontId="42" fillId="23" borderId="16" xfId="25" applyNumberFormat="1" applyFont="1" applyFill="1" applyBorder="1" applyAlignment="1">
      <alignment horizontal="center" vertical="center"/>
    </xf>
    <xf numFmtId="189" fontId="42" fillId="23" borderId="90" xfId="25" applyNumberFormat="1" applyFont="1" applyFill="1" applyBorder="1" applyAlignment="1">
      <alignment horizontal="center" vertical="center"/>
    </xf>
    <xf numFmtId="189" fontId="42" fillId="23" borderId="91" xfId="25" applyNumberFormat="1" applyFont="1" applyFill="1" applyBorder="1" applyAlignment="1">
      <alignment horizontal="center" vertical="center"/>
    </xf>
    <xf numFmtId="189" fontId="42" fillId="23" borderId="92" xfId="25" applyNumberFormat="1" applyFont="1" applyFill="1" applyBorder="1" applyAlignment="1">
      <alignment horizontal="center" vertical="center"/>
    </xf>
    <xf numFmtId="0" fontId="42" fillId="23" borderId="90" xfId="16" applyFont="1" applyFill="1" applyBorder="1" applyAlignment="1">
      <alignment horizontal="center" vertical="center"/>
    </xf>
    <xf numFmtId="189" fontId="42" fillId="23" borderId="71" xfId="25" applyNumberFormat="1" applyFont="1" applyFill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189" fontId="25" fillId="0" borderId="79" xfId="25" applyNumberFormat="1" applyFont="1" applyBorder="1" applyAlignment="1">
      <alignment horizontal="center" vertical="center"/>
    </xf>
    <xf numFmtId="189" fontId="42" fillId="23" borderId="93" xfId="25" applyNumberFormat="1" applyFont="1" applyFill="1" applyBorder="1" applyAlignment="1">
      <alignment horizontal="center" vertical="center"/>
    </xf>
    <xf numFmtId="189" fontId="18" fillId="0" borderId="89" xfId="25" applyNumberFormat="1" applyFont="1" applyBorder="1" applyAlignment="1">
      <alignment horizontal="center" vertical="center"/>
    </xf>
    <xf numFmtId="189" fontId="18" fillId="0" borderId="94" xfId="25" applyNumberFormat="1" applyFont="1" applyBorder="1" applyAlignment="1">
      <alignment horizontal="center" vertical="center"/>
    </xf>
    <xf numFmtId="189" fontId="18" fillId="0" borderId="105" xfId="25" applyNumberFormat="1" applyFont="1" applyBorder="1" applyAlignment="1">
      <alignment horizontal="center" vertical="center"/>
    </xf>
    <xf numFmtId="0" fontId="18" fillId="0" borderId="89" xfId="25" applyNumberFormat="1" applyFont="1" applyBorder="1" applyAlignment="1">
      <alignment horizontal="center" vertical="center"/>
    </xf>
    <xf numFmtId="0" fontId="18" fillId="0" borderId="94" xfId="25" applyNumberFormat="1" applyFont="1" applyBorder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0" borderId="94" xfId="0" applyNumberFormat="1" applyFont="1" applyBorder="1" applyAlignment="1">
      <alignment horizontal="center" vertical="center"/>
    </xf>
    <xf numFmtId="189" fontId="42" fillId="23" borderId="95" xfId="25" applyNumberFormat="1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7" xfId="0" applyFont="1" applyBorder="1" applyAlignment="1">
      <alignment horizontal="center" vertical="center"/>
    </xf>
    <xf numFmtId="0" fontId="25" fillId="0" borderId="79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190" fontId="25" fillId="0" borderId="72" xfId="0" applyNumberFormat="1" applyFont="1" applyBorder="1" applyAlignment="1">
      <alignment horizontal="center" vertical="center"/>
    </xf>
    <xf numFmtId="189" fontId="25" fillId="0" borderId="17" xfId="25" applyNumberFormat="1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30" borderId="104" xfId="0" applyFont="1" applyFill="1" applyBorder="1" applyAlignment="1">
      <alignment horizontal="center" vertical="center"/>
    </xf>
    <xf numFmtId="0" fontId="28" fillId="30" borderId="71" xfId="0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2" fontId="25" fillId="0" borderId="79" xfId="0" applyNumberFormat="1" applyFont="1" applyBorder="1" applyAlignment="1">
      <alignment horizontal="center" vertical="center"/>
    </xf>
    <xf numFmtId="2" fontId="25" fillId="0" borderId="77" xfId="0" applyNumberFormat="1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2" fontId="25" fillId="0" borderId="17" xfId="0" applyNumberFormat="1" applyFont="1" applyBorder="1" applyAlignment="1">
      <alignment horizontal="center" vertical="center"/>
    </xf>
    <xf numFmtId="2" fontId="25" fillId="0" borderId="72" xfId="0" applyNumberFormat="1" applyFont="1" applyBorder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0" fontId="28" fillId="21" borderId="35" xfId="0" applyFont="1" applyFill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0" fontId="25" fillId="0" borderId="79" xfId="0" applyFont="1" applyBorder="1"/>
    <xf numFmtId="0" fontId="28" fillId="0" borderId="18" xfId="0" applyFont="1" applyBorder="1" applyAlignment="1">
      <alignment horizontal="center" vertical="center"/>
    </xf>
    <xf numFmtId="0" fontId="25" fillId="0" borderId="72" xfId="0" applyFont="1" applyBorder="1"/>
    <xf numFmtId="0" fontId="25" fillId="0" borderId="17" xfId="0" applyFont="1" applyBorder="1"/>
    <xf numFmtId="2" fontId="25" fillId="0" borderId="0" xfId="0" applyNumberFormat="1" applyFont="1"/>
    <xf numFmtId="0" fontId="28" fillId="9" borderId="40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36" xfId="0" applyFont="1" applyFill="1" applyBorder="1" applyAlignment="1">
      <alignment horizontal="center" vertical="center"/>
    </xf>
    <xf numFmtId="2" fontId="28" fillId="9" borderId="3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2" fontId="25" fillId="0" borderId="102" xfId="0" applyNumberFormat="1" applyFont="1" applyBorder="1" applyAlignment="1">
      <alignment horizontal="center" vertical="center"/>
    </xf>
    <xf numFmtId="0" fontId="28" fillId="21" borderId="2" xfId="0" applyFont="1" applyFill="1" applyBorder="1" applyAlignment="1">
      <alignment horizontal="center" vertical="center"/>
    </xf>
    <xf numFmtId="190" fontId="28" fillId="21" borderId="2" xfId="0" applyNumberFormat="1" applyFont="1" applyFill="1" applyBorder="1" applyAlignment="1">
      <alignment horizontal="center" vertical="center"/>
    </xf>
    <xf numFmtId="189" fontId="28" fillId="21" borderId="2" xfId="25" applyNumberFormat="1" applyFont="1" applyFill="1" applyBorder="1" applyAlignment="1">
      <alignment horizontal="center" vertical="center"/>
    </xf>
    <xf numFmtId="0" fontId="28" fillId="21" borderId="36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25" fillId="0" borderId="102" xfId="0" applyFont="1" applyBorder="1" applyAlignment="1">
      <alignment vertical="center"/>
    </xf>
    <xf numFmtId="182" fontId="25" fillId="0" borderId="102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25" fillId="0" borderId="79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10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9" fillId="0" borderId="0" xfId="18" applyFont="1" applyAlignment="1">
      <alignment horizontal="left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03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0" fontId="15" fillId="0" borderId="111" xfId="0" applyFont="1" applyBorder="1" applyAlignment="1">
      <alignment horizontal="center" vertical="center"/>
    </xf>
    <xf numFmtId="0" fontId="34" fillId="0" borderId="111" xfId="20" applyNumberFormat="1" applyFont="1" applyBorder="1" applyAlignment="1" applyProtection="1">
      <alignment horizontal="center" vertical="center"/>
      <protection locked="0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0" fontId="15" fillId="0" borderId="114" xfId="0" applyFont="1" applyBorder="1" applyAlignment="1">
      <alignment horizontal="center" vertical="center"/>
    </xf>
    <xf numFmtId="0" fontId="34" fillId="0" borderId="114" xfId="20" applyNumberFormat="1" applyFont="1" applyBorder="1" applyAlignment="1" applyProtection="1">
      <alignment horizontal="center" vertical="center"/>
      <protection locked="0"/>
    </xf>
    <xf numFmtId="0" fontId="34" fillId="0" borderId="11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29" fillId="9" borderId="108" xfId="0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09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29" fillId="9" borderId="108" xfId="0" applyFont="1" applyFill="1" applyBorder="1" applyAlignment="1">
      <alignment horizontal="center" vertical="center" wrapText="1"/>
    </xf>
    <xf numFmtId="0" fontId="29" fillId="9" borderId="111" xfId="0" applyFont="1" applyFill="1" applyBorder="1" applyAlignment="1">
      <alignment horizontal="center" vertical="center" wrapText="1"/>
    </xf>
    <xf numFmtId="41" fontId="29" fillId="9" borderId="108" xfId="20" applyFont="1" applyFill="1" applyBorder="1" applyAlignment="1">
      <alignment horizontal="center" vertical="center" wrapText="1"/>
    </xf>
    <xf numFmtId="41" fontId="29" fillId="9" borderId="111" xfId="20" applyFont="1" applyFill="1" applyBorder="1" applyAlignment="1">
      <alignment horizontal="center" vertical="center" wrapText="1"/>
    </xf>
    <xf numFmtId="0" fontId="44" fillId="9" borderId="108" xfId="21" applyFont="1" applyFill="1" applyBorder="1" applyAlignment="1">
      <alignment horizontal="center" vertical="center" wrapText="1"/>
    </xf>
    <xf numFmtId="0" fontId="44" fillId="9" borderId="111" xfId="21" applyFont="1" applyFill="1" applyBorder="1" applyAlignment="1">
      <alignment horizontal="center" vertical="center" wrapText="1"/>
    </xf>
    <xf numFmtId="0" fontId="29" fillId="9" borderId="107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90" fontId="25" fillId="0" borderId="16" xfId="0" applyNumberFormat="1" applyFont="1" applyBorder="1" applyAlignment="1">
      <alignment horizontal="center" vertical="center"/>
    </xf>
    <xf numFmtId="190" fontId="25" fillId="0" borderId="17" xfId="0" applyNumberFormat="1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82" fontId="25" fillId="0" borderId="104" xfId="0" applyNumberFormat="1" applyFont="1" applyBorder="1" applyAlignment="1">
      <alignment horizontal="center" vertical="center"/>
    </xf>
    <xf numFmtId="182" fontId="25" fillId="0" borderId="102" xfId="0" applyNumberFormat="1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184" fontId="18" fillId="28" borderId="35" xfId="16" applyNumberFormat="1" applyFont="1" applyFill="1" applyBorder="1">
      <alignment vertical="center"/>
    </xf>
    <xf numFmtId="185" fontId="25" fillId="0" borderId="35" xfId="16" applyNumberFormat="1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89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90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5.emf"/><Relationship Id="rId7" Type="http://schemas.openxmlformats.org/officeDocument/2006/relationships/image" Target="../media/image12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image" Target="../media/image29.emf"/><Relationship Id="rId7" Type="http://schemas.openxmlformats.org/officeDocument/2006/relationships/image" Target="../media/image3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4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Relationship Id="rId9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438150</xdr:rowOff>
        </xdr:from>
        <xdr:to>
          <xdr:col>14</xdr:col>
          <xdr:colOff>523875</xdr:colOff>
          <xdr:row>0</xdr:row>
          <xdr:rowOff>752475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0</xdr:row>
          <xdr:rowOff>438150</xdr:rowOff>
        </xdr:from>
        <xdr:to>
          <xdr:col>15</xdr:col>
          <xdr:colOff>609600</xdr:colOff>
          <xdr:row>0</xdr:row>
          <xdr:rowOff>752475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400050</xdr:rowOff>
        </xdr:from>
        <xdr:to>
          <xdr:col>2</xdr:col>
          <xdr:colOff>666750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0</xdr:row>
          <xdr:rowOff>438150</xdr:rowOff>
        </xdr:from>
        <xdr:to>
          <xdr:col>16</xdr:col>
          <xdr:colOff>476250</xdr:colOff>
          <xdr:row>0</xdr:row>
          <xdr:rowOff>752475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0</xdr:row>
          <xdr:rowOff>428625</xdr:rowOff>
        </xdr:from>
        <xdr:to>
          <xdr:col>16</xdr:col>
          <xdr:colOff>1276350</xdr:colOff>
          <xdr:row>0</xdr:row>
          <xdr:rowOff>742950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5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704850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5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9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9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A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A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A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A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A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A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A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A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A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B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B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B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B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C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C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C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C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F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11" dataDxfId="10">
  <autoFilter ref="A1:C16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적정취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Relationship Id="rId2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4.emf"/><Relationship Id="rId5" Type="http://schemas.openxmlformats.org/officeDocument/2006/relationships/control" Target="../activeX/activeX24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6.emf"/><Relationship Id="rId5" Type="http://schemas.openxmlformats.org/officeDocument/2006/relationships/control" Target="../activeX/activeX26.xml"/><Relationship Id="rId4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18" Type="http://schemas.openxmlformats.org/officeDocument/2006/relationships/control" Target="../activeX/activeX3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37.emf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1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5" Type="http://schemas.openxmlformats.org/officeDocument/2006/relationships/image" Target="../media/image34.emf"/><Relationship Id="rId10" Type="http://schemas.openxmlformats.org/officeDocument/2006/relationships/control" Target="../activeX/activeX32.xml"/><Relationship Id="rId19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Relationship Id="rId14" Type="http://schemas.openxmlformats.org/officeDocument/2006/relationships/control" Target="../activeX/activeX34.xml"/><Relationship Id="rId2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12" Type="http://schemas.openxmlformats.org/officeDocument/2006/relationships/comments" Target="../comments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12" Type="http://schemas.openxmlformats.org/officeDocument/2006/relationships/comments" Target="../comments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7.xml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0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5" Type="http://schemas.openxmlformats.org/officeDocument/2006/relationships/image" Target="../media/image52.emf"/><Relationship Id="rId4" Type="http://schemas.openxmlformats.org/officeDocument/2006/relationships/control" Target="../activeX/activeX52.xml"/><Relationship Id="rId9" Type="http://schemas.openxmlformats.org/officeDocument/2006/relationships/image" Target="../media/image5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opLeftCell="A13"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81" t="s">
        <v>232</v>
      </c>
      <c r="C2" s="481"/>
      <c r="D2" s="481"/>
      <c r="E2" s="481"/>
      <c r="F2" s="481"/>
      <c r="G2" s="481"/>
      <c r="H2" s="481"/>
      <c r="I2" s="481"/>
      <c r="J2" s="481"/>
      <c r="K2" s="481"/>
      <c r="L2" s="481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34" t="s">
        <v>318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35"/>
  <sheetViews>
    <sheetView tabSelected="1" zoomScaleNormal="100" workbookViewId="0">
      <selection activeCell="H23" sqref="H23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482" t="s">
        <v>271</v>
      </c>
      <c r="J24" s="483"/>
      <c r="K24" s="323">
        <f>INDEX(Location[recharge], MATCH(I24,Location[name],0))</f>
        <v>0.13400000000000001</v>
      </c>
      <c r="L24" s="324">
        <f>INDEX(Location[ratio], MATCH(I24,Location[name],0))</f>
        <v>0.65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484" t="s">
        <v>272</v>
      </c>
      <c r="J25" s="485"/>
      <c r="K25" s="325">
        <f>INDEX(Location[recharge], MATCH(I25,Location[name],0))</f>
        <v>0.16600000000000001</v>
      </c>
      <c r="L25" s="326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0.65</v>
      </c>
      <c r="D26" s="222">
        <f>L25</f>
        <v>0.64</v>
      </c>
      <c r="E26" s="221">
        <f>L26</f>
        <v>0.65</v>
      </c>
      <c r="H26" s="213" t="s">
        <v>189</v>
      </c>
      <c r="I26" s="486" t="s">
        <v>270</v>
      </c>
      <c r="J26" s="487"/>
      <c r="K26" s="327">
        <f>INDEX(Location[recharge], MATCH(I26,Location[name],0))</f>
        <v>0.127</v>
      </c>
      <c r="L26" s="328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0.13400000000000001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16.057220000000001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36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35">
        <v>0.13600000000000001</v>
      </c>
      <c r="C2" s="335">
        <v>0.66</v>
      </c>
    </row>
    <row r="3" spans="1:12" ht="18" customHeight="1">
      <c r="A3" s="322" t="s">
        <v>193</v>
      </c>
      <c r="B3" s="335">
        <v>0.151</v>
      </c>
      <c r="C3" s="335">
        <v>0.65</v>
      </c>
    </row>
    <row r="4" spans="1:12" ht="18" customHeight="1">
      <c r="A4" s="322" t="s">
        <v>183</v>
      </c>
      <c r="B4" s="335">
        <v>0.16700000000000001</v>
      </c>
      <c r="C4" s="335">
        <v>0.65</v>
      </c>
      <c r="J4" s="336" t="s">
        <v>195</v>
      </c>
      <c r="K4" s="336">
        <f>INDEX(Location[recharge],MATCH(J4,Location[name],0))</f>
        <v>0.16600000000000001</v>
      </c>
      <c r="L4" s="336">
        <f>INDEX(Location[ratio], MATCH(J4,Location[name]))</f>
        <v>0.65</v>
      </c>
    </row>
    <row r="5" spans="1:12" ht="18" customHeight="1">
      <c r="A5" s="322" t="s">
        <v>184</v>
      </c>
      <c r="B5" s="335">
        <v>0.17299999999999999</v>
      </c>
      <c r="C5" s="335">
        <v>0.66849999999999998</v>
      </c>
    </row>
    <row r="6" spans="1:12" ht="18" customHeight="1">
      <c r="A6" s="322" t="s">
        <v>194</v>
      </c>
      <c r="B6" s="335">
        <v>0.16300000000000001</v>
      </c>
      <c r="C6" s="335">
        <v>0.67</v>
      </c>
    </row>
    <row r="7" spans="1:12" ht="18" customHeight="1">
      <c r="A7" s="322" t="s">
        <v>196</v>
      </c>
      <c r="B7" s="335">
        <v>0.16600000000000001</v>
      </c>
      <c r="C7" s="335">
        <v>0.64</v>
      </c>
      <c r="E7" s="336" t="s">
        <v>205</v>
      </c>
    </row>
    <row r="8" spans="1:12" ht="18" customHeight="1">
      <c r="A8" s="322" t="s">
        <v>197</v>
      </c>
      <c r="B8" s="335">
        <v>0.16600000000000001</v>
      </c>
      <c r="C8" s="335">
        <v>0.64</v>
      </c>
    </row>
    <row r="9" spans="1:12" ht="18" customHeight="1">
      <c r="A9" s="322" t="s">
        <v>185</v>
      </c>
      <c r="B9" s="335">
        <v>0.125</v>
      </c>
      <c r="C9" s="335">
        <v>0.67</v>
      </c>
    </row>
    <row r="10" spans="1:12" ht="18" customHeight="1">
      <c r="A10" s="322" t="s">
        <v>198</v>
      </c>
      <c r="B10" s="335">
        <v>0.127</v>
      </c>
      <c r="C10" s="335">
        <v>0.65</v>
      </c>
    </row>
    <row r="11" spans="1:12" ht="18" customHeight="1">
      <c r="A11" s="322" t="s">
        <v>199</v>
      </c>
      <c r="B11" s="335">
        <v>0.128</v>
      </c>
      <c r="C11" s="335">
        <v>0.64</v>
      </c>
    </row>
    <row r="12" spans="1:12" ht="18" customHeight="1">
      <c r="A12" s="322" t="s">
        <v>200</v>
      </c>
      <c r="B12" s="335">
        <v>0.17499999999999999</v>
      </c>
      <c r="C12" s="335">
        <v>0.67</v>
      </c>
    </row>
    <row r="13" spans="1:12" ht="18" customHeight="1">
      <c r="A13" s="322" t="s">
        <v>213</v>
      </c>
      <c r="B13" s="335">
        <v>0.13</v>
      </c>
      <c r="C13" s="335">
        <v>0.63</v>
      </c>
    </row>
    <row r="14" spans="1:12" ht="18" customHeight="1">
      <c r="A14" s="322" t="s">
        <v>214</v>
      </c>
      <c r="B14" s="335">
        <v>0.13400000000000001</v>
      </c>
      <c r="C14" s="335">
        <v>0.65</v>
      </c>
    </row>
    <row r="15" spans="1:12" ht="18" customHeight="1">
      <c r="A15" s="322" t="s">
        <v>215</v>
      </c>
      <c r="B15" s="335">
        <v>0.16500000000000001</v>
      </c>
      <c r="C15" s="335">
        <v>0.62</v>
      </c>
    </row>
    <row r="16" spans="1:12" ht="18" customHeight="1">
      <c r="A16" s="322" t="s">
        <v>273</v>
      </c>
      <c r="B16" s="335">
        <v>0.16300000000000001</v>
      </c>
      <c r="C16" s="335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8"/>
  <sheetViews>
    <sheetView zoomScaleNormal="100" workbookViewId="0">
      <selection activeCell="D15" sqref="D15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285</v>
      </c>
      <c r="J1" s="68"/>
    </row>
    <row r="2" spans="1:18" s="77" customFormat="1" ht="23.1" customHeight="1">
      <c r="A2" s="498" t="s">
        <v>0</v>
      </c>
      <c r="B2" s="488" t="s">
        <v>39</v>
      </c>
      <c r="C2" s="488" t="s">
        <v>6</v>
      </c>
      <c r="D2" s="488" t="s">
        <v>38</v>
      </c>
      <c r="E2" s="488" t="s">
        <v>207</v>
      </c>
      <c r="F2" s="488" t="s">
        <v>206</v>
      </c>
      <c r="G2" s="492" t="s">
        <v>1</v>
      </c>
      <c r="H2" s="492" t="s">
        <v>2</v>
      </c>
      <c r="I2" s="492" t="s">
        <v>175</v>
      </c>
      <c r="J2" s="496" t="s">
        <v>294</v>
      </c>
      <c r="K2" s="492" t="s">
        <v>293</v>
      </c>
      <c r="L2" s="492" t="s">
        <v>3</v>
      </c>
      <c r="M2" s="492" t="s">
        <v>4</v>
      </c>
      <c r="N2" s="492" t="s">
        <v>5</v>
      </c>
      <c r="O2" s="492" t="s">
        <v>292</v>
      </c>
      <c r="P2" s="494" t="s">
        <v>291</v>
      </c>
      <c r="Q2" s="488" t="s">
        <v>161</v>
      </c>
      <c r="R2" s="490" t="s">
        <v>93</v>
      </c>
    </row>
    <row r="3" spans="1:18" s="77" customFormat="1" ht="27" customHeight="1">
      <c r="A3" s="499"/>
      <c r="B3" s="489"/>
      <c r="C3" s="489"/>
      <c r="D3" s="489"/>
      <c r="E3" s="489"/>
      <c r="F3" s="489"/>
      <c r="G3" s="493"/>
      <c r="H3" s="493"/>
      <c r="I3" s="493"/>
      <c r="J3" s="497"/>
      <c r="K3" s="493"/>
      <c r="L3" s="493"/>
      <c r="M3" s="493"/>
      <c r="N3" s="493"/>
      <c r="O3" s="493"/>
      <c r="P3" s="495"/>
      <c r="Q3" s="489"/>
      <c r="R3" s="491"/>
    </row>
    <row r="4" spans="1:18" ht="23.1" customHeight="1">
      <c r="A4" s="467" t="s">
        <v>269</v>
      </c>
      <c r="B4" s="468" t="s">
        <v>233</v>
      </c>
      <c r="C4" s="469"/>
      <c r="D4" s="468" t="s">
        <v>283</v>
      </c>
      <c r="E4" s="468" t="s">
        <v>284</v>
      </c>
      <c r="F4" s="468" t="s">
        <v>234</v>
      </c>
      <c r="G4" s="468">
        <v>200</v>
      </c>
      <c r="H4" s="468">
        <v>500</v>
      </c>
      <c r="I4" s="468">
        <v>130</v>
      </c>
      <c r="J4" s="468">
        <v>143</v>
      </c>
      <c r="K4" s="468">
        <v>143</v>
      </c>
      <c r="L4" s="468">
        <v>10</v>
      </c>
      <c r="M4" s="468">
        <v>200</v>
      </c>
      <c r="N4" s="470">
        <v>50</v>
      </c>
      <c r="O4" s="471">
        <v>172.8</v>
      </c>
      <c r="P4" s="472">
        <v>3059068</v>
      </c>
      <c r="Q4" s="468"/>
      <c r="R4" s="473"/>
    </row>
    <row r="5" spans="1:18" ht="23.1" customHeight="1">
      <c r="A5" s="467" t="s">
        <v>281</v>
      </c>
      <c r="B5" s="468" t="s">
        <v>233</v>
      </c>
      <c r="C5" s="469"/>
      <c r="D5" s="468" t="s">
        <v>283</v>
      </c>
      <c r="E5" s="468" t="s">
        <v>284</v>
      </c>
      <c r="F5" s="468" t="s">
        <v>234</v>
      </c>
      <c r="G5" s="468">
        <v>200</v>
      </c>
      <c r="H5" s="468">
        <v>500</v>
      </c>
      <c r="I5" s="468">
        <v>130</v>
      </c>
      <c r="J5" s="468">
        <v>143</v>
      </c>
      <c r="K5" s="468">
        <v>143</v>
      </c>
      <c r="L5" s="468">
        <v>10</v>
      </c>
      <c r="M5" s="468">
        <v>200</v>
      </c>
      <c r="N5" s="470">
        <v>50</v>
      </c>
      <c r="O5" s="471">
        <v>172.8</v>
      </c>
      <c r="P5" s="472">
        <v>3059068</v>
      </c>
      <c r="Q5" s="468"/>
      <c r="R5" s="473"/>
    </row>
    <row r="6" spans="1:18" ht="23.1" customHeight="1" thickBot="1">
      <c r="A6" s="474" t="s">
        <v>282</v>
      </c>
      <c r="B6" s="475" t="s">
        <v>233</v>
      </c>
      <c r="C6" s="476"/>
      <c r="D6" s="475" t="s">
        <v>283</v>
      </c>
      <c r="E6" s="475" t="s">
        <v>284</v>
      </c>
      <c r="F6" s="475" t="s">
        <v>234</v>
      </c>
      <c r="G6" s="475">
        <v>200</v>
      </c>
      <c r="H6" s="475">
        <v>500</v>
      </c>
      <c r="I6" s="475">
        <v>130</v>
      </c>
      <c r="J6" s="475">
        <v>143</v>
      </c>
      <c r="K6" s="475">
        <v>143</v>
      </c>
      <c r="L6" s="475">
        <v>10</v>
      </c>
      <c r="M6" s="475">
        <v>200</v>
      </c>
      <c r="N6" s="477">
        <v>50</v>
      </c>
      <c r="O6" s="478">
        <v>172.8</v>
      </c>
      <c r="P6" s="479">
        <v>3059068</v>
      </c>
      <c r="Q6" s="475"/>
      <c r="R6" s="480"/>
    </row>
    <row r="7" spans="1:18" ht="23.25" customHeight="1">
      <c r="A7" s="322"/>
      <c r="J7" s="437"/>
      <c r="P7" s="438"/>
    </row>
    <row r="8" spans="1:18" ht="23.25" customHeight="1">
      <c r="I8" s="436">
        <f>SUM(I4:I7)</f>
        <v>390</v>
      </c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42" r:id="rId4" name="CommandButton7">
          <controlPr defaultSize="0" autoLine="0" r:id="rId5">
            <anchor moveWithCells="1">
              <from>
                <xdr:col>15</xdr:col>
                <xdr:colOff>657225</xdr:colOff>
                <xdr:row>0</xdr:row>
                <xdr:rowOff>438150</xdr:rowOff>
              </from>
              <to>
                <xdr:col>16</xdr:col>
                <xdr:colOff>476250</xdr:colOff>
                <xdr:row>0</xdr:row>
                <xdr:rowOff>752475</xdr:rowOff>
              </to>
            </anchor>
          </controlPr>
        </control>
      </mc:Choice>
      <mc:Fallback>
        <control shapeId="99342" r:id="rId4" name="CommandButton7"/>
      </mc:Fallback>
    </mc:AlternateContent>
    <mc:AlternateContent xmlns:mc="http://schemas.openxmlformats.org/markup-compatibility/2006">
      <mc:Choice Requires="x14">
        <control shapeId="99335" r:id="rId6" name="CommandButton5">
          <controlPr defaultSize="0" autoLine="0" r:id="rId7">
            <anchor moveWithCells="1">
              <from>
                <xdr:col>14</xdr:col>
                <xdr:colOff>571500</xdr:colOff>
                <xdr:row>0</xdr:row>
                <xdr:rowOff>438150</xdr:rowOff>
              </from>
              <to>
                <xdr:col>15</xdr:col>
                <xdr:colOff>609600</xdr:colOff>
                <xdr:row>0</xdr:row>
                <xdr:rowOff>752475</xdr:rowOff>
              </to>
            </anchor>
          </controlPr>
        </control>
      </mc:Choice>
      <mc:Fallback>
        <control shapeId="99335" r:id="rId6" name="CommandButton5"/>
      </mc:Fallback>
    </mc:AlternateContent>
    <mc:AlternateContent xmlns:mc="http://schemas.openxmlformats.org/markup-compatibility/2006">
      <mc:Choice Requires="x14">
        <control shapeId="99334" r:id="rId8" name="SingleColor">
          <controlPr defaultSize="0" autoLine="0" r:id="rId9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8" name="SingleColor"/>
      </mc:Fallback>
    </mc:AlternateContent>
    <mc:AlternateContent xmlns:mc="http://schemas.openxmlformats.org/markup-compatibility/2006">
      <mc:Choice Requires="x14">
        <control shapeId="99332" r:id="rId10" name="CommandButton4">
          <controlPr defaultSize="0" autoLine="0" r:id="rId11">
            <anchor moveWithCells="1">
              <from>
                <xdr:col>13</xdr:col>
                <xdr:colOff>323850</xdr:colOff>
                <xdr:row>0</xdr:row>
                <xdr:rowOff>438150</xdr:rowOff>
              </from>
              <to>
                <xdr:col>14</xdr:col>
                <xdr:colOff>523875</xdr:colOff>
                <xdr:row>0</xdr:row>
                <xdr:rowOff>752475</xdr:rowOff>
              </to>
            </anchor>
          </controlPr>
        </control>
      </mc:Choice>
      <mc:Fallback>
        <control shapeId="99332" r:id="rId10" name="CommandButton4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104775</xdr:colOff>
                <xdr:row>0</xdr:row>
                <xdr:rowOff>400050</xdr:rowOff>
              </from>
              <to>
                <xdr:col>2</xdr:col>
                <xdr:colOff>666750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46" r:id="rId18" name="CommandButton3">
          <controlPr defaultSize="0" autoLine="0" r:id="rId19">
            <anchor moveWithCells="1">
              <from>
                <xdr:col>16</xdr:col>
                <xdr:colOff>514350</xdr:colOff>
                <xdr:row>0</xdr:row>
                <xdr:rowOff>428625</xdr:rowOff>
              </from>
              <to>
                <xdr:col>16</xdr:col>
                <xdr:colOff>1276350</xdr:colOff>
                <xdr:row>0</xdr:row>
                <xdr:rowOff>742950</xdr:rowOff>
              </to>
            </anchor>
          </controlPr>
        </control>
      </mc:Choice>
      <mc:Fallback>
        <control shapeId="99346" r:id="rId18" name="CommandButton3"/>
      </mc:Fallback>
    </mc:AlternateContent>
    <mc:AlternateContent xmlns:mc="http://schemas.openxmlformats.org/markup-compatibility/2006">
      <mc:Choice Requires="x14">
        <control shapeId="99353" r:id="rId20" name="CommandButton8">
          <controlPr defaultSize="0" autoLine="0" autoPict="0" r:id="rId2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704850</xdr:colOff>
                <xdr:row>0</xdr:row>
                <xdr:rowOff>714375</xdr:rowOff>
              </to>
            </anchor>
          </controlPr>
        </control>
      </mc:Choice>
      <mc:Fallback>
        <control shapeId="99353" r:id="rId20" name="CommandButton8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L42" sqref="L42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37" customWidth="1"/>
    <col min="10" max="10" width="11.77734375" style="37" customWidth="1"/>
    <col min="11" max="11" width="11.77734375" style="338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243</v>
      </c>
    </row>
    <row r="2" spans="7:19" ht="29.25" customHeight="1" thickBot="1">
      <c r="G2" s="339" t="s">
        <v>212</v>
      </c>
      <c r="H2" s="340" t="s">
        <v>209</v>
      </c>
      <c r="I2" s="341" t="s">
        <v>218</v>
      </c>
      <c r="J2" s="340" t="s">
        <v>210</v>
      </c>
      <c r="K2" s="342" t="s">
        <v>211</v>
      </c>
      <c r="M2" s="343"/>
      <c r="N2" s="344" t="s">
        <v>216</v>
      </c>
      <c r="O2" s="345" t="s">
        <v>217</v>
      </c>
      <c r="Q2" s="346" t="s">
        <v>212</v>
      </c>
      <c r="R2" s="347" t="s">
        <v>220</v>
      </c>
      <c r="S2" s="342" t="s">
        <v>221</v>
      </c>
    </row>
    <row r="3" spans="7:19" ht="20.100000000000001" customHeight="1" thickBot="1">
      <c r="G3" s="348" t="s">
        <v>236</v>
      </c>
      <c r="H3" s="37">
        <v>149</v>
      </c>
      <c r="I3" s="337">
        <v>133.95966914143432</v>
      </c>
      <c r="J3" s="37">
        <v>130</v>
      </c>
      <c r="K3" s="349">
        <v>0.89261744966442957</v>
      </c>
      <c r="M3" s="350" t="s">
        <v>211</v>
      </c>
      <c r="N3" s="351">
        <v>0.89261744966442957</v>
      </c>
      <c r="O3" s="352">
        <v>0.89261744966442957</v>
      </c>
      <c r="Q3" s="353" t="s">
        <v>236</v>
      </c>
      <c r="R3" s="354">
        <v>6.0139999999999998E-4</v>
      </c>
      <c r="S3" s="355">
        <v>0.21038480000000001</v>
      </c>
    </row>
    <row r="4" spans="7:19" ht="20.100000000000001" customHeight="1" thickBot="1">
      <c r="G4" s="348" t="s">
        <v>237</v>
      </c>
      <c r="H4" s="37">
        <v>149</v>
      </c>
      <c r="I4" s="337">
        <v>133.92821031130663</v>
      </c>
      <c r="J4" s="37">
        <v>130</v>
      </c>
      <c r="K4" s="349">
        <v>0.89261744966442957</v>
      </c>
      <c r="M4" s="350" t="s">
        <v>218</v>
      </c>
      <c r="N4" s="356">
        <v>133.92821031130663</v>
      </c>
      <c r="O4" s="357">
        <v>133.95966914143432</v>
      </c>
      <c r="Q4" s="353" t="s">
        <v>237</v>
      </c>
      <c r="R4" s="354">
        <v>5.5579999999999996E-4</v>
      </c>
      <c r="S4" s="355">
        <v>0.19516990000000001</v>
      </c>
    </row>
    <row r="5" spans="7:19" ht="20.100000000000001" customHeight="1" thickBot="1">
      <c r="G5" s="348" t="s">
        <v>238</v>
      </c>
      <c r="H5" s="37">
        <v>149</v>
      </c>
      <c r="I5" s="337">
        <v>133.93943451037802</v>
      </c>
      <c r="J5" s="37">
        <v>130</v>
      </c>
      <c r="K5" s="349">
        <v>0.89261744966442957</v>
      </c>
      <c r="M5" s="358" t="s">
        <v>219</v>
      </c>
      <c r="N5" s="359">
        <v>130</v>
      </c>
      <c r="O5" s="360">
        <v>130</v>
      </c>
      <c r="Q5" s="353" t="s">
        <v>238</v>
      </c>
      <c r="R5" s="354">
        <v>5.7790000000000001E-4</v>
      </c>
      <c r="S5" s="355">
        <v>0.2025769</v>
      </c>
    </row>
    <row r="6" spans="7:19" ht="20.100000000000001" customHeight="1">
      <c r="G6" s="348"/>
      <c r="K6" s="349"/>
      <c r="Q6" s="353"/>
      <c r="R6" s="354"/>
      <c r="S6" s="355"/>
    </row>
    <row r="7" spans="7:19" ht="20.100000000000001" customHeight="1">
      <c r="G7" s="348"/>
      <c r="K7" s="349"/>
      <c r="Q7" s="353"/>
      <c r="R7" s="354"/>
      <c r="S7" s="355"/>
    </row>
    <row r="8" spans="7:19" ht="20.100000000000001" customHeight="1">
      <c r="G8" s="348"/>
      <c r="K8" s="349"/>
      <c r="Q8" s="348"/>
      <c r="S8" s="361"/>
    </row>
    <row r="9" spans="7:19" ht="20.100000000000001" customHeight="1">
      <c r="G9" s="348"/>
      <c r="K9" s="349"/>
      <c r="Q9" s="348"/>
      <c r="S9" s="361"/>
    </row>
    <row r="10" spans="7:19" ht="20.100000000000001" customHeight="1">
      <c r="G10" s="348"/>
      <c r="K10" s="349"/>
      <c r="Q10" s="348"/>
      <c r="S10" s="361"/>
    </row>
    <row r="11" spans="7:19" ht="20.100000000000001" customHeight="1">
      <c r="G11" s="348"/>
      <c r="K11" s="349"/>
      <c r="Q11" s="348"/>
      <c r="S11" s="361"/>
    </row>
    <row r="12" spans="7:19" ht="20.100000000000001" customHeight="1">
      <c r="G12" s="348"/>
      <c r="K12" s="349"/>
      <c r="Q12" s="348"/>
      <c r="S12" s="361"/>
    </row>
    <row r="13" spans="7:19" ht="20.100000000000001" customHeight="1">
      <c r="G13" s="348"/>
      <c r="K13" s="349"/>
      <c r="Q13" s="348"/>
      <c r="S13" s="361"/>
    </row>
    <row r="14" spans="7:19" ht="20.100000000000001" customHeight="1">
      <c r="G14" s="348"/>
      <c r="K14" s="349"/>
      <c r="Q14" s="348"/>
      <c r="S14" s="361"/>
    </row>
    <row r="15" spans="7:19" ht="20.100000000000001" customHeight="1">
      <c r="G15" s="348"/>
      <c r="K15" s="349"/>
      <c r="Q15" s="348"/>
      <c r="S15" s="361"/>
    </row>
    <row r="16" spans="7:19" ht="20.100000000000001" customHeight="1">
      <c r="G16" s="348"/>
      <c r="K16" s="349"/>
      <c r="Q16" s="348"/>
      <c r="S16" s="361"/>
    </row>
    <row r="17" spans="6:19" ht="20.100000000000001" customHeight="1">
      <c r="G17" s="348"/>
      <c r="K17" s="349"/>
      <c r="Q17" s="348"/>
      <c r="S17" s="361"/>
    </row>
    <row r="18" spans="6:19" ht="20.100000000000001" customHeight="1">
      <c r="G18" s="348"/>
      <c r="K18" s="349"/>
      <c r="Q18" s="348"/>
      <c r="S18" s="361"/>
    </row>
    <row r="19" spans="6:19" ht="20.100000000000001" customHeight="1" thickBot="1">
      <c r="G19" s="362"/>
      <c r="H19" s="363"/>
      <c r="I19" s="364"/>
      <c r="J19" s="363"/>
      <c r="K19" s="365"/>
      <c r="Q19" s="362"/>
      <c r="R19" s="363"/>
      <c r="S19" s="366"/>
    </row>
    <row r="22" spans="6:19" ht="20.100000000000001" customHeight="1">
      <c r="M22" s="337"/>
      <c r="N22" s="337"/>
      <c r="O22" s="337"/>
      <c r="P22" s="337"/>
      <c r="Q22" s="337"/>
      <c r="R22" s="337"/>
      <c r="S22" s="337"/>
    </row>
    <row r="23" spans="6:19" ht="20.100000000000001" customHeight="1">
      <c r="M23" s="367">
        <v>133.95966914143432</v>
      </c>
      <c r="N23" s="356">
        <v>133.92821031130663</v>
      </c>
      <c r="O23" s="367">
        <v>133.93943451037802</v>
      </c>
      <c r="P23" s="356">
        <v>124.10752425577586</v>
      </c>
      <c r="Q23" s="367">
        <v>155.45958109179159</v>
      </c>
      <c r="R23" s="337"/>
      <c r="S23" s="337"/>
    </row>
    <row r="24" spans="6:19" ht="20.100000000000001" customHeight="1">
      <c r="M24" s="368">
        <v>130</v>
      </c>
      <c r="N24" s="369">
        <v>130</v>
      </c>
      <c r="O24" s="368">
        <v>130</v>
      </c>
      <c r="P24" s="369">
        <v>120</v>
      </c>
      <c r="Q24" s="368">
        <v>150</v>
      </c>
      <c r="R24" s="337"/>
      <c r="S24" s="337"/>
    </row>
    <row r="25" spans="6:19" ht="20.100000000000001" customHeight="1" thickBot="1">
      <c r="M25" s="337"/>
      <c r="N25" s="337"/>
      <c r="O25" s="337"/>
      <c r="P25" s="337"/>
      <c r="Q25" s="337"/>
      <c r="R25" s="337"/>
      <c r="S25" s="337"/>
    </row>
    <row r="26" spans="6:19" ht="27" customHeight="1" thickBot="1">
      <c r="G26" s="370" t="s">
        <v>252</v>
      </c>
      <c r="H26" s="371"/>
      <c r="I26" s="372"/>
    </row>
    <row r="27" spans="6:19" ht="15.95" customHeight="1">
      <c r="F27" s="504" t="s">
        <v>236</v>
      </c>
      <c r="G27" s="500">
        <v>149</v>
      </c>
      <c r="H27" s="373">
        <v>44.94</v>
      </c>
      <c r="I27" s="502">
        <v>133.95966914143432</v>
      </c>
    </row>
    <row r="28" spans="6:19" ht="15.95" customHeight="1" thickBot="1">
      <c r="F28" s="505"/>
      <c r="G28" s="501"/>
      <c r="H28" s="374">
        <v>21.13</v>
      </c>
      <c r="I28" s="503"/>
      <c r="K28" s="37"/>
    </row>
    <row r="29" spans="6:19" ht="15.95" customHeight="1">
      <c r="F29" s="504" t="s">
        <v>237</v>
      </c>
      <c r="G29" s="500">
        <v>149</v>
      </c>
      <c r="H29" s="373">
        <v>41.65</v>
      </c>
      <c r="I29" s="502">
        <v>133.92821031130663</v>
      </c>
    </row>
    <row r="30" spans="6:19" ht="15.95" customHeight="1" thickBot="1">
      <c r="F30" s="505"/>
      <c r="G30" s="501"/>
      <c r="H30" s="374">
        <v>19.59</v>
      </c>
      <c r="I30" s="503"/>
    </row>
    <row r="31" spans="6:19" ht="15.95" customHeight="1">
      <c r="F31" s="504" t="s">
        <v>238</v>
      </c>
      <c r="G31" s="500">
        <v>149</v>
      </c>
      <c r="H31" s="373">
        <v>43.25</v>
      </c>
      <c r="I31" s="502">
        <v>133.93943451037802</v>
      </c>
    </row>
    <row r="32" spans="6:19" ht="15.95" customHeight="1" thickBot="1">
      <c r="F32" s="505"/>
      <c r="G32" s="501"/>
      <c r="H32" s="374">
        <v>20.34</v>
      </c>
      <c r="I32" s="503"/>
    </row>
    <row r="33" spans="6:9" ht="15.95" customHeight="1">
      <c r="F33" s="504"/>
      <c r="G33" s="500"/>
      <c r="H33" s="373"/>
      <c r="I33" s="502"/>
    </row>
    <row r="34" spans="6:9" ht="15.95" customHeight="1" thickBot="1">
      <c r="F34" s="505"/>
      <c r="G34" s="501"/>
      <c r="H34" s="374"/>
      <c r="I34" s="503"/>
    </row>
    <row r="35" spans="6:9" ht="15.95" customHeight="1">
      <c r="F35" s="504"/>
      <c r="G35" s="500"/>
      <c r="H35" s="373"/>
      <c r="I35" s="502"/>
    </row>
    <row r="36" spans="6:9" ht="15.95" customHeight="1" thickBot="1">
      <c r="F36" s="505"/>
      <c r="G36" s="501"/>
      <c r="H36" s="374"/>
      <c r="I36" s="503"/>
    </row>
    <row r="37" spans="6:9" ht="15.95" customHeight="1">
      <c r="F37" s="504"/>
      <c r="G37" s="500"/>
      <c r="H37" s="373"/>
      <c r="I37" s="502"/>
    </row>
    <row r="38" spans="6:9" ht="15.95" customHeight="1" thickBot="1">
      <c r="F38" s="505"/>
      <c r="G38" s="501"/>
      <c r="H38" s="374"/>
      <c r="I38" s="503"/>
    </row>
    <row r="39" spans="6:9" ht="15.95" customHeight="1">
      <c r="F39" s="504"/>
      <c r="G39" s="500"/>
      <c r="H39" s="373"/>
      <c r="I39" s="502"/>
    </row>
    <row r="40" spans="6:9" ht="15.95" customHeight="1" thickBot="1">
      <c r="F40" s="505"/>
      <c r="G40" s="501"/>
      <c r="H40" s="374"/>
      <c r="I40" s="503"/>
    </row>
    <row r="41" spans="6:9" ht="15.95" customHeight="1">
      <c r="F41" s="504"/>
      <c r="G41" s="500"/>
      <c r="H41" s="373"/>
      <c r="I41" s="502"/>
    </row>
    <row r="42" spans="6:9" ht="15.95" customHeight="1" thickBot="1">
      <c r="F42" s="505"/>
      <c r="G42" s="501"/>
      <c r="H42" s="374"/>
      <c r="I42" s="503"/>
    </row>
    <row r="43" spans="6:9" ht="15.95" customHeight="1">
      <c r="F43" s="504"/>
      <c r="G43" s="500"/>
      <c r="H43" s="373"/>
      <c r="I43" s="502"/>
    </row>
    <row r="44" spans="6:9" ht="15.95" customHeight="1" thickBot="1">
      <c r="F44" s="505"/>
      <c r="G44" s="501"/>
      <c r="H44" s="374"/>
      <c r="I44" s="503"/>
    </row>
    <row r="45" spans="6:9" ht="15.95" customHeight="1">
      <c r="F45" s="504"/>
      <c r="G45" s="500"/>
      <c r="H45" s="373"/>
      <c r="I45" s="502"/>
    </row>
    <row r="46" spans="6:9" ht="15.95" customHeight="1" thickBot="1">
      <c r="F46" s="505"/>
      <c r="G46" s="501"/>
      <c r="H46" s="374"/>
      <c r="I46" s="503"/>
    </row>
    <row r="47" spans="6:9" ht="15.95" customHeight="1">
      <c r="F47" s="504"/>
      <c r="G47" s="500"/>
      <c r="H47" s="373"/>
      <c r="I47" s="502"/>
    </row>
    <row r="48" spans="6:9" ht="15.95" customHeight="1" thickBot="1">
      <c r="F48" s="505"/>
      <c r="G48" s="501"/>
      <c r="H48" s="374"/>
      <c r="I48" s="503"/>
    </row>
    <row r="49" spans="6:9" ht="15.95" customHeight="1">
      <c r="F49" s="504"/>
      <c r="G49" s="500"/>
      <c r="H49" s="373"/>
      <c r="I49" s="502"/>
    </row>
    <row r="50" spans="6:9" ht="15.95" customHeight="1" thickBot="1">
      <c r="F50" s="505"/>
      <c r="G50" s="501"/>
      <c r="H50" s="374"/>
      <c r="I50" s="503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R27" sqref="R27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9.109375" style="43" customWidth="1"/>
    <col min="18" max="16384" width="8.88671875" style="43"/>
  </cols>
  <sheetData>
    <row r="1" spans="4:21" ht="20.100000000000001" customHeight="1" thickBot="1">
      <c r="D1" s="53" t="s">
        <v>246</v>
      </c>
      <c r="L1" s="375" t="s">
        <v>247</v>
      </c>
      <c r="S1" s="375" t="s">
        <v>248</v>
      </c>
    </row>
    <row r="2" spans="4:21" ht="36.75" customHeight="1">
      <c r="D2" s="376" t="s">
        <v>222</v>
      </c>
      <c r="E2" s="377" t="s">
        <v>219</v>
      </c>
      <c r="F2" s="377" t="s">
        <v>226</v>
      </c>
      <c r="G2" s="377" t="s">
        <v>227</v>
      </c>
      <c r="H2" s="377" t="s">
        <v>166</v>
      </c>
      <c r="I2" s="377" t="s">
        <v>228</v>
      </c>
      <c r="J2" s="378" t="s">
        <v>229</v>
      </c>
      <c r="L2" s="379" t="s">
        <v>219</v>
      </c>
      <c r="M2" s="377" t="s">
        <v>223</v>
      </c>
      <c r="N2" s="377" t="s">
        <v>224</v>
      </c>
      <c r="O2" s="377" t="s">
        <v>225</v>
      </c>
      <c r="P2" s="377" t="s">
        <v>250</v>
      </c>
      <c r="Q2" s="378" t="s">
        <v>251</v>
      </c>
      <c r="S2" s="379" t="s">
        <v>227</v>
      </c>
      <c r="T2" s="377" t="s">
        <v>230</v>
      </c>
      <c r="U2" s="378" t="s">
        <v>231</v>
      </c>
    </row>
    <row r="3" spans="4:21" ht="20.100000000000001" customHeight="1">
      <c r="D3" s="380" t="s">
        <v>236</v>
      </c>
      <c r="E3" s="37">
        <v>130</v>
      </c>
      <c r="F3" s="37">
        <v>14.3</v>
      </c>
      <c r="G3" s="37">
        <v>64.8</v>
      </c>
      <c r="H3" s="37">
        <v>50.5</v>
      </c>
      <c r="I3" s="37">
        <v>0.1</v>
      </c>
      <c r="J3" s="381">
        <v>3.9890328339016063</v>
      </c>
      <c r="K3" s="37"/>
      <c r="L3" s="348">
        <v>130</v>
      </c>
      <c r="M3" s="37">
        <v>0.1</v>
      </c>
      <c r="N3" s="37">
        <v>0.1</v>
      </c>
      <c r="O3" s="37">
        <v>485.7</v>
      </c>
      <c r="P3" s="37">
        <v>1.732</v>
      </c>
      <c r="Q3" s="361">
        <v>8.8969999999999994E-2</v>
      </c>
      <c r="S3" s="382">
        <v>64.8</v>
      </c>
      <c r="T3" s="383">
        <v>16.491080206622705</v>
      </c>
      <c r="U3" s="381">
        <v>48.308919793377292</v>
      </c>
    </row>
    <row r="4" spans="4:21" ht="20.100000000000001" customHeight="1">
      <c r="D4" s="380" t="s">
        <v>237</v>
      </c>
      <c r="E4" s="37">
        <v>130</v>
      </c>
      <c r="F4" s="37">
        <v>14.9</v>
      </c>
      <c r="G4" s="37">
        <v>61.7</v>
      </c>
      <c r="H4" s="37">
        <v>46.800000000000004</v>
      </c>
      <c r="I4" s="37">
        <v>0.1</v>
      </c>
      <c r="J4" s="381">
        <v>3.7991159487113451</v>
      </c>
      <c r="K4" s="37"/>
      <c r="L4" s="348">
        <v>130</v>
      </c>
      <c r="M4" s="37">
        <v>0.1</v>
      </c>
      <c r="N4" s="37">
        <v>0.1</v>
      </c>
      <c r="O4" s="37">
        <v>235.1</v>
      </c>
      <c r="P4" s="37">
        <v>1.877</v>
      </c>
      <c r="Q4" s="361">
        <v>9.2749999999999999E-2</v>
      </c>
      <c r="S4" s="382">
        <v>61.7</v>
      </c>
      <c r="T4" s="383">
        <v>17.057988721779331</v>
      </c>
      <c r="U4" s="381">
        <v>44.642011278220671</v>
      </c>
    </row>
    <row r="5" spans="4:21" ht="20.100000000000001" customHeight="1">
      <c r="D5" s="380" t="s">
        <v>238</v>
      </c>
      <c r="E5" s="37">
        <v>130</v>
      </c>
      <c r="F5" s="37">
        <v>13.8</v>
      </c>
      <c r="G5" s="37">
        <v>62.4</v>
      </c>
      <c r="H5" s="37">
        <v>48.599999999999994</v>
      </c>
      <c r="I5" s="37">
        <v>0.1</v>
      </c>
      <c r="J5" s="381">
        <v>3.8914763181450334</v>
      </c>
      <c r="K5" s="37"/>
      <c r="L5" s="348">
        <v>130</v>
      </c>
      <c r="M5" s="37">
        <v>0.1</v>
      </c>
      <c r="N5" s="37">
        <v>0.1</v>
      </c>
      <c r="O5" s="37">
        <v>236.2</v>
      </c>
      <c r="P5" s="37">
        <v>1.8029999999999999</v>
      </c>
      <c r="Q5" s="361">
        <v>9.0880000000000002E-2</v>
      </c>
      <c r="S5" s="382">
        <v>62.4</v>
      </c>
      <c r="T5" s="383">
        <v>15.974338991033088</v>
      </c>
      <c r="U5" s="381">
        <v>46.425661008966912</v>
      </c>
    </row>
    <row r="6" spans="4:21" ht="20.100000000000001" customHeight="1">
      <c r="D6" s="380"/>
      <c r="E6" s="37"/>
      <c r="F6" s="37"/>
      <c r="G6" s="37"/>
      <c r="H6" s="37"/>
      <c r="I6" s="37"/>
      <c r="J6" s="381"/>
      <c r="K6" s="37"/>
      <c r="L6" s="348"/>
      <c r="M6" s="37"/>
      <c r="N6" s="37"/>
      <c r="O6" s="37"/>
      <c r="P6" s="37"/>
      <c r="Q6" s="361"/>
      <c r="S6" s="382"/>
      <c r="T6" s="383"/>
      <c r="U6" s="381"/>
    </row>
    <row r="7" spans="4:21" ht="20.100000000000001" customHeight="1">
      <c r="D7" s="380"/>
      <c r="E7" s="37"/>
      <c r="F7" s="37"/>
      <c r="G7" s="37"/>
      <c r="H7" s="37"/>
      <c r="I7" s="37"/>
      <c r="J7" s="381"/>
      <c r="K7" s="37"/>
      <c r="L7" s="348"/>
      <c r="M7" s="37"/>
      <c r="N7" s="37"/>
      <c r="O7" s="37"/>
      <c r="P7" s="37"/>
      <c r="Q7" s="361"/>
      <c r="S7" s="382"/>
      <c r="T7" s="383"/>
      <c r="U7" s="381"/>
    </row>
    <row r="8" spans="4:21" ht="20.100000000000001" customHeight="1">
      <c r="D8" s="380"/>
      <c r="E8" s="37"/>
      <c r="F8" s="37"/>
      <c r="G8" s="37"/>
      <c r="H8" s="37"/>
      <c r="I8" s="37"/>
      <c r="J8" s="381"/>
      <c r="K8" s="37"/>
      <c r="L8" s="348"/>
      <c r="M8" s="37"/>
      <c r="N8" s="37"/>
      <c r="O8" s="37"/>
      <c r="P8" s="37"/>
      <c r="Q8" s="361"/>
      <c r="S8" s="348"/>
      <c r="T8" s="383"/>
      <c r="U8" s="381"/>
    </row>
    <row r="9" spans="4:21" ht="20.100000000000001" customHeight="1">
      <c r="D9" s="380"/>
      <c r="E9" s="37"/>
      <c r="F9" s="37"/>
      <c r="G9" s="37"/>
      <c r="H9" s="37"/>
      <c r="I9" s="37"/>
      <c r="J9" s="381"/>
      <c r="K9" s="37"/>
      <c r="L9" s="348"/>
      <c r="M9" s="37"/>
      <c r="N9" s="37"/>
      <c r="O9" s="37"/>
      <c r="P9" s="37"/>
      <c r="Q9" s="361"/>
      <c r="S9" s="348"/>
      <c r="T9" s="383"/>
      <c r="U9" s="381"/>
    </row>
    <row r="10" spans="4:21" ht="20.100000000000001" customHeight="1">
      <c r="D10" s="380"/>
      <c r="E10" s="37"/>
      <c r="F10" s="37"/>
      <c r="G10" s="37"/>
      <c r="H10" s="37"/>
      <c r="I10" s="37"/>
      <c r="J10" s="381"/>
      <c r="K10" s="37"/>
      <c r="L10" s="348"/>
      <c r="M10" s="37"/>
      <c r="N10" s="37"/>
      <c r="O10" s="37"/>
      <c r="P10" s="37"/>
      <c r="Q10" s="361"/>
      <c r="S10" s="348"/>
      <c r="T10" s="383"/>
      <c r="U10" s="381"/>
    </row>
    <row r="11" spans="4:21" ht="20.100000000000001" customHeight="1">
      <c r="D11" s="380"/>
      <c r="E11" s="37"/>
      <c r="F11" s="37"/>
      <c r="G11" s="37"/>
      <c r="H11" s="37"/>
      <c r="I11" s="37"/>
      <c r="J11" s="381"/>
      <c r="K11" s="37"/>
      <c r="L11" s="348"/>
      <c r="M11" s="37"/>
      <c r="N11" s="37"/>
      <c r="O11" s="37"/>
      <c r="P11" s="37"/>
      <c r="Q11" s="361"/>
      <c r="S11" s="348"/>
      <c r="T11" s="383"/>
      <c r="U11" s="381"/>
    </row>
    <row r="12" spans="4:21" ht="20.100000000000001" customHeight="1">
      <c r="D12" s="380"/>
      <c r="E12" s="37"/>
      <c r="F12" s="37"/>
      <c r="G12" s="37"/>
      <c r="H12" s="37"/>
      <c r="I12" s="37"/>
      <c r="J12" s="381"/>
      <c r="K12" s="37"/>
      <c r="L12" s="348"/>
      <c r="M12" s="37"/>
      <c r="N12" s="37"/>
      <c r="O12" s="37"/>
      <c r="P12" s="37"/>
      <c r="Q12" s="361"/>
      <c r="S12" s="348"/>
      <c r="T12" s="383"/>
      <c r="U12" s="381"/>
    </row>
    <row r="13" spans="4:21" ht="20.100000000000001" customHeight="1">
      <c r="D13" s="380"/>
      <c r="E13" s="37"/>
      <c r="F13" s="37"/>
      <c r="G13" s="37"/>
      <c r="H13" s="37"/>
      <c r="I13" s="37"/>
      <c r="J13" s="381"/>
      <c r="K13" s="37"/>
      <c r="L13" s="348"/>
      <c r="M13" s="37"/>
      <c r="N13" s="37"/>
      <c r="O13" s="37"/>
      <c r="P13" s="37"/>
      <c r="Q13" s="361"/>
      <c r="S13" s="348"/>
      <c r="T13" s="383"/>
      <c r="U13" s="381"/>
    </row>
    <row r="14" spans="4:21" ht="20.100000000000001" customHeight="1">
      <c r="D14" s="380"/>
      <c r="E14" s="37"/>
      <c r="F14" s="37"/>
      <c r="G14" s="37"/>
      <c r="H14" s="37"/>
      <c r="I14" s="37"/>
      <c r="J14" s="381"/>
      <c r="K14" s="37"/>
      <c r="L14" s="348"/>
      <c r="M14" s="37"/>
      <c r="N14" s="37"/>
      <c r="O14" s="37"/>
      <c r="P14" s="37"/>
      <c r="Q14" s="361"/>
      <c r="S14" s="348"/>
      <c r="T14" s="383"/>
      <c r="U14" s="381"/>
    </row>
    <row r="15" spans="4:21" ht="20.100000000000001" customHeight="1">
      <c r="D15" s="380"/>
      <c r="E15" s="37"/>
      <c r="F15" s="37"/>
      <c r="G15" s="37"/>
      <c r="H15" s="37"/>
      <c r="I15" s="37"/>
      <c r="J15" s="381"/>
      <c r="K15" s="37"/>
      <c r="L15" s="348"/>
      <c r="M15" s="37"/>
      <c r="N15" s="37"/>
      <c r="O15" s="37"/>
      <c r="P15" s="37"/>
      <c r="Q15" s="361"/>
      <c r="S15" s="348"/>
      <c r="T15" s="383"/>
      <c r="U15" s="381"/>
    </row>
    <row r="16" spans="4:21" ht="20.100000000000001" customHeight="1" thickBot="1">
      <c r="D16" s="374"/>
      <c r="E16" s="363"/>
      <c r="F16" s="363"/>
      <c r="G16" s="363"/>
      <c r="H16" s="363"/>
      <c r="I16" s="363"/>
      <c r="J16" s="384"/>
      <c r="K16" s="37"/>
      <c r="L16" s="362"/>
      <c r="M16" s="363"/>
      <c r="N16" s="363"/>
      <c r="O16" s="363"/>
      <c r="P16" s="363"/>
      <c r="Q16" s="366"/>
      <c r="S16" s="362"/>
      <c r="T16" s="385"/>
      <c r="U16" s="384"/>
    </row>
    <row r="17" spans="3:21" ht="20.100000000000001" customHeight="1">
      <c r="D17" s="37"/>
      <c r="E17" s="37"/>
      <c r="F17" s="37"/>
      <c r="G17" s="37"/>
      <c r="H17" s="37"/>
      <c r="I17" s="37"/>
      <c r="J17" s="383"/>
      <c r="K17" s="37"/>
      <c r="L17" s="37"/>
      <c r="M17" s="37"/>
      <c r="N17" s="37"/>
      <c r="O17" s="37"/>
      <c r="P17" s="37"/>
      <c r="Q17" s="37"/>
      <c r="S17" s="37"/>
      <c r="T17" s="383"/>
      <c r="U17" s="383"/>
    </row>
    <row r="18" spans="3:21" ht="20.100000000000001" customHeight="1">
      <c r="D18" s="37"/>
      <c r="E18" s="37"/>
      <c r="F18" s="37"/>
      <c r="G18" s="37"/>
      <c r="H18" s="37"/>
      <c r="I18" s="37"/>
      <c r="J18" s="383"/>
      <c r="K18" s="37"/>
      <c r="L18" s="37"/>
      <c r="M18" s="37"/>
      <c r="N18" s="37"/>
      <c r="O18" s="37"/>
      <c r="P18" s="37"/>
      <c r="Q18" s="37"/>
      <c r="S18" s="37"/>
      <c r="T18" s="383"/>
      <c r="U18" s="383"/>
    </row>
    <row r="19" spans="3:21" ht="20.100000000000001" customHeight="1">
      <c r="H19" s="386"/>
      <c r="J19" s="387"/>
      <c r="K19" s="387"/>
      <c r="L19" s="387"/>
      <c r="M19" s="387"/>
      <c r="N19" s="387"/>
      <c r="O19" s="387"/>
      <c r="P19" s="387"/>
      <c r="S19" s="37"/>
      <c r="T19" s="383"/>
      <c r="U19" s="383"/>
    </row>
    <row r="20" spans="3:21" s="388" customFormat="1" ht="26.25" customHeight="1" thickBot="1">
      <c r="D20" s="375" t="s">
        <v>264</v>
      </c>
      <c r="F20" s="375"/>
      <c r="H20" s="389"/>
      <c r="T20" s="390"/>
      <c r="U20" s="390"/>
    </row>
    <row r="21" spans="3:21" s="52" customFormat="1" ht="36" customHeight="1" thickBot="1">
      <c r="D21" s="391" t="s">
        <v>319</v>
      </c>
      <c r="E21" s="404" t="s">
        <v>236</v>
      </c>
      <c r="F21" s="405" t="s">
        <v>237</v>
      </c>
      <c r="G21" s="404" t="s">
        <v>238</v>
      </c>
      <c r="H21" s="406"/>
      <c r="I21" s="404"/>
      <c r="J21" s="404"/>
      <c r="K21" s="404"/>
      <c r="L21" s="404"/>
      <c r="M21" s="404"/>
      <c r="N21" s="404"/>
      <c r="O21" s="404"/>
      <c r="P21" s="407"/>
      <c r="Q21" s="53"/>
      <c r="S21" s="53"/>
      <c r="T21" s="408"/>
      <c r="U21" s="408"/>
    </row>
    <row r="22" spans="3:21" s="37" customFormat="1" ht="23.1" customHeight="1">
      <c r="D22" s="392" t="s">
        <v>268</v>
      </c>
      <c r="E22" s="37">
        <v>1.5549999999999999</v>
      </c>
      <c r="F22" s="37">
        <v>1.6819999999999999</v>
      </c>
      <c r="G22" s="37">
        <v>1.534</v>
      </c>
      <c r="J22" s="43"/>
      <c r="K22" s="43"/>
      <c r="L22" s="43"/>
      <c r="M22" s="43"/>
      <c r="N22" s="43"/>
      <c r="O22" s="43"/>
      <c r="P22" s="393"/>
      <c r="T22" s="383"/>
      <c r="U22" s="383"/>
    </row>
    <row r="23" spans="3:21" s="37" customFormat="1" ht="23.1" customHeight="1">
      <c r="D23" s="392" t="s">
        <v>244</v>
      </c>
      <c r="E23" s="37">
        <v>3.3800000000000002E-3</v>
      </c>
      <c r="F23" s="37">
        <v>7.5599999999999999E-3</v>
      </c>
      <c r="G23" s="37">
        <v>7.0600000000000003E-3</v>
      </c>
      <c r="J23" s="43"/>
      <c r="K23" s="43"/>
      <c r="L23" s="43"/>
      <c r="M23" s="43"/>
      <c r="N23" s="43"/>
      <c r="O23" s="43"/>
      <c r="P23" s="393"/>
      <c r="T23" s="383"/>
      <c r="U23" s="383"/>
    </row>
    <row r="24" spans="3:21" s="37" customFormat="1" ht="23.1" customHeight="1">
      <c r="D24" s="392" t="s">
        <v>245</v>
      </c>
      <c r="E24" s="37">
        <v>3.2289999999999999E-4</v>
      </c>
      <c r="F24" s="37">
        <v>3.1720000000000001E-4</v>
      </c>
      <c r="G24" s="37">
        <v>3.2009999999999997E-4</v>
      </c>
      <c r="J24" s="43"/>
      <c r="K24" s="43"/>
      <c r="L24" s="43"/>
      <c r="M24" s="43"/>
      <c r="N24" s="43"/>
      <c r="O24" s="43"/>
      <c r="P24" s="393"/>
      <c r="T24" s="383"/>
      <c r="U24" s="383"/>
    </row>
    <row r="25" spans="3:21" s="37" customFormat="1" ht="23.1" customHeight="1">
      <c r="D25" s="392" t="s">
        <v>267</v>
      </c>
      <c r="E25" s="37">
        <v>0.58330000000000004</v>
      </c>
      <c r="F25" s="37">
        <v>0.58330000000000004</v>
      </c>
      <c r="G25" s="37">
        <v>0.58330000000000004</v>
      </c>
      <c r="J25" s="43"/>
      <c r="K25" s="43"/>
      <c r="L25" s="43"/>
      <c r="M25" s="43"/>
      <c r="N25" s="43"/>
      <c r="O25" s="43"/>
      <c r="P25" s="393"/>
      <c r="T25" s="383"/>
      <c r="U25" s="383"/>
    </row>
    <row r="26" spans="3:21" s="37" customFormat="1" ht="23.1" customHeight="1">
      <c r="D26" s="392" t="s">
        <v>266</v>
      </c>
      <c r="E26" s="37">
        <v>50.5</v>
      </c>
      <c r="F26" s="37">
        <v>46.800000000000004</v>
      </c>
      <c r="G26" s="37">
        <v>48.599999999999994</v>
      </c>
      <c r="J26" s="43"/>
      <c r="K26" s="43"/>
      <c r="L26" s="43"/>
      <c r="M26" s="43"/>
      <c r="N26" s="43"/>
      <c r="O26" s="43"/>
      <c r="P26" s="393"/>
      <c r="T26" s="383"/>
      <c r="U26" s="383"/>
    </row>
    <row r="27" spans="3:21" s="37" customFormat="1" ht="23.1" customHeight="1" thickBot="1">
      <c r="D27" s="394" t="s">
        <v>265</v>
      </c>
      <c r="E27" s="363">
        <v>485.7</v>
      </c>
      <c r="F27" s="363">
        <v>235.1</v>
      </c>
      <c r="G27" s="363">
        <v>236.2</v>
      </c>
      <c r="H27" s="363"/>
      <c r="I27" s="363"/>
      <c r="J27" s="395"/>
      <c r="K27" s="395"/>
      <c r="L27" s="395"/>
      <c r="M27" s="395"/>
      <c r="N27" s="395"/>
      <c r="O27" s="395"/>
      <c r="P27" s="396"/>
      <c r="T27" s="383"/>
      <c r="U27" s="383"/>
    </row>
    <row r="28" spans="3:21" ht="20.100000000000001" customHeight="1">
      <c r="D28" s="44"/>
      <c r="E28" s="44"/>
      <c r="F28" s="387"/>
      <c r="G28" s="44"/>
      <c r="H28" s="386"/>
      <c r="T28" s="397"/>
      <c r="U28" s="397"/>
    </row>
    <row r="29" spans="3:21" ht="20.100000000000001" customHeight="1">
      <c r="D29" s="37"/>
      <c r="E29" s="37"/>
      <c r="F29" s="37"/>
      <c r="G29" s="37"/>
      <c r="H29" s="37"/>
      <c r="I29" s="37"/>
      <c r="J29" s="383"/>
      <c r="K29" s="37"/>
      <c r="L29" s="37"/>
      <c r="M29" s="37"/>
      <c r="N29" s="37"/>
      <c r="O29" s="37"/>
      <c r="P29" s="37"/>
      <c r="Q29" s="37"/>
      <c r="T29" s="397"/>
      <c r="U29" s="397"/>
    </row>
    <row r="30" spans="3:21" ht="32.25" customHeight="1" thickBot="1">
      <c r="D30" s="37"/>
      <c r="E30" s="37"/>
      <c r="F30" s="37"/>
      <c r="G30" s="37"/>
      <c r="H30" s="37"/>
      <c r="I30" s="375"/>
      <c r="J30" s="383"/>
      <c r="K30" s="37"/>
      <c r="L30" s="37"/>
      <c r="M30" s="37"/>
      <c r="N30" s="37"/>
      <c r="O30" s="37"/>
      <c r="P30" s="37"/>
      <c r="Q30" s="37"/>
    </row>
    <row r="31" spans="3:21" s="37" customFormat="1" ht="39.75" customHeight="1" thickBot="1">
      <c r="C31" s="398" t="s">
        <v>222</v>
      </c>
      <c r="D31" s="399" t="s">
        <v>249</v>
      </c>
      <c r="E31" s="399"/>
      <c r="F31" s="400"/>
      <c r="H31" s="399" t="s">
        <v>274</v>
      </c>
      <c r="I31" s="399" t="s">
        <v>275</v>
      </c>
      <c r="J31" s="401" t="s">
        <v>276</v>
      </c>
      <c r="K31" s="399" t="s">
        <v>277</v>
      </c>
      <c r="L31" s="399" t="s">
        <v>278</v>
      </c>
      <c r="M31" s="400" t="s">
        <v>279</v>
      </c>
    </row>
    <row r="32" spans="3:21" ht="20.100000000000001" customHeight="1">
      <c r="C32" s="504" t="s">
        <v>236</v>
      </c>
      <c r="D32" s="373" t="s">
        <v>286</v>
      </c>
      <c r="E32" s="373">
        <v>1.732</v>
      </c>
      <c r="F32" s="402">
        <v>3.2289999999999999E-4</v>
      </c>
      <c r="G32" s="37"/>
      <c r="H32" s="380" t="s">
        <v>236</v>
      </c>
      <c r="I32" s="380">
        <v>43</v>
      </c>
      <c r="J32" s="403">
        <v>52.7</v>
      </c>
      <c r="K32" s="380">
        <v>81.7</v>
      </c>
      <c r="L32" s="380">
        <v>59.1</v>
      </c>
      <c r="M32" s="361">
        <v>81.7</v>
      </c>
      <c r="N32" s="37"/>
      <c r="O32" s="37"/>
      <c r="P32" s="37"/>
      <c r="Q32" s="37"/>
    </row>
    <row r="33" spans="3:17" ht="20.100000000000001" customHeight="1">
      <c r="C33" s="506"/>
      <c r="D33" s="380" t="s">
        <v>287</v>
      </c>
      <c r="E33" s="380">
        <v>1.5549999999999999</v>
      </c>
      <c r="F33" s="361"/>
      <c r="G33" s="37"/>
      <c r="H33" s="380" t="s">
        <v>237</v>
      </c>
      <c r="I33" s="380">
        <v>62.5</v>
      </c>
      <c r="J33" s="403">
        <v>76.5</v>
      </c>
      <c r="K33" s="380">
        <v>85.8</v>
      </c>
      <c r="L33" s="380">
        <v>74.900000000000006</v>
      </c>
      <c r="M33" s="361">
        <v>85.8</v>
      </c>
      <c r="N33" s="37"/>
      <c r="O33" s="37"/>
      <c r="P33" s="37"/>
      <c r="Q33" s="37"/>
    </row>
    <row r="34" spans="3:17" ht="20.100000000000001" customHeight="1" thickBot="1">
      <c r="C34" s="505"/>
      <c r="D34" s="374" t="s">
        <v>288</v>
      </c>
      <c r="E34" s="374">
        <v>1.6435</v>
      </c>
      <c r="F34" s="366">
        <v>3.2289999999999999E-4</v>
      </c>
      <c r="G34" s="37"/>
      <c r="H34" s="380" t="s">
        <v>238</v>
      </c>
      <c r="I34" s="380">
        <v>61.2</v>
      </c>
      <c r="J34" s="403">
        <v>75</v>
      </c>
      <c r="K34" s="380">
        <v>82.7</v>
      </c>
      <c r="L34" s="380">
        <v>73</v>
      </c>
      <c r="M34" s="361">
        <v>82.7</v>
      </c>
      <c r="N34" s="37"/>
      <c r="O34" s="37"/>
      <c r="P34" s="37"/>
      <c r="Q34" s="37"/>
    </row>
    <row r="35" spans="3:17" ht="20.100000000000001" customHeight="1">
      <c r="C35" s="504" t="s">
        <v>237</v>
      </c>
      <c r="D35" s="373" t="s">
        <v>286</v>
      </c>
      <c r="E35" s="373">
        <v>1.877</v>
      </c>
      <c r="F35" s="402">
        <v>3.1720000000000001E-4</v>
      </c>
      <c r="G35" s="37"/>
      <c r="H35" s="380"/>
      <c r="I35" s="380"/>
      <c r="J35" s="403"/>
      <c r="K35" s="380"/>
      <c r="L35" s="380"/>
      <c r="M35" s="361"/>
      <c r="N35" s="37"/>
      <c r="O35" s="37"/>
      <c r="P35" s="37"/>
      <c r="Q35" s="37"/>
    </row>
    <row r="36" spans="3:17" ht="20.100000000000001" customHeight="1">
      <c r="C36" s="506"/>
      <c r="D36" s="380" t="s">
        <v>287</v>
      </c>
      <c r="E36" s="380">
        <v>1.6819999999999999</v>
      </c>
      <c r="F36" s="361"/>
      <c r="G36" s="37"/>
      <c r="H36" s="380"/>
      <c r="I36" s="380"/>
      <c r="J36" s="380"/>
      <c r="K36" s="380"/>
      <c r="L36" s="380"/>
      <c r="M36" s="361"/>
      <c r="N36" s="37"/>
      <c r="O36" s="37"/>
      <c r="P36" s="37"/>
      <c r="Q36" s="37"/>
    </row>
    <row r="37" spans="3:17" ht="20.100000000000001" customHeight="1" thickBot="1">
      <c r="C37" s="505"/>
      <c r="D37" s="374" t="s">
        <v>288</v>
      </c>
      <c r="E37" s="374">
        <v>1.7795000000000001</v>
      </c>
      <c r="F37" s="366">
        <v>3.1720000000000001E-4</v>
      </c>
      <c r="G37" s="37"/>
      <c r="H37" s="380"/>
      <c r="I37" s="380"/>
      <c r="J37" s="380"/>
      <c r="K37" s="380"/>
      <c r="L37" s="380"/>
      <c r="M37" s="361"/>
      <c r="N37" s="37"/>
      <c r="O37" s="37"/>
      <c r="P37" s="37"/>
      <c r="Q37" s="37"/>
    </row>
    <row r="38" spans="3:17" ht="20.100000000000001" customHeight="1">
      <c r="C38" s="504" t="s">
        <v>238</v>
      </c>
      <c r="D38" s="373" t="s">
        <v>286</v>
      </c>
      <c r="E38" s="373">
        <v>1.8029999999999999</v>
      </c>
      <c r="F38" s="402">
        <v>3.2009999999999997E-4</v>
      </c>
      <c r="G38" s="37"/>
      <c r="H38" s="380"/>
      <c r="I38" s="380"/>
      <c r="J38" s="380"/>
      <c r="K38" s="380"/>
      <c r="L38" s="380"/>
      <c r="M38" s="361"/>
      <c r="N38" s="37"/>
      <c r="O38" s="37"/>
      <c r="P38" s="37"/>
      <c r="Q38" s="37"/>
    </row>
    <row r="39" spans="3:17" ht="20.100000000000001" customHeight="1">
      <c r="C39" s="506"/>
      <c r="D39" s="380" t="s">
        <v>287</v>
      </c>
      <c r="E39" s="380">
        <v>1.534</v>
      </c>
      <c r="F39" s="361"/>
      <c r="G39" s="37"/>
      <c r="H39" s="380"/>
      <c r="I39" s="380"/>
      <c r="J39" s="380"/>
      <c r="K39" s="380"/>
      <c r="L39" s="380"/>
      <c r="M39" s="361"/>
      <c r="N39" s="37"/>
      <c r="O39" s="37"/>
      <c r="P39" s="37"/>
      <c r="Q39" s="37"/>
    </row>
    <row r="40" spans="3:17" ht="20.100000000000001" customHeight="1" thickBot="1">
      <c r="C40" s="505"/>
      <c r="D40" s="374" t="s">
        <v>288</v>
      </c>
      <c r="E40" s="374">
        <v>1.6684999999999999</v>
      </c>
      <c r="F40" s="366">
        <v>3.2009999999999997E-4</v>
      </c>
      <c r="G40" s="37"/>
      <c r="H40" s="380"/>
      <c r="I40" s="380"/>
      <c r="J40" s="380"/>
      <c r="K40" s="380"/>
      <c r="L40" s="380"/>
      <c r="M40" s="361"/>
      <c r="N40" s="37"/>
      <c r="O40" s="37"/>
      <c r="P40" s="37"/>
      <c r="Q40" s="37"/>
    </row>
    <row r="41" spans="3:17" ht="20.100000000000001" customHeight="1">
      <c r="C41" s="506"/>
      <c r="D41" s="380"/>
      <c r="E41" s="373"/>
      <c r="F41" s="402"/>
      <c r="G41" s="37"/>
      <c r="H41" s="380"/>
      <c r="I41" s="380"/>
      <c r="J41" s="380"/>
      <c r="K41" s="380"/>
      <c r="L41" s="380"/>
      <c r="M41" s="361"/>
      <c r="N41" s="37"/>
      <c r="O41" s="37"/>
      <c r="P41" s="37"/>
      <c r="Q41" s="37"/>
    </row>
    <row r="42" spans="3:17" ht="20.100000000000001" customHeight="1">
      <c r="C42" s="506"/>
      <c r="D42" s="380"/>
      <c r="E42" s="380"/>
      <c r="F42" s="361"/>
      <c r="G42" s="37"/>
      <c r="H42" s="380"/>
      <c r="I42" s="380"/>
      <c r="J42" s="380"/>
      <c r="K42" s="380"/>
      <c r="L42" s="380"/>
      <c r="M42" s="361"/>
      <c r="N42" s="37"/>
      <c r="O42" s="37"/>
      <c r="P42" s="37"/>
      <c r="Q42" s="37"/>
    </row>
    <row r="43" spans="3:17" ht="20.100000000000001" customHeight="1" thickBot="1">
      <c r="C43" s="505"/>
      <c r="D43" s="374"/>
      <c r="E43" s="374"/>
      <c r="F43" s="366"/>
      <c r="G43" s="37"/>
      <c r="H43" s="380"/>
      <c r="I43" s="380"/>
      <c r="J43" s="380"/>
      <c r="K43" s="380"/>
      <c r="L43" s="380"/>
      <c r="M43" s="361"/>
      <c r="N43" s="37"/>
      <c r="O43" s="37"/>
      <c r="P43" s="37"/>
      <c r="Q43" s="37"/>
    </row>
    <row r="44" spans="3:17" ht="20.100000000000001" customHeight="1">
      <c r="C44" s="504"/>
      <c r="D44" s="373"/>
      <c r="E44" s="373"/>
      <c r="F44" s="402"/>
      <c r="G44" s="37"/>
      <c r="H44" s="380"/>
      <c r="I44" s="380"/>
      <c r="J44" s="380"/>
      <c r="K44" s="380"/>
      <c r="L44" s="380"/>
      <c r="M44" s="361"/>
      <c r="N44" s="37"/>
      <c r="O44" s="37"/>
      <c r="P44" s="37"/>
      <c r="Q44" s="37"/>
    </row>
    <row r="45" spans="3:17" ht="20.100000000000001" customHeight="1" thickBot="1">
      <c r="C45" s="506"/>
      <c r="D45" s="380"/>
      <c r="E45" s="380"/>
      <c r="F45" s="361"/>
      <c r="G45" s="37"/>
      <c r="H45" s="374"/>
      <c r="I45" s="374"/>
      <c r="J45" s="374"/>
      <c r="K45" s="374"/>
      <c r="L45" s="374"/>
      <c r="M45" s="366"/>
      <c r="N45" s="37"/>
      <c r="O45" s="37"/>
      <c r="P45" s="37"/>
      <c r="Q45" s="37"/>
    </row>
    <row r="46" spans="3:17" ht="20.100000000000001" customHeight="1" thickBot="1">
      <c r="C46" s="505"/>
      <c r="D46" s="374"/>
      <c r="E46" s="374"/>
      <c r="F46" s="366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04"/>
      <c r="D47" s="373"/>
      <c r="E47" s="373"/>
      <c r="F47" s="402"/>
    </row>
    <row r="48" spans="3:17" ht="20.100000000000001" customHeight="1">
      <c r="C48" s="506"/>
      <c r="D48" s="380"/>
      <c r="E48" s="380"/>
      <c r="F48" s="361"/>
    </row>
    <row r="49" spans="3:6" ht="20.100000000000001" customHeight="1" thickBot="1">
      <c r="C49" s="505"/>
      <c r="D49" s="374"/>
      <c r="E49" s="374"/>
      <c r="F49" s="366"/>
    </row>
    <row r="50" spans="3:6" ht="20.100000000000001" customHeight="1">
      <c r="C50" s="504"/>
      <c r="D50" s="373"/>
      <c r="E50" s="373"/>
      <c r="F50" s="402"/>
    </row>
    <row r="51" spans="3:6" ht="20.100000000000001" customHeight="1">
      <c r="C51" s="506"/>
      <c r="D51" s="380"/>
      <c r="E51" s="380"/>
      <c r="F51" s="361"/>
    </row>
    <row r="52" spans="3:6" ht="20.100000000000001" customHeight="1" thickBot="1">
      <c r="C52" s="505"/>
      <c r="D52" s="374"/>
      <c r="E52" s="374"/>
      <c r="F52" s="366"/>
    </row>
    <row r="53" spans="3:6" ht="20.100000000000001" customHeight="1">
      <c r="C53" s="504"/>
      <c r="D53" s="373"/>
      <c r="E53" s="373"/>
      <c r="F53" s="402"/>
    </row>
    <row r="54" spans="3:6" ht="20.100000000000001" customHeight="1">
      <c r="C54" s="506"/>
      <c r="D54" s="380"/>
      <c r="E54" s="380"/>
      <c r="F54" s="361"/>
    </row>
    <row r="55" spans="3:6" ht="20.100000000000001" customHeight="1" thickBot="1">
      <c r="C55" s="505"/>
      <c r="D55" s="374"/>
      <c r="E55" s="374"/>
      <c r="F55" s="366"/>
    </row>
    <row r="56" spans="3:6" ht="20.100000000000001" customHeight="1">
      <c r="C56" s="504"/>
      <c r="D56" s="373"/>
      <c r="E56" s="373"/>
      <c r="F56" s="402"/>
    </row>
    <row r="57" spans="3:6" ht="20.100000000000001" customHeight="1">
      <c r="C57" s="506"/>
      <c r="D57" s="380"/>
      <c r="E57" s="380"/>
      <c r="F57" s="361"/>
    </row>
    <row r="58" spans="3:6" ht="20.100000000000001" customHeight="1" thickBot="1">
      <c r="C58" s="505"/>
      <c r="D58" s="374"/>
      <c r="E58" s="374"/>
      <c r="F58" s="366"/>
    </row>
    <row r="59" spans="3:6" ht="20.100000000000001" customHeight="1">
      <c r="C59" s="504"/>
      <c r="D59" s="373"/>
      <c r="E59" s="373"/>
      <c r="F59" s="402"/>
    </row>
    <row r="60" spans="3:6" ht="20.100000000000001" customHeight="1">
      <c r="C60" s="506"/>
      <c r="D60" s="380"/>
      <c r="E60" s="380"/>
      <c r="F60" s="361"/>
    </row>
    <row r="61" spans="3:6" ht="20.100000000000001" customHeight="1" thickBot="1">
      <c r="C61" s="505"/>
      <c r="D61" s="374"/>
      <c r="E61" s="374"/>
      <c r="F61" s="366"/>
    </row>
    <row r="62" spans="3:6" ht="20.100000000000001" customHeight="1">
      <c r="C62" s="504"/>
      <c r="D62" s="373"/>
      <c r="E62" s="373"/>
      <c r="F62" s="402"/>
    </row>
    <row r="63" spans="3:6" ht="20.100000000000001" customHeight="1">
      <c r="C63" s="506"/>
      <c r="D63" s="380"/>
      <c r="E63" s="380"/>
      <c r="F63" s="361"/>
    </row>
    <row r="64" spans="3:6" ht="20.100000000000001" customHeight="1" thickBot="1">
      <c r="C64" s="505"/>
      <c r="D64" s="374"/>
      <c r="E64" s="374"/>
      <c r="F64" s="366"/>
    </row>
    <row r="65" spans="3:6" ht="20.100000000000001" customHeight="1">
      <c r="C65" s="504"/>
      <c r="D65" s="373"/>
      <c r="E65" s="380"/>
      <c r="F65" s="361"/>
    </row>
    <row r="66" spans="3:6" ht="20.100000000000001" customHeight="1">
      <c r="C66" s="506"/>
      <c r="D66" s="380"/>
      <c r="E66" s="380"/>
      <c r="F66" s="361"/>
    </row>
    <row r="67" spans="3:6" ht="20.100000000000001" customHeight="1" thickBot="1">
      <c r="C67" s="505"/>
      <c r="D67" s="374"/>
      <c r="E67" s="374"/>
      <c r="F67" s="36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6" r:id="rId3" name="CommandButton2">
          <controlPr defaultSize="0" autoLine="0" r:id="rId4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3" name="CommandButton2"/>
      </mc:Fallback>
    </mc:AlternateContent>
    <mc:AlternateContent xmlns:mc="http://schemas.openxmlformats.org/markup-compatibility/2006">
      <mc:Choice Requires="x14">
        <control shapeId="205825" r:id="rId5" name="CommandButton1">
          <controlPr defaultSize="0" autoLine="0" r:id="rId6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7" sqref="B7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409" t="s">
        <v>263</v>
      </c>
    </row>
    <row r="3" spans="3:15" s="53" customFormat="1" ht="28.5" customHeight="1" thickBot="1">
      <c r="C3" s="399" t="s">
        <v>222</v>
      </c>
      <c r="D3" s="399" t="s">
        <v>253</v>
      </c>
      <c r="E3" s="410" t="s">
        <v>219</v>
      </c>
      <c r="F3" s="399" t="s">
        <v>254</v>
      </c>
      <c r="G3" s="400" t="s">
        <v>258</v>
      </c>
      <c r="H3" s="400" t="s">
        <v>260</v>
      </c>
      <c r="I3" s="400" t="s">
        <v>225</v>
      </c>
      <c r="J3" s="400" t="s">
        <v>261</v>
      </c>
      <c r="K3" s="399" t="s">
        <v>121</v>
      </c>
      <c r="L3" s="400" t="s">
        <v>259</v>
      </c>
      <c r="M3" s="399" t="s">
        <v>255</v>
      </c>
      <c r="N3" s="399" t="s">
        <v>256</v>
      </c>
      <c r="O3" s="400" t="s">
        <v>257</v>
      </c>
    </row>
    <row r="4" spans="3:15" ht="20.100000000000001" customHeight="1">
      <c r="C4" s="380" t="s">
        <v>236</v>
      </c>
      <c r="D4" s="500" t="s">
        <v>320</v>
      </c>
      <c r="E4" s="37">
        <v>143</v>
      </c>
      <c r="F4" s="380">
        <v>1.6435</v>
      </c>
      <c r="G4" s="500">
        <v>1.6435</v>
      </c>
      <c r="H4" s="500">
        <v>0.03</v>
      </c>
      <c r="I4" s="361">
        <v>485.7</v>
      </c>
      <c r="J4" s="500">
        <v>485.7</v>
      </c>
      <c r="K4" s="380">
        <v>34</v>
      </c>
      <c r="L4" s="500">
        <v>34</v>
      </c>
      <c r="M4" s="380">
        <v>2.2200000000000001E-2</v>
      </c>
      <c r="N4" s="507">
        <v>2.2200000000000001E-2</v>
      </c>
      <c r="O4" s="500" t="s">
        <v>262</v>
      </c>
    </row>
    <row r="5" spans="3:15" ht="20.100000000000001" customHeight="1">
      <c r="C5" s="380" t="s">
        <v>237</v>
      </c>
      <c r="D5" s="509"/>
      <c r="E5" s="37">
        <v>143</v>
      </c>
      <c r="F5" s="380">
        <v>1.6435</v>
      </c>
      <c r="G5" s="509"/>
      <c r="H5" s="509"/>
      <c r="I5" s="361">
        <v>485.7</v>
      </c>
      <c r="J5" s="509"/>
      <c r="K5" s="380">
        <v>34</v>
      </c>
      <c r="L5" s="509"/>
      <c r="M5" s="380">
        <v>2.2200000000000001E-2</v>
      </c>
      <c r="N5" s="508"/>
      <c r="O5" s="509"/>
    </row>
    <row r="6" spans="3:15" ht="20.100000000000001" customHeight="1">
      <c r="C6" s="380" t="s">
        <v>238</v>
      </c>
      <c r="D6" s="509"/>
      <c r="E6" s="37">
        <v>143</v>
      </c>
      <c r="F6" s="380">
        <v>1.6435</v>
      </c>
      <c r="G6" s="509"/>
      <c r="H6" s="509"/>
      <c r="I6" s="361">
        <v>485.7</v>
      </c>
      <c r="J6" s="509"/>
      <c r="K6" s="380">
        <v>34</v>
      </c>
      <c r="L6" s="509"/>
      <c r="M6" s="380">
        <v>2.2200000000000001E-2</v>
      </c>
      <c r="N6" s="508"/>
      <c r="O6" s="509"/>
    </row>
    <row r="7" spans="3:15" ht="20.100000000000001" customHeight="1">
      <c r="C7" s="380"/>
      <c r="D7" s="411"/>
      <c r="F7" s="380"/>
      <c r="G7" s="411"/>
      <c r="H7" s="411"/>
      <c r="I7" s="361"/>
      <c r="J7" s="411"/>
      <c r="K7" s="380"/>
      <c r="L7" s="411"/>
      <c r="M7" s="380"/>
      <c r="N7" s="412"/>
      <c r="O7" s="411"/>
    </row>
    <row r="8" spans="3:15" ht="20.100000000000001" customHeight="1">
      <c r="C8" s="380"/>
      <c r="D8" s="411"/>
      <c r="F8" s="380"/>
      <c r="G8" s="411"/>
      <c r="H8" s="411"/>
      <c r="I8" s="361"/>
      <c r="J8" s="411"/>
      <c r="K8" s="380"/>
      <c r="L8" s="411"/>
      <c r="M8" s="380"/>
      <c r="N8" s="412"/>
      <c r="O8" s="411"/>
    </row>
    <row r="9" spans="3:15" ht="20.100000000000001" customHeight="1">
      <c r="C9" s="380"/>
      <c r="D9" s="411"/>
      <c r="F9" s="380"/>
      <c r="G9" s="414"/>
      <c r="H9" s="411"/>
      <c r="I9" s="361"/>
      <c r="J9" s="411"/>
      <c r="K9" s="380"/>
      <c r="L9" s="414"/>
      <c r="M9" s="380"/>
      <c r="N9" s="411"/>
      <c r="O9" s="411"/>
    </row>
    <row r="10" spans="3:15" ht="20.100000000000001" customHeight="1">
      <c r="C10" s="380"/>
      <c r="D10" s="411"/>
      <c r="F10" s="380"/>
      <c r="G10" s="414"/>
      <c r="H10" s="411"/>
      <c r="I10" s="361"/>
      <c r="J10" s="411"/>
      <c r="K10" s="380"/>
      <c r="L10" s="414"/>
      <c r="M10" s="380"/>
      <c r="N10" s="411"/>
      <c r="O10" s="411"/>
    </row>
    <row r="11" spans="3:15" ht="20.100000000000001" customHeight="1">
      <c r="C11" s="380"/>
      <c r="D11" s="411"/>
      <c r="F11" s="380"/>
      <c r="G11" s="414"/>
      <c r="H11" s="411"/>
      <c r="I11" s="361"/>
      <c r="J11" s="411"/>
      <c r="K11" s="380"/>
      <c r="L11" s="414"/>
      <c r="M11" s="380"/>
      <c r="N11" s="411"/>
      <c r="O11" s="411"/>
    </row>
    <row r="12" spans="3:15" ht="20.100000000000001" customHeight="1">
      <c r="C12" s="380"/>
      <c r="D12" s="411"/>
      <c r="F12" s="380"/>
      <c r="G12" s="414"/>
      <c r="H12" s="411"/>
      <c r="I12" s="361"/>
      <c r="J12" s="411"/>
      <c r="K12" s="380"/>
      <c r="L12" s="414"/>
      <c r="M12" s="380"/>
      <c r="N12" s="411"/>
      <c r="O12" s="411"/>
    </row>
    <row r="13" spans="3:15" ht="20.100000000000001" customHeight="1">
      <c r="C13" s="380"/>
      <c r="D13" s="411"/>
      <c r="F13" s="380"/>
      <c r="G13" s="414"/>
      <c r="H13" s="411"/>
      <c r="I13" s="361"/>
      <c r="J13" s="411"/>
      <c r="K13" s="380"/>
      <c r="L13" s="414"/>
      <c r="M13" s="380"/>
      <c r="N13" s="411"/>
      <c r="O13" s="411"/>
    </row>
    <row r="14" spans="3:15" ht="20.100000000000001" customHeight="1">
      <c r="C14" s="380"/>
      <c r="D14" s="411"/>
      <c r="F14" s="380"/>
      <c r="G14" s="414"/>
      <c r="H14" s="411"/>
      <c r="I14" s="361"/>
      <c r="J14" s="411"/>
      <c r="K14" s="380"/>
      <c r="L14" s="414"/>
      <c r="M14" s="380"/>
      <c r="N14" s="411"/>
      <c r="O14" s="411"/>
    </row>
    <row r="15" spans="3:15" ht="20.100000000000001" customHeight="1">
      <c r="C15" s="380"/>
      <c r="D15" s="411"/>
      <c r="F15" s="380"/>
      <c r="G15" s="414"/>
      <c r="H15" s="411"/>
      <c r="I15" s="361"/>
      <c r="J15" s="411"/>
      <c r="K15" s="380"/>
      <c r="L15" s="414"/>
      <c r="M15" s="380"/>
      <c r="N15" s="411"/>
      <c r="O15" s="411"/>
    </row>
    <row r="16" spans="3:15" ht="20.100000000000001" customHeight="1">
      <c r="C16" s="380"/>
      <c r="D16" s="411"/>
      <c r="F16" s="380"/>
      <c r="G16" s="414"/>
      <c r="H16" s="411"/>
      <c r="I16" s="361"/>
      <c r="J16" s="411"/>
      <c r="K16" s="380"/>
      <c r="L16" s="414"/>
      <c r="M16" s="380"/>
      <c r="N16" s="411"/>
      <c r="O16" s="411"/>
    </row>
    <row r="17" spans="3:15" ht="20.100000000000001" customHeight="1" thickBot="1">
      <c r="C17" s="374"/>
      <c r="D17" s="413"/>
      <c r="E17" s="363"/>
      <c r="F17" s="374"/>
      <c r="G17" s="415"/>
      <c r="H17" s="413"/>
      <c r="I17" s="366"/>
      <c r="J17" s="413"/>
      <c r="K17" s="374"/>
      <c r="L17" s="415"/>
      <c r="M17" s="374"/>
      <c r="N17" s="413"/>
      <c r="O17" s="413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L13" sqref="L13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418" customFormat="1" ht="27.75" customHeight="1" thickBot="1">
      <c r="D2" s="375" t="s">
        <v>290</v>
      </c>
    </row>
    <row r="3" spans="4:11" s="53" customFormat="1" ht="42.75" customHeight="1">
      <c r="D3" s="420" t="s">
        <v>298</v>
      </c>
      <c r="E3" s="421" t="s">
        <v>296</v>
      </c>
      <c r="F3" s="421" t="s">
        <v>295</v>
      </c>
      <c r="G3" s="421" t="s">
        <v>299</v>
      </c>
      <c r="H3" s="421" t="s">
        <v>300</v>
      </c>
      <c r="I3" s="421" t="s">
        <v>301</v>
      </c>
      <c r="J3" s="421" t="s">
        <v>302</v>
      </c>
      <c r="K3" s="422" t="s">
        <v>303</v>
      </c>
    </row>
    <row r="4" spans="4:11" s="419" customFormat="1" ht="33.75" customHeight="1" thickBot="1">
      <c r="D4" s="423">
        <f>Well!$P$4</f>
        <v>3059068</v>
      </c>
      <c r="E4" s="424">
        <f>max</f>
        <v>1198.3</v>
      </c>
      <c r="F4" s="424">
        <f>'1'!$F$19</f>
        <v>1345.7569279715069</v>
      </c>
      <c r="G4" s="425">
        <f>'1'!$G$13</f>
        <v>0.65</v>
      </c>
      <c r="H4" s="424">
        <f>'1'!$G$19</f>
        <v>874.7420031814795</v>
      </c>
      <c r="I4" s="426">
        <f>'1'!$F$21</f>
        <v>172.8</v>
      </c>
      <c r="J4" s="424">
        <f>SumWater</f>
        <v>390</v>
      </c>
      <c r="K4" s="427">
        <f>'1'!$G$21</f>
        <v>311.94200318147949</v>
      </c>
    </row>
    <row r="6" spans="4:11" ht="20.100000000000001" customHeight="1" thickBot="1"/>
    <row r="7" spans="4:11" ht="62.25" customHeight="1">
      <c r="D7" s="420" t="s">
        <v>298</v>
      </c>
      <c r="E7" s="421" t="s">
        <v>296</v>
      </c>
      <c r="F7" s="421" t="s">
        <v>295</v>
      </c>
      <c r="G7" s="421" t="s">
        <v>299</v>
      </c>
      <c r="H7" s="421" t="s">
        <v>300</v>
      </c>
      <c r="I7" s="421" t="s">
        <v>301</v>
      </c>
      <c r="J7" s="421" t="s">
        <v>317</v>
      </c>
      <c r="K7" s="422" t="s">
        <v>302</v>
      </c>
    </row>
    <row r="8" spans="4:11" ht="31.5" customHeight="1" thickBot="1">
      <c r="D8" s="423">
        <f>Well!$P$4</f>
        <v>3059068</v>
      </c>
      <c r="E8" s="424">
        <f>max</f>
        <v>1198.3</v>
      </c>
      <c r="F8" s="424">
        <f>'1'!$F$19</f>
        <v>1345.7569279715069</v>
      </c>
      <c r="G8" s="425">
        <f>'1'!$G$13</f>
        <v>0.65</v>
      </c>
      <c r="H8" s="424">
        <f>'1'!$G$19</f>
        <v>874.7420031814795</v>
      </c>
      <c r="I8" s="426">
        <f>'1'!$F$21</f>
        <v>172.8</v>
      </c>
      <c r="J8" s="424">
        <f>'1'!H19</f>
        <v>701.94200318147955</v>
      </c>
      <c r="K8" s="427">
        <f>SumWater</f>
        <v>390</v>
      </c>
    </row>
    <row r="10" spans="4:11" ht="30.75" customHeight="1" thickBot="1">
      <c r="D10" s="375" t="s">
        <v>316</v>
      </c>
    </row>
    <row r="11" spans="4:11" s="53" customFormat="1" ht="39" customHeight="1">
      <c r="D11" s="420" t="s">
        <v>309</v>
      </c>
      <c r="E11" s="428" t="s">
        <v>310</v>
      </c>
      <c r="F11" s="428" t="s">
        <v>304</v>
      </c>
      <c r="G11" s="428" t="s">
        <v>305</v>
      </c>
      <c r="H11" s="428" t="s">
        <v>306</v>
      </c>
      <c r="I11" s="428" t="s">
        <v>307</v>
      </c>
      <c r="J11" s="429" t="s">
        <v>308</v>
      </c>
    </row>
    <row r="12" spans="4:11" s="37" customFormat="1" ht="20.100000000000001" customHeight="1">
      <c r="D12" s="430" t="s">
        <v>236</v>
      </c>
      <c r="E12" s="431">
        <v>500</v>
      </c>
      <c r="F12" s="431">
        <v>143</v>
      </c>
      <c r="G12" s="431">
        <v>14.3</v>
      </c>
      <c r="H12" s="431">
        <v>64.8</v>
      </c>
      <c r="I12" s="431">
        <v>1.6435</v>
      </c>
      <c r="J12" s="432">
        <v>3.2289999999999999E-4</v>
      </c>
    </row>
    <row r="13" spans="4:11" s="37" customFormat="1" ht="20.100000000000001" customHeight="1">
      <c r="D13" s="430" t="s">
        <v>237</v>
      </c>
      <c r="E13" s="431">
        <v>500</v>
      </c>
      <c r="F13" s="431">
        <v>143</v>
      </c>
      <c r="G13" s="431">
        <v>14.3</v>
      </c>
      <c r="H13" s="431">
        <v>64.8</v>
      </c>
      <c r="I13" s="431">
        <v>1.6435</v>
      </c>
      <c r="J13" s="432">
        <v>3.2289999999999999E-4</v>
      </c>
    </row>
    <row r="14" spans="4:11" s="37" customFormat="1" ht="20.100000000000001" customHeight="1">
      <c r="D14" s="430" t="s">
        <v>238</v>
      </c>
      <c r="E14" s="431">
        <v>500</v>
      </c>
      <c r="F14" s="431">
        <v>143</v>
      </c>
      <c r="G14" s="431">
        <v>14.3</v>
      </c>
      <c r="H14" s="431">
        <v>64.8</v>
      </c>
      <c r="I14" s="431">
        <v>1.6435</v>
      </c>
      <c r="J14" s="432">
        <v>3.2289999999999999E-4</v>
      </c>
    </row>
    <row r="15" spans="4:11" s="37" customFormat="1" ht="20.100000000000001" customHeight="1">
      <c r="D15" s="430"/>
      <c r="E15" s="431"/>
      <c r="F15" s="431"/>
      <c r="G15" s="431"/>
      <c r="H15" s="431"/>
      <c r="I15" s="431"/>
      <c r="J15" s="432"/>
    </row>
    <row r="16" spans="4:11" s="37" customFormat="1" ht="20.100000000000001" customHeight="1">
      <c r="D16" s="430"/>
      <c r="E16" s="431"/>
      <c r="F16" s="431"/>
      <c r="G16" s="431"/>
      <c r="H16" s="431"/>
      <c r="I16" s="431"/>
      <c r="J16" s="432"/>
    </row>
    <row r="17" spans="4:10" s="37" customFormat="1" ht="20.100000000000001" customHeight="1">
      <c r="D17" s="430"/>
      <c r="E17" s="431"/>
      <c r="F17" s="431"/>
      <c r="G17" s="431"/>
      <c r="H17" s="431"/>
      <c r="I17" s="431"/>
      <c r="J17" s="432"/>
    </row>
    <row r="18" spans="4:10" s="37" customFormat="1" ht="20.100000000000001" customHeight="1">
      <c r="D18" s="430"/>
      <c r="E18" s="431"/>
      <c r="F18" s="431"/>
      <c r="G18" s="431"/>
      <c r="H18" s="431"/>
      <c r="I18" s="431"/>
      <c r="J18" s="432"/>
    </row>
    <row r="19" spans="4:10" s="37" customFormat="1" ht="20.100000000000001" customHeight="1">
      <c r="D19" s="430"/>
      <c r="E19" s="431"/>
      <c r="F19" s="431"/>
      <c r="G19" s="431"/>
      <c r="H19" s="431"/>
      <c r="I19" s="431"/>
      <c r="J19" s="432"/>
    </row>
    <row r="20" spans="4:10" s="37" customFormat="1" ht="20.100000000000001" customHeight="1">
      <c r="D20" s="430"/>
      <c r="E20" s="431"/>
      <c r="F20" s="431"/>
      <c r="G20" s="431"/>
      <c r="H20" s="431"/>
      <c r="I20" s="431"/>
      <c r="J20" s="432"/>
    </row>
    <row r="21" spans="4:10" s="37" customFormat="1" ht="20.100000000000001" customHeight="1">
      <c r="D21" s="430"/>
      <c r="E21" s="431"/>
      <c r="F21" s="431"/>
      <c r="G21" s="431"/>
      <c r="H21" s="431"/>
      <c r="I21" s="431"/>
      <c r="J21" s="432"/>
    </row>
    <row r="22" spans="4:10" s="37" customFormat="1" ht="20.100000000000001" customHeight="1">
      <c r="D22" s="430"/>
      <c r="E22" s="431"/>
      <c r="F22" s="431"/>
      <c r="G22" s="431"/>
      <c r="H22" s="431"/>
      <c r="I22" s="431"/>
      <c r="J22" s="432"/>
    </row>
    <row r="23" spans="4:10" s="37" customFormat="1" ht="20.100000000000001" customHeight="1">
      <c r="D23" s="430"/>
      <c r="E23" s="431"/>
      <c r="F23" s="431"/>
      <c r="G23" s="431"/>
      <c r="H23" s="431"/>
      <c r="I23" s="431"/>
      <c r="J23" s="432"/>
    </row>
    <row r="24" spans="4:10" s="37" customFormat="1" ht="20.100000000000001" customHeight="1" thickBot="1">
      <c r="D24" s="433"/>
      <c r="E24" s="434"/>
      <c r="F24" s="434"/>
      <c r="G24" s="434"/>
      <c r="H24" s="434"/>
      <c r="I24" s="434"/>
      <c r="J24" s="435"/>
    </row>
    <row r="25" spans="4:10" s="37" customFormat="1" ht="20.100000000000001" customHeight="1"/>
    <row r="26" spans="4:10" ht="20.100000000000001" customHeight="1" thickBot="1"/>
    <row r="27" spans="4:10" ht="31.5" customHeight="1">
      <c r="D27" s="420" t="s">
        <v>313</v>
      </c>
      <c r="E27" s="428" t="s">
        <v>311</v>
      </c>
      <c r="F27" s="429" t="s">
        <v>312</v>
      </c>
    </row>
    <row r="28" spans="4:10" s="37" customFormat="1" ht="20.100000000000001" customHeight="1">
      <c r="D28" s="430" t="s">
        <v>236</v>
      </c>
      <c r="E28" s="431">
        <v>81.7</v>
      </c>
      <c r="F28" s="432"/>
    </row>
    <row r="29" spans="4:10" s="37" customFormat="1" ht="20.100000000000001" customHeight="1">
      <c r="D29" s="430" t="s">
        <v>237</v>
      </c>
      <c r="E29" s="431">
        <v>81.7</v>
      </c>
      <c r="F29" s="432"/>
    </row>
    <row r="30" spans="4:10" s="37" customFormat="1" ht="20.100000000000001" customHeight="1">
      <c r="D30" s="430" t="s">
        <v>238</v>
      </c>
      <c r="E30" s="431">
        <v>81.7</v>
      </c>
      <c r="F30" s="432"/>
    </row>
    <row r="31" spans="4:10" s="37" customFormat="1" ht="20.100000000000001" customHeight="1">
      <c r="D31" s="430"/>
      <c r="E31" s="431"/>
      <c r="F31" s="432"/>
    </row>
    <row r="32" spans="4:10" s="37" customFormat="1" ht="20.100000000000001" customHeight="1">
      <c r="D32" s="430"/>
      <c r="E32" s="431"/>
      <c r="F32" s="432"/>
    </row>
    <row r="33" spans="4:16" s="37" customFormat="1" ht="20.100000000000001" customHeight="1">
      <c r="D33" s="430"/>
      <c r="E33" s="431"/>
      <c r="F33" s="432"/>
    </row>
    <row r="34" spans="4:16" s="37" customFormat="1" ht="20.100000000000001" customHeight="1">
      <c r="D34" s="430"/>
      <c r="E34" s="431"/>
      <c r="F34" s="432"/>
    </row>
    <row r="35" spans="4:16" s="37" customFormat="1" ht="20.100000000000001" customHeight="1">
      <c r="D35" s="430"/>
      <c r="E35" s="431"/>
      <c r="F35" s="432"/>
    </row>
    <row r="36" spans="4:16" s="37" customFormat="1" ht="20.100000000000001" customHeight="1">
      <c r="D36" s="430"/>
      <c r="E36" s="431"/>
      <c r="F36" s="432"/>
    </row>
    <row r="37" spans="4:16" s="37" customFormat="1" ht="20.100000000000001" customHeight="1">
      <c r="D37" s="430"/>
      <c r="E37" s="431"/>
      <c r="F37" s="432"/>
    </row>
    <row r="38" spans="4:16" s="37" customFormat="1" ht="20.100000000000001" customHeight="1">
      <c r="D38" s="430"/>
      <c r="E38" s="431"/>
      <c r="F38" s="432"/>
    </row>
    <row r="39" spans="4:16" s="37" customFormat="1" ht="20.100000000000001" customHeight="1">
      <c r="D39" s="430"/>
      <c r="E39" s="431"/>
      <c r="F39" s="432"/>
    </row>
    <row r="40" spans="4:16" s="37" customFormat="1" ht="19.5" customHeight="1" thickBot="1">
      <c r="D40" s="433"/>
      <c r="E40" s="434"/>
      <c r="F40" s="435"/>
    </row>
    <row r="41" spans="4:16" ht="20.100000000000001" customHeight="1">
      <c r="D41" s="416"/>
    </row>
    <row r="42" spans="4:16" ht="20.100000000000001" customHeight="1">
      <c r="D42" s="416"/>
    </row>
    <row r="43" spans="4:16" ht="20.100000000000001" customHeight="1" thickBot="1">
      <c r="D43" s="417" t="s">
        <v>289</v>
      </c>
    </row>
    <row r="44" spans="4:16" s="37" customFormat="1" ht="31.5" customHeight="1">
      <c r="D44" s="420" t="s">
        <v>236</v>
      </c>
      <c r="E44" s="428" t="s">
        <v>237</v>
      </c>
      <c r="F44" s="428" t="s">
        <v>238</v>
      </c>
      <c r="G44" s="428"/>
      <c r="H44" s="428"/>
      <c r="I44" s="428"/>
      <c r="J44" s="428"/>
      <c r="K44" s="428"/>
      <c r="L44" s="428"/>
      <c r="M44" s="428"/>
      <c r="N44" s="428"/>
      <c r="O44" s="428"/>
      <c r="P44" s="429"/>
    </row>
    <row r="45" spans="4:16" s="37" customFormat="1" ht="30" customHeight="1" thickBot="1">
      <c r="D45" s="433">
        <v>130</v>
      </c>
      <c r="E45" s="434">
        <v>130</v>
      </c>
      <c r="F45" s="434">
        <v>130</v>
      </c>
      <c r="G45" s="434"/>
      <c r="H45" s="434"/>
      <c r="I45" s="434"/>
      <c r="J45" s="434"/>
      <c r="K45" s="434"/>
      <c r="L45" s="434"/>
      <c r="M45" s="434"/>
      <c r="N45" s="434"/>
      <c r="O45" s="434"/>
      <c r="P45" s="435"/>
    </row>
    <row r="46" spans="4:16" ht="20.100000000000001" customHeight="1">
      <c r="D46" s="416"/>
    </row>
    <row r="47" spans="4:16" ht="20.100000000000001" customHeight="1">
      <c r="D47" s="416"/>
    </row>
    <row r="48" spans="4:16" ht="22.5" customHeight="1" thickBot="1">
      <c r="D48" s="417" t="s">
        <v>314</v>
      </c>
    </row>
    <row r="49" spans="4:16" s="37" customFormat="1" ht="36.75" customHeight="1">
      <c r="D49" s="420" t="s">
        <v>236</v>
      </c>
      <c r="E49" s="428" t="s">
        <v>237</v>
      </c>
      <c r="F49" s="428" t="s">
        <v>238</v>
      </c>
      <c r="G49" s="428"/>
      <c r="H49" s="428"/>
      <c r="I49" s="428"/>
      <c r="J49" s="428"/>
      <c r="K49" s="428"/>
      <c r="L49" s="428"/>
      <c r="M49" s="428"/>
      <c r="N49" s="428"/>
      <c r="O49" s="428"/>
      <c r="P49" s="429"/>
    </row>
    <row r="50" spans="4:16" s="37" customFormat="1" ht="30" customHeight="1" thickBot="1">
      <c r="D50" s="433">
        <v>500</v>
      </c>
      <c r="E50" s="434">
        <v>500</v>
      </c>
      <c r="F50" s="434">
        <v>500</v>
      </c>
      <c r="G50" s="434"/>
      <c r="H50" s="434"/>
      <c r="I50" s="434"/>
      <c r="J50" s="434"/>
      <c r="K50" s="434"/>
      <c r="L50" s="434"/>
      <c r="M50" s="434"/>
      <c r="N50" s="434"/>
      <c r="O50" s="434"/>
      <c r="P50" s="435"/>
    </row>
    <row r="51" spans="4:16" ht="20.100000000000001" customHeight="1">
      <c r="D51" s="416"/>
    </row>
    <row r="52" spans="4:16" ht="20.100000000000001" customHeight="1">
      <c r="D52" s="416"/>
    </row>
    <row r="53" spans="4:16" ht="20.100000000000001" customHeight="1" thickBot="1">
      <c r="D53" s="417" t="s">
        <v>315</v>
      </c>
    </row>
    <row r="54" spans="4:16" s="37" customFormat="1" ht="40.5" customHeight="1">
      <c r="D54" s="420" t="s">
        <v>236</v>
      </c>
      <c r="E54" s="428" t="s">
        <v>237</v>
      </c>
      <c r="F54" s="428" t="s">
        <v>238</v>
      </c>
      <c r="G54" s="428"/>
      <c r="H54" s="428"/>
      <c r="I54" s="428"/>
      <c r="J54" s="428"/>
      <c r="K54" s="428"/>
      <c r="L54" s="428"/>
      <c r="M54" s="428"/>
      <c r="N54" s="428"/>
      <c r="O54" s="428"/>
      <c r="P54" s="429"/>
    </row>
    <row r="55" spans="4:16" s="37" customFormat="1" ht="30" customHeight="1" thickBot="1">
      <c r="D55" s="433">
        <v>10</v>
      </c>
      <c r="E55" s="434">
        <v>10</v>
      </c>
      <c r="F55" s="434">
        <v>10</v>
      </c>
      <c r="G55" s="434"/>
      <c r="H55" s="434"/>
      <c r="I55" s="434"/>
      <c r="J55" s="434"/>
      <c r="K55" s="434"/>
      <c r="L55" s="434"/>
      <c r="M55" s="434"/>
      <c r="N55" s="434"/>
      <c r="O55" s="434"/>
      <c r="P55" s="43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3" r:id="rId4" name="CommandButton1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4" name="CommandButton1"/>
      </mc:Fallback>
    </mc:AlternateContent>
    <mc:AlternateContent xmlns:mc="http://schemas.openxmlformats.org/markup-compatibility/2006">
      <mc:Choice Requires="x14">
        <control shapeId="264194" r:id="rId6" name="CommandButton2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opLeftCell="A10" workbookViewId="0">
      <selection activeCell="M24" sqref="M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455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456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57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57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58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59">
        <f>Well!H4</f>
        <v>500</v>
      </c>
      <c r="D7" s="329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59">
        <f>Well!G4</f>
        <v>200</v>
      </c>
    </row>
    <row r="9" spans="1:13" ht="20.100000000000001" customHeight="1" thickBot="1">
      <c r="B9" s="6" t="s">
        <v>61</v>
      </c>
      <c r="C9" s="46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58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458">
        <v>7</v>
      </c>
      <c r="D11" s="330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14" t="s">
        <v>119</v>
      </c>
      <c r="K11" s="51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61">
        <f>C7-C9</f>
        <v>488</v>
      </c>
      <c r="H12" s="18"/>
      <c r="J12" s="184" t="s">
        <v>121</v>
      </c>
      <c r="K12" s="333">
        <v>34</v>
      </c>
      <c r="L12" s="529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61"/>
      <c r="E13" s="239" t="str">
        <f>Recharge!I24</f>
        <v>한강/한강고양</v>
      </c>
      <c r="F13" s="188">
        <f>rf_1</f>
        <v>0.13400000000000001</v>
      </c>
      <c r="G13" s="188">
        <f>allow_ratio</f>
        <v>0.65</v>
      </c>
      <c r="H13" s="19"/>
      <c r="J13" s="184" t="s">
        <v>114</v>
      </c>
      <c r="K13" s="226">
        <v>526</v>
      </c>
      <c r="L13" s="42"/>
    </row>
    <row r="14" spans="1:13" ht="20.100000000000001" customHeight="1">
      <c r="B14" s="6" t="s">
        <v>68</v>
      </c>
      <c r="C14" s="460">
        <f>C7-IF(C20&gt;C9,C20,C9)</f>
        <v>485.7</v>
      </c>
      <c r="G14" s="188">
        <f>max</f>
        <v>1198.3</v>
      </c>
      <c r="H14" s="19"/>
      <c r="J14" s="184" t="s">
        <v>115</v>
      </c>
      <c r="K14" s="226">
        <v>76</v>
      </c>
      <c r="L14" s="42"/>
    </row>
    <row r="15" spans="1:13" ht="20.100000000000001" customHeight="1" thickBot="1">
      <c r="B15" s="6" t="s">
        <v>69</v>
      </c>
      <c r="C15" s="459">
        <f>Well!I4</f>
        <v>130</v>
      </c>
      <c r="E15" s="41">
        <v>1</v>
      </c>
      <c r="J15" s="184" t="s">
        <v>116</v>
      </c>
      <c r="K15" s="226">
        <v>50</v>
      </c>
      <c r="L15" s="42"/>
    </row>
    <row r="16" spans="1:13" ht="20.100000000000001" customHeight="1">
      <c r="B16" s="6" t="s">
        <v>70</v>
      </c>
      <c r="C16" s="462">
        <f>Well!J4</f>
        <v>143</v>
      </c>
      <c r="E16" s="156" t="s">
        <v>297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61.7</v>
      </c>
      <c r="L16" s="42"/>
    </row>
    <row r="17" spans="2:12" ht="20.100000000000001" customHeight="1" thickBot="1">
      <c r="B17" s="6" t="s">
        <v>71</v>
      </c>
      <c r="C17" s="459">
        <f>Well!L4</f>
        <v>10</v>
      </c>
      <c r="E17" s="76">
        <f>Well!P4</f>
        <v>3059068</v>
      </c>
      <c r="F17" s="247">
        <f>(max*rf_1*E17/1000)</f>
        <v>491201.27870960004</v>
      </c>
      <c r="G17" s="246">
        <f>F17*allow_ratio</f>
        <v>319280.83116124006</v>
      </c>
      <c r="J17" s="184" t="s">
        <v>117</v>
      </c>
      <c r="K17" s="185">
        <f>K16-K15</f>
        <v>11.700000000000003</v>
      </c>
      <c r="L17" s="42"/>
    </row>
    <row r="18" spans="2:12" ht="20.100000000000001" customHeight="1" thickBot="1">
      <c r="B18" s="6" t="s">
        <v>72</v>
      </c>
      <c r="C18" s="459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2.2243346007604567E-2</v>
      </c>
      <c r="L18" s="530">
        <f>K18*100</f>
        <v>2.2243346007604567</v>
      </c>
    </row>
    <row r="19" spans="2:12" ht="20.100000000000001" customHeight="1" thickBot="1">
      <c r="B19" s="21" t="s">
        <v>76</v>
      </c>
      <c r="C19" s="463">
        <f>Well!N4</f>
        <v>50</v>
      </c>
      <c r="E19" s="76">
        <f>E17</f>
        <v>3059068</v>
      </c>
      <c r="F19" s="243">
        <f>(max*rf_1*E19/1000)/365</f>
        <v>1345.7569279715069</v>
      </c>
      <c r="G19" s="244">
        <f>F19*allow_ratio</f>
        <v>874.7420031814795</v>
      </c>
      <c r="H19" s="179">
        <f>G19-F21</f>
        <v>701.94200318147955</v>
      </c>
    </row>
    <row r="20" spans="2:12" ht="20.100000000000001" customHeight="1">
      <c r="B20" s="22" t="s">
        <v>77</v>
      </c>
      <c r="C20" s="464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65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311.94200318147949</v>
      </c>
    </row>
    <row r="22" spans="2:12" ht="20.100000000000001" customHeight="1" thickBot="1">
      <c r="B22" s="31" t="s">
        <v>166</v>
      </c>
      <c r="C22" s="466">
        <f>C21-C20</f>
        <v>50.5</v>
      </c>
      <c r="E22" s="516">
        <f>E21+F21</f>
        <v>562.79999999999995</v>
      </c>
      <c r="F22" s="517"/>
      <c r="G22" s="20"/>
      <c r="I22" s="19"/>
    </row>
    <row r="23" spans="2:12" ht="20.100000000000001" customHeight="1" thickBot="1">
      <c r="B23" s="332" t="s">
        <v>241</v>
      </c>
      <c r="C23" s="331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10" t="s">
        <v>99</v>
      </c>
      <c r="C25" s="511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12" t="s">
        <v>105</v>
      </c>
      <c r="C26" s="192" t="s">
        <v>106</v>
      </c>
      <c r="D26" s="193">
        <f>C20</f>
        <v>14.3</v>
      </c>
      <c r="E26" s="194">
        <f>Recharge!C30</f>
        <v>16.057220000000001</v>
      </c>
      <c r="F26" s="195" t="s">
        <v>186</v>
      </c>
      <c r="G26" s="193" t="s">
        <v>235</v>
      </c>
      <c r="H26" s="196">
        <f>L18</f>
        <v>2.2243346007604567</v>
      </c>
      <c r="I26" s="193" t="s">
        <v>186</v>
      </c>
      <c r="J26" s="193">
        <f>(E7/C14)/864</f>
        <v>3.9164073997819102E-6</v>
      </c>
      <c r="K26" s="197" t="s">
        <v>239</v>
      </c>
    </row>
    <row r="27" spans="2:12" ht="25.5" customHeight="1">
      <c r="B27" s="512"/>
      <c r="C27" s="192" t="s">
        <v>107</v>
      </c>
      <c r="D27" s="192">
        <v>5</v>
      </c>
      <c r="E27" s="192">
        <v>8</v>
      </c>
      <c r="F27" s="192">
        <v>3</v>
      </c>
      <c r="G27" s="192">
        <v>4</v>
      </c>
      <c r="H27" s="192">
        <v>9</v>
      </c>
      <c r="I27" s="192">
        <v>4</v>
      </c>
      <c r="J27" s="192">
        <v>2</v>
      </c>
      <c r="K27" s="197" t="s">
        <v>240</v>
      </c>
    </row>
    <row r="28" spans="2:12" ht="25.5" customHeight="1">
      <c r="B28" s="512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12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12"/>
      <c r="C30" s="198" t="s">
        <v>181</v>
      </c>
      <c r="D30" s="199">
        <f>D27*D28</f>
        <v>25</v>
      </c>
      <c r="E30" s="199">
        <f t="shared" ref="E30:J30" si="0">E27*E28</f>
        <v>32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6</v>
      </c>
      <c r="K30" s="200">
        <f>SUM(D30:J30)</f>
        <v>109</v>
      </c>
    </row>
    <row r="31" spans="2:12" ht="25.5" customHeight="1" thickBot="1">
      <c r="B31" s="513"/>
      <c r="C31" s="201" t="s">
        <v>182</v>
      </c>
      <c r="D31" s="202">
        <f t="shared" ref="D31:J31" si="1">D27*D29</f>
        <v>25</v>
      </c>
      <c r="E31" s="202">
        <f t="shared" si="1"/>
        <v>32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4</v>
      </c>
      <c r="K31" s="203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7">
    <tabColor rgb="FFC00000"/>
  </sheetPr>
  <dimension ref="A1:M41"/>
  <sheetViews>
    <sheetView workbookViewId="0">
      <selection activeCell="L18" sqref="L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455" t="str">
        <f>Well!D5</f>
        <v>충남 보령시 천북면 하만리 산 143-5</v>
      </c>
      <c r="H2"/>
      <c r="I2" s="297" t="s">
        <v>280</v>
      </c>
      <c r="J2"/>
      <c r="K2"/>
      <c r="L2"/>
      <c r="M2"/>
    </row>
    <row r="3" spans="1:13" ht="20.100000000000001" customHeight="1">
      <c r="B3" s="2" t="s">
        <v>6</v>
      </c>
      <c r="C3" s="456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57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57">
        <f>Well!Q5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58" t="str">
        <f>Well!D5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59">
        <f>Well!H5</f>
        <v>500</v>
      </c>
      <c r="D7" s="329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59">
        <f>Well!G5</f>
        <v>200</v>
      </c>
    </row>
    <row r="9" spans="1:13" ht="20.100000000000001" customHeight="1" thickBot="1">
      <c r="B9" s="6" t="s">
        <v>61</v>
      </c>
      <c r="C9" s="46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58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458">
        <v>7</v>
      </c>
      <c r="D11" s="330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14" t="s">
        <v>119</v>
      </c>
      <c r="K11" s="51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61">
        <f>C7-C9</f>
        <v>488</v>
      </c>
      <c r="H12" s="18"/>
      <c r="J12" s="184" t="s">
        <v>121</v>
      </c>
      <c r="K12" s="333">
        <v>34</v>
      </c>
      <c r="L12" s="529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61"/>
      <c r="E13" s="239" t="str">
        <f>Recharge!I24</f>
        <v>한강/한강고양</v>
      </c>
      <c r="F13" s="188">
        <f>rf_1</f>
        <v>0.13400000000000001</v>
      </c>
      <c r="G13" s="188">
        <f>allow_ratio</f>
        <v>0.65</v>
      </c>
      <c r="H13" s="19"/>
      <c r="J13" s="184" t="s">
        <v>114</v>
      </c>
      <c r="K13" s="226">
        <v>526</v>
      </c>
      <c r="L13" s="42"/>
    </row>
    <row r="14" spans="1:13" ht="20.100000000000001" customHeight="1">
      <c r="B14" s="6" t="s">
        <v>68</v>
      </c>
      <c r="C14" s="460">
        <f>C7-IF(C20&gt;C9,C20,C9)</f>
        <v>485.7</v>
      </c>
      <c r="G14" s="188">
        <f>max</f>
        <v>1198.3</v>
      </c>
      <c r="H14" s="19"/>
      <c r="J14" s="184" t="s">
        <v>115</v>
      </c>
      <c r="K14" s="226">
        <v>76</v>
      </c>
      <c r="L14" s="42"/>
    </row>
    <row r="15" spans="1:13" ht="20.100000000000001" customHeight="1" thickBot="1">
      <c r="B15" s="6" t="s">
        <v>69</v>
      </c>
      <c r="C15" s="459">
        <f>Well!I5</f>
        <v>130</v>
      </c>
      <c r="E15" s="41">
        <v>2</v>
      </c>
      <c r="J15" s="184" t="s">
        <v>116</v>
      </c>
      <c r="K15" s="226">
        <v>50</v>
      </c>
      <c r="L15" s="42"/>
    </row>
    <row r="16" spans="1:13" ht="20.100000000000001" customHeight="1">
      <c r="B16" s="6" t="s">
        <v>70</v>
      </c>
      <c r="C16" s="462">
        <f>Well!J5</f>
        <v>143</v>
      </c>
      <c r="E16" s="156" t="s">
        <v>297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61.7</v>
      </c>
      <c r="L16" s="42"/>
    </row>
    <row r="17" spans="2:12" ht="20.100000000000001" customHeight="1" thickBot="1">
      <c r="B17" s="6" t="s">
        <v>71</v>
      </c>
      <c r="C17" s="459">
        <f>Well!L5</f>
        <v>10</v>
      </c>
      <c r="E17" s="76">
        <f>Well!P5</f>
        <v>3059068</v>
      </c>
      <c r="F17" s="247">
        <f>(max*rf_1*E17/1000)</f>
        <v>491201.27870960004</v>
      </c>
      <c r="G17" s="246">
        <f>F17*allow_ratio</f>
        <v>319280.83116124006</v>
      </c>
      <c r="J17" s="184" t="s">
        <v>117</v>
      </c>
      <c r="K17" s="185">
        <f>K16-K15</f>
        <v>11.700000000000003</v>
      </c>
      <c r="L17" s="42"/>
    </row>
    <row r="18" spans="2:12" ht="20.100000000000001" customHeight="1" thickBot="1">
      <c r="B18" s="6" t="s">
        <v>72</v>
      </c>
      <c r="C18" s="459">
        <f>Well!M5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2.2243346007604567E-2</v>
      </c>
      <c r="L18" s="530">
        <f>K18*100</f>
        <v>2.2243346007604567</v>
      </c>
    </row>
    <row r="19" spans="2:12" ht="20.100000000000001" customHeight="1" thickBot="1">
      <c r="B19" s="21" t="s">
        <v>76</v>
      </c>
      <c r="C19" s="463">
        <f>Well!N5</f>
        <v>50</v>
      </c>
      <c r="E19" s="76">
        <f>E17</f>
        <v>3059068</v>
      </c>
      <c r="F19" s="243">
        <f>(max*rf_1*E19/1000)/365</f>
        <v>1345.7569279715069</v>
      </c>
      <c r="G19" s="244">
        <f>F19*allow_ratio</f>
        <v>874.7420031814795</v>
      </c>
      <c r="H19" s="179">
        <f>G19-F21</f>
        <v>701.94200318147955</v>
      </c>
    </row>
    <row r="20" spans="2:12" ht="20.100000000000001" customHeight="1">
      <c r="B20" s="22" t="s">
        <v>77</v>
      </c>
      <c r="C20" s="464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65">
        <v>64.8</v>
      </c>
      <c r="D21" s="17"/>
      <c r="E21" s="176">
        <f>Well!$I$5</f>
        <v>130</v>
      </c>
      <c r="F21" s="245">
        <f>Well!O5</f>
        <v>172.8</v>
      </c>
      <c r="G21" s="246">
        <f>G19-E21-F21</f>
        <v>571.94200318147955</v>
      </c>
    </row>
    <row r="22" spans="2:12" ht="20.100000000000001" customHeight="1" thickBot="1">
      <c r="B22" s="31" t="s">
        <v>166</v>
      </c>
      <c r="C22" s="466">
        <f>C21-C20</f>
        <v>50.5</v>
      </c>
      <c r="E22" s="516">
        <f>E21+F21</f>
        <v>302.8</v>
      </c>
      <c r="F22" s="517"/>
      <c r="G22" s="20"/>
      <c r="I22" s="19"/>
    </row>
    <row r="23" spans="2:12" ht="20.100000000000001" customHeight="1" thickBot="1">
      <c r="B23" s="332" t="s">
        <v>241</v>
      </c>
      <c r="C23" s="331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10" t="s">
        <v>99</v>
      </c>
      <c r="C25" s="511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12" t="s">
        <v>49</v>
      </c>
      <c r="C26" s="192" t="s">
        <v>106</v>
      </c>
      <c r="D26" s="193">
        <f>C20</f>
        <v>14.3</v>
      </c>
      <c r="E26" s="194">
        <f>Recharge!C30</f>
        <v>16.057220000000001</v>
      </c>
      <c r="F26" s="195" t="s">
        <v>186</v>
      </c>
      <c r="G26" s="193" t="s">
        <v>235</v>
      </c>
      <c r="H26" s="196">
        <f>L18</f>
        <v>2.2243346007604567</v>
      </c>
      <c r="I26" s="193" t="s">
        <v>186</v>
      </c>
      <c r="J26" s="193">
        <f>(E7/C14)/864</f>
        <v>3.9164073997819102E-6</v>
      </c>
      <c r="K26" s="197" t="s">
        <v>239</v>
      </c>
    </row>
    <row r="27" spans="2:12" ht="25.5" customHeight="1">
      <c r="B27" s="512"/>
      <c r="C27" s="192" t="s">
        <v>107</v>
      </c>
      <c r="D27" s="192">
        <v>5</v>
      </c>
      <c r="E27" s="192">
        <v>8</v>
      </c>
      <c r="F27" s="192">
        <v>3</v>
      </c>
      <c r="G27" s="192">
        <v>4</v>
      </c>
      <c r="H27" s="192">
        <v>9</v>
      </c>
      <c r="I27" s="192">
        <v>4</v>
      </c>
      <c r="J27" s="192">
        <v>2</v>
      </c>
      <c r="K27" s="197" t="s">
        <v>240</v>
      </c>
    </row>
    <row r="28" spans="2:12" ht="25.5" customHeight="1">
      <c r="B28" s="512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12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12"/>
      <c r="C30" s="198" t="s">
        <v>181</v>
      </c>
      <c r="D30" s="199">
        <f>D27*D28</f>
        <v>25</v>
      </c>
      <c r="E30" s="199">
        <f t="shared" ref="E30:J30" si="0">E27*E28</f>
        <v>32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6</v>
      </c>
      <c r="K30" s="200">
        <f>SUM(D30:J30)</f>
        <v>109</v>
      </c>
    </row>
    <row r="31" spans="2:12" ht="25.5" customHeight="1" thickBot="1">
      <c r="B31" s="513"/>
      <c r="C31" s="201" t="s">
        <v>182</v>
      </c>
      <c r="D31" s="202">
        <f t="shared" ref="D31:J31" si="1">D27*D29</f>
        <v>25</v>
      </c>
      <c r="E31" s="202">
        <f t="shared" si="1"/>
        <v>32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4</v>
      </c>
      <c r="K31" s="203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80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4" name="CommandButton8"/>
      </mc:Fallback>
    </mc:AlternateContent>
    <mc:AlternateContent xmlns:mc="http://schemas.openxmlformats.org/markup-compatibility/2006">
      <mc:Choice Requires="x14">
        <control shapeId="2897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6" name="CommandButton6"/>
      </mc:Fallback>
    </mc:AlternateContent>
    <mc:AlternateContent xmlns:mc="http://schemas.openxmlformats.org/markup-compatibility/2006">
      <mc:Choice Requires="x14">
        <control shapeId="2897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8" name="Frame1"/>
      </mc:Fallback>
    </mc:AlternateContent>
    <mc:AlternateContent xmlns:mc="http://schemas.openxmlformats.org/markup-compatibility/2006">
      <mc:Choice Requires="x14">
        <control shapeId="2897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8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455" t="str">
        <f>Well!D6</f>
        <v>충남 보령시 천북면 하만리 산 143-5</v>
      </c>
      <c r="H2"/>
      <c r="I2" s="297" t="s">
        <v>321</v>
      </c>
      <c r="J2"/>
      <c r="K2"/>
      <c r="L2"/>
      <c r="M2"/>
    </row>
    <row r="3" spans="1:13" ht="20.100000000000001" customHeight="1">
      <c r="B3" s="2" t="s">
        <v>6</v>
      </c>
      <c r="C3" s="456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57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57">
        <f>Well!Q6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58" t="str">
        <f>Well!D6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59">
        <f>Well!H6</f>
        <v>500</v>
      </c>
      <c r="D7" s="329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59">
        <f>Well!G6</f>
        <v>200</v>
      </c>
    </row>
    <row r="9" spans="1:13" ht="20.100000000000001" customHeight="1" thickBot="1">
      <c r="B9" s="6" t="s">
        <v>61</v>
      </c>
      <c r="C9" s="46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58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458">
        <v>7</v>
      </c>
      <c r="D11" s="330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14" t="s">
        <v>119</v>
      </c>
      <c r="K11" s="51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61">
        <f>C7-C9</f>
        <v>488</v>
      </c>
      <c r="H12" s="18"/>
      <c r="J12" s="184" t="s">
        <v>121</v>
      </c>
      <c r="K12" s="333">
        <v>34</v>
      </c>
      <c r="L12" s="529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61"/>
      <c r="E13" s="239" t="str">
        <f>Recharge!I24</f>
        <v>한강/한강고양</v>
      </c>
      <c r="F13" s="188">
        <f>rf_1</f>
        <v>0.13400000000000001</v>
      </c>
      <c r="G13" s="188">
        <f>allow_ratio</f>
        <v>0.65</v>
      </c>
      <c r="H13" s="19"/>
      <c r="J13" s="184" t="s">
        <v>114</v>
      </c>
      <c r="K13" s="226">
        <v>526</v>
      </c>
      <c r="L13" s="42"/>
    </row>
    <row r="14" spans="1:13" ht="20.100000000000001" customHeight="1">
      <c r="B14" s="6" t="s">
        <v>68</v>
      </c>
      <c r="C14" s="460">
        <f>C7-IF(C20&gt;C9,C20,C9)</f>
        <v>485.7</v>
      </c>
      <c r="G14" s="188">
        <f>max</f>
        <v>1198.3</v>
      </c>
      <c r="H14" s="19"/>
      <c r="J14" s="184" t="s">
        <v>115</v>
      </c>
      <c r="K14" s="226">
        <v>76</v>
      </c>
      <c r="L14" s="42"/>
    </row>
    <row r="15" spans="1:13" ht="20.100000000000001" customHeight="1" thickBot="1">
      <c r="B15" s="6" t="s">
        <v>69</v>
      </c>
      <c r="C15" s="459">
        <f>Well!I6</f>
        <v>130</v>
      </c>
      <c r="E15" s="41">
        <v>3</v>
      </c>
      <c r="J15" s="184" t="s">
        <v>116</v>
      </c>
      <c r="K15" s="226">
        <v>50</v>
      </c>
      <c r="L15" s="42"/>
    </row>
    <row r="16" spans="1:13" ht="20.100000000000001" customHeight="1">
      <c r="B16" s="6" t="s">
        <v>70</v>
      </c>
      <c r="C16" s="462">
        <f>Well!J6</f>
        <v>143</v>
      </c>
      <c r="E16" s="156" t="s">
        <v>297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61.7</v>
      </c>
      <c r="L16" s="42"/>
    </row>
    <row r="17" spans="2:12" ht="20.100000000000001" customHeight="1" thickBot="1">
      <c r="B17" s="6" t="s">
        <v>71</v>
      </c>
      <c r="C17" s="459">
        <f>Well!L6</f>
        <v>10</v>
      </c>
      <c r="E17" s="76">
        <f>Well!P6</f>
        <v>3059068</v>
      </c>
      <c r="F17" s="247">
        <f>(max*rf_1*E17/1000)</f>
        <v>491201.27870960004</v>
      </c>
      <c r="G17" s="246">
        <f>F17*allow_ratio</f>
        <v>319280.83116124006</v>
      </c>
      <c r="J17" s="184" t="s">
        <v>117</v>
      </c>
      <c r="K17" s="185">
        <f>K16-K15</f>
        <v>11.700000000000003</v>
      </c>
      <c r="L17" s="42"/>
    </row>
    <row r="18" spans="2:12" ht="20.100000000000001" customHeight="1" thickBot="1">
      <c r="B18" s="6" t="s">
        <v>72</v>
      </c>
      <c r="C18" s="459">
        <f>Well!M6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2.2243346007604567E-2</v>
      </c>
      <c r="L18" s="530">
        <f>K18*100</f>
        <v>2.2243346007604567</v>
      </c>
    </row>
    <row r="19" spans="2:12" ht="20.100000000000001" customHeight="1" thickBot="1">
      <c r="B19" s="21" t="s">
        <v>76</v>
      </c>
      <c r="C19" s="463">
        <f>Well!N6</f>
        <v>50</v>
      </c>
      <c r="E19" s="76">
        <f>E17</f>
        <v>3059068</v>
      </c>
      <c r="F19" s="243">
        <f>(max*rf_1*E19/1000)/365</f>
        <v>1345.7569279715069</v>
      </c>
      <c r="G19" s="244">
        <f>F19*allow_ratio</f>
        <v>874.7420031814795</v>
      </c>
      <c r="H19" s="179">
        <f>G19-F21</f>
        <v>701.94200318147955</v>
      </c>
    </row>
    <row r="20" spans="2:12" ht="20.100000000000001" customHeight="1">
      <c r="B20" s="22" t="s">
        <v>77</v>
      </c>
      <c r="C20" s="464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65">
        <v>64.8</v>
      </c>
      <c r="D21" s="17"/>
      <c r="E21" s="176">
        <f>Well!$I$6</f>
        <v>130</v>
      </c>
      <c r="F21" s="245">
        <f>Well!O6</f>
        <v>172.8</v>
      </c>
      <c r="G21" s="246">
        <f>G19-E21-F21</f>
        <v>571.94200318147955</v>
      </c>
    </row>
    <row r="22" spans="2:12" ht="20.100000000000001" customHeight="1" thickBot="1">
      <c r="B22" s="31" t="s">
        <v>166</v>
      </c>
      <c r="C22" s="466">
        <f>C21-C20</f>
        <v>50.5</v>
      </c>
      <c r="E22" s="516">
        <f>E21+F21</f>
        <v>302.8</v>
      </c>
      <c r="F22" s="517"/>
      <c r="G22" s="20"/>
      <c r="I22" s="19"/>
    </row>
    <row r="23" spans="2:12" ht="20.100000000000001" customHeight="1" thickBot="1">
      <c r="B23" s="332" t="s">
        <v>241</v>
      </c>
      <c r="C23" s="331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10" t="s">
        <v>99</v>
      </c>
      <c r="C25" s="511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12" t="s">
        <v>49</v>
      </c>
      <c r="C26" s="192" t="s">
        <v>106</v>
      </c>
      <c r="D26" s="193">
        <f>C20</f>
        <v>14.3</v>
      </c>
      <c r="E26" s="194">
        <f>Recharge!C30</f>
        <v>16.057220000000001</v>
      </c>
      <c r="F26" s="195" t="s">
        <v>186</v>
      </c>
      <c r="G26" s="193" t="s">
        <v>235</v>
      </c>
      <c r="H26" s="196">
        <f>L18</f>
        <v>2.2243346007604567</v>
      </c>
      <c r="I26" s="193" t="s">
        <v>186</v>
      </c>
      <c r="J26" s="193">
        <f>(E7/C14)/864</f>
        <v>3.9164073997819102E-6</v>
      </c>
      <c r="K26" s="197" t="s">
        <v>239</v>
      </c>
    </row>
    <row r="27" spans="2:12" ht="25.5" customHeight="1">
      <c r="B27" s="512"/>
      <c r="C27" s="192" t="s">
        <v>107</v>
      </c>
      <c r="D27" s="192">
        <v>5</v>
      </c>
      <c r="E27" s="192">
        <v>8</v>
      </c>
      <c r="F27" s="192">
        <v>3</v>
      </c>
      <c r="G27" s="192">
        <v>4</v>
      </c>
      <c r="H27" s="192">
        <v>9</v>
      </c>
      <c r="I27" s="192">
        <v>4</v>
      </c>
      <c r="J27" s="192">
        <v>2</v>
      </c>
      <c r="K27" s="197" t="s">
        <v>240</v>
      </c>
    </row>
    <row r="28" spans="2:12" ht="25.5" customHeight="1">
      <c r="B28" s="512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12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12"/>
      <c r="C30" s="198" t="s">
        <v>181</v>
      </c>
      <c r="D30" s="199">
        <f>D27*D28</f>
        <v>25</v>
      </c>
      <c r="E30" s="199">
        <f t="shared" ref="E30:J30" si="0">E27*E28</f>
        <v>32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6</v>
      </c>
      <c r="K30" s="200">
        <f>SUM(D30:J30)</f>
        <v>109</v>
      </c>
    </row>
    <row r="31" spans="2:12" ht="25.5" customHeight="1" thickBot="1">
      <c r="B31" s="513"/>
      <c r="C31" s="201" t="s">
        <v>182</v>
      </c>
      <c r="D31" s="202">
        <f t="shared" ref="D31:J31" si="1">D27*D29</f>
        <v>25</v>
      </c>
      <c r="E31" s="202">
        <f t="shared" si="1"/>
        <v>32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4</v>
      </c>
      <c r="K31" s="203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4" name="CommandButton8"/>
      </mc:Fallback>
    </mc:AlternateContent>
    <mc:AlternateContent xmlns:mc="http://schemas.openxmlformats.org/markup-compatibility/2006">
      <mc:Choice Requires="x14">
        <control shapeId="2908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6" name="CommandButton6"/>
      </mc:Fallback>
    </mc:AlternateContent>
    <mc:AlternateContent xmlns:mc="http://schemas.openxmlformats.org/markup-compatibility/2006">
      <mc:Choice Requires="x14">
        <control shapeId="2908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8" name="Frame1"/>
      </mc:Fallback>
    </mc:AlternateContent>
    <mc:AlternateContent xmlns:mc="http://schemas.openxmlformats.org/markup-compatibility/2006">
      <mc:Choice Requires="x14">
        <control shapeId="2908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439" t="s">
        <v>82</v>
      </c>
      <c r="C6" s="452">
        <v>44753.861111111109</v>
      </c>
      <c r="D6" s="125"/>
      <c r="E6" s="37"/>
      <c r="F6" s="37"/>
    </row>
    <row r="7" spans="2:14" s="38" customFormat="1" ht="26.1" customHeight="1" thickBot="1">
      <c r="B7" s="442" t="s">
        <v>83</v>
      </c>
      <c r="C7" s="447">
        <v>14.6</v>
      </c>
      <c r="D7" s="125"/>
      <c r="E7" s="37"/>
      <c r="F7" s="37"/>
    </row>
    <row r="8" spans="2:14" s="38" customFormat="1" ht="26.1" customHeight="1">
      <c r="B8" s="439" t="s">
        <v>84</v>
      </c>
      <c r="C8" s="453">
        <v>211</v>
      </c>
      <c r="D8" s="125"/>
      <c r="E8" s="37"/>
      <c r="F8" s="37"/>
    </row>
    <row r="9" spans="2:14" s="38" customFormat="1" ht="26.1" customHeight="1" thickBot="1">
      <c r="B9" s="442" t="s">
        <v>85</v>
      </c>
      <c r="C9" s="454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20" t="s">
        <v>86</v>
      </c>
      <c r="C12" s="521"/>
      <c r="D12" s="522" t="s">
        <v>87</v>
      </c>
      <c r="E12" s="523"/>
      <c r="F12" s="521"/>
      <c r="H12" s="520" t="s">
        <v>87</v>
      </c>
      <c r="I12" s="523"/>
      <c r="J12" s="521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24" t="s">
        <v>36</v>
      </c>
      <c r="C24" s="525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24" t="s">
        <v>37</v>
      </c>
      <c r="C25" s="525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18" t="s">
        <v>92</v>
      </c>
      <c r="C26" s="519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O21" sqref="O2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445" t="s">
        <v>82</v>
      </c>
      <c r="C6" s="446">
        <v>44753.861111111109</v>
      </c>
      <c r="D6" s="125"/>
      <c r="E6" s="37"/>
      <c r="F6" s="37"/>
    </row>
    <row r="7" spans="2:9" s="38" customFormat="1" ht="26.1" customHeight="1" thickBot="1">
      <c r="B7" s="442" t="s">
        <v>83</v>
      </c>
      <c r="C7" s="447">
        <v>14</v>
      </c>
      <c r="D7" s="125"/>
      <c r="E7" s="37"/>
      <c r="F7" s="37"/>
    </row>
    <row r="8" spans="2:9" s="38" customFormat="1" ht="26.1" customHeight="1">
      <c r="B8" s="439" t="s">
        <v>84</v>
      </c>
      <c r="C8" s="440">
        <v>226</v>
      </c>
      <c r="D8" s="441">
        <v>229</v>
      </c>
      <c r="E8" s="37"/>
      <c r="F8" s="37"/>
    </row>
    <row r="9" spans="2:9" s="38" customFormat="1" ht="26.1" customHeight="1" thickBot="1">
      <c r="B9" s="442" t="s">
        <v>85</v>
      </c>
      <c r="C9" s="443">
        <v>7.9</v>
      </c>
      <c r="D9" s="444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20" t="s">
        <v>86</v>
      </c>
      <c r="C12" s="521"/>
      <c r="D12" s="520" t="s">
        <v>87</v>
      </c>
      <c r="E12" s="523"/>
      <c r="F12" s="521"/>
      <c r="G12" s="526" t="s">
        <v>159</v>
      </c>
      <c r="H12" s="527"/>
      <c r="I12" s="528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24" t="s">
        <v>36</v>
      </c>
      <c r="C24" s="525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24" t="s">
        <v>37</v>
      </c>
      <c r="C25" s="525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18" t="s">
        <v>92</v>
      </c>
      <c r="C26" s="519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20" t="s">
        <v>87</v>
      </c>
      <c r="E29" s="523"/>
      <c r="F29" s="521"/>
      <c r="H29" s="520" t="s">
        <v>159</v>
      </c>
      <c r="I29" s="523"/>
      <c r="J29" s="521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P10" sqref="P10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445" t="s">
        <v>82</v>
      </c>
      <c r="C6" s="446">
        <v>44717.430555555555</v>
      </c>
      <c r="D6" s="125"/>
      <c r="E6" s="125"/>
      <c r="F6" s="37"/>
    </row>
    <row r="7" spans="2:12" s="38" customFormat="1" ht="26.1" customHeight="1" thickBot="1">
      <c r="B7" s="448" t="s">
        <v>83</v>
      </c>
      <c r="C7" s="449">
        <v>14.7</v>
      </c>
      <c r="D7" s="125"/>
      <c r="E7" s="125"/>
      <c r="F7" s="37"/>
    </row>
    <row r="8" spans="2:12" s="38" customFormat="1" ht="26.1" customHeight="1">
      <c r="B8" s="439" t="s">
        <v>84</v>
      </c>
      <c r="C8" s="440">
        <v>197</v>
      </c>
      <c r="D8" s="450">
        <v>197</v>
      </c>
      <c r="E8" s="441">
        <v>194</v>
      </c>
      <c r="F8" s="37"/>
    </row>
    <row r="9" spans="2:12" s="38" customFormat="1" ht="26.1" customHeight="1" thickBot="1">
      <c r="B9" s="442" t="s">
        <v>85</v>
      </c>
      <c r="C9" s="443">
        <v>8.4</v>
      </c>
      <c r="D9" s="451">
        <v>8.3000000000000007</v>
      </c>
      <c r="E9" s="444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20" t="s">
        <v>86</v>
      </c>
      <c r="C12" s="521"/>
      <c r="D12" s="526" t="s">
        <v>242</v>
      </c>
      <c r="E12" s="527"/>
      <c r="F12" s="528"/>
      <c r="G12" s="526" t="s">
        <v>159</v>
      </c>
      <c r="H12" s="527"/>
      <c r="I12" s="528"/>
      <c r="J12" s="526" t="s">
        <v>160</v>
      </c>
      <c r="K12" s="527"/>
      <c r="L12" s="528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24" t="s">
        <v>36</v>
      </c>
      <c r="C24" s="525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24" t="s">
        <v>37</v>
      </c>
      <c r="C25" s="525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18" t="s">
        <v>92</v>
      </c>
      <c r="C26" s="519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20" t="s">
        <v>87</v>
      </c>
      <c r="E29" s="523"/>
      <c r="F29" s="521"/>
      <c r="H29" s="520" t="s">
        <v>159</v>
      </c>
      <c r="I29" s="523"/>
      <c r="J29" s="521"/>
      <c r="L29" s="520" t="s">
        <v>160</v>
      </c>
      <c r="M29" s="523"/>
      <c r="N29" s="521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13</vt:i4>
      </vt:variant>
    </vt:vector>
  </HeadingPairs>
  <TitlesOfParts>
    <vt:vector size="29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2023-03-17T00:36:18Z</dcterms:modified>
</cp:coreProperties>
</file>