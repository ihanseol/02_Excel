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FD3BD27-8F44-45A0-A9BC-C37E73CF1D66}" xr6:coauthVersionLast="47" xr6:coauthVersionMax="47" xr10:uidLastSave="{00000000-0000-0000-0000-000000000000}"/>
  <bookViews>
    <workbookView xWindow="-120" yWindow="-120" windowWidth="29040" windowHeight="15840" tabRatio="619" activeTab="5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1" sheetId="55" r:id="rId10"/>
    <sheet name="2" sheetId="173" r:id="rId11"/>
    <sheet name="3" sheetId="174" r:id="rId12"/>
    <sheet name="Q1" sheetId="100" r:id="rId13"/>
    <sheet name="Q2" sheetId="117" r:id="rId14"/>
    <sheet name="Q3" sheetId="115" r:id="rId15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2">'Q1'!$C$7</definedName>
    <definedName name="baseTemp" localSheetId="13">'Q2'!$C$7</definedName>
    <definedName name="baseTemp" localSheetId="14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174" l="1"/>
  <c r="F21" i="174"/>
  <c r="E17" i="174"/>
  <c r="C19" i="174"/>
  <c r="C18" i="174"/>
  <c r="C17" i="174"/>
  <c r="C16" i="174"/>
  <c r="C15" i="174"/>
  <c r="C8" i="174"/>
  <c r="C7" i="174"/>
  <c r="C6" i="174"/>
  <c r="C5" i="174"/>
  <c r="C4" i="174"/>
  <c r="C3" i="174"/>
  <c r="C2" i="174"/>
  <c r="E21" i="173"/>
  <c r="E22" i="173" s="1"/>
  <c r="F21" i="173"/>
  <c r="E17" i="173"/>
  <c r="E19" i="173" s="1"/>
  <c r="C19" i="173"/>
  <c r="C18" i="173"/>
  <c r="C17" i="173"/>
  <c r="C16" i="173"/>
  <c r="C15" i="173"/>
  <c r="C8" i="173"/>
  <c r="C7" i="173"/>
  <c r="C6" i="173"/>
  <c r="C5" i="173"/>
  <c r="C4" i="173"/>
  <c r="C3" i="173"/>
  <c r="C2" i="173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2" i="174"/>
  <c r="J31" i="174"/>
  <c r="I31" i="174"/>
  <c r="H31" i="174"/>
  <c r="G31" i="174"/>
  <c r="F31" i="174"/>
  <c r="E31" i="174"/>
  <c r="D31" i="174"/>
  <c r="K31" i="174" s="1"/>
  <c r="J30" i="174"/>
  <c r="I30" i="174"/>
  <c r="H30" i="174"/>
  <c r="G30" i="174"/>
  <c r="F30" i="174"/>
  <c r="E30" i="174"/>
  <c r="D30" i="174"/>
  <c r="K30" i="174" s="1"/>
  <c r="D26" i="174"/>
  <c r="C22" i="174"/>
  <c r="E19" i="174"/>
  <c r="K16" i="174"/>
  <c r="K17" i="174" s="1"/>
  <c r="K18" i="174" s="1"/>
  <c r="L18" i="174" s="1"/>
  <c r="H26" i="174" s="1"/>
  <c r="E13" i="174"/>
  <c r="L12" i="174"/>
  <c r="G11" i="174"/>
  <c r="F11" i="174"/>
  <c r="E11" i="174"/>
  <c r="C9" i="174"/>
  <c r="C14" i="174" s="1"/>
  <c r="F6" i="174" s="1"/>
  <c r="G7" i="174"/>
  <c r="E7" i="174"/>
  <c r="J31" i="173"/>
  <c r="I31" i="173"/>
  <c r="H31" i="173"/>
  <c r="G31" i="173"/>
  <c r="F31" i="173"/>
  <c r="E31" i="173"/>
  <c r="D31" i="173"/>
  <c r="K31" i="173" s="1"/>
  <c r="J30" i="173"/>
  <c r="I30" i="173"/>
  <c r="H30" i="173"/>
  <c r="G30" i="173"/>
  <c r="F30" i="173"/>
  <c r="E30" i="173"/>
  <c r="D30" i="173"/>
  <c r="K30" i="173" s="1"/>
  <c r="D26" i="173"/>
  <c r="C22" i="173"/>
  <c r="K16" i="173"/>
  <c r="K17" i="173" s="1"/>
  <c r="K18" i="173" s="1"/>
  <c r="L18" i="173" s="1"/>
  <c r="H26" i="173" s="1"/>
  <c r="E13" i="173"/>
  <c r="L12" i="173"/>
  <c r="G11" i="173"/>
  <c r="F11" i="173"/>
  <c r="E11" i="173"/>
  <c r="C9" i="173"/>
  <c r="C12" i="173" s="1"/>
  <c r="A13" i="173" s="1"/>
  <c r="A12" i="173" s="1"/>
  <c r="G7" i="173"/>
  <c r="E7" i="173"/>
  <c r="C14" i="173" l="1"/>
  <c r="F6" i="173" s="1"/>
  <c r="C12" i="174"/>
  <c r="A13" i="174" s="1"/>
  <c r="A12" i="174" s="1"/>
  <c r="F7" i="174"/>
  <c r="F7" i="173"/>
  <c r="J26" i="174"/>
  <c r="F5" i="174"/>
  <c r="J26" i="173"/>
  <c r="F5" i="173"/>
  <c r="E13" i="55" l="1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73" l="1"/>
  <c r="G13" i="174"/>
  <c r="F13" i="173"/>
  <c r="F13" i="174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8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4" i="115" s="1"/>
  <c r="I23" i="115"/>
  <c r="I21" i="115"/>
  <c r="J23" i="115"/>
  <c r="J21" i="115"/>
  <c r="J22" i="115"/>
  <c r="G21" i="115"/>
  <c r="G22" i="115"/>
  <c r="G23" i="115"/>
  <c r="D21" i="115"/>
  <c r="D22" i="115"/>
  <c r="D23" i="115"/>
  <c r="E24" i="115"/>
  <c r="E25" i="115"/>
  <c r="D24" i="115"/>
  <c r="F25" i="115"/>
  <c r="F24" i="115"/>
  <c r="K25" i="115"/>
  <c r="K24" i="115"/>
  <c r="G25" i="115"/>
  <c r="G24" i="115"/>
  <c r="I25" i="115" l="1"/>
  <c r="L25" i="115"/>
  <c r="D25" i="115"/>
  <c r="D26" i="115" s="1"/>
  <c r="J25" i="115"/>
  <c r="J24" i="115"/>
  <c r="L26" i="115"/>
  <c r="E26" i="115"/>
  <c r="H26" i="115"/>
  <c r="K26" i="115"/>
  <c r="G26" i="115"/>
  <c r="I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D22" i="100"/>
  <c r="D21" i="100"/>
  <c r="D23" i="100"/>
  <c r="P18" i="23"/>
  <c r="P34" i="25"/>
  <c r="E25" i="100"/>
  <c r="F25" i="100"/>
  <c r="F24" i="100"/>
  <c r="E24" i="100"/>
  <c r="D25" i="100" l="1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74" l="1"/>
  <c r="G14" i="173"/>
  <c r="F19" i="173"/>
  <c r="G19" i="173" s="1"/>
  <c r="F17" i="173"/>
  <c r="G17" i="173" s="1"/>
  <c r="F19" i="174"/>
  <c r="G19" i="174" s="1"/>
  <c r="F17" i="174"/>
  <c r="G17" i="174" s="1"/>
  <c r="F17" i="55"/>
  <c r="G17" i="55" s="1"/>
  <c r="F19" i="55"/>
  <c r="G19" i="55" s="1"/>
  <c r="H19" i="55" s="1"/>
  <c r="E30" i="23"/>
  <c r="G14" i="55"/>
  <c r="D30" i="23"/>
  <c r="C30" i="23"/>
  <c r="H19" i="173" l="1"/>
  <c r="G21" i="173"/>
  <c r="G21" i="174"/>
  <c r="H19" i="174"/>
  <c r="E26" i="173"/>
  <c r="E26" i="174"/>
  <c r="E26" i="55"/>
  <c r="C24" i="23"/>
  <c r="G21" i="55" l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F8D8D236-E026-42E4-BE94-596407DD80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162442E6-8A5E-45B7-BDCC-40750E155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C0881A6D-C85A-4C58-807C-77531BAB66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A3094E9-939F-4D68-B8AF-E0F93F1D35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B0CF704-7D74-4F61-9A8F-6E2E427284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176479CE-856D-4490-B54B-737DA507EB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B25BB9A-C52B-4DC1-9B44-1E7406AA6E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1474C92-3DCB-4D00-BB1E-6CF8E096DF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572DBF7-A326-4D18-B5DD-495C0167FE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4BCF868A-79E4-4BBA-AC5F-488B23679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331B94-9B5D-4A7F-B74B-CA262A1324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EBD2BBC-F4F3-4A6A-84AC-4FEDA8A12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2D7F6A9-FFE5-4533-ACD0-DD6D6D1CDF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BE1B6CC-16D9-42C7-9F56-A9DBEB4C35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D925D973-DE11-4DC6-80BA-086EFFE33A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AB70C0-1491-4F8A-BB43-02C708D8D9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AE780FC-25EA-4C13-952F-9D8DDD1E1C6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C69A1727-AF1B-4857-BCB1-771698E784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E186B521-A6B3-48AF-972A-A00A9469F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3D2F7F3-9A32-4FFB-8906-63798DD4EE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4E2E9A4C-998B-469B-A82E-DBD42D5CA5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1609556-A99B-48FD-83E0-84FF339FA7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D91F79B4-7869-4F1A-A1C4-F13462A1EB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8AF3A7B9-5176-4843-9C20-455CFC3187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6904377D-8E6F-4DF8-B517-F901725752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36D1143E-CD56-4602-9D1E-4B8003FC027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E15DAE4-43A7-4E93-803D-B493C0785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5839651-1D22-47A3-A96A-E1426F672F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79D4B-FD95-4725-B6AC-BEE1A95D5C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FAB9F36-986E-4AE3-8509-311C1B10F6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9A81EA78-9ECE-4D02-B25A-7F9AAA7469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16D1984-3501-4995-9141-0695D17F9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5D4F89FE-0294-4224-A223-D94378C7A8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3CF7F750-7ADC-41F6-881E-60114B78FB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7495180-37D4-43F0-B188-F614D259A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6C85518-B529-41E6-9481-EF3843366CC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D4752ABB-E220-4529-BA52-1399851064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4AB78FA0-F707-41EB-B17F-E19B3FE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<sst xmlns="http://schemas.openxmlformats.org/spreadsheetml/2006/main" count="614" uniqueCount="297">
  <si>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</si>
  <si>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</si>
  <si>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</si>
  <si>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</si>
  <si>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</si>
  <si>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</si>
  <si>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</si>
  <si>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</si>
  <si>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</si>
  <si>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</si>
  <si>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</si>
  <si>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</si>
  <si>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</si>
  <si>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</si>
  <si>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</si>
  <si>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</si>
  <si>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</si>
  <si>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</si>
  <si>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</si>
  <si>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</si>
  <si>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</si>
  <si>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</si>
  <si>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</si>
  <si>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</si>
  <si>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</si>
  <si>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</si>
  <si>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</si>
  <si>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</si>
  <si>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</si>
  <si>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</si>
  <si>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</si>
  <si>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</si>
  <si>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</si>
  <si>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</si>
  <si>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</si>
  <si>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</si>
  <si>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</si>
  <si>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</si>
  <si>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</si>
  <si>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</si>
  <si>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</si>
  <si>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</si>
  <si>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</si>
  <si>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</si>
  <si>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</si>
  <si>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</si>
  <si>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</si>
  <si>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</si>
  <si>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</si>
  <si>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</si>
  <si>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</si>
  <si>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</si>
  <si>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</si>
  <si>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</si>
  <si>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</si>
  <si>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</si>
  <si>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</si>
  <si>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</si>
  <si>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</si>
  <si>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</si>
  <si>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</si>
  <si>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</si>
  <si>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</si>
  <si>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</si>
  <si>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</si>
  <si>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</si>
  <si>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</si>
  <si>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</si>
  <si>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</si>
  <si>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</si>
  <si>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</si>
  <si>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</si>
  <si>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</si>
  <si>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</si>
  <si>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</si>
  <si>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</si>
  <si>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</si>
  <si>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</si>
  <si>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</si>
  <si>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</si>
  <si>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</si>
  <si>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</si>
  <si>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</si>
  <si>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</si>
  <si>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</si>
  <si>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</si>
  <si>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</si>
  <si>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</si>
  <si>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</si>
  <si>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</si>
  <si>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</si>
  <si>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</si>
  <si>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</si>
  <si>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</si>
  <si>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</si>
  <si>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</si>
  <si>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</si>
  <si>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</si>
  <si>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</si>
  <si>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</si>
  <si>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</si>
  <si>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</si>
  <si>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</si>
  <si>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</si>
  <si>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</si>
  <si>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</si>
  <si>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</si>
  <si>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</si>
  <si>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</si>
  <si>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</si>
  <si>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</si>
  <si>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</si>
  <si>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</si>
  <si>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</si>
  <si>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</si>
  <si>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</si>
  <si>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</si>
  <si>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</si>
  <si>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</si>
  <si>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</si>
  <si>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</si>
  <si>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</si>
  <si>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</si>
  <si>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</si>
  <si>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</si>
  <si>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</si>
  <si>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</si>
  <si>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</si>
  <si>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</si>
  <si>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</si>
  <si>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</si>
  <si>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</si>
  <si>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</si>
  <si>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</si>
  <si>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</si>
  <si>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</si>
  <si>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</si>
  <si>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</si>
  <si>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</si>
  <si>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</si>
  <si>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</si>
  <si>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</si>
  <si>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</si>
  <si>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</si>
  <si>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</si>
  <si>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</si>
  <si>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</si>
  <si>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</si>
  <si>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</si>
  <si>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</si>
  <si>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</si>
  <si>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</si>
  <si>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</si>
  <si>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</si>
  <si>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</si>
  <si>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</si>
  <si>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</si>
  <si>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</si>
  <si>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</si>
  <si>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</si>
  <si>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</si>
  <si>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</si>
  <si>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</si>
  <si>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</si>
  <si>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</si>
  <si>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</si>
  <si>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</si>
  <si>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</si>
  <si>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</si>
  <si>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</si>
  <si>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</si>
  <si>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</si>
  <si>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</si>
  <si>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</si>
  <si>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</si>
  <si>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</si>
  <si>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</si>
  <si>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</si>
  <si>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</si>
  <si>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</si>
  <si>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</si>
  <si>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</si>
  <si>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</si>
  <si>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</si>
  <si>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</si>
  <si>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</si>
  <si>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</si>
  <si>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</si>
  <si>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</si>
  <si>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</si>
  <si>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</si>
  <si>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</si>
  <si>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</si>
  <si>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</si>
  <si>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</si>
  <si>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</si>
  <si>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</si>
  <si>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</si>
  <si>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</si>
  <si>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</si>
  <si>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</si>
  <si>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</si>
  <si>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</si>
  <si>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</si>
  <si>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</si>
  <si>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</si>
  <si>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</si>
  <si>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</si>
  <si>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</si>
  <si>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</si>
  <si>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</si>
  <si>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</si>
  <si>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</si>
  <si>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</si>
  <si>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</si>
  <si>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</si>
  <si>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</si>
  <si>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</si>
  <si>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</si>
  <si>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</si>
  <si>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</si>
  <si>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</si>
  <si>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</si>
  <si>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</si>
  <si>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</si>
  <si>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</si>
  <si>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</si>
  <si>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</si>
  <si>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</si>
  <si>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</si>
  <si>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</si>
  <si>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</si>
  <si>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</si>
  <si>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</si>
  <si>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</si>
  <si>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</si>
  <si>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</si>
  <si>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</si>
  <si>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</si>
  <si>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</si>
  <si>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</si>
  <si>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</si>
  <si>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</si>
  <si>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낮 음</t>
  </si>
  <si>
    <t>비교적낮음</t>
  </si>
  <si>
    <t>△s</t>
    <phoneticPr fontId="8" type="noConversion"/>
  </si>
  <si>
    <t>W-4</t>
    <phoneticPr fontId="7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</si>
  <si>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</si>
  <si>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</si>
  <si>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</si>
  <si>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</si>
  <si>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</si>
  <si>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</si>
  <si>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</si>
  <si>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</si>
  <si>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</si>
  <si>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</si>
  <si>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</si>
  <si>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</si>
  <si>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</si>
  <si>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</si>
  <si>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</si>
  <si>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</si>
  <si>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</si>
  <si>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</si>
  <si>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</si>
  <si>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</si>
  <si>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</si>
  <si>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</si>
  <si>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</si>
  <si>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</si>
  <si>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</si>
  <si>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</si>
  <si>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2023/3/15일</t>
    <phoneticPr fontId="7" type="noConversion"/>
  </si>
  <si>
    <t>W1</t>
  </si>
  <si>
    <t>금강서해/대호방조제</t>
  </si>
  <si>
    <t>한강/한강고양</t>
  </si>
  <si>
    <t>금강/금강하구언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</si>
  <si>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</si>
  <si>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</si>
  <si>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</si>
  <si>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</si>
  <si>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</si>
  <si>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</si>
  <si>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</si>
  <si>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</si>
  <si>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A3_ge_OriginalSaveFile.xlsm</t>
  </si>
  <si>
    <t>W2</t>
  </si>
  <si>
    <t>W3</t>
  </si>
  <si>
    <t>충남 보령시 천북면 하만리 산 143-5</t>
  </si>
  <si>
    <t>부남방조제</t>
  </si>
  <si>
    <t>충남 보령시 천북면 하만리 산 143-6</t>
  </si>
  <si>
    <t>2023년 학성농장, 농업용관정개발</t>
  </si>
  <si>
    <t>장기양수시험</t>
  </si>
  <si>
    <t>수위회복시험</t>
  </si>
  <si>
    <t>선택치</t>
  </si>
  <si>
    <t>5년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</si>
</sst>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</numFmts>
  <fonts count="4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0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87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85" fontId="18" fillId="0" borderId="64" xfId="24" applyNumberFormat="1" applyFont="1" applyBorder="1" applyAlignment="1">
      <alignment horizontal="center" vertical="center"/>
    </xf>
    <xf numFmtId="185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4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91" fontId="25" fillId="0" borderId="67" xfId="0" applyNumberFormat="1" applyFont="1" applyBorder="1" applyAlignment="1">
      <alignment horizontal="center" vertical="center"/>
    </xf>
    <xf numFmtId="192" fontId="25" fillId="0" borderId="68" xfId="0" applyNumberFormat="1" applyFont="1" applyBorder="1" applyAlignment="1">
      <alignment horizontal="center" vertical="center"/>
    </xf>
    <xf numFmtId="191" fontId="25" fillId="0" borderId="49" xfId="0" applyNumberFormat="1" applyFont="1" applyBorder="1" applyAlignment="1">
      <alignment horizontal="center" vertical="center"/>
    </xf>
    <xf numFmtId="192" fontId="25" fillId="0" borderId="50" xfId="0" applyNumberFormat="1" applyFont="1" applyBorder="1" applyAlignment="1">
      <alignment horizontal="center" vertical="center"/>
    </xf>
    <xf numFmtId="191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97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97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88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96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85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88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96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200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87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85" fontId="18" fillId="13" borderId="4" xfId="16" applyNumberFormat="1" applyFont="1" applyFill="1" applyBorder="1">
      <alignment vertical="center"/>
    </xf>
    <xf numFmtId="184" fontId="18" fillId="13" borderId="9" xfId="16" applyNumberFormat="1" applyFont="1" applyFill="1" applyBorder="1">
      <alignment vertical="center"/>
    </xf>
    <xf numFmtId="0" fontId="34" fillId="0" borderId="67" xfId="0" applyFont="1" applyBorder="1" applyAlignment="1">
      <alignment horizontal="center" vertical="center"/>
    </xf>
    <xf numFmtId="188" fontId="30" fillId="0" borderId="75" xfId="16" applyNumberFormat="1" applyFont="1" applyBorder="1" applyAlignment="1">
      <alignment horizontal="center" vertical="center"/>
    </xf>
    <xf numFmtId="188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84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84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10" borderId="26" xfId="18" applyNumberFormat="1" applyFont="1" applyFill="1" applyBorder="1">
      <alignment vertical="center"/>
    </xf>
    <xf numFmtId="185" fontId="37" fillId="9" borderId="26" xfId="18" applyNumberFormat="1" applyFont="1" applyFill="1" applyBorder="1">
      <alignment vertical="center"/>
    </xf>
    <xf numFmtId="188" fontId="21" fillId="3" borderId="5" xfId="18" applyNumberFormat="1" applyFont="1" applyFill="1" applyBorder="1">
      <alignment vertical="center"/>
    </xf>
    <xf numFmtId="185" fontId="21" fillId="9" borderId="26" xfId="18" applyNumberFormat="1" applyFont="1" applyFill="1" applyBorder="1">
      <alignment vertical="center"/>
    </xf>
    <xf numFmtId="185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99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98" fontId="25" fillId="13" borderId="46" xfId="0" applyNumberFormat="1" applyFont="1" applyFill="1" applyBorder="1" applyAlignment="1">
      <alignment horizontal="center" vertical="center"/>
    </xf>
    <xf numFmtId="199" fontId="25" fillId="13" borderId="47" xfId="17" applyNumberFormat="1" applyFont="1" applyFill="1" applyBorder="1">
      <alignment vertical="center"/>
    </xf>
    <xf numFmtId="199" fontId="25" fillId="13" borderId="48" xfId="17" applyNumberFormat="1" applyFont="1" applyFill="1" applyBorder="1">
      <alignment vertical="center"/>
    </xf>
    <xf numFmtId="189" fontId="25" fillId="13" borderId="48" xfId="0" applyNumberFormat="1" applyFont="1" applyFill="1" applyBorder="1" applyAlignment="1">
      <alignment vertical="center"/>
    </xf>
    <xf numFmtId="198" fontId="25" fillId="13" borderId="49" xfId="0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>
      <alignment vertical="center"/>
    </xf>
    <xf numFmtId="189" fontId="25" fillId="13" borderId="50" xfId="0" applyNumberFormat="1" applyFont="1" applyFill="1" applyBorder="1" applyAlignment="1">
      <alignment vertical="center"/>
    </xf>
    <xf numFmtId="198" fontId="25" fillId="13" borderId="51" xfId="0" applyNumberFormat="1" applyFont="1" applyFill="1" applyBorder="1" applyAlignment="1">
      <alignment horizontal="center" vertical="center"/>
    </xf>
    <xf numFmtId="199" fontId="25" fillId="13" borderId="52" xfId="17" applyNumberFormat="1" applyFont="1" applyFill="1" applyBorder="1">
      <alignment vertical="center"/>
    </xf>
    <xf numFmtId="199" fontId="25" fillId="13" borderId="53" xfId="17" applyNumberFormat="1" applyFont="1" applyFill="1" applyBorder="1">
      <alignment vertical="center"/>
    </xf>
    <xf numFmtId="189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99" fontId="25" fillId="13" borderId="55" xfId="0" applyNumberFormat="1" applyFont="1" applyFill="1" applyBorder="1" applyAlignment="1">
      <alignment vertical="center"/>
    </xf>
    <xf numFmtId="199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99" fontId="25" fillId="13" borderId="19" xfId="0" applyNumberFormat="1" applyFont="1" applyFill="1" applyBorder="1" applyAlignment="1">
      <alignment vertical="center"/>
    </xf>
    <xf numFmtId="199" fontId="25" fillId="13" borderId="50" xfId="0" applyNumberFormat="1" applyFont="1" applyFill="1" applyBorder="1" applyAlignment="1">
      <alignment vertical="center"/>
    </xf>
    <xf numFmtId="189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99" fontId="25" fillId="13" borderId="21" xfId="0" applyNumberFormat="1" applyFont="1" applyFill="1" applyBorder="1" applyAlignment="1">
      <alignment vertical="center"/>
    </xf>
    <xf numFmtId="199" fontId="25" fillId="13" borderId="58" xfId="0" applyNumberFormat="1" applyFont="1" applyFill="1" applyBorder="1" applyAlignment="1">
      <alignment vertical="center"/>
    </xf>
    <xf numFmtId="189" fontId="25" fillId="13" borderId="58" xfId="17" applyNumberFormat="1" applyFont="1" applyFill="1" applyBorder="1">
      <alignment vertical="center"/>
    </xf>
    <xf numFmtId="199" fontId="25" fillId="13" borderId="19" xfId="17" applyNumberFormat="1" applyFont="1" applyFill="1" applyBorder="1" applyAlignment="1">
      <alignment horizontal="right" vertical="center"/>
    </xf>
    <xf numFmtId="189" fontId="28" fillId="13" borderId="54" xfId="17" applyNumberFormat="1" applyFont="1" applyFill="1" applyBorder="1" applyAlignment="1">
      <alignment horizontal="center" vertical="center"/>
    </xf>
    <xf numFmtId="189" fontId="28" fillId="13" borderId="55" xfId="17" applyNumberFormat="1" applyFont="1" applyFill="1" applyBorder="1" applyAlignment="1">
      <alignment horizontal="center" vertical="center"/>
    </xf>
    <xf numFmtId="189" fontId="28" fillId="13" borderId="56" xfId="17" applyNumberFormat="1" applyFont="1" applyFill="1" applyBorder="1" applyAlignment="1">
      <alignment horizontal="center" vertical="center"/>
    </xf>
    <xf numFmtId="189" fontId="28" fillId="13" borderId="59" xfId="17" applyNumberFormat="1" applyFont="1" applyFill="1" applyBorder="1" applyAlignment="1">
      <alignment horizontal="center" vertical="center"/>
    </xf>
    <xf numFmtId="198" fontId="25" fillId="13" borderId="49" xfId="17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 applyAlignment="1">
      <alignment horizontal="right" vertical="center"/>
    </xf>
    <xf numFmtId="189" fontId="25" fillId="13" borderId="20" xfId="17" applyNumberFormat="1" applyFont="1" applyFill="1" applyBorder="1">
      <alignment vertical="center"/>
    </xf>
    <xf numFmtId="198" fontId="25" fillId="13" borderId="57" xfId="17" applyNumberFormat="1" applyFont="1" applyFill="1" applyBorder="1" applyAlignment="1">
      <alignment horizontal="center" vertical="center"/>
    </xf>
    <xf numFmtId="199" fontId="25" fillId="13" borderId="21" xfId="17" applyNumberFormat="1" applyFont="1" applyFill="1" applyBorder="1" applyAlignment="1">
      <alignment horizontal="right" vertical="center"/>
    </xf>
    <xf numFmtId="199" fontId="25" fillId="13" borderId="58" xfId="17" applyNumberFormat="1" applyFont="1" applyFill="1" applyBorder="1" applyAlignment="1">
      <alignment horizontal="right" vertical="center"/>
    </xf>
    <xf numFmtId="189" fontId="25" fillId="13" borderId="23" xfId="17" applyNumberFormat="1" applyFont="1" applyFill="1" applyBorder="1">
      <alignment vertical="center"/>
    </xf>
    <xf numFmtId="189" fontId="25" fillId="13" borderId="67" xfId="17" applyNumberFormat="1" applyFont="1" applyFill="1" applyBorder="1" applyAlignment="1">
      <alignment horizontal="center" vertical="center"/>
    </xf>
    <xf numFmtId="188" fontId="25" fillId="13" borderId="69" xfId="17" applyNumberFormat="1" applyFont="1" applyFill="1" applyBorder="1">
      <alignment vertical="center"/>
    </xf>
    <xf numFmtId="188" fontId="25" fillId="13" borderId="68" xfId="17" applyNumberFormat="1" applyFont="1" applyFill="1" applyBorder="1">
      <alignment vertical="center"/>
    </xf>
    <xf numFmtId="189" fontId="25" fillId="13" borderId="22" xfId="17" applyNumberFormat="1" applyFont="1" applyFill="1" applyBorder="1">
      <alignment vertical="center"/>
    </xf>
    <xf numFmtId="189" fontId="25" fillId="13" borderId="68" xfId="17" applyNumberFormat="1" applyFont="1" applyFill="1" applyBorder="1">
      <alignment vertical="center"/>
    </xf>
    <xf numFmtId="189" fontId="25" fillId="13" borderId="49" xfId="17" applyNumberFormat="1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188" fontId="25" fillId="13" borderId="50" xfId="17" applyNumberFormat="1" applyFont="1" applyFill="1" applyBorder="1">
      <alignment vertical="center"/>
    </xf>
    <xf numFmtId="189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>
      <alignment vertical="center"/>
    </xf>
    <xf numFmtId="188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93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89" fontId="25" fillId="13" borderId="98" xfId="0" applyNumberFormat="1" applyFont="1" applyFill="1" applyBorder="1" applyAlignment="1">
      <alignment vertical="center"/>
    </xf>
    <xf numFmtId="189" fontId="25" fillId="13" borderId="20" xfId="0" applyNumberFormat="1" applyFont="1" applyFill="1" applyBorder="1" applyAlignment="1">
      <alignment vertical="center"/>
    </xf>
    <xf numFmtId="189" fontId="25" fillId="13" borderId="60" xfId="0" applyNumberFormat="1" applyFont="1" applyFill="1" applyBorder="1" applyAlignment="1">
      <alignment vertical="center"/>
    </xf>
    <xf numFmtId="199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84" fontId="25" fillId="0" borderId="84" xfId="0" applyNumberFormat="1" applyFont="1" applyBorder="1" applyAlignment="1">
      <alignment horizontal="center" vertical="center"/>
    </xf>
    <xf numFmtId="192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86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5" fillId="4" borderId="102" xfId="0" applyFont="1" applyFill="1" applyBorder="1" applyAlignment="1">
      <alignment horizontal="center" vertical="center"/>
    </xf>
    <xf numFmtId="191" fontId="25" fillId="4" borderId="103" xfId="0" applyNumberFormat="1" applyFont="1" applyFill="1" applyBorder="1" applyAlignment="1">
      <alignment horizontal="center" vertical="center"/>
    </xf>
    <xf numFmtId="0" fontId="25" fillId="4" borderId="104" xfId="0" applyFont="1" applyFill="1" applyBorder="1" applyAlignment="1">
      <alignment horizontal="center" vertical="center"/>
    </xf>
    <xf numFmtId="184" fontId="25" fillId="4" borderId="105" xfId="0" applyNumberFormat="1" applyFont="1" applyFill="1" applyBorder="1" applyAlignment="1">
      <alignment horizontal="center" vertical="center"/>
    </xf>
    <xf numFmtId="0" fontId="18" fillId="4" borderId="102" xfId="0" applyFont="1" applyFill="1" applyBorder="1" applyAlignment="1">
      <alignment horizontal="center" vertical="center"/>
    </xf>
    <xf numFmtId="191" fontId="18" fillId="4" borderId="103" xfId="0" applyNumberFormat="1" applyFont="1" applyFill="1" applyBorder="1" applyAlignment="1">
      <alignment horizontal="center" vertical="center"/>
    </xf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1" borderId="35" xfId="18" applyFont="1" applyFill="1" applyBorder="1" applyAlignment="1">
      <alignment horizontal="center" vertical="center"/>
    </xf>
    <xf numFmtId="195" fontId="36" fillId="27" borderId="50" xfId="16" applyNumberFormat="1" applyFont="1" applyFill="1" applyBorder="1" applyAlignment="1">
      <alignment horizontal="center" vertical="center"/>
    </xf>
    <xf numFmtId="195" fontId="18" fillId="28" borderId="0" xfId="16" applyNumberFormat="1" applyFont="1" applyFill="1">
      <alignment vertical="center"/>
    </xf>
    <xf numFmtId="198" fontId="28" fillId="32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0" fontId="15" fillId="0" borderId="113" xfId="0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42" fillId="23" borderId="14" xfId="16" applyFont="1" applyFill="1" applyBorder="1" applyAlignment="1">
      <alignment horizontal="center" vertical="center"/>
    </xf>
    <xf numFmtId="0" fontId="42" fillId="23" borderId="71" xfId="16" applyFont="1" applyFill="1" applyBorder="1" applyAlignment="1">
      <alignment horizontal="center" vertical="center"/>
    </xf>
    <xf numFmtId="201" fontId="42" fillId="23" borderId="71" xfId="16" applyNumberFormat="1" applyFont="1" applyFill="1" applyBorder="1" applyAlignment="1">
      <alignment horizontal="center" vertical="center"/>
    </xf>
    <xf numFmtId="200" fontId="42" fillId="23" borderId="16" xfId="25" applyNumberFormat="1" applyFont="1" applyFill="1" applyBorder="1" applyAlignment="1">
      <alignment horizontal="center" vertical="center"/>
    </xf>
    <xf numFmtId="200" fontId="42" fillId="23" borderId="90" xfId="25" applyNumberFormat="1" applyFont="1" applyFill="1" applyBorder="1" applyAlignment="1">
      <alignment horizontal="center" vertical="center"/>
    </xf>
    <xf numFmtId="200" fontId="42" fillId="23" borderId="91" xfId="25" applyNumberFormat="1" applyFont="1" applyFill="1" applyBorder="1" applyAlignment="1">
      <alignment horizontal="center" vertical="center"/>
    </xf>
    <xf numFmtId="200" fontId="42" fillId="23" borderId="92" xfId="25" applyNumberFormat="1" applyFont="1" applyFill="1" applyBorder="1" applyAlignment="1">
      <alignment horizontal="center" vertical="center"/>
    </xf>
    <xf numFmtId="0" fontId="42" fillId="23" borderId="90" xfId="16" applyFont="1" applyFill="1" applyBorder="1" applyAlignment="1">
      <alignment horizontal="center" vertical="center"/>
    </xf>
    <xf numFmtId="200" fontId="42" fillId="23" borderId="71" xfId="25" applyNumberFormat="1" applyFont="1" applyFill="1" applyBorder="1" applyAlignment="1">
      <alignment horizontal="center" vertical="center"/>
    </xf>
    <xf numFmtId="0" fontId="25" fillId="0" borderId="77" xfId="0" applyFont="1" applyBorder="1" applyAlignment="1">
      <alignment horizontal="center" vertical="center"/>
    </xf>
    <xf numFmtId="200" fontId="25" fillId="0" borderId="79" xfId="25" applyNumberFormat="1" applyFont="1" applyBorder="1" applyAlignment="1">
      <alignment horizontal="center" vertical="center"/>
    </xf>
    <xf numFmtId="200" fontId="42" fillId="23" borderId="93" xfId="25" applyNumberFormat="1" applyFont="1" applyFill="1" applyBorder="1" applyAlignment="1">
      <alignment horizontal="center" vertical="center"/>
    </xf>
    <xf numFmtId="200" fontId="18" fillId="0" borderId="89" xfId="25" applyNumberFormat="1" applyFont="1" applyBorder="1" applyAlignment="1">
      <alignment horizontal="center" vertical="center"/>
    </xf>
    <xf numFmtId="200" fontId="18" fillId="0" borderId="94" xfId="25" applyNumberFormat="1" applyFont="1" applyBorder="1" applyAlignment="1">
      <alignment horizontal="center" vertical="center"/>
    </xf>
    <xf numFmtId="200" fontId="18" fillId="0" borderId="109" xfId="25" applyNumberFormat="1" applyFont="1" applyBorder="1" applyAlignment="1">
      <alignment horizontal="center" vertical="center"/>
    </xf>
    <xf numFmtId="0" fontId="18" fillId="0" borderId="89" xfId="25" applyNumberFormat="1" applyFont="1" applyBorder="1" applyAlignment="1">
      <alignment horizontal="center" vertical="center"/>
    </xf>
    <xf numFmtId="0" fontId="18" fillId="0" borderId="94" xfId="25" applyNumberFormat="1" applyFont="1" applyBorder="1" applyAlignment="1">
      <alignment horizontal="center" vertical="center"/>
    </xf>
    <xf numFmtId="201" fontId="18" fillId="0" borderId="89" xfId="0" applyNumberFormat="1" applyFont="1" applyBorder="1" applyAlignment="1">
      <alignment horizontal="center" vertical="center"/>
    </xf>
    <xf numFmtId="201" fontId="18" fillId="0" borderId="94" xfId="0" applyNumberFormat="1" applyFont="1" applyBorder="1" applyAlignment="1">
      <alignment horizontal="center" vertical="center"/>
    </xf>
    <xf numFmtId="200" fontId="42" fillId="23" borderId="95" xfId="25" applyNumberFormat="1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7" xfId="0" applyFont="1" applyBorder="1" applyAlignment="1">
      <alignment horizontal="center" vertical="center"/>
    </xf>
    <xf numFmtId="0" fontId="25" fillId="0" borderId="79" xfId="0" applyFont="1" applyBorder="1" applyAlignment="1">
      <alignment horizontal="center" vertical="center"/>
    </xf>
    <xf numFmtId="0" fontId="25" fillId="0" borderId="78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201" fontId="25" fillId="0" borderId="72" xfId="0" applyNumberFormat="1" applyFont="1" applyBorder="1" applyAlignment="1">
      <alignment horizontal="center" vertical="center"/>
    </xf>
    <xf numFmtId="200" fontId="25" fillId="0" borderId="17" xfId="25" applyNumberFormat="1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201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201" fontId="25" fillId="0" borderId="36" xfId="0" applyNumberFormat="1" applyFont="1" applyBorder="1" applyAlignment="1">
      <alignment horizontal="center" vertical="center"/>
    </xf>
    <xf numFmtId="0" fontId="25" fillId="0" borderId="108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30" borderId="108" xfId="0" applyFont="1" applyFill="1" applyBorder="1" applyAlignment="1">
      <alignment horizontal="center" vertical="center"/>
    </xf>
    <xf numFmtId="0" fontId="28" fillId="30" borderId="71" xfId="0" applyFont="1" applyFill="1" applyBorder="1" applyAlignment="1">
      <alignment horizontal="center" vertical="center"/>
    </xf>
    <xf numFmtId="0" fontId="28" fillId="30" borderId="16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2" fontId="25" fillId="0" borderId="79" xfId="0" applyNumberFormat="1" applyFont="1" applyBorder="1" applyAlignment="1">
      <alignment horizontal="center" vertical="center"/>
    </xf>
    <xf numFmtId="2" fontId="25" fillId="0" borderId="77" xfId="0" applyNumberFormat="1" applyFont="1" applyBorder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2" fontId="25" fillId="0" borderId="17" xfId="0" applyNumberFormat="1" applyFont="1" applyBorder="1" applyAlignment="1">
      <alignment horizontal="center" vertical="center"/>
    </xf>
    <xf numFmtId="2" fontId="25" fillId="0" borderId="72" xfId="0" applyNumberFormat="1" applyFont="1" applyBorder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200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0" fontId="28" fillId="21" borderId="35" xfId="0" applyFont="1" applyFill="1" applyBorder="1" applyAlignment="1">
      <alignment horizontal="center" vertical="center"/>
    </xf>
    <xf numFmtId="0" fontId="28" fillId="0" borderId="106" xfId="0" applyFont="1" applyBorder="1" applyAlignment="1">
      <alignment horizontal="center" vertical="center"/>
    </xf>
    <xf numFmtId="0" fontId="25" fillId="0" borderId="79" xfId="0" applyFont="1" applyBorder="1"/>
    <xf numFmtId="0" fontId="28" fillId="0" borderId="18" xfId="0" applyFont="1" applyBorder="1" applyAlignment="1">
      <alignment horizontal="center" vertical="center"/>
    </xf>
    <xf numFmtId="0" fontId="25" fillId="0" borderId="72" xfId="0" applyFont="1" applyBorder="1"/>
    <xf numFmtId="0" fontId="25" fillId="0" borderId="17" xfId="0" applyFont="1" applyBorder="1"/>
    <xf numFmtId="2" fontId="25" fillId="0" borderId="0" xfId="0" applyNumberFormat="1" applyFont="1"/>
    <xf numFmtId="0" fontId="28" fillId="9" borderId="40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36" xfId="0" applyFont="1" applyFill="1" applyBorder="1" applyAlignment="1">
      <alignment horizontal="center" vertical="center"/>
    </xf>
    <xf numFmtId="2" fontId="28" fillId="9" borderId="35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2" fontId="25" fillId="0" borderId="106" xfId="0" applyNumberFormat="1" applyFont="1" applyBorder="1" applyAlignment="1">
      <alignment horizontal="center" vertical="center"/>
    </xf>
    <xf numFmtId="0" fontId="28" fillId="21" borderId="2" xfId="0" applyFont="1" applyFill="1" applyBorder="1" applyAlignment="1">
      <alignment horizontal="center" vertical="center"/>
    </xf>
    <xf numFmtId="201" fontId="28" fillId="21" borderId="2" xfId="0" applyNumberFormat="1" applyFont="1" applyFill="1" applyBorder="1" applyAlignment="1">
      <alignment horizontal="center" vertical="center"/>
    </xf>
    <xf numFmtId="200" fontId="28" fillId="21" borderId="2" xfId="25" applyNumberFormat="1" applyFont="1" applyFill="1" applyBorder="1" applyAlignment="1">
      <alignment horizontal="center" vertical="center"/>
    </xf>
    <xf numFmtId="0" fontId="28" fillId="21" borderId="36" xfId="0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9" borderId="2" xfId="0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07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0" fontId="15" fillId="0" borderId="111" xfId="0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15" fillId="0" borderId="0" xfId="18" applyFont="1" applyAlignment="1">
      <alignment horizontal="left" vertical="center"/>
    </xf>
    <xf numFmtId="0" fontId="25" fillId="0" borderId="106" xfId="0" applyFont="1" applyBorder="1" applyAlignment="1">
      <alignment vertical="center"/>
    </xf>
    <xf numFmtId="193" fontId="25" fillId="0" borderId="106" xfId="0" applyNumberFormat="1" applyFont="1" applyBorder="1" applyAlignment="1">
      <alignment vertical="center"/>
    </xf>
    <xf numFmtId="0" fontId="25" fillId="0" borderId="18" xfId="0" applyFont="1" applyBorder="1" applyAlignment="1">
      <alignment vertical="center"/>
    </xf>
    <xf numFmtId="0" fontId="25" fillId="0" borderId="79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/>
    </xf>
    <xf numFmtId="0" fontId="29" fillId="9" borderId="118" xfId="0" applyFont="1" applyFill="1" applyBorder="1" applyAlignment="1">
      <alignment horizontal="center" vertical="center"/>
    </xf>
    <xf numFmtId="0" fontId="29" fillId="9" borderId="116" xfId="0" applyFont="1" applyFill="1" applyBorder="1" applyAlignment="1">
      <alignment horizontal="center" vertical="center"/>
    </xf>
    <xf numFmtId="0" fontId="29" fillId="9" borderId="119" xfId="0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 wrapText="1"/>
    </xf>
    <xf numFmtId="0" fontId="29" fillId="9" borderId="118" xfId="0" applyFont="1" applyFill="1" applyBorder="1" applyAlignment="1">
      <alignment horizontal="center" vertical="center" wrapText="1"/>
    </xf>
    <xf numFmtId="41" fontId="29" fillId="9" borderId="115" xfId="20" applyFont="1" applyFill="1" applyBorder="1" applyAlignment="1">
      <alignment horizontal="center" vertical="center" wrapText="1"/>
    </xf>
    <xf numFmtId="41" fontId="29" fillId="9" borderId="118" xfId="20" applyFont="1" applyFill="1" applyBorder="1" applyAlignment="1">
      <alignment horizontal="center" vertical="center" wrapText="1"/>
    </xf>
    <xf numFmtId="0" fontId="44" fillId="9" borderId="115" xfId="21" applyFont="1" applyFill="1" applyBorder="1" applyAlignment="1">
      <alignment horizontal="center" vertical="center" wrapText="1"/>
    </xf>
    <xf numFmtId="0" fontId="44" fillId="9" borderId="118" xfId="21" applyFont="1" applyFill="1" applyBorder="1" applyAlignment="1">
      <alignment horizontal="center" vertical="center" wrapText="1"/>
    </xf>
    <xf numFmtId="0" fontId="29" fillId="9" borderId="114" xfId="0" applyFont="1" applyFill="1" applyBorder="1" applyAlignment="1">
      <alignment horizontal="center" vertical="center"/>
    </xf>
    <xf numFmtId="0" fontId="29" fillId="9" borderId="117" xfId="0" applyFont="1" applyFill="1" applyBorder="1" applyAlignment="1">
      <alignment horizontal="center" vertical="center"/>
    </xf>
    <xf numFmtId="0" fontId="25" fillId="0" borderId="108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201" fontId="25" fillId="0" borderId="16" xfId="0" applyNumberFormat="1" applyFont="1" applyBorder="1" applyAlignment="1">
      <alignment horizontal="center" vertical="center"/>
    </xf>
    <xf numFmtId="201" fontId="25" fillId="0" borderId="17" xfId="0" applyNumberFormat="1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193" fontId="25" fillId="0" borderId="108" xfId="0" applyNumberFormat="1" applyFont="1" applyBorder="1" applyAlignment="1">
      <alignment horizontal="center" vertical="center"/>
    </xf>
    <xf numFmtId="193" fontId="25" fillId="0" borderId="106" xfId="0" applyNumberFormat="1" applyFont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200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20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2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5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Relationship Id="rId9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0</xdr:row>
          <xdr:rowOff>428625</xdr:rowOff>
        </xdr:from>
        <xdr:to>
          <xdr:col>15</xdr:col>
          <xdr:colOff>285750</xdr:colOff>
          <xdr:row>0</xdr:row>
          <xdr:rowOff>742950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371475</xdr:colOff>
          <xdr:row>0</xdr:row>
          <xdr:rowOff>419100</xdr:rowOff>
        </xdr:from>
        <xdr:to>
          <xdr:col>16</xdr:col>
          <xdr:colOff>609600</xdr:colOff>
          <xdr:row>0</xdr:row>
          <xdr:rowOff>733425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400050</xdr:rowOff>
        </xdr:from>
        <xdr:to>
          <xdr:col>2</xdr:col>
          <xdr:colOff>666750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666750</xdr:colOff>
          <xdr:row>0</xdr:row>
          <xdr:rowOff>409575</xdr:rowOff>
        </xdr:from>
        <xdr:to>
          <xdr:col>17</xdr:col>
          <xdr:colOff>504825</xdr:colOff>
          <xdr:row>0</xdr:row>
          <xdr:rowOff>723900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123825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200025</xdr:rowOff>
        </xdr:from>
        <xdr:to>
          <xdr:col>5</xdr:col>
          <xdr:colOff>28575</xdr:colOff>
          <xdr:row>4</xdr:row>
          <xdr:rowOff>95250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</xdr:row>
          <xdr:rowOff>85725</xdr:rowOff>
        </xdr:from>
        <xdr:to>
          <xdr:col>1</xdr:col>
          <xdr:colOff>600075</xdr:colOff>
          <xdr:row>1</xdr:row>
          <xdr:rowOff>400050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438150</xdr:rowOff>
        </xdr:from>
        <xdr:to>
          <xdr:col>1</xdr:col>
          <xdr:colOff>590550</xdr:colOff>
          <xdr:row>2</xdr:row>
          <xdr:rowOff>266700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9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9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9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9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9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9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9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9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9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59073" name="CommandButton5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A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59074" name="Frame1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A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59075" name="CommandButton6" hidden="1">
              <a:extLst>
                <a:ext uri="{63B3BB69-23CF-44E3-9099-C40C66FF867C}">
                  <a14:compatExt spid="_x0000_s259075"/>
                </a:ext>
                <a:ext uri="{FF2B5EF4-FFF2-40B4-BE49-F238E27FC236}">
                  <a16:creationId xmlns:a16="http://schemas.microsoft.com/office/drawing/2014/main" id="{00000000-0008-0000-0A00-00000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59081" name="CommandButton8" hidden="1">
              <a:extLst>
                <a:ext uri="{63B3BB69-23CF-44E3-9099-C40C66FF867C}">
                  <a14:compatExt spid="_x0000_s259081"/>
                </a:ext>
                <a:ext uri="{FF2B5EF4-FFF2-40B4-BE49-F238E27FC236}">
                  <a16:creationId xmlns:a16="http://schemas.microsoft.com/office/drawing/2014/main" id="{00000000-0008-0000-0A00-00000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60097" name="CommandButton5" hidden="1">
              <a:extLst>
                <a:ext uri="{63B3BB69-23CF-44E3-9099-C40C66FF867C}">
                  <a14:compatExt spid="_x0000_s260097"/>
                </a:ext>
                <a:ext uri="{FF2B5EF4-FFF2-40B4-BE49-F238E27FC236}">
                  <a16:creationId xmlns:a16="http://schemas.microsoft.com/office/drawing/2014/main" id="{00000000-0008-0000-0B00-000001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60098" name="Frame1" hidden="1">
              <a:extLst>
                <a:ext uri="{63B3BB69-23CF-44E3-9099-C40C66FF867C}">
                  <a14:compatExt spid="_x0000_s260098"/>
                </a:ext>
                <a:ext uri="{FF2B5EF4-FFF2-40B4-BE49-F238E27FC236}">
                  <a16:creationId xmlns:a16="http://schemas.microsoft.com/office/drawing/2014/main" id="{00000000-0008-0000-0B00-000002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60099" name="CommandButton6" hidden="1">
              <a:extLst>
                <a:ext uri="{63B3BB69-23CF-44E3-9099-C40C66FF867C}">
                  <a14:compatExt spid="_x0000_s260099"/>
                </a:ext>
                <a:ext uri="{FF2B5EF4-FFF2-40B4-BE49-F238E27FC236}">
                  <a16:creationId xmlns:a16="http://schemas.microsoft.com/office/drawing/2014/main" id="{00000000-0008-0000-0B00-000003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60100" name="CommandButton8" hidden="1">
              <a:extLst>
                <a:ext uri="{63B3BB69-23CF-44E3-9099-C40C66FF867C}">
                  <a14:compatExt spid="_x0000_s260100"/>
                </a:ext>
                <a:ext uri="{FF2B5EF4-FFF2-40B4-BE49-F238E27FC236}">
                  <a16:creationId xmlns:a16="http://schemas.microsoft.com/office/drawing/2014/main" id="{00000000-0008-0000-0B00-000004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C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C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C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D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D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D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E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E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E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11" dataDxfId="10">
  <autoFilter ref="A1:C16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적정취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2.emf"/><Relationship Id="rId5" Type="http://schemas.openxmlformats.org/officeDocument/2006/relationships/control" Target="../activeX/activeX22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4.emf"/><Relationship Id="rId5" Type="http://schemas.openxmlformats.org/officeDocument/2006/relationships/control" Target="../activeX/activeX24.xml"/><Relationship Id="rId4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1.xml"/><Relationship Id="rId20" Type="http://schemas.openxmlformats.org/officeDocument/2006/relationships/control" Target="../activeX/activeX3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Relationship Id="rId2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12" Type="http://schemas.openxmlformats.org/officeDocument/2006/relationships/comments" Target="../comments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12" Type="http://schemas.openxmlformats.org/officeDocument/2006/relationships/comments" Target="../comments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1" sqref="R21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54" t="s">
        <v>236</v>
      </c>
      <c r="C2" s="454"/>
      <c r="D2" s="454"/>
      <c r="E2" s="454"/>
      <c r="F2" s="454"/>
      <c r="G2" s="454"/>
      <c r="H2" s="454"/>
      <c r="I2" s="454"/>
      <c r="J2" s="454"/>
      <c r="K2" s="454"/>
      <c r="L2" s="454"/>
    </row>
    <row r="3" spans="2:23" ht="17.25" thickBot="1">
      <c r="I3"/>
      <c r="J3"/>
      <c r="K3"/>
    </row>
    <row r="4" spans="2:23" s="77" customFormat="1" ht="22.5" customHeight="1">
      <c r="B4" s="251" t="s">
        <v>42</v>
      </c>
      <c r="C4" s="253" t="s">
        <v>43</v>
      </c>
      <c r="D4" s="253" t="s">
        <v>32</v>
      </c>
      <c r="E4" s="253" t="s">
        <v>33</v>
      </c>
      <c r="F4" s="253" t="s">
        <v>34</v>
      </c>
      <c r="G4" s="253" t="s">
        <v>35</v>
      </c>
      <c r="H4" s="253" t="s">
        <v>12</v>
      </c>
      <c r="I4" s="253" t="s">
        <v>13</v>
      </c>
      <c r="J4" s="253" t="s">
        <v>14</v>
      </c>
      <c r="K4" s="253" t="s">
        <v>15</v>
      </c>
      <c r="L4" s="253" t="s">
        <v>16</v>
      </c>
      <c r="M4" s="253" t="s">
        <v>17</v>
      </c>
      <c r="N4" s="254" t="s">
        <v>18</v>
      </c>
      <c r="O4" s="303" t="s">
        <v>45</v>
      </c>
      <c r="P4" s="254" t="s">
        <v>46</v>
      </c>
    </row>
    <row r="5" spans="2:23" ht="22.5" customHeight="1">
      <c r="B5" s="255">
        <v>1993</v>
      </c>
      <c r="C5" s="256">
        <v>4.5999999999999996</v>
      </c>
      <c r="D5" s="256">
        <v>66.7</v>
      </c>
      <c r="E5" s="256">
        <v>21.6</v>
      </c>
      <c r="F5" s="256">
        <v>32.6</v>
      </c>
      <c r="G5" s="256">
        <v>68.5</v>
      </c>
      <c r="H5" s="256">
        <v>225.5</v>
      </c>
      <c r="I5" s="256">
        <v>241.5</v>
      </c>
      <c r="J5" s="256">
        <v>206.5</v>
      </c>
      <c r="K5" s="256">
        <v>141.5</v>
      </c>
      <c r="L5" s="256">
        <v>32</v>
      </c>
      <c r="M5" s="256">
        <v>87.4</v>
      </c>
      <c r="N5" s="257">
        <v>33.700000000000003</v>
      </c>
      <c r="O5" s="304">
        <f>ROUND(SUM(C5:N5),1)</f>
        <v>1162.0999999999999</v>
      </c>
      <c r="P5" s="258">
        <f>ROUND(O5/12,1)</f>
        <v>96.8</v>
      </c>
      <c r="Q5" s="78"/>
      <c r="R5" s="245"/>
      <c r="S5" s="244"/>
      <c r="T5" s="245"/>
      <c r="U5" s="244"/>
      <c r="V5" s="245"/>
      <c r="W5" s="244"/>
    </row>
    <row r="6" spans="2:23" ht="22.5" customHeight="1">
      <c r="B6" s="259">
        <v>1994</v>
      </c>
      <c r="C6" s="252">
        <v>17.899999999999999</v>
      </c>
      <c r="D6" s="252">
        <v>6</v>
      </c>
      <c r="E6" s="252">
        <v>58.2</v>
      </c>
      <c r="F6" s="252">
        <v>51.5</v>
      </c>
      <c r="G6" s="252">
        <v>135.5</v>
      </c>
      <c r="H6" s="252">
        <v>207</v>
      </c>
      <c r="I6" s="252">
        <v>137</v>
      </c>
      <c r="J6" s="252">
        <v>443.5</v>
      </c>
      <c r="K6" s="252">
        <v>21</v>
      </c>
      <c r="L6" s="252">
        <v>155</v>
      </c>
      <c r="M6" s="252">
        <v>17.5</v>
      </c>
      <c r="N6" s="260">
        <v>18.899999999999999</v>
      </c>
      <c r="O6" s="305">
        <f t="shared" ref="O6:O34" si="0">ROUND(SUM(C6:N6),1)</f>
        <v>1269</v>
      </c>
      <c r="P6" s="261">
        <f t="shared" ref="P6:P34" si="1">ROUND(O6/12,1)</f>
        <v>105.8</v>
      </c>
      <c r="Q6" s="78"/>
      <c r="R6" s="245"/>
      <c r="S6" s="244"/>
      <c r="T6" s="245"/>
      <c r="U6" s="244"/>
      <c r="V6" s="245"/>
      <c r="W6" s="244"/>
    </row>
    <row r="7" spans="2:23" ht="22.5" customHeight="1">
      <c r="B7" s="259">
        <v>1995</v>
      </c>
      <c r="C7" s="252">
        <v>15.7</v>
      </c>
      <c r="D7" s="252">
        <v>11</v>
      </c>
      <c r="E7" s="252">
        <v>19.600000000000001</v>
      </c>
      <c r="F7" s="252">
        <v>65.5</v>
      </c>
      <c r="G7" s="252">
        <v>49.5</v>
      </c>
      <c r="H7" s="252">
        <v>26.5</v>
      </c>
      <c r="I7" s="252">
        <v>144.5</v>
      </c>
      <c r="J7" s="252">
        <v>996.5</v>
      </c>
      <c r="K7" s="252">
        <v>70.5</v>
      </c>
      <c r="L7" s="252">
        <v>24.5</v>
      </c>
      <c r="M7" s="252">
        <v>23</v>
      </c>
      <c r="N7" s="260">
        <v>12.7</v>
      </c>
      <c r="O7" s="305">
        <f t="shared" si="0"/>
        <v>1459.5</v>
      </c>
      <c r="P7" s="261">
        <f t="shared" si="1"/>
        <v>121.6</v>
      </c>
      <c r="Q7" s="78"/>
      <c r="R7" s="245"/>
      <c r="S7" s="244"/>
      <c r="T7" s="245"/>
      <c r="U7" s="244"/>
      <c r="V7" s="245"/>
      <c r="W7" s="244"/>
    </row>
    <row r="8" spans="2:23" ht="22.5" customHeight="1">
      <c r="B8" s="259">
        <v>1996</v>
      </c>
      <c r="C8" s="252">
        <v>33.4</v>
      </c>
      <c r="D8" s="252">
        <v>6.8</v>
      </c>
      <c r="E8" s="252">
        <v>104.5</v>
      </c>
      <c r="F8" s="252">
        <v>34</v>
      </c>
      <c r="G8" s="252">
        <v>22.5</v>
      </c>
      <c r="H8" s="252">
        <v>235</v>
      </c>
      <c r="I8" s="252">
        <v>192.5</v>
      </c>
      <c r="J8" s="252">
        <v>44.5</v>
      </c>
      <c r="K8" s="252">
        <v>14</v>
      </c>
      <c r="L8" s="252">
        <v>106.5</v>
      </c>
      <c r="M8" s="252">
        <v>74.2</v>
      </c>
      <c r="N8" s="260">
        <v>31.7</v>
      </c>
      <c r="O8" s="305">
        <f t="shared" si="0"/>
        <v>899.6</v>
      </c>
      <c r="P8" s="261">
        <f t="shared" si="1"/>
        <v>75</v>
      </c>
      <c r="Q8" s="78"/>
      <c r="R8" s="344" t="s">
        <v>273</v>
      </c>
      <c r="S8" s="244"/>
      <c r="T8" s="245"/>
      <c r="U8" s="244"/>
      <c r="V8" s="245"/>
      <c r="W8" s="244"/>
    </row>
    <row r="9" spans="2:23" ht="22.5" customHeight="1">
      <c r="B9" s="259">
        <v>1997</v>
      </c>
      <c r="C9" s="252">
        <v>15.1</v>
      </c>
      <c r="D9" s="252">
        <v>38.4</v>
      </c>
      <c r="E9" s="252">
        <v>30.5</v>
      </c>
      <c r="F9" s="252">
        <v>57.5</v>
      </c>
      <c r="G9" s="252">
        <v>203</v>
      </c>
      <c r="H9" s="252">
        <v>272</v>
      </c>
      <c r="I9" s="252">
        <v>353.5</v>
      </c>
      <c r="J9" s="252">
        <v>211.5</v>
      </c>
      <c r="K9" s="252">
        <v>23</v>
      </c>
      <c r="L9" s="252">
        <v>10</v>
      </c>
      <c r="M9" s="252">
        <v>193.5</v>
      </c>
      <c r="N9" s="260">
        <v>34.299999999999997</v>
      </c>
      <c r="O9" s="305">
        <f t="shared" si="0"/>
        <v>1442.3</v>
      </c>
      <c r="P9" s="261">
        <f t="shared" si="1"/>
        <v>120.2</v>
      </c>
      <c r="Q9" s="78"/>
      <c r="R9" s="245"/>
      <c r="S9" s="244"/>
      <c r="T9" s="245"/>
      <c r="U9" s="244"/>
      <c r="V9" s="245"/>
      <c r="W9" s="244"/>
    </row>
    <row r="10" spans="2:23" ht="22.5" customHeight="1">
      <c r="B10" s="259">
        <v>1998</v>
      </c>
      <c r="C10" s="252">
        <v>29.9</v>
      </c>
      <c r="D10" s="252">
        <v>40.200000000000003</v>
      </c>
      <c r="E10" s="252">
        <v>30.5</v>
      </c>
      <c r="F10" s="252">
        <v>138</v>
      </c>
      <c r="G10" s="252">
        <v>100</v>
      </c>
      <c r="H10" s="252">
        <v>209.5</v>
      </c>
      <c r="I10" s="252">
        <v>263</v>
      </c>
      <c r="J10" s="252">
        <v>341.7</v>
      </c>
      <c r="K10" s="252">
        <v>150.30000000000001</v>
      </c>
      <c r="L10" s="252">
        <v>61</v>
      </c>
      <c r="M10" s="252">
        <v>29.3</v>
      </c>
      <c r="N10" s="260">
        <v>3.8</v>
      </c>
      <c r="O10" s="305">
        <f t="shared" si="0"/>
        <v>1397.2</v>
      </c>
      <c r="P10" s="261">
        <f t="shared" si="1"/>
        <v>116.4</v>
      </c>
      <c r="Q10" s="78"/>
      <c r="R10" s="245"/>
      <c r="S10" s="244"/>
      <c r="T10" s="245"/>
      <c r="U10" s="244"/>
      <c r="V10" s="245"/>
      <c r="W10" s="244"/>
    </row>
    <row r="11" spans="2:23" ht="22.5" customHeight="1">
      <c r="B11" s="259">
        <v>1999</v>
      </c>
      <c r="C11" s="252">
        <v>7.9</v>
      </c>
      <c r="D11" s="252">
        <v>9.5</v>
      </c>
      <c r="E11" s="252">
        <v>71</v>
      </c>
      <c r="F11" s="252">
        <v>88.5</v>
      </c>
      <c r="G11" s="252">
        <v>124.5</v>
      </c>
      <c r="H11" s="252">
        <v>192.5</v>
      </c>
      <c r="I11" s="252">
        <v>98</v>
      </c>
      <c r="J11" s="252">
        <v>180</v>
      </c>
      <c r="K11" s="252">
        <v>292.5</v>
      </c>
      <c r="L11" s="252">
        <v>169</v>
      </c>
      <c r="M11" s="252">
        <v>24.9</v>
      </c>
      <c r="N11" s="260">
        <v>25.8</v>
      </c>
      <c r="O11" s="305">
        <f t="shared" si="0"/>
        <v>1284.0999999999999</v>
      </c>
      <c r="P11" s="261">
        <f t="shared" si="1"/>
        <v>107</v>
      </c>
      <c r="R11" s="245"/>
      <c r="S11" s="244"/>
      <c r="T11" s="245"/>
      <c r="U11" s="244"/>
      <c r="V11" s="245"/>
      <c r="W11" s="244"/>
    </row>
    <row r="12" spans="2:23" ht="22.5" customHeight="1">
      <c r="B12" s="259">
        <v>2000</v>
      </c>
      <c r="C12" s="252">
        <v>42.1</v>
      </c>
      <c r="D12" s="252">
        <v>3.2</v>
      </c>
      <c r="E12" s="252">
        <v>7</v>
      </c>
      <c r="F12" s="252">
        <v>35</v>
      </c>
      <c r="G12" s="252">
        <v>53.5</v>
      </c>
      <c r="H12" s="252">
        <v>159.5</v>
      </c>
      <c r="I12" s="252">
        <v>155</v>
      </c>
      <c r="J12" s="252">
        <v>701.5</v>
      </c>
      <c r="K12" s="252">
        <v>241</v>
      </c>
      <c r="L12" s="252">
        <v>46</v>
      </c>
      <c r="M12" s="252">
        <v>39.5</v>
      </c>
      <c r="N12" s="260">
        <v>32.1</v>
      </c>
      <c r="O12" s="305">
        <f t="shared" si="0"/>
        <v>1515.4</v>
      </c>
      <c r="P12" s="261">
        <f t="shared" si="1"/>
        <v>126.3</v>
      </c>
      <c r="R12" s="245"/>
      <c r="S12" s="244"/>
      <c r="T12" s="245"/>
      <c r="U12" s="244"/>
      <c r="V12" s="245"/>
      <c r="W12" s="244"/>
    </row>
    <row r="13" spans="2:23" ht="22.5" customHeight="1">
      <c r="B13" s="259">
        <v>2001</v>
      </c>
      <c r="C13" s="252">
        <v>73.3</v>
      </c>
      <c r="D13" s="252">
        <v>46</v>
      </c>
      <c r="E13" s="252">
        <v>15.9</v>
      </c>
      <c r="F13" s="252">
        <v>26</v>
      </c>
      <c r="G13" s="252">
        <v>17</v>
      </c>
      <c r="H13" s="252">
        <v>129</v>
      </c>
      <c r="I13" s="252">
        <v>286.5</v>
      </c>
      <c r="J13" s="252">
        <v>170</v>
      </c>
      <c r="K13" s="252">
        <v>10</v>
      </c>
      <c r="L13" s="252">
        <v>85</v>
      </c>
      <c r="M13" s="252">
        <v>13</v>
      </c>
      <c r="N13" s="260">
        <v>32</v>
      </c>
      <c r="O13" s="305">
        <f t="shared" si="0"/>
        <v>903.7</v>
      </c>
      <c r="P13" s="261">
        <f t="shared" si="1"/>
        <v>75.3</v>
      </c>
      <c r="R13" s="245"/>
      <c r="S13" s="244"/>
      <c r="T13" s="245"/>
      <c r="U13" s="244"/>
      <c r="V13" s="245"/>
      <c r="W13" s="244"/>
    </row>
    <row r="14" spans="2:23" ht="22.5" customHeight="1">
      <c r="B14" s="259">
        <v>2002</v>
      </c>
      <c r="C14" s="252">
        <v>50.8</v>
      </c>
      <c r="D14" s="252">
        <v>5.5</v>
      </c>
      <c r="E14" s="252">
        <v>32</v>
      </c>
      <c r="F14" s="252">
        <v>169</v>
      </c>
      <c r="G14" s="252">
        <v>155.5</v>
      </c>
      <c r="H14" s="252">
        <v>72</v>
      </c>
      <c r="I14" s="252">
        <v>217.5</v>
      </c>
      <c r="J14" s="252">
        <v>477</v>
      </c>
      <c r="K14" s="252">
        <v>27</v>
      </c>
      <c r="L14" s="252">
        <v>134</v>
      </c>
      <c r="M14" s="252">
        <v>61.1</v>
      </c>
      <c r="N14" s="260">
        <v>51.8</v>
      </c>
      <c r="O14" s="305">
        <f t="shared" si="0"/>
        <v>1453.2</v>
      </c>
      <c r="P14" s="261">
        <f t="shared" si="1"/>
        <v>121.1</v>
      </c>
      <c r="R14" s="245"/>
      <c r="S14" s="244"/>
      <c r="T14" s="245"/>
      <c r="U14" s="244"/>
      <c r="V14" s="245"/>
      <c r="W14" s="244"/>
    </row>
    <row r="15" spans="2:23" ht="22.5" customHeight="1">
      <c r="B15" s="259">
        <v>2003</v>
      </c>
      <c r="C15" s="252">
        <v>30.7</v>
      </c>
      <c r="D15" s="252">
        <v>44.5</v>
      </c>
      <c r="E15" s="252">
        <v>39.5</v>
      </c>
      <c r="F15" s="252">
        <v>168.5</v>
      </c>
      <c r="G15" s="252">
        <v>78.5</v>
      </c>
      <c r="H15" s="252">
        <v>153</v>
      </c>
      <c r="I15" s="252">
        <v>309.5</v>
      </c>
      <c r="J15" s="252">
        <v>310</v>
      </c>
      <c r="K15" s="252">
        <v>128</v>
      </c>
      <c r="L15" s="252">
        <v>23</v>
      </c>
      <c r="M15" s="252">
        <v>45.5</v>
      </c>
      <c r="N15" s="260">
        <v>13</v>
      </c>
      <c r="O15" s="305">
        <f t="shared" si="0"/>
        <v>1343.7</v>
      </c>
      <c r="P15" s="261">
        <f t="shared" si="1"/>
        <v>112</v>
      </c>
    </row>
    <row r="16" spans="2:23" ht="22.5" customHeight="1">
      <c r="B16" s="259">
        <v>2004</v>
      </c>
      <c r="C16" s="252">
        <v>22.1</v>
      </c>
      <c r="D16" s="252">
        <v>28.5</v>
      </c>
      <c r="E16" s="252">
        <v>45.7</v>
      </c>
      <c r="F16" s="252">
        <v>58</v>
      </c>
      <c r="G16" s="252">
        <v>105.5</v>
      </c>
      <c r="H16" s="252">
        <v>234.5</v>
      </c>
      <c r="I16" s="252">
        <v>263.5</v>
      </c>
      <c r="J16" s="252">
        <v>164</v>
      </c>
      <c r="K16" s="252">
        <v>195</v>
      </c>
      <c r="L16" s="252">
        <v>4</v>
      </c>
      <c r="M16" s="252">
        <v>56.5</v>
      </c>
      <c r="N16" s="260">
        <v>38.9</v>
      </c>
      <c r="O16" s="305">
        <f t="shared" si="0"/>
        <v>1216.2</v>
      </c>
      <c r="P16" s="261">
        <f t="shared" si="1"/>
        <v>101.4</v>
      </c>
    </row>
    <row r="17" spans="2:16" ht="22.5" customHeight="1">
      <c r="B17" s="259">
        <v>2005</v>
      </c>
      <c r="C17" s="252">
        <v>5.8</v>
      </c>
      <c r="D17" s="252">
        <v>35.799999999999997</v>
      </c>
      <c r="E17" s="252">
        <v>30</v>
      </c>
      <c r="F17" s="252">
        <v>73.5</v>
      </c>
      <c r="G17" s="252">
        <v>48.5</v>
      </c>
      <c r="H17" s="252">
        <v>156</v>
      </c>
      <c r="I17" s="252">
        <v>260.5</v>
      </c>
      <c r="J17" s="252">
        <v>291.5</v>
      </c>
      <c r="K17" s="252">
        <v>282.5</v>
      </c>
      <c r="L17" s="252">
        <v>21</v>
      </c>
      <c r="M17" s="252">
        <v>18</v>
      </c>
      <c r="N17" s="260">
        <v>43.4</v>
      </c>
      <c r="O17" s="305">
        <f t="shared" si="0"/>
        <v>1266.5</v>
      </c>
      <c r="P17" s="261">
        <f t="shared" si="1"/>
        <v>105.5</v>
      </c>
    </row>
    <row r="18" spans="2:16" ht="22.5" customHeight="1">
      <c r="B18" s="259">
        <v>2006</v>
      </c>
      <c r="C18" s="252">
        <v>27</v>
      </c>
      <c r="D18" s="252">
        <v>25.9</v>
      </c>
      <c r="E18" s="252">
        <v>10.6</v>
      </c>
      <c r="F18" s="252">
        <v>81.5</v>
      </c>
      <c r="G18" s="252">
        <v>94.5</v>
      </c>
      <c r="H18" s="252">
        <v>114.5</v>
      </c>
      <c r="I18" s="252">
        <v>321</v>
      </c>
      <c r="J18" s="252">
        <v>21.5</v>
      </c>
      <c r="K18" s="252">
        <v>23.5</v>
      </c>
      <c r="L18" s="252">
        <v>24.5</v>
      </c>
      <c r="M18" s="252">
        <v>61.5</v>
      </c>
      <c r="N18" s="260">
        <v>25.4</v>
      </c>
      <c r="O18" s="305">
        <f t="shared" si="0"/>
        <v>831.4</v>
      </c>
      <c r="P18" s="261">
        <f t="shared" si="1"/>
        <v>69.3</v>
      </c>
    </row>
    <row r="19" spans="2:16" ht="22.5" customHeight="1">
      <c r="B19" s="259">
        <v>2007</v>
      </c>
      <c r="C19" s="252">
        <v>23.4</v>
      </c>
      <c r="D19" s="252">
        <v>29.8</v>
      </c>
      <c r="E19" s="252">
        <v>102</v>
      </c>
      <c r="F19" s="252">
        <v>29.5</v>
      </c>
      <c r="G19" s="252">
        <v>79</v>
      </c>
      <c r="H19" s="252">
        <v>85</v>
      </c>
      <c r="I19" s="252">
        <v>214</v>
      </c>
      <c r="J19" s="252">
        <v>239.5</v>
      </c>
      <c r="K19" s="252">
        <v>384</v>
      </c>
      <c r="L19" s="252">
        <v>59</v>
      </c>
      <c r="M19" s="252">
        <v>17.5</v>
      </c>
      <c r="N19" s="260">
        <v>33.1</v>
      </c>
      <c r="O19" s="305">
        <f t="shared" si="0"/>
        <v>1295.8</v>
      </c>
      <c r="P19" s="261">
        <f t="shared" si="1"/>
        <v>108</v>
      </c>
    </row>
    <row r="20" spans="2:16" ht="22.5" customHeight="1">
      <c r="B20" s="259">
        <v>2008</v>
      </c>
      <c r="C20" s="252">
        <v>20.9</v>
      </c>
      <c r="D20" s="252">
        <v>10.8</v>
      </c>
      <c r="E20" s="252">
        <v>48.2</v>
      </c>
      <c r="F20" s="252">
        <v>40.5</v>
      </c>
      <c r="G20" s="252">
        <v>78.900000000000006</v>
      </c>
      <c r="H20" s="252">
        <v>101.3</v>
      </c>
      <c r="I20" s="252">
        <v>257.2</v>
      </c>
      <c r="J20" s="252">
        <v>119.5</v>
      </c>
      <c r="K20" s="252">
        <v>46.9</v>
      </c>
      <c r="L20" s="252">
        <v>26.7</v>
      </c>
      <c r="M20" s="252">
        <v>37.6</v>
      </c>
      <c r="N20" s="260">
        <v>25</v>
      </c>
      <c r="O20" s="305">
        <f t="shared" si="0"/>
        <v>813.5</v>
      </c>
      <c r="P20" s="261">
        <f t="shared" si="1"/>
        <v>67.8</v>
      </c>
    </row>
    <row r="21" spans="2:16" ht="22.5" customHeight="1">
      <c r="B21" s="259">
        <v>2009</v>
      </c>
      <c r="C21" s="252">
        <v>18.5</v>
      </c>
      <c r="D21" s="252">
        <v>23.3</v>
      </c>
      <c r="E21" s="252">
        <v>55.1</v>
      </c>
      <c r="F21" s="252">
        <v>41.5</v>
      </c>
      <c r="G21" s="252">
        <v>154.5</v>
      </c>
      <c r="H21" s="252">
        <v>115.1</v>
      </c>
      <c r="I21" s="252">
        <v>320.89999999999998</v>
      </c>
      <c r="J21" s="252">
        <v>176.6</v>
      </c>
      <c r="K21" s="252">
        <v>25.5</v>
      </c>
      <c r="L21" s="252">
        <v>39.5</v>
      </c>
      <c r="M21" s="252">
        <v>52.9</v>
      </c>
      <c r="N21" s="260">
        <v>58</v>
      </c>
      <c r="O21" s="305">
        <f t="shared" si="0"/>
        <v>1081.4000000000001</v>
      </c>
      <c r="P21" s="261">
        <f t="shared" si="1"/>
        <v>90.1</v>
      </c>
    </row>
    <row r="22" spans="2:16" ht="22.5" customHeight="1">
      <c r="B22" s="259">
        <v>2010</v>
      </c>
      <c r="C22" s="252">
        <v>30.1</v>
      </c>
      <c r="D22" s="252">
        <v>73.5</v>
      </c>
      <c r="E22" s="252">
        <v>75.900000000000006</v>
      </c>
      <c r="F22" s="252">
        <v>58.5</v>
      </c>
      <c r="G22" s="252">
        <v>122.8</v>
      </c>
      <c r="H22" s="252">
        <v>60.8</v>
      </c>
      <c r="I22" s="252">
        <v>396.5</v>
      </c>
      <c r="J22" s="252">
        <v>402.7</v>
      </c>
      <c r="K22" s="252">
        <v>213.1</v>
      </c>
      <c r="L22" s="252">
        <v>19.2</v>
      </c>
      <c r="M22" s="252">
        <v>16.3</v>
      </c>
      <c r="N22" s="260">
        <v>32.9</v>
      </c>
      <c r="O22" s="305">
        <f t="shared" si="0"/>
        <v>1502.3</v>
      </c>
      <c r="P22" s="261">
        <f t="shared" si="1"/>
        <v>125.2</v>
      </c>
    </row>
    <row r="23" spans="2:16" ht="22.5" customHeight="1">
      <c r="B23" s="259">
        <v>2011</v>
      </c>
      <c r="C23" s="252">
        <v>11.1</v>
      </c>
      <c r="D23" s="252">
        <v>37.5</v>
      </c>
      <c r="E23" s="252">
        <v>18</v>
      </c>
      <c r="F23" s="252">
        <v>72.099999999999994</v>
      </c>
      <c r="G23" s="252">
        <v>115.3</v>
      </c>
      <c r="H23" s="252">
        <v>318</v>
      </c>
      <c r="I23" s="252">
        <v>723.1</v>
      </c>
      <c r="J23" s="252">
        <v>289.39999999999998</v>
      </c>
      <c r="K23" s="252">
        <v>70.8</v>
      </c>
      <c r="L23" s="252">
        <v>13.9</v>
      </c>
      <c r="M23" s="252">
        <v>61.3</v>
      </c>
      <c r="N23" s="260">
        <v>12.5</v>
      </c>
      <c r="O23" s="305">
        <f t="shared" si="0"/>
        <v>1743</v>
      </c>
      <c r="P23" s="261">
        <f t="shared" si="1"/>
        <v>145.30000000000001</v>
      </c>
    </row>
    <row r="24" spans="2:16" ht="22.5" customHeight="1">
      <c r="B24" s="259">
        <v>2012</v>
      </c>
      <c r="C24" s="252">
        <v>24.2</v>
      </c>
      <c r="D24" s="252">
        <v>9.1999999999999993</v>
      </c>
      <c r="E24" s="252">
        <v>45</v>
      </c>
      <c r="F24" s="252">
        <v>68.900000000000006</v>
      </c>
      <c r="G24" s="252">
        <v>14.6</v>
      </c>
      <c r="H24" s="252">
        <v>76.8</v>
      </c>
      <c r="I24" s="252">
        <v>231.1</v>
      </c>
      <c r="J24" s="252">
        <v>450.2</v>
      </c>
      <c r="K24" s="252">
        <v>207.7</v>
      </c>
      <c r="L24" s="252">
        <v>65</v>
      </c>
      <c r="M24" s="252">
        <v>61.1</v>
      </c>
      <c r="N24" s="260">
        <v>65.2</v>
      </c>
      <c r="O24" s="305">
        <f t="shared" si="0"/>
        <v>1319</v>
      </c>
      <c r="P24" s="261">
        <f t="shared" si="1"/>
        <v>109.9</v>
      </c>
    </row>
    <row r="25" spans="2:16" ht="22.5" customHeight="1">
      <c r="B25" s="259">
        <v>2013</v>
      </c>
      <c r="C25" s="252">
        <v>28.4</v>
      </c>
      <c r="D25" s="252">
        <v>40.700000000000003</v>
      </c>
      <c r="E25" s="252">
        <v>53.4</v>
      </c>
      <c r="F25" s="252">
        <v>68.2</v>
      </c>
      <c r="G25" s="252">
        <v>116.6</v>
      </c>
      <c r="H25" s="252">
        <v>159.9</v>
      </c>
      <c r="I25" s="252">
        <v>267.5</v>
      </c>
      <c r="J25" s="252">
        <v>214.6</v>
      </c>
      <c r="K25" s="252">
        <v>320</v>
      </c>
      <c r="L25" s="252">
        <v>10.9</v>
      </c>
      <c r="M25" s="252">
        <v>81.099999999999994</v>
      </c>
      <c r="N25" s="260">
        <v>26.4</v>
      </c>
      <c r="O25" s="305">
        <f t="shared" si="0"/>
        <v>1387.7</v>
      </c>
      <c r="P25" s="261">
        <f t="shared" si="1"/>
        <v>115.6</v>
      </c>
    </row>
    <row r="26" spans="2:16" ht="22.5" customHeight="1">
      <c r="B26" s="259">
        <v>2014</v>
      </c>
      <c r="C26" s="252">
        <v>3.4</v>
      </c>
      <c r="D26" s="252">
        <v>20.5</v>
      </c>
      <c r="E26" s="252">
        <v>56.3</v>
      </c>
      <c r="F26" s="252">
        <v>70</v>
      </c>
      <c r="G26" s="252">
        <v>47.1</v>
      </c>
      <c r="H26" s="252">
        <v>125.8</v>
      </c>
      <c r="I26" s="252">
        <v>104</v>
      </c>
      <c r="J26" s="252">
        <v>168.5</v>
      </c>
      <c r="K26" s="252">
        <v>152</v>
      </c>
      <c r="L26" s="252">
        <v>156</v>
      </c>
      <c r="M26" s="252">
        <v>39.9</v>
      </c>
      <c r="N26" s="260">
        <v>66.599999999999994</v>
      </c>
      <c r="O26" s="305">
        <f t="shared" si="0"/>
        <v>1010.1</v>
      </c>
      <c r="P26" s="261">
        <f t="shared" si="1"/>
        <v>84.2</v>
      </c>
    </row>
    <row r="27" spans="2:16" ht="22.5" customHeight="1">
      <c r="B27" s="259">
        <v>2015</v>
      </c>
      <c r="C27" s="252">
        <v>29.9</v>
      </c>
      <c r="D27" s="252">
        <v>23.4</v>
      </c>
      <c r="E27" s="252">
        <v>30.9</v>
      </c>
      <c r="F27" s="252">
        <v>129.69999999999999</v>
      </c>
      <c r="G27" s="252">
        <v>38.799999999999997</v>
      </c>
      <c r="H27" s="252">
        <v>83.9</v>
      </c>
      <c r="I27" s="252">
        <v>94.7</v>
      </c>
      <c r="J27" s="252">
        <v>30.2</v>
      </c>
      <c r="K27" s="252">
        <v>13.3</v>
      </c>
      <c r="L27" s="252">
        <v>90</v>
      </c>
      <c r="M27" s="252">
        <v>155.6</v>
      </c>
      <c r="N27" s="260">
        <v>65</v>
      </c>
      <c r="O27" s="305">
        <f t="shared" si="0"/>
        <v>785.4</v>
      </c>
      <c r="P27" s="261">
        <f t="shared" si="1"/>
        <v>65.5</v>
      </c>
    </row>
    <row r="28" spans="2:16" ht="22.5" customHeight="1">
      <c r="B28" s="259">
        <v>2016</v>
      </c>
      <c r="C28" s="252">
        <v>7.8</v>
      </c>
      <c r="D28" s="252">
        <v>54.2</v>
      </c>
      <c r="E28" s="252">
        <v>18.7</v>
      </c>
      <c r="F28" s="252">
        <v>105.1</v>
      </c>
      <c r="G28" s="252">
        <v>146.5</v>
      </c>
      <c r="H28" s="252">
        <v>23.7</v>
      </c>
      <c r="I28" s="252">
        <v>200.2</v>
      </c>
      <c r="J28" s="252">
        <v>5.0999999999999996</v>
      </c>
      <c r="K28" s="252">
        <v>73.400000000000006</v>
      </c>
      <c r="L28" s="252">
        <v>108</v>
      </c>
      <c r="M28" s="252">
        <v>5.6</v>
      </c>
      <c r="N28" s="260">
        <v>44.5</v>
      </c>
      <c r="O28" s="305">
        <f t="shared" si="0"/>
        <v>792.8</v>
      </c>
      <c r="P28" s="261">
        <f t="shared" si="1"/>
        <v>66.099999999999994</v>
      </c>
    </row>
    <row r="29" spans="2:16" ht="22.5" customHeight="1">
      <c r="B29" s="259">
        <v>2017</v>
      </c>
      <c r="C29" s="252">
        <v>14.8</v>
      </c>
      <c r="D29" s="252">
        <v>30.2</v>
      </c>
      <c r="E29" s="252">
        <v>14.4</v>
      </c>
      <c r="F29" s="252">
        <v>57.6</v>
      </c>
      <c r="G29" s="252">
        <v>58.9</v>
      </c>
      <c r="H29" s="252">
        <v>21.1</v>
      </c>
      <c r="I29" s="252">
        <v>278.10000000000002</v>
      </c>
      <c r="J29" s="252">
        <v>210</v>
      </c>
      <c r="K29" s="252">
        <v>90</v>
      </c>
      <c r="L29" s="252">
        <v>26.6</v>
      </c>
      <c r="M29" s="252">
        <v>15.9</v>
      </c>
      <c r="N29" s="260">
        <v>38.6</v>
      </c>
      <c r="O29" s="305">
        <f t="shared" si="0"/>
        <v>856.2</v>
      </c>
      <c r="P29" s="261">
        <f t="shared" si="1"/>
        <v>71.400000000000006</v>
      </c>
    </row>
    <row r="30" spans="2:16" ht="22.5" customHeight="1">
      <c r="B30" s="259">
        <v>2018</v>
      </c>
      <c r="C30" s="252">
        <v>15</v>
      </c>
      <c r="D30" s="252">
        <v>33.6</v>
      </c>
      <c r="E30" s="252">
        <v>92</v>
      </c>
      <c r="F30" s="252">
        <v>128.1</v>
      </c>
      <c r="G30" s="252">
        <v>104.5</v>
      </c>
      <c r="H30" s="252">
        <v>71</v>
      </c>
      <c r="I30" s="252">
        <v>262.7</v>
      </c>
      <c r="J30" s="252">
        <v>239.6</v>
      </c>
      <c r="K30" s="252">
        <v>158.19999999999999</v>
      </c>
      <c r="L30" s="252">
        <v>154.69999999999999</v>
      </c>
      <c r="M30" s="252">
        <v>46.7</v>
      </c>
      <c r="N30" s="260">
        <v>31.1</v>
      </c>
      <c r="O30" s="305">
        <f t="shared" si="0"/>
        <v>1337.2</v>
      </c>
      <c r="P30" s="261">
        <f t="shared" si="1"/>
        <v>111.4</v>
      </c>
    </row>
    <row r="31" spans="2:16" ht="22.5" customHeight="1">
      <c r="B31" s="259">
        <v>2019</v>
      </c>
      <c r="C31" s="252">
        <v>1.9</v>
      </c>
      <c r="D31" s="252">
        <v>17.8</v>
      </c>
      <c r="E31" s="252">
        <v>18.2</v>
      </c>
      <c r="F31" s="252">
        <v>71.900000000000006</v>
      </c>
      <c r="G31" s="252">
        <v>31.3</v>
      </c>
      <c r="H31" s="252">
        <v>56</v>
      </c>
      <c r="I31" s="252">
        <v>149</v>
      </c>
      <c r="J31" s="252">
        <v>131.30000000000001</v>
      </c>
      <c r="K31" s="252">
        <v>118.7</v>
      </c>
      <c r="L31" s="252">
        <v>63.9</v>
      </c>
      <c r="M31" s="252">
        <v>130.6</v>
      </c>
      <c r="N31" s="260">
        <v>31.3</v>
      </c>
      <c r="O31" s="305">
        <f t="shared" si="0"/>
        <v>821.9</v>
      </c>
      <c r="P31" s="261">
        <f t="shared" si="1"/>
        <v>68.5</v>
      </c>
    </row>
    <row r="32" spans="2:16" ht="22.5" customHeight="1">
      <c r="B32" s="259">
        <v>2020</v>
      </c>
      <c r="C32" s="252">
        <v>49.4</v>
      </c>
      <c r="D32" s="252">
        <v>75.3</v>
      </c>
      <c r="E32" s="252">
        <v>22.8</v>
      </c>
      <c r="F32" s="252">
        <v>16.5</v>
      </c>
      <c r="G32" s="252">
        <v>92.4</v>
      </c>
      <c r="H32" s="252">
        <v>139.69999999999999</v>
      </c>
      <c r="I32" s="252">
        <v>345.9</v>
      </c>
      <c r="J32" s="252">
        <v>321.5</v>
      </c>
      <c r="K32" s="252">
        <v>177.1</v>
      </c>
      <c r="L32" s="252">
        <v>16.2</v>
      </c>
      <c r="M32" s="252">
        <v>35.4</v>
      </c>
      <c r="N32" s="260">
        <v>9.6999999999999993</v>
      </c>
      <c r="O32" s="305">
        <f t="shared" si="0"/>
        <v>1301.9000000000001</v>
      </c>
      <c r="P32" s="261">
        <f t="shared" si="1"/>
        <v>108.5</v>
      </c>
    </row>
    <row r="33" spans="2:16" ht="22.5" customHeight="1">
      <c r="B33" s="259">
        <v>2021</v>
      </c>
      <c r="C33" s="252">
        <v>32</v>
      </c>
      <c r="D33" s="252">
        <v>18.7</v>
      </c>
      <c r="E33" s="252">
        <v>76.099999999999994</v>
      </c>
      <c r="F33" s="252">
        <v>43.4</v>
      </c>
      <c r="G33" s="252">
        <v>110</v>
      </c>
      <c r="H33" s="252">
        <v>55</v>
      </c>
      <c r="I33" s="252">
        <v>131.30000000000001</v>
      </c>
      <c r="J33" s="252">
        <v>253.7</v>
      </c>
      <c r="K33" s="252">
        <v>215.9</v>
      </c>
      <c r="L33" s="252">
        <v>39.6</v>
      </c>
      <c r="M33" s="252">
        <v>117.8</v>
      </c>
      <c r="N33" s="260">
        <v>14.4</v>
      </c>
      <c r="O33" s="305">
        <f t="shared" si="0"/>
        <v>1107.9000000000001</v>
      </c>
      <c r="P33" s="261">
        <f t="shared" si="1"/>
        <v>92.3</v>
      </c>
    </row>
    <row r="34" spans="2:16" ht="22.5" customHeight="1" thickBot="1">
      <c r="B34" s="262">
        <v>2022</v>
      </c>
      <c r="C34" s="263">
        <v>8.4</v>
      </c>
      <c r="D34" s="263">
        <v>5.3</v>
      </c>
      <c r="E34" s="263">
        <v>60.9</v>
      </c>
      <c r="F34" s="263">
        <v>34.799999999999997</v>
      </c>
      <c r="G34" s="263">
        <v>5.7</v>
      </c>
      <c r="H34" s="263">
        <v>225</v>
      </c>
      <c r="I34" s="263">
        <v>119.9</v>
      </c>
      <c r="J34" s="263">
        <v>637.1</v>
      </c>
      <c r="K34" s="263">
        <v>102</v>
      </c>
      <c r="L34" s="263">
        <v>112</v>
      </c>
      <c r="M34" s="263">
        <v>23.3</v>
      </c>
      <c r="N34" s="264">
        <v>14</v>
      </c>
      <c r="O34" s="306">
        <f t="shared" si="0"/>
        <v>1348.4</v>
      </c>
      <c r="P34" s="265">
        <f t="shared" si="1"/>
        <v>112.4</v>
      </c>
    </row>
    <row r="35" spans="2:16" ht="22.5" customHeight="1">
      <c r="B35" s="266" t="s">
        <v>36</v>
      </c>
      <c r="C35" s="267">
        <f>MAX(C5:C34)</f>
        <v>73.3</v>
      </c>
      <c r="D35" s="267">
        <f t="shared" ref="D35:N35" si="2">MAX(D5:D34)</f>
        <v>75.3</v>
      </c>
      <c r="E35" s="267">
        <f t="shared" si="2"/>
        <v>104.5</v>
      </c>
      <c r="F35" s="267">
        <f t="shared" si="2"/>
        <v>169</v>
      </c>
      <c r="G35" s="267">
        <f t="shared" si="2"/>
        <v>203</v>
      </c>
      <c r="H35" s="267">
        <f t="shared" si="2"/>
        <v>318</v>
      </c>
      <c r="I35" s="267">
        <f t="shared" si="2"/>
        <v>723.1</v>
      </c>
      <c r="J35" s="267">
        <f t="shared" si="2"/>
        <v>996.5</v>
      </c>
      <c r="K35" s="267">
        <f t="shared" si="2"/>
        <v>384</v>
      </c>
      <c r="L35" s="267">
        <f t="shared" si="2"/>
        <v>169</v>
      </c>
      <c r="M35" s="267">
        <f t="shared" si="2"/>
        <v>193.5</v>
      </c>
      <c r="N35" s="268">
        <f t="shared" si="2"/>
        <v>66.599999999999994</v>
      </c>
      <c r="O35" s="307">
        <f t="shared" ref="O35" si="3">MAX(O5:O34)</f>
        <v>1743</v>
      </c>
      <c r="P35" s="268">
        <f>MAX(P5:P34)</f>
        <v>145.30000000000001</v>
      </c>
    </row>
    <row r="36" spans="2:16" ht="22.5" customHeight="1">
      <c r="B36" s="269" t="s">
        <v>37</v>
      </c>
      <c r="C36" s="270">
        <f>ROUND(MIN(C5:C34),1)</f>
        <v>1.9</v>
      </c>
      <c r="D36" s="270">
        <f t="shared" ref="D36:N36" si="4">ROUND(MIN(D5:D34),1)</f>
        <v>3.2</v>
      </c>
      <c r="E36" s="270">
        <f t="shared" si="4"/>
        <v>7</v>
      </c>
      <c r="F36" s="270">
        <f t="shared" si="4"/>
        <v>16.5</v>
      </c>
      <c r="G36" s="270">
        <f t="shared" si="4"/>
        <v>5.7</v>
      </c>
      <c r="H36" s="270">
        <f t="shared" si="4"/>
        <v>21.1</v>
      </c>
      <c r="I36" s="270">
        <f t="shared" si="4"/>
        <v>94.7</v>
      </c>
      <c r="J36" s="270">
        <f t="shared" si="4"/>
        <v>5.0999999999999996</v>
      </c>
      <c r="K36" s="270">
        <f t="shared" si="4"/>
        <v>10</v>
      </c>
      <c r="L36" s="270">
        <f t="shared" si="4"/>
        <v>4</v>
      </c>
      <c r="M36" s="270">
        <f t="shared" si="4"/>
        <v>5.6</v>
      </c>
      <c r="N36" s="271">
        <f t="shared" si="4"/>
        <v>3.8</v>
      </c>
      <c r="O36" s="284">
        <f>ROUND(MIN(O5:O34),1)</f>
        <v>785.4</v>
      </c>
      <c r="P36" s="272">
        <f>ROUND(MIN(P5:P34),1)</f>
        <v>65.5</v>
      </c>
    </row>
    <row r="37" spans="2:16" ht="22.5" customHeight="1" thickBot="1">
      <c r="B37" s="273" t="s">
        <v>46</v>
      </c>
      <c r="C37" s="274">
        <f>ROUND(AVERAGE(C5:C34),1)</f>
        <v>23.2</v>
      </c>
      <c r="D37" s="274">
        <f t="shared" ref="D37:N37" si="5">ROUND(AVERAGE(D5:D34),1)</f>
        <v>29.1</v>
      </c>
      <c r="E37" s="274">
        <f t="shared" si="5"/>
        <v>43.5</v>
      </c>
      <c r="F37" s="274">
        <f t="shared" si="5"/>
        <v>70.5</v>
      </c>
      <c r="G37" s="274">
        <f t="shared" si="5"/>
        <v>85.8</v>
      </c>
      <c r="H37" s="274">
        <f t="shared" si="5"/>
        <v>136.80000000000001</v>
      </c>
      <c r="I37" s="274">
        <f t="shared" si="5"/>
        <v>244.7</v>
      </c>
      <c r="J37" s="274">
        <f t="shared" si="5"/>
        <v>281.60000000000002</v>
      </c>
      <c r="K37" s="274">
        <f t="shared" si="5"/>
        <v>132.9</v>
      </c>
      <c r="L37" s="274">
        <f t="shared" si="5"/>
        <v>63.2</v>
      </c>
      <c r="M37" s="274">
        <f t="shared" si="5"/>
        <v>54.8</v>
      </c>
      <c r="N37" s="275">
        <f t="shared" si="5"/>
        <v>32.200000000000003</v>
      </c>
      <c r="O37" s="288">
        <f>ROUND(AVERAGE(O5:O34),1)</f>
        <v>1198.3</v>
      </c>
      <c r="P37" s="276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8" t="s">
        <v>41</v>
      </c>
      <c r="C40" s="279" t="s">
        <v>31</v>
      </c>
      <c r="D40" s="279" t="s">
        <v>32</v>
      </c>
      <c r="E40" s="279" t="s">
        <v>33</v>
      </c>
      <c r="F40" s="279" t="s">
        <v>34</v>
      </c>
      <c r="G40" s="279" t="s">
        <v>35</v>
      </c>
      <c r="H40" s="279" t="s">
        <v>12</v>
      </c>
      <c r="I40" s="279" t="s">
        <v>13</v>
      </c>
      <c r="J40" s="279" t="s">
        <v>14</v>
      </c>
      <c r="K40" s="279" t="s">
        <v>15</v>
      </c>
      <c r="L40" s="279" t="s">
        <v>16</v>
      </c>
      <c r="M40" s="279" t="s">
        <v>17</v>
      </c>
      <c r="N40" s="280" t="s">
        <v>18</v>
      </c>
      <c r="O40" s="281" t="s">
        <v>44</v>
      </c>
      <c r="P40" s="280" t="s">
        <v>30</v>
      </c>
    </row>
    <row r="41" spans="2:16" ht="22.5" customHeight="1">
      <c r="B41" s="282">
        <f>B25</f>
        <v>2013</v>
      </c>
      <c r="C41" s="277">
        <f t="shared" ref="C41:N41" si="6">C25</f>
        <v>28.4</v>
      </c>
      <c r="D41" s="277">
        <f t="shared" si="6"/>
        <v>40.700000000000003</v>
      </c>
      <c r="E41" s="277">
        <f t="shared" si="6"/>
        <v>53.4</v>
      </c>
      <c r="F41" s="277">
        <f t="shared" si="6"/>
        <v>68.2</v>
      </c>
      <c r="G41" s="277">
        <f t="shared" si="6"/>
        <v>116.6</v>
      </c>
      <c r="H41" s="277">
        <f t="shared" si="6"/>
        <v>159.9</v>
      </c>
      <c r="I41" s="277">
        <f t="shared" si="6"/>
        <v>267.5</v>
      </c>
      <c r="J41" s="277">
        <f t="shared" si="6"/>
        <v>214.6</v>
      </c>
      <c r="K41" s="277">
        <f t="shared" si="6"/>
        <v>320</v>
      </c>
      <c r="L41" s="277">
        <f t="shared" si="6"/>
        <v>10.9</v>
      </c>
      <c r="M41" s="277">
        <f t="shared" si="6"/>
        <v>81.099999999999994</v>
      </c>
      <c r="N41" s="283">
        <f t="shared" si="6"/>
        <v>26.4</v>
      </c>
      <c r="O41" s="284">
        <f>ROUND(SUM(C41:N41),1)</f>
        <v>1387.7</v>
      </c>
      <c r="P41" s="272">
        <f>ROUND(O41/12,1)</f>
        <v>115.6</v>
      </c>
    </row>
    <row r="42" spans="2:16" ht="22.5" customHeight="1">
      <c r="B42" s="282">
        <f t="shared" ref="B42:N42" si="7">B26</f>
        <v>2014</v>
      </c>
      <c r="C42" s="277">
        <f t="shared" si="7"/>
        <v>3.4</v>
      </c>
      <c r="D42" s="277">
        <f t="shared" si="7"/>
        <v>20.5</v>
      </c>
      <c r="E42" s="277">
        <f t="shared" si="7"/>
        <v>56.3</v>
      </c>
      <c r="F42" s="277">
        <f t="shared" si="7"/>
        <v>70</v>
      </c>
      <c r="G42" s="277">
        <f t="shared" si="7"/>
        <v>47.1</v>
      </c>
      <c r="H42" s="277">
        <f t="shared" si="7"/>
        <v>125.8</v>
      </c>
      <c r="I42" s="277">
        <f t="shared" si="7"/>
        <v>104</v>
      </c>
      <c r="J42" s="277">
        <f t="shared" si="7"/>
        <v>168.5</v>
      </c>
      <c r="K42" s="277">
        <f t="shared" si="7"/>
        <v>152</v>
      </c>
      <c r="L42" s="277">
        <f t="shared" si="7"/>
        <v>156</v>
      </c>
      <c r="M42" s="277">
        <f t="shared" si="7"/>
        <v>39.9</v>
      </c>
      <c r="N42" s="283">
        <f t="shared" si="7"/>
        <v>66.599999999999994</v>
      </c>
      <c r="O42" s="284">
        <f t="shared" ref="O42:O50" si="8">ROUND(SUM(C42:N42),1)</f>
        <v>1010.1</v>
      </c>
      <c r="P42" s="272">
        <f t="shared" ref="P42:P50" si="9">ROUND(O42/12,1)</f>
        <v>84.2</v>
      </c>
    </row>
    <row r="43" spans="2:16" ht="22.5" customHeight="1">
      <c r="B43" s="282">
        <f t="shared" ref="B43:N43" si="10">B27</f>
        <v>2015</v>
      </c>
      <c r="C43" s="277">
        <f t="shared" si="10"/>
        <v>29.9</v>
      </c>
      <c r="D43" s="277">
        <f t="shared" si="10"/>
        <v>23.4</v>
      </c>
      <c r="E43" s="277">
        <f t="shared" si="10"/>
        <v>30.9</v>
      </c>
      <c r="F43" s="277">
        <f t="shared" si="10"/>
        <v>129.69999999999999</v>
      </c>
      <c r="G43" s="277">
        <f t="shared" si="10"/>
        <v>38.799999999999997</v>
      </c>
      <c r="H43" s="277">
        <f t="shared" si="10"/>
        <v>83.9</v>
      </c>
      <c r="I43" s="277">
        <f t="shared" si="10"/>
        <v>94.7</v>
      </c>
      <c r="J43" s="277">
        <f t="shared" si="10"/>
        <v>30.2</v>
      </c>
      <c r="K43" s="277">
        <f t="shared" si="10"/>
        <v>13.3</v>
      </c>
      <c r="L43" s="277">
        <f t="shared" si="10"/>
        <v>90</v>
      </c>
      <c r="M43" s="277">
        <f t="shared" si="10"/>
        <v>155.6</v>
      </c>
      <c r="N43" s="283">
        <f t="shared" si="10"/>
        <v>65</v>
      </c>
      <c r="O43" s="284">
        <f t="shared" si="8"/>
        <v>785.4</v>
      </c>
      <c r="P43" s="272">
        <f t="shared" si="9"/>
        <v>65.5</v>
      </c>
    </row>
    <row r="44" spans="2:16" ht="22.5" customHeight="1">
      <c r="B44" s="282">
        <f t="shared" ref="B44:N44" si="11">B28</f>
        <v>2016</v>
      </c>
      <c r="C44" s="277">
        <f t="shared" si="11"/>
        <v>7.8</v>
      </c>
      <c r="D44" s="277">
        <f t="shared" si="11"/>
        <v>54.2</v>
      </c>
      <c r="E44" s="277">
        <f t="shared" si="11"/>
        <v>18.7</v>
      </c>
      <c r="F44" s="277">
        <f t="shared" si="11"/>
        <v>105.1</v>
      </c>
      <c r="G44" s="277">
        <f t="shared" si="11"/>
        <v>146.5</v>
      </c>
      <c r="H44" s="277">
        <f t="shared" si="11"/>
        <v>23.7</v>
      </c>
      <c r="I44" s="277">
        <f t="shared" si="11"/>
        <v>200.2</v>
      </c>
      <c r="J44" s="277">
        <f t="shared" si="11"/>
        <v>5.0999999999999996</v>
      </c>
      <c r="K44" s="277">
        <f t="shared" si="11"/>
        <v>73.400000000000006</v>
      </c>
      <c r="L44" s="277">
        <f t="shared" si="11"/>
        <v>108</v>
      </c>
      <c r="M44" s="277">
        <f t="shared" si="11"/>
        <v>5.6</v>
      </c>
      <c r="N44" s="283">
        <f t="shared" si="11"/>
        <v>44.5</v>
      </c>
      <c r="O44" s="284">
        <f t="shared" si="8"/>
        <v>792.8</v>
      </c>
      <c r="P44" s="272">
        <f t="shared" si="9"/>
        <v>66.099999999999994</v>
      </c>
    </row>
    <row r="45" spans="2:16" ht="22.5" customHeight="1">
      <c r="B45" s="282">
        <f t="shared" ref="B45:N45" si="12">B29</f>
        <v>2017</v>
      </c>
      <c r="C45" s="277">
        <f t="shared" si="12"/>
        <v>14.8</v>
      </c>
      <c r="D45" s="277">
        <f t="shared" si="12"/>
        <v>30.2</v>
      </c>
      <c r="E45" s="277">
        <f t="shared" si="12"/>
        <v>14.4</v>
      </c>
      <c r="F45" s="277">
        <f t="shared" si="12"/>
        <v>57.6</v>
      </c>
      <c r="G45" s="277">
        <f t="shared" si="12"/>
        <v>58.9</v>
      </c>
      <c r="H45" s="277">
        <f t="shared" si="12"/>
        <v>21.1</v>
      </c>
      <c r="I45" s="277">
        <f t="shared" si="12"/>
        <v>278.10000000000002</v>
      </c>
      <c r="J45" s="277">
        <f t="shared" si="12"/>
        <v>210</v>
      </c>
      <c r="K45" s="277">
        <f t="shared" si="12"/>
        <v>90</v>
      </c>
      <c r="L45" s="277">
        <f t="shared" si="12"/>
        <v>26.6</v>
      </c>
      <c r="M45" s="277">
        <f t="shared" si="12"/>
        <v>15.9</v>
      </c>
      <c r="N45" s="283">
        <f t="shared" si="12"/>
        <v>38.6</v>
      </c>
      <c r="O45" s="284">
        <f t="shared" si="8"/>
        <v>856.2</v>
      </c>
      <c r="P45" s="272">
        <f t="shared" si="9"/>
        <v>71.400000000000006</v>
      </c>
    </row>
    <row r="46" spans="2:16" ht="22.5" customHeight="1">
      <c r="B46" s="282">
        <f t="shared" ref="B46:N46" si="13">B30</f>
        <v>2018</v>
      </c>
      <c r="C46" s="277">
        <f t="shared" si="13"/>
        <v>15</v>
      </c>
      <c r="D46" s="277">
        <f t="shared" si="13"/>
        <v>33.6</v>
      </c>
      <c r="E46" s="277">
        <f t="shared" si="13"/>
        <v>92</v>
      </c>
      <c r="F46" s="277">
        <f t="shared" si="13"/>
        <v>128.1</v>
      </c>
      <c r="G46" s="277">
        <f t="shared" si="13"/>
        <v>104.5</v>
      </c>
      <c r="H46" s="277">
        <f t="shared" si="13"/>
        <v>71</v>
      </c>
      <c r="I46" s="277">
        <f t="shared" si="13"/>
        <v>262.7</v>
      </c>
      <c r="J46" s="277">
        <f t="shared" si="13"/>
        <v>239.6</v>
      </c>
      <c r="K46" s="277">
        <f t="shared" si="13"/>
        <v>158.19999999999999</v>
      </c>
      <c r="L46" s="277">
        <f t="shared" si="13"/>
        <v>154.69999999999999</v>
      </c>
      <c r="M46" s="277">
        <f t="shared" si="13"/>
        <v>46.7</v>
      </c>
      <c r="N46" s="283">
        <f t="shared" si="13"/>
        <v>31.1</v>
      </c>
      <c r="O46" s="284">
        <f t="shared" si="8"/>
        <v>1337.2</v>
      </c>
      <c r="P46" s="272">
        <f t="shared" si="9"/>
        <v>111.4</v>
      </c>
    </row>
    <row r="47" spans="2:16" ht="22.5" customHeight="1">
      <c r="B47" s="282">
        <f t="shared" ref="B47:N47" si="14">B31</f>
        <v>2019</v>
      </c>
      <c r="C47" s="277">
        <f t="shared" si="14"/>
        <v>1.9</v>
      </c>
      <c r="D47" s="277">
        <f t="shared" si="14"/>
        <v>17.8</v>
      </c>
      <c r="E47" s="277">
        <f t="shared" si="14"/>
        <v>18.2</v>
      </c>
      <c r="F47" s="277">
        <f t="shared" si="14"/>
        <v>71.900000000000006</v>
      </c>
      <c r="G47" s="277">
        <f t="shared" si="14"/>
        <v>31.3</v>
      </c>
      <c r="H47" s="277">
        <f t="shared" si="14"/>
        <v>56</v>
      </c>
      <c r="I47" s="277">
        <f t="shared" si="14"/>
        <v>149</v>
      </c>
      <c r="J47" s="277">
        <f t="shared" si="14"/>
        <v>131.30000000000001</v>
      </c>
      <c r="K47" s="277">
        <f t="shared" si="14"/>
        <v>118.7</v>
      </c>
      <c r="L47" s="277">
        <f t="shared" si="14"/>
        <v>63.9</v>
      </c>
      <c r="M47" s="277">
        <f t="shared" si="14"/>
        <v>130.6</v>
      </c>
      <c r="N47" s="283">
        <f t="shared" si="14"/>
        <v>31.3</v>
      </c>
      <c r="O47" s="284">
        <f t="shared" si="8"/>
        <v>821.9</v>
      </c>
      <c r="P47" s="272">
        <f t="shared" si="9"/>
        <v>68.5</v>
      </c>
    </row>
    <row r="48" spans="2:16" ht="22.5" customHeight="1">
      <c r="B48" s="282">
        <f t="shared" ref="B48:N48" si="15">B32</f>
        <v>2020</v>
      </c>
      <c r="C48" s="277">
        <f t="shared" si="15"/>
        <v>49.4</v>
      </c>
      <c r="D48" s="277">
        <f t="shared" si="15"/>
        <v>75.3</v>
      </c>
      <c r="E48" s="277">
        <f t="shared" si="15"/>
        <v>22.8</v>
      </c>
      <c r="F48" s="277">
        <f t="shared" si="15"/>
        <v>16.5</v>
      </c>
      <c r="G48" s="277">
        <f t="shared" si="15"/>
        <v>92.4</v>
      </c>
      <c r="H48" s="277">
        <f t="shared" si="15"/>
        <v>139.69999999999999</v>
      </c>
      <c r="I48" s="277">
        <f t="shared" si="15"/>
        <v>345.9</v>
      </c>
      <c r="J48" s="277">
        <f t="shared" si="15"/>
        <v>321.5</v>
      </c>
      <c r="K48" s="277">
        <f t="shared" si="15"/>
        <v>177.1</v>
      </c>
      <c r="L48" s="277">
        <f t="shared" si="15"/>
        <v>16.2</v>
      </c>
      <c r="M48" s="277">
        <f t="shared" si="15"/>
        <v>35.4</v>
      </c>
      <c r="N48" s="283">
        <f t="shared" si="15"/>
        <v>9.6999999999999993</v>
      </c>
      <c r="O48" s="284">
        <f t="shared" si="8"/>
        <v>1301.9000000000001</v>
      </c>
      <c r="P48" s="272">
        <f t="shared" si="9"/>
        <v>108.5</v>
      </c>
    </row>
    <row r="49" spans="2:16" ht="22.5" customHeight="1">
      <c r="B49" s="282">
        <f t="shared" ref="B49:N49" si="16">B33</f>
        <v>2021</v>
      </c>
      <c r="C49" s="277">
        <f t="shared" si="16"/>
        <v>32</v>
      </c>
      <c r="D49" s="277">
        <f t="shared" si="16"/>
        <v>18.7</v>
      </c>
      <c r="E49" s="277">
        <f t="shared" si="16"/>
        <v>76.099999999999994</v>
      </c>
      <c r="F49" s="277">
        <f t="shared" si="16"/>
        <v>43.4</v>
      </c>
      <c r="G49" s="277">
        <f t="shared" si="16"/>
        <v>110</v>
      </c>
      <c r="H49" s="277">
        <f t="shared" si="16"/>
        <v>55</v>
      </c>
      <c r="I49" s="277">
        <f t="shared" si="16"/>
        <v>131.30000000000001</v>
      </c>
      <c r="J49" s="277">
        <f t="shared" si="16"/>
        <v>253.7</v>
      </c>
      <c r="K49" s="277">
        <f t="shared" si="16"/>
        <v>215.9</v>
      </c>
      <c r="L49" s="277">
        <f t="shared" si="16"/>
        <v>39.6</v>
      </c>
      <c r="M49" s="277">
        <f t="shared" si="16"/>
        <v>117.8</v>
      </c>
      <c r="N49" s="283">
        <f t="shared" si="16"/>
        <v>14.4</v>
      </c>
      <c r="O49" s="284">
        <f t="shared" si="8"/>
        <v>1107.9000000000001</v>
      </c>
      <c r="P49" s="272">
        <f t="shared" si="9"/>
        <v>92.3</v>
      </c>
    </row>
    <row r="50" spans="2:16" ht="22.5" customHeight="1" thickBot="1">
      <c r="B50" s="285">
        <f t="shared" ref="B50:N50" si="17">B34</f>
        <v>2022</v>
      </c>
      <c r="C50" s="286">
        <f t="shared" si="17"/>
        <v>8.4</v>
      </c>
      <c r="D50" s="286">
        <f t="shared" si="17"/>
        <v>5.3</v>
      </c>
      <c r="E50" s="286">
        <f>E34</f>
        <v>60.9</v>
      </c>
      <c r="F50" s="286">
        <f t="shared" si="17"/>
        <v>34.799999999999997</v>
      </c>
      <c r="G50" s="286">
        <f t="shared" si="17"/>
        <v>5.7</v>
      </c>
      <c r="H50" s="286">
        <f t="shared" si="17"/>
        <v>225</v>
      </c>
      <c r="I50" s="286">
        <f t="shared" si="17"/>
        <v>119.9</v>
      </c>
      <c r="J50" s="286">
        <f t="shared" si="17"/>
        <v>637.1</v>
      </c>
      <c r="K50" s="286">
        <f t="shared" si="17"/>
        <v>102</v>
      </c>
      <c r="L50" s="286">
        <f t="shared" si="17"/>
        <v>112</v>
      </c>
      <c r="M50" s="286">
        <f t="shared" si="17"/>
        <v>23.3</v>
      </c>
      <c r="N50" s="287">
        <f t="shared" si="17"/>
        <v>14</v>
      </c>
      <c r="O50" s="288">
        <f t="shared" si="8"/>
        <v>1348.4</v>
      </c>
      <c r="P50" s="276">
        <f t="shared" si="9"/>
        <v>112.4</v>
      </c>
    </row>
    <row r="51" spans="2:16" ht="22.5" customHeight="1">
      <c r="B51" s="289" t="s">
        <v>47</v>
      </c>
      <c r="C51" s="290">
        <f>MAX(C41:C50)</f>
        <v>49.4</v>
      </c>
      <c r="D51" s="290">
        <f t="shared" ref="D51:P51" si="18">MAX(D41:D50)</f>
        <v>75.3</v>
      </c>
      <c r="E51" s="290">
        <f t="shared" si="18"/>
        <v>92</v>
      </c>
      <c r="F51" s="290">
        <f t="shared" si="18"/>
        <v>129.69999999999999</v>
      </c>
      <c r="G51" s="290">
        <f t="shared" si="18"/>
        <v>146.5</v>
      </c>
      <c r="H51" s="290">
        <f t="shared" si="18"/>
        <v>225</v>
      </c>
      <c r="I51" s="290">
        <f t="shared" si="18"/>
        <v>345.9</v>
      </c>
      <c r="J51" s="290">
        <f t="shared" si="18"/>
        <v>637.1</v>
      </c>
      <c r="K51" s="290">
        <f t="shared" si="18"/>
        <v>320</v>
      </c>
      <c r="L51" s="290">
        <f t="shared" si="18"/>
        <v>156</v>
      </c>
      <c r="M51" s="290">
        <f t="shared" si="18"/>
        <v>155.6</v>
      </c>
      <c r="N51" s="291">
        <f t="shared" si="18"/>
        <v>66.599999999999994</v>
      </c>
      <c r="O51" s="292">
        <f t="shared" si="18"/>
        <v>1387.7</v>
      </c>
      <c r="P51" s="293">
        <f t="shared" si="18"/>
        <v>115.6</v>
      </c>
    </row>
    <row r="52" spans="2:16" ht="22.5" customHeight="1">
      <c r="B52" s="294" t="s">
        <v>48</v>
      </c>
      <c r="C52" s="295">
        <f>MIN(C41:C50)</f>
        <v>1.9</v>
      </c>
      <c r="D52" s="295">
        <f t="shared" ref="D52:P52" si="19">MIN(D41:D50)</f>
        <v>5.3</v>
      </c>
      <c r="E52" s="295">
        <f t="shared" si="19"/>
        <v>14.4</v>
      </c>
      <c r="F52" s="295">
        <f t="shared" si="19"/>
        <v>16.5</v>
      </c>
      <c r="G52" s="295">
        <f t="shared" si="19"/>
        <v>5.7</v>
      </c>
      <c r="H52" s="295">
        <f t="shared" si="19"/>
        <v>21.1</v>
      </c>
      <c r="I52" s="295">
        <f t="shared" si="19"/>
        <v>94.7</v>
      </c>
      <c r="J52" s="295">
        <f t="shared" si="19"/>
        <v>5.0999999999999996</v>
      </c>
      <c r="K52" s="295">
        <f t="shared" si="19"/>
        <v>13.3</v>
      </c>
      <c r="L52" s="295">
        <f t="shared" si="19"/>
        <v>10.9</v>
      </c>
      <c r="M52" s="295">
        <f t="shared" si="19"/>
        <v>5.6</v>
      </c>
      <c r="N52" s="296">
        <f t="shared" si="19"/>
        <v>9.6999999999999993</v>
      </c>
      <c r="O52" s="284">
        <f>MIN(O41:O50)</f>
        <v>785.4</v>
      </c>
      <c r="P52" s="272">
        <f t="shared" si="19"/>
        <v>65.5</v>
      </c>
    </row>
    <row r="53" spans="2:16" ht="22.5" customHeight="1" thickBot="1">
      <c r="B53" s="297" t="s">
        <v>30</v>
      </c>
      <c r="C53" s="298">
        <f>ROUND(AVERAGE(C41:C50),1)</f>
        <v>19.100000000000001</v>
      </c>
      <c r="D53" s="298">
        <f t="shared" ref="D53:N53" si="20">ROUND(AVERAGE(D41:D50),1)</f>
        <v>32</v>
      </c>
      <c r="E53" s="298">
        <f t="shared" si="20"/>
        <v>44.4</v>
      </c>
      <c r="F53" s="298">
        <f t="shared" si="20"/>
        <v>72.5</v>
      </c>
      <c r="G53" s="298">
        <f t="shared" si="20"/>
        <v>75.2</v>
      </c>
      <c r="H53" s="298">
        <f t="shared" si="20"/>
        <v>96.1</v>
      </c>
      <c r="I53" s="298">
        <f t="shared" si="20"/>
        <v>195.3</v>
      </c>
      <c r="J53" s="298">
        <f t="shared" si="20"/>
        <v>221.2</v>
      </c>
      <c r="K53" s="298">
        <f t="shared" si="20"/>
        <v>142.1</v>
      </c>
      <c r="L53" s="298">
        <f t="shared" si="20"/>
        <v>77.8</v>
      </c>
      <c r="M53" s="298">
        <f t="shared" si="20"/>
        <v>65.2</v>
      </c>
      <c r="N53" s="299">
        <f t="shared" si="20"/>
        <v>34.200000000000003</v>
      </c>
      <c r="O53" s="288">
        <f>ROUND(AVERAGE(O41:O50),1)</f>
        <v>1075</v>
      </c>
      <c r="P53" s="276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V23" sqref="V23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3" customFormat="1">
      <c r="B23" s="170">
        <f>All!B25</f>
        <v>2013</v>
      </c>
      <c r="C23" s="164">
        <f>All!C25</f>
        <v>28.4</v>
      </c>
      <c r="D23" s="164">
        <f>All!D25</f>
        <v>40.700000000000003</v>
      </c>
      <c r="E23" s="164">
        <f>All!E25</f>
        <v>53.4</v>
      </c>
      <c r="F23" s="164">
        <f>All!F25</f>
        <v>68.2</v>
      </c>
      <c r="G23" s="164">
        <f>All!G25</f>
        <v>116.6</v>
      </c>
      <c r="H23" s="164">
        <f>All!H25</f>
        <v>159.9</v>
      </c>
      <c r="I23" s="164">
        <f>All!I25</f>
        <v>267.5</v>
      </c>
      <c r="J23" s="164">
        <f>All!J25</f>
        <v>214.6</v>
      </c>
      <c r="K23" s="164">
        <f>All!K25</f>
        <v>320</v>
      </c>
      <c r="L23" s="164">
        <f>All!L25</f>
        <v>10.9</v>
      </c>
      <c r="M23" s="164">
        <f>All!M25</f>
        <v>81.099999999999994</v>
      </c>
      <c r="N23" s="164">
        <f>All!N25</f>
        <v>26.4</v>
      </c>
      <c r="O23" s="164">
        <f>All!O25</f>
        <v>1387.7</v>
      </c>
      <c r="P23" s="171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181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2" t="s">
        <v>180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164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4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8" t="s">
        <v>182</v>
      </c>
      <c r="C51" s="169" t="s">
        <v>164</v>
      </c>
    </row>
    <row r="52" spans="2:3">
      <c r="B52" s="165">
        <f>B3</f>
        <v>1993</v>
      </c>
      <c r="C52" s="166">
        <f>O3</f>
        <v>1162.0999999999999</v>
      </c>
    </row>
    <row r="53" spans="2:3">
      <c r="B53" s="165">
        <f t="shared" ref="B53:B81" si="3">B4</f>
        <v>1994</v>
      </c>
      <c r="C53" s="166">
        <f t="shared" ref="C53:C81" si="4">O4</f>
        <v>1269</v>
      </c>
    </row>
    <row r="54" spans="2:3">
      <c r="B54" s="165">
        <f t="shared" si="3"/>
        <v>1995</v>
      </c>
      <c r="C54" s="166">
        <f t="shared" si="4"/>
        <v>1459.5</v>
      </c>
    </row>
    <row r="55" spans="2:3">
      <c r="B55" s="165">
        <f t="shared" si="3"/>
        <v>1996</v>
      </c>
      <c r="C55" s="166">
        <f t="shared" si="4"/>
        <v>899.6</v>
      </c>
    </row>
    <row r="56" spans="2:3">
      <c r="B56" s="165">
        <f t="shared" si="3"/>
        <v>1997</v>
      </c>
      <c r="C56" s="166">
        <f t="shared" si="4"/>
        <v>1442.3</v>
      </c>
    </row>
    <row r="57" spans="2:3">
      <c r="B57" s="165">
        <f t="shared" si="3"/>
        <v>1998</v>
      </c>
      <c r="C57" s="166">
        <f t="shared" si="4"/>
        <v>1397.2</v>
      </c>
    </row>
    <row r="58" spans="2:3">
      <c r="B58" s="165">
        <f t="shared" si="3"/>
        <v>1999</v>
      </c>
      <c r="C58" s="166">
        <f t="shared" si="4"/>
        <v>1284.0999999999999</v>
      </c>
    </row>
    <row r="59" spans="2:3">
      <c r="B59" s="165">
        <f t="shared" si="3"/>
        <v>2000</v>
      </c>
      <c r="C59" s="166">
        <f t="shared" si="4"/>
        <v>1515.4</v>
      </c>
    </row>
    <row r="60" spans="2:3">
      <c r="B60" s="165">
        <f t="shared" si="3"/>
        <v>2001</v>
      </c>
      <c r="C60" s="166">
        <f t="shared" si="4"/>
        <v>903.7</v>
      </c>
    </row>
    <row r="61" spans="2:3">
      <c r="B61" s="165">
        <f t="shared" si="3"/>
        <v>2002</v>
      </c>
      <c r="C61" s="166">
        <f t="shared" si="4"/>
        <v>1453.2</v>
      </c>
    </row>
    <row r="62" spans="2:3">
      <c r="B62" s="165">
        <f t="shared" si="3"/>
        <v>2003</v>
      </c>
      <c r="C62" s="166">
        <f t="shared" si="4"/>
        <v>1343.7</v>
      </c>
    </row>
    <row r="63" spans="2:3">
      <c r="B63" s="165">
        <f t="shared" si="3"/>
        <v>2004</v>
      </c>
      <c r="C63" s="166">
        <f t="shared" si="4"/>
        <v>1216.2</v>
      </c>
    </row>
    <row r="64" spans="2:3">
      <c r="B64" s="165">
        <f t="shared" si="3"/>
        <v>2005</v>
      </c>
      <c r="C64" s="166">
        <f t="shared" si="4"/>
        <v>1266.5</v>
      </c>
    </row>
    <row r="65" spans="2:3">
      <c r="B65" s="165">
        <f t="shared" si="3"/>
        <v>2006</v>
      </c>
      <c r="C65" s="166">
        <f t="shared" si="4"/>
        <v>831.4</v>
      </c>
    </row>
    <row r="66" spans="2:3">
      <c r="B66" s="165">
        <f t="shared" si="3"/>
        <v>2007</v>
      </c>
      <c r="C66" s="166">
        <f t="shared" si="4"/>
        <v>1295.8</v>
      </c>
    </row>
    <row r="67" spans="2:3">
      <c r="B67" s="165">
        <f t="shared" si="3"/>
        <v>2008</v>
      </c>
      <c r="C67" s="166">
        <f t="shared" si="4"/>
        <v>813.5</v>
      </c>
    </row>
    <row r="68" spans="2:3">
      <c r="B68" s="165">
        <f t="shared" si="3"/>
        <v>2009</v>
      </c>
      <c r="C68" s="166">
        <f t="shared" si="4"/>
        <v>1081.4000000000001</v>
      </c>
    </row>
    <row r="69" spans="2:3">
      <c r="B69" s="165">
        <f t="shared" si="3"/>
        <v>2010</v>
      </c>
      <c r="C69" s="166">
        <f t="shared" si="4"/>
        <v>1502.3</v>
      </c>
    </row>
    <row r="70" spans="2:3">
      <c r="B70" s="165">
        <f t="shared" si="3"/>
        <v>2011</v>
      </c>
      <c r="C70" s="166">
        <f t="shared" si="4"/>
        <v>1743</v>
      </c>
    </row>
    <row r="71" spans="2:3">
      <c r="B71" s="165">
        <f t="shared" si="3"/>
        <v>2012</v>
      </c>
      <c r="C71" s="166">
        <f t="shared" si="4"/>
        <v>1319</v>
      </c>
    </row>
    <row r="72" spans="2:3">
      <c r="B72" s="165">
        <f t="shared" si="3"/>
        <v>2013</v>
      </c>
      <c r="C72" s="166">
        <f t="shared" si="4"/>
        <v>1387.7</v>
      </c>
    </row>
    <row r="73" spans="2:3">
      <c r="B73" s="165">
        <f t="shared" si="3"/>
        <v>2014</v>
      </c>
      <c r="C73" s="166">
        <f t="shared" si="4"/>
        <v>1010.1</v>
      </c>
    </row>
    <row r="74" spans="2:3">
      <c r="B74" s="165">
        <f t="shared" si="3"/>
        <v>2015</v>
      </c>
      <c r="C74" s="166">
        <f t="shared" si="4"/>
        <v>785.4</v>
      </c>
    </row>
    <row r="75" spans="2:3">
      <c r="B75" s="165">
        <f t="shared" si="3"/>
        <v>2016</v>
      </c>
      <c r="C75" s="166">
        <f t="shared" si="4"/>
        <v>792.8</v>
      </c>
    </row>
    <row r="76" spans="2:3">
      <c r="B76" s="165">
        <f t="shared" si="3"/>
        <v>2017</v>
      </c>
      <c r="C76" s="166">
        <f t="shared" si="4"/>
        <v>856.2</v>
      </c>
    </row>
    <row r="77" spans="2:3">
      <c r="B77" s="165">
        <f t="shared" si="3"/>
        <v>2018</v>
      </c>
      <c r="C77" s="166">
        <f t="shared" si="4"/>
        <v>1337.2</v>
      </c>
    </row>
    <row r="78" spans="2:3">
      <c r="B78" s="165">
        <f>B29</f>
        <v>2019</v>
      </c>
      <c r="C78" s="166">
        <f t="shared" si="4"/>
        <v>821.9</v>
      </c>
    </row>
    <row r="79" spans="2:3">
      <c r="B79" s="165">
        <f t="shared" si="3"/>
        <v>2020</v>
      </c>
      <c r="C79" s="166">
        <f t="shared" si="4"/>
        <v>1301.9000000000001</v>
      </c>
    </row>
    <row r="80" spans="2:3">
      <c r="B80" s="165">
        <f t="shared" si="3"/>
        <v>2021</v>
      </c>
      <c r="C80" s="166">
        <f t="shared" si="4"/>
        <v>1107.9000000000001</v>
      </c>
    </row>
    <row r="81" spans="2:3">
      <c r="B81" s="165">
        <f t="shared" si="3"/>
        <v>2022</v>
      </c>
      <c r="C81" s="166">
        <f t="shared" si="4"/>
        <v>1348.4</v>
      </c>
    </row>
    <row r="82" spans="2:3" ht="17.25" thickBot="1">
      <c r="B82" s="98" t="str">
        <f>B34</f>
        <v>30년평균</v>
      </c>
      <c r="C82" s="167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35"/>
  <sheetViews>
    <sheetView zoomScaleNormal="100" workbookViewId="0">
      <selection activeCell="B36" sqref="B36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170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9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2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9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2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5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4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3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7">
        <f>All!O53</f>
        <v>1075</v>
      </c>
      <c r="P17" s="173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7" t="s">
        <v>24</v>
      </c>
      <c r="C20" s="234"/>
      <c r="D20" s="238">
        <f>SUM(G17:K17)</f>
        <v>729.9</v>
      </c>
      <c r="F20" s="123"/>
    </row>
    <row r="21" spans="1:16">
      <c r="B21" s="239" t="s">
        <v>171</v>
      </c>
      <c r="D21" s="240">
        <f>O17</f>
        <v>1075</v>
      </c>
    </row>
    <row r="22" spans="1:16" ht="17.25" thickBot="1">
      <c r="B22" s="235"/>
      <c r="C22" s="236"/>
      <c r="D22" s="241">
        <f>D20/D21</f>
        <v>0.67897674418604648</v>
      </c>
    </row>
    <row r="23" spans="1:16" ht="33.75" customHeight="1" thickBot="1">
      <c r="C23" s="243" t="s">
        <v>194</v>
      </c>
      <c r="D23" s="243" t="s">
        <v>195</v>
      </c>
      <c r="E23" s="243" t="s">
        <v>196</v>
      </c>
    </row>
    <row r="24" spans="1:16" ht="21.95" customHeight="1" thickBot="1">
      <c r="B24" s="227" t="s">
        <v>97</v>
      </c>
      <c r="C24" s="230">
        <f>O16</f>
        <v>785.4</v>
      </c>
      <c r="D24" s="217"/>
      <c r="E24" s="207"/>
      <c r="H24" s="215" t="s">
        <v>191</v>
      </c>
      <c r="I24" s="455" t="s">
        <v>276</v>
      </c>
      <c r="J24" s="456"/>
      <c r="K24" s="332">
        <f>INDEX(Location[recharge], MATCH(I24,Location[name],0))</f>
        <v>0.13400000000000001</v>
      </c>
      <c r="L24" s="333">
        <f>INDEX(Location[ratio], MATCH(I24,Location[name],0))</f>
        <v>0.65</v>
      </c>
    </row>
    <row r="25" spans="1:16" ht="21.95" customHeight="1" thickBot="1">
      <c r="B25" s="210" t="s">
        <v>25</v>
      </c>
      <c r="C25" s="229">
        <f>O18</f>
        <v>1198.3</v>
      </c>
      <c r="D25" s="218"/>
      <c r="E25" s="209"/>
      <c r="H25" s="215" t="s">
        <v>192</v>
      </c>
      <c r="I25" s="457" t="s">
        <v>277</v>
      </c>
      <c r="J25" s="458"/>
      <c r="K25" s="334">
        <f>INDEX(Location[recharge], MATCH(I25,Location[name],0))</f>
        <v>0.16600000000000001</v>
      </c>
      <c r="L25" s="335">
        <f>INDEX(Location[ratio], MATCH(I25,Location[name],0))</f>
        <v>0.64</v>
      </c>
    </row>
    <row r="26" spans="1:16" ht="21.95" customHeight="1">
      <c r="B26" s="208" t="s">
        <v>169</v>
      </c>
      <c r="C26" s="225">
        <f>L24</f>
        <v>0.65</v>
      </c>
      <c r="D26" s="224">
        <f>L25</f>
        <v>0.64</v>
      </c>
      <c r="E26" s="223">
        <f>L26</f>
        <v>0.65</v>
      </c>
      <c r="H26" s="215" t="s">
        <v>193</v>
      </c>
      <c r="I26" s="459" t="s">
        <v>275</v>
      </c>
      <c r="J26" s="460"/>
      <c r="K26" s="336">
        <f>INDEX(Location[recharge], MATCH(I26,Location[name],0))</f>
        <v>0.127</v>
      </c>
      <c r="L26" s="337">
        <f>INDEX(Location[ratio], MATCH(I26,Location[name],0))</f>
        <v>0.65</v>
      </c>
    </row>
    <row r="27" spans="1:16" ht="21.95" customHeight="1">
      <c r="B27" s="210" t="s">
        <v>26</v>
      </c>
      <c r="C27" s="219">
        <f>Well!P4</f>
        <v>3059068</v>
      </c>
      <c r="D27" s="218"/>
      <c r="E27" s="216"/>
    </row>
    <row r="28" spans="1:16" ht="21.95" customHeight="1" thickBot="1">
      <c r="B28" s="226" t="s">
        <v>27</v>
      </c>
      <c r="C28" s="220">
        <f>K24</f>
        <v>0.13400000000000001</v>
      </c>
      <c r="D28" s="221">
        <f>K25</f>
        <v>0.16600000000000001</v>
      </c>
      <c r="E28" s="222">
        <f>K26</f>
        <v>0.127</v>
      </c>
    </row>
    <row r="29" spans="1:16" ht="17.25" thickBot="1">
      <c r="E29" s="124"/>
    </row>
    <row r="30" spans="1:16" ht="22.15" customHeight="1" thickBot="1">
      <c r="B30" s="206" t="s">
        <v>172</v>
      </c>
      <c r="C30" s="232">
        <f>max*rf_1/10</f>
        <v>16.057220000000001</v>
      </c>
      <c r="D30" s="232">
        <f>max*rf_2/10</f>
        <v>19.891780000000001</v>
      </c>
      <c r="E30" s="233">
        <f>max*rf_3/10</f>
        <v>15.21841</v>
      </c>
    </row>
    <row r="31" spans="1:16" ht="22.15" customHeight="1">
      <c r="E31" s="124"/>
    </row>
    <row r="32" spans="1:16" ht="17.25" customHeight="1">
      <c r="A32" s="79" t="s">
        <v>173</v>
      </c>
      <c r="B32"/>
      <c r="C32"/>
      <c r="D32"/>
    </row>
    <row r="33" spans="1:6" ht="17.25" customHeight="1">
      <c r="A33" s="79" t="s">
        <v>174</v>
      </c>
    </row>
    <row r="34" spans="1:6" ht="17.25" customHeight="1">
      <c r="C34"/>
      <c r="D34"/>
    </row>
    <row r="35" spans="1:6" ht="17.25" customHeight="1"/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154</v>
      </c>
      <c r="B2" s="53" t="s">
        <v>150</v>
      </c>
      <c r="D2" s="52" t="s">
        <v>153</v>
      </c>
      <c r="E2" s="54" t="s">
        <v>151</v>
      </c>
      <c r="G2" s="52" t="s">
        <v>152</v>
      </c>
    </row>
    <row r="3" spans="1:11">
      <c r="A3" s="43" t="s">
        <v>126</v>
      </c>
      <c r="I3"/>
      <c r="J3"/>
      <c r="K3"/>
    </row>
    <row r="4" spans="1:11" s="48" customFormat="1">
      <c r="A4" s="47" t="s">
        <v>137</v>
      </c>
      <c r="B4" s="55">
        <v>2</v>
      </c>
      <c r="D4" s="47" t="s">
        <v>139</v>
      </c>
      <c r="E4" s="59">
        <v>10</v>
      </c>
      <c r="G4" s="47" t="s">
        <v>155</v>
      </c>
      <c r="H4" s="63">
        <v>1</v>
      </c>
      <c r="I4"/>
      <c r="J4"/>
      <c r="K4"/>
    </row>
    <row r="5" spans="1:11">
      <c r="A5" s="45" t="s">
        <v>128</v>
      </c>
      <c r="B5" s="56">
        <v>3</v>
      </c>
      <c r="D5" s="45" t="s">
        <v>140</v>
      </c>
      <c r="E5" s="60">
        <v>10</v>
      </c>
      <c r="G5" s="45" t="s">
        <v>156</v>
      </c>
      <c r="H5" s="64">
        <v>3</v>
      </c>
      <c r="I5"/>
      <c r="J5"/>
      <c r="K5"/>
    </row>
    <row r="6" spans="1:11" s="48" customFormat="1">
      <c r="A6" s="49" t="s">
        <v>129</v>
      </c>
      <c r="B6" s="57">
        <v>4</v>
      </c>
      <c r="D6" s="49" t="s">
        <v>141</v>
      </c>
      <c r="E6" s="61">
        <v>9</v>
      </c>
      <c r="G6" s="49" t="s">
        <v>127</v>
      </c>
      <c r="H6" s="65">
        <v>3</v>
      </c>
      <c r="I6"/>
      <c r="J6"/>
      <c r="K6"/>
    </row>
    <row r="7" spans="1:11">
      <c r="A7" s="45" t="s">
        <v>130</v>
      </c>
      <c r="B7" s="56">
        <v>5</v>
      </c>
      <c r="D7" s="45" t="s">
        <v>142</v>
      </c>
      <c r="E7" s="60">
        <v>8</v>
      </c>
      <c r="G7" s="45" t="s">
        <v>132</v>
      </c>
      <c r="H7" s="64">
        <v>6</v>
      </c>
    </row>
    <row r="8" spans="1:11" s="48" customFormat="1">
      <c r="A8" s="49" t="s">
        <v>131</v>
      </c>
      <c r="B8" s="57">
        <v>6</v>
      </c>
      <c r="D8" s="49" t="s">
        <v>143</v>
      </c>
      <c r="E8" s="61">
        <v>7</v>
      </c>
      <c r="G8" s="49" t="s">
        <v>157</v>
      </c>
      <c r="H8" s="65">
        <v>6</v>
      </c>
    </row>
    <row r="9" spans="1:11">
      <c r="A9" s="45" t="s">
        <v>138</v>
      </c>
      <c r="B9" s="56">
        <v>6</v>
      </c>
      <c r="D9" s="45" t="s">
        <v>144</v>
      </c>
      <c r="E9" s="60">
        <v>6</v>
      </c>
      <c r="G9" s="45" t="s">
        <v>158</v>
      </c>
      <c r="H9" s="64">
        <v>6</v>
      </c>
    </row>
    <row r="10" spans="1:11" s="48" customFormat="1">
      <c r="A10" s="49" t="s">
        <v>136</v>
      </c>
      <c r="B10" s="57">
        <v>6</v>
      </c>
      <c r="D10" s="49" t="s">
        <v>145</v>
      </c>
      <c r="E10" s="61">
        <v>5</v>
      </c>
      <c r="G10" s="49" t="s">
        <v>159</v>
      </c>
      <c r="H10" s="65">
        <v>6</v>
      </c>
    </row>
    <row r="11" spans="1:11">
      <c r="A11" s="45" t="s">
        <v>133</v>
      </c>
      <c r="B11" s="56">
        <v>8</v>
      </c>
      <c r="D11" s="45" t="s">
        <v>146</v>
      </c>
      <c r="E11" s="60">
        <v>4</v>
      </c>
      <c r="G11" s="45" t="s">
        <v>128</v>
      </c>
      <c r="H11" s="64">
        <v>4</v>
      </c>
    </row>
    <row r="12" spans="1:11" s="48" customFormat="1">
      <c r="A12" s="49" t="s">
        <v>134</v>
      </c>
      <c r="B12" s="57">
        <v>9</v>
      </c>
      <c r="D12" s="49" t="s">
        <v>147</v>
      </c>
      <c r="E12" s="61">
        <v>3</v>
      </c>
      <c r="G12" s="49" t="s">
        <v>133</v>
      </c>
      <c r="H12" s="65">
        <v>8</v>
      </c>
    </row>
    <row r="13" spans="1:11">
      <c r="A13" s="46" t="s">
        <v>135</v>
      </c>
      <c r="B13" s="58">
        <v>10</v>
      </c>
      <c r="D13" s="45" t="s">
        <v>148</v>
      </c>
      <c r="E13" s="60">
        <v>2</v>
      </c>
      <c r="G13" s="45" t="s">
        <v>134</v>
      </c>
      <c r="H13" s="64">
        <v>9</v>
      </c>
    </row>
    <row r="14" spans="1:11" s="48" customFormat="1">
      <c r="B14" s="50"/>
      <c r="D14" s="51" t="s">
        <v>149</v>
      </c>
      <c r="E14" s="62">
        <v>1</v>
      </c>
      <c r="G14" s="51" t="s">
        <v>135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5" customWidth="1"/>
    <col min="2" max="2" width="11.5546875" style="325" customWidth="1"/>
    <col min="3" max="3" width="13" style="325" customWidth="1"/>
    <col min="4" max="16384" width="8.88671875" style="346"/>
  </cols>
  <sheetData>
    <row r="1" spans="1:12" ht="18" customHeight="1">
      <c r="A1" s="325" t="s">
        <v>206</v>
      </c>
      <c r="B1" s="325" t="s">
        <v>207</v>
      </c>
      <c r="C1" s="325" t="s">
        <v>208</v>
      </c>
    </row>
    <row r="2" spans="1:12" ht="18" customHeight="1">
      <c r="A2" s="325" t="s">
        <v>205</v>
      </c>
      <c r="B2" s="345">
        <v>0.13600000000000001</v>
      </c>
      <c r="C2" s="345">
        <v>0.66</v>
      </c>
    </row>
    <row r="3" spans="1:12" ht="18" customHeight="1">
      <c r="A3" s="325" t="s">
        <v>197</v>
      </c>
      <c r="B3" s="345">
        <v>0.151</v>
      </c>
      <c r="C3" s="345">
        <v>0.65</v>
      </c>
    </row>
    <row r="4" spans="1:12" ht="18" customHeight="1">
      <c r="A4" s="325" t="s">
        <v>187</v>
      </c>
      <c r="B4" s="345">
        <v>0.16700000000000001</v>
      </c>
      <c r="C4" s="345">
        <v>0.65</v>
      </c>
      <c r="J4" s="346" t="s">
        <v>199</v>
      </c>
      <c r="K4" s="346">
        <f>INDEX(Location[recharge],MATCH(J4,Location[name],0))</f>
        <v>0.16600000000000001</v>
      </c>
      <c r="L4" s="346">
        <f>INDEX(Location[ratio], MATCH(J4,Location[name]))</f>
        <v>0.65</v>
      </c>
    </row>
    <row r="5" spans="1:12" ht="18" customHeight="1">
      <c r="A5" s="325" t="s">
        <v>188</v>
      </c>
      <c r="B5" s="345">
        <v>0.17299999999999999</v>
      </c>
      <c r="C5" s="345">
        <v>0.66849999999999998</v>
      </c>
    </row>
    <row r="6" spans="1:12" ht="18" customHeight="1">
      <c r="A6" s="325" t="s">
        <v>198</v>
      </c>
      <c r="B6" s="345">
        <v>0.16300000000000001</v>
      </c>
      <c r="C6" s="345">
        <v>0.67</v>
      </c>
    </row>
    <row r="7" spans="1:12" ht="18" customHeight="1">
      <c r="A7" s="325" t="s">
        <v>200</v>
      </c>
      <c r="B7" s="345">
        <v>0.16600000000000001</v>
      </c>
      <c r="C7" s="345">
        <v>0.64</v>
      </c>
      <c r="E7" s="346" t="s">
        <v>209</v>
      </c>
    </row>
    <row r="8" spans="1:12" ht="18" customHeight="1">
      <c r="A8" s="325" t="s">
        <v>201</v>
      </c>
      <c r="B8" s="345">
        <v>0.16600000000000001</v>
      </c>
      <c r="C8" s="345">
        <v>0.64</v>
      </c>
    </row>
    <row r="9" spans="1:12" ht="18" customHeight="1">
      <c r="A9" s="325" t="s">
        <v>189</v>
      </c>
      <c r="B9" s="345">
        <v>0.125</v>
      </c>
      <c r="C9" s="345">
        <v>0.67</v>
      </c>
    </row>
    <row r="10" spans="1:12" ht="18" customHeight="1">
      <c r="A10" s="325" t="s">
        <v>202</v>
      </c>
      <c r="B10" s="345">
        <v>0.127</v>
      </c>
      <c r="C10" s="345">
        <v>0.65</v>
      </c>
    </row>
    <row r="11" spans="1:12" ht="18" customHeight="1">
      <c r="A11" s="325" t="s">
        <v>203</v>
      </c>
      <c r="B11" s="345">
        <v>0.128</v>
      </c>
      <c r="C11" s="345">
        <v>0.64</v>
      </c>
    </row>
    <row r="12" spans="1:12" ht="18" customHeight="1">
      <c r="A12" s="325" t="s">
        <v>204</v>
      </c>
      <c r="B12" s="345">
        <v>0.17499999999999999</v>
      </c>
      <c r="C12" s="345">
        <v>0.67</v>
      </c>
    </row>
    <row r="13" spans="1:12" ht="18" customHeight="1">
      <c r="A13" s="325" t="s">
        <v>217</v>
      </c>
      <c r="B13" s="345">
        <v>0.13</v>
      </c>
      <c r="C13" s="345">
        <v>0.63</v>
      </c>
    </row>
    <row r="14" spans="1:12" ht="18" customHeight="1">
      <c r="A14" s="325" t="s">
        <v>218</v>
      </c>
      <c r="B14" s="345">
        <v>0.13400000000000001</v>
      </c>
      <c r="C14" s="345">
        <v>0.65</v>
      </c>
    </row>
    <row r="15" spans="1:12" ht="18" customHeight="1">
      <c r="A15" s="325" t="s">
        <v>219</v>
      </c>
      <c r="B15" s="345">
        <v>0.16500000000000001</v>
      </c>
      <c r="C15" s="345">
        <v>0.62</v>
      </c>
    </row>
    <row r="16" spans="1:12" ht="18" customHeight="1">
      <c r="A16" s="325" t="s">
        <v>278</v>
      </c>
      <c r="B16" s="345">
        <v>0.16300000000000001</v>
      </c>
      <c r="C16" s="345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8"/>
  <sheetViews>
    <sheetView tabSelected="1" zoomScaleNormal="100" workbookViewId="0">
      <selection activeCell="C12" sqref="C12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6" customWidth="1"/>
    <col min="11" max="11" width="8.109375" style="37" customWidth="1"/>
    <col min="12" max="12" width="5.3320312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292</v>
      </c>
      <c r="J1" s="68"/>
    </row>
    <row r="2" spans="1:18" s="77" customFormat="1" ht="23.1" customHeight="1">
      <c r="A2" s="471" t="s">
        <v>0</v>
      </c>
      <c r="B2" s="461" t="s">
        <v>39</v>
      </c>
      <c r="C2" s="461" t="s">
        <v>6</v>
      </c>
      <c r="D2" s="461" t="s">
        <v>38</v>
      </c>
      <c r="E2" s="461" t="s">
        <v>211</v>
      </c>
      <c r="F2" s="461" t="s">
        <v>210</v>
      </c>
      <c r="G2" s="465" t="s">
        <v>1</v>
      </c>
      <c r="H2" s="465" t="s">
        <v>2</v>
      </c>
      <c r="I2" s="465" t="s">
        <v>177</v>
      </c>
      <c r="J2" s="469" t="s">
        <v>178</v>
      </c>
      <c r="K2" s="465" t="s">
        <v>179</v>
      </c>
      <c r="L2" s="465" t="s">
        <v>3</v>
      </c>
      <c r="M2" s="465" t="s">
        <v>4</v>
      </c>
      <c r="N2" s="465" t="s">
        <v>5</v>
      </c>
      <c r="O2" s="465" t="s">
        <v>100</v>
      </c>
      <c r="P2" s="467" t="s">
        <v>40</v>
      </c>
      <c r="Q2" s="461" t="s">
        <v>163</v>
      </c>
      <c r="R2" s="463" t="s">
        <v>94</v>
      </c>
    </row>
    <row r="3" spans="1:18" s="77" customFormat="1" ht="27" customHeight="1">
      <c r="A3" s="472"/>
      <c r="B3" s="462"/>
      <c r="C3" s="462"/>
      <c r="D3" s="462"/>
      <c r="E3" s="462"/>
      <c r="F3" s="462"/>
      <c r="G3" s="466"/>
      <c r="H3" s="466"/>
      <c r="I3" s="466"/>
      <c r="J3" s="470"/>
      <c r="K3" s="466"/>
      <c r="L3" s="466"/>
      <c r="M3" s="466"/>
      <c r="N3" s="466"/>
      <c r="O3" s="466"/>
      <c r="P3" s="468"/>
      <c r="Q3" s="462"/>
      <c r="R3" s="464"/>
    </row>
    <row r="4" spans="1:18" ht="23.1" customHeight="1">
      <c r="A4" s="442" t="s">
        <v>274</v>
      </c>
      <c r="B4" s="443" t="s">
        <v>237</v>
      </c>
      <c r="C4" s="444"/>
      <c r="D4" s="443" t="s">
        <v>289</v>
      </c>
      <c r="E4" s="443" t="s">
        <v>290</v>
      </c>
      <c r="F4" s="443" t="s">
        <v>238</v>
      </c>
      <c r="G4" s="443">
        <v>200</v>
      </c>
      <c r="H4" s="443">
        <v>500</v>
      </c>
      <c r="I4" s="443">
        <v>130</v>
      </c>
      <c r="J4" s="443">
        <v>143</v>
      </c>
      <c r="K4" s="443">
        <v>143</v>
      </c>
      <c r="L4" s="443">
        <v>10</v>
      </c>
      <c r="M4" s="443">
        <v>200</v>
      </c>
      <c r="N4" s="445">
        <v>50</v>
      </c>
      <c r="O4" s="446">
        <v>172.8</v>
      </c>
      <c r="P4" s="447">
        <v>3059068</v>
      </c>
      <c r="Q4" s="438"/>
      <c r="R4" s="439"/>
    </row>
    <row r="5" spans="1:18" ht="23.1" customHeight="1">
      <c r="A5" s="442" t="s">
        <v>287</v>
      </c>
      <c r="B5" s="443" t="s">
        <v>237</v>
      </c>
      <c r="C5" s="444"/>
      <c r="D5" s="443" t="s">
        <v>291</v>
      </c>
      <c r="E5" s="443" t="s">
        <v>290</v>
      </c>
      <c r="F5" s="443" t="s">
        <v>238</v>
      </c>
      <c r="G5" s="443">
        <v>200</v>
      </c>
      <c r="H5" s="443">
        <v>250</v>
      </c>
      <c r="I5" s="443">
        <v>150</v>
      </c>
      <c r="J5" s="443">
        <v>130</v>
      </c>
      <c r="K5" s="443">
        <v>120</v>
      </c>
      <c r="L5" s="443">
        <v>2</v>
      </c>
      <c r="M5" s="443">
        <v>60</v>
      </c>
      <c r="N5" s="445">
        <v>50</v>
      </c>
      <c r="O5" s="446">
        <v>172.8</v>
      </c>
      <c r="P5" s="447">
        <v>3059068</v>
      </c>
      <c r="Q5" s="438"/>
      <c r="R5" s="439"/>
    </row>
    <row r="6" spans="1:18" ht="23.1" customHeight="1" thickBot="1">
      <c r="A6" s="347" t="s">
        <v>288</v>
      </c>
      <c r="B6" s="348" t="s">
        <v>237</v>
      </c>
      <c r="C6" s="349"/>
      <c r="D6" s="348" t="s">
        <v>291</v>
      </c>
      <c r="E6" s="348" t="s">
        <v>290</v>
      </c>
      <c r="F6" s="348" t="s">
        <v>238</v>
      </c>
      <c r="G6" s="348">
        <v>200</v>
      </c>
      <c r="H6" s="348">
        <v>250</v>
      </c>
      <c r="I6" s="348">
        <v>150</v>
      </c>
      <c r="J6" s="348">
        <v>130</v>
      </c>
      <c r="K6" s="348">
        <v>120</v>
      </c>
      <c r="L6" s="348">
        <v>2</v>
      </c>
      <c r="M6" s="348">
        <v>60</v>
      </c>
      <c r="N6" s="350">
        <v>50</v>
      </c>
      <c r="O6" s="351">
        <v>172.8</v>
      </c>
      <c r="P6" s="352">
        <v>3059068</v>
      </c>
      <c r="Q6" s="440"/>
      <c r="R6" s="441"/>
    </row>
    <row r="7" spans="1:18" ht="23.25" customHeight="1">
      <c r="A7" s="231"/>
    </row>
    <row r="8" spans="1:18" ht="23.25" customHeight="1">
      <c r="I8" s="37">
        <f>SUM(I4:I7)</f>
        <v>430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42" r:id="rId4" name="CommandButton7">
          <controlPr defaultSize="0" autoLine="0" r:id="rId5">
            <anchor moveWithCells="1">
              <from>
                <xdr:col>16</xdr:col>
                <xdr:colOff>666750</xdr:colOff>
                <xdr:row>0</xdr:row>
                <xdr:rowOff>409575</xdr:rowOff>
              </from>
              <to>
                <xdr:col>17</xdr:col>
                <xdr:colOff>504825</xdr:colOff>
                <xdr:row>0</xdr:row>
                <xdr:rowOff>723900</xdr:rowOff>
              </to>
            </anchor>
          </controlPr>
        </control>
      </mc:Choice>
      <mc:Fallback>
        <control shapeId="99342" r:id="rId4" name="CommandButton7"/>
      </mc:Fallback>
    </mc:AlternateContent>
    <mc:AlternateContent xmlns:mc="http://schemas.openxmlformats.org/markup-compatibility/2006">
      <mc:Choice Requires="x14">
        <control shapeId="99335" r:id="rId6" name="CommandButton5">
          <controlPr defaultSize="0" autoLine="0" r:id="rId7">
            <anchor moveWithCells="1">
              <from>
                <xdr:col>15</xdr:col>
                <xdr:colOff>371475</xdr:colOff>
                <xdr:row>0</xdr:row>
                <xdr:rowOff>419100</xdr:rowOff>
              </from>
              <to>
                <xdr:col>16</xdr:col>
                <xdr:colOff>609600</xdr:colOff>
                <xdr:row>0</xdr:row>
                <xdr:rowOff>733425</xdr:rowOff>
              </to>
            </anchor>
          </controlPr>
        </control>
      </mc:Choice>
      <mc:Fallback>
        <control shapeId="99335" r:id="rId6" name="CommandButton5"/>
      </mc:Fallback>
    </mc:AlternateContent>
    <mc:AlternateContent xmlns:mc="http://schemas.openxmlformats.org/markup-compatibility/2006">
      <mc:Choice Requires="x14">
        <control shapeId="99334" r:id="rId8" name="SingleColor">
          <controlPr defaultSize="0" autoLine="0" r:id="rId9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8" name="SingleColor"/>
      </mc:Fallback>
    </mc:AlternateContent>
    <mc:AlternateContent xmlns:mc="http://schemas.openxmlformats.org/markup-compatibility/2006">
      <mc:Choice Requires="x14">
        <control shapeId="99332" r:id="rId10" name="CommandButton4">
          <controlPr defaultSize="0" autoLine="0" r:id="rId11">
            <anchor moveWithCells="1">
              <from>
                <xdr:col>13</xdr:col>
                <xdr:colOff>390525</xdr:colOff>
                <xdr:row>0</xdr:row>
                <xdr:rowOff>428625</xdr:rowOff>
              </from>
              <to>
                <xdr:col>15</xdr:col>
                <xdr:colOff>285750</xdr:colOff>
                <xdr:row>0</xdr:row>
                <xdr:rowOff>742950</xdr:rowOff>
              </to>
            </anchor>
          </controlPr>
        </control>
      </mc:Choice>
      <mc:Fallback>
        <control shapeId="99332" r:id="rId10" name="CommandButton4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104775</xdr:colOff>
                <xdr:row>0</xdr:row>
                <xdr:rowOff>400050</xdr:rowOff>
              </from>
              <to>
                <xdr:col>2</xdr:col>
                <xdr:colOff>666750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11"/>
  <dimension ref="F1:S50"/>
  <sheetViews>
    <sheetView topLeftCell="B1" workbookViewId="0">
      <selection activeCell="M24" sqref="M24:O24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53" customWidth="1"/>
    <col min="10" max="10" width="11.77734375" style="37" customWidth="1"/>
    <col min="11" max="11" width="11.77734375" style="354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20.100000000000001" customHeight="1" thickBot="1">
      <c r="G1" s="53" t="s">
        <v>247</v>
      </c>
    </row>
    <row r="2" spans="7:19" ht="30" customHeight="1" thickBot="1">
      <c r="G2" s="355" t="s">
        <v>216</v>
      </c>
      <c r="H2" s="356" t="s">
        <v>213</v>
      </c>
      <c r="I2" s="357" t="s">
        <v>222</v>
      </c>
      <c r="J2" s="356" t="s">
        <v>214</v>
      </c>
      <c r="K2" s="358" t="s">
        <v>215</v>
      </c>
      <c r="M2" s="359"/>
      <c r="N2" s="360" t="s">
        <v>220</v>
      </c>
      <c r="O2" s="361" t="s">
        <v>221</v>
      </c>
      <c r="Q2" s="362" t="s">
        <v>216</v>
      </c>
      <c r="R2" s="363" t="s">
        <v>224</v>
      </c>
      <c r="S2" s="358" t="s">
        <v>225</v>
      </c>
    </row>
    <row r="3" spans="7:19" ht="20.100000000000001" customHeight="1" thickBot="1">
      <c r="G3" s="364" t="s">
        <v>240</v>
      </c>
      <c r="H3" s="37">
        <v>149</v>
      </c>
      <c r="I3" s="353">
        <v>133.95966914143432</v>
      </c>
      <c r="J3" s="37">
        <v>130</v>
      </c>
      <c r="K3" s="365">
        <v>0.89261744966442957</v>
      </c>
      <c r="M3" s="366" t="s">
        <v>215</v>
      </c>
      <c r="N3" s="367">
        <v>0.89261744966442957</v>
      </c>
      <c r="O3" s="368">
        <v>0.89261744966442957</v>
      </c>
      <c r="Q3" s="369" t="s">
        <v>240</v>
      </c>
      <c r="R3" s="370">
        <v>6.0139999999999998E-4</v>
      </c>
      <c r="S3" s="371">
        <v>0.21038480000000001</v>
      </c>
    </row>
    <row r="4" spans="7:19" ht="20.100000000000001" customHeight="1" thickBot="1">
      <c r="G4" s="364" t="s">
        <v>241</v>
      </c>
      <c r="H4" s="37">
        <v>149</v>
      </c>
      <c r="I4" s="353">
        <v>133.92821031130663</v>
      </c>
      <c r="J4" s="37">
        <v>130</v>
      </c>
      <c r="K4" s="365">
        <v>0.89261744966442957</v>
      </c>
      <c r="M4" s="366" t="s">
        <v>222</v>
      </c>
      <c r="N4" s="372">
        <v>133.92821031130663</v>
      </c>
      <c r="O4" s="373">
        <v>133.95966914143432</v>
      </c>
      <c r="Q4" s="369" t="s">
        <v>241</v>
      </c>
      <c r="R4" s="370">
        <v>5.5579999999999996E-4</v>
      </c>
      <c r="S4" s="371">
        <v>0.19516990000000001</v>
      </c>
    </row>
    <row r="5" spans="7:19" ht="20.100000000000001" customHeight="1" thickBot="1">
      <c r="G5" s="364" t="s">
        <v>242</v>
      </c>
      <c r="H5" s="37">
        <v>149</v>
      </c>
      <c r="I5" s="353">
        <v>133.93943451037802</v>
      </c>
      <c r="J5" s="37">
        <v>130</v>
      </c>
      <c r="K5" s="365">
        <v>0.89261744966442957</v>
      </c>
      <c r="M5" s="374" t="s">
        <v>223</v>
      </c>
      <c r="N5" s="375">
        <v>130</v>
      </c>
      <c r="O5" s="376">
        <v>130</v>
      </c>
      <c r="Q5" s="369" t="s">
        <v>242</v>
      </c>
      <c r="R5" s="370">
        <v>5.7790000000000001E-4</v>
      </c>
      <c r="S5" s="371">
        <v>0.2025769</v>
      </c>
    </row>
    <row r="6" spans="7:19" ht="20.100000000000001" customHeight="1">
      <c r="G6" s="364"/>
      <c r="K6" s="365"/>
      <c r="Q6" s="369"/>
      <c r="R6" s="370"/>
      <c r="S6" s="371"/>
    </row>
    <row r="7" spans="7:19" ht="20.100000000000001" customHeight="1">
      <c r="G7" s="364"/>
      <c r="K7" s="365"/>
      <c r="Q7" s="369"/>
      <c r="R7" s="370"/>
      <c r="S7" s="371"/>
    </row>
    <row r="8" spans="7:19" ht="20.100000000000001" customHeight="1">
      <c r="G8" s="364"/>
      <c r="K8" s="365"/>
      <c r="Q8" s="364"/>
      <c r="S8" s="377"/>
    </row>
    <row r="9" spans="7:19" ht="20.100000000000001" customHeight="1">
      <c r="G9" s="364"/>
      <c r="K9" s="365"/>
      <c r="Q9" s="364"/>
      <c r="S9" s="377"/>
    </row>
    <row r="10" spans="7:19" ht="20.100000000000001" customHeight="1">
      <c r="G10" s="364"/>
      <c r="K10" s="365"/>
      <c r="Q10" s="364"/>
      <c r="S10" s="377"/>
    </row>
    <row r="11" spans="7:19" ht="20.100000000000001" customHeight="1">
      <c r="G11" s="364"/>
      <c r="K11" s="365"/>
      <c r="Q11" s="364"/>
      <c r="S11" s="377"/>
    </row>
    <row r="12" spans="7:19" ht="20.100000000000001" customHeight="1">
      <c r="G12" s="364"/>
      <c r="K12" s="365"/>
      <c r="Q12" s="364"/>
      <c r="S12" s="377"/>
    </row>
    <row r="13" spans="7:19" ht="20.100000000000001" customHeight="1">
      <c r="G13" s="364"/>
      <c r="K13" s="365"/>
      <c r="Q13" s="364"/>
      <c r="S13" s="377"/>
    </row>
    <row r="14" spans="7:19" ht="20.100000000000001" customHeight="1">
      <c r="G14" s="364"/>
      <c r="K14" s="365"/>
      <c r="Q14" s="364"/>
      <c r="S14" s="377"/>
    </row>
    <row r="15" spans="7:19" ht="20.100000000000001" customHeight="1">
      <c r="G15" s="364"/>
      <c r="K15" s="365"/>
      <c r="Q15" s="364"/>
      <c r="S15" s="377"/>
    </row>
    <row r="16" spans="7:19" ht="20.100000000000001" customHeight="1">
      <c r="G16" s="364"/>
      <c r="K16" s="365"/>
      <c r="Q16" s="364"/>
      <c r="S16" s="377"/>
    </row>
    <row r="17" spans="6:19" ht="20.100000000000001" customHeight="1">
      <c r="G17" s="364"/>
      <c r="K17" s="365"/>
      <c r="Q17" s="364"/>
      <c r="S17" s="377"/>
    </row>
    <row r="18" spans="6:19" ht="20.100000000000001" customHeight="1">
      <c r="G18" s="364"/>
      <c r="K18" s="365"/>
      <c r="Q18" s="364"/>
      <c r="S18" s="377"/>
    </row>
    <row r="19" spans="6:19" ht="20.100000000000001" customHeight="1" thickBot="1">
      <c r="G19" s="378"/>
      <c r="H19" s="379"/>
      <c r="I19" s="380"/>
      <c r="J19" s="379"/>
      <c r="K19" s="381"/>
      <c r="Q19" s="378"/>
      <c r="R19" s="379"/>
      <c r="S19" s="382"/>
    </row>
    <row r="22" spans="6:19" ht="20.100000000000001" customHeight="1">
      <c r="M22" s="353"/>
      <c r="N22" s="353"/>
      <c r="O22" s="353"/>
      <c r="P22" s="353"/>
      <c r="Q22" s="353"/>
      <c r="R22" s="353"/>
      <c r="S22" s="353"/>
    </row>
    <row r="23" spans="6:19" ht="20.100000000000001" customHeight="1">
      <c r="M23" s="383">
        <v>133.95966914143432</v>
      </c>
      <c r="N23" s="372">
        <v>133.92821031130663</v>
      </c>
      <c r="O23" s="383">
        <v>133.93943451037802</v>
      </c>
      <c r="P23" s="372">
        <v>124.10752425577586</v>
      </c>
      <c r="Q23" s="383">
        <v>155.45958109179159</v>
      </c>
      <c r="R23" s="353"/>
      <c r="S23" s="353"/>
    </row>
    <row r="24" spans="6:19" ht="20.100000000000001" customHeight="1">
      <c r="M24" s="384">
        <v>130</v>
      </c>
      <c r="N24" s="385">
        <v>130</v>
      </c>
      <c r="O24" s="384">
        <v>130</v>
      </c>
      <c r="P24" s="385">
        <v>120</v>
      </c>
      <c r="Q24" s="384">
        <v>150</v>
      </c>
      <c r="R24" s="353"/>
      <c r="S24" s="353"/>
    </row>
    <row r="25" spans="6:19" ht="20.100000000000001" customHeight="1" thickBot="1">
      <c r="M25" s="353"/>
      <c r="N25" s="353"/>
      <c r="O25" s="353"/>
      <c r="P25" s="353"/>
      <c r="Q25" s="353"/>
      <c r="R25" s="353"/>
      <c r="S25" s="353"/>
    </row>
    <row r="26" spans="6:19" ht="28.5" customHeight="1" thickBot="1">
      <c r="G26" s="386" t="s">
        <v>256</v>
      </c>
      <c r="H26" s="387"/>
      <c r="I26" s="388"/>
    </row>
    <row r="27" spans="6:19" ht="19.5" customHeight="1">
      <c r="F27" s="477" t="s">
        <v>240</v>
      </c>
      <c r="G27" s="473">
        <v>149</v>
      </c>
      <c r="H27" s="389">
        <v>44.94</v>
      </c>
      <c r="I27" s="475">
        <v>133.95966914143432</v>
      </c>
    </row>
    <row r="28" spans="6:19" ht="21.95" customHeight="1" thickBot="1">
      <c r="F28" s="478"/>
      <c r="G28" s="474"/>
      <c r="H28" s="390">
        <v>21.13</v>
      </c>
      <c r="I28" s="476"/>
      <c r="K28" s="37"/>
    </row>
    <row r="29" spans="6:19" ht="21.95" customHeight="1">
      <c r="F29" s="477" t="s">
        <v>241</v>
      </c>
      <c r="G29" s="473">
        <v>149</v>
      </c>
      <c r="H29" s="389">
        <v>41.65</v>
      </c>
      <c r="I29" s="475">
        <v>133.92821031130663</v>
      </c>
    </row>
    <row r="30" spans="6:19" ht="21.95" customHeight="1" thickBot="1">
      <c r="F30" s="478"/>
      <c r="G30" s="474"/>
      <c r="H30" s="390">
        <v>19.59</v>
      </c>
      <c r="I30" s="476"/>
    </row>
    <row r="31" spans="6:19" ht="21.95" customHeight="1">
      <c r="F31" s="477" t="s">
        <v>242</v>
      </c>
      <c r="G31" s="473">
        <v>149</v>
      </c>
      <c r="H31" s="389">
        <v>43.25</v>
      </c>
      <c r="I31" s="475">
        <v>133.93943451037802</v>
      </c>
    </row>
    <row r="32" spans="6:19" ht="21.95" customHeight="1" thickBot="1">
      <c r="F32" s="478"/>
      <c r="G32" s="474"/>
      <c r="H32" s="390">
        <v>20.34</v>
      </c>
      <c r="I32" s="476"/>
    </row>
    <row r="33" spans="6:9" ht="21.95" customHeight="1">
      <c r="F33" s="477"/>
      <c r="G33" s="473"/>
      <c r="H33" s="389"/>
      <c r="I33" s="475"/>
    </row>
    <row r="34" spans="6:9" ht="21.95" customHeight="1" thickBot="1">
      <c r="F34" s="478"/>
      <c r="G34" s="474"/>
      <c r="H34" s="390"/>
      <c r="I34" s="476"/>
    </row>
    <row r="35" spans="6:9" ht="20.100000000000001" customHeight="1">
      <c r="F35" s="477"/>
      <c r="G35" s="473"/>
      <c r="H35" s="389"/>
      <c r="I35" s="475"/>
    </row>
    <row r="36" spans="6:9" ht="20.100000000000001" customHeight="1" thickBot="1">
      <c r="F36" s="478"/>
      <c r="G36" s="474"/>
      <c r="H36" s="390"/>
      <c r="I36" s="476"/>
    </row>
    <row r="37" spans="6:9" ht="20.100000000000001" customHeight="1">
      <c r="F37" s="477"/>
      <c r="G37" s="473"/>
      <c r="H37" s="389"/>
      <c r="I37" s="475"/>
    </row>
    <row r="38" spans="6:9" ht="20.100000000000001" customHeight="1" thickBot="1">
      <c r="F38" s="478"/>
      <c r="G38" s="474"/>
      <c r="H38" s="390"/>
      <c r="I38" s="476"/>
    </row>
    <row r="39" spans="6:9" ht="20.100000000000001" customHeight="1">
      <c r="F39" s="477"/>
      <c r="G39" s="473"/>
      <c r="H39" s="389"/>
      <c r="I39" s="475"/>
    </row>
    <row r="40" spans="6:9" ht="20.100000000000001" customHeight="1" thickBot="1">
      <c r="F40" s="478"/>
      <c r="G40" s="474"/>
      <c r="H40" s="390"/>
      <c r="I40" s="476"/>
    </row>
    <row r="41" spans="6:9" ht="20.100000000000001" customHeight="1">
      <c r="F41" s="477"/>
      <c r="G41" s="473"/>
      <c r="H41" s="389"/>
      <c r="I41" s="475"/>
    </row>
    <row r="42" spans="6:9" ht="20.100000000000001" customHeight="1" thickBot="1">
      <c r="F42" s="478"/>
      <c r="G42" s="474"/>
      <c r="H42" s="390"/>
      <c r="I42" s="476"/>
    </row>
    <row r="43" spans="6:9" ht="20.100000000000001" customHeight="1">
      <c r="F43" s="477"/>
      <c r="G43" s="473"/>
      <c r="H43" s="389"/>
      <c r="I43" s="475"/>
    </row>
    <row r="44" spans="6:9" ht="20.100000000000001" customHeight="1" thickBot="1">
      <c r="F44" s="478"/>
      <c r="G44" s="474"/>
      <c r="H44" s="390"/>
      <c r="I44" s="476"/>
    </row>
    <row r="45" spans="6:9" ht="20.100000000000001" customHeight="1">
      <c r="F45" s="477"/>
      <c r="G45" s="473"/>
      <c r="H45" s="389"/>
      <c r="I45" s="475"/>
    </row>
    <row r="46" spans="6:9" ht="20.100000000000001" customHeight="1" thickBot="1">
      <c r="F46" s="478"/>
      <c r="G46" s="474"/>
      <c r="H46" s="390"/>
      <c r="I46" s="476"/>
    </row>
    <row r="47" spans="6:9" ht="20.100000000000001" customHeight="1">
      <c r="F47" s="477"/>
      <c r="G47" s="473"/>
      <c r="H47" s="389"/>
      <c r="I47" s="475"/>
    </row>
    <row r="48" spans="6:9" ht="20.100000000000001" customHeight="1" thickBot="1">
      <c r="F48" s="478"/>
      <c r="G48" s="474"/>
      <c r="H48" s="390"/>
      <c r="I48" s="476"/>
    </row>
    <row r="49" spans="6:9" ht="20.100000000000001" customHeight="1">
      <c r="F49" s="477"/>
      <c r="G49" s="473"/>
      <c r="H49" s="389"/>
      <c r="I49" s="475"/>
    </row>
    <row r="50" spans="6:9" ht="20.100000000000001" customHeight="1" thickBot="1">
      <c r="F50" s="478"/>
      <c r="G50" s="474"/>
      <c r="H50" s="390"/>
      <c r="I50" s="476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200025</xdr:rowOff>
              </from>
              <to>
                <xdr:col>5</xdr:col>
                <xdr:colOff>28575</xdr:colOff>
                <xdr:row>4</xdr:row>
                <xdr:rowOff>95250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123825</xdr:rowOff>
              </to>
            </anchor>
          </controlPr>
        </control>
      </mc:Choice>
      <mc:Fallback>
        <control shapeId="178177" r:id="rId6" name="CommandButton1"/>
      </mc:Fallback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12"/>
  <dimension ref="C1:U67"/>
  <sheetViews>
    <sheetView workbookViewId="0">
      <selection activeCell="C9" sqref="C9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9.109375" style="43" customWidth="1"/>
    <col min="18" max="16384" width="8.88671875" style="43"/>
  </cols>
  <sheetData>
    <row r="1" spans="4:21" ht="20.100000000000001" customHeight="1" thickBot="1">
      <c r="D1" s="53" t="s">
        <v>250</v>
      </c>
      <c r="L1" s="391" t="s">
        <v>251</v>
      </c>
      <c r="S1" s="391" t="s">
        <v>252</v>
      </c>
    </row>
    <row r="2" spans="4:21" ht="36.75" customHeight="1">
      <c r="D2" s="392" t="s">
        <v>226</v>
      </c>
      <c r="E2" s="393" t="s">
        <v>223</v>
      </c>
      <c r="F2" s="393" t="s">
        <v>230</v>
      </c>
      <c r="G2" s="393" t="s">
        <v>231</v>
      </c>
      <c r="H2" s="393" t="s">
        <v>168</v>
      </c>
      <c r="I2" s="393" t="s">
        <v>232</v>
      </c>
      <c r="J2" s="394" t="s">
        <v>233</v>
      </c>
      <c r="L2" s="395" t="s">
        <v>223</v>
      </c>
      <c r="M2" s="393" t="s">
        <v>227</v>
      </c>
      <c r="N2" s="393" t="s">
        <v>228</v>
      </c>
      <c r="O2" s="393" t="s">
        <v>229</v>
      </c>
      <c r="P2" s="393" t="s">
        <v>254</v>
      </c>
      <c r="Q2" s="394" t="s">
        <v>255</v>
      </c>
      <c r="S2" s="395" t="s">
        <v>231</v>
      </c>
      <c r="T2" s="393" t="s">
        <v>234</v>
      </c>
      <c r="U2" s="394" t="s">
        <v>235</v>
      </c>
    </row>
    <row r="3" spans="4:21" ht="20.100000000000001" customHeight="1">
      <c r="D3" s="396" t="s">
        <v>240</v>
      </c>
      <c r="E3" s="37">
        <v>130</v>
      </c>
      <c r="F3" s="37">
        <v>14.3</v>
      </c>
      <c r="G3" s="37">
        <v>64.8</v>
      </c>
      <c r="H3" s="37">
        <v>50.5</v>
      </c>
      <c r="I3" s="37">
        <v>0.1</v>
      </c>
      <c r="J3" s="397">
        <v>3.9890328339016063</v>
      </c>
      <c r="K3" s="37"/>
      <c r="L3" s="364">
        <v>130</v>
      </c>
      <c r="M3" s="37">
        <v>0.1</v>
      </c>
      <c r="N3" s="37">
        <v>0.1</v>
      </c>
      <c r="O3" s="37">
        <v>485.7</v>
      </c>
      <c r="P3" s="37">
        <v>1.732</v>
      </c>
      <c r="Q3" s="377">
        <v>8.8969999999999994E-2</v>
      </c>
      <c r="S3" s="398">
        <v>64.8</v>
      </c>
      <c r="T3" s="399">
        <v>16.491080206622705</v>
      </c>
      <c r="U3" s="397">
        <v>48.308919793377292</v>
      </c>
    </row>
    <row r="4" spans="4:21" ht="20.100000000000001" customHeight="1">
      <c r="D4" s="396" t="s">
        <v>241</v>
      </c>
      <c r="E4" s="37">
        <v>130</v>
      </c>
      <c r="F4" s="37">
        <v>14.9</v>
      </c>
      <c r="G4" s="37">
        <v>61.7</v>
      </c>
      <c r="H4" s="37">
        <v>46.800000000000004</v>
      </c>
      <c r="I4" s="37">
        <v>0.1</v>
      </c>
      <c r="J4" s="397">
        <v>3.7991159487113451</v>
      </c>
      <c r="K4" s="37"/>
      <c r="L4" s="364">
        <v>130</v>
      </c>
      <c r="M4" s="37">
        <v>0.1</v>
      </c>
      <c r="N4" s="37">
        <v>0.1</v>
      </c>
      <c r="O4" s="37">
        <v>235.1</v>
      </c>
      <c r="P4" s="37">
        <v>1.877</v>
      </c>
      <c r="Q4" s="377">
        <v>9.2749999999999999E-2</v>
      </c>
      <c r="S4" s="398">
        <v>61.7</v>
      </c>
      <c r="T4" s="399">
        <v>17.057988721779331</v>
      </c>
      <c r="U4" s="397">
        <v>44.642011278220671</v>
      </c>
    </row>
    <row r="5" spans="4:21" ht="20.100000000000001" customHeight="1">
      <c r="D5" s="396" t="s">
        <v>242</v>
      </c>
      <c r="E5" s="37">
        <v>130</v>
      </c>
      <c r="F5" s="37">
        <v>13.8</v>
      </c>
      <c r="G5" s="37">
        <v>62.4</v>
      </c>
      <c r="H5" s="37">
        <v>48.599999999999994</v>
      </c>
      <c r="I5" s="37">
        <v>0.1</v>
      </c>
      <c r="J5" s="397">
        <v>3.8914763181450334</v>
      </c>
      <c r="K5" s="37"/>
      <c r="L5" s="364">
        <v>130</v>
      </c>
      <c r="M5" s="37">
        <v>0.1</v>
      </c>
      <c r="N5" s="37">
        <v>0.1</v>
      </c>
      <c r="O5" s="37">
        <v>236.2</v>
      </c>
      <c r="P5" s="37">
        <v>1.8029999999999999</v>
      </c>
      <c r="Q5" s="377">
        <v>9.0880000000000002E-2</v>
      </c>
      <c r="S5" s="398">
        <v>62.4</v>
      </c>
      <c r="T5" s="399">
        <v>15.974338991033088</v>
      </c>
      <c r="U5" s="397">
        <v>46.425661008966912</v>
      </c>
    </row>
    <row r="6" spans="4:21" ht="20.100000000000001" customHeight="1">
      <c r="D6" s="396"/>
      <c r="E6" s="37"/>
      <c r="F6" s="37"/>
      <c r="G6" s="37"/>
      <c r="H6" s="37"/>
      <c r="I6" s="37"/>
      <c r="J6" s="397"/>
      <c r="K6" s="37"/>
      <c r="L6" s="364"/>
      <c r="M6" s="37"/>
      <c r="N6" s="37"/>
      <c r="O6" s="37"/>
      <c r="P6" s="37"/>
      <c r="Q6" s="377"/>
      <c r="S6" s="398"/>
      <c r="T6" s="399"/>
      <c r="U6" s="397"/>
    </row>
    <row r="7" spans="4:21" ht="20.100000000000001" customHeight="1">
      <c r="D7" s="396"/>
      <c r="E7" s="37"/>
      <c r="F7" s="37"/>
      <c r="G7" s="37"/>
      <c r="H7" s="37"/>
      <c r="I7" s="37"/>
      <c r="J7" s="397"/>
      <c r="K7" s="37"/>
      <c r="L7" s="364"/>
      <c r="M7" s="37"/>
      <c r="N7" s="37"/>
      <c r="O7" s="37"/>
      <c r="P7" s="37"/>
      <c r="Q7" s="377"/>
      <c r="S7" s="398"/>
      <c r="T7" s="399"/>
      <c r="U7" s="397"/>
    </row>
    <row r="8" spans="4:21" ht="20.100000000000001" customHeight="1">
      <c r="D8" s="396"/>
      <c r="E8" s="37"/>
      <c r="F8" s="37"/>
      <c r="G8" s="37"/>
      <c r="H8" s="37"/>
      <c r="I8" s="37"/>
      <c r="J8" s="397"/>
      <c r="K8" s="37"/>
      <c r="L8" s="364"/>
      <c r="M8" s="37"/>
      <c r="N8" s="37"/>
      <c r="O8" s="37"/>
      <c r="P8" s="37"/>
      <c r="Q8" s="377"/>
      <c r="S8" s="364"/>
      <c r="T8" s="399"/>
      <c r="U8" s="397"/>
    </row>
    <row r="9" spans="4:21" ht="20.100000000000001" customHeight="1">
      <c r="D9" s="396"/>
      <c r="E9" s="37"/>
      <c r="F9" s="37"/>
      <c r="G9" s="37"/>
      <c r="H9" s="37"/>
      <c r="I9" s="37"/>
      <c r="J9" s="397"/>
      <c r="K9" s="37"/>
      <c r="L9" s="364"/>
      <c r="M9" s="37"/>
      <c r="N9" s="37"/>
      <c r="O9" s="37"/>
      <c r="P9" s="37"/>
      <c r="Q9" s="377"/>
      <c r="S9" s="364"/>
      <c r="T9" s="399"/>
      <c r="U9" s="397"/>
    </row>
    <row r="10" spans="4:21" ht="20.100000000000001" customHeight="1">
      <c r="D10" s="396"/>
      <c r="E10" s="37"/>
      <c r="F10" s="37"/>
      <c r="G10" s="37"/>
      <c r="H10" s="37"/>
      <c r="I10" s="37"/>
      <c r="J10" s="397"/>
      <c r="K10" s="37"/>
      <c r="L10" s="364"/>
      <c r="M10" s="37"/>
      <c r="N10" s="37"/>
      <c r="O10" s="37"/>
      <c r="P10" s="37"/>
      <c r="Q10" s="377"/>
      <c r="S10" s="364"/>
      <c r="T10" s="399"/>
      <c r="U10" s="397"/>
    </row>
    <row r="11" spans="4:21" ht="20.100000000000001" customHeight="1">
      <c r="D11" s="396"/>
      <c r="E11" s="37"/>
      <c r="F11" s="37"/>
      <c r="G11" s="37"/>
      <c r="H11" s="37"/>
      <c r="I11" s="37"/>
      <c r="J11" s="397"/>
      <c r="K11" s="37"/>
      <c r="L11" s="364"/>
      <c r="M11" s="37"/>
      <c r="N11" s="37"/>
      <c r="O11" s="37"/>
      <c r="P11" s="37"/>
      <c r="Q11" s="377"/>
      <c r="S11" s="364"/>
      <c r="T11" s="399"/>
      <c r="U11" s="397"/>
    </row>
    <row r="12" spans="4:21" ht="20.100000000000001" customHeight="1">
      <c r="D12" s="396"/>
      <c r="E12" s="37"/>
      <c r="F12" s="37"/>
      <c r="G12" s="37"/>
      <c r="H12" s="37"/>
      <c r="I12" s="37"/>
      <c r="J12" s="397"/>
      <c r="K12" s="37"/>
      <c r="L12" s="364"/>
      <c r="M12" s="37"/>
      <c r="N12" s="37"/>
      <c r="O12" s="37"/>
      <c r="P12" s="37"/>
      <c r="Q12" s="377"/>
      <c r="S12" s="364"/>
      <c r="T12" s="399"/>
      <c r="U12" s="397"/>
    </row>
    <row r="13" spans="4:21" ht="20.100000000000001" customHeight="1">
      <c r="D13" s="396"/>
      <c r="E13" s="37"/>
      <c r="F13" s="37"/>
      <c r="G13" s="37"/>
      <c r="H13" s="37"/>
      <c r="I13" s="37"/>
      <c r="J13" s="397"/>
      <c r="K13" s="37"/>
      <c r="L13" s="364"/>
      <c r="M13" s="37"/>
      <c r="N13" s="37"/>
      <c r="O13" s="37"/>
      <c r="P13" s="37"/>
      <c r="Q13" s="377"/>
      <c r="S13" s="364"/>
      <c r="T13" s="399"/>
      <c r="U13" s="397"/>
    </row>
    <row r="14" spans="4:21" ht="20.100000000000001" customHeight="1">
      <c r="D14" s="396"/>
      <c r="E14" s="37"/>
      <c r="F14" s="37"/>
      <c r="G14" s="37"/>
      <c r="H14" s="37"/>
      <c r="I14" s="37"/>
      <c r="J14" s="397"/>
      <c r="K14" s="37"/>
      <c r="L14" s="364"/>
      <c r="M14" s="37"/>
      <c r="N14" s="37"/>
      <c r="O14" s="37"/>
      <c r="P14" s="37"/>
      <c r="Q14" s="377"/>
      <c r="S14" s="364"/>
      <c r="T14" s="399"/>
      <c r="U14" s="397"/>
    </row>
    <row r="15" spans="4:21" ht="20.100000000000001" customHeight="1">
      <c r="D15" s="396"/>
      <c r="E15" s="37"/>
      <c r="F15" s="37"/>
      <c r="G15" s="37"/>
      <c r="H15" s="37"/>
      <c r="I15" s="37"/>
      <c r="J15" s="397"/>
      <c r="K15" s="37"/>
      <c r="L15" s="364"/>
      <c r="M15" s="37"/>
      <c r="N15" s="37"/>
      <c r="O15" s="37"/>
      <c r="P15" s="37"/>
      <c r="Q15" s="377"/>
      <c r="S15" s="364"/>
      <c r="T15" s="399"/>
      <c r="U15" s="397"/>
    </row>
    <row r="16" spans="4:21" ht="20.100000000000001" customHeight="1" thickBot="1">
      <c r="D16" s="390"/>
      <c r="E16" s="379"/>
      <c r="F16" s="379"/>
      <c r="G16" s="379"/>
      <c r="H16" s="379"/>
      <c r="I16" s="379"/>
      <c r="J16" s="400"/>
      <c r="K16" s="37"/>
      <c r="L16" s="378"/>
      <c r="M16" s="379"/>
      <c r="N16" s="379"/>
      <c r="O16" s="379"/>
      <c r="P16" s="379"/>
      <c r="Q16" s="382"/>
      <c r="S16" s="378"/>
      <c r="T16" s="401"/>
      <c r="U16" s="400"/>
    </row>
    <row r="17" spans="3:21" ht="20.100000000000001" customHeight="1">
      <c r="D17" s="37"/>
      <c r="E17" s="37"/>
      <c r="F17" s="37"/>
      <c r="G17" s="37"/>
      <c r="H17" s="37"/>
      <c r="I17" s="37"/>
      <c r="J17" s="399"/>
      <c r="K17" s="37"/>
      <c r="L17" s="37"/>
      <c r="M17" s="37"/>
      <c r="N17" s="37"/>
      <c r="O17" s="37"/>
      <c r="P17" s="37"/>
      <c r="Q17" s="37"/>
      <c r="S17" s="37"/>
      <c r="T17" s="399"/>
      <c r="U17" s="399"/>
    </row>
    <row r="18" spans="3:21" ht="20.100000000000001" customHeight="1">
      <c r="D18" s="37"/>
      <c r="E18" s="37"/>
      <c r="F18" s="37"/>
      <c r="G18" s="37"/>
      <c r="H18" s="37"/>
      <c r="I18" s="37"/>
      <c r="J18" s="399"/>
      <c r="K18" s="37"/>
      <c r="L18" s="37"/>
      <c r="M18" s="37"/>
      <c r="N18" s="37"/>
      <c r="O18" s="37"/>
      <c r="P18" s="37"/>
      <c r="Q18" s="37"/>
      <c r="S18" s="37"/>
      <c r="T18" s="399"/>
      <c r="U18" s="399"/>
    </row>
    <row r="19" spans="3:21" ht="20.100000000000001" customHeight="1">
      <c r="H19" s="402"/>
      <c r="J19" s="403"/>
      <c r="K19" s="403"/>
      <c r="L19" s="403"/>
      <c r="M19" s="403"/>
      <c r="N19" s="403"/>
      <c r="O19" s="403"/>
      <c r="P19" s="403"/>
      <c r="S19" s="37"/>
      <c r="T19" s="399"/>
      <c r="U19" s="399"/>
    </row>
    <row r="20" spans="3:21" s="404" customFormat="1" ht="26.25" customHeight="1" thickBot="1">
      <c r="D20" s="391" t="s">
        <v>268</v>
      </c>
      <c r="F20" s="391"/>
      <c r="H20" s="405"/>
      <c r="T20" s="406"/>
      <c r="U20" s="406"/>
    </row>
    <row r="21" spans="3:21" s="52" customFormat="1" ht="36" customHeight="1" thickBot="1">
      <c r="D21" s="407" t="s">
        <v>226</v>
      </c>
      <c r="E21" s="420" t="s">
        <v>240</v>
      </c>
      <c r="F21" s="421" t="s">
        <v>241</v>
      </c>
      <c r="G21" s="420" t="s">
        <v>242</v>
      </c>
      <c r="H21" s="422"/>
      <c r="I21" s="420"/>
      <c r="J21" s="420"/>
      <c r="K21" s="420"/>
      <c r="L21" s="420"/>
      <c r="M21" s="420"/>
      <c r="N21" s="420"/>
      <c r="O21" s="420"/>
      <c r="P21" s="423"/>
      <c r="Q21" s="53"/>
      <c r="S21" s="53"/>
      <c r="T21" s="424"/>
      <c r="U21" s="424"/>
    </row>
    <row r="22" spans="3:21" s="37" customFormat="1" ht="23.1" customHeight="1">
      <c r="D22" s="408" t="s">
        <v>272</v>
      </c>
      <c r="E22" s="37">
        <v>1.5549999999999999</v>
      </c>
      <c r="F22" s="37">
        <v>1.6819999999999999</v>
      </c>
      <c r="G22" s="37">
        <v>1.534</v>
      </c>
      <c r="J22" s="43"/>
      <c r="K22" s="43"/>
      <c r="L22" s="43"/>
      <c r="M22" s="43"/>
      <c r="N22" s="43"/>
      <c r="O22" s="43"/>
      <c r="P22" s="409"/>
      <c r="T22" s="399"/>
      <c r="U22" s="399"/>
    </row>
    <row r="23" spans="3:21" s="37" customFormat="1" ht="23.1" customHeight="1">
      <c r="D23" s="408" t="s">
        <v>248</v>
      </c>
      <c r="E23" s="37">
        <v>3.3800000000000002E-3</v>
      </c>
      <c r="F23" s="37">
        <v>7.5599999999999999E-3</v>
      </c>
      <c r="G23" s="37">
        <v>7.0600000000000003E-3</v>
      </c>
      <c r="J23" s="43"/>
      <c r="K23" s="43"/>
      <c r="L23" s="43"/>
      <c r="M23" s="43"/>
      <c r="N23" s="43"/>
      <c r="O23" s="43"/>
      <c r="P23" s="409"/>
      <c r="T23" s="399"/>
      <c r="U23" s="399"/>
    </row>
    <row r="24" spans="3:21" s="37" customFormat="1" ht="23.1" customHeight="1">
      <c r="D24" s="408" t="s">
        <v>249</v>
      </c>
      <c r="E24" s="37">
        <v>3.2289999999999999E-4</v>
      </c>
      <c r="F24" s="37">
        <v>3.1720000000000001E-4</v>
      </c>
      <c r="G24" s="37">
        <v>3.2009999999999997E-4</v>
      </c>
      <c r="J24" s="43"/>
      <c r="K24" s="43"/>
      <c r="L24" s="43"/>
      <c r="M24" s="43"/>
      <c r="N24" s="43"/>
      <c r="O24" s="43"/>
      <c r="P24" s="409"/>
      <c r="T24" s="399"/>
      <c r="U24" s="399"/>
    </row>
    <row r="25" spans="3:21" s="37" customFormat="1" ht="23.1" customHeight="1">
      <c r="D25" s="408" t="s">
        <v>271</v>
      </c>
      <c r="E25" s="37">
        <v>0.58330000000000004</v>
      </c>
      <c r="F25" s="37">
        <v>0.58330000000000004</v>
      </c>
      <c r="G25" s="37">
        <v>0.58330000000000004</v>
      </c>
      <c r="J25" s="43"/>
      <c r="K25" s="43"/>
      <c r="L25" s="43"/>
      <c r="M25" s="43"/>
      <c r="N25" s="43"/>
      <c r="O25" s="43"/>
      <c r="P25" s="409"/>
      <c r="T25" s="399"/>
      <c r="U25" s="399"/>
    </row>
    <row r="26" spans="3:21" s="37" customFormat="1" ht="23.1" customHeight="1">
      <c r="D26" s="408" t="s">
        <v>270</v>
      </c>
      <c r="E26" s="37">
        <v>50.5</v>
      </c>
      <c r="F26" s="37">
        <v>46.800000000000004</v>
      </c>
      <c r="G26" s="37">
        <v>48.599999999999994</v>
      </c>
      <c r="J26" s="43"/>
      <c r="K26" s="43"/>
      <c r="L26" s="43"/>
      <c r="M26" s="43"/>
      <c r="N26" s="43"/>
      <c r="O26" s="43"/>
      <c r="P26" s="409"/>
      <c r="T26" s="399"/>
      <c r="U26" s="399"/>
    </row>
    <row r="27" spans="3:21" s="37" customFormat="1" ht="23.1" customHeight="1" thickBot="1">
      <c r="D27" s="410" t="s">
        <v>269</v>
      </c>
      <c r="E27" s="379">
        <v>485.7</v>
      </c>
      <c r="F27" s="379">
        <v>235.1</v>
      </c>
      <c r="G27" s="379">
        <v>236.2</v>
      </c>
      <c r="H27" s="379"/>
      <c r="I27" s="379"/>
      <c r="J27" s="411"/>
      <c r="K27" s="411"/>
      <c r="L27" s="411"/>
      <c r="M27" s="411"/>
      <c r="N27" s="411"/>
      <c r="O27" s="411"/>
      <c r="P27" s="412"/>
      <c r="T27" s="399"/>
      <c r="U27" s="399"/>
    </row>
    <row r="28" spans="3:21" ht="20.100000000000001" customHeight="1">
      <c r="D28" s="44"/>
      <c r="E28" s="44"/>
      <c r="F28" s="403"/>
      <c r="G28" s="44"/>
      <c r="H28" s="402"/>
      <c r="T28" s="413"/>
      <c r="U28" s="413"/>
    </row>
    <row r="29" spans="3:21" ht="20.100000000000001" customHeight="1">
      <c r="D29" s="37"/>
      <c r="E29" s="37"/>
      <c r="F29" s="37"/>
      <c r="G29" s="37"/>
      <c r="H29" s="37"/>
      <c r="I29" s="37"/>
      <c r="J29" s="399"/>
      <c r="K29" s="37"/>
      <c r="L29" s="37"/>
      <c r="M29" s="37"/>
      <c r="N29" s="37"/>
      <c r="O29" s="37"/>
      <c r="P29" s="37"/>
      <c r="Q29" s="37"/>
      <c r="T29" s="413"/>
      <c r="U29" s="413"/>
    </row>
    <row r="30" spans="3:21" ht="32.25" customHeight="1" thickBot="1">
      <c r="D30" s="37"/>
      <c r="E30" s="37"/>
      <c r="F30" s="37"/>
      <c r="G30" s="37"/>
      <c r="H30" s="37"/>
      <c r="I30" s="391"/>
      <c r="J30" s="399"/>
      <c r="K30" s="37"/>
      <c r="L30" s="37"/>
      <c r="M30" s="37"/>
      <c r="N30" s="37"/>
      <c r="O30" s="37"/>
      <c r="P30" s="37"/>
      <c r="Q30" s="37"/>
    </row>
    <row r="31" spans="3:21" s="37" customFormat="1" ht="39.75" customHeight="1" thickBot="1">
      <c r="C31" s="414" t="s">
        <v>226</v>
      </c>
      <c r="D31" s="415" t="s">
        <v>253</v>
      </c>
      <c r="E31" s="415"/>
      <c r="F31" s="416"/>
      <c r="H31" s="415" t="s">
        <v>279</v>
      </c>
      <c r="I31" s="415" t="s">
        <v>280</v>
      </c>
      <c r="J31" s="417" t="s">
        <v>281</v>
      </c>
      <c r="K31" s="415" t="s">
        <v>282</v>
      </c>
      <c r="L31" s="415" t="s">
        <v>283</v>
      </c>
      <c r="M31" s="416" t="s">
        <v>284</v>
      </c>
    </row>
    <row r="32" spans="3:21" ht="20.100000000000001" customHeight="1">
      <c r="C32" s="477" t="s">
        <v>240</v>
      </c>
      <c r="D32" s="389" t="s">
        <v>293</v>
      </c>
      <c r="E32" s="389">
        <v>1.732</v>
      </c>
      <c r="F32" s="418">
        <v>3.2289999999999999E-4</v>
      </c>
      <c r="G32" s="37"/>
      <c r="H32" s="396" t="s">
        <v>240</v>
      </c>
      <c r="I32" s="396">
        <v>43</v>
      </c>
      <c r="J32" s="419">
        <v>52.7</v>
      </c>
      <c r="K32" s="396">
        <v>81.7</v>
      </c>
      <c r="L32" s="396">
        <v>59.1</v>
      </c>
      <c r="M32" s="377">
        <v>81.7</v>
      </c>
      <c r="N32" s="37"/>
      <c r="O32" s="37"/>
      <c r="P32" s="37"/>
      <c r="Q32" s="37"/>
    </row>
    <row r="33" spans="3:17" ht="20.100000000000001" customHeight="1">
      <c r="C33" s="479"/>
      <c r="D33" s="396" t="s">
        <v>294</v>
      </c>
      <c r="E33" s="396">
        <v>1.5549999999999999</v>
      </c>
      <c r="F33" s="377"/>
      <c r="G33" s="37"/>
      <c r="H33" s="396" t="s">
        <v>241</v>
      </c>
      <c r="I33" s="396">
        <v>62.5</v>
      </c>
      <c r="J33" s="419">
        <v>76.5</v>
      </c>
      <c r="K33" s="396">
        <v>85.8</v>
      </c>
      <c r="L33" s="396">
        <v>74.900000000000006</v>
      </c>
      <c r="M33" s="377">
        <v>85.8</v>
      </c>
      <c r="N33" s="37"/>
      <c r="O33" s="37"/>
      <c r="P33" s="37"/>
      <c r="Q33" s="37"/>
    </row>
    <row r="34" spans="3:17" ht="20.100000000000001" customHeight="1" thickBot="1">
      <c r="C34" s="478"/>
      <c r="D34" s="390" t="s">
        <v>295</v>
      </c>
      <c r="E34" s="390">
        <v>1.6435</v>
      </c>
      <c r="F34" s="382">
        <v>3.2289999999999999E-4</v>
      </c>
      <c r="G34" s="37"/>
      <c r="H34" s="396" t="s">
        <v>242</v>
      </c>
      <c r="I34" s="396">
        <v>61.2</v>
      </c>
      <c r="J34" s="419">
        <v>75</v>
      </c>
      <c r="K34" s="396">
        <v>82.7</v>
      </c>
      <c r="L34" s="396">
        <v>73</v>
      </c>
      <c r="M34" s="377">
        <v>82.7</v>
      </c>
      <c r="N34" s="37"/>
      <c r="O34" s="37"/>
      <c r="P34" s="37"/>
      <c r="Q34" s="37"/>
    </row>
    <row r="35" spans="3:17" ht="20.100000000000001" customHeight="1">
      <c r="C35" s="477" t="s">
        <v>241</v>
      </c>
      <c r="D35" s="389" t="s">
        <v>293</v>
      </c>
      <c r="E35" s="389">
        <v>1.877</v>
      </c>
      <c r="F35" s="418">
        <v>3.1720000000000001E-4</v>
      </c>
      <c r="G35" s="37"/>
      <c r="H35" s="396"/>
      <c r="I35" s="396"/>
      <c r="J35" s="419"/>
      <c r="K35" s="396"/>
      <c r="L35" s="396"/>
      <c r="M35" s="377"/>
      <c r="N35" s="37"/>
      <c r="O35" s="37"/>
      <c r="P35" s="37"/>
      <c r="Q35" s="37"/>
    </row>
    <row r="36" spans="3:17" ht="20.100000000000001" customHeight="1">
      <c r="C36" s="479"/>
      <c r="D36" s="396" t="s">
        <v>294</v>
      </c>
      <c r="E36" s="396">
        <v>1.6819999999999999</v>
      </c>
      <c r="F36" s="377"/>
      <c r="G36" s="37"/>
      <c r="H36" s="396"/>
      <c r="I36" s="396"/>
      <c r="J36" s="396"/>
      <c r="K36" s="396"/>
      <c r="L36" s="396"/>
      <c r="M36" s="377"/>
      <c r="N36" s="37"/>
      <c r="O36" s="37"/>
      <c r="P36" s="37"/>
      <c r="Q36" s="37"/>
    </row>
    <row r="37" spans="3:17" ht="20.100000000000001" customHeight="1" thickBot="1">
      <c r="C37" s="478"/>
      <c r="D37" s="390" t="s">
        <v>295</v>
      </c>
      <c r="E37" s="390">
        <v>1.7795000000000001</v>
      </c>
      <c r="F37" s="382">
        <v>3.1720000000000001E-4</v>
      </c>
      <c r="G37" s="37"/>
      <c r="H37" s="396"/>
      <c r="I37" s="396"/>
      <c r="J37" s="396"/>
      <c r="K37" s="396"/>
      <c r="L37" s="396"/>
      <c r="M37" s="377"/>
      <c r="N37" s="37"/>
      <c r="O37" s="37"/>
      <c r="P37" s="37"/>
      <c r="Q37" s="37"/>
    </row>
    <row r="38" spans="3:17" ht="20.100000000000001" customHeight="1">
      <c r="C38" s="477" t="s">
        <v>242</v>
      </c>
      <c r="D38" s="389" t="s">
        <v>293</v>
      </c>
      <c r="E38" s="389">
        <v>1.8029999999999999</v>
      </c>
      <c r="F38" s="418">
        <v>3.2009999999999997E-4</v>
      </c>
      <c r="G38" s="37"/>
      <c r="H38" s="396"/>
      <c r="I38" s="396"/>
      <c r="J38" s="396"/>
      <c r="K38" s="396"/>
      <c r="L38" s="396"/>
      <c r="M38" s="377"/>
      <c r="N38" s="37"/>
      <c r="O38" s="37"/>
      <c r="P38" s="37"/>
      <c r="Q38" s="37"/>
    </row>
    <row r="39" spans="3:17" ht="20.100000000000001" customHeight="1">
      <c r="C39" s="479"/>
      <c r="D39" s="396" t="s">
        <v>294</v>
      </c>
      <c r="E39" s="396">
        <v>1.534</v>
      </c>
      <c r="F39" s="377"/>
      <c r="G39" s="37"/>
      <c r="H39" s="396"/>
      <c r="I39" s="396"/>
      <c r="J39" s="396"/>
      <c r="K39" s="396"/>
      <c r="L39" s="396"/>
      <c r="M39" s="377"/>
      <c r="N39" s="37"/>
      <c r="O39" s="37"/>
      <c r="P39" s="37"/>
      <c r="Q39" s="37"/>
    </row>
    <row r="40" spans="3:17" ht="20.100000000000001" customHeight="1" thickBot="1">
      <c r="C40" s="478"/>
      <c r="D40" s="390" t="s">
        <v>295</v>
      </c>
      <c r="E40" s="390">
        <v>1.6684999999999999</v>
      </c>
      <c r="F40" s="382">
        <v>3.2009999999999997E-4</v>
      </c>
      <c r="G40" s="37"/>
      <c r="H40" s="396"/>
      <c r="I40" s="396"/>
      <c r="J40" s="396"/>
      <c r="K40" s="396"/>
      <c r="L40" s="396"/>
      <c r="M40" s="377"/>
      <c r="N40" s="37"/>
      <c r="O40" s="37"/>
      <c r="P40" s="37"/>
      <c r="Q40" s="37"/>
    </row>
    <row r="41" spans="3:17" ht="20.100000000000001" customHeight="1">
      <c r="C41" s="479"/>
      <c r="D41" s="396"/>
      <c r="E41" s="389"/>
      <c r="F41" s="418"/>
      <c r="G41" s="37"/>
      <c r="H41" s="396"/>
      <c r="I41" s="396"/>
      <c r="J41" s="396"/>
      <c r="K41" s="396"/>
      <c r="L41" s="396"/>
      <c r="M41" s="377"/>
      <c r="N41" s="37"/>
      <c r="O41" s="37"/>
      <c r="P41" s="37"/>
      <c r="Q41" s="37"/>
    </row>
    <row r="42" spans="3:17" ht="20.100000000000001" customHeight="1">
      <c r="C42" s="479"/>
      <c r="D42" s="396"/>
      <c r="E42" s="396"/>
      <c r="F42" s="377"/>
      <c r="G42" s="37"/>
      <c r="H42" s="396"/>
      <c r="I42" s="396"/>
      <c r="J42" s="396"/>
      <c r="K42" s="396"/>
      <c r="L42" s="396"/>
      <c r="M42" s="377"/>
      <c r="N42" s="37"/>
      <c r="O42" s="37"/>
      <c r="P42" s="37"/>
      <c r="Q42" s="37"/>
    </row>
    <row r="43" spans="3:17" ht="20.100000000000001" customHeight="1" thickBot="1">
      <c r="C43" s="478"/>
      <c r="D43" s="390"/>
      <c r="E43" s="390"/>
      <c r="F43" s="382"/>
      <c r="G43" s="37"/>
      <c r="H43" s="396"/>
      <c r="I43" s="396"/>
      <c r="J43" s="396"/>
      <c r="K43" s="396"/>
      <c r="L43" s="396"/>
      <c r="M43" s="377"/>
      <c r="N43" s="37"/>
      <c r="O43" s="37"/>
      <c r="P43" s="37"/>
      <c r="Q43" s="37"/>
    </row>
    <row r="44" spans="3:17" ht="20.100000000000001" customHeight="1">
      <c r="C44" s="477"/>
      <c r="D44" s="389"/>
      <c r="E44" s="389"/>
      <c r="F44" s="418"/>
      <c r="G44" s="37"/>
      <c r="H44" s="396"/>
      <c r="I44" s="396"/>
      <c r="J44" s="396"/>
      <c r="K44" s="396"/>
      <c r="L44" s="396"/>
      <c r="M44" s="377"/>
      <c r="N44" s="37"/>
      <c r="O44" s="37"/>
      <c r="P44" s="37"/>
      <c r="Q44" s="37"/>
    </row>
    <row r="45" spans="3:17" ht="20.100000000000001" customHeight="1" thickBot="1">
      <c r="C45" s="479"/>
      <c r="D45" s="396"/>
      <c r="E45" s="396"/>
      <c r="F45" s="377"/>
      <c r="G45" s="37"/>
      <c r="H45" s="390"/>
      <c r="I45" s="390"/>
      <c r="J45" s="390"/>
      <c r="K45" s="390"/>
      <c r="L45" s="390"/>
      <c r="M45" s="382"/>
      <c r="N45" s="37"/>
      <c r="O45" s="37"/>
      <c r="P45" s="37"/>
      <c r="Q45" s="37"/>
    </row>
    <row r="46" spans="3:17" ht="20.100000000000001" customHeight="1" thickBot="1">
      <c r="C46" s="478"/>
      <c r="D46" s="390"/>
      <c r="E46" s="390"/>
      <c r="F46" s="382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477"/>
      <c r="D47" s="389"/>
      <c r="E47" s="389"/>
      <c r="F47" s="418"/>
    </row>
    <row r="48" spans="3:17" ht="20.100000000000001" customHeight="1">
      <c r="C48" s="479"/>
      <c r="D48" s="396"/>
      <c r="E48" s="396"/>
      <c r="F48" s="377"/>
    </row>
    <row r="49" spans="3:6" ht="20.100000000000001" customHeight="1" thickBot="1">
      <c r="C49" s="478"/>
      <c r="D49" s="390"/>
      <c r="E49" s="390"/>
      <c r="F49" s="382"/>
    </row>
    <row r="50" spans="3:6" ht="20.100000000000001" customHeight="1">
      <c r="C50" s="477"/>
      <c r="D50" s="389"/>
      <c r="E50" s="389"/>
      <c r="F50" s="418"/>
    </row>
    <row r="51" spans="3:6" ht="20.100000000000001" customHeight="1">
      <c r="C51" s="479"/>
      <c r="D51" s="396"/>
      <c r="E51" s="396"/>
      <c r="F51" s="377"/>
    </row>
    <row r="52" spans="3:6" ht="20.100000000000001" customHeight="1" thickBot="1">
      <c r="C52" s="478"/>
      <c r="D52" s="390"/>
      <c r="E52" s="390"/>
      <c r="F52" s="382"/>
    </row>
    <row r="53" spans="3:6" ht="20.100000000000001" customHeight="1">
      <c r="C53" s="477"/>
      <c r="D53" s="389"/>
      <c r="E53" s="389"/>
      <c r="F53" s="418"/>
    </row>
    <row r="54" spans="3:6" ht="20.100000000000001" customHeight="1">
      <c r="C54" s="479"/>
      <c r="D54" s="396"/>
      <c r="E54" s="396"/>
      <c r="F54" s="377"/>
    </row>
    <row r="55" spans="3:6" ht="20.100000000000001" customHeight="1" thickBot="1">
      <c r="C55" s="478"/>
      <c r="D55" s="390"/>
      <c r="E55" s="390"/>
      <c r="F55" s="382"/>
    </row>
    <row r="56" spans="3:6" ht="20.100000000000001" customHeight="1">
      <c r="C56" s="477"/>
      <c r="D56" s="389"/>
      <c r="E56" s="389"/>
      <c r="F56" s="418"/>
    </row>
    <row r="57" spans="3:6" ht="20.100000000000001" customHeight="1">
      <c r="C57" s="479"/>
      <c r="D57" s="396"/>
      <c r="E57" s="396"/>
      <c r="F57" s="377"/>
    </row>
    <row r="58" spans="3:6" ht="20.100000000000001" customHeight="1" thickBot="1">
      <c r="C58" s="478"/>
      <c r="D58" s="390"/>
      <c r="E58" s="390"/>
      <c r="F58" s="382"/>
    </row>
    <row r="59" spans="3:6" ht="20.100000000000001" customHeight="1">
      <c r="C59" s="477"/>
      <c r="D59" s="389"/>
      <c r="E59" s="389"/>
      <c r="F59" s="418"/>
    </row>
    <row r="60" spans="3:6" ht="20.100000000000001" customHeight="1">
      <c r="C60" s="479"/>
      <c r="D60" s="396"/>
      <c r="E60" s="396"/>
      <c r="F60" s="377"/>
    </row>
    <row r="61" spans="3:6" ht="20.100000000000001" customHeight="1" thickBot="1">
      <c r="C61" s="478"/>
      <c r="D61" s="390"/>
      <c r="E61" s="390"/>
      <c r="F61" s="382"/>
    </row>
    <row r="62" spans="3:6" ht="20.100000000000001" customHeight="1">
      <c r="C62" s="477"/>
      <c r="D62" s="389"/>
      <c r="E62" s="389"/>
      <c r="F62" s="418"/>
    </row>
    <row r="63" spans="3:6" ht="20.100000000000001" customHeight="1">
      <c r="C63" s="479"/>
      <c r="D63" s="396"/>
      <c r="E63" s="396"/>
      <c r="F63" s="377"/>
    </row>
    <row r="64" spans="3:6" ht="20.100000000000001" customHeight="1" thickBot="1">
      <c r="C64" s="478"/>
      <c r="D64" s="390"/>
      <c r="E64" s="390"/>
      <c r="F64" s="382"/>
    </row>
    <row r="65" spans="3:6" ht="20.100000000000001" customHeight="1">
      <c r="C65" s="477"/>
      <c r="D65" s="389"/>
      <c r="E65" s="396"/>
      <c r="F65" s="377"/>
    </row>
    <row r="66" spans="3:6" ht="20.100000000000001" customHeight="1">
      <c r="C66" s="479"/>
      <c r="D66" s="396"/>
      <c r="E66" s="396"/>
      <c r="F66" s="377"/>
    </row>
    <row r="67" spans="3:6" ht="20.100000000000001" customHeight="1" thickBot="1">
      <c r="C67" s="478"/>
      <c r="D67" s="390"/>
      <c r="E67" s="390"/>
      <c r="F67" s="382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6" r:id="rId3" name="CommandButton2">
          <controlPr defaultSize="0" autoLine="0" r:id="rId4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3" name="CommandButton2"/>
      </mc:Fallback>
    </mc:AlternateContent>
    <mc:AlternateContent xmlns:mc="http://schemas.openxmlformats.org/markup-compatibility/2006">
      <mc:Choice Requires="x14">
        <control shapeId="205825" r:id="rId5" name="CommandButton1">
          <controlPr defaultSize="0" autoLine="0" r:id="rId6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13"/>
  <dimension ref="C2:O30"/>
  <sheetViews>
    <sheetView workbookViewId="0">
      <selection activeCell="B2" sqref="B2"/>
    </sheetView>
  </sheetViews>
  <sheetFormatPr defaultRowHeight="21.95" customHeight="1"/>
  <cols>
    <col min="1" max="2" width="8.88671875" style="37"/>
    <col min="3" max="3" width="13.21875" style="37" customWidth="1"/>
    <col min="4" max="4" width="12.21875" style="37" customWidth="1"/>
    <col min="5" max="5" width="11.109375" style="37" customWidth="1"/>
    <col min="6" max="6" width="15.5546875" style="37" customWidth="1"/>
    <col min="7" max="7" width="12.77734375" style="37" customWidth="1"/>
    <col min="8" max="8" width="10.6640625" style="37" customWidth="1"/>
    <col min="9" max="9" width="11.6640625" style="37" customWidth="1"/>
    <col min="10" max="10" width="13.44140625" style="37" customWidth="1"/>
    <col min="11" max="11" width="9.5546875" style="37" customWidth="1"/>
    <col min="12" max="12" width="9.109375" style="37" customWidth="1"/>
    <col min="13" max="13" width="14.21875" style="37" customWidth="1"/>
    <col min="14" max="14" width="11.88671875" style="37" customWidth="1"/>
    <col min="15" max="15" width="12.109375" style="37" customWidth="1"/>
    <col min="16" max="16384" width="8.88671875" style="37"/>
  </cols>
  <sheetData>
    <row r="2" spans="3:15" s="38" customFormat="1" ht="38.25" customHeight="1" thickBot="1">
      <c r="C2" s="425" t="s">
        <v>267</v>
      </c>
    </row>
    <row r="3" spans="3:15" s="53" customFormat="1" ht="30.75" customHeight="1" thickBot="1">
      <c r="C3" s="415" t="s">
        <v>226</v>
      </c>
      <c r="D3" s="415" t="s">
        <v>257</v>
      </c>
      <c r="E3" s="426" t="s">
        <v>223</v>
      </c>
      <c r="F3" s="415" t="s">
        <v>258</v>
      </c>
      <c r="G3" s="416" t="s">
        <v>262</v>
      </c>
      <c r="H3" s="416" t="s">
        <v>264</v>
      </c>
      <c r="I3" s="416" t="s">
        <v>229</v>
      </c>
      <c r="J3" s="416" t="s">
        <v>265</v>
      </c>
      <c r="K3" s="415" t="s">
        <v>123</v>
      </c>
      <c r="L3" s="416" t="s">
        <v>263</v>
      </c>
      <c r="M3" s="415" t="s">
        <v>259</v>
      </c>
      <c r="N3" s="415" t="s">
        <v>260</v>
      </c>
      <c r="O3" s="416" t="s">
        <v>261</v>
      </c>
    </row>
    <row r="4" spans="3:15" ht="27.95" customHeight="1">
      <c r="C4" s="396" t="s">
        <v>240</v>
      </c>
      <c r="D4" s="473" t="s">
        <v>296</v>
      </c>
      <c r="E4" s="37">
        <v>143</v>
      </c>
      <c r="F4" s="396">
        <v>1.6435</v>
      </c>
      <c r="G4" s="473">
        <v>1.6972</v>
      </c>
      <c r="H4" s="473">
        <v>0.03</v>
      </c>
      <c r="I4" s="377">
        <v>485.7</v>
      </c>
      <c r="J4" s="473">
        <v>319</v>
      </c>
      <c r="K4" s="396">
        <v>34</v>
      </c>
      <c r="L4" s="473">
        <v>34</v>
      </c>
      <c r="M4" s="396">
        <v>2.2243346007604567E-2</v>
      </c>
      <c r="N4" s="480">
        <v>2.2200000000000001E-2</v>
      </c>
      <c r="O4" s="473" t="s">
        <v>266</v>
      </c>
    </row>
    <row r="5" spans="3:15" ht="27.95" customHeight="1">
      <c r="C5" s="396" t="s">
        <v>241</v>
      </c>
      <c r="D5" s="482"/>
      <c r="E5" s="37">
        <v>130</v>
      </c>
      <c r="F5" s="396">
        <v>1.7795000000000001</v>
      </c>
      <c r="G5" s="482"/>
      <c r="H5" s="482"/>
      <c r="I5" s="377">
        <v>235.1</v>
      </c>
      <c r="J5" s="482"/>
      <c r="K5" s="396">
        <v>34</v>
      </c>
      <c r="L5" s="482"/>
      <c r="M5" s="396">
        <v>2.1102661596958179E-2</v>
      </c>
      <c r="N5" s="481"/>
      <c r="O5" s="482"/>
    </row>
    <row r="6" spans="3:15" ht="27.95" customHeight="1">
      <c r="C6" s="396" t="s">
        <v>242</v>
      </c>
      <c r="D6" s="482"/>
      <c r="E6" s="37">
        <v>130</v>
      </c>
      <c r="F6" s="396">
        <v>1.6684999999999999</v>
      </c>
      <c r="G6" s="482"/>
      <c r="H6" s="482"/>
      <c r="I6" s="377">
        <v>236.2</v>
      </c>
      <c r="J6" s="482"/>
      <c r="K6" s="396">
        <v>34</v>
      </c>
      <c r="L6" s="482"/>
      <c r="M6" s="396">
        <v>2.3193916349809891E-2</v>
      </c>
      <c r="N6" s="481"/>
      <c r="O6" s="482"/>
    </row>
    <row r="7" spans="3:15" ht="27.95" customHeight="1">
      <c r="C7" s="396"/>
      <c r="D7" s="449"/>
      <c r="F7" s="396"/>
      <c r="G7" s="449"/>
      <c r="H7" s="449"/>
      <c r="I7" s="377"/>
      <c r="J7" s="449"/>
      <c r="K7" s="396"/>
      <c r="L7" s="449"/>
      <c r="M7" s="396"/>
      <c r="N7" s="450"/>
      <c r="O7" s="449"/>
    </row>
    <row r="8" spans="3:15" ht="27.95" customHeight="1">
      <c r="C8" s="396"/>
      <c r="D8" s="449"/>
      <c r="F8" s="396"/>
      <c r="G8" s="449"/>
      <c r="H8" s="449"/>
      <c r="I8" s="377"/>
      <c r="J8" s="449"/>
      <c r="K8" s="396"/>
      <c r="L8" s="449"/>
      <c r="M8" s="396"/>
      <c r="N8" s="450"/>
      <c r="O8" s="449"/>
    </row>
    <row r="9" spans="3:15" ht="27.95" customHeight="1">
      <c r="C9" s="396"/>
      <c r="D9" s="449"/>
      <c r="F9" s="396"/>
      <c r="G9" s="452"/>
      <c r="H9" s="449"/>
      <c r="I9" s="377"/>
      <c r="J9" s="449"/>
      <c r="K9" s="396"/>
      <c r="L9" s="452"/>
      <c r="M9" s="396"/>
      <c r="N9" s="449"/>
      <c r="O9" s="449"/>
    </row>
    <row r="10" spans="3:15" ht="27.95" customHeight="1">
      <c r="C10" s="396"/>
      <c r="D10" s="449"/>
      <c r="F10" s="396"/>
      <c r="G10" s="452"/>
      <c r="H10" s="449"/>
      <c r="I10" s="377"/>
      <c r="J10" s="449"/>
      <c r="K10" s="396"/>
      <c r="L10" s="452"/>
      <c r="M10" s="396"/>
      <c r="N10" s="449"/>
      <c r="O10" s="449"/>
    </row>
    <row r="11" spans="3:15" ht="27.95" customHeight="1">
      <c r="C11" s="396"/>
      <c r="D11" s="449"/>
      <c r="F11" s="396"/>
      <c r="G11" s="452"/>
      <c r="H11" s="449"/>
      <c r="I11" s="377"/>
      <c r="J11" s="449"/>
      <c r="K11" s="396"/>
      <c r="L11" s="452"/>
      <c r="M11" s="396"/>
      <c r="N11" s="449"/>
      <c r="O11" s="449"/>
    </row>
    <row r="12" spans="3:15" ht="27.95" customHeight="1">
      <c r="C12" s="396"/>
      <c r="D12" s="449"/>
      <c r="F12" s="396"/>
      <c r="G12" s="452"/>
      <c r="H12" s="449"/>
      <c r="I12" s="377"/>
      <c r="J12" s="449"/>
      <c r="K12" s="396"/>
      <c r="L12" s="452"/>
      <c r="M12" s="396"/>
      <c r="N12" s="449"/>
      <c r="O12" s="449"/>
    </row>
    <row r="13" spans="3:15" ht="27.95" customHeight="1">
      <c r="C13" s="396"/>
      <c r="D13" s="449"/>
      <c r="F13" s="396"/>
      <c r="G13" s="452"/>
      <c r="H13" s="449"/>
      <c r="I13" s="377"/>
      <c r="J13" s="449"/>
      <c r="K13" s="396"/>
      <c r="L13" s="452"/>
      <c r="M13" s="396"/>
      <c r="N13" s="449"/>
      <c r="O13" s="449"/>
    </row>
    <row r="14" spans="3:15" ht="27.95" customHeight="1">
      <c r="C14" s="396"/>
      <c r="D14" s="449"/>
      <c r="F14" s="396"/>
      <c r="G14" s="452"/>
      <c r="H14" s="449"/>
      <c r="I14" s="377"/>
      <c r="J14" s="449"/>
      <c r="K14" s="396"/>
      <c r="L14" s="452"/>
      <c r="M14" s="396"/>
      <c r="N14" s="449"/>
      <c r="O14" s="449"/>
    </row>
    <row r="15" spans="3:15" ht="27.95" customHeight="1">
      <c r="C15" s="396"/>
      <c r="D15" s="449"/>
      <c r="F15" s="396"/>
      <c r="G15" s="452"/>
      <c r="H15" s="449"/>
      <c r="I15" s="377"/>
      <c r="J15" s="449"/>
      <c r="K15" s="396"/>
      <c r="L15" s="452"/>
      <c r="M15" s="396"/>
      <c r="N15" s="449"/>
      <c r="O15" s="449"/>
    </row>
    <row r="16" spans="3:15" ht="27.95" customHeight="1">
      <c r="C16" s="396"/>
      <c r="D16" s="449"/>
      <c r="F16" s="396"/>
      <c r="G16" s="452"/>
      <c r="H16" s="449"/>
      <c r="I16" s="377"/>
      <c r="J16" s="449"/>
      <c r="K16" s="396"/>
      <c r="L16" s="452"/>
      <c r="M16" s="396"/>
      <c r="N16" s="449"/>
      <c r="O16" s="449"/>
    </row>
    <row r="17" spans="3:15" ht="27.95" customHeight="1" thickBot="1">
      <c r="C17" s="390"/>
      <c r="D17" s="451"/>
      <c r="E17" s="379"/>
      <c r="F17" s="390"/>
      <c r="G17" s="453"/>
      <c r="H17" s="451"/>
      <c r="I17" s="382"/>
      <c r="J17" s="451"/>
      <c r="K17" s="390"/>
      <c r="L17" s="453"/>
      <c r="M17" s="390"/>
      <c r="N17" s="451"/>
      <c r="O17" s="451"/>
    </row>
    <row r="18" spans="3:15" ht="27.95" customHeight="1"/>
    <row r="19" spans="3:15" ht="27.95" customHeight="1"/>
    <row r="20" spans="3:15" ht="27.95" customHeight="1"/>
    <row r="21" spans="3:15" ht="27.95" customHeight="1"/>
    <row r="22" spans="3:15" ht="27.95" customHeight="1"/>
    <row r="23" spans="3:15" ht="27.95" customHeight="1"/>
    <row r="24" spans="3:15" ht="27.95" customHeight="1"/>
    <row r="25" spans="3:15" ht="27.95" customHeight="1"/>
    <row r="26" spans="3:15" ht="27.95" customHeight="1"/>
    <row r="27" spans="3:15" ht="27.95" customHeight="1"/>
    <row r="28" spans="3:15" ht="27.95" customHeight="1"/>
    <row r="29" spans="3:15" ht="24.95" customHeight="1"/>
    <row r="30" spans="3:15" ht="24.95" customHeight="1"/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171450</xdr:colOff>
                <xdr:row>1</xdr:row>
                <xdr:rowOff>438150</xdr:rowOff>
              </from>
              <to>
                <xdr:col>1</xdr:col>
                <xdr:colOff>590550</xdr:colOff>
                <xdr:row>2</xdr:row>
                <xdr:rowOff>266700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180975</xdr:colOff>
                <xdr:row>1</xdr:row>
                <xdr:rowOff>85725</xdr:rowOff>
              </from>
              <to>
                <xdr:col>1</xdr:col>
                <xdr:colOff>600075</xdr:colOff>
                <xdr:row>1</xdr:row>
                <xdr:rowOff>400050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A25" sqref="A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160</v>
      </c>
      <c r="C2" s="17" t="str">
        <f>Well!D4</f>
        <v>충남 보령시 천북면 하만리 산 143-5</v>
      </c>
      <c r="H2"/>
      <c r="I2" s="300" t="s">
        <v>212</v>
      </c>
      <c r="J2"/>
      <c r="K2"/>
      <c r="L2"/>
      <c r="M2"/>
    </row>
    <row r="3" spans="1:13" ht="20.100000000000001" customHeight="1">
      <c r="B3" s="2" t="s">
        <v>49</v>
      </c>
      <c r="C3" s="427">
        <f>Well!C4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28">
        <f>Well!R4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28">
        <f>Well!Q4</f>
        <v>0</v>
      </c>
      <c r="D5" s="7" t="s">
        <v>55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29" t="str">
        <f>Well!D4</f>
        <v>충남 보령시 천북면 하만리 산 143-5</v>
      </c>
      <c r="D6" s="7" t="s">
        <v>58</v>
      </c>
      <c r="E6" s="8">
        <v>1.5549999999999999</v>
      </c>
      <c r="F6" s="34">
        <f>$E$6/$C$14</f>
        <v>3.2015647519044676E-3</v>
      </c>
      <c r="G6" s="10" t="s">
        <v>59</v>
      </c>
      <c r="H6" s="302">
        <v>1.66</v>
      </c>
      <c r="I6"/>
      <c r="J6"/>
      <c r="K6"/>
      <c r="L6"/>
      <c r="M6"/>
    </row>
    <row r="7" spans="1:13" ht="20.100000000000001" customHeight="1" thickBot="1">
      <c r="B7" s="6" t="s">
        <v>57</v>
      </c>
      <c r="C7" s="430">
        <f>Well!H4</f>
        <v>500</v>
      </c>
      <c r="D7" s="338" t="s">
        <v>61</v>
      </c>
      <c r="E7" s="301">
        <f>(E5+E6)/2</f>
        <v>1.6435</v>
      </c>
      <c r="F7" s="35">
        <f>$E$7/$C$14</f>
        <v>3.3837759934115708E-3</v>
      </c>
      <c r="G7" s="32">
        <f>G5</f>
        <v>3.2289999999999999E-4</v>
      </c>
      <c r="H7" s="161">
        <v>8.8969999999999994E-2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30">
        <f>Well!G4</f>
        <v>200</v>
      </c>
    </row>
    <row r="9" spans="1:13" ht="20.100000000000001" customHeight="1" thickBot="1">
      <c r="B9" s="6" t="s">
        <v>62</v>
      </c>
      <c r="C9" s="431">
        <f>C10+C11</f>
        <v>12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29">
        <v>5</v>
      </c>
      <c r="D10" s="14" t="s">
        <v>64</v>
      </c>
      <c r="E10" s="182">
        <v>43</v>
      </c>
      <c r="F10" s="183">
        <v>52.7</v>
      </c>
      <c r="G10" s="184">
        <v>81.7</v>
      </c>
      <c r="H10" s="15"/>
      <c r="I10" s="16"/>
    </row>
    <row r="11" spans="1:13" ht="20.100000000000001" customHeight="1" thickBot="1">
      <c r="B11" s="6" t="s">
        <v>65</v>
      </c>
      <c r="C11" s="429">
        <v>7</v>
      </c>
      <c r="D11" s="339" t="s">
        <v>66</v>
      </c>
      <c r="E11" s="185">
        <f>ROUND(AVERAGE(E10:G10),1)</f>
        <v>59.1</v>
      </c>
      <c r="F11" s="176">
        <f>ROUND((E10+F10)/2,1)</f>
        <v>47.9</v>
      </c>
      <c r="G11" s="322">
        <f>MAX(E10,F10,G10)</f>
        <v>81.7</v>
      </c>
      <c r="H11" s="15"/>
      <c r="I11" s="16"/>
      <c r="J11" s="487" t="s">
        <v>121</v>
      </c>
      <c r="K11" s="488"/>
    </row>
    <row r="12" spans="1:13" ht="20.100000000000001" customHeight="1">
      <c r="A12" s="17" t="str">
        <f>IF(A13&lt;&gt;C7,"CHECK","OK")</f>
        <v>OK</v>
      </c>
      <c r="B12" s="6" t="s">
        <v>67</v>
      </c>
      <c r="C12" s="432">
        <f>C7-C9</f>
        <v>488</v>
      </c>
      <c r="H12" s="18"/>
      <c r="J12" s="186" t="s">
        <v>123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500</v>
      </c>
      <c r="B13" s="6" t="s">
        <v>68</v>
      </c>
      <c r="C13" s="432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31">
        <f>C7-IF(C20&gt;C9,C20,C9)</f>
        <v>485.7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30">
        <f>Well!I4</f>
        <v>130</v>
      </c>
      <c r="E15" s="41">
        <v>1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33">
        <f>Well!J4</f>
        <v>143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61.7</v>
      </c>
      <c r="L16" s="42"/>
    </row>
    <row r="17" spans="2:12" ht="20.100000000000001" customHeight="1" thickBot="1">
      <c r="B17" s="6" t="s">
        <v>72</v>
      </c>
      <c r="C17" s="430">
        <f>Well!L4</f>
        <v>10</v>
      </c>
      <c r="E17" s="76">
        <f>Well!P4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119</v>
      </c>
      <c r="K17" s="187">
        <f>K16-K15</f>
        <v>11.700000000000003</v>
      </c>
      <c r="L17" s="42"/>
    </row>
    <row r="18" spans="2:12" ht="20.100000000000001" customHeight="1" thickBot="1">
      <c r="B18" s="6" t="s">
        <v>73</v>
      </c>
      <c r="C18" s="430">
        <f>Well!M4</f>
        <v>200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2.2243346007604567E-2</v>
      </c>
      <c r="L18" s="160">
        <f>K18*100</f>
        <v>2.2243346007604567</v>
      </c>
    </row>
    <row r="19" spans="2:12" ht="20.100000000000001" customHeight="1" thickBot="1">
      <c r="B19" s="21" t="s">
        <v>77</v>
      </c>
      <c r="C19" s="434">
        <f>Well!N4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78</v>
      </c>
      <c r="C20" s="435">
        <v>14.3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36">
        <v>64.8</v>
      </c>
      <c r="D21" s="17"/>
      <c r="E21" s="178">
        <f>Well!$I$4</f>
        <v>130</v>
      </c>
      <c r="F21" s="248">
        <f>Well!O4</f>
        <v>172.8</v>
      </c>
      <c r="G21" s="249">
        <f>G19-E21-F21</f>
        <v>571.94200318147955</v>
      </c>
    </row>
    <row r="22" spans="2:12" ht="20.100000000000001" customHeight="1" thickBot="1">
      <c r="B22" s="31" t="s">
        <v>168</v>
      </c>
      <c r="C22" s="437">
        <f>C21-C20</f>
        <v>50.5</v>
      </c>
      <c r="E22" s="489">
        <f>E21+F21</f>
        <v>302.8</v>
      </c>
      <c r="F22" s="490"/>
      <c r="G22" s="20"/>
      <c r="I22" s="19"/>
    </row>
    <row r="23" spans="2:12" ht="20.100000000000001" customHeight="1" thickBot="1">
      <c r="B23" s="341" t="s">
        <v>245</v>
      </c>
      <c r="C23" s="340">
        <v>3.99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83" t="s">
        <v>101</v>
      </c>
      <c r="C25" s="48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85" t="s">
        <v>107</v>
      </c>
      <c r="C26" s="194" t="s">
        <v>108</v>
      </c>
      <c r="D26" s="195">
        <f>C20</f>
        <v>14.3</v>
      </c>
      <c r="E26" s="196">
        <f>Recharge!C30</f>
        <v>16.057220000000001</v>
      </c>
      <c r="F26" s="197" t="s">
        <v>190</v>
      </c>
      <c r="G26" s="195" t="s">
        <v>239</v>
      </c>
      <c r="H26" s="198">
        <f>L18</f>
        <v>2.2243346007604567</v>
      </c>
      <c r="I26" s="195" t="s">
        <v>190</v>
      </c>
      <c r="J26" s="195">
        <f>(E7/C14)/864</f>
        <v>3.9164073997819102E-6</v>
      </c>
      <c r="K26" s="199" t="s">
        <v>243</v>
      </c>
    </row>
    <row r="27" spans="2:12" ht="25.5" customHeight="1">
      <c r="B27" s="48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244</v>
      </c>
    </row>
    <row r="28" spans="2:12" ht="25.5" customHeight="1">
      <c r="B28" s="48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8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8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8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93BED-8EDF-4387-816B-E45E4C219CA9}">
  <sheetPr codeName="Sheet7">
    <tabColor rgb="FFC00000"/>
  </sheetPr>
  <dimension ref="A1:M41"/>
  <sheetViews>
    <sheetView workbookViewId="0">
      <selection activeCell="E34" sqref="E3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241</v>
      </c>
      <c r="C2" s="448" t="str">
        <f>Well!D5</f>
        <v>충남 보령시 천북면 하만리 산 143-6</v>
      </c>
      <c r="H2"/>
      <c r="I2" s="300" t="s">
        <v>285</v>
      </c>
      <c r="J2"/>
      <c r="K2"/>
      <c r="L2"/>
      <c r="M2"/>
    </row>
    <row r="3" spans="1:13" ht="20.100000000000001" customHeight="1">
      <c r="B3" s="2" t="s">
        <v>6</v>
      </c>
      <c r="C3" s="427">
        <f>Well!C5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28">
        <f>Well!R5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28">
        <f>Well!Q5</f>
        <v>0</v>
      </c>
      <c r="D5" s="7" t="s">
        <v>55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29" t="str">
        <f>Well!D5</f>
        <v>충남 보령시 천북면 하만리 산 143-6</v>
      </c>
      <c r="D6" s="7" t="s">
        <v>58</v>
      </c>
      <c r="E6" s="8">
        <v>1.6819999999999999</v>
      </c>
      <c r="F6" s="34">
        <f>$E$6/$C$14</f>
        <v>7.1544023819651208E-3</v>
      </c>
      <c r="G6" s="10" t="s">
        <v>59</v>
      </c>
      <c r="H6" s="302">
        <v>1.71</v>
      </c>
      <c r="I6"/>
      <c r="J6"/>
      <c r="K6"/>
      <c r="L6"/>
      <c r="M6"/>
    </row>
    <row r="7" spans="1:13" ht="20.100000000000001" customHeight="1" thickBot="1">
      <c r="B7" s="6" t="s">
        <v>57</v>
      </c>
      <c r="C7" s="430">
        <f>Well!H5</f>
        <v>250</v>
      </c>
      <c r="D7" s="338" t="s">
        <v>61</v>
      </c>
      <c r="E7" s="301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61">
        <v>9.2749999999999999E-2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30">
        <f>Well!G5</f>
        <v>200</v>
      </c>
    </row>
    <row r="9" spans="1:13" ht="20.100000000000001" customHeight="1" thickBot="1">
      <c r="B9" s="6" t="s">
        <v>62</v>
      </c>
      <c r="C9" s="431">
        <f>C10+C11</f>
        <v>12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29">
        <v>5</v>
      </c>
      <c r="D10" s="14" t="s">
        <v>64</v>
      </c>
      <c r="E10" s="182">
        <v>62.5</v>
      </c>
      <c r="F10" s="183">
        <v>76.5</v>
      </c>
      <c r="G10" s="184">
        <v>85.8</v>
      </c>
      <c r="H10" s="15"/>
      <c r="I10" s="16"/>
    </row>
    <row r="11" spans="1:13" ht="20.100000000000001" customHeight="1" thickBot="1">
      <c r="B11" s="6" t="s">
        <v>65</v>
      </c>
      <c r="C11" s="429">
        <v>7</v>
      </c>
      <c r="D11" s="339" t="s">
        <v>66</v>
      </c>
      <c r="E11" s="185">
        <f>ROUND(AVERAGE(E10:G10),1)</f>
        <v>74.900000000000006</v>
      </c>
      <c r="F11" s="176">
        <f>ROUND((E10+F10)/2,1)</f>
        <v>69.5</v>
      </c>
      <c r="G11" s="322">
        <f>MAX(E10,F10,G10)</f>
        <v>85.8</v>
      </c>
      <c r="H11" s="15"/>
      <c r="I11" s="16"/>
      <c r="J11" s="487" t="s">
        <v>121</v>
      </c>
      <c r="K11" s="488"/>
    </row>
    <row r="12" spans="1:13" ht="20.100000000000001" customHeight="1">
      <c r="A12" s="17" t="str">
        <f>IF(A13&lt;&gt;C7,"CHECK","OK")</f>
        <v>OK</v>
      </c>
      <c r="B12" s="6" t="s">
        <v>67</v>
      </c>
      <c r="C12" s="432">
        <f>C7-C9</f>
        <v>238</v>
      </c>
      <c r="H12" s="18"/>
      <c r="J12" s="186" t="s">
        <v>123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250</v>
      </c>
      <c r="B13" s="6" t="s">
        <v>68</v>
      </c>
      <c r="C13" s="432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31">
        <f>C7-IF(C20&gt;C9,C20,C9)</f>
        <v>235.1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30">
        <f>Well!I5</f>
        <v>150</v>
      </c>
      <c r="E15" s="41">
        <v>2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33">
        <f>Well!J5</f>
        <v>130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61.1</v>
      </c>
      <c r="L16" s="42"/>
    </row>
    <row r="17" spans="2:12" ht="20.100000000000001" customHeight="1" thickBot="1">
      <c r="B17" s="6" t="s">
        <v>72</v>
      </c>
      <c r="C17" s="430">
        <f>Well!L5</f>
        <v>2</v>
      </c>
      <c r="E17" s="76">
        <f>Well!P5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119</v>
      </c>
      <c r="K17" s="187">
        <f>K16-K15</f>
        <v>11.100000000000001</v>
      </c>
      <c r="L17" s="42"/>
    </row>
    <row r="18" spans="2:12" ht="20.100000000000001" customHeight="1" thickBot="1">
      <c r="B18" s="6" t="s">
        <v>73</v>
      </c>
      <c r="C18" s="430">
        <f>Well!M5</f>
        <v>60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2.1102661596958179E-2</v>
      </c>
      <c r="L18" s="160">
        <f>K18*100</f>
        <v>2.1102661596958181</v>
      </c>
    </row>
    <row r="19" spans="2:12" ht="20.100000000000001" customHeight="1" thickBot="1">
      <c r="B19" s="21" t="s">
        <v>77</v>
      </c>
      <c r="C19" s="434">
        <f>Well!N5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78</v>
      </c>
      <c r="C20" s="435">
        <v>14.9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36">
        <v>61.7</v>
      </c>
      <c r="D21" s="17"/>
      <c r="E21" s="178">
        <f>Well!$I$5</f>
        <v>150</v>
      </c>
      <c r="F21" s="248">
        <f>Well!O5</f>
        <v>172.8</v>
      </c>
      <c r="G21" s="249">
        <f>G19-E21-F21</f>
        <v>551.94200318147955</v>
      </c>
    </row>
    <row r="22" spans="2:12" ht="20.100000000000001" customHeight="1" thickBot="1">
      <c r="B22" s="31" t="s">
        <v>168</v>
      </c>
      <c r="C22" s="437">
        <f>C21-C20</f>
        <v>46.800000000000004</v>
      </c>
      <c r="E22" s="489">
        <f>E21+F21</f>
        <v>322.8</v>
      </c>
      <c r="F22" s="490"/>
      <c r="G22" s="20"/>
      <c r="I22" s="19"/>
    </row>
    <row r="23" spans="2:12" ht="20.100000000000001" customHeight="1" thickBot="1">
      <c r="B23" s="341" t="s">
        <v>245</v>
      </c>
      <c r="C23" s="340">
        <v>3.8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83" t="s">
        <v>101</v>
      </c>
      <c r="C25" s="48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85" t="s">
        <v>50</v>
      </c>
      <c r="C26" s="194" t="s">
        <v>108</v>
      </c>
      <c r="D26" s="195">
        <f>C20</f>
        <v>14.9</v>
      </c>
      <c r="E26" s="196">
        <f>Recharge!C30</f>
        <v>16.057220000000001</v>
      </c>
      <c r="F26" s="197" t="s">
        <v>190</v>
      </c>
      <c r="G26" s="195" t="s">
        <v>239</v>
      </c>
      <c r="H26" s="198">
        <f>L18</f>
        <v>2.1102661596958181</v>
      </c>
      <c r="I26" s="195" t="s">
        <v>190</v>
      </c>
      <c r="J26" s="195">
        <f>(E7/C14)/864</f>
        <v>8.7605550041747415E-6</v>
      </c>
      <c r="K26" s="199" t="s">
        <v>243</v>
      </c>
    </row>
    <row r="27" spans="2:12" ht="25.5" customHeight="1">
      <c r="B27" s="48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244</v>
      </c>
    </row>
    <row r="28" spans="2:12" ht="25.5" customHeight="1">
      <c r="B28" s="48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8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8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8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59081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59081" r:id="rId4" name="CommandButton8"/>
      </mc:Fallback>
    </mc:AlternateContent>
    <mc:AlternateContent xmlns:mc="http://schemas.openxmlformats.org/markup-compatibility/2006">
      <mc:Choice Requires="x14">
        <control shapeId="2590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59075" r:id="rId6" name="CommandButton6"/>
      </mc:Fallback>
    </mc:AlternateContent>
    <mc:AlternateContent xmlns:mc="http://schemas.openxmlformats.org/markup-compatibility/2006">
      <mc:Choice Requires="x14">
        <control shapeId="2590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59074" r:id="rId8" name="Frame1"/>
      </mc:Fallback>
    </mc:AlternateContent>
    <mc:AlternateContent xmlns:mc="http://schemas.openxmlformats.org/markup-compatibility/2006">
      <mc:Choice Requires="x14">
        <control shapeId="2590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590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F5F7D0-F583-42D2-8946-63C800DEA7F2}">
          <x14:formula1>
            <xm:f>drastic!$G$4:$G$14</xm:f>
          </x14:formula1>
          <xm:sqref>I26</xm:sqref>
        </x14:dataValidation>
        <x14:dataValidation type="list" allowBlank="1" showInputMessage="1" showErrorMessage="1" xr:uid="{433C4AAE-9929-4999-87A8-1EDE0E53408E}">
          <x14:formula1>
            <xm:f>drastic!$D$4:$D$14</xm:f>
          </x14:formula1>
          <xm:sqref>G26</xm:sqref>
        </x14:dataValidation>
        <x14:dataValidation type="list" allowBlank="1" showInputMessage="1" showErrorMessage="1" xr:uid="{DDE67E14-5C5B-40A2-90C5-EF3C1149D5A0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94FD-245B-4C89-A5D0-C1800460A824}">
  <sheetPr codeName="Sheet8">
    <tabColor rgb="FFC00000"/>
  </sheetPr>
  <dimension ref="A1:M41"/>
  <sheetViews>
    <sheetView workbookViewId="0">
      <selection activeCell="I14" sqref="I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242</v>
      </c>
      <c r="C2" s="17" t="str">
        <f>Well!D6</f>
        <v>충남 보령시 천북면 하만리 산 143-6</v>
      </c>
      <c r="H2"/>
      <c r="I2" s="300" t="s">
        <v>286</v>
      </c>
      <c r="J2"/>
      <c r="K2"/>
      <c r="L2"/>
      <c r="M2"/>
    </row>
    <row r="3" spans="1:13" ht="20.100000000000001" customHeight="1">
      <c r="B3" s="2" t="s">
        <v>6</v>
      </c>
      <c r="C3" s="427">
        <f>Well!C6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28">
        <f>Well!R6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28">
        <f>Well!Q6</f>
        <v>0</v>
      </c>
      <c r="D5" s="7" t="s">
        <v>55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29" t="str">
        <f>Well!D6</f>
        <v>충남 보령시 천북면 하만리 산 143-6</v>
      </c>
      <c r="D6" s="7" t="s">
        <v>58</v>
      </c>
      <c r="E6" s="8">
        <v>1.534</v>
      </c>
      <c r="F6" s="34">
        <f>$E$6/$C$14</f>
        <v>6.4944961896697719E-3</v>
      </c>
      <c r="G6" s="10" t="s">
        <v>59</v>
      </c>
      <c r="H6" s="302">
        <v>1.6850000000000001</v>
      </c>
      <c r="I6"/>
      <c r="J6"/>
      <c r="K6"/>
      <c r="L6"/>
      <c r="M6"/>
    </row>
    <row r="7" spans="1:13" ht="20.100000000000001" customHeight="1" thickBot="1">
      <c r="B7" s="6" t="s">
        <v>57</v>
      </c>
      <c r="C7" s="430">
        <f>Well!H6</f>
        <v>250</v>
      </c>
      <c r="D7" s="338" t="s">
        <v>61</v>
      </c>
      <c r="E7" s="301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61">
        <v>9.0880000000000002E-2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30">
        <f>Well!G6</f>
        <v>200</v>
      </c>
    </row>
    <row r="9" spans="1:13" ht="20.100000000000001" customHeight="1" thickBot="1">
      <c r="B9" s="6" t="s">
        <v>62</v>
      </c>
      <c r="C9" s="431">
        <f>C10+C11</f>
        <v>12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29">
        <v>5</v>
      </c>
      <c r="D10" s="14" t="s">
        <v>64</v>
      </c>
      <c r="E10" s="182">
        <v>61.2</v>
      </c>
      <c r="F10" s="183">
        <v>75</v>
      </c>
      <c r="G10" s="184">
        <v>82.7</v>
      </c>
      <c r="H10" s="15"/>
      <c r="I10" s="16"/>
    </row>
    <row r="11" spans="1:13" ht="20.100000000000001" customHeight="1" thickBot="1">
      <c r="B11" s="6" t="s">
        <v>65</v>
      </c>
      <c r="C11" s="429">
        <v>7</v>
      </c>
      <c r="D11" s="339" t="s">
        <v>66</v>
      </c>
      <c r="E11" s="185">
        <f>ROUND(AVERAGE(E10:G10),1)</f>
        <v>73</v>
      </c>
      <c r="F11" s="176">
        <f>ROUND((E10+F10)/2,1)</f>
        <v>68.099999999999994</v>
      </c>
      <c r="G11" s="322">
        <f>MAX(E10,F10,G10)</f>
        <v>82.7</v>
      </c>
      <c r="H11" s="15"/>
      <c r="I11" s="16"/>
      <c r="J11" s="487" t="s">
        <v>121</v>
      </c>
      <c r="K11" s="488"/>
    </row>
    <row r="12" spans="1:13" ht="20.100000000000001" customHeight="1">
      <c r="A12" s="17" t="str">
        <f>IF(A13&lt;&gt;C7,"CHECK","OK")</f>
        <v>OK</v>
      </c>
      <c r="B12" s="6" t="s">
        <v>67</v>
      </c>
      <c r="C12" s="432">
        <f>C7-C9</f>
        <v>238</v>
      </c>
      <c r="H12" s="18"/>
      <c r="J12" s="186" t="s">
        <v>123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250</v>
      </c>
      <c r="B13" s="6" t="s">
        <v>68</v>
      </c>
      <c r="C13" s="432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31">
        <f>C7-IF(C20&gt;C9,C20,C9)</f>
        <v>236.2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30">
        <f>Well!I6</f>
        <v>150</v>
      </c>
      <c r="E15" s="41">
        <v>3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33">
        <f>Well!J6</f>
        <v>130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62.2</v>
      </c>
      <c r="L16" s="42"/>
    </row>
    <row r="17" spans="2:12" ht="20.100000000000001" customHeight="1" thickBot="1">
      <c r="B17" s="6" t="s">
        <v>72</v>
      </c>
      <c r="C17" s="430">
        <f>Well!L6</f>
        <v>2</v>
      </c>
      <c r="E17" s="76">
        <f>Well!P6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119</v>
      </c>
      <c r="K17" s="187">
        <f>K16-K15</f>
        <v>12.200000000000003</v>
      </c>
      <c r="L17" s="42"/>
    </row>
    <row r="18" spans="2:12" ht="20.100000000000001" customHeight="1" thickBot="1">
      <c r="B18" s="6" t="s">
        <v>73</v>
      </c>
      <c r="C18" s="430">
        <f>Well!M6</f>
        <v>60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2.3193916349809891E-2</v>
      </c>
      <c r="L18" s="160">
        <f>K18*100</f>
        <v>2.3193916349809891</v>
      </c>
    </row>
    <row r="19" spans="2:12" ht="20.100000000000001" customHeight="1" thickBot="1">
      <c r="B19" s="21" t="s">
        <v>77</v>
      </c>
      <c r="C19" s="434">
        <f>Well!N6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78</v>
      </c>
      <c r="C20" s="435">
        <v>13.8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36">
        <v>62.4</v>
      </c>
      <c r="D21" s="17"/>
      <c r="E21" s="178">
        <f>Well!$I$6</f>
        <v>150</v>
      </c>
      <c r="F21" s="248">
        <f>Well!O6</f>
        <v>172.8</v>
      </c>
      <c r="G21" s="249">
        <f>G19-E21-F21</f>
        <v>551.94200318147955</v>
      </c>
    </row>
    <row r="22" spans="2:12" ht="20.100000000000001" customHeight="1" thickBot="1">
      <c r="B22" s="31" t="s">
        <v>168</v>
      </c>
      <c r="C22" s="437">
        <f>C21-C20</f>
        <v>48.599999999999994</v>
      </c>
      <c r="E22" s="489">
        <f>E21+F21</f>
        <v>322.8</v>
      </c>
      <c r="F22" s="490"/>
      <c r="G22" s="20"/>
      <c r="I22" s="19"/>
    </row>
    <row r="23" spans="2:12" ht="20.100000000000001" customHeight="1" thickBot="1">
      <c r="B23" s="341" t="s">
        <v>245</v>
      </c>
      <c r="C23" s="340">
        <v>3.89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83" t="s">
        <v>101</v>
      </c>
      <c r="C25" s="484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85" t="s">
        <v>50</v>
      </c>
      <c r="C26" s="194" t="s">
        <v>108</v>
      </c>
      <c r="D26" s="195">
        <f>C20</f>
        <v>13.8</v>
      </c>
      <c r="E26" s="196">
        <f>Recharge!C30</f>
        <v>16.057220000000001</v>
      </c>
      <c r="F26" s="197" t="s">
        <v>190</v>
      </c>
      <c r="G26" s="195" t="s">
        <v>239</v>
      </c>
      <c r="H26" s="198">
        <f>L18</f>
        <v>2.3193916349809891</v>
      </c>
      <c r="I26" s="195" t="s">
        <v>190</v>
      </c>
      <c r="J26" s="195">
        <f>(E7/C14)/864</f>
        <v>8.175843603976543E-6</v>
      </c>
      <c r="K26" s="199" t="s">
        <v>243</v>
      </c>
    </row>
    <row r="27" spans="2:12" ht="25.5" customHeight="1">
      <c r="B27" s="485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244</v>
      </c>
    </row>
    <row r="28" spans="2:12" ht="25.5" customHeight="1">
      <c r="B28" s="485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85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85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86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6010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60100" r:id="rId4" name="CommandButton8"/>
      </mc:Fallback>
    </mc:AlternateContent>
    <mc:AlternateContent xmlns:mc="http://schemas.openxmlformats.org/markup-compatibility/2006">
      <mc:Choice Requires="x14">
        <control shapeId="2600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60099" r:id="rId6" name="CommandButton6"/>
      </mc:Fallback>
    </mc:AlternateContent>
    <mc:AlternateContent xmlns:mc="http://schemas.openxmlformats.org/markup-compatibility/2006">
      <mc:Choice Requires="x14">
        <control shapeId="2600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60098" r:id="rId8" name="Frame1"/>
      </mc:Fallback>
    </mc:AlternateContent>
    <mc:AlternateContent xmlns:mc="http://schemas.openxmlformats.org/markup-compatibility/2006">
      <mc:Choice Requires="x14">
        <control shapeId="2600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600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C835FAA-FAF6-45A8-B6C8-10BF186DC9B1}">
          <x14:formula1>
            <xm:f>drastic!$A$4:$A$13</xm:f>
          </x14:formula1>
          <xm:sqref>F26</xm:sqref>
        </x14:dataValidation>
        <x14:dataValidation type="list" allowBlank="1" showInputMessage="1" showErrorMessage="1" xr:uid="{5D655C88-E88D-41C8-880B-2C956FEBC2ED}">
          <x14:formula1>
            <xm:f>drastic!$D$4:$D$14</xm:f>
          </x14:formula1>
          <xm:sqref>G26</xm:sqref>
        </x14:dataValidation>
        <x14:dataValidation type="list" allowBlank="1" showInputMessage="1" showErrorMessage="1" xr:uid="{C3A1288C-6861-4D40-877A-5FB7930335A1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V23" sqref="V23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82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95</v>
      </c>
      <c r="C4" s="146" t="s">
        <v>88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26" t="s">
        <v>83</v>
      </c>
      <c r="C6" s="327">
        <v>44753.861111111109</v>
      </c>
      <c r="D6" s="125"/>
      <c r="E6" s="37"/>
      <c r="F6" s="37"/>
    </row>
    <row r="7" spans="2:14" s="38" customFormat="1" ht="26.1" customHeight="1" thickBot="1">
      <c r="B7" s="328" t="s">
        <v>84</v>
      </c>
      <c r="C7" s="329">
        <v>14.6</v>
      </c>
      <c r="D7" s="125"/>
      <c r="E7" s="37"/>
      <c r="F7" s="37"/>
    </row>
    <row r="8" spans="2:14" s="38" customFormat="1" ht="26.1" customHeight="1">
      <c r="B8" s="126" t="s">
        <v>85</v>
      </c>
      <c r="C8" s="127">
        <v>211</v>
      </c>
      <c r="D8" s="125"/>
      <c r="E8" s="37"/>
      <c r="F8" s="37"/>
    </row>
    <row r="9" spans="2:14" s="38" customFormat="1" ht="26.1" customHeight="1">
      <c r="B9" s="126" t="s">
        <v>86</v>
      </c>
      <c r="C9" s="148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493" t="s">
        <v>87</v>
      </c>
      <c r="C12" s="494"/>
      <c r="D12" s="495" t="s">
        <v>88</v>
      </c>
      <c r="E12" s="496"/>
      <c r="F12" s="494"/>
      <c r="H12" s="493" t="s">
        <v>88</v>
      </c>
      <c r="I12" s="496"/>
      <c r="J12" s="494"/>
      <c r="L12"/>
      <c r="M12"/>
      <c r="N12"/>
    </row>
    <row r="13" spans="2:14" s="37" customFormat="1" ht="26.1" customHeight="1">
      <c r="B13" s="128" t="s">
        <v>83</v>
      </c>
      <c r="C13" s="129" t="s">
        <v>89</v>
      </c>
      <c r="D13" s="143" t="s">
        <v>90</v>
      </c>
      <c r="E13" s="130" t="s">
        <v>91</v>
      </c>
      <c r="F13" s="129" t="s">
        <v>92</v>
      </c>
      <c r="H13" s="128" t="s">
        <v>90</v>
      </c>
      <c r="I13" s="130" t="s">
        <v>91</v>
      </c>
      <c r="J13" s="129" t="s">
        <v>92</v>
      </c>
      <c r="L13"/>
      <c r="M13"/>
      <c r="N13"/>
    </row>
    <row r="14" spans="2:14" s="37" customFormat="1" ht="26.1" customHeight="1">
      <c r="B14" s="149">
        <f>$C$6+C14/1440</f>
        <v>44753.864583333328</v>
      </c>
      <c r="C14" s="72">
        <v>5</v>
      </c>
      <c r="D14" s="150">
        <f t="shared" ref="D14:D20" si="0">baseTemp+H14</f>
        <v>14.799999999999999</v>
      </c>
      <c r="E14" s="151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2">
        <f t="shared" ref="B15:B23" si="1">$C$6+C15/1440</f>
        <v>44753.881944444445</v>
      </c>
      <c r="C15" s="71">
        <v>30</v>
      </c>
      <c r="D15" s="153">
        <f t="shared" si="0"/>
        <v>14.4</v>
      </c>
      <c r="E15" s="154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2">
        <f t="shared" si="1"/>
        <v>44753.902777777774</v>
      </c>
      <c r="C16" s="71">
        <v>60</v>
      </c>
      <c r="D16" s="153">
        <f t="shared" si="0"/>
        <v>14.4</v>
      </c>
      <c r="E16" s="154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2">
        <f t="shared" si="1"/>
        <v>44753.944444444445</v>
      </c>
      <c r="C17" s="71">
        <v>120</v>
      </c>
      <c r="D17" s="153">
        <f t="shared" si="0"/>
        <v>14.9</v>
      </c>
      <c r="E17" s="154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2">
        <f t="shared" si="1"/>
        <v>44754.027777777774</v>
      </c>
      <c r="C18" s="71">
        <v>240</v>
      </c>
      <c r="D18" s="153">
        <f t="shared" si="0"/>
        <v>14.299999999999999</v>
      </c>
      <c r="E18" s="154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2">
        <f t="shared" si="1"/>
        <v>44754.194444444445</v>
      </c>
      <c r="C19" s="71">
        <v>480</v>
      </c>
      <c r="D19" s="155">
        <f t="shared" si="0"/>
        <v>14.799999999999999</v>
      </c>
      <c r="E19" s="154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2">
        <f t="shared" si="1"/>
        <v>44754.861111111109</v>
      </c>
      <c r="C20" s="71">
        <v>1440</v>
      </c>
      <c r="D20" s="153">
        <f t="shared" si="0"/>
        <v>14.799999999999999</v>
      </c>
      <c r="E20" s="154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2">
        <f t="shared" si="1"/>
        <v>44755.027777777774</v>
      </c>
      <c r="C21" s="71">
        <v>1680</v>
      </c>
      <c r="D21" s="153">
        <f>$D$20</f>
        <v>14.799999999999999</v>
      </c>
      <c r="E21" s="154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2">
        <f t="shared" si="1"/>
        <v>44755.194444444445</v>
      </c>
      <c r="C22" s="71">
        <v>1920</v>
      </c>
      <c r="D22" s="153">
        <f t="shared" ref="D22:D23" si="4">$D$20</f>
        <v>14.799999999999999</v>
      </c>
      <c r="E22" s="154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2">
        <f t="shared" si="1"/>
        <v>44755.861111111109</v>
      </c>
      <c r="C23" s="71">
        <v>2880</v>
      </c>
      <c r="D23" s="153">
        <f t="shared" si="4"/>
        <v>14.799999999999999</v>
      </c>
      <c r="E23" s="154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497" t="s">
        <v>36</v>
      </c>
      <c r="C24" s="498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497" t="s">
        <v>37</v>
      </c>
      <c r="C25" s="498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491" t="s">
        <v>93</v>
      </c>
      <c r="C26" s="492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I11" sqref="I1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82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95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30" t="s">
        <v>83</v>
      </c>
      <c r="C6" s="331">
        <v>44753.861111111109</v>
      </c>
      <c r="D6" s="125"/>
      <c r="E6" s="37"/>
      <c r="F6" s="37"/>
    </row>
    <row r="7" spans="2:9" s="38" customFormat="1" ht="26.1" customHeight="1" thickBot="1">
      <c r="B7" s="328" t="s">
        <v>84</v>
      </c>
      <c r="C7" s="329">
        <v>14</v>
      </c>
      <c r="D7" s="125"/>
      <c r="E7" s="37"/>
      <c r="F7" s="37"/>
    </row>
    <row r="8" spans="2:9" s="38" customFormat="1" ht="26.1" customHeight="1">
      <c r="B8" s="126" t="s">
        <v>85</v>
      </c>
      <c r="C8" s="127">
        <v>226</v>
      </c>
      <c r="D8" s="126">
        <v>229</v>
      </c>
      <c r="E8" s="37"/>
      <c r="F8" s="37"/>
    </row>
    <row r="9" spans="2:9" s="38" customFormat="1" ht="26.1" customHeight="1">
      <c r="B9" s="126" t="s">
        <v>86</v>
      </c>
      <c r="C9" s="127">
        <v>7.9</v>
      </c>
      <c r="D9" s="126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493" t="s">
        <v>87</v>
      </c>
      <c r="C12" s="494"/>
      <c r="D12" s="493" t="s">
        <v>88</v>
      </c>
      <c r="E12" s="496"/>
      <c r="F12" s="494"/>
      <c r="G12" s="499" t="s">
        <v>161</v>
      </c>
      <c r="H12" s="500"/>
      <c r="I12" s="501"/>
    </row>
    <row r="13" spans="2:9" s="37" customFormat="1" ht="26.1" customHeight="1">
      <c r="B13" s="128" t="s">
        <v>83</v>
      </c>
      <c r="C13" s="129" t="s">
        <v>89</v>
      </c>
      <c r="D13" s="308" t="s">
        <v>90</v>
      </c>
      <c r="E13" s="309" t="s">
        <v>91</v>
      </c>
      <c r="F13" s="310" t="s">
        <v>92</v>
      </c>
      <c r="G13" s="314" t="s">
        <v>90</v>
      </c>
      <c r="H13" s="315" t="s">
        <v>91</v>
      </c>
      <c r="I13" s="316" t="s">
        <v>92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21">
        <f t="shared" ref="D14:D23" si="0">baseTemp+D31</f>
        <v>14</v>
      </c>
      <c r="E14" s="312">
        <f t="shared" ref="E14:E20" si="1">$C$8+E31</f>
        <v>223</v>
      </c>
      <c r="F14" s="313">
        <f t="shared" ref="F14:F20" si="2">$C$9+F31</f>
        <v>7.83</v>
      </c>
      <c r="G14" s="321">
        <f t="shared" ref="G14:G20" si="3">baseTemp+H31</f>
        <v>14</v>
      </c>
      <c r="H14" s="312">
        <f>$D$8+I31</f>
        <v>232</v>
      </c>
      <c r="I14" s="313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21">
        <f t="shared" si="0"/>
        <v>14.1</v>
      </c>
      <c r="E15" s="312">
        <f t="shared" si="1"/>
        <v>224</v>
      </c>
      <c r="F15" s="313">
        <f t="shared" si="2"/>
        <v>7.82</v>
      </c>
      <c r="G15" s="321">
        <f t="shared" si="3"/>
        <v>14</v>
      </c>
      <c r="H15" s="312">
        <f t="shared" ref="H15:H20" si="5">$D$8+I32</f>
        <v>226</v>
      </c>
      <c r="I15" s="313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21">
        <f t="shared" si="0"/>
        <v>14</v>
      </c>
      <c r="E16" s="312">
        <f t="shared" si="1"/>
        <v>228</v>
      </c>
      <c r="F16" s="313">
        <f t="shared" si="2"/>
        <v>8.01</v>
      </c>
      <c r="G16" s="321">
        <f t="shared" si="3"/>
        <v>13.9</v>
      </c>
      <c r="H16" s="312">
        <f t="shared" si="5"/>
        <v>232</v>
      </c>
      <c r="I16" s="313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21">
        <f t="shared" si="0"/>
        <v>14</v>
      </c>
      <c r="E17" s="312">
        <f t="shared" si="1"/>
        <v>228</v>
      </c>
      <c r="F17" s="313">
        <f t="shared" si="2"/>
        <v>8.01</v>
      </c>
      <c r="G17" s="321">
        <f t="shared" si="3"/>
        <v>13.9</v>
      </c>
      <c r="H17" s="312">
        <f t="shared" si="5"/>
        <v>228</v>
      </c>
      <c r="I17" s="313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21">
        <f t="shared" si="0"/>
        <v>14.1</v>
      </c>
      <c r="E18" s="312">
        <f t="shared" si="1"/>
        <v>227</v>
      </c>
      <c r="F18" s="313">
        <f t="shared" si="2"/>
        <v>8.01</v>
      </c>
      <c r="G18" s="321">
        <f t="shared" si="3"/>
        <v>13.9</v>
      </c>
      <c r="H18" s="312">
        <f t="shared" si="5"/>
        <v>230</v>
      </c>
      <c r="I18" s="313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21">
        <f t="shared" si="0"/>
        <v>14</v>
      </c>
      <c r="E19" s="312">
        <f t="shared" si="1"/>
        <v>225</v>
      </c>
      <c r="F19" s="313">
        <f t="shared" si="2"/>
        <v>7.78</v>
      </c>
      <c r="G19" s="321">
        <f t="shared" si="3"/>
        <v>13.9</v>
      </c>
      <c r="H19" s="312">
        <f t="shared" si="5"/>
        <v>228</v>
      </c>
      <c r="I19" s="313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21">
        <f t="shared" si="0"/>
        <v>14.1</v>
      </c>
      <c r="E20" s="312">
        <f t="shared" si="1"/>
        <v>227</v>
      </c>
      <c r="F20" s="313">
        <f t="shared" si="2"/>
        <v>7.9700000000000006</v>
      </c>
      <c r="G20" s="321">
        <f t="shared" si="3"/>
        <v>13.9</v>
      </c>
      <c r="H20" s="312">
        <f t="shared" si="5"/>
        <v>227</v>
      </c>
      <c r="I20" s="313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21">
        <f t="shared" si="0"/>
        <v>14</v>
      </c>
      <c r="E21" s="312">
        <f>$E$20</f>
        <v>227</v>
      </c>
      <c r="F21" s="313">
        <f>$F$20</f>
        <v>7.9700000000000006</v>
      </c>
      <c r="G21" s="321">
        <f>$G$20</f>
        <v>13.9</v>
      </c>
      <c r="H21" s="312">
        <f>$H$20</f>
        <v>227</v>
      </c>
      <c r="I21" s="313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21">
        <f t="shared" si="0"/>
        <v>14</v>
      </c>
      <c r="E22" s="312">
        <f t="shared" ref="E22:E23" si="7">$E$20</f>
        <v>227</v>
      </c>
      <c r="F22" s="313">
        <f t="shared" ref="F22:F23" si="8">$F$20</f>
        <v>7.9700000000000006</v>
      </c>
      <c r="G22" s="321">
        <f t="shared" ref="G22:G23" si="9">$G$20</f>
        <v>13.9</v>
      </c>
      <c r="H22" s="312">
        <f t="shared" ref="H22:H23" si="10">$H$20</f>
        <v>227</v>
      </c>
      <c r="I22" s="313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21">
        <f t="shared" si="0"/>
        <v>14</v>
      </c>
      <c r="E23" s="312">
        <f t="shared" si="7"/>
        <v>227</v>
      </c>
      <c r="F23" s="313">
        <f t="shared" si="8"/>
        <v>7.9700000000000006</v>
      </c>
      <c r="G23" s="321">
        <f t="shared" si="9"/>
        <v>13.9</v>
      </c>
      <c r="H23" s="312">
        <f t="shared" si="10"/>
        <v>227</v>
      </c>
      <c r="I23" s="313">
        <f t="shared" si="11"/>
        <v>7.7299999999999995</v>
      </c>
    </row>
    <row r="24" spans="2:10" s="38" customFormat="1" ht="26.1" customHeight="1">
      <c r="B24" s="497" t="s">
        <v>36</v>
      </c>
      <c r="C24" s="498"/>
      <c r="D24" s="314">
        <f>MAX(D14:D23)</f>
        <v>14.1</v>
      </c>
      <c r="E24" s="315">
        <f t="shared" ref="E24:F24" si="12">MAX(E14:E23)</f>
        <v>228</v>
      </c>
      <c r="F24" s="316">
        <f t="shared" si="12"/>
        <v>8.01</v>
      </c>
      <c r="G24" s="314">
        <f>MAX(G14:G23)</f>
        <v>14</v>
      </c>
      <c r="H24" s="315">
        <f t="shared" ref="H24:I24" si="13">MAX(H14:H23)</f>
        <v>232</v>
      </c>
      <c r="I24" s="316">
        <f t="shared" si="13"/>
        <v>7.92</v>
      </c>
      <c r="J24" s="37"/>
    </row>
    <row r="25" spans="2:10" s="38" customFormat="1" ht="26.1" customHeight="1">
      <c r="B25" s="497" t="s">
        <v>37</v>
      </c>
      <c r="C25" s="498"/>
      <c r="D25" s="314">
        <f>MIN(D14:D23)</f>
        <v>14</v>
      </c>
      <c r="E25" s="315">
        <f t="shared" ref="E25:F25" si="14">MIN(E14:E23)</f>
        <v>223</v>
      </c>
      <c r="F25" s="317">
        <f t="shared" si="14"/>
        <v>7.78</v>
      </c>
      <c r="G25" s="314">
        <f>MIN(G14:G23)</f>
        <v>13.9</v>
      </c>
      <c r="H25" s="315">
        <f t="shared" ref="H25:I25" si="15">MIN(H14:H23)</f>
        <v>226</v>
      </c>
      <c r="I25" s="316">
        <f t="shared" si="15"/>
        <v>7.7</v>
      </c>
      <c r="J25" s="37"/>
    </row>
    <row r="26" spans="2:10" s="38" customFormat="1" ht="26.1" customHeight="1" thickBot="1">
      <c r="B26" s="491" t="s">
        <v>93</v>
      </c>
      <c r="C26" s="492"/>
      <c r="D26" s="318">
        <f>D24-D25</f>
        <v>9.9999999999999645E-2</v>
      </c>
      <c r="E26" s="319">
        <f t="shared" ref="E26:F26" si="16">E24-E25</f>
        <v>5</v>
      </c>
      <c r="F26" s="320">
        <f t="shared" si="16"/>
        <v>0.22999999999999954</v>
      </c>
      <c r="G26" s="318">
        <f>G24-G25</f>
        <v>9.9999999999999645E-2</v>
      </c>
      <c r="H26" s="319">
        <f t="shared" ref="H26:I26" si="17">H24-H25</f>
        <v>6</v>
      </c>
      <c r="I26" s="320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493" t="s">
        <v>88</v>
      </c>
      <c r="E29" s="496"/>
      <c r="F29" s="494"/>
      <c r="H29" s="493" t="s">
        <v>161</v>
      </c>
      <c r="I29" s="496"/>
      <c r="J29" s="494"/>
    </row>
    <row r="30" spans="2:10" s="38" customFormat="1" ht="18" customHeight="1">
      <c r="D30" s="128" t="s">
        <v>90</v>
      </c>
      <c r="E30" s="130" t="s">
        <v>91</v>
      </c>
      <c r="F30" s="129" t="s">
        <v>92</v>
      </c>
      <c r="H30" s="128" t="s">
        <v>90</v>
      </c>
      <c r="I30" s="130" t="s">
        <v>91</v>
      </c>
      <c r="J30" s="129" t="s">
        <v>92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8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I28" sqref="I28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82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95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30" t="s">
        <v>83</v>
      </c>
      <c r="C6" s="331">
        <v>44717.430555555555</v>
      </c>
      <c r="D6" s="125"/>
      <c r="E6" s="37"/>
      <c r="F6" s="37"/>
    </row>
    <row r="7" spans="2:12" s="38" customFormat="1" ht="26.1" customHeight="1" thickBot="1">
      <c r="B7" s="328" t="s">
        <v>84</v>
      </c>
      <c r="C7" s="329">
        <v>14.7</v>
      </c>
      <c r="D7" s="125"/>
      <c r="E7" s="37"/>
      <c r="F7" s="37"/>
    </row>
    <row r="8" spans="2:12" s="38" customFormat="1" ht="26.1" customHeight="1">
      <c r="B8" s="126" t="s">
        <v>85</v>
      </c>
      <c r="C8" s="127">
        <v>197</v>
      </c>
      <c r="D8" s="126">
        <v>197</v>
      </c>
      <c r="E8" s="37">
        <v>194</v>
      </c>
      <c r="F8" s="37"/>
    </row>
    <row r="9" spans="2:12" s="38" customFormat="1" ht="26.1" customHeight="1">
      <c r="B9" s="126" t="s">
        <v>86</v>
      </c>
      <c r="C9" s="127">
        <v>8.4</v>
      </c>
      <c r="D9" s="126">
        <v>8.3000000000000007</v>
      </c>
      <c r="E9" s="37">
        <v>8.4</v>
      </c>
      <c r="F9" s="37"/>
    </row>
    <row r="10" spans="2:12" s="38" customFormat="1" ht="26.1" customHeight="1">
      <c r="B10" s="126"/>
      <c r="C10" s="127"/>
      <c r="D10" s="125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493" t="s">
        <v>87</v>
      </c>
      <c r="C12" s="494"/>
      <c r="D12" s="499" t="s">
        <v>246</v>
      </c>
      <c r="E12" s="500"/>
      <c r="F12" s="501"/>
      <c r="G12" s="499" t="s">
        <v>161</v>
      </c>
      <c r="H12" s="500"/>
      <c r="I12" s="501"/>
      <c r="J12" s="499" t="s">
        <v>162</v>
      </c>
      <c r="K12" s="500"/>
      <c r="L12" s="501"/>
    </row>
    <row r="13" spans="2:12" s="37" customFormat="1" ht="27" customHeight="1">
      <c r="B13" s="128" t="s">
        <v>83</v>
      </c>
      <c r="C13" s="129" t="s">
        <v>89</v>
      </c>
      <c r="D13" s="314" t="s">
        <v>165</v>
      </c>
      <c r="E13" s="315" t="s">
        <v>175</v>
      </c>
      <c r="F13" s="316" t="s">
        <v>92</v>
      </c>
      <c r="G13" s="314" t="s">
        <v>165</v>
      </c>
      <c r="H13" s="315" t="s">
        <v>175</v>
      </c>
      <c r="I13" s="316" t="s">
        <v>92</v>
      </c>
      <c r="J13" s="314" t="s">
        <v>165</v>
      </c>
      <c r="K13" s="315" t="s">
        <v>175</v>
      </c>
      <c r="L13" s="316" t="s">
        <v>92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11">
        <f t="shared" ref="D14:D20" si="0">baseTemp+D31</f>
        <v>14.7</v>
      </c>
      <c r="E14" s="312">
        <f t="shared" ref="E14:E20" si="1">$C$8+E31</f>
        <v>194</v>
      </c>
      <c r="F14" s="313">
        <f t="shared" ref="F14:F20" si="2">$C$9+F31</f>
        <v>8.33</v>
      </c>
      <c r="G14" s="321">
        <f t="shared" ref="G14:G20" si="3">baseTemp+H31</f>
        <v>14.7</v>
      </c>
      <c r="H14" s="312">
        <f>$D$8+I31</f>
        <v>200</v>
      </c>
      <c r="I14" s="313">
        <f>$D$9+J31</f>
        <v>8.39</v>
      </c>
      <c r="J14" s="321">
        <f t="shared" ref="J14:J20" si="4">baseTemp+L31</f>
        <v>14.7</v>
      </c>
      <c r="K14" s="312">
        <f>$E$8+M31</f>
        <v>195</v>
      </c>
      <c r="L14" s="313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11">
        <f t="shared" si="0"/>
        <v>14.799999999999999</v>
      </c>
      <c r="E15" s="312">
        <f t="shared" si="1"/>
        <v>195</v>
      </c>
      <c r="F15" s="313">
        <f t="shared" si="2"/>
        <v>8.32</v>
      </c>
      <c r="G15" s="321">
        <f t="shared" si="3"/>
        <v>14.7</v>
      </c>
      <c r="H15" s="312">
        <f t="shared" ref="H15:H20" si="6">$D$8+I32</f>
        <v>194</v>
      </c>
      <c r="I15" s="313">
        <f t="shared" ref="I15:I20" si="7">$D$9+J32</f>
        <v>8.2100000000000009</v>
      </c>
      <c r="J15" s="321">
        <f t="shared" si="4"/>
        <v>14.7</v>
      </c>
      <c r="K15" s="312">
        <f t="shared" ref="K15:K20" si="8">$E$8+M32</f>
        <v>192</v>
      </c>
      <c r="L15" s="313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11">
        <f t="shared" si="0"/>
        <v>14.7</v>
      </c>
      <c r="E16" s="312">
        <f t="shared" si="1"/>
        <v>199</v>
      </c>
      <c r="F16" s="313">
        <f t="shared" si="2"/>
        <v>8.51</v>
      </c>
      <c r="G16" s="321">
        <f t="shared" si="3"/>
        <v>14.6</v>
      </c>
      <c r="H16" s="312">
        <f t="shared" si="6"/>
        <v>200</v>
      </c>
      <c r="I16" s="313">
        <f t="shared" si="7"/>
        <v>8.2000000000000011</v>
      </c>
      <c r="J16" s="321">
        <f t="shared" si="4"/>
        <v>14.799999999999999</v>
      </c>
      <c r="K16" s="312">
        <f t="shared" si="8"/>
        <v>193</v>
      </c>
      <c r="L16" s="313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11">
        <f t="shared" si="0"/>
        <v>14.7</v>
      </c>
      <c r="E17" s="312">
        <f t="shared" si="1"/>
        <v>199</v>
      </c>
      <c r="F17" s="313">
        <f t="shared" si="2"/>
        <v>8.51</v>
      </c>
      <c r="G17" s="321">
        <f t="shared" si="3"/>
        <v>14.6</v>
      </c>
      <c r="H17" s="312">
        <f t="shared" si="6"/>
        <v>196</v>
      </c>
      <c r="I17" s="313">
        <f t="shared" si="7"/>
        <v>8.2000000000000011</v>
      </c>
      <c r="J17" s="321">
        <f t="shared" si="4"/>
        <v>14.799999999999999</v>
      </c>
      <c r="K17" s="312">
        <f t="shared" si="8"/>
        <v>196</v>
      </c>
      <c r="L17" s="313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11">
        <f t="shared" si="0"/>
        <v>14.799999999999999</v>
      </c>
      <c r="E18" s="312">
        <f t="shared" si="1"/>
        <v>198</v>
      </c>
      <c r="F18" s="313">
        <f t="shared" si="2"/>
        <v>8.51</v>
      </c>
      <c r="G18" s="321">
        <f t="shared" si="3"/>
        <v>14.6</v>
      </c>
      <c r="H18" s="312">
        <f t="shared" si="6"/>
        <v>198</v>
      </c>
      <c r="I18" s="313">
        <f t="shared" si="7"/>
        <v>8.2000000000000011</v>
      </c>
      <c r="J18" s="321">
        <f t="shared" si="4"/>
        <v>14.6</v>
      </c>
      <c r="K18" s="312">
        <f t="shared" si="8"/>
        <v>196</v>
      </c>
      <c r="L18" s="313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11">
        <f t="shared" si="0"/>
        <v>14.7</v>
      </c>
      <c r="E19" s="312">
        <f t="shared" si="1"/>
        <v>196</v>
      </c>
      <c r="F19" s="313">
        <f t="shared" si="2"/>
        <v>8.2800000000000011</v>
      </c>
      <c r="G19" s="321">
        <f t="shared" si="3"/>
        <v>14.6</v>
      </c>
      <c r="H19" s="312">
        <f t="shared" si="6"/>
        <v>196</v>
      </c>
      <c r="I19" s="313">
        <f t="shared" si="7"/>
        <v>8.42</v>
      </c>
      <c r="J19" s="321">
        <f t="shared" si="4"/>
        <v>14.799999999999999</v>
      </c>
      <c r="K19" s="312">
        <f t="shared" si="8"/>
        <v>191</v>
      </c>
      <c r="L19" s="313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11">
        <f t="shared" si="0"/>
        <v>14.799999999999999</v>
      </c>
      <c r="E20" s="312">
        <f t="shared" si="1"/>
        <v>198</v>
      </c>
      <c r="F20" s="313">
        <f t="shared" si="2"/>
        <v>8.4700000000000006</v>
      </c>
      <c r="G20" s="321">
        <f t="shared" si="3"/>
        <v>14.6</v>
      </c>
      <c r="H20" s="312">
        <f t="shared" si="6"/>
        <v>195</v>
      </c>
      <c r="I20" s="313">
        <f t="shared" si="7"/>
        <v>8.23</v>
      </c>
      <c r="J20" s="321">
        <f t="shared" si="4"/>
        <v>14.6</v>
      </c>
      <c r="K20" s="312">
        <f t="shared" si="8"/>
        <v>191</v>
      </c>
      <c r="L20" s="313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11">
        <f>$D$20</f>
        <v>14.799999999999999</v>
      </c>
      <c r="E21" s="312">
        <f>$E$20</f>
        <v>198</v>
      </c>
      <c r="F21" s="313">
        <f>$F$20</f>
        <v>8.4700000000000006</v>
      </c>
      <c r="G21" s="321">
        <f>$G$20</f>
        <v>14.6</v>
      </c>
      <c r="H21" s="312">
        <f>$H$20</f>
        <v>195</v>
      </c>
      <c r="I21" s="313">
        <f>$I$20</f>
        <v>8.23</v>
      </c>
      <c r="J21" s="321">
        <f>$J$20</f>
        <v>14.6</v>
      </c>
      <c r="K21" s="312">
        <f>$K$20</f>
        <v>191</v>
      </c>
      <c r="L21" s="313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11">
        <f t="shared" ref="D22:D23" si="10">$D$20</f>
        <v>14.799999999999999</v>
      </c>
      <c r="E22" s="312">
        <f t="shared" ref="E22:E23" si="11">$E$20</f>
        <v>198</v>
      </c>
      <c r="F22" s="313">
        <f t="shared" ref="F22:F23" si="12">$F$20</f>
        <v>8.4700000000000006</v>
      </c>
      <c r="G22" s="321">
        <f t="shared" ref="G22:G23" si="13">$G$20</f>
        <v>14.6</v>
      </c>
      <c r="H22" s="312">
        <f t="shared" ref="H22:H23" si="14">$H$20</f>
        <v>195</v>
      </c>
      <c r="I22" s="313">
        <f t="shared" ref="I22:I23" si="15">$I$20</f>
        <v>8.23</v>
      </c>
      <c r="J22" s="321">
        <f t="shared" ref="J22:J23" si="16">$J$20</f>
        <v>14.6</v>
      </c>
      <c r="K22" s="312">
        <f t="shared" ref="K22:K23" si="17">$K$20</f>
        <v>191</v>
      </c>
      <c r="L22" s="313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11">
        <f t="shared" si="10"/>
        <v>14.799999999999999</v>
      </c>
      <c r="E23" s="312">
        <f t="shared" si="11"/>
        <v>198</v>
      </c>
      <c r="F23" s="313">
        <f t="shared" si="12"/>
        <v>8.4700000000000006</v>
      </c>
      <c r="G23" s="321">
        <f t="shared" si="13"/>
        <v>14.6</v>
      </c>
      <c r="H23" s="312">
        <f t="shared" si="14"/>
        <v>195</v>
      </c>
      <c r="I23" s="313">
        <f t="shared" si="15"/>
        <v>8.23</v>
      </c>
      <c r="J23" s="321">
        <f t="shared" si="16"/>
        <v>14.6</v>
      </c>
      <c r="K23" s="312">
        <f t="shared" si="17"/>
        <v>191</v>
      </c>
      <c r="L23" s="313">
        <f t="shared" si="18"/>
        <v>8.33</v>
      </c>
    </row>
    <row r="24" spans="2:14" s="38" customFormat="1" ht="27" customHeight="1">
      <c r="B24" s="497" t="s">
        <v>36</v>
      </c>
      <c r="C24" s="498"/>
      <c r="D24" s="314">
        <f>MAX(D14:D23)</f>
        <v>14.799999999999999</v>
      </c>
      <c r="E24" s="315">
        <f t="shared" ref="E24:F24" si="19">MAX(E14:E23)</f>
        <v>199</v>
      </c>
      <c r="F24" s="316">
        <f t="shared" si="19"/>
        <v>8.51</v>
      </c>
      <c r="G24" s="314">
        <f>MAX(G14:G23)</f>
        <v>14.7</v>
      </c>
      <c r="H24" s="315">
        <f t="shared" ref="H24:I24" si="20">MAX(H14:H23)</f>
        <v>200</v>
      </c>
      <c r="I24" s="316">
        <f t="shared" si="20"/>
        <v>8.42</v>
      </c>
      <c r="J24" s="314">
        <f>MAX(J14:J23)</f>
        <v>14.799999999999999</v>
      </c>
      <c r="K24" s="315">
        <f t="shared" ref="K24:L24" si="21">MAX(K14:K23)</f>
        <v>196</v>
      </c>
      <c r="L24" s="316">
        <f t="shared" si="21"/>
        <v>8.52</v>
      </c>
    </row>
    <row r="25" spans="2:14" s="38" customFormat="1" ht="27" customHeight="1">
      <c r="B25" s="497" t="s">
        <v>37</v>
      </c>
      <c r="C25" s="498"/>
      <c r="D25" s="314">
        <f>MIN(D14:D23)</f>
        <v>14.7</v>
      </c>
      <c r="E25" s="315">
        <f t="shared" ref="E25:F25" si="22">MIN(E14:E23)</f>
        <v>194</v>
      </c>
      <c r="F25" s="316">
        <f t="shared" si="22"/>
        <v>8.2800000000000011</v>
      </c>
      <c r="G25" s="314">
        <f>MIN(G14:G23)</f>
        <v>14.6</v>
      </c>
      <c r="H25" s="315">
        <f t="shared" ref="H25:I25" si="23">MIN(H14:H23)</f>
        <v>194</v>
      </c>
      <c r="I25" s="316">
        <f t="shared" si="23"/>
        <v>8.2000000000000011</v>
      </c>
      <c r="J25" s="314">
        <f>MIN(J14:J23)</f>
        <v>14.6</v>
      </c>
      <c r="K25" s="315">
        <f t="shared" ref="K25:L25" si="24">MIN(K14:K23)</f>
        <v>191</v>
      </c>
      <c r="L25" s="316">
        <f t="shared" si="24"/>
        <v>8.2800000000000011</v>
      </c>
    </row>
    <row r="26" spans="2:14" s="38" customFormat="1" ht="27" customHeight="1" thickBot="1">
      <c r="B26" s="491" t="s">
        <v>93</v>
      </c>
      <c r="C26" s="492"/>
      <c r="D26" s="318">
        <f>D24-D25</f>
        <v>9.9999999999999645E-2</v>
      </c>
      <c r="E26" s="319">
        <f t="shared" ref="E26:F26" si="25">E24-E25</f>
        <v>5</v>
      </c>
      <c r="F26" s="320">
        <f t="shared" si="25"/>
        <v>0.22999999999999865</v>
      </c>
      <c r="G26" s="318">
        <f>G24-G25</f>
        <v>9.9999999999999645E-2</v>
      </c>
      <c r="H26" s="319">
        <f t="shared" ref="H26:I26" si="26">H24-H25</f>
        <v>6</v>
      </c>
      <c r="I26" s="320">
        <f t="shared" si="26"/>
        <v>0.21999999999999886</v>
      </c>
      <c r="J26" s="318">
        <f>J24-J25</f>
        <v>0.19999999999999929</v>
      </c>
      <c r="K26" s="319">
        <f t="shared" ref="K26:L26" si="27">K24-K25</f>
        <v>5</v>
      </c>
      <c r="L26" s="320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493" t="s">
        <v>88</v>
      </c>
      <c r="E29" s="496"/>
      <c r="F29" s="494"/>
      <c r="H29" s="493" t="s">
        <v>161</v>
      </c>
      <c r="I29" s="496"/>
      <c r="J29" s="494"/>
      <c r="L29" s="493" t="s">
        <v>162</v>
      </c>
      <c r="M29" s="496"/>
      <c r="N29" s="494"/>
    </row>
    <row r="30" spans="2:14" s="38" customFormat="1" ht="18" customHeight="1">
      <c r="D30" s="128" t="s">
        <v>166</v>
      </c>
      <c r="E30" s="130" t="s">
        <v>167</v>
      </c>
      <c r="F30" s="129" t="s">
        <v>92</v>
      </c>
      <c r="H30" s="128" t="s">
        <v>166</v>
      </c>
      <c r="I30" s="130" t="s">
        <v>167</v>
      </c>
      <c r="J30" s="129" t="s">
        <v>92</v>
      </c>
      <c r="L30" s="128" t="s">
        <v>166</v>
      </c>
      <c r="M30" s="130" t="s">
        <v>167</v>
      </c>
      <c r="N30" s="129" t="s">
        <v>92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12</vt:i4>
      </vt:variant>
    </vt:vector>
  </HeadingPairs>
  <TitlesOfParts>
    <vt:vector size="27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2023-03-16T10:31:01Z</dcterms:modified>
</cp:coreProperties>
</file>