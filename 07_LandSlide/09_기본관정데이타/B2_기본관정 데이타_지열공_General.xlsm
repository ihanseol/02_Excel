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1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17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68E523C-851B-457C-B753-348710E823E7}" xr6:coauthVersionLast="47" xr6:coauthVersionMax="47" xr10:uidLastSave="{00000000-0000-0000-0000-000000000000}"/>
  <bookViews>
    <workbookView xWindow="5325" yWindow="420" windowWidth="28515" windowHeight="19635" tabRatio="598" activeTab="7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Well" sheetId="52" r:id="rId8"/>
    <sheet name="Aggregate1" sheetId="148" state="hidden" r:id="rId9"/>
    <sheet name="Aggregate2" sheetId="157" state="hidden" r:id="rId10"/>
    <sheet name="aggWhpa" sheetId="172" state="hidden" r:id="rId11"/>
    <sheet name="AggSum" sheetId="175" state="hidden" r:id="rId12"/>
    <sheet name="1" sheetId="55" r:id="rId13"/>
    <sheet name="2" sheetId="185" r:id="rId14"/>
    <sheet name="3" sheetId="186" r:id="rId15"/>
    <sheet name="Q1" sheetId="100" r:id="rId16"/>
    <sheet name="Q2" sheetId="117" r:id="rId17"/>
    <sheet name="Q3" sheetId="115" r:id="rId18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D49" i="23" l="1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I8" i="52" l="1"/>
  <c r="E21" i="186"/>
  <c r="F21" i="186"/>
  <c r="E22" i="186" s="1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K30" i="186" l="1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1" i="55"/>
  <c r="F7" i="185"/>
  <c r="E22" i="185"/>
  <c r="E19" i="186"/>
  <c r="J26" i="185"/>
  <c r="F5" i="185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6" i="186" l="1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5" i="115" s="1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4" i="115" l="1"/>
  <c r="E24" i="115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E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<sst xmlns="http://schemas.openxmlformats.org/spreadsheetml/2006/main" count="725" uniqueCount="361">
  <si>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</si>
  <si>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</si>
  <si>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</si>
  <si>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</si>
  <si>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</si>
  <si>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</si>
  <si>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</si>
  <si>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</si>
  <si>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</si>
  <si>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</si>
  <si>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</si>
  <si>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</si>
  <si>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</si>
  <si>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</si>
  <si>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</si>
  <si>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</si>
  <si>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</si>
  <si>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</si>
  <si>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</si>
  <si>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</si>
  <si>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</si>
  <si>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</si>
  <si>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</si>
  <si>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</si>
  <si>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</si>
  <si>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</si>
  <si>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</si>
  <si>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</si>
  <si>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</si>
  <si>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</si>
  <si>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</si>
  <si>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</si>
  <si>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</si>
  <si>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</si>
  <si>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</si>
  <si>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</si>
  <si>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</si>
  <si>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</si>
  <si>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</si>
  <si>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</si>
  <si>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</si>
  <si>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</si>
  <si>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</si>
  <si>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</si>
  <si>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</si>
  <si>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</si>
  <si>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</si>
  <si>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</si>
  <si>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</si>
  <si>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</si>
  <si>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</si>
  <si>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</si>
  <si>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</si>
  <si>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</si>
  <si>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</si>
  <si>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</si>
  <si>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</si>
  <si>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</si>
  <si>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</si>
  <si>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</si>
  <si>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</si>
  <si>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</si>
  <si>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</si>
  <si>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</si>
  <si>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</si>
  <si>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</si>
  <si>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</si>
  <si>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</si>
  <si>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</si>
  <si>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</si>
  <si>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</si>
  <si>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</si>
  <si>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</si>
  <si>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</si>
  <si>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</si>
  <si>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</si>
  <si>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</si>
  <si>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</si>
  <si>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</si>
  <si>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</si>
  <si>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</si>
  <si>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</si>
  <si>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</si>
  <si>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</si>
  <si>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</si>
  <si>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</si>
  <si>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</si>
  <si>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</si>
  <si>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</si>
  <si>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</si>
  <si>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</si>
  <si>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</si>
  <si>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</si>
  <si>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</si>
  <si>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</si>
  <si>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</si>
  <si>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</si>
  <si>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</si>
  <si>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</si>
  <si>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</si>
  <si>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</si>
  <si>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</si>
  <si>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</si>
  <si>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</si>
  <si>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</si>
  <si>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</si>
  <si>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</si>
  <si>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</si>
  <si>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</si>
  <si>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</si>
  <si>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</si>
  <si>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</si>
  <si>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</si>
  <si>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</si>
  <si>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</si>
  <si>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</si>
  <si>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</si>
  <si>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</si>
  <si>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</si>
  <si>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</si>
  <si>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</si>
  <si>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</si>
  <si>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</si>
  <si>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</si>
  <si>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</si>
  <si>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</si>
  <si>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</si>
  <si>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</si>
  <si>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</si>
  <si>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</si>
  <si>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</si>
  <si>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</si>
  <si>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</si>
  <si>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</si>
  <si>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</si>
  <si>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</si>
  <si>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</si>
  <si>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</si>
  <si>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</si>
  <si>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</si>
  <si>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</si>
  <si>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</si>
  <si>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</si>
  <si>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</si>
  <si>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</si>
  <si>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</si>
  <si>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</si>
  <si>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</si>
  <si>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</si>
  <si>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</si>
  <si>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</si>
  <si>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</si>
  <si>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</si>
  <si>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</si>
  <si>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</si>
  <si>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</si>
  <si>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</si>
  <si>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</si>
  <si>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</si>
  <si>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</si>
  <si>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</si>
  <si>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</si>
  <si>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</si>
  <si>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</si>
  <si>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</si>
  <si>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</si>
  <si>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</si>
  <si>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</si>
  <si>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</si>
  <si>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</si>
  <si>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</si>
  <si>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</si>
  <si>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</si>
  <si>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</si>
  <si>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</si>
  <si>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</si>
  <si>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</si>
  <si>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</si>
  <si>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</si>
  <si>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</si>
  <si>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</si>
  <si>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</si>
  <si>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</si>
  <si>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</si>
  <si>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</si>
  <si>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</si>
  <si>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</si>
  <si>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</si>
  <si>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</si>
  <si>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</si>
  <si>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</si>
  <si>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</si>
  <si>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</si>
  <si>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</si>
  <si>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</si>
  <si>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</si>
  <si>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</si>
  <si>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</si>
  <si>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</si>
  <si>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</si>
  <si>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</si>
  <si>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</si>
  <si>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</si>
  <si>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</si>
  <si>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</si>
  <si>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</si>
  <si>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</si>
  <si>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</si>
  <si>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</si>
  <si>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</si>
  <si>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</si>
  <si>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</si>
  <si>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</si>
  <si>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</si>
  <si>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</si>
  <si>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</si>
  <si>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</si>
  <si>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</si>
  <si>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</si>
  <si>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</si>
  <si>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</si>
  <si>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</si>
  <si>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</si>
  <si>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</si>
  <si>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</si>
  <si>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</si>
  <si>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</si>
  <si>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</si>
  <si>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</si>
  <si>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</si>
  <si>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</si>
  <si>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</si>
  <si>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</si>
  <si>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</si>
  <si>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</si>
  <si>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</si>
  <si>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</si>
  <si>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</si>
  <si>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</si>
  <si>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</si>
  <si>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</si>
  <si>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</si>
  <si>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</si>
  <si>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</si>
  <si>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</si>
  <si>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</si>
  <si>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</si>
  <si>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</si>
  <si>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</si>
  <si>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</si>
  <si>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</si>
  <si>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</si>
  <si>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</si>
  <si>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</si>
  <si>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</si>
  <si>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</si>
  <si>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</si>
  <si>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</si>
  <si>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</si>
  <si>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</si>
  <si>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</si>
  <si>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</si>
  <si>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</si>
  <si>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</si>
  <si>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</si>
  <si>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</si>
  <si>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</si>
  <si>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</si>
  <si>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</si>
  <si>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</si>
  <si>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</si>
  <si>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</si>
  <si>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</si>
  <si>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</si>
  <si>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</si>
  <si>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</si>
  <si>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</si>
  <si>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</si>
  <si>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</si>
  <si>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</si>
  <si>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</si>
  <si>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</si>
  <si>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</si>
  <si>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</si>
  <si>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</si>
  <si>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</si>
  <si>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</si>
  <si>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</si>
  <si>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</si>
  <si>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</si>
  <si>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</si>
  <si>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</si>
  <si>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</si>
  <si>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</si>
  <si>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</si>
  <si>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</si>
  <si>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</si>
  <si>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</si>
  <si>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</si>
  <si>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</si>
  <si>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</si>
  <si>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</si>
  <si>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</si>
  <si>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</si>
  <si>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</si>
  <si>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</si>
  <si>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</si>
  <si>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</si>
  <si>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</si>
  <si>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</si>
  <si>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</si>
  <si>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</si>
  <si>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</si>
  <si>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</si>
  <si>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</si>
  <si>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</si>
  <si>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</si>
  <si>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</si>
  <si>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</si>
  <si>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</si>
  <si>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</si>
  <si>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</si>
  <si>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</si>
  <si>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</si>
  <si>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</si>
  <si>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</si>
  <si>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</si>
  <si>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</si>
  <si>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</si>
  <si>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</si>
  <si>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</si>
  <si>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</si>
  <si>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</si>
  <si>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</si>
  <si>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</si>
  <si>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</si>
  <si>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</si>
  <si>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</si>
  <si>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</si>
  <si>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</si>
  <si>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</si>
  <si>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</si>
  <si>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</si>
  <si>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</si>
  <si>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</si>
  <si>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</si>
  <si>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</si>
  <si>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</si>
  <si>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</si>
  <si>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</si>
  <si>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</si>
  <si>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</si>
  <si>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34.49
41.02
48.36
56.55
69.04</t>
  </si>
  <si>
    <t>19.59
26.12
33.46
41.65
54.14</t>
  </si>
  <si>
    <t>4.149
3.984
3.788
3.584
3.175</t>
  </si>
  <si>
    <t>0.241
0.251
0.264
0.279
0.315</t>
  </si>
  <si>
    <t>34.14
40.92
48.55
57.05
70.02</t>
  </si>
  <si>
    <t>20.34
27.12
34.75
43.25
56.22</t>
  </si>
  <si>
    <t>3.984
3.846
3.650
3.448
3.049</t>
  </si>
  <si>
    <t>0.251
0.260
0.274
0.290
0.328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</si>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</sst>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</numFmts>
  <fonts count="5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3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0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16" borderId="93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5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7" fontId="34" fillId="0" borderId="101" xfId="0" applyNumberFormat="1" applyFont="1" applyBorder="1" applyAlignment="1">
      <alignment horizontal="center" vertical="center"/>
    </xf>
    <xf numFmtId="0" fontId="15" fillId="0" borderId="101" xfId="0" applyFont="1" applyBorder="1" applyAlignment="1">
      <alignment horizontal="center" vertical="center" wrapText="1"/>
    </xf>
    <xf numFmtId="0" fontId="15" fillId="0" borderId="101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0" fontId="15" fillId="0" borderId="104" xfId="0" applyFont="1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34" fillId="0" borderId="101" xfId="20" applyNumberFormat="1" applyFont="1" applyBorder="1" applyAlignment="1" applyProtection="1">
      <alignment horizontal="center" vertical="center"/>
      <protection locked="0"/>
    </xf>
    <xf numFmtId="3" fontId="34" fillId="0" borderId="104" xfId="20" applyNumberFormat="1" applyFont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4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7" xfId="16" applyFont="1" applyBorder="1" applyAlignment="1">
      <alignment horizontal="right" vertical="center"/>
    </xf>
    <xf numFmtId="0" fontId="52" fillId="0" borderId="98" xfId="16" applyFont="1" applyBorder="1" applyAlignment="1">
      <alignment horizontal="right" vertical="center"/>
    </xf>
    <xf numFmtId="0" fontId="52" fillId="0" borderId="99" xfId="16" applyFont="1" applyBorder="1" applyAlignment="1">
      <alignment horizontal="right" vertical="center"/>
    </xf>
    <xf numFmtId="0" fontId="51" fillId="32" borderId="100" xfId="16" applyFont="1" applyFill="1" applyBorder="1" applyAlignment="1">
      <alignment horizontal="right" vertical="center"/>
    </xf>
    <xf numFmtId="0" fontId="51" fillId="32" borderId="101" xfId="16" applyFont="1" applyFill="1" applyBorder="1" applyAlignment="1">
      <alignment horizontal="right" vertical="center"/>
    </xf>
    <xf numFmtId="0" fontId="51" fillId="32" borderId="102" xfId="16" applyFont="1" applyFill="1" applyBorder="1" applyAlignment="1">
      <alignment horizontal="right" vertical="center"/>
    </xf>
    <xf numFmtId="0" fontId="49" fillId="32" borderId="100" xfId="16" applyFont="1" applyFill="1" applyBorder="1" applyAlignment="1">
      <alignment horizontal="right" vertical="center"/>
    </xf>
    <xf numFmtId="0" fontId="49" fillId="32" borderId="101" xfId="16" applyFont="1" applyFill="1" applyBorder="1" applyAlignment="1">
      <alignment horizontal="right" vertical="center"/>
    </xf>
    <xf numFmtId="0" fontId="49" fillId="32" borderId="102" xfId="16" applyFont="1" applyFill="1" applyBorder="1" applyAlignment="1">
      <alignment horizontal="right" vertical="center"/>
    </xf>
    <xf numFmtId="0" fontId="49" fillId="0" borderId="100" xfId="16" applyFont="1" applyBorder="1" applyAlignment="1">
      <alignment horizontal="right" vertical="center"/>
    </xf>
    <xf numFmtId="0" fontId="49" fillId="0" borderId="101" xfId="16" applyFont="1" applyBorder="1" applyAlignment="1">
      <alignment horizontal="right" vertical="center"/>
    </xf>
    <xf numFmtId="0" fontId="49" fillId="0" borderId="102" xfId="16" applyFont="1" applyBorder="1" applyAlignment="1">
      <alignment horizontal="right" vertical="center"/>
    </xf>
    <xf numFmtId="0" fontId="51" fillId="0" borderId="100" xfId="16" applyFont="1" applyBorder="1" applyAlignment="1">
      <alignment horizontal="right" vertical="center"/>
    </xf>
    <xf numFmtId="0" fontId="51" fillId="0" borderId="101" xfId="16" applyFont="1" applyBorder="1" applyAlignment="1">
      <alignment horizontal="right" vertical="center"/>
    </xf>
    <xf numFmtId="0" fontId="51" fillId="0" borderId="102" xfId="16" applyFont="1" applyBorder="1" applyAlignment="1">
      <alignment horizontal="right" vertical="center"/>
    </xf>
    <xf numFmtId="2" fontId="49" fillId="0" borderId="100" xfId="16" applyNumberFormat="1" applyFont="1" applyBorder="1" applyAlignment="1">
      <alignment horizontal="right" vertical="center"/>
    </xf>
    <xf numFmtId="2" fontId="49" fillId="0" borderId="101" xfId="16" applyNumberFormat="1" applyFont="1" applyBorder="1" applyAlignment="1">
      <alignment horizontal="right" vertical="center"/>
    </xf>
    <xf numFmtId="2" fontId="49" fillId="0" borderId="102" xfId="16" applyNumberFormat="1" applyFont="1" applyBorder="1" applyAlignment="1">
      <alignment horizontal="right" vertical="center"/>
    </xf>
    <xf numFmtId="0" fontId="53" fillId="33" borderId="103" xfId="16" applyFont="1" applyFill="1" applyBorder="1" applyAlignment="1">
      <alignment horizontal="right" vertical="center"/>
    </xf>
    <xf numFmtId="0" fontId="53" fillId="33" borderId="104" xfId="16" applyFont="1" applyFill="1" applyBorder="1" applyAlignment="1">
      <alignment horizontal="right" vertical="center"/>
    </xf>
    <xf numFmtId="0" fontId="53" fillId="33" borderId="105" xfId="16" applyFont="1" applyFill="1" applyBorder="1" applyAlignment="1">
      <alignment horizontal="right" vertical="center"/>
    </xf>
    <xf numFmtId="0" fontId="52" fillId="0" borderId="103" xfId="16" applyFont="1" applyBorder="1" applyAlignment="1">
      <alignment horizontal="right" vertical="center"/>
    </xf>
    <xf numFmtId="0" fontId="52" fillId="0" borderId="104" xfId="16" applyFont="1" applyBorder="1" applyAlignment="1">
      <alignment horizontal="right" vertical="center"/>
    </xf>
    <xf numFmtId="0" fontId="52" fillId="0" borderId="105" xfId="16" applyFont="1" applyBorder="1" applyAlignment="1">
      <alignment horizontal="right" vertical="center"/>
    </xf>
    <xf numFmtId="0" fontId="54" fillId="0" borderId="106" xfId="16" applyFont="1" applyBorder="1" applyAlignment="1">
      <alignment horizontal="center" vertical="center"/>
    </xf>
    <xf numFmtId="0" fontId="54" fillId="32" borderId="107" xfId="16" applyFont="1" applyFill="1" applyBorder="1" applyAlignment="1">
      <alignment horizontal="center" vertical="center"/>
    </xf>
    <xf numFmtId="0" fontId="54" fillId="0" borderId="107" xfId="16" applyFont="1" applyBorder="1" applyAlignment="1">
      <alignment horizontal="center" vertical="center"/>
    </xf>
    <xf numFmtId="0" fontId="54" fillId="0" borderId="108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47" fillId="0" borderId="4" xfId="0" applyFont="1" applyBorder="1"/>
    <xf numFmtId="0" fontId="47" fillId="0" borderId="74" xfId="0" applyFont="1" applyBorder="1"/>
    <xf numFmtId="0" fontId="47" fillId="0" borderId="25" xfId="0" applyFont="1" applyBorder="1"/>
    <xf numFmtId="0" fontId="47" fillId="0" borderId="26" xfId="0" applyFont="1" applyBorder="1"/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5" fillId="0" borderId="4" xfId="25" applyNumberFormat="1" applyFont="1" applyBorder="1" applyAlignment="1">
      <alignment horizontal="center" vertical="center"/>
    </xf>
    <xf numFmtId="189" fontId="55" fillId="0" borderId="74" xfId="25" applyNumberFormat="1" applyFont="1" applyBorder="1" applyAlignment="1">
      <alignment horizontal="center" vertical="center"/>
    </xf>
    <xf numFmtId="190" fontId="55" fillId="0" borderId="4" xfId="0" applyNumberFormat="1" applyFont="1" applyBorder="1" applyAlignment="1">
      <alignment horizontal="center" vertical="center"/>
    </xf>
    <xf numFmtId="190" fontId="55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5" fillId="0" borderId="25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189" fontId="55" fillId="0" borderId="73" xfId="25" applyNumberFormat="1" applyFont="1" applyBorder="1" applyAlignment="1">
      <alignment horizontal="center" vertical="center"/>
    </xf>
    <xf numFmtId="0" fontId="55" fillId="0" borderId="4" xfId="25" applyNumberFormat="1" applyFont="1" applyBorder="1" applyAlignment="1">
      <alignment horizontal="center" vertical="center"/>
    </xf>
    <xf numFmtId="0" fontId="55" fillId="0" borderId="74" xfId="25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182" fontId="48" fillId="0" borderId="4" xfId="0" applyNumberFormat="1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6" fillId="0" borderId="0" xfId="18" applyFont="1" applyAlignment="1">
      <alignment horizontal="left" vertical="center"/>
    </xf>
    <xf numFmtId="0" fontId="56" fillId="3" borderId="31" xfId="18" applyFont="1" applyFill="1" applyBorder="1" applyAlignment="1">
      <alignment horizontal="center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/>
    </xf>
    <xf numFmtId="0" fontId="29" fillId="9" borderId="101" xfId="0" applyFont="1" applyFill="1" applyBorder="1" applyAlignment="1">
      <alignment horizontal="center" vertical="center"/>
    </xf>
    <xf numFmtId="0" fontId="29" fillId="9" borderId="99" xfId="0" applyFont="1" applyFill="1" applyBorder="1" applyAlignment="1">
      <alignment horizontal="center" vertical="center"/>
    </xf>
    <xf numFmtId="0" fontId="29" fillId="9" borderId="102" xfId="0" applyFont="1" applyFill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 wrapText="1"/>
    </xf>
    <xf numFmtId="0" fontId="29" fillId="9" borderId="101" xfId="0" applyFont="1" applyFill="1" applyBorder="1" applyAlignment="1">
      <alignment horizontal="center" vertical="center" wrapText="1"/>
    </xf>
    <xf numFmtId="41" fontId="29" fillId="9" borderId="98" xfId="20" applyFont="1" applyFill="1" applyBorder="1" applyAlignment="1">
      <alignment horizontal="center" vertical="center" wrapText="1"/>
    </xf>
    <xf numFmtId="41" fontId="29" fillId="9" borderId="101" xfId="20" applyFont="1" applyFill="1" applyBorder="1" applyAlignment="1">
      <alignment horizontal="center" vertical="center" wrapText="1"/>
    </xf>
    <xf numFmtId="0" fontId="44" fillId="9" borderId="98" xfId="21" applyFont="1" applyFill="1" applyBorder="1" applyAlignment="1">
      <alignment horizontal="center" vertical="center" wrapText="1"/>
    </xf>
    <xf numFmtId="0" fontId="44" fillId="9" borderId="101" xfId="21" applyFont="1" applyFill="1" applyBorder="1" applyAlignment="1">
      <alignment horizontal="center" vertical="center" wrapText="1"/>
    </xf>
    <xf numFmtId="0" fontId="29" fillId="9" borderId="97" xfId="0" applyFont="1" applyFill="1" applyBorder="1" applyAlignment="1">
      <alignment horizontal="center" vertical="center"/>
    </xf>
    <xf numFmtId="0" fontId="29" fillId="9" borderId="100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10" xfId="0" applyNumberFormat="1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19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25.emf"/><Relationship Id="rId11" Type="http://schemas.openxmlformats.org/officeDocument/2006/relationships/image" Target="../media/image29.emf"/><Relationship Id="rId5" Type="http://schemas.openxmlformats.org/officeDocument/2006/relationships/image" Target="../media/image20.emf"/><Relationship Id="rId10" Type="http://schemas.openxmlformats.org/officeDocument/2006/relationships/image" Target="../media/image28.emf"/><Relationship Id="rId4" Type="http://schemas.openxmlformats.org/officeDocument/2006/relationships/image" Target="../media/image21.emf"/><Relationship Id="rId9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38.emf"/><Relationship Id="rId7" Type="http://schemas.openxmlformats.org/officeDocument/2006/relationships/image" Target="../media/image4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Relationship Id="rId9" Type="http://schemas.openxmlformats.org/officeDocument/2006/relationships/image" Target="../media/image4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85725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28575</xdr:colOff>
      <xdr:row>14</xdr:row>
      <xdr:rowOff>123825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85725</xdr:colOff>
      <xdr:row>30</xdr:row>
      <xdr:rowOff>152400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28575</xdr:colOff>
      <xdr:row>30</xdr:row>
      <xdr:rowOff>123825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85725</xdr:colOff>
      <xdr:row>46</xdr:row>
      <xdr:rowOff>152400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28575</xdr:colOff>
      <xdr:row>46</xdr:row>
      <xdr:rowOff>123825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7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7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7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7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7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7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7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7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0</xdr:row>
          <xdr:rowOff>476250</xdr:rowOff>
        </xdr:from>
        <xdr:to>
          <xdr:col>15</xdr:col>
          <xdr:colOff>390525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7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7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7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8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8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9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9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A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A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B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B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C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C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C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C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C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C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C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C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C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D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D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D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D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E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E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E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E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F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0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1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1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3.emf"/><Relationship Id="rId18" Type="http://schemas.openxmlformats.org/officeDocument/2006/relationships/control" Target="../activeX/activeX23.xml"/><Relationship Id="rId26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27.emf"/><Relationship Id="rId7" Type="http://schemas.openxmlformats.org/officeDocument/2006/relationships/image" Target="../media/image20.emf"/><Relationship Id="rId12" Type="http://schemas.openxmlformats.org/officeDocument/2006/relationships/control" Target="../activeX/activeX20.xml"/><Relationship Id="rId17" Type="http://schemas.openxmlformats.org/officeDocument/2006/relationships/image" Target="../media/image25.emf"/><Relationship Id="rId25" Type="http://schemas.openxmlformats.org/officeDocument/2006/relationships/image" Target="../media/image2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22.xml"/><Relationship Id="rId20" Type="http://schemas.openxmlformats.org/officeDocument/2006/relationships/control" Target="../activeX/activeX2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22.emf"/><Relationship Id="rId24" Type="http://schemas.openxmlformats.org/officeDocument/2006/relationships/control" Target="../activeX/activeX26.xml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23" Type="http://schemas.openxmlformats.org/officeDocument/2006/relationships/image" Target="../media/image28.emf"/><Relationship Id="rId10" Type="http://schemas.openxmlformats.org/officeDocument/2006/relationships/control" Target="../activeX/activeX19.xml"/><Relationship Id="rId19" Type="http://schemas.openxmlformats.org/officeDocument/2006/relationships/image" Target="../media/image26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30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5" Type="http://schemas.openxmlformats.org/officeDocument/2006/relationships/image" Target="../media/image32.emf"/><Relationship Id="rId4" Type="http://schemas.openxmlformats.org/officeDocument/2006/relationships/control" Target="../activeX/activeX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image" Target="../media/image35.emf"/><Relationship Id="rId5" Type="http://schemas.openxmlformats.org/officeDocument/2006/relationships/control" Target="../activeX/activeX32.xml"/><Relationship Id="rId4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42.emf"/><Relationship Id="rId1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46.emf"/><Relationship Id="rId7" Type="http://schemas.openxmlformats.org/officeDocument/2006/relationships/image" Target="../media/image39.emf"/><Relationship Id="rId12" Type="http://schemas.openxmlformats.org/officeDocument/2006/relationships/control" Target="../activeX/activeX39.xml"/><Relationship Id="rId1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6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8.xml"/><Relationship Id="rId19" Type="http://schemas.openxmlformats.org/officeDocument/2006/relationships/image" Target="../media/image45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Relationship Id="rId14" Type="http://schemas.openxmlformats.org/officeDocument/2006/relationships/control" Target="../activeX/activeX40.xml"/><Relationship Id="rId22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8.emf"/><Relationship Id="rId12" Type="http://schemas.openxmlformats.org/officeDocument/2006/relationships/comments" Target="../comments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12" Type="http://schemas.openxmlformats.org/officeDocument/2006/relationships/comments" Target="../comments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6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3.xml"/><Relationship Id="rId5" Type="http://schemas.openxmlformats.org/officeDocument/2006/relationships/image" Target="../media/image55.emf"/><Relationship Id="rId4" Type="http://schemas.openxmlformats.org/officeDocument/2006/relationships/control" Target="../activeX/activeX52.xml"/><Relationship Id="rId9" Type="http://schemas.openxmlformats.org/officeDocument/2006/relationships/image" Target="../media/image57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5" Type="http://schemas.openxmlformats.org/officeDocument/2006/relationships/image" Target="../media/image58.emf"/><Relationship Id="rId4" Type="http://schemas.openxmlformats.org/officeDocument/2006/relationships/control" Target="../activeX/activeX55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9.xml"/><Relationship Id="rId5" Type="http://schemas.openxmlformats.org/officeDocument/2006/relationships/image" Target="../media/image61.emf"/><Relationship Id="rId4" Type="http://schemas.openxmlformats.org/officeDocument/2006/relationships/control" Target="../activeX/activeX58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29" t="s">
        <v>232</v>
      </c>
      <c r="C2" s="529"/>
      <c r="D2" s="529"/>
      <c r="E2" s="529"/>
      <c r="F2" s="529"/>
      <c r="G2" s="529"/>
      <c r="H2" s="529"/>
      <c r="I2" s="529"/>
      <c r="J2" s="529"/>
      <c r="K2" s="529"/>
      <c r="L2" s="529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5" t="s">
        <v>298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P49"/>
  <sheetViews>
    <sheetView zoomScaleNormal="100" workbookViewId="0">
      <selection activeCell="M31" sqref="M3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530" t="s">
        <v>303</v>
      </c>
      <c r="J24" s="531"/>
      <c r="K24" s="411">
        <f>INDEX(Location[recharge], MATCH(I24,Location[name],0))</f>
        <v>0.128</v>
      </c>
      <c r="L24" s="412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532" t="s">
        <v>197</v>
      </c>
      <c r="J25" s="533"/>
      <c r="K25" s="413">
        <f>INDEX(Location[recharge], MATCH(I25,Location[name],0))</f>
        <v>0.16600000000000001</v>
      </c>
      <c r="L25" s="414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534" t="s">
        <v>268</v>
      </c>
      <c r="J26" s="535"/>
      <c r="K26" s="415">
        <f>INDEX(Location[recharge], MATCH(I26,Location[name],0))</f>
        <v>0.127</v>
      </c>
      <c r="L26" s="416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536" t="s">
        <v>307</v>
      </c>
      <c r="B37" s="537"/>
      <c r="C37" s="231"/>
      <c r="D37" s="421"/>
    </row>
    <row r="38" spans="1:6" ht="17.25" thickBot="1">
      <c r="A38" s="422"/>
      <c r="B38" s="423" t="s">
        <v>236</v>
      </c>
      <c r="C38" s="423" t="s">
        <v>237</v>
      </c>
      <c r="D38" s="424" t="s">
        <v>238</v>
      </c>
    </row>
    <row r="39" spans="1:6">
      <c r="A39" s="449" t="s">
        <v>297</v>
      </c>
      <c r="B39" s="425">
        <v>500</v>
      </c>
      <c r="C39" s="426">
        <v>250</v>
      </c>
      <c r="D39" s="427">
        <v>250</v>
      </c>
    </row>
    <row r="40" spans="1:6">
      <c r="A40" s="450" t="s">
        <v>308</v>
      </c>
      <c r="B40" s="428">
        <v>130</v>
      </c>
      <c r="C40" s="429">
        <v>130</v>
      </c>
      <c r="D40" s="430">
        <v>130</v>
      </c>
    </row>
    <row r="41" spans="1:6">
      <c r="A41" s="450" t="s">
        <v>309</v>
      </c>
      <c r="B41" s="431">
        <v>200</v>
      </c>
      <c r="C41" s="432">
        <v>150</v>
      </c>
      <c r="D41" s="433">
        <v>150</v>
      </c>
    </row>
    <row r="42" spans="1:6">
      <c r="A42" s="451" t="s">
        <v>310</v>
      </c>
      <c r="B42" s="434">
        <f>ROUND(B41/10,1)</f>
        <v>20</v>
      </c>
      <c r="C42" s="435">
        <f>ROUND(C41/10,1)</f>
        <v>15</v>
      </c>
      <c r="D42" s="436">
        <f>ROUND(D41/10,1)</f>
        <v>15</v>
      </c>
    </row>
    <row r="43" spans="1:6">
      <c r="A43" s="451" t="s">
        <v>311</v>
      </c>
      <c r="B43" s="437">
        <f>B41+B42</f>
        <v>220</v>
      </c>
      <c r="C43" s="438">
        <f>C41+C42</f>
        <v>165</v>
      </c>
      <c r="D43" s="439">
        <f>D41+D42</f>
        <v>165</v>
      </c>
    </row>
    <row r="44" spans="1:6">
      <c r="A44" s="451" t="s">
        <v>312</v>
      </c>
      <c r="B44" s="440">
        <v>0.45250000000000001</v>
      </c>
      <c r="C44" s="441">
        <v>0.45250000000000001</v>
      </c>
      <c r="D44" s="442">
        <v>0.45250000000000001</v>
      </c>
    </row>
    <row r="45" spans="1:6">
      <c r="A45" s="451"/>
      <c r="B45" s="434"/>
      <c r="C45" s="435"/>
      <c r="D45" s="436"/>
    </row>
    <row r="46" spans="1:6">
      <c r="A46" s="451" t="s">
        <v>313</v>
      </c>
      <c r="B46" s="434">
        <f>ROUND((B40*B43)/(6572.5*B44),4)</f>
        <v>9.6165000000000003</v>
      </c>
      <c r="C46" s="435">
        <f>ROUND((C40*C43)/(6572.5*C44),4)</f>
        <v>7.2123999999999997</v>
      </c>
      <c r="D46" s="436">
        <f>ROUND((D40*D43)/(6572.5*D44),4)</f>
        <v>7.2123999999999997</v>
      </c>
    </row>
    <row r="47" spans="1:6" ht="19.5" thickBot="1">
      <c r="A47" s="452"/>
      <c r="B47" s="443">
        <f>ROUNDUP(B46,0)</f>
        <v>10</v>
      </c>
      <c r="C47" s="444">
        <f>ROUNDUP(C46,0)</f>
        <v>8</v>
      </c>
      <c r="D47" s="445">
        <f>ROUNDUP(D46,0)</f>
        <v>8</v>
      </c>
    </row>
    <row r="48" spans="1:6">
      <c r="A48" s="449" t="s">
        <v>314</v>
      </c>
      <c r="B48" s="425">
        <v>10</v>
      </c>
      <c r="C48" s="426">
        <v>7.5</v>
      </c>
      <c r="D48" s="427">
        <v>7.5</v>
      </c>
    </row>
    <row r="49" spans="1:4" ht="17.25" thickBot="1">
      <c r="A49" s="452" t="s">
        <v>315</v>
      </c>
      <c r="B49" s="446">
        <f>ROUND((B48*B44*6572.5)/B43,1)</f>
        <v>135.19999999999999</v>
      </c>
      <c r="C49" s="447">
        <f>ROUND((C48*C44*6572.5)/C43,1)</f>
        <v>135.19999999999999</v>
      </c>
      <c r="D49" s="448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7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6">
        <v>0.13600000000000001</v>
      </c>
      <c r="C2" s="326">
        <v>0.66</v>
      </c>
    </row>
    <row r="3" spans="1:12" ht="18" customHeight="1">
      <c r="A3" s="322" t="s">
        <v>193</v>
      </c>
      <c r="B3" s="326">
        <v>0.151</v>
      </c>
      <c r="C3" s="326">
        <v>0.65</v>
      </c>
    </row>
    <row r="4" spans="1:12" ht="18" customHeight="1">
      <c r="A4" s="322" t="s">
        <v>183</v>
      </c>
      <c r="B4" s="326">
        <v>0.16700000000000001</v>
      </c>
      <c r="C4" s="326">
        <v>0.65</v>
      </c>
      <c r="J4" s="327" t="s">
        <v>195</v>
      </c>
      <c r="K4" s="327">
        <f>INDEX(Location[recharge],MATCH(J4,Location[name],0))</f>
        <v>0.16600000000000001</v>
      </c>
      <c r="L4" s="327">
        <f>INDEX(Location[ratio], MATCH(J4,Location[name]))</f>
        <v>0.65</v>
      </c>
    </row>
    <row r="5" spans="1:12" ht="18" customHeight="1">
      <c r="A5" s="322" t="s">
        <v>184</v>
      </c>
      <c r="B5" s="326">
        <v>0.17299999999999999</v>
      </c>
      <c r="C5" s="326">
        <v>0.66849999999999998</v>
      </c>
    </row>
    <row r="6" spans="1:12" ht="18" customHeight="1">
      <c r="A6" s="322" t="s">
        <v>194</v>
      </c>
      <c r="B6" s="326">
        <v>0.16300000000000001</v>
      </c>
      <c r="C6" s="326">
        <v>0.67</v>
      </c>
    </row>
    <row r="7" spans="1:12" ht="18" customHeight="1">
      <c r="A7" s="322" t="s">
        <v>196</v>
      </c>
      <c r="B7" s="326">
        <v>0.16600000000000001</v>
      </c>
      <c r="C7" s="326">
        <v>0.64</v>
      </c>
      <c r="E7" s="327" t="s">
        <v>205</v>
      </c>
    </row>
    <row r="8" spans="1:12" ht="18" customHeight="1">
      <c r="A8" s="322" t="s">
        <v>197</v>
      </c>
      <c r="B8" s="326">
        <v>0.16600000000000001</v>
      </c>
      <c r="C8" s="326">
        <v>0.64</v>
      </c>
    </row>
    <row r="9" spans="1:12" ht="18" customHeight="1">
      <c r="A9" s="322" t="s">
        <v>185</v>
      </c>
      <c r="B9" s="326">
        <v>0.125</v>
      </c>
      <c r="C9" s="326">
        <v>0.67</v>
      </c>
    </row>
    <row r="10" spans="1:12" ht="18" customHeight="1">
      <c r="A10" s="322" t="s">
        <v>198</v>
      </c>
      <c r="B10" s="326">
        <v>0.127</v>
      </c>
      <c r="C10" s="326">
        <v>0.65</v>
      </c>
    </row>
    <row r="11" spans="1:12" ht="18" customHeight="1">
      <c r="A11" s="322" t="s">
        <v>199</v>
      </c>
      <c r="B11" s="326">
        <v>0.128</v>
      </c>
      <c r="C11" s="326">
        <v>0.64</v>
      </c>
    </row>
    <row r="12" spans="1:12" ht="18" customHeight="1">
      <c r="A12" s="322" t="s">
        <v>200</v>
      </c>
      <c r="B12" s="326">
        <v>0.17499999999999999</v>
      </c>
      <c r="C12" s="326">
        <v>0.67</v>
      </c>
    </row>
    <row r="13" spans="1:12" ht="18" customHeight="1">
      <c r="A13" s="322" t="s">
        <v>213</v>
      </c>
      <c r="B13" s="326">
        <v>0.13</v>
      </c>
      <c r="C13" s="326">
        <v>0.63</v>
      </c>
    </row>
    <row r="14" spans="1:12" ht="18" customHeight="1">
      <c r="A14" s="322" t="s">
        <v>214</v>
      </c>
      <c r="B14" s="326">
        <v>0.13400000000000001</v>
      </c>
      <c r="C14" s="326">
        <v>0.65</v>
      </c>
    </row>
    <row r="15" spans="1:12" ht="18" customHeight="1">
      <c r="A15" s="322" t="s">
        <v>215</v>
      </c>
      <c r="B15" s="326">
        <v>0.16500000000000001</v>
      </c>
      <c r="C15" s="326">
        <v>0.62</v>
      </c>
    </row>
    <row r="16" spans="1:12" ht="18" customHeight="1">
      <c r="A16" s="322" t="s">
        <v>269</v>
      </c>
      <c r="B16" s="326">
        <v>0.16300000000000001</v>
      </c>
      <c r="C16" s="326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topLeftCell="A4"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37" t="s">
        <v>343</v>
      </c>
    </row>
    <row r="4" spans="3:11" ht="40.5" customHeight="1">
      <c r="C4" s="520" t="s">
        <v>336</v>
      </c>
      <c r="D4" s="521" t="s">
        <v>296</v>
      </c>
      <c r="E4" s="521" t="s">
        <v>337</v>
      </c>
      <c r="F4" s="522" t="s">
        <v>342</v>
      </c>
      <c r="G4" s="521" t="s">
        <v>328</v>
      </c>
      <c r="H4" s="521" t="s">
        <v>338</v>
      </c>
      <c r="I4" s="521" t="s">
        <v>339</v>
      </c>
      <c r="J4" s="521" t="s">
        <v>340</v>
      </c>
      <c r="K4" s="523" t="s">
        <v>341</v>
      </c>
    </row>
    <row r="5" spans="3:11" ht="97.5" customHeight="1">
      <c r="C5" s="361" t="s">
        <v>236</v>
      </c>
      <c r="D5" s="519" t="s">
        <v>344</v>
      </c>
      <c r="E5" s="519" t="s">
        <v>345</v>
      </c>
      <c r="F5" s="519" t="s">
        <v>346</v>
      </c>
      <c r="G5" s="519" t="s">
        <v>347</v>
      </c>
      <c r="H5" s="519" t="s">
        <v>348</v>
      </c>
      <c r="I5" s="519" t="s">
        <v>349</v>
      </c>
      <c r="J5" s="519" t="s">
        <v>350</v>
      </c>
      <c r="K5" s="524" t="s">
        <v>351</v>
      </c>
    </row>
    <row r="6" spans="3:11" ht="97.5" customHeight="1">
      <c r="C6" s="361" t="s">
        <v>237</v>
      </c>
      <c r="D6" s="519" t="s">
        <v>344</v>
      </c>
      <c r="E6" s="519" t="s">
        <v>345</v>
      </c>
      <c r="F6" s="519" t="s">
        <v>346</v>
      </c>
      <c r="G6" s="519" t="s">
        <v>347</v>
      </c>
      <c r="H6" s="519" t="s">
        <v>352</v>
      </c>
      <c r="I6" s="519" t="s">
        <v>353</v>
      </c>
      <c r="J6" s="519" t="s">
        <v>354</v>
      </c>
      <c r="K6" s="524" t="s">
        <v>355</v>
      </c>
    </row>
    <row r="7" spans="3:11" ht="97.5" customHeight="1">
      <c r="C7" s="361" t="s">
        <v>238</v>
      </c>
      <c r="D7" s="519" t="s">
        <v>344</v>
      </c>
      <c r="E7" s="519" t="s">
        <v>345</v>
      </c>
      <c r="F7" s="519" t="s">
        <v>346</v>
      </c>
      <c r="G7" s="519" t="s">
        <v>347</v>
      </c>
      <c r="H7" s="519" t="s">
        <v>356</v>
      </c>
      <c r="I7" s="519" t="s">
        <v>357</v>
      </c>
      <c r="J7" s="519" t="s">
        <v>358</v>
      </c>
      <c r="K7" s="524" t="s">
        <v>359</v>
      </c>
    </row>
    <row r="8" spans="3:11" ht="97.5" customHeight="1">
      <c r="C8" s="361">
        <v>4</v>
      </c>
      <c r="D8" s="487"/>
      <c r="E8" s="487"/>
      <c r="F8" s="487"/>
      <c r="G8" s="487"/>
      <c r="H8" s="487"/>
      <c r="I8" s="487"/>
      <c r="J8" s="487"/>
      <c r="K8" s="517"/>
    </row>
    <row r="9" spans="3:11" ht="97.5" customHeight="1">
      <c r="C9" s="361">
        <v>5</v>
      </c>
      <c r="D9" s="487"/>
      <c r="E9" s="487"/>
      <c r="F9" s="487"/>
      <c r="G9" s="487"/>
      <c r="H9" s="487"/>
      <c r="I9" s="487"/>
      <c r="J9" s="487"/>
      <c r="K9" s="517"/>
    </row>
    <row r="10" spans="3:11" ht="97.5" customHeight="1">
      <c r="C10" s="361">
        <v>6</v>
      </c>
      <c r="D10" s="487"/>
      <c r="E10" s="487"/>
      <c r="F10" s="487"/>
      <c r="G10" s="487"/>
      <c r="H10" s="487"/>
      <c r="I10" s="487"/>
      <c r="J10" s="487"/>
      <c r="K10" s="517"/>
    </row>
    <row r="11" spans="3:11" ht="97.5" customHeight="1">
      <c r="C11" s="361">
        <v>7</v>
      </c>
      <c r="D11" s="487"/>
      <c r="E11" s="487"/>
      <c r="F11" s="487"/>
      <c r="G11" s="487"/>
      <c r="H11" s="487"/>
      <c r="I11" s="487"/>
      <c r="J11" s="487"/>
      <c r="K11" s="517"/>
    </row>
    <row r="12" spans="3:11" ht="97.5" customHeight="1">
      <c r="C12" s="361">
        <v>8</v>
      </c>
      <c r="D12" s="487"/>
      <c r="E12" s="487"/>
      <c r="F12" s="487"/>
      <c r="G12" s="487"/>
      <c r="H12" s="487"/>
      <c r="I12" s="487"/>
      <c r="J12" s="487"/>
      <c r="K12" s="517"/>
    </row>
    <row r="13" spans="3:11" ht="97.5" customHeight="1">
      <c r="C13" s="361">
        <v>9</v>
      </c>
      <c r="D13" s="487"/>
      <c r="E13" s="487"/>
      <c r="F13" s="487"/>
      <c r="G13" s="487"/>
      <c r="H13" s="487"/>
      <c r="I13" s="487"/>
      <c r="J13" s="487"/>
      <c r="K13" s="517"/>
    </row>
    <row r="14" spans="3:11" ht="97.5" customHeight="1">
      <c r="C14" s="361">
        <v>10</v>
      </c>
      <c r="D14" s="487"/>
      <c r="E14" s="487"/>
      <c r="F14" s="487"/>
      <c r="G14" s="487"/>
      <c r="H14" s="487"/>
      <c r="I14" s="487"/>
      <c r="J14" s="487"/>
      <c r="K14" s="517"/>
    </row>
    <row r="15" spans="3:11" ht="97.5" customHeight="1">
      <c r="C15" s="361">
        <v>11</v>
      </c>
      <c r="D15" s="487"/>
      <c r="E15" s="487"/>
      <c r="F15" s="487"/>
      <c r="G15" s="487"/>
      <c r="H15" s="487"/>
      <c r="I15" s="487"/>
      <c r="J15" s="487"/>
      <c r="K15" s="517"/>
    </row>
    <row r="16" spans="3:11" ht="97.5" customHeight="1">
      <c r="C16" s="361">
        <v>12</v>
      </c>
      <c r="D16" s="487"/>
      <c r="E16" s="487"/>
      <c r="F16" s="487"/>
      <c r="G16" s="487"/>
      <c r="H16" s="487"/>
      <c r="I16" s="487"/>
      <c r="J16" s="487"/>
      <c r="K16" s="517"/>
    </row>
    <row r="17" spans="3:11" ht="97.5" customHeight="1">
      <c r="C17" s="361">
        <v>13</v>
      </c>
      <c r="D17" s="487"/>
      <c r="E17" s="487"/>
      <c r="F17" s="487"/>
      <c r="G17" s="487"/>
      <c r="H17" s="487"/>
      <c r="I17" s="487"/>
      <c r="J17" s="487"/>
      <c r="K17" s="517"/>
    </row>
    <row r="18" spans="3:11" ht="97.5" customHeight="1">
      <c r="C18" s="361">
        <v>14</v>
      </c>
      <c r="D18" s="487"/>
      <c r="E18" s="487"/>
      <c r="F18" s="487"/>
      <c r="G18" s="487"/>
      <c r="H18" s="487"/>
      <c r="I18" s="487"/>
      <c r="J18" s="487"/>
      <c r="K18" s="517"/>
    </row>
    <row r="19" spans="3:11" ht="97.5" customHeight="1" thickBot="1">
      <c r="C19" s="362">
        <v>15</v>
      </c>
      <c r="D19" s="488"/>
      <c r="E19" s="488"/>
      <c r="F19" s="488"/>
      <c r="G19" s="488"/>
      <c r="H19" s="488"/>
      <c r="I19" s="488"/>
      <c r="J19" s="488"/>
      <c r="K19" s="51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0" sqref="B20"/>
    </sheetView>
  </sheetViews>
  <sheetFormatPr defaultRowHeight="13.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E13" sqref="E13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281</v>
      </c>
      <c r="J1" s="68"/>
    </row>
    <row r="2" spans="1:18" s="77" customFormat="1" ht="23.1" customHeight="1">
      <c r="A2" s="548" t="s">
        <v>0</v>
      </c>
      <c r="B2" s="538" t="s">
        <v>39</v>
      </c>
      <c r="C2" s="538" t="s">
        <v>6</v>
      </c>
      <c r="D2" s="538" t="s">
        <v>38</v>
      </c>
      <c r="E2" s="538" t="s">
        <v>207</v>
      </c>
      <c r="F2" s="538" t="s">
        <v>206</v>
      </c>
      <c r="G2" s="542" t="s">
        <v>1</v>
      </c>
      <c r="H2" s="542" t="s">
        <v>2</v>
      </c>
      <c r="I2" s="542" t="s">
        <v>175</v>
      </c>
      <c r="J2" s="546" t="s">
        <v>290</v>
      </c>
      <c r="K2" s="542" t="s">
        <v>289</v>
      </c>
      <c r="L2" s="542" t="s">
        <v>3</v>
      </c>
      <c r="M2" s="542" t="s">
        <v>4</v>
      </c>
      <c r="N2" s="542" t="s">
        <v>5</v>
      </c>
      <c r="O2" s="542" t="s">
        <v>288</v>
      </c>
      <c r="P2" s="544" t="s">
        <v>287</v>
      </c>
      <c r="Q2" s="538" t="s">
        <v>161</v>
      </c>
      <c r="R2" s="540" t="s">
        <v>93</v>
      </c>
    </row>
    <row r="3" spans="1:18" s="77" customFormat="1" ht="27" customHeight="1">
      <c r="A3" s="549"/>
      <c r="B3" s="539"/>
      <c r="C3" s="539"/>
      <c r="D3" s="539"/>
      <c r="E3" s="539"/>
      <c r="F3" s="539"/>
      <c r="G3" s="543"/>
      <c r="H3" s="543"/>
      <c r="I3" s="543"/>
      <c r="J3" s="547"/>
      <c r="K3" s="543"/>
      <c r="L3" s="543"/>
      <c r="M3" s="543"/>
      <c r="N3" s="543"/>
      <c r="O3" s="543"/>
      <c r="P3" s="545"/>
      <c r="Q3" s="539"/>
      <c r="R3" s="541"/>
    </row>
    <row r="4" spans="1:18" ht="23.1" customHeight="1">
      <c r="A4" s="392" t="s">
        <v>267</v>
      </c>
      <c r="B4" s="393" t="s">
        <v>233</v>
      </c>
      <c r="C4" s="394"/>
      <c r="D4" s="393" t="s">
        <v>279</v>
      </c>
      <c r="E4" s="393" t="s">
        <v>280</v>
      </c>
      <c r="F4" s="393" t="s">
        <v>234</v>
      </c>
      <c r="G4" s="393">
        <v>200</v>
      </c>
      <c r="H4" s="393">
        <v>500</v>
      </c>
      <c r="I4" s="393">
        <v>130</v>
      </c>
      <c r="J4" s="393">
        <v>143</v>
      </c>
      <c r="K4" s="393">
        <v>143</v>
      </c>
      <c r="L4" s="393">
        <v>10</v>
      </c>
      <c r="M4" s="393">
        <v>200</v>
      </c>
      <c r="N4" s="395">
        <v>50</v>
      </c>
      <c r="O4" s="396">
        <v>172.8</v>
      </c>
      <c r="P4" s="408">
        <v>3059068</v>
      </c>
      <c r="Q4" s="393"/>
      <c r="R4" s="397"/>
    </row>
    <row r="5" spans="1:18" ht="23.1" customHeight="1">
      <c r="A5" s="392" t="s">
        <v>277</v>
      </c>
      <c r="B5" s="393" t="s">
        <v>233</v>
      </c>
      <c r="C5" s="394"/>
      <c r="D5" s="393" t="s">
        <v>279</v>
      </c>
      <c r="E5" s="393" t="s">
        <v>280</v>
      </c>
      <c r="F5" s="393" t="s">
        <v>234</v>
      </c>
      <c r="G5" s="393">
        <v>200</v>
      </c>
      <c r="H5" s="393">
        <v>250</v>
      </c>
      <c r="I5" s="393">
        <v>130</v>
      </c>
      <c r="J5" s="393">
        <v>143</v>
      </c>
      <c r="K5" s="393">
        <v>143</v>
      </c>
      <c r="L5" s="393">
        <v>7.5</v>
      </c>
      <c r="M5" s="393">
        <v>150</v>
      </c>
      <c r="N5" s="395">
        <v>40</v>
      </c>
      <c r="O5" s="396">
        <v>172.8</v>
      </c>
      <c r="P5" s="408">
        <v>3059068</v>
      </c>
      <c r="Q5" s="393"/>
      <c r="R5" s="397"/>
    </row>
    <row r="6" spans="1:18" ht="23.1" customHeight="1" thickBot="1">
      <c r="A6" s="398" t="s">
        <v>278</v>
      </c>
      <c r="B6" s="399" t="s">
        <v>233</v>
      </c>
      <c r="C6" s="400"/>
      <c r="D6" s="399" t="s">
        <v>279</v>
      </c>
      <c r="E6" s="399" t="s">
        <v>280</v>
      </c>
      <c r="F6" s="399" t="s">
        <v>234</v>
      </c>
      <c r="G6" s="399">
        <v>200</v>
      </c>
      <c r="H6" s="399">
        <v>250</v>
      </c>
      <c r="I6" s="399">
        <v>130</v>
      </c>
      <c r="J6" s="399">
        <v>143</v>
      </c>
      <c r="K6" s="399">
        <v>143</v>
      </c>
      <c r="L6" s="399">
        <v>7.5</v>
      </c>
      <c r="M6" s="399">
        <v>150</v>
      </c>
      <c r="N6" s="401">
        <v>40</v>
      </c>
      <c r="O6" s="402">
        <v>172.8</v>
      </c>
      <c r="P6" s="409">
        <v>3059068</v>
      </c>
      <c r="Q6" s="399"/>
      <c r="R6" s="403"/>
    </row>
    <row r="7" spans="1:18" ht="23.25" customHeight="1" thickBot="1">
      <c r="A7" s="322"/>
      <c r="J7" s="363"/>
      <c r="P7" s="364"/>
    </row>
    <row r="8" spans="1:18" ht="23.25" customHeight="1" thickBot="1">
      <c r="I8" s="410">
        <f>SUM(I4:I7)</f>
        <v>390</v>
      </c>
    </row>
    <row r="12" spans="1:18">
      <c r="Q12" s="37" t="s">
        <v>360</v>
      </c>
    </row>
    <row r="17" spans="14:14">
      <c r="N1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42" r:id="rId4" name="CommandButton7">
          <controlPr defaultSize="0" autoLine="0" r:id="rId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4" name="CommandButton7"/>
      </mc:Fallback>
    </mc:AlternateContent>
    <mc:AlternateContent xmlns:mc="http://schemas.openxmlformats.org/markup-compatibility/2006">
      <mc:Choice Requires="x14">
        <control shapeId="99335" r:id="rId6" name="CommandButton5">
          <controlPr defaultSize="0" autoLine="0" r:id="rId7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6" name="CommandButton5"/>
      </mc:Fallback>
    </mc:AlternateContent>
    <mc:AlternateContent xmlns:mc="http://schemas.openxmlformats.org/markup-compatibility/2006">
      <mc:Choice Requires="x14">
        <control shapeId="99334" r:id="rId8" name="SingleColor">
          <controlPr defaultSize="0" autoLine="0" r:id="rId9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8" name="SingleColor"/>
      </mc:Fallback>
    </mc:AlternateContent>
    <mc:AlternateContent xmlns:mc="http://schemas.openxmlformats.org/markup-compatibility/2006">
      <mc:Choice Requires="x14">
        <control shapeId="99332" r:id="rId10" name="CommandButton4">
          <controlPr defaultSize="0" autoLine="0" r:id="rId11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0" name="CommandButton4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46" r:id="rId18" name="CommandButton3">
          <controlPr defaultSize="0" autoLine="0" r:id="rId19">
            <anchor moveWithCells="1">
              <from>
                <xdr:col>14</xdr:col>
                <xdr:colOff>542925</xdr:colOff>
                <xdr:row>0</xdr:row>
                <xdr:rowOff>476250</xdr:rowOff>
              </from>
              <to>
                <xdr:col>15</xdr:col>
                <xdr:colOff>390525</xdr:colOff>
                <xdr:row>0</xdr:row>
                <xdr:rowOff>762000</xdr:rowOff>
              </to>
            </anchor>
          </controlPr>
        </control>
      </mc:Choice>
      <mc:Fallback>
        <control shapeId="99346" r:id="rId18" name="CommandButton3"/>
      </mc:Fallback>
    </mc:AlternateContent>
    <mc:AlternateContent xmlns:mc="http://schemas.openxmlformats.org/markup-compatibility/2006">
      <mc:Choice Requires="x14">
        <control shapeId="99353" r:id="rId20" name="CommandButton8">
          <controlPr defaultSize="0" autoLine="0" autoPict="0" r:id="rId2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0" name="CommandButton8"/>
      </mc:Fallback>
    </mc:AlternateContent>
    <mc:AlternateContent xmlns:mc="http://schemas.openxmlformats.org/markup-compatibility/2006">
      <mc:Choice Requires="x14">
        <control shapeId="99359" r:id="rId22" name="CommandButton9">
          <controlPr defaultSize="0" autoLine="0" r:id="rId23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2" name="CommandButton9"/>
      </mc:Fallback>
    </mc:AlternateContent>
    <mc:AlternateContent xmlns:mc="http://schemas.openxmlformats.org/markup-compatibility/2006">
      <mc:Choice Requires="x14">
        <control shapeId="99360" r:id="rId24" name="CommandButton10">
          <controlPr defaultSize="0" autoLine="0" r:id="rId2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4" name="CommandButton10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N44" sqref="N44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8" customWidth="1"/>
    <col min="10" max="10" width="11.77734375" style="37" customWidth="1"/>
    <col min="11" max="11" width="11.77734375" style="329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>
      <c r="G2" s="490" t="s">
        <v>212</v>
      </c>
      <c r="H2" s="491" t="s">
        <v>209</v>
      </c>
      <c r="I2" s="492" t="s">
        <v>218</v>
      </c>
      <c r="J2" s="491" t="s">
        <v>210</v>
      </c>
      <c r="K2" s="493" t="s">
        <v>211</v>
      </c>
      <c r="M2" s="496"/>
      <c r="N2" s="497" t="s">
        <v>216</v>
      </c>
      <c r="O2" s="493" t="s">
        <v>217</v>
      </c>
      <c r="Q2" s="490" t="s">
        <v>212</v>
      </c>
      <c r="R2" s="497" t="s">
        <v>220</v>
      </c>
      <c r="S2" s="493" t="s">
        <v>221</v>
      </c>
    </row>
    <row r="3" spans="7:19" ht="20.100000000000001" customHeight="1">
      <c r="G3" s="468" t="s">
        <v>236</v>
      </c>
      <c r="H3" s="456">
        <v>149</v>
      </c>
      <c r="I3" s="494">
        <v>133.95966914143432</v>
      </c>
      <c r="J3" s="456">
        <v>130</v>
      </c>
      <c r="K3" s="495">
        <v>0.89261744966442957</v>
      </c>
      <c r="M3" s="498" t="s">
        <v>211</v>
      </c>
      <c r="N3" s="499">
        <v>0.89261744966442957</v>
      </c>
      <c r="O3" s="500">
        <v>0.89261744966442957</v>
      </c>
      <c r="Q3" s="506" t="s">
        <v>236</v>
      </c>
      <c r="R3" s="507">
        <v>6.0139999999999998E-4</v>
      </c>
      <c r="S3" s="508">
        <v>0.21038480000000001</v>
      </c>
    </row>
    <row r="4" spans="7:19" ht="20.100000000000001" customHeight="1">
      <c r="G4" s="468" t="s">
        <v>237</v>
      </c>
      <c r="H4" s="456">
        <v>149</v>
      </c>
      <c r="I4" s="494">
        <v>133.92821031130663</v>
      </c>
      <c r="J4" s="456">
        <v>130</v>
      </c>
      <c r="K4" s="495">
        <v>0.89261744966442957</v>
      </c>
      <c r="M4" s="498" t="s">
        <v>218</v>
      </c>
      <c r="N4" s="501">
        <v>133.92821031130663</v>
      </c>
      <c r="O4" s="502">
        <v>133.95966914143432</v>
      </c>
      <c r="Q4" s="506" t="s">
        <v>237</v>
      </c>
      <c r="R4" s="507">
        <v>5.5579999999999996E-4</v>
      </c>
      <c r="S4" s="508">
        <v>0.19516990000000001</v>
      </c>
    </row>
    <row r="5" spans="7:19" ht="20.100000000000001" customHeight="1" thickBot="1">
      <c r="G5" s="468" t="s">
        <v>238</v>
      </c>
      <c r="H5" s="456">
        <v>149</v>
      </c>
      <c r="I5" s="494">
        <v>133.93943451037802</v>
      </c>
      <c r="J5" s="456">
        <v>130</v>
      </c>
      <c r="K5" s="495">
        <v>0.89261744966442957</v>
      </c>
      <c r="M5" s="503" t="s">
        <v>219</v>
      </c>
      <c r="N5" s="504">
        <v>130</v>
      </c>
      <c r="O5" s="505">
        <v>130</v>
      </c>
      <c r="Q5" s="506" t="s">
        <v>238</v>
      </c>
      <c r="R5" s="507">
        <v>5.7790000000000001E-4</v>
      </c>
      <c r="S5" s="508">
        <v>0.2025769</v>
      </c>
    </row>
    <row r="6" spans="7:19" ht="20.100000000000001" customHeight="1">
      <c r="G6" s="468"/>
      <c r="H6" s="456"/>
      <c r="I6" s="456"/>
      <c r="J6" s="456"/>
      <c r="K6" s="457"/>
      <c r="Q6" s="506"/>
      <c r="R6" s="507"/>
      <c r="S6" s="508"/>
    </row>
    <row r="7" spans="7:19" ht="20.100000000000001" customHeight="1">
      <c r="G7" s="468"/>
      <c r="H7" s="456"/>
      <c r="I7" s="456"/>
      <c r="J7" s="456"/>
      <c r="K7" s="457"/>
      <c r="Q7" s="506"/>
      <c r="R7" s="507"/>
      <c r="S7" s="508"/>
    </row>
    <row r="8" spans="7:19" ht="20.100000000000001" customHeight="1">
      <c r="G8" s="468"/>
      <c r="H8" s="456"/>
      <c r="I8" s="456"/>
      <c r="J8" s="456"/>
      <c r="K8" s="457"/>
      <c r="Q8" s="468"/>
      <c r="R8" s="456"/>
      <c r="S8" s="457"/>
    </row>
    <row r="9" spans="7:19" ht="20.100000000000001" customHeight="1">
      <c r="G9" s="468"/>
      <c r="H9" s="456"/>
      <c r="I9" s="456"/>
      <c r="J9" s="456"/>
      <c r="K9" s="457"/>
      <c r="Q9" s="468"/>
      <c r="R9" s="456"/>
      <c r="S9" s="457"/>
    </row>
    <row r="10" spans="7:19" ht="20.100000000000001" customHeight="1">
      <c r="G10" s="468"/>
      <c r="H10" s="456"/>
      <c r="I10" s="456"/>
      <c r="J10" s="456"/>
      <c r="K10" s="457"/>
      <c r="Q10" s="468"/>
      <c r="R10" s="456"/>
      <c r="S10" s="457"/>
    </row>
    <row r="11" spans="7:19" ht="20.100000000000001" customHeight="1">
      <c r="G11" s="468"/>
      <c r="H11" s="456"/>
      <c r="I11" s="456"/>
      <c r="J11" s="456"/>
      <c r="K11" s="457"/>
      <c r="Q11" s="468"/>
      <c r="R11" s="456"/>
      <c r="S11" s="457"/>
    </row>
    <row r="12" spans="7:19" ht="20.100000000000001" customHeight="1">
      <c r="G12" s="468"/>
      <c r="H12" s="456"/>
      <c r="I12" s="456"/>
      <c r="J12" s="456"/>
      <c r="K12" s="457"/>
      <c r="Q12" s="468"/>
      <c r="R12" s="456"/>
      <c r="S12" s="457"/>
    </row>
    <row r="13" spans="7:19" ht="20.100000000000001" customHeight="1">
      <c r="G13" s="468"/>
      <c r="H13" s="456"/>
      <c r="I13" s="456"/>
      <c r="J13" s="456"/>
      <c r="K13" s="457"/>
      <c r="Q13" s="468"/>
      <c r="R13" s="456"/>
      <c r="S13" s="457"/>
    </row>
    <row r="14" spans="7:19" ht="20.100000000000001" customHeight="1">
      <c r="G14" s="468"/>
      <c r="H14" s="456"/>
      <c r="I14" s="456"/>
      <c r="J14" s="456"/>
      <c r="K14" s="457"/>
      <c r="Q14" s="468"/>
      <c r="R14" s="456"/>
      <c r="S14" s="457"/>
    </row>
    <row r="15" spans="7:19" ht="20.100000000000001" customHeight="1">
      <c r="G15" s="468"/>
      <c r="H15" s="456"/>
      <c r="I15" s="456"/>
      <c r="J15" s="456"/>
      <c r="K15" s="457"/>
      <c r="Q15" s="468"/>
      <c r="R15" s="456"/>
      <c r="S15" s="457"/>
    </row>
    <row r="16" spans="7:19" ht="20.100000000000001" customHeight="1">
      <c r="G16" s="468"/>
      <c r="H16" s="456"/>
      <c r="I16" s="456"/>
      <c r="J16" s="456"/>
      <c r="K16" s="457"/>
      <c r="Q16" s="468"/>
      <c r="R16" s="456"/>
      <c r="S16" s="457"/>
    </row>
    <row r="17" spans="6:19" ht="20.100000000000001" customHeight="1">
      <c r="G17" s="468"/>
      <c r="H17" s="456"/>
      <c r="I17" s="456"/>
      <c r="J17" s="456"/>
      <c r="K17" s="457"/>
      <c r="Q17" s="468"/>
      <c r="R17" s="456"/>
      <c r="S17" s="457"/>
    </row>
    <row r="18" spans="6:19" ht="20.100000000000001" customHeight="1">
      <c r="G18" s="468"/>
      <c r="H18" s="456"/>
      <c r="I18" s="456"/>
      <c r="J18" s="456"/>
      <c r="K18" s="457"/>
      <c r="Q18" s="468"/>
      <c r="R18" s="456"/>
      <c r="S18" s="457"/>
    </row>
    <row r="19" spans="6:19" ht="20.100000000000001" customHeight="1" thickBot="1">
      <c r="G19" s="470"/>
      <c r="H19" s="405"/>
      <c r="I19" s="405"/>
      <c r="J19" s="405"/>
      <c r="K19" s="406"/>
      <c r="Q19" s="470"/>
      <c r="R19" s="405"/>
      <c r="S19" s="406"/>
    </row>
    <row r="22" spans="6:19" ht="20.100000000000001" customHeight="1">
      <c r="M22" s="328"/>
      <c r="N22" s="328"/>
      <c r="O22" s="328"/>
      <c r="P22" s="328"/>
      <c r="Q22" s="328"/>
      <c r="R22" s="328"/>
      <c r="S22" s="328"/>
    </row>
    <row r="23" spans="6:19" ht="20.100000000000001" customHeight="1">
      <c r="M23" s="331">
        <v>133.95966914143432</v>
      </c>
      <c r="N23" s="330">
        <v>133.92821031130663</v>
      </c>
      <c r="O23" s="331">
        <v>133.93943451037802</v>
      </c>
      <c r="P23" s="330">
        <v>124.10752425577586</v>
      </c>
      <c r="Q23" s="331">
        <v>155.45958109179159</v>
      </c>
      <c r="R23" s="328"/>
      <c r="S23" s="328"/>
    </row>
    <row r="24" spans="6:19" ht="20.100000000000001" customHeight="1">
      <c r="M24" s="332">
        <v>130</v>
      </c>
      <c r="N24" s="333">
        <v>130</v>
      </c>
      <c r="O24" s="332">
        <v>130</v>
      </c>
      <c r="P24" s="333">
        <v>120</v>
      </c>
      <c r="Q24" s="332">
        <v>150</v>
      </c>
      <c r="R24" s="328"/>
      <c r="S24" s="328"/>
    </row>
    <row r="25" spans="6:19" ht="20.100000000000001" customHeight="1" thickBot="1">
      <c r="M25" s="328"/>
      <c r="N25" s="328"/>
      <c r="O25" s="328"/>
      <c r="P25" s="328"/>
      <c r="Q25" s="328"/>
      <c r="R25" s="328"/>
      <c r="S25" s="328"/>
    </row>
    <row r="26" spans="6:19" ht="27" customHeight="1" thickBot="1">
      <c r="G26" s="334" t="s">
        <v>250</v>
      </c>
      <c r="H26" s="335"/>
      <c r="I26" s="336"/>
    </row>
    <row r="27" spans="6:19" ht="15.95" customHeight="1">
      <c r="F27" s="554" t="s">
        <v>236</v>
      </c>
      <c r="G27" s="550">
        <v>149</v>
      </c>
      <c r="H27" s="509">
        <v>44.94</v>
      </c>
      <c r="I27" s="552">
        <v>133.95966914143432</v>
      </c>
    </row>
    <row r="28" spans="6:19" ht="15.95" customHeight="1">
      <c r="F28" s="555"/>
      <c r="G28" s="551"/>
      <c r="H28" s="456">
        <v>21.13</v>
      </c>
      <c r="I28" s="553"/>
      <c r="K28" s="37"/>
    </row>
    <row r="29" spans="6:19" ht="15.95" customHeight="1">
      <c r="F29" s="555" t="s">
        <v>237</v>
      </c>
      <c r="G29" s="551">
        <v>149</v>
      </c>
      <c r="H29" s="456">
        <v>41.65</v>
      </c>
      <c r="I29" s="553">
        <v>133.92821031130663</v>
      </c>
    </row>
    <row r="30" spans="6:19" ht="15.95" customHeight="1">
      <c r="F30" s="555"/>
      <c r="G30" s="551"/>
      <c r="H30" s="456">
        <v>19.59</v>
      </c>
      <c r="I30" s="553"/>
    </row>
    <row r="31" spans="6:19" ht="15.95" customHeight="1">
      <c r="F31" s="555" t="s">
        <v>238</v>
      </c>
      <c r="G31" s="551">
        <v>149</v>
      </c>
      <c r="H31" s="456">
        <v>43.25</v>
      </c>
      <c r="I31" s="553">
        <v>133.93943451037802</v>
      </c>
    </row>
    <row r="32" spans="6:19" ht="15.95" customHeight="1">
      <c r="F32" s="555"/>
      <c r="G32" s="551"/>
      <c r="H32" s="456">
        <v>20.34</v>
      </c>
      <c r="I32" s="553"/>
    </row>
    <row r="33" spans="6:9" ht="15.95" customHeight="1">
      <c r="F33" s="555"/>
      <c r="G33" s="551"/>
      <c r="H33" s="456"/>
      <c r="I33" s="553"/>
    </row>
    <row r="34" spans="6:9" ht="15.95" customHeight="1">
      <c r="F34" s="555"/>
      <c r="G34" s="551"/>
      <c r="H34" s="456"/>
      <c r="I34" s="553"/>
    </row>
    <row r="35" spans="6:9" ht="15.95" customHeight="1">
      <c r="F35" s="555"/>
      <c r="G35" s="551"/>
      <c r="H35" s="456"/>
      <c r="I35" s="553"/>
    </row>
    <row r="36" spans="6:9" ht="15.95" customHeight="1">
      <c r="F36" s="555"/>
      <c r="G36" s="551"/>
      <c r="H36" s="456"/>
      <c r="I36" s="553"/>
    </row>
    <row r="37" spans="6:9" ht="15.95" customHeight="1">
      <c r="F37" s="555"/>
      <c r="G37" s="551"/>
      <c r="H37" s="456"/>
      <c r="I37" s="553"/>
    </row>
    <row r="38" spans="6:9" ht="15.95" customHeight="1">
      <c r="F38" s="555"/>
      <c r="G38" s="551"/>
      <c r="H38" s="456"/>
      <c r="I38" s="553"/>
    </row>
    <row r="39" spans="6:9" ht="15.95" customHeight="1">
      <c r="F39" s="555"/>
      <c r="G39" s="551"/>
      <c r="H39" s="456"/>
      <c r="I39" s="553"/>
    </row>
    <row r="40" spans="6:9" ht="15.95" customHeight="1">
      <c r="F40" s="555"/>
      <c r="G40" s="551"/>
      <c r="H40" s="456"/>
      <c r="I40" s="553"/>
    </row>
    <row r="41" spans="6:9" ht="15.95" customHeight="1">
      <c r="F41" s="555"/>
      <c r="G41" s="551"/>
      <c r="H41" s="456"/>
      <c r="I41" s="553"/>
    </row>
    <row r="42" spans="6:9" ht="15.95" customHeight="1">
      <c r="F42" s="555"/>
      <c r="G42" s="551"/>
      <c r="H42" s="456"/>
      <c r="I42" s="553"/>
    </row>
    <row r="43" spans="6:9" ht="15.95" customHeight="1">
      <c r="F43" s="555"/>
      <c r="G43" s="551"/>
      <c r="H43" s="456"/>
      <c r="I43" s="553"/>
    </row>
    <row r="44" spans="6:9" ht="15.95" customHeight="1">
      <c r="F44" s="555"/>
      <c r="G44" s="551"/>
      <c r="H44" s="456"/>
      <c r="I44" s="553"/>
    </row>
    <row r="45" spans="6:9" ht="15.95" customHeight="1">
      <c r="F45" s="555"/>
      <c r="G45" s="551"/>
      <c r="H45" s="456"/>
      <c r="I45" s="553"/>
    </row>
    <row r="46" spans="6:9" ht="15.95" customHeight="1">
      <c r="F46" s="555"/>
      <c r="G46" s="551"/>
      <c r="H46" s="456"/>
      <c r="I46" s="553"/>
    </row>
    <row r="47" spans="6:9" ht="15.95" customHeight="1">
      <c r="F47" s="555"/>
      <c r="G47" s="551"/>
      <c r="H47" s="456"/>
      <c r="I47" s="553"/>
    </row>
    <row r="48" spans="6:9" ht="15.95" customHeight="1">
      <c r="F48" s="555"/>
      <c r="G48" s="551"/>
      <c r="H48" s="456"/>
      <c r="I48" s="553"/>
    </row>
    <row r="49" spans="6:9" ht="15.95" customHeight="1">
      <c r="F49" s="555"/>
      <c r="G49" s="551"/>
      <c r="H49" s="456"/>
      <c r="I49" s="553"/>
    </row>
    <row r="50" spans="6:9" ht="15.95" customHeight="1" thickBot="1">
      <c r="F50" s="556"/>
      <c r="G50" s="557"/>
      <c r="H50" s="405"/>
      <c r="I50" s="558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G24" sqref="G24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0.109375" style="43" customWidth="1"/>
    <col min="18" max="16384" width="8.88671875" style="43"/>
  </cols>
  <sheetData>
    <row r="1" spans="4:21" ht="20.100000000000001" customHeight="1" thickBot="1">
      <c r="D1" s="53" t="s">
        <v>244</v>
      </c>
      <c r="L1" s="337" t="s">
        <v>245</v>
      </c>
      <c r="S1" s="337" t="s">
        <v>246</v>
      </c>
    </row>
    <row r="2" spans="4:21" ht="36.75" customHeight="1">
      <c r="D2" s="465" t="s">
        <v>222</v>
      </c>
      <c r="E2" s="466" t="s">
        <v>219</v>
      </c>
      <c r="F2" s="466" t="s">
        <v>226</v>
      </c>
      <c r="G2" s="466" t="s">
        <v>227</v>
      </c>
      <c r="H2" s="466" t="s">
        <v>166</v>
      </c>
      <c r="I2" s="466" t="s">
        <v>228</v>
      </c>
      <c r="J2" s="467" t="s">
        <v>229</v>
      </c>
      <c r="L2" s="465" t="s">
        <v>219</v>
      </c>
      <c r="M2" s="466" t="s">
        <v>223</v>
      </c>
      <c r="N2" s="466" t="s">
        <v>224</v>
      </c>
      <c r="O2" s="466" t="s">
        <v>225</v>
      </c>
      <c r="P2" s="466" t="s">
        <v>248</v>
      </c>
      <c r="Q2" s="467" t="s">
        <v>249</v>
      </c>
      <c r="S2" s="465" t="s">
        <v>227</v>
      </c>
      <c r="T2" s="466" t="s">
        <v>230</v>
      </c>
      <c r="U2" s="467" t="s">
        <v>231</v>
      </c>
    </row>
    <row r="3" spans="4:21" ht="20.100000000000001" customHeight="1">
      <c r="D3" s="468" t="s">
        <v>236</v>
      </c>
      <c r="E3" s="456">
        <v>130</v>
      </c>
      <c r="F3" s="456">
        <v>14.3</v>
      </c>
      <c r="G3" s="456">
        <v>64.8</v>
      </c>
      <c r="H3" s="456">
        <v>50.5</v>
      </c>
      <c r="I3" s="456">
        <v>0.1</v>
      </c>
      <c r="J3" s="469">
        <v>3.9890328339016063</v>
      </c>
      <c r="K3" s="37"/>
      <c r="L3" s="468">
        <v>130</v>
      </c>
      <c r="M3" s="456">
        <v>0.1</v>
      </c>
      <c r="N3" s="456">
        <v>0.1</v>
      </c>
      <c r="O3" s="456">
        <v>485.7</v>
      </c>
      <c r="P3" s="456">
        <v>1.732</v>
      </c>
      <c r="Q3" s="457">
        <v>8.8969999999999994E-2</v>
      </c>
      <c r="S3" s="472">
        <v>64.8</v>
      </c>
      <c r="T3" s="473">
        <v>16.491080206622705</v>
      </c>
      <c r="U3" s="469">
        <v>48.308919793377292</v>
      </c>
    </row>
    <row r="4" spans="4:21" ht="20.100000000000001" customHeight="1">
      <c r="D4" s="468" t="s">
        <v>237</v>
      </c>
      <c r="E4" s="456">
        <v>130</v>
      </c>
      <c r="F4" s="456">
        <v>14.9</v>
      </c>
      <c r="G4" s="456">
        <v>61.7</v>
      </c>
      <c r="H4" s="456">
        <v>46.800000000000004</v>
      </c>
      <c r="I4" s="456">
        <v>0.1</v>
      </c>
      <c r="J4" s="469">
        <v>3.7991159487113451</v>
      </c>
      <c r="K4" s="37"/>
      <c r="L4" s="468">
        <v>130</v>
      </c>
      <c r="M4" s="456">
        <v>0.1</v>
      </c>
      <c r="N4" s="456">
        <v>0.1</v>
      </c>
      <c r="O4" s="456">
        <v>235.1</v>
      </c>
      <c r="P4" s="456">
        <v>1.877</v>
      </c>
      <c r="Q4" s="457">
        <v>9.2749999999999999E-2</v>
      </c>
      <c r="S4" s="472">
        <v>61.7</v>
      </c>
      <c r="T4" s="473">
        <v>17.057988721779331</v>
      </c>
      <c r="U4" s="469">
        <v>44.642011278220671</v>
      </c>
    </row>
    <row r="5" spans="4:21" ht="20.100000000000001" customHeight="1">
      <c r="D5" s="468" t="s">
        <v>238</v>
      </c>
      <c r="E5" s="456">
        <v>130</v>
      </c>
      <c r="F5" s="456">
        <v>13.8</v>
      </c>
      <c r="G5" s="456">
        <v>62.4</v>
      </c>
      <c r="H5" s="456">
        <v>48.599999999999994</v>
      </c>
      <c r="I5" s="456">
        <v>0.1</v>
      </c>
      <c r="J5" s="469">
        <v>3.8914763181450334</v>
      </c>
      <c r="K5" s="37"/>
      <c r="L5" s="468">
        <v>130</v>
      </c>
      <c r="M5" s="456">
        <v>0.1</v>
      </c>
      <c r="N5" s="456">
        <v>0.1</v>
      </c>
      <c r="O5" s="456">
        <v>236.2</v>
      </c>
      <c r="P5" s="456">
        <v>1.8029999999999999</v>
      </c>
      <c r="Q5" s="457">
        <v>9.0880000000000002E-2</v>
      </c>
      <c r="S5" s="472">
        <v>62.4</v>
      </c>
      <c r="T5" s="473">
        <v>15.974338991033088</v>
      </c>
      <c r="U5" s="469">
        <v>46.425661008966912</v>
      </c>
    </row>
    <row r="6" spans="4:21" ht="20.100000000000001" customHeight="1">
      <c r="D6" s="468"/>
      <c r="E6" s="456"/>
      <c r="F6" s="456"/>
      <c r="G6" s="456"/>
      <c r="H6" s="456"/>
      <c r="I6" s="456"/>
      <c r="J6" s="469"/>
      <c r="K6" s="37"/>
      <c r="L6" s="468"/>
      <c r="M6" s="456"/>
      <c r="N6" s="456"/>
      <c r="O6" s="456"/>
      <c r="P6" s="456"/>
      <c r="Q6" s="457"/>
      <c r="S6" s="472"/>
      <c r="T6" s="473"/>
      <c r="U6" s="469"/>
    </row>
    <row r="7" spans="4:21" ht="20.100000000000001" customHeight="1">
      <c r="D7" s="468"/>
      <c r="E7" s="456"/>
      <c r="F7" s="456"/>
      <c r="G7" s="456"/>
      <c r="H7" s="456"/>
      <c r="I7" s="456"/>
      <c r="J7" s="469"/>
      <c r="K7" s="37"/>
      <c r="L7" s="468"/>
      <c r="M7" s="456"/>
      <c r="N7" s="456"/>
      <c r="O7" s="456"/>
      <c r="P7" s="456"/>
      <c r="Q7" s="457"/>
      <c r="S7" s="472"/>
      <c r="T7" s="473"/>
      <c r="U7" s="469"/>
    </row>
    <row r="8" spans="4:21" ht="20.100000000000001" customHeight="1">
      <c r="D8" s="468"/>
      <c r="E8" s="456"/>
      <c r="F8" s="456"/>
      <c r="G8" s="456"/>
      <c r="H8" s="456"/>
      <c r="I8" s="456"/>
      <c r="J8" s="469"/>
      <c r="K8" s="37"/>
      <c r="L8" s="468"/>
      <c r="M8" s="456"/>
      <c r="N8" s="456"/>
      <c r="O8" s="456"/>
      <c r="P8" s="456"/>
      <c r="Q8" s="457"/>
      <c r="S8" s="468"/>
      <c r="T8" s="473"/>
      <c r="U8" s="469"/>
    </row>
    <row r="9" spans="4:21" ht="20.100000000000001" customHeight="1">
      <c r="D9" s="468"/>
      <c r="E9" s="456"/>
      <c r="F9" s="456"/>
      <c r="G9" s="456"/>
      <c r="H9" s="456"/>
      <c r="I9" s="456"/>
      <c r="J9" s="469"/>
      <c r="K9" s="37"/>
      <c r="L9" s="468"/>
      <c r="M9" s="456"/>
      <c r="N9" s="456"/>
      <c r="O9" s="456"/>
      <c r="P9" s="456"/>
      <c r="Q9" s="457"/>
      <c r="S9" s="468"/>
      <c r="T9" s="473"/>
      <c r="U9" s="469"/>
    </row>
    <row r="10" spans="4:21" ht="20.100000000000001" customHeight="1">
      <c r="D10" s="468"/>
      <c r="E10" s="456"/>
      <c r="F10" s="456"/>
      <c r="G10" s="456"/>
      <c r="H10" s="456"/>
      <c r="I10" s="456"/>
      <c r="J10" s="469"/>
      <c r="K10" s="37"/>
      <c r="L10" s="468"/>
      <c r="M10" s="456"/>
      <c r="N10" s="456"/>
      <c r="O10" s="456"/>
      <c r="P10" s="456"/>
      <c r="Q10" s="457"/>
      <c r="S10" s="468"/>
      <c r="T10" s="473"/>
      <c r="U10" s="469"/>
    </row>
    <row r="11" spans="4:21" ht="20.100000000000001" customHeight="1">
      <c r="D11" s="468"/>
      <c r="E11" s="456"/>
      <c r="F11" s="456"/>
      <c r="G11" s="456"/>
      <c r="H11" s="456"/>
      <c r="I11" s="456"/>
      <c r="J11" s="469"/>
      <c r="K11" s="37"/>
      <c r="L11" s="468"/>
      <c r="M11" s="456"/>
      <c r="N11" s="456"/>
      <c r="O11" s="456"/>
      <c r="P11" s="456"/>
      <c r="Q11" s="457"/>
      <c r="S11" s="468"/>
      <c r="T11" s="473"/>
      <c r="U11" s="469"/>
    </row>
    <row r="12" spans="4:21" ht="20.100000000000001" customHeight="1">
      <c r="D12" s="468"/>
      <c r="E12" s="456"/>
      <c r="F12" s="456"/>
      <c r="G12" s="456"/>
      <c r="H12" s="456"/>
      <c r="I12" s="456"/>
      <c r="J12" s="469"/>
      <c r="K12" s="37"/>
      <c r="L12" s="468"/>
      <c r="M12" s="456"/>
      <c r="N12" s="456"/>
      <c r="O12" s="456"/>
      <c r="P12" s="456"/>
      <c r="Q12" s="457"/>
      <c r="S12" s="468"/>
      <c r="T12" s="473"/>
      <c r="U12" s="469"/>
    </row>
    <row r="13" spans="4:21" ht="20.100000000000001" customHeight="1">
      <c r="D13" s="468"/>
      <c r="E13" s="456"/>
      <c r="F13" s="456"/>
      <c r="G13" s="456"/>
      <c r="H13" s="456"/>
      <c r="I13" s="456"/>
      <c r="J13" s="469"/>
      <c r="K13" s="37"/>
      <c r="L13" s="468"/>
      <c r="M13" s="456"/>
      <c r="N13" s="456"/>
      <c r="O13" s="456"/>
      <c r="P13" s="456"/>
      <c r="Q13" s="457"/>
      <c r="S13" s="468"/>
      <c r="T13" s="473"/>
      <c r="U13" s="469"/>
    </row>
    <row r="14" spans="4:21" ht="20.100000000000001" customHeight="1">
      <c r="D14" s="468"/>
      <c r="E14" s="456"/>
      <c r="F14" s="456"/>
      <c r="G14" s="456"/>
      <c r="H14" s="456"/>
      <c r="I14" s="456"/>
      <c r="J14" s="469"/>
      <c r="K14" s="37"/>
      <c r="L14" s="468"/>
      <c r="M14" s="456"/>
      <c r="N14" s="456"/>
      <c r="O14" s="456"/>
      <c r="P14" s="456"/>
      <c r="Q14" s="457"/>
      <c r="S14" s="468"/>
      <c r="T14" s="473"/>
      <c r="U14" s="469"/>
    </row>
    <row r="15" spans="4:21" ht="20.100000000000001" customHeight="1">
      <c r="D15" s="468"/>
      <c r="E15" s="456"/>
      <c r="F15" s="456"/>
      <c r="G15" s="456"/>
      <c r="H15" s="456"/>
      <c r="I15" s="456"/>
      <c r="J15" s="469"/>
      <c r="K15" s="37"/>
      <c r="L15" s="468"/>
      <c r="M15" s="456"/>
      <c r="N15" s="456"/>
      <c r="O15" s="456"/>
      <c r="P15" s="456"/>
      <c r="Q15" s="457"/>
      <c r="S15" s="468"/>
      <c r="T15" s="473"/>
      <c r="U15" s="469"/>
    </row>
    <row r="16" spans="4:21" ht="20.100000000000001" customHeight="1" thickBot="1">
      <c r="D16" s="470"/>
      <c r="E16" s="405"/>
      <c r="F16" s="405"/>
      <c r="G16" s="405"/>
      <c r="H16" s="405"/>
      <c r="I16" s="405"/>
      <c r="J16" s="471"/>
      <c r="K16" s="37"/>
      <c r="L16" s="470"/>
      <c r="M16" s="405"/>
      <c r="N16" s="405"/>
      <c r="O16" s="405"/>
      <c r="P16" s="405"/>
      <c r="Q16" s="406"/>
      <c r="S16" s="470"/>
      <c r="T16" s="474"/>
      <c r="U16" s="471"/>
    </row>
    <row r="17" spans="3:21" ht="20.100000000000001" customHeight="1">
      <c r="D17" s="37"/>
      <c r="E17" s="37"/>
      <c r="F17" s="37"/>
      <c r="G17" s="37"/>
      <c r="H17" s="37"/>
      <c r="I17" s="37"/>
      <c r="J17" s="338"/>
      <c r="K17" s="37"/>
      <c r="L17" s="37"/>
      <c r="M17" s="37"/>
      <c r="N17" s="37"/>
      <c r="O17" s="37"/>
      <c r="P17" s="37"/>
      <c r="Q17" s="37"/>
      <c r="S17" s="37"/>
      <c r="T17" s="338"/>
      <c r="U17" s="338"/>
    </row>
    <row r="18" spans="3:21" ht="20.100000000000001" customHeight="1">
      <c r="D18" s="37"/>
      <c r="E18" s="37"/>
      <c r="F18" s="37"/>
      <c r="G18" s="37"/>
      <c r="H18" s="37"/>
      <c r="I18" s="37"/>
      <c r="J18" s="338"/>
      <c r="K18" s="37"/>
      <c r="L18" s="37"/>
      <c r="M18" s="37"/>
      <c r="N18" s="37"/>
      <c r="O18" s="37"/>
      <c r="P18" s="37"/>
      <c r="Q18" s="37"/>
      <c r="S18" s="37"/>
      <c r="T18" s="338"/>
      <c r="U18" s="338"/>
    </row>
    <row r="19" spans="3:21" ht="20.100000000000001" customHeight="1">
      <c r="H19" s="339"/>
      <c r="J19" s="340"/>
      <c r="K19" s="340"/>
      <c r="L19" s="340"/>
      <c r="M19" s="340"/>
      <c r="N19" s="340"/>
      <c r="O19" s="340"/>
      <c r="P19" s="340"/>
      <c r="S19" s="37"/>
      <c r="T19" s="338"/>
      <c r="U19" s="338"/>
    </row>
    <row r="20" spans="3:21" s="341" customFormat="1" ht="26.25" customHeight="1" thickBot="1">
      <c r="D20" s="337" t="s">
        <v>262</v>
      </c>
      <c r="F20" s="337"/>
      <c r="H20" s="342"/>
      <c r="T20" s="343"/>
      <c r="U20" s="343"/>
    </row>
    <row r="21" spans="3:21" s="52" customFormat="1" ht="36" customHeight="1">
      <c r="D21" s="475" t="s">
        <v>299</v>
      </c>
      <c r="E21" s="476" t="s">
        <v>236</v>
      </c>
      <c r="F21" s="477" t="s">
        <v>237</v>
      </c>
      <c r="G21" s="476" t="s">
        <v>238</v>
      </c>
      <c r="H21" s="478"/>
      <c r="I21" s="476"/>
      <c r="J21" s="476"/>
      <c r="K21" s="476"/>
      <c r="L21" s="476"/>
      <c r="M21" s="476"/>
      <c r="N21" s="476"/>
      <c r="O21" s="476"/>
      <c r="P21" s="479"/>
      <c r="Q21" s="53"/>
      <c r="S21" s="53"/>
      <c r="T21" s="345"/>
      <c r="U21" s="345"/>
    </row>
    <row r="22" spans="3:21" s="37" customFormat="1" ht="23.1" customHeight="1">
      <c r="D22" s="510" t="s">
        <v>266</v>
      </c>
      <c r="E22" s="456">
        <v>1.5549999999999999</v>
      </c>
      <c r="F22" s="456">
        <v>1.6819999999999999</v>
      </c>
      <c r="G22" s="456">
        <v>1.534</v>
      </c>
      <c r="H22" s="456"/>
      <c r="I22" s="456"/>
      <c r="J22" s="480"/>
      <c r="K22" s="480"/>
      <c r="L22" s="480"/>
      <c r="M22" s="480"/>
      <c r="N22" s="480"/>
      <c r="O22" s="480"/>
      <c r="P22" s="481"/>
      <c r="T22" s="338"/>
      <c r="U22" s="338"/>
    </row>
    <row r="23" spans="3:21" s="37" customFormat="1" ht="23.1" customHeight="1">
      <c r="D23" s="510" t="s">
        <v>242</v>
      </c>
      <c r="E23" s="456">
        <v>3.3800000000000002E-3</v>
      </c>
      <c r="F23" s="456">
        <v>7.5599999999999999E-3</v>
      </c>
      <c r="G23" s="456">
        <v>7.0600000000000003E-3</v>
      </c>
      <c r="H23" s="456"/>
      <c r="I23" s="456"/>
      <c r="J23" s="480"/>
      <c r="K23" s="480"/>
      <c r="L23" s="480"/>
      <c r="M23" s="480"/>
      <c r="N23" s="480"/>
      <c r="O23" s="480"/>
      <c r="P23" s="481"/>
      <c r="T23" s="338"/>
      <c r="U23" s="338"/>
    </row>
    <row r="24" spans="3:21" s="37" customFormat="1" ht="23.1" customHeight="1">
      <c r="D24" s="510" t="s">
        <v>243</v>
      </c>
      <c r="E24" s="456">
        <v>3.2289999999999999E-4</v>
      </c>
      <c r="F24" s="456">
        <v>3.1720000000000001E-4</v>
      </c>
      <c r="G24" s="456">
        <v>3.2009999999999997E-4</v>
      </c>
      <c r="H24" s="456"/>
      <c r="I24" s="456"/>
      <c r="J24" s="480"/>
      <c r="K24" s="480"/>
      <c r="L24" s="480"/>
      <c r="M24" s="480"/>
      <c r="N24" s="480"/>
      <c r="O24" s="480"/>
      <c r="P24" s="481"/>
      <c r="T24" s="338"/>
      <c r="U24" s="338"/>
    </row>
    <row r="25" spans="3:21" s="37" customFormat="1" ht="23.1" customHeight="1">
      <c r="D25" s="510" t="s">
        <v>265</v>
      </c>
      <c r="E25" s="456">
        <v>0.58330000000000004</v>
      </c>
      <c r="F25" s="456">
        <v>0.58330000000000004</v>
      </c>
      <c r="G25" s="456">
        <v>0.58330000000000004</v>
      </c>
      <c r="H25" s="456"/>
      <c r="I25" s="456"/>
      <c r="J25" s="480"/>
      <c r="K25" s="480"/>
      <c r="L25" s="480"/>
      <c r="M25" s="480"/>
      <c r="N25" s="480"/>
      <c r="O25" s="480"/>
      <c r="P25" s="481"/>
      <c r="T25" s="338"/>
      <c r="U25" s="338"/>
    </row>
    <row r="26" spans="3:21" s="37" customFormat="1" ht="23.1" customHeight="1">
      <c r="D26" s="510" t="s">
        <v>264</v>
      </c>
      <c r="E26" s="456">
        <v>50.5</v>
      </c>
      <c r="F26" s="456">
        <v>46.800000000000004</v>
      </c>
      <c r="G26" s="456">
        <v>48.599999999999994</v>
      </c>
      <c r="H26" s="456"/>
      <c r="I26" s="456"/>
      <c r="J26" s="480"/>
      <c r="K26" s="480"/>
      <c r="L26" s="480"/>
      <c r="M26" s="480"/>
      <c r="N26" s="480"/>
      <c r="O26" s="480"/>
      <c r="P26" s="481"/>
      <c r="T26" s="338"/>
      <c r="U26" s="338"/>
    </row>
    <row r="27" spans="3:21" s="37" customFormat="1" ht="23.1" customHeight="1" thickBot="1">
      <c r="D27" s="511" t="s">
        <v>263</v>
      </c>
      <c r="E27" s="405">
        <v>485.7</v>
      </c>
      <c r="F27" s="405">
        <v>235.1</v>
      </c>
      <c r="G27" s="405">
        <v>236.2</v>
      </c>
      <c r="H27" s="405"/>
      <c r="I27" s="405"/>
      <c r="J27" s="482"/>
      <c r="K27" s="482"/>
      <c r="L27" s="482"/>
      <c r="M27" s="482"/>
      <c r="N27" s="482"/>
      <c r="O27" s="482"/>
      <c r="P27" s="483"/>
      <c r="T27" s="338"/>
      <c r="U27" s="338"/>
    </row>
    <row r="28" spans="3:21" ht="20.100000000000001" customHeight="1">
      <c r="D28" s="44"/>
      <c r="E28" s="44"/>
      <c r="F28" s="340"/>
      <c r="G28" s="44"/>
      <c r="H28" s="339"/>
      <c r="T28" s="344"/>
      <c r="U28" s="344"/>
    </row>
    <row r="29" spans="3:21" ht="20.100000000000001" customHeight="1">
      <c r="D29" s="37"/>
      <c r="E29" s="37"/>
      <c r="F29" s="37"/>
      <c r="G29" s="37"/>
      <c r="H29" s="37"/>
      <c r="I29" s="37"/>
      <c r="J29" s="338"/>
      <c r="K29" s="37"/>
      <c r="L29" s="37"/>
      <c r="M29" s="37"/>
      <c r="N29" s="37"/>
      <c r="O29" s="37"/>
      <c r="P29" s="37"/>
      <c r="Q29" s="37"/>
      <c r="T29" s="344"/>
      <c r="U29" s="344"/>
    </row>
    <row r="30" spans="3:21" ht="32.25" customHeight="1" thickBot="1">
      <c r="D30" s="37"/>
      <c r="E30" s="37"/>
      <c r="F30" s="37"/>
      <c r="G30" s="37"/>
      <c r="H30" s="37"/>
      <c r="I30" s="337"/>
      <c r="J30" s="338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84" t="s">
        <v>222</v>
      </c>
      <c r="D31" s="485" t="s">
        <v>247</v>
      </c>
      <c r="E31" s="485" t="s">
        <v>304</v>
      </c>
      <c r="F31" s="486" t="s">
        <v>305</v>
      </c>
      <c r="H31" s="484" t="s">
        <v>270</v>
      </c>
      <c r="I31" s="485" t="s">
        <v>271</v>
      </c>
      <c r="J31" s="489" t="s">
        <v>272</v>
      </c>
      <c r="K31" s="485" t="s">
        <v>273</v>
      </c>
      <c r="L31" s="485" t="s">
        <v>274</v>
      </c>
      <c r="M31" s="486" t="s">
        <v>275</v>
      </c>
      <c r="O31" s="453" t="s">
        <v>316</v>
      </c>
      <c r="P31" s="454" t="s">
        <v>317</v>
      </c>
      <c r="Q31" s="455" t="s">
        <v>318</v>
      </c>
    </row>
    <row r="32" spans="3:21" ht="20.100000000000001" customHeight="1">
      <c r="C32" s="559" t="s">
        <v>236</v>
      </c>
      <c r="D32" s="487" t="s">
        <v>282</v>
      </c>
      <c r="E32" s="456">
        <v>1.732</v>
      </c>
      <c r="F32" s="457">
        <v>3.2289999999999999E-4</v>
      </c>
      <c r="G32" s="37"/>
      <c r="H32" s="361" t="s">
        <v>236</v>
      </c>
      <c r="I32" s="456">
        <v>43</v>
      </c>
      <c r="J32" s="473">
        <v>52.7</v>
      </c>
      <c r="K32" s="456">
        <v>81.7</v>
      </c>
      <c r="L32" s="456">
        <v>59.1</v>
      </c>
      <c r="M32" s="457">
        <v>81.7</v>
      </c>
      <c r="N32" s="37"/>
      <c r="O32" s="361" t="s">
        <v>236</v>
      </c>
      <c r="P32" s="463">
        <v>-2.8094802274899022</v>
      </c>
      <c r="Q32" s="464">
        <v>1.66</v>
      </c>
    </row>
    <row r="33" spans="3:17" ht="20.100000000000001" customHeight="1">
      <c r="C33" s="559"/>
      <c r="D33" s="487" t="s">
        <v>283</v>
      </c>
      <c r="E33" s="456">
        <v>1.5549999999999999</v>
      </c>
      <c r="F33" s="457"/>
      <c r="G33" s="37"/>
      <c r="H33" s="361" t="s">
        <v>237</v>
      </c>
      <c r="I33" s="456">
        <v>62.5</v>
      </c>
      <c r="J33" s="473">
        <v>76.5</v>
      </c>
      <c r="K33" s="456">
        <v>85.8</v>
      </c>
      <c r="L33" s="456">
        <v>74.900000000000006</v>
      </c>
      <c r="M33" s="457">
        <v>85.8</v>
      </c>
      <c r="N33" s="37"/>
      <c r="O33" s="361" t="s">
        <v>237</v>
      </c>
      <c r="P33" s="463">
        <v>-2.8389074274559167</v>
      </c>
      <c r="Q33" s="464">
        <v>1.71</v>
      </c>
    </row>
    <row r="34" spans="3:17" ht="20.100000000000001" customHeight="1">
      <c r="C34" s="559"/>
      <c r="D34" s="487" t="s">
        <v>284</v>
      </c>
      <c r="E34" s="456">
        <v>1.6435</v>
      </c>
      <c r="F34" s="457">
        <v>3.2289999999999999E-4</v>
      </c>
      <c r="G34" s="37"/>
      <c r="H34" s="361" t="s">
        <v>238</v>
      </c>
      <c r="I34" s="456">
        <v>61.2</v>
      </c>
      <c r="J34" s="473">
        <v>75</v>
      </c>
      <c r="K34" s="456">
        <v>82.7</v>
      </c>
      <c r="L34" s="456">
        <v>73</v>
      </c>
      <c r="M34" s="457">
        <v>82.7</v>
      </c>
      <c r="N34" s="37"/>
      <c r="O34" s="361" t="s">
        <v>238</v>
      </c>
      <c r="P34" s="463">
        <v>-2.8243578961535829</v>
      </c>
      <c r="Q34" s="464">
        <v>1.6850000000000001</v>
      </c>
    </row>
    <row r="35" spans="3:17" ht="20.100000000000001" customHeight="1">
      <c r="C35" s="559" t="s">
        <v>237</v>
      </c>
      <c r="D35" s="487" t="s">
        <v>282</v>
      </c>
      <c r="E35" s="456">
        <v>1.877</v>
      </c>
      <c r="F35" s="457">
        <v>3.1720000000000001E-4</v>
      </c>
      <c r="G35" s="37"/>
      <c r="H35" s="361"/>
      <c r="I35" s="456"/>
      <c r="J35" s="473"/>
      <c r="K35" s="456"/>
      <c r="L35" s="456"/>
      <c r="M35" s="457"/>
      <c r="N35" s="37"/>
      <c r="O35" s="361"/>
      <c r="P35" s="456"/>
      <c r="Q35" s="457"/>
    </row>
    <row r="36" spans="3:17" ht="20.100000000000001" customHeight="1">
      <c r="C36" s="559"/>
      <c r="D36" s="487" t="s">
        <v>283</v>
      </c>
      <c r="E36" s="456">
        <v>1.6819999999999999</v>
      </c>
      <c r="F36" s="457"/>
      <c r="G36" s="37"/>
      <c r="H36" s="361"/>
      <c r="I36" s="456"/>
      <c r="J36" s="456"/>
      <c r="K36" s="456"/>
      <c r="L36" s="456"/>
      <c r="M36" s="457"/>
      <c r="N36" s="37"/>
      <c r="O36" s="361"/>
      <c r="P36" s="456"/>
      <c r="Q36" s="457"/>
    </row>
    <row r="37" spans="3:17" ht="20.100000000000001" customHeight="1">
      <c r="C37" s="559"/>
      <c r="D37" s="487" t="s">
        <v>284</v>
      </c>
      <c r="E37" s="456">
        <v>1.7795000000000001</v>
      </c>
      <c r="F37" s="457">
        <v>3.1720000000000001E-4</v>
      </c>
      <c r="G37" s="37"/>
      <c r="H37" s="361"/>
      <c r="I37" s="456"/>
      <c r="J37" s="456"/>
      <c r="K37" s="456"/>
      <c r="L37" s="456"/>
      <c r="M37" s="457"/>
      <c r="N37" s="37"/>
      <c r="O37" s="361"/>
      <c r="P37" s="456"/>
      <c r="Q37" s="457"/>
    </row>
    <row r="38" spans="3:17" ht="20.100000000000001" customHeight="1">
      <c r="C38" s="559" t="s">
        <v>238</v>
      </c>
      <c r="D38" s="487" t="s">
        <v>282</v>
      </c>
      <c r="E38" s="456">
        <v>1.8029999999999999</v>
      </c>
      <c r="F38" s="457">
        <v>3.2009999999999997E-4</v>
      </c>
      <c r="G38" s="37"/>
      <c r="H38" s="361"/>
      <c r="I38" s="456"/>
      <c r="J38" s="456"/>
      <c r="K38" s="456"/>
      <c r="L38" s="456"/>
      <c r="M38" s="457"/>
      <c r="N38" s="37"/>
      <c r="O38" s="361"/>
      <c r="P38" s="456"/>
      <c r="Q38" s="457"/>
    </row>
    <row r="39" spans="3:17" ht="20.100000000000001" customHeight="1">
      <c r="C39" s="559"/>
      <c r="D39" s="487" t="s">
        <v>283</v>
      </c>
      <c r="E39" s="456">
        <v>1.534</v>
      </c>
      <c r="F39" s="457"/>
      <c r="G39" s="37"/>
      <c r="H39" s="361"/>
      <c r="I39" s="456"/>
      <c r="J39" s="456"/>
      <c r="K39" s="456"/>
      <c r="L39" s="456"/>
      <c r="M39" s="457"/>
      <c r="N39" s="37"/>
      <c r="O39" s="361"/>
      <c r="P39" s="456"/>
      <c r="Q39" s="457"/>
    </row>
    <row r="40" spans="3:17" ht="20.100000000000001" customHeight="1">
      <c r="C40" s="559"/>
      <c r="D40" s="487" t="s">
        <v>284</v>
      </c>
      <c r="E40" s="456">
        <v>1.6684999999999999</v>
      </c>
      <c r="F40" s="457">
        <v>3.2009999999999997E-4</v>
      </c>
      <c r="G40" s="37"/>
      <c r="H40" s="361"/>
      <c r="I40" s="456"/>
      <c r="J40" s="456"/>
      <c r="K40" s="456"/>
      <c r="L40" s="456"/>
      <c r="M40" s="457"/>
      <c r="N40" s="37"/>
      <c r="O40" s="361"/>
      <c r="P40" s="456"/>
      <c r="Q40" s="457"/>
    </row>
    <row r="41" spans="3:17" ht="20.100000000000001" customHeight="1">
      <c r="C41" s="559"/>
      <c r="D41" s="487"/>
      <c r="E41" s="456"/>
      <c r="F41" s="457"/>
      <c r="G41" s="37"/>
      <c r="H41" s="361"/>
      <c r="I41" s="456"/>
      <c r="J41" s="456"/>
      <c r="K41" s="456"/>
      <c r="L41" s="456"/>
      <c r="M41" s="457"/>
      <c r="N41" s="37"/>
      <c r="O41" s="361"/>
      <c r="P41" s="456"/>
      <c r="Q41" s="457"/>
    </row>
    <row r="42" spans="3:17" ht="20.100000000000001" customHeight="1">
      <c r="C42" s="559"/>
      <c r="D42" s="487"/>
      <c r="E42" s="456"/>
      <c r="F42" s="457"/>
      <c r="G42" s="37"/>
      <c r="H42" s="361"/>
      <c r="I42" s="456"/>
      <c r="J42" s="456"/>
      <c r="K42" s="456"/>
      <c r="L42" s="456"/>
      <c r="M42" s="457"/>
      <c r="N42" s="37"/>
      <c r="O42" s="361"/>
      <c r="P42" s="456"/>
      <c r="Q42" s="457"/>
    </row>
    <row r="43" spans="3:17" ht="20.100000000000001" customHeight="1">
      <c r="C43" s="559"/>
      <c r="D43" s="487"/>
      <c r="E43" s="456"/>
      <c r="F43" s="457"/>
      <c r="G43" s="37"/>
      <c r="H43" s="361"/>
      <c r="I43" s="456"/>
      <c r="J43" s="456"/>
      <c r="K43" s="456"/>
      <c r="L43" s="456"/>
      <c r="M43" s="457"/>
      <c r="N43" s="37"/>
      <c r="O43" s="361"/>
      <c r="P43" s="456"/>
      <c r="Q43" s="457"/>
    </row>
    <row r="44" spans="3:17" ht="20.100000000000001" customHeight="1">
      <c r="C44" s="559"/>
      <c r="D44" s="487"/>
      <c r="E44" s="456"/>
      <c r="F44" s="457"/>
      <c r="G44" s="37"/>
      <c r="H44" s="361"/>
      <c r="I44" s="456"/>
      <c r="J44" s="456"/>
      <c r="K44" s="456"/>
      <c r="L44" s="456"/>
      <c r="M44" s="457"/>
      <c r="N44" s="37"/>
      <c r="O44" s="361"/>
      <c r="P44" s="456"/>
      <c r="Q44" s="457"/>
    </row>
    <row r="45" spans="3:17" ht="20.100000000000001" customHeight="1" thickBot="1">
      <c r="C45" s="559"/>
      <c r="D45" s="487"/>
      <c r="E45" s="456"/>
      <c r="F45" s="457"/>
      <c r="G45" s="37"/>
      <c r="H45" s="362"/>
      <c r="I45" s="405"/>
      <c r="J45" s="405"/>
      <c r="K45" s="405"/>
      <c r="L45" s="405"/>
      <c r="M45" s="406"/>
      <c r="N45" s="37"/>
      <c r="O45" s="362"/>
      <c r="P45" s="405"/>
      <c r="Q45" s="406"/>
    </row>
    <row r="46" spans="3:17" ht="20.100000000000001" customHeight="1">
      <c r="C46" s="559"/>
      <c r="D46" s="487"/>
      <c r="E46" s="456"/>
      <c r="F46" s="45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59"/>
      <c r="D47" s="487"/>
      <c r="E47" s="456"/>
      <c r="F47" s="457"/>
    </row>
    <row r="48" spans="3:17" ht="20.100000000000001" customHeight="1">
      <c r="C48" s="559"/>
      <c r="D48" s="487"/>
      <c r="E48" s="456"/>
      <c r="F48" s="457"/>
    </row>
    <row r="49" spans="3:6" ht="20.100000000000001" customHeight="1">
      <c r="C49" s="559"/>
      <c r="D49" s="487"/>
      <c r="E49" s="456"/>
      <c r="F49" s="457"/>
    </row>
    <row r="50" spans="3:6" ht="20.100000000000001" customHeight="1">
      <c r="C50" s="559"/>
      <c r="D50" s="487"/>
      <c r="E50" s="456"/>
      <c r="F50" s="457"/>
    </row>
    <row r="51" spans="3:6" ht="20.100000000000001" customHeight="1">
      <c r="C51" s="559"/>
      <c r="D51" s="487"/>
      <c r="E51" s="456"/>
      <c r="F51" s="457"/>
    </row>
    <row r="52" spans="3:6" ht="20.100000000000001" customHeight="1">
      <c r="C52" s="559"/>
      <c r="D52" s="487"/>
      <c r="E52" s="456"/>
      <c r="F52" s="457"/>
    </row>
    <row r="53" spans="3:6" ht="20.100000000000001" customHeight="1">
      <c r="C53" s="559"/>
      <c r="D53" s="487"/>
      <c r="E53" s="456"/>
      <c r="F53" s="457"/>
    </row>
    <row r="54" spans="3:6" ht="20.100000000000001" customHeight="1">
      <c r="C54" s="559"/>
      <c r="D54" s="487"/>
      <c r="E54" s="456"/>
      <c r="F54" s="457"/>
    </row>
    <row r="55" spans="3:6" ht="20.100000000000001" customHeight="1">
      <c r="C55" s="559"/>
      <c r="D55" s="487"/>
      <c r="E55" s="456"/>
      <c r="F55" s="457"/>
    </row>
    <row r="56" spans="3:6" ht="20.100000000000001" customHeight="1">
      <c r="C56" s="559"/>
      <c r="D56" s="487"/>
      <c r="E56" s="456"/>
      <c r="F56" s="457"/>
    </row>
    <row r="57" spans="3:6" ht="20.100000000000001" customHeight="1">
      <c r="C57" s="559"/>
      <c r="D57" s="487"/>
      <c r="E57" s="456"/>
      <c r="F57" s="457"/>
    </row>
    <row r="58" spans="3:6" ht="20.100000000000001" customHeight="1">
      <c r="C58" s="559"/>
      <c r="D58" s="487"/>
      <c r="E58" s="456"/>
      <c r="F58" s="457"/>
    </row>
    <row r="59" spans="3:6" ht="20.100000000000001" customHeight="1">
      <c r="C59" s="559"/>
      <c r="D59" s="487"/>
      <c r="E59" s="456"/>
      <c r="F59" s="457"/>
    </row>
    <row r="60" spans="3:6" ht="20.100000000000001" customHeight="1">
      <c r="C60" s="559"/>
      <c r="D60" s="487"/>
      <c r="E60" s="456"/>
      <c r="F60" s="457"/>
    </row>
    <row r="61" spans="3:6" ht="20.100000000000001" customHeight="1">
      <c r="C61" s="559"/>
      <c r="D61" s="487"/>
      <c r="E61" s="456"/>
      <c r="F61" s="457"/>
    </row>
    <row r="62" spans="3:6" ht="20.100000000000001" customHeight="1">
      <c r="C62" s="559"/>
      <c r="D62" s="487"/>
      <c r="E62" s="456"/>
      <c r="F62" s="457"/>
    </row>
    <row r="63" spans="3:6" ht="20.100000000000001" customHeight="1">
      <c r="C63" s="559"/>
      <c r="D63" s="487"/>
      <c r="E63" s="456"/>
      <c r="F63" s="457"/>
    </row>
    <row r="64" spans="3:6" ht="20.100000000000001" customHeight="1">
      <c r="C64" s="559"/>
      <c r="D64" s="487"/>
      <c r="E64" s="456"/>
      <c r="F64" s="457"/>
    </row>
    <row r="65" spans="3:6" ht="20.100000000000001" customHeight="1">
      <c r="C65" s="559"/>
      <c r="D65" s="487"/>
      <c r="E65" s="456"/>
      <c r="F65" s="457"/>
    </row>
    <row r="66" spans="3:6" ht="20.100000000000001" customHeight="1">
      <c r="C66" s="559"/>
      <c r="D66" s="487"/>
      <c r="E66" s="456"/>
      <c r="F66" s="457"/>
    </row>
    <row r="67" spans="3:6" ht="20.100000000000001" customHeight="1" thickBot="1">
      <c r="C67" s="560"/>
      <c r="D67" s="488"/>
      <c r="E67" s="405"/>
      <c r="F67" s="40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K26" sqref="K26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46" t="s">
        <v>261</v>
      </c>
    </row>
    <row r="3" spans="3:15" s="53" customFormat="1" ht="28.5" customHeight="1">
      <c r="C3" s="484" t="s">
        <v>222</v>
      </c>
      <c r="D3" s="485" t="s">
        <v>251</v>
      </c>
      <c r="E3" s="485" t="s">
        <v>219</v>
      </c>
      <c r="F3" s="485" t="s">
        <v>252</v>
      </c>
      <c r="G3" s="485" t="s">
        <v>256</v>
      </c>
      <c r="H3" s="485" t="s">
        <v>258</v>
      </c>
      <c r="I3" s="485" t="s">
        <v>225</v>
      </c>
      <c r="J3" s="485" t="s">
        <v>259</v>
      </c>
      <c r="K3" s="485" t="s">
        <v>121</v>
      </c>
      <c r="L3" s="485" t="s">
        <v>257</v>
      </c>
      <c r="M3" s="485" t="s">
        <v>253</v>
      </c>
      <c r="N3" s="485" t="s">
        <v>254</v>
      </c>
      <c r="O3" s="486" t="s">
        <v>255</v>
      </c>
    </row>
    <row r="4" spans="3:15" ht="20.100000000000001" customHeight="1">
      <c r="C4" s="458" t="s">
        <v>236</v>
      </c>
      <c r="D4" s="563" t="s">
        <v>300</v>
      </c>
      <c r="E4" s="459">
        <v>143</v>
      </c>
      <c r="F4" s="459">
        <v>1.6435</v>
      </c>
      <c r="G4" s="563">
        <v>1.6972</v>
      </c>
      <c r="H4" s="563">
        <v>0.03</v>
      </c>
      <c r="I4" s="459">
        <v>485.7</v>
      </c>
      <c r="J4" s="563">
        <v>319</v>
      </c>
      <c r="K4" s="459">
        <v>194</v>
      </c>
      <c r="L4" s="563">
        <v>196.7</v>
      </c>
      <c r="M4" s="459">
        <v>2.53E-2</v>
      </c>
      <c r="N4" s="561">
        <v>2.2700000000000001E-2</v>
      </c>
      <c r="O4" s="562" t="s">
        <v>260</v>
      </c>
    </row>
    <row r="5" spans="3:15" ht="20.100000000000001" customHeight="1">
      <c r="C5" s="458" t="s">
        <v>237</v>
      </c>
      <c r="D5" s="563"/>
      <c r="E5" s="459">
        <v>143</v>
      </c>
      <c r="F5" s="459">
        <v>1.7795000000000001</v>
      </c>
      <c r="G5" s="563"/>
      <c r="H5" s="563"/>
      <c r="I5" s="459">
        <v>235.1</v>
      </c>
      <c r="J5" s="563"/>
      <c r="K5" s="459">
        <v>200</v>
      </c>
      <c r="L5" s="563"/>
      <c r="M5" s="459">
        <v>1.8100000000000002E-2</v>
      </c>
      <c r="N5" s="561"/>
      <c r="O5" s="562"/>
    </row>
    <row r="6" spans="3:15" ht="20.100000000000001" customHeight="1">
      <c r="C6" s="458" t="s">
        <v>238</v>
      </c>
      <c r="D6" s="563"/>
      <c r="E6" s="459">
        <v>143</v>
      </c>
      <c r="F6" s="459">
        <v>1.6684999999999999</v>
      </c>
      <c r="G6" s="563"/>
      <c r="H6" s="563"/>
      <c r="I6" s="459">
        <v>236.2</v>
      </c>
      <c r="J6" s="563"/>
      <c r="K6" s="459">
        <v>196</v>
      </c>
      <c r="L6" s="563"/>
      <c r="M6" s="459">
        <v>2.47E-2</v>
      </c>
      <c r="N6" s="561"/>
      <c r="O6" s="562"/>
    </row>
    <row r="7" spans="3:15" ht="20.100000000000001" customHeight="1">
      <c r="C7" s="458"/>
      <c r="D7" s="512"/>
      <c r="E7" s="459"/>
      <c r="F7" s="459"/>
      <c r="G7" s="512"/>
      <c r="H7" s="512"/>
      <c r="I7" s="459"/>
      <c r="J7" s="512"/>
      <c r="K7" s="459"/>
      <c r="L7" s="512"/>
      <c r="M7" s="459"/>
      <c r="N7" s="513"/>
      <c r="O7" s="514"/>
    </row>
    <row r="8" spans="3:15" ht="20.100000000000001" customHeight="1">
      <c r="C8" s="458"/>
      <c r="D8" s="512"/>
      <c r="E8" s="459"/>
      <c r="F8" s="459"/>
      <c r="G8" s="512"/>
      <c r="H8" s="512"/>
      <c r="I8" s="459"/>
      <c r="J8" s="512"/>
      <c r="K8" s="459"/>
      <c r="L8" s="512"/>
      <c r="M8" s="459"/>
      <c r="N8" s="513"/>
      <c r="O8" s="514"/>
    </row>
    <row r="9" spans="3:15" ht="20.100000000000001" customHeight="1">
      <c r="C9" s="458"/>
      <c r="D9" s="512"/>
      <c r="E9" s="459"/>
      <c r="F9" s="459"/>
      <c r="G9" s="512"/>
      <c r="H9" s="512"/>
      <c r="I9" s="459"/>
      <c r="J9" s="512"/>
      <c r="K9" s="459"/>
      <c r="L9" s="512"/>
      <c r="M9" s="459"/>
      <c r="N9" s="512"/>
      <c r="O9" s="514"/>
    </row>
    <row r="10" spans="3:15" ht="20.100000000000001" customHeight="1">
      <c r="C10" s="458"/>
      <c r="D10" s="512"/>
      <c r="E10" s="459"/>
      <c r="F10" s="459"/>
      <c r="G10" s="512"/>
      <c r="H10" s="512"/>
      <c r="I10" s="459"/>
      <c r="J10" s="512"/>
      <c r="K10" s="459"/>
      <c r="L10" s="512"/>
      <c r="M10" s="459"/>
      <c r="N10" s="512"/>
      <c r="O10" s="514"/>
    </row>
    <row r="11" spans="3:15" ht="20.100000000000001" customHeight="1">
      <c r="C11" s="458"/>
      <c r="D11" s="512"/>
      <c r="E11" s="459"/>
      <c r="F11" s="459"/>
      <c r="G11" s="512"/>
      <c r="H11" s="512"/>
      <c r="I11" s="459"/>
      <c r="J11" s="512"/>
      <c r="K11" s="459"/>
      <c r="L11" s="512"/>
      <c r="M11" s="459"/>
      <c r="N11" s="512"/>
      <c r="O11" s="514"/>
    </row>
    <row r="12" spans="3:15" ht="20.100000000000001" customHeight="1">
      <c r="C12" s="458"/>
      <c r="D12" s="512"/>
      <c r="E12" s="459"/>
      <c r="F12" s="459"/>
      <c r="G12" s="512"/>
      <c r="H12" s="512"/>
      <c r="I12" s="459"/>
      <c r="J12" s="512"/>
      <c r="K12" s="459"/>
      <c r="L12" s="512"/>
      <c r="M12" s="459"/>
      <c r="N12" s="512"/>
      <c r="O12" s="514"/>
    </row>
    <row r="13" spans="3:15" ht="20.100000000000001" customHeight="1">
      <c r="C13" s="458"/>
      <c r="D13" s="512"/>
      <c r="E13" s="459"/>
      <c r="F13" s="459"/>
      <c r="G13" s="512"/>
      <c r="H13" s="512"/>
      <c r="I13" s="459"/>
      <c r="J13" s="512"/>
      <c r="K13" s="459"/>
      <c r="L13" s="512"/>
      <c r="M13" s="459"/>
      <c r="N13" s="512"/>
      <c r="O13" s="514"/>
    </row>
    <row r="14" spans="3:15" ht="20.100000000000001" customHeight="1">
      <c r="C14" s="458"/>
      <c r="D14" s="512"/>
      <c r="E14" s="459"/>
      <c r="F14" s="459"/>
      <c r="G14" s="512"/>
      <c r="H14" s="512"/>
      <c r="I14" s="459"/>
      <c r="J14" s="512"/>
      <c r="K14" s="459"/>
      <c r="L14" s="512"/>
      <c r="M14" s="459"/>
      <c r="N14" s="512"/>
      <c r="O14" s="514"/>
    </row>
    <row r="15" spans="3:15" ht="20.100000000000001" customHeight="1">
      <c r="C15" s="458"/>
      <c r="D15" s="512"/>
      <c r="E15" s="459"/>
      <c r="F15" s="459"/>
      <c r="G15" s="512"/>
      <c r="H15" s="512"/>
      <c r="I15" s="459"/>
      <c r="J15" s="512"/>
      <c r="K15" s="459"/>
      <c r="L15" s="512"/>
      <c r="M15" s="459"/>
      <c r="N15" s="512"/>
      <c r="O15" s="514"/>
    </row>
    <row r="16" spans="3:15" ht="20.100000000000001" customHeight="1">
      <c r="C16" s="458"/>
      <c r="D16" s="512"/>
      <c r="E16" s="459"/>
      <c r="F16" s="459"/>
      <c r="G16" s="512"/>
      <c r="H16" s="512"/>
      <c r="I16" s="459"/>
      <c r="J16" s="512"/>
      <c r="K16" s="459"/>
      <c r="L16" s="512"/>
      <c r="M16" s="459"/>
      <c r="N16" s="512"/>
      <c r="O16" s="514"/>
    </row>
    <row r="17" spans="3:15" ht="20.100000000000001" customHeight="1" thickBot="1">
      <c r="C17" s="417"/>
      <c r="D17" s="515"/>
      <c r="E17" s="418"/>
      <c r="F17" s="418"/>
      <c r="G17" s="515"/>
      <c r="H17" s="515"/>
      <c r="I17" s="418"/>
      <c r="J17" s="515"/>
      <c r="K17" s="418"/>
      <c r="L17" s="515"/>
      <c r="M17" s="418"/>
      <c r="N17" s="515"/>
      <c r="O17" s="516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J7" sqref="J7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49" customFormat="1" ht="27.75" customHeight="1" thickBot="1">
      <c r="D2" s="337" t="s">
        <v>286</v>
      </c>
    </row>
    <row r="3" spans="4:11" s="53" customFormat="1" ht="42.75" customHeight="1">
      <c r="D3" s="351" t="s">
        <v>319</v>
      </c>
      <c r="E3" s="352" t="s">
        <v>320</v>
      </c>
      <c r="F3" s="352" t="s">
        <v>321</v>
      </c>
      <c r="G3" s="352" t="s">
        <v>322</v>
      </c>
      <c r="H3" s="352" t="s">
        <v>323</v>
      </c>
      <c r="I3" s="352" t="s">
        <v>324</v>
      </c>
      <c r="J3" s="352" t="s">
        <v>292</v>
      </c>
      <c r="K3" s="353" t="s">
        <v>293</v>
      </c>
    </row>
    <row r="4" spans="4:11" s="350" customFormat="1" ht="33.75" customHeight="1" thickBot="1">
      <c r="D4" s="354">
        <v>3059068</v>
      </c>
      <c r="E4" s="355">
        <v>1198.3</v>
      </c>
      <c r="F4" s="355">
        <v>1285.4991550772602</v>
      </c>
      <c r="G4" s="356">
        <v>0.64</v>
      </c>
      <c r="H4" s="355">
        <v>822.71945924944657</v>
      </c>
      <c r="I4" s="357">
        <v>172.8</v>
      </c>
      <c r="J4" s="355">
        <v>390</v>
      </c>
      <c r="K4" s="358">
        <v>259.91945924944656</v>
      </c>
    </row>
    <row r="6" spans="4:11" ht="20.100000000000001" customHeight="1" thickBot="1"/>
    <row r="7" spans="4:11" ht="62.25" customHeight="1">
      <c r="D7" s="351" t="s">
        <v>319</v>
      </c>
      <c r="E7" s="352" t="s">
        <v>320</v>
      </c>
      <c r="F7" s="352" t="s">
        <v>321</v>
      </c>
      <c r="G7" s="352" t="s">
        <v>322</v>
      </c>
      <c r="H7" s="352" t="s">
        <v>323</v>
      </c>
      <c r="I7" s="352" t="s">
        <v>324</v>
      </c>
      <c r="J7" s="352" t="s">
        <v>325</v>
      </c>
      <c r="K7" s="353" t="s">
        <v>292</v>
      </c>
    </row>
    <row r="8" spans="4:11" ht="31.5" customHeight="1" thickBot="1">
      <c r="D8" s="354">
        <v>3059068</v>
      </c>
      <c r="E8" s="355">
        <v>1198.3</v>
      </c>
      <c r="F8" s="355">
        <v>1285.4991550772602</v>
      </c>
      <c r="G8" s="356">
        <v>0.64</v>
      </c>
      <c r="H8" s="355">
        <v>822.71945924944657</v>
      </c>
      <c r="I8" s="357">
        <v>172.8</v>
      </c>
      <c r="J8" s="355">
        <v>649.91945924944662</v>
      </c>
      <c r="K8" s="358">
        <v>390</v>
      </c>
    </row>
    <row r="10" spans="4:11" ht="30.75" customHeight="1" thickBot="1">
      <c r="D10" s="337" t="s">
        <v>333</v>
      </c>
    </row>
    <row r="11" spans="4:11" s="53" customFormat="1" ht="39" customHeight="1">
      <c r="D11" s="351" t="s">
        <v>326</v>
      </c>
      <c r="E11" s="359" t="s">
        <v>327</v>
      </c>
      <c r="F11" s="359" t="s">
        <v>328</v>
      </c>
      <c r="G11" s="359" t="s">
        <v>329</v>
      </c>
      <c r="H11" s="359" t="s">
        <v>330</v>
      </c>
      <c r="I11" s="359" t="s">
        <v>331</v>
      </c>
      <c r="J11" s="360" t="s">
        <v>332</v>
      </c>
    </row>
    <row r="12" spans="4:11" s="37" customFormat="1" ht="20.100000000000001" customHeight="1">
      <c r="D12" s="458" t="s">
        <v>236</v>
      </c>
      <c r="E12" s="459">
        <v>500</v>
      </c>
      <c r="F12" s="459">
        <v>143</v>
      </c>
      <c r="G12" s="459">
        <v>14.3</v>
      </c>
      <c r="H12" s="459">
        <v>64.8</v>
      </c>
      <c r="I12" s="459">
        <v>1.6435</v>
      </c>
      <c r="J12" s="460">
        <v>3.2289999999999999E-4</v>
      </c>
    </row>
    <row r="13" spans="4:11" s="37" customFormat="1" ht="20.100000000000001" customHeight="1">
      <c r="D13" s="458" t="s">
        <v>237</v>
      </c>
      <c r="E13" s="459">
        <v>250</v>
      </c>
      <c r="F13" s="459">
        <v>143</v>
      </c>
      <c r="G13" s="459">
        <v>14.9</v>
      </c>
      <c r="H13" s="459">
        <v>61.7</v>
      </c>
      <c r="I13" s="459">
        <v>1.7795000000000001</v>
      </c>
      <c r="J13" s="460">
        <v>3.1720000000000001E-4</v>
      </c>
    </row>
    <row r="14" spans="4:11" s="37" customFormat="1" ht="20.100000000000001" customHeight="1">
      <c r="D14" s="458" t="s">
        <v>238</v>
      </c>
      <c r="E14" s="459">
        <v>250</v>
      </c>
      <c r="F14" s="459">
        <v>143</v>
      </c>
      <c r="G14" s="459">
        <v>13.8</v>
      </c>
      <c r="H14" s="459">
        <v>62.4</v>
      </c>
      <c r="I14" s="459">
        <v>1.6684999999999999</v>
      </c>
      <c r="J14" s="460">
        <v>3.2009999999999997E-4</v>
      </c>
    </row>
    <row r="15" spans="4:11" s="37" customFormat="1" ht="20.100000000000001" customHeight="1">
      <c r="D15" s="458"/>
      <c r="E15" s="459"/>
      <c r="F15" s="459"/>
      <c r="G15" s="459"/>
      <c r="H15" s="459"/>
      <c r="I15" s="459"/>
      <c r="J15" s="460"/>
    </row>
    <row r="16" spans="4:11" s="37" customFormat="1" ht="20.100000000000001" customHeight="1">
      <c r="D16" s="458"/>
      <c r="E16" s="459"/>
      <c r="F16" s="459"/>
      <c r="G16" s="459"/>
      <c r="H16" s="459"/>
      <c r="I16" s="459"/>
      <c r="J16" s="460"/>
    </row>
    <row r="17" spans="4:10" s="37" customFormat="1" ht="20.100000000000001" customHeight="1">
      <c r="D17" s="458"/>
      <c r="E17" s="459"/>
      <c r="F17" s="459"/>
      <c r="G17" s="459"/>
      <c r="H17" s="459"/>
      <c r="I17" s="459"/>
      <c r="J17" s="460"/>
    </row>
    <row r="18" spans="4:10" s="37" customFormat="1" ht="20.100000000000001" customHeight="1">
      <c r="D18" s="458"/>
      <c r="E18" s="459"/>
      <c r="F18" s="459"/>
      <c r="G18" s="459"/>
      <c r="H18" s="459"/>
      <c r="I18" s="459"/>
      <c r="J18" s="460"/>
    </row>
    <row r="19" spans="4:10" s="37" customFormat="1" ht="20.100000000000001" customHeight="1">
      <c r="D19" s="458"/>
      <c r="E19" s="459"/>
      <c r="F19" s="459"/>
      <c r="G19" s="459"/>
      <c r="H19" s="459"/>
      <c r="I19" s="459"/>
      <c r="J19" s="460"/>
    </row>
    <row r="20" spans="4:10" s="37" customFormat="1" ht="20.100000000000001" customHeight="1">
      <c r="D20" s="458"/>
      <c r="E20" s="459"/>
      <c r="F20" s="459"/>
      <c r="G20" s="459"/>
      <c r="H20" s="459"/>
      <c r="I20" s="459"/>
      <c r="J20" s="460"/>
    </row>
    <row r="21" spans="4:10" s="37" customFormat="1" ht="20.100000000000001" customHeight="1">
      <c r="D21" s="458"/>
      <c r="E21" s="459"/>
      <c r="F21" s="459"/>
      <c r="G21" s="459"/>
      <c r="H21" s="459"/>
      <c r="I21" s="459"/>
      <c r="J21" s="460"/>
    </row>
    <row r="22" spans="4:10" s="37" customFormat="1" ht="20.100000000000001" customHeight="1">
      <c r="D22" s="458"/>
      <c r="E22" s="459"/>
      <c r="F22" s="459"/>
      <c r="G22" s="459"/>
      <c r="H22" s="459"/>
      <c r="I22" s="459"/>
      <c r="J22" s="460"/>
    </row>
    <row r="23" spans="4:10" s="37" customFormat="1" ht="20.100000000000001" customHeight="1">
      <c r="D23" s="458"/>
      <c r="E23" s="459"/>
      <c r="F23" s="459"/>
      <c r="G23" s="459"/>
      <c r="H23" s="459"/>
      <c r="I23" s="459"/>
      <c r="J23" s="460"/>
    </row>
    <row r="24" spans="4:10" s="37" customFormat="1" ht="20.100000000000001" customHeight="1" thickBot="1">
      <c r="D24" s="417"/>
      <c r="E24" s="418"/>
      <c r="F24" s="418"/>
      <c r="G24" s="418"/>
      <c r="H24" s="418"/>
      <c r="I24" s="418"/>
      <c r="J24" s="461"/>
    </row>
    <row r="25" spans="4:10" s="37" customFormat="1" ht="20.100000000000001" customHeight="1">
      <c r="D25" s="462"/>
      <c r="E25" s="462"/>
      <c r="F25" s="462"/>
      <c r="G25" s="462"/>
      <c r="H25" s="462"/>
      <c r="I25" s="462"/>
      <c r="J25" s="462"/>
    </row>
    <row r="26" spans="4:10" ht="20.100000000000001" customHeight="1" thickBot="1"/>
    <row r="27" spans="4:10" ht="31.5" customHeight="1">
      <c r="D27" s="351" t="s">
        <v>296</v>
      </c>
      <c r="E27" s="359" t="s">
        <v>294</v>
      </c>
      <c r="F27" s="360" t="s">
        <v>295</v>
      </c>
      <c r="H27" s="351" t="s">
        <v>296</v>
      </c>
      <c r="I27" s="359" t="s">
        <v>334</v>
      </c>
      <c r="J27" s="360" t="s">
        <v>335</v>
      </c>
    </row>
    <row r="28" spans="4:10" s="37" customFormat="1" ht="20.100000000000001" customHeight="1">
      <c r="D28" s="458" t="s">
        <v>236</v>
      </c>
      <c r="E28" s="459">
        <v>81.7</v>
      </c>
      <c r="F28" s="460"/>
      <c r="G28" s="462"/>
      <c r="H28" s="458" t="s">
        <v>236</v>
      </c>
      <c r="I28" s="459">
        <v>98</v>
      </c>
      <c r="J28" s="460">
        <v>123</v>
      </c>
    </row>
    <row r="29" spans="4:10" s="37" customFormat="1" ht="20.100000000000001" customHeight="1">
      <c r="D29" s="458" t="s">
        <v>237</v>
      </c>
      <c r="E29" s="459">
        <v>85.8</v>
      </c>
      <c r="F29" s="460"/>
      <c r="G29" s="462"/>
      <c r="H29" s="458" t="s">
        <v>237</v>
      </c>
      <c r="I29" s="459">
        <v>99</v>
      </c>
      <c r="J29" s="460">
        <v>126</v>
      </c>
    </row>
    <row r="30" spans="4:10" s="37" customFormat="1" ht="20.100000000000001" customHeight="1">
      <c r="D30" s="458" t="s">
        <v>238</v>
      </c>
      <c r="E30" s="459">
        <v>82.7</v>
      </c>
      <c r="F30" s="460"/>
      <c r="G30" s="462"/>
      <c r="H30" s="458" t="s">
        <v>238</v>
      </c>
      <c r="I30" s="459">
        <v>98</v>
      </c>
      <c r="J30" s="460">
        <v>123</v>
      </c>
    </row>
    <row r="31" spans="4:10" s="37" customFormat="1" ht="20.100000000000001" customHeight="1">
      <c r="D31" s="458"/>
      <c r="E31" s="459"/>
      <c r="F31" s="460"/>
      <c r="G31" s="462"/>
      <c r="H31" s="458"/>
      <c r="I31" s="459"/>
      <c r="J31" s="460"/>
    </row>
    <row r="32" spans="4:10" s="37" customFormat="1" ht="20.100000000000001" customHeight="1">
      <c r="D32" s="458"/>
      <c r="E32" s="459"/>
      <c r="F32" s="460"/>
      <c r="G32" s="462"/>
      <c r="H32" s="458"/>
      <c r="I32" s="459"/>
      <c r="J32" s="460"/>
    </row>
    <row r="33" spans="4:16" s="37" customFormat="1" ht="20.100000000000001" customHeight="1">
      <c r="D33" s="458"/>
      <c r="E33" s="459"/>
      <c r="F33" s="460"/>
      <c r="G33" s="462"/>
      <c r="H33" s="458"/>
      <c r="I33" s="459"/>
      <c r="J33" s="460"/>
    </row>
    <row r="34" spans="4:16" s="37" customFormat="1" ht="20.100000000000001" customHeight="1">
      <c r="D34" s="458"/>
      <c r="E34" s="459"/>
      <c r="F34" s="460"/>
      <c r="G34" s="462"/>
      <c r="H34" s="458"/>
      <c r="I34" s="459"/>
      <c r="J34" s="460"/>
    </row>
    <row r="35" spans="4:16" s="37" customFormat="1" ht="20.100000000000001" customHeight="1">
      <c r="D35" s="458"/>
      <c r="E35" s="459"/>
      <c r="F35" s="460"/>
      <c r="G35" s="462"/>
      <c r="H35" s="458"/>
      <c r="I35" s="459"/>
      <c r="J35" s="460"/>
    </row>
    <row r="36" spans="4:16" s="37" customFormat="1" ht="20.100000000000001" customHeight="1">
      <c r="D36" s="458"/>
      <c r="E36" s="459"/>
      <c r="F36" s="460"/>
      <c r="G36" s="462"/>
      <c r="H36" s="458"/>
      <c r="I36" s="459"/>
      <c r="J36" s="460"/>
    </row>
    <row r="37" spans="4:16" s="37" customFormat="1" ht="20.100000000000001" customHeight="1">
      <c r="D37" s="458"/>
      <c r="E37" s="459"/>
      <c r="F37" s="460"/>
      <c r="G37" s="462"/>
      <c r="H37" s="458"/>
      <c r="I37" s="459"/>
      <c r="J37" s="460"/>
    </row>
    <row r="38" spans="4:16" s="37" customFormat="1" ht="20.100000000000001" customHeight="1">
      <c r="D38" s="458"/>
      <c r="E38" s="459"/>
      <c r="F38" s="460"/>
      <c r="G38" s="462"/>
      <c r="H38" s="458"/>
      <c r="I38" s="459"/>
      <c r="J38" s="460"/>
    </row>
    <row r="39" spans="4:16" s="37" customFormat="1" ht="20.100000000000001" customHeight="1">
      <c r="D39" s="458"/>
      <c r="E39" s="459"/>
      <c r="F39" s="460"/>
      <c r="G39" s="462"/>
      <c r="H39" s="458"/>
      <c r="I39" s="459"/>
      <c r="J39" s="460"/>
    </row>
    <row r="40" spans="4:16" s="37" customFormat="1" ht="19.5" customHeight="1" thickBot="1">
      <c r="D40" s="417"/>
      <c r="E40" s="418"/>
      <c r="F40" s="461"/>
      <c r="G40" s="462"/>
      <c r="H40" s="417"/>
      <c r="I40" s="418"/>
      <c r="J40" s="461"/>
    </row>
    <row r="41" spans="4:16" ht="20.100000000000001" customHeight="1">
      <c r="D41" s="347"/>
    </row>
    <row r="42" spans="4:16" ht="20.100000000000001" customHeight="1">
      <c r="D42" s="347"/>
    </row>
    <row r="43" spans="4:16" ht="20.100000000000001" customHeight="1" thickBot="1">
      <c r="D43" s="348" t="s">
        <v>285</v>
      </c>
    </row>
    <row r="44" spans="4:16" s="37" customFormat="1" ht="31.5" customHeight="1">
      <c r="D44" s="351" t="s">
        <v>236</v>
      </c>
      <c r="E44" s="359" t="s">
        <v>237</v>
      </c>
      <c r="F44" s="359" t="s">
        <v>238</v>
      </c>
      <c r="G44" s="359"/>
      <c r="H44" s="359"/>
      <c r="I44" s="359"/>
      <c r="J44" s="359"/>
      <c r="K44" s="359"/>
      <c r="L44" s="359"/>
      <c r="M44" s="359"/>
      <c r="N44" s="359"/>
      <c r="O44" s="359"/>
      <c r="P44" s="360"/>
    </row>
    <row r="45" spans="4:16" s="407" customFormat="1" ht="30" customHeight="1" thickBot="1">
      <c r="D45" s="417">
        <v>130</v>
      </c>
      <c r="E45" s="418">
        <v>130</v>
      </c>
      <c r="F45" s="418">
        <v>130</v>
      </c>
      <c r="G45" s="405"/>
      <c r="H45" s="405"/>
      <c r="I45" s="405"/>
      <c r="J45" s="405"/>
      <c r="K45" s="405"/>
      <c r="L45" s="405"/>
      <c r="M45" s="405"/>
      <c r="N45" s="405"/>
      <c r="O45" s="405"/>
      <c r="P45" s="406"/>
    </row>
    <row r="46" spans="4:16" ht="20.100000000000001" customHeight="1">
      <c r="D46" s="347"/>
    </row>
    <row r="47" spans="4:16" ht="20.100000000000001" customHeight="1">
      <c r="D47" s="347"/>
    </row>
    <row r="48" spans="4:16" ht="22.5" customHeight="1" thickBot="1">
      <c r="D48" s="348" t="s">
        <v>297</v>
      </c>
    </row>
    <row r="49" spans="4:16" s="37" customFormat="1" ht="36.75" customHeight="1">
      <c r="D49" s="351" t="s">
        <v>236</v>
      </c>
      <c r="E49" s="359" t="s">
        <v>237</v>
      </c>
      <c r="F49" s="359" t="s">
        <v>238</v>
      </c>
      <c r="G49" s="359"/>
      <c r="H49" s="359"/>
      <c r="I49" s="359"/>
      <c r="J49" s="359"/>
      <c r="K49" s="359"/>
      <c r="L49" s="359"/>
      <c r="M49" s="359"/>
      <c r="N49" s="359"/>
      <c r="O49" s="359"/>
      <c r="P49" s="360"/>
    </row>
    <row r="50" spans="4:16" s="407" customFormat="1" ht="30" customHeight="1" thickBot="1">
      <c r="D50" s="417">
        <v>500</v>
      </c>
      <c r="E50" s="418">
        <v>250</v>
      </c>
      <c r="F50" s="418">
        <v>250</v>
      </c>
      <c r="G50" s="405"/>
      <c r="H50" s="405"/>
      <c r="I50" s="405"/>
      <c r="J50" s="405"/>
      <c r="K50" s="405"/>
      <c r="L50" s="405"/>
      <c r="M50" s="405"/>
      <c r="N50" s="405"/>
      <c r="O50" s="405"/>
      <c r="P50" s="406"/>
    </row>
    <row r="51" spans="4:16" ht="20.100000000000001" customHeight="1">
      <c r="D51" s="347"/>
    </row>
    <row r="52" spans="4:16" ht="20.100000000000001" customHeight="1">
      <c r="D52" s="347"/>
    </row>
    <row r="53" spans="4:16" ht="20.100000000000001" customHeight="1" thickBot="1">
      <c r="D53" s="348" t="s">
        <v>302</v>
      </c>
    </row>
    <row r="54" spans="4:16" s="37" customFormat="1" ht="40.5" customHeight="1">
      <c r="D54" s="351" t="s">
        <v>236</v>
      </c>
      <c r="E54" s="359" t="s">
        <v>237</v>
      </c>
      <c r="F54" s="359" t="s">
        <v>238</v>
      </c>
      <c r="G54" s="359"/>
      <c r="H54" s="359"/>
      <c r="I54" s="359"/>
      <c r="J54" s="359"/>
      <c r="K54" s="359"/>
      <c r="L54" s="359"/>
      <c r="M54" s="359"/>
      <c r="N54" s="359"/>
      <c r="O54" s="359"/>
      <c r="P54" s="360"/>
    </row>
    <row r="55" spans="4:16" s="407" customFormat="1" ht="30" customHeight="1" thickBot="1">
      <c r="D55" s="417">
        <v>10</v>
      </c>
      <c r="E55" s="418">
        <v>7.5</v>
      </c>
      <c r="F55" s="418">
        <v>7.5</v>
      </c>
      <c r="G55" s="405"/>
      <c r="H55" s="405"/>
      <c r="I55" s="405"/>
      <c r="J55" s="405"/>
      <c r="K55" s="405"/>
      <c r="L55" s="405"/>
      <c r="M55" s="405"/>
      <c r="N55" s="405"/>
      <c r="O55" s="405"/>
      <c r="P55" s="40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3" r:id="rId4" name="CommandButton1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4" name="CommandButton1"/>
      </mc:Fallback>
    </mc:AlternateContent>
    <mc:AlternateContent xmlns:mc="http://schemas.openxmlformats.org/markup-compatibility/2006">
      <mc:Choice Requires="x14">
        <control shapeId="264194" r:id="rId6" name="CommandButton2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13" sqref="D1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525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381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Well!G4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68" t="s">
        <v>119</v>
      </c>
      <c r="K11" s="56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488</v>
      </c>
      <c r="H12" s="18"/>
      <c r="J12" s="184" t="s">
        <v>121</v>
      </c>
      <c r="K12" s="420">
        <v>14</v>
      </c>
      <c r="L12" s="419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385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384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Well!J4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384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384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404">
        <f>K18*100</f>
        <v>2.5319488817891376</v>
      </c>
    </row>
    <row r="19" spans="2:12" ht="20.100000000000001" customHeight="1" thickBot="1">
      <c r="B19" s="21" t="s">
        <v>76</v>
      </c>
      <c r="C19" s="388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391">
        <f>C21-C20</f>
        <v>50.5</v>
      </c>
      <c r="E22" s="570">
        <f>E21+F21</f>
        <v>562.79999999999995</v>
      </c>
      <c r="F22" s="571"/>
      <c r="G22" s="20"/>
      <c r="I22" s="19"/>
    </row>
    <row r="23" spans="2:12" ht="20.100000000000001" customHeight="1" thickBot="1">
      <c r="B23" s="527" t="s">
        <v>240</v>
      </c>
      <c r="C23" s="528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4" t="s">
        <v>99</v>
      </c>
      <c r="C25" s="565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66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306</v>
      </c>
    </row>
    <row r="27" spans="2:12" ht="25.5" customHeight="1">
      <c r="B27" s="566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66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66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66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67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D20" sqref="D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525" t="str">
        <f>Well!D5</f>
        <v>충남 보령시 천북면 하만리 산 143-5</v>
      </c>
      <c r="H2"/>
      <c r="I2" s="297" t="s">
        <v>276</v>
      </c>
      <c r="J2"/>
      <c r="K2"/>
      <c r="L2"/>
      <c r="M2"/>
    </row>
    <row r="3" spans="1:13" ht="20.100000000000001" customHeight="1">
      <c r="B3" s="2" t="s">
        <v>6</v>
      </c>
      <c r="C3" s="381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Well!G5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68" t="s">
        <v>119</v>
      </c>
      <c r="K11" s="56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20</v>
      </c>
      <c r="L12" s="419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385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384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Well!J5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384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384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404">
        <f>K18*100</f>
        <v>1.8142734307824593</v>
      </c>
    </row>
    <row r="19" spans="2:12" ht="20.100000000000001" customHeight="1" thickBot="1">
      <c r="B19" s="21" t="s">
        <v>76</v>
      </c>
      <c r="C19" s="388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46.800000000000004</v>
      </c>
      <c r="E22" s="570">
        <f>E21+F21</f>
        <v>302.8</v>
      </c>
      <c r="F22" s="571"/>
      <c r="G22" s="20"/>
      <c r="I22" s="19"/>
    </row>
    <row r="23" spans="2:12" ht="20.100000000000001" customHeight="1" thickBot="1">
      <c r="B23" s="527" t="s">
        <v>240</v>
      </c>
      <c r="C23" s="528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4" t="s">
        <v>99</v>
      </c>
      <c r="C25" s="565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66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306</v>
      </c>
    </row>
    <row r="27" spans="2:12" ht="25.5" customHeight="1">
      <c r="B27" s="566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566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66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66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67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80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4" name="CommandButton8"/>
      </mc:Fallback>
    </mc:AlternateContent>
    <mc:AlternateContent xmlns:mc="http://schemas.openxmlformats.org/markup-compatibility/2006">
      <mc:Choice Requires="x14">
        <control shapeId="2897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6" name="CommandButton6"/>
      </mc:Fallback>
    </mc:AlternateContent>
    <mc:AlternateContent xmlns:mc="http://schemas.openxmlformats.org/markup-compatibility/2006">
      <mc:Choice Requires="x14">
        <control shapeId="2897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8" name="Frame1"/>
      </mc:Fallback>
    </mc:AlternateContent>
    <mc:AlternateContent xmlns:mc="http://schemas.openxmlformats.org/markup-compatibility/2006">
      <mc:Choice Requires="x14">
        <control shapeId="2897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D17" sqref="D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525" t="str">
        <f>Well!D6</f>
        <v>충남 보령시 천북면 하만리 산 143-5</v>
      </c>
      <c r="H2"/>
      <c r="I2" s="297" t="s">
        <v>301</v>
      </c>
      <c r="J2"/>
      <c r="K2"/>
      <c r="L2"/>
      <c r="M2"/>
    </row>
    <row r="3" spans="1:13" ht="20.100000000000001" customHeight="1">
      <c r="B3" s="2" t="s">
        <v>6</v>
      </c>
      <c r="C3" s="381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Well!G6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68" t="s">
        <v>119</v>
      </c>
      <c r="K11" s="56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16</v>
      </c>
      <c r="L12" s="419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385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384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Well!J6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384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384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404">
        <f>K18*100</f>
        <v>2.4736842105263159</v>
      </c>
    </row>
    <row r="19" spans="2:12" ht="20.100000000000001" customHeight="1" thickBot="1">
      <c r="B19" s="21" t="s">
        <v>76</v>
      </c>
      <c r="C19" s="388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48.599999999999994</v>
      </c>
      <c r="E22" s="570">
        <f>E21+F21</f>
        <v>302.8</v>
      </c>
      <c r="F22" s="571"/>
      <c r="G22" s="20"/>
      <c r="I22" s="19"/>
    </row>
    <row r="23" spans="2:12" ht="20.100000000000001" customHeight="1" thickBot="1">
      <c r="B23" s="527" t="s">
        <v>240</v>
      </c>
      <c r="C23" s="528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4" t="s">
        <v>99</v>
      </c>
      <c r="C25" s="565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66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306</v>
      </c>
    </row>
    <row r="27" spans="2:12" ht="25.5" customHeight="1">
      <c r="B27" s="566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66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66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66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67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4" name="CommandButton8"/>
      </mc:Fallback>
    </mc:AlternateContent>
    <mc:AlternateContent xmlns:mc="http://schemas.openxmlformats.org/markup-compatibility/2006">
      <mc:Choice Requires="x14">
        <control shapeId="2908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6" name="CommandButton6"/>
      </mc:Fallback>
    </mc:AlternateContent>
    <mc:AlternateContent xmlns:mc="http://schemas.openxmlformats.org/markup-compatibility/2006">
      <mc:Choice Requires="x14">
        <control shapeId="2908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8" name="Frame1"/>
      </mc:Fallback>
    </mc:AlternateContent>
    <mc:AlternateContent xmlns:mc="http://schemas.openxmlformats.org/markup-compatibility/2006">
      <mc:Choice Requires="x14">
        <control shapeId="2908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65" t="s">
        <v>82</v>
      </c>
      <c r="C6" s="378">
        <v>44753.861111111109</v>
      </c>
      <c r="D6" s="125"/>
      <c r="E6" s="37"/>
      <c r="F6" s="37"/>
    </row>
    <row r="7" spans="2:14" s="38" customFormat="1" ht="26.1" customHeight="1" thickBot="1">
      <c r="B7" s="368" t="s">
        <v>83</v>
      </c>
      <c r="C7" s="373">
        <v>14.6</v>
      </c>
      <c r="D7" s="125"/>
      <c r="E7" s="37"/>
      <c r="F7" s="37"/>
    </row>
    <row r="8" spans="2:14" s="38" customFormat="1" ht="26.1" customHeight="1">
      <c r="B8" s="365" t="s">
        <v>84</v>
      </c>
      <c r="C8" s="379">
        <v>211</v>
      </c>
      <c r="D8" s="125"/>
      <c r="E8" s="37"/>
      <c r="F8" s="37"/>
    </row>
    <row r="9" spans="2:14" s="38" customFormat="1" ht="26.1" customHeight="1" thickBot="1">
      <c r="B9" s="368" t="s">
        <v>85</v>
      </c>
      <c r="C9" s="380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74" t="s">
        <v>86</v>
      </c>
      <c r="C12" s="575"/>
      <c r="D12" s="576" t="s">
        <v>87</v>
      </c>
      <c r="E12" s="577"/>
      <c r="F12" s="575"/>
      <c r="H12" s="574" t="s">
        <v>87</v>
      </c>
      <c r="I12" s="577"/>
      <c r="J12" s="575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78" t="s">
        <v>36</v>
      </c>
      <c r="C24" s="579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78" t="s">
        <v>37</v>
      </c>
      <c r="C25" s="579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72" t="s">
        <v>92</v>
      </c>
      <c r="C26" s="573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71" t="s">
        <v>82</v>
      </c>
      <c r="C6" s="372">
        <v>44753.861111111109</v>
      </c>
      <c r="D6" s="125"/>
      <c r="E6" s="37"/>
      <c r="F6" s="37"/>
    </row>
    <row r="7" spans="2:9" s="38" customFormat="1" ht="26.1" customHeight="1" thickBot="1">
      <c r="B7" s="368" t="s">
        <v>83</v>
      </c>
      <c r="C7" s="373">
        <v>14</v>
      </c>
      <c r="D7" s="125"/>
      <c r="E7" s="37"/>
      <c r="F7" s="37"/>
    </row>
    <row r="8" spans="2:9" s="38" customFormat="1" ht="26.1" customHeight="1">
      <c r="B8" s="365" t="s">
        <v>84</v>
      </c>
      <c r="C8" s="366">
        <v>226</v>
      </c>
      <c r="D8" s="367">
        <v>229</v>
      </c>
      <c r="E8" s="37"/>
      <c r="F8" s="37"/>
    </row>
    <row r="9" spans="2:9" s="38" customFormat="1" ht="26.1" customHeight="1" thickBot="1">
      <c r="B9" s="368" t="s">
        <v>85</v>
      </c>
      <c r="C9" s="369">
        <v>7.9</v>
      </c>
      <c r="D9" s="370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74" t="s">
        <v>86</v>
      </c>
      <c r="C12" s="575"/>
      <c r="D12" s="574" t="s">
        <v>87</v>
      </c>
      <c r="E12" s="577"/>
      <c r="F12" s="575"/>
      <c r="G12" s="580" t="s">
        <v>159</v>
      </c>
      <c r="H12" s="581"/>
      <c r="I12" s="582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78" t="s">
        <v>36</v>
      </c>
      <c r="C24" s="579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78" t="s">
        <v>37</v>
      </c>
      <c r="C25" s="579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72" t="s">
        <v>92</v>
      </c>
      <c r="C26" s="573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74" t="s">
        <v>87</v>
      </c>
      <c r="E29" s="577"/>
      <c r="F29" s="575"/>
      <c r="H29" s="574" t="s">
        <v>159</v>
      </c>
      <c r="I29" s="577"/>
      <c r="J29" s="575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4"/>
  <sheetViews>
    <sheetView workbookViewId="0">
      <selection activeCell="H3" sqref="H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71" t="s">
        <v>82</v>
      </c>
      <c r="C6" s="372">
        <v>44717.430555555555</v>
      </c>
      <c r="D6" s="125"/>
      <c r="E6" s="125"/>
      <c r="F6" s="37"/>
    </row>
    <row r="7" spans="2:12" s="38" customFormat="1" ht="26.1" customHeight="1" thickBot="1">
      <c r="B7" s="374" t="s">
        <v>83</v>
      </c>
      <c r="C7" s="375">
        <v>14.7</v>
      </c>
      <c r="D7" s="125"/>
      <c r="E7" s="125"/>
      <c r="F7" s="37"/>
    </row>
    <row r="8" spans="2:12" s="38" customFormat="1" ht="26.1" customHeight="1">
      <c r="B8" s="365" t="s">
        <v>84</v>
      </c>
      <c r="C8" s="366">
        <v>197</v>
      </c>
      <c r="D8" s="376">
        <v>197</v>
      </c>
      <c r="E8" s="367">
        <v>194</v>
      </c>
      <c r="F8" s="37"/>
    </row>
    <row r="9" spans="2:12" s="38" customFormat="1" ht="26.1" customHeight="1" thickBot="1">
      <c r="B9" s="368" t="s">
        <v>85</v>
      </c>
      <c r="C9" s="369">
        <v>8.4</v>
      </c>
      <c r="D9" s="377">
        <v>8.3000000000000007</v>
      </c>
      <c r="E9" s="370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74" t="s">
        <v>86</v>
      </c>
      <c r="C12" s="575"/>
      <c r="D12" s="580" t="s">
        <v>87</v>
      </c>
      <c r="E12" s="581"/>
      <c r="F12" s="582"/>
      <c r="G12" s="580" t="s">
        <v>159</v>
      </c>
      <c r="H12" s="581"/>
      <c r="I12" s="582"/>
      <c r="J12" s="580" t="s">
        <v>160</v>
      </c>
      <c r="K12" s="581"/>
      <c r="L12" s="582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78" t="s">
        <v>36</v>
      </c>
      <c r="C24" s="579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78" t="s">
        <v>37</v>
      </c>
      <c r="C25" s="579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72" t="s">
        <v>92</v>
      </c>
      <c r="C26" s="573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74" t="s">
        <v>87</v>
      </c>
      <c r="E29" s="577"/>
      <c r="F29" s="575"/>
      <c r="H29" s="574" t="s">
        <v>159</v>
      </c>
      <c r="I29" s="577"/>
      <c r="J29" s="575"/>
      <c r="L29" s="574" t="s">
        <v>160</v>
      </c>
      <c r="M29" s="577"/>
      <c r="N29" s="575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2023-03-18T03:21:40Z</dcterms:modified>
</cp:coreProperties>
</file>