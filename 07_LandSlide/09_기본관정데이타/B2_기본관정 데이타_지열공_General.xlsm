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3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comments2.xml" ContentType="application/vnd.openxmlformats-officedocument.spreadsheetml.comments+xml"/>
  <Override PartName="/xl/drawings/drawing4.xml" ContentType="application/vnd.openxmlformats-officedocument.drawing+xml"/>
  <Override PartName="/xl/activeX/activeX11.xml" ContentType="application/vnd.ms-office.activeX+xml"/>
  <Override PartName="/xl/activeX/activeX11.bin" ContentType="application/vnd.ms-office.activeX"/>
  <Override PartName="/xl/tables/table1.xml" ContentType="application/vnd.openxmlformats-officedocument.spreadsheetml.table+xml"/>
  <Override PartName="/xl/drawings/drawing5.xml" ContentType="application/vnd.openxmlformats-officedocument.drawing+xml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comments3.xml" ContentType="application/vnd.openxmlformats-officedocument.spreadsheetml.comments+xml"/>
  <Override PartName="/xl/drawings/drawing6.xml" ContentType="application/vnd.openxmlformats-officedocument.drawing+xml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tables/table2.xml" ContentType="application/vnd.openxmlformats-officedocument.spreadsheetml.table+xml"/>
  <Override PartName="/xl/drawings/drawing7.xml" ContentType="application/vnd.openxmlformats-officedocument.drawing+xml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drawings/drawing8.xml" ContentType="application/vnd.openxmlformats-officedocument.drawing+xml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drawings/drawing9.xml" ContentType="application/vnd.openxmlformats-officedocument.drawing+xml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drawings/drawing10.xml" ContentType="application/vnd.openxmlformats-officedocument.drawing+xml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activeX/activeX32.xml" ContentType="application/vnd.ms-office.activeX+xml"/>
  <Override PartName="/xl/activeX/activeX32.bin" ContentType="application/vnd.ms-office.activeX"/>
  <Override PartName="/xl/activeX/activeX33.xml" ContentType="application/vnd.ms-office.activeX+xml"/>
  <Override PartName="/xl/activeX/activeX33.bin" ContentType="application/vnd.ms-office.activeX"/>
  <Override PartName="/xl/activeX/activeX34.xml" ContentType="application/vnd.ms-office.activeX+xml"/>
  <Override PartName="/xl/activeX/activeX34.bin" ContentType="application/vnd.ms-office.activeX"/>
  <Override PartName="/xl/activeX/activeX35.xml" ContentType="application/vnd.ms-office.activeX+xml"/>
  <Override PartName="/xl/activeX/activeX35.bin" ContentType="application/vnd.ms-office.activeX"/>
  <Override PartName="/xl/activeX/activeX36.xml" ContentType="application/vnd.ms-office.activeX+xml"/>
  <Override PartName="/xl/activeX/activeX36.bin" ContentType="application/vnd.ms-office.activeX"/>
  <Override PartName="/xl/comments4.xml" ContentType="application/vnd.openxmlformats-officedocument.spreadsheetml.comments+xml"/>
  <Override PartName="/xl/drawings/drawing11.xml" ContentType="application/vnd.openxmlformats-officedocument.drawing+xml"/>
  <Override PartName="/xl/activeX/activeX37.xml" ContentType="application/vnd.ms-office.activeX+xml"/>
  <Override PartName="/xl/activeX/activeX37.bin" ContentType="application/vnd.ms-office.activeX"/>
  <Override PartName="/xl/activeX/activeX38.xml" ContentType="application/vnd.ms-office.activeX+xml"/>
  <Override PartName="/xl/activeX/activeX38.bin" ContentType="application/vnd.ms-office.activeX"/>
  <Override PartName="/xl/activeX/activeX39.xml" ContentType="application/vnd.ms-office.activeX+xml"/>
  <Override PartName="/xl/activeX/activeX39.bin" ContentType="application/vnd.ms-office.activeX"/>
  <Override PartName="/xl/activeX/activeX40.xml" ContentType="application/vnd.ms-office.activeX+xml"/>
  <Override PartName="/xl/activeX/activeX40.bin" ContentType="application/vnd.ms-office.activeX"/>
  <Override PartName="/xl/comments5.xml" ContentType="application/vnd.openxmlformats-officedocument.spreadsheetml.comments+xml"/>
  <Override PartName="/xl/drawings/drawing12.xml" ContentType="application/vnd.openxmlformats-officedocument.drawing+xml"/>
  <Override PartName="/xl/activeX/activeX41.xml" ContentType="application/vnd.ms-office.activeX+xml"/>
  <Override PartName="/xl/activeX/activeX41.bin" ContentType="application/vnd.ms-office.activeX"/>
  <Override PartName="/xl/activeX/activeX42.xml" ContentType="application/vnd.ms-office.activeX+xml"/>
  <Override PartName="/xl/activeX/activeX42.bin" ContentType="application/vnd.ms-office.activeX"/>
  <Override PartName="/xl/activeX/activeX43.xml" ContentType="application/vnd.ms-office.activeX+xml"/>
  <Override PartName="/xl/activeX/activeX43.bin" ContentType="application/vnd.ms-office.activeX"/>
  <Override PartName="/xl/activeX/activeX44.xml" ContentType="application/vnd.ms-office.activeX+xml"/>
  <Override PartName="/xl/activeX/activeX44.bin" ContentType="application/vnd.ms-office.activeX"/>
  <Override PartName="/xl/comments6.xml" ContentType="application/vnd.openxmlformats-officedocument.spreadsheetml.comments+xml"/>
  <Override PartName="/xl/drawings/drawing13.xml" ContentType="application/vnd.openxmlformats-officedocument.drawing+xml"/>
  <Override PartName="/xl/activeX/activeX45.xml" ContentType="application/vnd.ms-office.activeX+xml"/>
  <Override PartName="/xl/activeX/activeX45.bin" ContentType="application/vnd.ms-office.activeX"/>
  <Override PartName="/xl/activeX/activeX46.xml" ContentType="application/vnd.ms-office.activeX+xml"/>
  <Override PartName="/xl/activeX/activeX46.bin" ContentType="application/vnd.ms-office.activeX"/>
  <Override PartName="/xl/activeX/activeX47.xml" ContentType="application/vnd.ms-office.activeX+xml"/>
  <Override PartName="/xl/activeX/activeX47.bin" ContentType="application/vnd.ms-office.activeX"/>
  <Override PartName="/xl/drawings/drawing14.xml" ContentType="application/vnd.openxmlformats-officedocument.drawing+xml"/>
  <Override PartName="/xl/activeX/activeX48.xml" ContentType="application/vnd.ms-office.activeX+xml"/>
  <Override PartName="/xl/activeX/activeX48.bin" ContentType="application/vnd.ms-office.activeX"/>
  <Override PartName="/xl/activeX/activeX49.xml" ContentType="application/vnd.ms-office.activeX+xml"/>
  <Override PartName="/xl/activeX/activeX49.bin" ContentType="application/vnd.ms-office.activeX"/>
  <Override PartName="/xl/activeX/activeX50.xml" ContentType="application/vnd.ms-office.activeX+xml"/>
  <Override PartName="/xl/activeX/activeX50.bin" ContentType="application/vnd.ms-office.activeX"/>
  <Override PartName="/xl/drawings/drawing15.xml" ContentType="application/vnd.openxmlformats-officedocument.drawing+xml"/>
  <Override PartName="/xl/activeX/activeX51.xml" ContentType="application/vnd.ms-office.activeX+xml"/>
  <Override PartName="/xl/activeX/activeX51.bin" ContentType="application/vnd.ms-office.activeX"/>
  <Override PartName="/xl/activeX/activeX52.xml" ContentType="application/vnd.ms-office.activeX+xml"/>
  <Override PartName="/xl/activeX/activeX52.bin" ContentType="application/vnd.ms-office.activeX"/>
  <Override PartName="/xl/activeX/activeX53.xml" ContentType="application/vnd.ms-office.activeX+xml"/>
  <Override PartName="/xl/activeX/activeX53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130" codeName="{AE6600E7-7A62-396C-DE95-9942FA9DD81E}"/>
  <workbookPr codeName="현재_통합_문서" defaultThemeVersion="124226"/>
  <mc:AlternateContent xmlns:mc="http://schemas.openxmlformats.org/markup-compatibility/2006">
    <mc:Choice Requires="x15">
      <x15ac:absPath xmlns:x15ac="http://schemas.microsoft.com/office/spreadsheetml/2010/11/ac" url="D:\12_dev\02_Excel2\01_Acquifer Pumping Test\02_기본관정데이타\"/>
    </mc:Choice>
  </mc:AlternateContent>
  <xr:revisionPtr revIDLastSave="0" documentId="13_ncr:1_{0F0EEC11-CC92-42A6-BC3F-AF46A618A03D}" xr6:coauthVersionLast="47" xr6:coauthVersionMax="47" xr10:uidLastSave="{00000000-0000-0000-0000-000000000000}"/>
  <bookViews>
    <workbookView xWindow="40770" yWindow="1155" windowWidth="28065" windowHeight="18435" tabRatio="598" xr2:uid="{00000000-000D-0000-FFFF-FFFF00000000}"/>
  </bookViews>
  <sheets>
    <sheet name="All" sheetId="54" r:id="rId1"/>
    <sheet name="Y" sheetId="25" r:id="rId2"/>
    <sheet name="Recharge" sheetId="23" r:id="rId3"/>
    <sheet name="drastic" sheetId="84" state="hidden" r:id="rId4"/>
    <sheet name="location" sheetId="121" state="hidden" r:id="rId5"/>
    <sheet name="Well" sheetId="52" r:id="rId6"/>
    <sheet name="Aggregate1" sheetId="148" state="hidden" r:id="rId7"/>
    <sheet name="Aggregate2" sheetId="157" state="hidden" r:id="rId8"/>
    <sheet name="aggWhpa" sheetId="172" state="hidden" r:id="rId9"/>
    <sheet name="AggSum" sheetId="175" state="hidden" r:id="rId10"/>
    <sheet name="1" sheetId="55" r:id="rId11"/>
    <sheet name="2" sheetId="173" r:id="rId12"/>
    <sheet name="3" sheetId="174" r:id="rId13"/>
    <sheet name="Q1" sheetId="100" r:id="rId14"/>
    <sheet name="Q2" sheetId="117" r:id="rId15"/>
    <sheet name="Q3" sheetId="115" r:id="rId16"/>
  </sheets>
  <functionGroups builtInGroupCount="19"/>
  <definedNames>
    <definedName name="allow_ratio">Recharge!$C$26</definedName>
    <definedName name="allow_ratio2">Recharge!$D$26</definedName>
    <definedName name="allow_ratio3">Recharge!$E$26</definedName>
    <definedName name="Area1">Recharge!$C$27</definedName>
    <definedName name="baseTemp" localSheetId="13">'Q1'!$C$7</definedName>
    <definedName name="baseTemp" localSheetId="14">'Q2'!$C$7</definedName>
    <definedName name="baseTemp" localSheetId="15">'Q3'!$C$7</definedName>
    <definedName name="max">Recharge!$C$25</definedName>
    <definedName name="min">Recharge!$C$24</definedName>
    <definedName name="rf_1">Recharge!$C$28</definedName>
    <definedName name="rf_2">Recharge!$D$28</definedName>
    <definedName name="rf_3">Recharge!$E$28</definedName>
    <definedName name="SumWater">Well!$I$8</definedName>
  </definedNames>
  <calcPr calcId="191029"/>
  <fileRecoveryPr autoRecover="0"/>
</workbook>
</file>

<file path=xl/calcChain.xml><?xml version="1.0" encoding="utf-8"?>
<calcChain xmlns="http://schemas.openxmlformats.org/spreadsheetml/2006/main">
  <c r="I8" i="175" l="1"/>
  <c r="K8" i="175"/>
  <c r="J4" i="175"/>
  <c r="E21" i="55"/>
  <c r="J8" i="175"/>
  <c r="H8" i="175"/>
  <c r="G8" i="175"/>
  <c r="F8" i="175"/>
  <c r="E8" i="175"/>
  <c r="D8" i="175"/>
  <c r="I4" i="175"/>
  <c r="H4" i="175"/>
  <c r="G4" i="175"/>
  <c r="F4" i="175"/>
  <c r="D4" i="175"/>
  <c r="E4" i="175"/>
  <c r="E26" i="55"/>
  <c r="G13" i="55"/>
  <c r="F13" i="55"/>
  <c r="E13" i="55"/>
  <c r="G19" i="55"/>
  <c r="G17" i="55"/>
  <c r="F19" i="55"/>
  <c r="F17" i="55"/>
  <c r="E21" i="174"/>
  <c r="F21" i="174"/>
  <c r="E17" i="174"/>
  <c r="C19" i="174"/>
  <c r="C18" i="174"/>
  <c r="C17" i="174"/>
  <c r="C16" i="174"/>
  <c r="C15" i="174"/>
  <c r="C8" i="174"/>
  <c r="C7" i="174"/>
  <c r="C6" i="174"/>
  <c r="C5" i="174"/>
  <c r="C4" i="174"/>
  <c r="C3" i="174"/>
  <c r="C2" i="174"/>
  <c r="E21" i="173"/>
  <c r="E22" i="173" s="1"/>
  <c r="F21" i="173"/>
  <c r="E17" i="173"/>
  <c r="E19" i="173" s="1"/>
  <c r="C19" i="173"/>
  <c r="C18" i="173"/>
  <c r="C17" i="173"/>
  <c r="C16" i="173"/>
  <c r="C15" i="173"/>
  <c r="C8" i="173"/>
  <c r="C7" i="173"/>
  <c r="C6" i="173"/>
  <c r="C5" i="173"/>
  <c r="C4" i="173"/>
  <c r="C3" i="173"/>
  <c r="C2" i="173"/>
  <c r="F21" i="55"/>
  <c r="E17" i="55"/>
  <c r="C19" i="55"/>
  <c r="C18" i="55"/>
  <c r="C17" i="55"/>
  <c r="C16" i="55"/>
  <c r="C15" i="55"/>
  <c r="C8" i="55"/>
  <c r="C7" i="55"/>
  <c r="C6" i="55"/>
  <c r="C5" i="55"/>
  <c r="C4" i="55"/>
  <c r="C3" i="55"/>
  <c r="C2" i="55"/>
  <c r="E22" i="174"/>
  <c r="J31" i="174"/>
  <c r="I31" i="174"/>
  <c r="H31" i="174"/>
  <c r="G31" i="174"/>
  <c r="F31" i="174"/>
  <c r="E31" i="174"/>
  <c r="D31" i="174"/>
  <c r="K31" i="174" s="1"/>
  <c r="J30" i="174"/>
  <c r="I30" i="174"/>
  <c r="H30" i="174"/>
  <c r="G30" i="174"/>
  <c r="F30" i="174"/>
  <c r="E30" i="174"/>
  <c r="D30" i="174"/>
  <c r="K30" i="174" s="1"/>
  <c r="D26" i="174"/>
  <c r="C22" i="174"/>
  <c r="E19" i="174"/>
  <c r="K16" i="174"/>
  <c r="K17" i="174" s="1"/>
  <c r="K18" i="174" s="1"/>
  <c r="L18" i="174" s="1"/>
  <c r="H26" i="174" s="1"/>
  <c r="E13" i="174"/>
  <c r="L12" i="174"/>
  <c r="G11" i="174"/>
  <c r="F11" i="174"/>
  <c r="E11" i="174"/>
  <c r="C9" i="174"/>
  <c r="C14" i="174" s="1"/>
  <c r="F6" i="174" s="1"/>
  <c r="G7" i="174"/>
  <c r="E7" i="174"/>
  <c r="J31" i="173"/>
  <c r="I31" i="173"/>
  <c r="H31" i="173"/>
  <c r="G31" i="173"/>
  <c r="F31" i="173"/>
  <c r="E31" i="173"/>
  <c r="D31" i="173"/>
  <c r="K31" i="173" s="1"/>
  <c r="J30" i="173"/>
  <c r="I30" i="173"/>
  <c r="H30" i="173"/>
  <c r="G30" i="173"/>
  <c r="F30" i="173"/>
  <c r="E30" i="173"/>
  <c r="D30" i="173"/>
  <c r="K30" i="173" s="1"/>
  <c r="D26" i="173"/>
  <c r="C22" i="173"/>
  <c r="K16" i="173"/>
  <c r="K17" i="173" s="1"/>
  <c r="K18" i="173" s="1"/>
  <c r="L18" i="173" s="1"/>
  <c r="H26" i="173" s="1"/>
  <c r="E13" i="173"/>
  <c r="L12" i="173"/>
  <c r="G11" i="173"/>
  <c r="F11" i="173"/>
  <c r="E11" i="173"/>
  <c r="C9" i="173"/>
  <c r="C12" i="173" s="1"/>
  <c r="A13" i="173" s="1"/>
  <c r="A12" i="173" s="1"/>
  <c r="G7" i="173"/>
  <c r="E7" i="173"/>
  <c r="C14" i="173" l="1"/>
  <c r="F6" i="173" s="1"/>
  <c r="C12" i="174"/>
  <c r="A13" i="174" s="1"/>
  <c r="A12" i="174" s="1"/>
  <c r="F7" i="174"/>
  <c r="F7" i="173"/>
  <c r="J26" i="174"/>
  <c r="F5" i="174"/>
  <c r="J26" i="173"/>
  <c r="F5" i="173"/>
  <c r="D14" i="117" l="1"/>
  <c r="D20" i="117"/>
  <c r="D23" i="117"/>
  <c r="D22" i="117"/>
  <c r="D21" i="117"/>
  <c r="D19" i="117"/>
  <c r="D18" i="117"/>
  <c r="D17" i="117"/>
  <c r="D16" i="117"/>
  <c r="D15" i="117"/>
  <c r="G11" i="55"/>
  <c r="D35" i="54"/>
  <c r="E35" i="54"/>
  <c r="F35" i="54"/>
  <c r="G35" i="54"/>
  <c r="H35" i="54"/>
  <c r="I35" i="54"/>
  <c r="J35" i="54"/>
  <c r="K35" i="54"/>
  <c r="L35" i="54"/>
  <c r="M35" i="54"/>
  <c r="N35" i="54"/>
  <c r="C35" i="54"/>
  <c r="D24" i="117" l="1"/>
  <c r="D25" i="117"/>
  <c r="D26" i="117" l="1"/>
  <c r="L25" i="23"/>
  <c r="L26" i="23"/>
  <c r="K25" i="23"/>
  <c r="K26" i="23"/>
  <c r="L24" i="23"/>
  <c r="K24" i="23"/>
  <c r="L4" i="121"/>
  <c r="K4" i="121"/>
  <c r="E50" i="54" l="1"/>
  <c r="B42" i="54"/>
  <c r="C42" i="54"/>
  <c r="D42" i="54"/>
  <c r="E42" i="54"/>
  <c r="F42" i="54"/>
  <c r="G42" i="54"/>
  <c r="H42" i="54"/>
  <c r="I42" i="54"/>
  <c r="J42" i="54"/>
  <c r="K42" i="54"/>
  <c r="L42" i="54"/>
  <c r="M42" i="54"/>
  <c r="N42" i="54"/>
  <c r="B43" i="54"/>
  <c r="C43" i="54"/>
  <c r="D43" i="54"/>
  <c r="E43" i="54"/>
  <c r="F43" i="54"/>
  <c r="G43" i="54"/>
  <c r="H43" i="54"/>
  <c r="I43" i="54"/>
  <c r="J43" i="54"/>
  <c r="K43" i="54"/>
  <c r="L43" i="54"/>
  <c r="M43" i="54"/>
  <c r="N43" i="54"/>
  <c r="B44" i="54"/>
  <c r="C44" i="54"/>
  <c r="D44" i="54"/>
  <c r="E44" i="54"/>
  <c r="F44" i="54"/>
  <c r="G44" i="54"/>
  <c r="H44" i="54"/>
  <c r="I44" i="54"/>
  <c r="J44" i="54"/>
  <c r="K44" i="54"/>
  <c r="L44" i="54"/>
  <c r="M44" i="54"/>
  <c r="N44" i="54"/>
  <c r="B45" i="54"/>
  <c r="C45" i="54"/>
  <c r="D45" i="54"/>
  <c r="E45" i="54"/>
  <c r="F45" i="54"/>
  <c r="G45" i="54"/>
  <c r="H45" i="54"/>
  <c r="I45" i="54"/>
  <c r="J45" i="54"/>
  <c r="K45" i="54"/>
  <c r="L45" i="54"/>
  <c r="M45" i="54"/>
  <c r="N45" i="54"/>
  <c r="B46" i="54"/>
  <c r="C46" i="54"/>
  <c r="D46" i="54"/>
  <c r="E46" i="54"/>
  <c r="F46" i="54"/>
  <c r="G46" i="54"/>
  <c r="H46" i="54"/>
  <c r="I46" i="54"/>
  <c r="J46" i="54"/>
  <c r="K46" i="54"/>
  <c r="L46" i="54"/>
  <c r="M46" i="54"/>
  <c r="N46" i="54"/>
  <c r="B47" i="54"/>
  <c r="C47" i="54"/>
  <c r="D47" i="54"/>
  <c r="E47" i="54"/>
  <c r="F47" i="54"/>
  <c r="G47" i="54"/>
  <c r="H47" i="54"/>
  <c r="I47" i="54"/>
  <c r="J47" i="54"/>
  <c r="K47" i="54"/>
  <c r="L47" i="54"/>
  <c r="M47" i="54"/>
  <c r="N47" i="54"/>
  <c r="B48" i="54"/>
  <c r="C48" i="54"/>
  <c r="D48" i="54"/>
  <c r="E48" i="54"/>
  <c r="F48" i="54"/>
  <c r="G48" i="54"/>
  <c r="H48" i="54"/>
  <c r="I48" i="54"/>
  <c r="J48" i="54"/>
  <c r="K48" i="54"/>
  <c r="L48" i="54"/>
  <c r="M48" i="54"/>
  <c r="N48" i="54"/>
  <c r="B49" i="54"/>
  <c r="C49" i="54"/>
  <c r="D49" i="54"/>
  <c r="E49" i="54"/>
  <c r="F49" i="54"/>
  <c r="G49" i="54"/>
  <c r="H49" i="54"/>
  <c r="I49" i="54"/>
  <c r="J49" i="54"/>
  <c r="K49" i="54"/>
  <c r="L49" i="54"/>
  <c r="M49" i="54"/>
  <c r="N49" i="54"/>
  <c r="B50" i="54"/>
  <c r="C50" i="54"/>
  <c r="D50" i="54"/>
  <c r="F50" i="54"/>
  <c r="G50" i="54"/>
  <c r="H50" i="54"/>
  <c r="I50" i="54"/>
  <c r="J50" i="54"/>
  <c r="K50" i="54"/>
  <c r="L50" i="54"/>
  <c r="M50" i="54"/>
  <c r="N50" i="54"/>
  <c r="C41" i="54"/>
  <c r="D41" i="54"/>
  <c r="E41" i="54"/>
  <c r="F41" i="54"/>
  <c r="G41" i="54"/>
  <c r="H41" i="54"/>
  <c r="I41" i="54"/>
  <c r="J41" i="54"/>
  <c r="K41" i="54"/>
  <c r="L41" i="54"/>
  <c r="M41" i="54"/>
  <c r="N41" i="54"/>
  <c r="B41" i="54"/>
  <c r="E26" i="23" l="1"/>
  <c r="E28" i="23"/>
  <c r="E30" i="55"/>
  <c r="F30" i="55"/>
  <c r="G30" i="55"/>
  <c r="H30" i="55"/>
  <c r="I30" i="55"/>
  <c r="J30" i="55"/>
  <c r="D30" i="55"/>
  <c r="D28" i="23"/>
  <c r="C28" i="23"/>
  <c r="D26" i="23"/>
  <c r="C26" i="23"/>
  <c r="D26" i="55"/>
  <c r="G13" i="173" l="1"/>
  <c r="G13" i="174"/>
  <c r="F13" i="173"/>
  <c r="F13" i="174"/>
  <c r="K30" i="55"/>
  <c r="F11" i="55" l="1"/>
  <c r="B82" i="25" l="1"/>
  <c r="B48" i="25"/>
  <c r="B4" i="25"/>
  <c r="B53" i="25" s="1"/>
  <c r="C4" i="25"/>
  <c r="D4" i="25"/>
  <c r="E4" i="25"/>
  <c r="F4" i="25"/>
  <c r="G4" i="25"/>
  <c r="H4" i="25"/>
  <c r="I4" i="25"/>
  <c r="J4" i="25"/>
  <c r="K4" i="25"/>
  <c r="L4" i="25"/>
  <c r="M4" i="25"/>
  <c r="N4" i="25"/>
  <c r="B5" i="25"/>
  <c r="B54" i="25" s="1"/>
  <c r="C5" i="25"/>
  <c r="D5" i="25"/>
  <c r="E5" i="25"/>
  <c r="F5" i="25"/>
  <c r="G5" i="25"/>
  <c r="H5" i="25"/>
  <c r="I5" i="25"/>
  <c r="J5" i="25"/>
  <c r="K5" i="25"/>
  <c r="L5" i="25"/>
  <c r="M5" i="25"/>
  <c r="N5" i="25"/>
  <c r="B6" i="25"/>
  <c r="B55" i="25" s="1"/>
  <c r="C6" i="25"/>
  <c r="D6" i="25"/>
  <c r="E6" i="25"/>
  <c r="F6" i="25"/>
  <c r="G6" i="25"/>
  <c r="H6" i="25"/>
  <c r="I6" i="25"/>
  <c r="J6" i="25"/>
  <c r="K6" i="25"/>
  <c r="L6" i="25"/>
  <c r="M6" i="25"/>
  <c r="N6" i="25"/>
  <c r="B7" i="25"/>
  <c r="B56" i="25" s="1"/>
  <c r="C7" i="25"/>
  <c r="D7" i="25"/>
  <c r="E7" i="25"/>
  <c r="F7" i="25"/>
  <c r="G7" i="25"/>
  <c r="H7" i="25"/>
  <c r="I7" i="25"/>
  <c r="J7" i="25"/>
  <c r="K7" i="25"/>
  <c r="L7" i="25"/>
  <c r="M7" i="25"/>
  <c r="N7" i="25"/>
  <c r="B8" i="25"/>
  <c r="B57" i="25" s="1"/>
  <c r="C8" i="25"/>
  <c r="D8" i="25"/>
  <c r="E8" i="25"/>
  <c r="F8" i="25"/>
  <c r="G8" i="25"/>
  <c r="H8" i="25"/>
  <c r="I8" i="25"/>
  <c r="J8" i="25"/>
  <c r="K8" i="25"/>
  <c r="L8" i="25"/>
  <c r="M8" i="25"/>
  <c r="N8" i="25"/>
  <c r="B9" i="25"/>
  <c r="B58" i="25" s="1"/>
  <c r="C9" i="25"/>
  <c r="D9" i="25"/>
  <c r="E9" i="25"/>
  <c r="F9" i="25"/>
  <c r="G9" i="25"/>
  <c r="H9" i="25"/>
  <c r="I9" i="25"/>
  <c r="J9" i="25"/>
  <c r="K9" i="25"/>
  <c r="L9" i="25"/>
  <c r="M9" i="25"/>
  <c r="N9" i="25"/>
  <c r="B10" i="25"/>
  <c r="B59" i="25" s="1"/>
  <c r="C10" i="25"/>
  <c r="D10" i="25"/>
  <c r="E10" i="25"/>
  <c r="F10" i="25"/>
  <c r="G10" i="25"/>
  <c r="H10" i="25"/>
  <c r="I10" i="25"/>
  <c r="J10" i="25"/>
  <c r="K10" i="25"/>
  <c r="L10" i="25"/>
  <c r="M10" i="25"/>
  <c r="N10" i="25"/>
  <c r="B11" i="25"/>
  <c r="B60" i="25" s="1"/>
  <c r="C11" i="25"/>
  <c r="D11" i="25"/>
  <c r="E11" i="25"/>
  <c r="F11" i="25"/>
  <c r="G11" i="25"/>
  <c r="H11" i="25"/>
  <c r="I11" i="25"/>
  <c r="J11" i="25"/>
  <c r="K11" i="25"/>
  <c r="L11" i="25"/>
  <c r="M11" i="25"/>
  <c r="N11" i="25"/>
  <c r="B12" i="25"/>
  <c r="B61" i="25" s="1"/>
  <c r="C12" i="25"/>
  <c r="D12" i="25"/>
  <c r="E12" i="25"/>
  <c r="F12" i="25"/>
  <c r="G12" i="25"/>
  <c r="H12" i="25"/>
  <c r="I12" i="25"/>
  <c r="J12" i="25"/>
  <c r="K12" i="25"/>
  <c r="L12" i="25"/>
  <c r="M12" i="25"/>
  <c r="N12" i="25"/>
  <c r="B13" i="25"/>
  <c r="B62" i="25" s="1"/>
  <c r="C13" i="25"/>
  <c r="D13" i="25"/>
  <c r="E13" i="25"/>
  <c r="F13" i="25"/>
  <c r="G13" i="25"/>
  <c r="H13" i="25"/>
  <c r="I13" i="25"/>
  <c r="J13" i="25"/>
  <c r="K13" i="25"/>
  <c r="L13" i="25"/>
  <c r="M13" i="25"/>
  <c r="N13" i="25"/>
  <c r="B14" i="25"/>
  <c r="B63" i="25" s="1"/>
  <c r="C14" i="25"/>
  <c r="D14" i="25"/>
  <c r="E14" i="25"/>
  <c r="F14" i="25"/>
  <c r="G14" i="25"/>
  <c r="H14" i="25"/>
  <c r="I14" i="25"/>
  <c r="J14" i="25"/>
  <c r="K14" i="25"/>
  <c r="L14" i="25"/>
  <c r="M14" i="25"/>
  <c r="N14" i="25"/>
  <c r="B15" i="25"/>
  <c r="B64" i="25" s="1"/>
  <c r="C15" i="25"/>
  <c r="D15" i="25"/>
  <c r="E15" i="25"/>
  <c r="F15" i="25"/>
  <c r="G15" i="25"/>
  <c r="H15" i="25"/>
  <c r="I15" i="25"/>
  <c r="J15" i="25"/>
  <c r="K15" i="25"/>
  <c r="L15" i="25"/>
  <c r="M15" i="25"/>
  <c r="N15" i="25"/>
  <c r="B16" i="25"/>
  <c r="B65" i="25" s="1"/>
  <c r="C16" i="25"/>
  <c r="D16" i="25"/>
  <c r="E16" i="25"/>
  <c r="F16" i="25"/>
  <c r="G16" i="25"/>
  <c r="H16" i="25"/>
  <c r="I16" i="25"/>
  <c r="J16" i="25"/>
  <c r="K16" i="25"/>
  <c r="L16" i="25"/>
  <c r="M16" i="25"/>
  <c r="N16" i="25"/>
  <c r="B17" i="25"/>
  <c r="B66" i="25" s="1"/>
  <c r="C17" i="25"/>
  <c r="D17" i="25"/>
  <c r="E17" i="25"/>
  <c r="F17" i="25"/>
  <c r="G17" i="25"/>
  <c r="H17" i="25"/>
  <c r="I17" i="25"/>
  <c r="J17" i="25"/>
  <c r="K17" i="25"/>
  <c r="L17" i="25"/>
  <c r="M17" i="25"/>
  <c r="N17" i="25"/>
  <c r="B18" i="25"/>
  <c r="B67" i="25" s="1"/>
  <c r="C18" i="25"/>
  <c r="D18" i="25"/>
  <c r="E18" i="25"/>
  <c r="F18" i="25"/>
  <c r="G18" i="25"/>
  <c r="H18" i="25"/>
  <c r="I18" i="25"/>
  <c r="J18" i="25"/>
  <c r="K18" i="25"/>
  <c r="L18" i="25"/>
  <c r="M18" i="25"/>
  <c r="N18" i="25"/>
  <c r="B19" i="25"/>
  <c r="B68" i="25" s="1"/>
  <c r="C19" i="25"/>
  <c r="D19" i="25"/>
  <c r="E19" i="25"/>
  <c r="F19" i="25"/>
  <c r="G19" i="25"/>
  <c r="H19" i="25"/>
  <c r="I19" i="25"/>
  <c r="J19" i="25"/>
  <c r="K19" i="25"/>
  <c r="L19" i="25"/>
  <c r="M19" i="25"/>
  <c r="N19" i="25"/>
  <c r="B20" i="25"/>
  <c r="B69" i="25" s="1"/>
  <c r="C20" i="25"/>
  <c r="D20" i="25"/>
  <c r="E20" i="25"/>
  <c r="F20" i="25"/>
  <c r="G20" i="25"/>
  <c r="H20" i="25"/>
  <c r="I20" i="25"/>
  <c r="J20" i="25"/>
  <c r="K20" i="25"/>
  <c r="L20" i="25"/>
  <c r="M20" i="25"/>
  <c r="N20" i="25"/>
  <c r="B21" i="25"/>
  <c r="B70" i="25" s="1"/>
  <c r="C21" i="25"/>
  <c r="D21" i="25"/>
  <c r="E21" i="25"/>
  <c r="F21" i="25"/>
  <c r="G21" i="25"/>
  <c r="H21" i="25"/>
  <c r="I21" i="25"/>
  <c r="J21" i="25"/>
  <c r="K21" i="25"/>
  <c r="L21" i="25"/>
  <c r="M21" i="25"/>
  <c r="N21" i="25"/>
  <c r="B22" i="25"/>
  <c r="B71" i="25" s="1"/>
  <c r="C22" i="25"/>
  <c r="D22" i="25"/>
  <c r="E22" i="25"/>
  <c r="F22" i="25"/>
  <c r="G22" i="25"/>
  <c r="H22" i="25"/>
  <c r="I22" i="25"/>
  <c r="J22" i="25"/>
  <c r="K22" i="25"/>
  <c r="L22" i="25"/>
  <c r="M22" i="25"/>
  <c r="N22" i="25"/>
  <c r="B23" i="25"/>
  <c r="B38" i="25" s="1"/>
  <c r="C23" i="25"/>
  <c r="D23" i="25"/>
  <c r="E23" i="25"/>
  <c r="F23" i="25"/>
  <c r="G23" i="25"/>
  <c r="H23" i="25"/>
  <c r="I23" i="25"/>
  <c r="J23" i="25"/>
  <c r="K23" i="25"/>
  <c r="L23" i="25"/>
  <c r="M23" i="25"/>
  <c r="N23" i="25"/>
  <c r="B24" i="25"/>
  <c r="B39" i="25" s="1"/>
  <c r="C24" i="25"/>
  <c r="D24" i="25"/>
  <c r="E24" i="25"/>
  <c r="F24" i="25"/>
  <c r="G24" i="25"/>
  <c r="H24" i="25"/>
  <c r="I24" i="25"/>
  <c r="J24" i="25"/>
  <c r="K24" i="25"/>
  <c r="L24" i="25"/>
  <c r="M24" i="25"/>
  <c r="N24" i="25"/>
  <c r="B25" i="25"/>
  <c r="B40" i="25" s="1"/>
  <c r="C25" i="25"/>
  <c r="D25" i="25"/>
  <c r="E25" i="25"/>
  <c r="F25" i="25"/>
  <c r="G25" i="25"/>
  <c r="H25" i="25"/>
  <c r="I25" i="25"/>
  <c r="J25" i="25"/>
  <c r="K25" i="25"/>
  <c r="L25" i="25"/>
  <c r="M25" i="25"/>
  <c r="N25" i="25"/>
  <c r="B26" i="25"/>
  <c r="B41" i="25" s="1"/>
  <c r="C26" i="25"/>
  <c r="D26" i="25"/>
  <c r="E26" i="25"/>
  <c r="F26" i="25"/>
  <c r="G26" i="25"/>
  <c r="H26" i="25"/>
  <c r="I26" i="25"/>
  <c r="J26" i="25"/>
  <c r="K26" i="25"/>
  <c r="L26" i="25"/>
  <c r="M26" i="25"/>
  <c r="N26" i="25"/>
  <c r="B27" i="25"/>
  <c r="B42" i="25" s="1"/>
  <c r="C27" i="25"/>
  <c r="D27" i="25"/>
  <c r="E27" i="25"/>
  <c r="F27" i="25"/>
  <c r="G27" i="25"/>
  <c r="H27" i="25"/>
  <c r="I27" i="25"/>
  <c r="J27" i="25"/>
  <c r="K27" i="25"/>
  <c r="L27" i="25"/>
  <c r="M27" i="25"/>
  <c r="N27" i="25"/>
  <c r="B28" i="25"/>
  <c r="B77" i="25" s="1"/>
  <c r="C28" i="25"/>
  <c r="D28" i="25"/>
  <c r="E28" i="25"/>
  <c r="F28" i="25"/>
  <c r="G28" i="25"/>
  <c r="H28" i="25"/>
  <c r="I28" i="25"/>
  <c r="J28" i="25"/>
  <c r="K28" i="25"/>
  <c r="L28" i="25"/>
  <c r="M28" i="25"/>
  <c r="N28" i="25"/>
  <c r="B29" i="25"/>
  <c r="B44" i="25" s="1"/>
  <c r="C29" i="25"/>
  <c r="D29" i="25"/>
  <c r="E29" i="25"/>
  <c r="F29" i="25"/>
  <c r="G29" i="25"/>
  <c r="H29" i="25"/>
  <c r="I29" i="25"/>
  <c r="J29" i="25"/>
  <c r="K29" i="25"/>
  <c r="L29" i="25"/>
  <c r="M29" i="25"/>
  <c r="N29" i="25"/>
  <c r="B30" i="25"/>
  <c r="B45" i="25" s="1"/>
  <c r="C30" i="25"/>
  <c r="D30" i="25"/>
  <c r="E30" i="25"/>
  <c r="F30" i="25"/>
  <c r="G30" i="25"/>
  <c r="H30" i="25"/>
  <c r="I30" i="25"/>
  <c r="J30" i="25"/>
  <c r="K30" i="25"/>
  <c r="L30" i="25"/>
  <c r="M30" i="25"/>
  <c r="N30" i="25"/>
  <c r="B31" i="25"/>
  <c r="B46" i="25" s="1"/>
  <c r="C31" i="25"/>
  <c r="D31" i="25"/>
  <c r="E31" i="25"/>
  <c r="F31" i="25"/>
  <c r="G31" i="25"/>
  <c r="H31" i="25"/>
  <c r="I31" i="25"/>
  <c r="J31" i="25"/>
  <c r="K31" i="25"/>
  <c r="L31" i="25"/>
  <c r="M31" i="25"/>
  <c r="N31" i="25"/>
  <c r="B32" i="25"/>
  <c r="B47" i="25" s="1"/>
  <c r="C32" i="25"/>
  <c r="D32" i="25"/>
  <c r="E32" i="25"/>
  <c r="F32" i="25"/>
  <c r="G32" i="25"/>
  <c r="H32" i="25"/>
  <c r="I32" i="25"/>
  <c r="J32" i="25"/>
  <c r="K32" i="25"/>
  <c r="L32" i="25"/>
  <c r="M32" i="25"/>
  <c r="N32" i="25"/>
  <c r="C3" i="25"/>
  <c r="D3" i="25"/>
  <c r="E3" i="25"/>
  <c r="F3" i="25"/>
  <c r="G3" i="25"/>
  <c r="H3" i="25"/>
  <c r="I3" i="25"/>
  <c r="J3" i="25"/>
  <c r="K3" i="25"/>
  <c r="L3" i="25"/>
  <c r="M3" i="25"/>
  <c r="N3" i="25"/>
  <c r="B3" i="25"/>
  <c r="B52" i="25" s="1"/>
  <c r="E11" i="55"/>
  <c r="I8" i="52"/>
  <c r="E22" i="55" l="1"/>
  <c r="E33" i="25"/>
  <c r="C33" i="25"/>
  <c r="F33" i="25"/>
  <c r="L33" i="25"/>
  <c r="K33" i="25"/>
  <c r="J33" i="25"/>
  <c r="I33" i="25"/>
  <c r="B81" i="25"/>
  <c r="M33" i="25"/>
  <c r="H33" i="25"/>
  <c r="G33" i="25"/>
  <c r="D33" i="25"/>
  <c r="B43" i="25"/>
  <c r="N33" i="25"/>
  <c r="B76" i="25"/>
  <c r="B75" i="25"/>
  <c r="B80" i="25"/>
  <c r="B74" i="25"/>
  <c r="B79" i="25"/>
  <c r="B73" i="25"/>
  <c r="B78" i="25"/>
  <c r="B72" i="25"/>
  <c r="K5" i="23"/>
  <c r="K6" i="23"/>
  <c r="J5" i="23"/>
  <c r="J6" i="23"/>
  <c r="I5" i="23"/>
  <c r="I6" i="23"/>
  <c r="J31" i="55" l="1"/>
  <c r="B23" i="117" l="1"/>
  <c r="B22" i="117"/>
  <c r="B21" i="117"/>
  <c r="B20" i="117"/>
  <c r="B19" i="117"/>
  <c r="B18" i="117"/>
  <c r="B17" i="117"/>
  <c r="B16" i="117"/>
  <c r="B15" i="117"/>
  <c r="B14" i="117"/>
  <c r="H14" i="117" l="1"/>
  <c r="F17" i="117"/>
  <c r="H18" i="117"/>
  <c r="I14" i="117"/>
  <c r="E16" i="117"/>
  <c r="G17" i="117"/>
  <c r="I18" i="117"/>
  <c r="E20" i="117"/>
  <c r="H17" i="117"/>
  <c r="G16" i="117"/>
  <c r="E19" i="117"/>
  <c r="F15" i="117"/>
  <c r="H16" i="117"/>
  <c r="F19" i="117"/>
  <c r="H20" i="117"/>
  <c r="I17" i="117"/>
  <c r="E14" i="117"/>
  <c r="G15" i="117"/>
  <c r="I16" i="117"/>
  <c r="E18" i="117"/>
  <c r="G19" i="117"/>
  <c r="I20" i="117"/>
  <c r="G20" i="117"/>
  <c r="F14" i="117"/>
  <c r="H15" i="117"/>
  <c r="F18" i="117"/>
  <c r="H19" i="117"/>
  <c r="F16" i="117"/>
  <c r="F20" i="117"/>
  <c r="E15" i="117"/>
  <c r="G14" i="117"/>
  <c r="I15" i="117"/>
  <c r="E17" i="117"/>
  <c r="G18" i="117"/>
  <c r="I19" i="117"/>
  <c r="I21" i="117" l="1"/>
  <c r="I23" i="117"/>
  <c r="I22" i="117"/>
  <c r="H21" i="117"/>
  <c r="H22" i="117"/>
  <c r="H23" i="117"/>
  <c r="G21" i="117"/>
  <c r="G22" i="117"/>
  <c r="G23" i="117"/>
  <c r="F21" i="117"/>
  <c r="F23" i="117"/>
  <c r="F22" i="117"/>
  <c r="E21" i="117"/>
  <c r="E23" i="117"/>
  <c r="E22" i="117"/>
  <c r="C22" i="55"/>
  <c r="H25" i="117" l="1"/>
  <c r="I24" i="117"/>
  <c r="G25" i="117"/>
  <c r="H24" i="117"/>
  <c r="F24" i="117"/>
  <c r="I25" i="117"/>
  <c r="G24" i="117"/>
  <c r="F25" i="117"/>
  <c r="E24" i="117"/>
  <c r="E25" i="117"/>
  <c r="B6" i="23"/>
  <c r="B7" i="23"/>
  <c r="B8" i="23"/>
  <c r="B9" i="23"/>
  <c r="B10" i="23"/>
  <c r="B11" i="23"/>
  <c r="B12" i="23"/>
  <c r="B13" i="23"/>
  <c r="B14" i="23"/>
  <c r="B5" i="23"/>
  <c r="I26" i="117" l="1"/>
  <c r="H26" i="117"/>
  <c r="E26" i="117"/>
  <c r="G26" i="117"/>
  <c r="F26" i="117"/>
  <c r="B23" i="115"/>
  <c r="B22" i="115"/>
  <c r="B21" i="115"/>
  <c r="B20" i="115"/>
  <c r="B19" i="115"/>
  <c r="B18" i="115"/>
  <c r="B17" i="115"/>
  <c r="B16" i="115"/>
  <c r="B15" i="115"/>
  <c r="B14" i="115"/>
  <c r="E15" i="115" l="1"/>
  <c r="H16" i="115"/>
  <c r="G17" i="115"/>
  <c r="J18" i="115"/>
  <c r="D20" i="115"/>
  <c r="L20" i="115"/>
  <c r="G14" i="115"/>
  <c r="K14" i="115"/>
  <c r="F15" i="115"/>
  <c r="J15" i="115"/>
  <c r="E16" i="115"/>
  <c r="I16" i="115"/>
  <c r="D17" i="115"/>
  <c r="H17" i="115"/>
  <c r="L17" i="115"/>
  <c r="G18" i="115"/>
  <c r="K18" i="115"/>
  <c r="F19" i="115"/>
  <c r="J19" i="115"/>
  <c r="E20" i="115"/>
  <c r="I20" i="115"/>
  <c r="J14" i="115"/>
  <c r="D16" i="115"/>
  <c r="K17" i="115"/>
  <c r="I19" i="115"/>
  <c r="D14" i="115"/>
  <c r="H14" i="115"/>
  <c r="L14" i="115"/>
  <c r="G15" i="115"/>
  <c r="K15" i="115"/>
  <c r="F16" i="115"/>
  <c r="J16" i="115"/>
  <c r="E17" i="115"/>
  <c r="I17" i="115"/>
  <c r="D18" i="115"/>
  <c r="H18" i="115"/>
  <c r="L18" i="115"/>
  <c r="G19" i="115"/>
  <c r="K19" i="115"/>
  <c r="F20" i="115"/>
  <c r="J20" i="115"/>
  <c r="F14" i="115"/>
  <c r="I15" i="115"/>
  <c r="L16" i="115"/>
  <c r="F18" i="115"/>
  <c r="E19" i="115"/>
  <c r="H20" i="115"/>
  <c r="E14" i="115"/>
  <c r="I14" i="115"/>
  <c r="D15" i="115"/>
  <c r="H15" i="115"/>
  <c r="L15" i="115"/>
  <c r="G16" i="115"/>
  <c r="K16" i="115"/>
  <c r="F17" i="115"/>
  <c r="J17" i="115"/>
  <c r="E18" i="115"/>
  <c r="I18" i="115"/>
  <c r="D19" i="115"/>
  <c r="H19" i="115"/>
  <c r="L19" i="115"/>
  <c r="G20" i="115"/>
  <c r="K20" i="115"/>
  <c r="K21" i="115" l="1"/>
  <c r="K22" i="115"/>
  <c r="K23" i="115"/>
  <c r="E21" i="115"/>
  <c r="E23" i="115"/>
  <c r="E22" i="115"/>
  <c r="H21" i="115"/>
  <c r="H22" i="115"/>
  <c r="H24" i="115" s="1"/>
  <c r="H23" i="115"/>
  <c r="H25" i="115" s="1"/>
  <c r="F21" i="115"/>
  <c r="F22" i="115"/>
  <c r="F23" i="115"/>
  <c r="L22" i="115"/>
  <c r="L23" i="115"/>
  <c r="L21" i="115"/>
  <c r="L24" i="115" s="1"/>
  <c r="I22" i="115"/>
  <c r="I24" i="115" s="1"/>
  <c r="I23" i="115"/>
  <c r="I21" i="115"/>
  <c r="J23" i="115"/>
  <c r="J21" i="115"/>
  <c r="J22" i="115"/>
  <c r="G21" i="115"/>
  <c r="G22" i="115"/>
  <c r="G23" i="115"/>
  <c r="D21" i="115"/>
  <c r="D22" i="115"/>
  <c r="D23" i="115"/>
  <c r="E24" i="115"/>
  <c r="E25" i="115"/>
  <c r="D24" i="115"/>
  <c r="F25" i="115"/>
  <c r="F24" i="115"/>
  <c r="K25" i="115"/>
  <c r="K24" i="115"/>
  <c r="G25" i="115"/>
  <c r="G24" i="115"/>
  <c r="I25" i="115" l="1"/>
  <c r="L25" i="115"/>
  <c r="D25" i="115"/>
  <c r="D26" i="115" s="1"/>
  <c r="J25" i="115"/>
  <c r="J24" i="115"/>
  <c r="L26" i="115"/>
  <c r="E26" i="115"/>
  <c r="H26" i="115"/>
  <c r="K26" i="115"/>
  <c r="G26" i="115"/>
  <c r="I26" i="115"/>
  <c r="F26" i="115"/>
  <c r="J26" i="115" l="1"/>
  <c r="D53" i="54"/>
  <c r="F38" i="25" s="1"/>
  <c r="E53" i="54"/>
  <c r="G38" i="25" s="1"/>
  <c r="F53" i="54"/>
  <c r="H38" i="25" s="1"/>
  <c r="G53" i="54"/>
  <c r="I38" i="25" s="1"/>
  <c r="H53" i="54"/>
  <c r="J38" i="25" s="1"/>
  <c r="I53" i="54"/>
  <c r="K38" i="25" s="1"/>
  <c r="J53" i="54"/>
  <c r="L38" i="25" s="1"/>
  <c r="K53" i="54"/>
  <c r="M38" i="25" s="1"/>
  <c r="L53" i="54"/>
  <c r="N38" i="25" s="1"/>
  <c r="M53" i="54"/>
  <c r="O38" i="25" s="1"/>
  <c r="N53" i="54"/>
  <c r="P38" i="25" s="1"/>
  <c r="C53" i="54"/>
  <c r="E38" i="25" s="1"/>
  <c r="O6" i="54" l="1"/>
  <c r="O7" i="54"/>
  <c r="O8" i="54"/>
  <c r="O9" i="54"/>
  <c r="O10" i="54"/>
  <c r="O11" i="54"/>
  <c r="O12" i="54"/>
  <c r="O13" i="54"/>
  <c r="O14" i="54"/>
  <c r="O15" i="54"/>
  <c r="O16" i="54"/>
  <c r="O17" i="54"/>
  <c r="O18" i="54"/>
  <c r="O19" i="54"/>
  <c r="O20" i="54"/>
  <c r="O21" i="54"/>
  <c r="O22" i="54"/>
  <c r="O23" i="54"/>
  <c r="O24" i="54"/>
  <c r="O25" i="54"/>
  <c r="O26" i="54"/>
  <c r="O27" i="54"/>
  <c r="O28" i="54"/>
  <c r="O29" i="54"/>
  <c r="O30" i="54"/>
  <c r="O31" i="54"/>
  <c r="O32" i="54"/>
  <c r="O33" i="54"/>
  <c r="O34" i="54"/>
  <c r="O5" i="54"/>
  <c r="O42" i="54"/>
  <c r="P42" i="54" s="1"/>
  <c r="O43" i="54"/>
  <c r="O44" i="54"/>
  <c r="O45" i="54"/>
  <c r="P45" i="54" s="1"/>
  <c r="O46" i="54"/>
  <c r="O47" i="54"/>
  <c r="O48" i="54"/>
  <c r="O49" i="54"/>
  <c r="O13" i="23" s="1"/>
  <c r="O50" i="54"/>
  <c r="O41" i="54"/>
  <c r="D37" i="54"/>
  <c r="E37" i="54"/>
  <c r="F37" i="54"/>
  <c r="F34" i="25" s="1"/>
  <c r="G37" i="54"/>
  <c r="G34" i="25" s="1"/>
  <c r="H37" i="54"/>
  <c r="H34" i="25" s="1"/>
  <c r="I37" i="54"/>
  <c r="I34" i="25" s="1"/>
  <c r="J37" i="54"/>
  <c r="J34" i="25" s="1"/>
  <c r="K37" i="54"/>
  <c r="L37" i="54"/>
  <c r="L34" i="25" s="1"/>
  <c r="M37" i="54"/>
  <c r="N37" i="54"/>
  <c r="N34" i="25" s="1"/>
  <c r="C37" i="54"/>
  <c r="D36" i="54"/>
  <c r="E36" i="54"/>
  <c r="F36" i="54"/>
  <c r="G36" i="54"/>
  <c r="H36" i="54"/>
  <c r="I36" i="54"/>
  <c r="J36" i="54"/>
  <c r="K36" i="54"/>
  <c r="L36" i="54"/>
  <c r="M36" i="54"/>
  <c r="N36" i="54"/>
  <c r="C36" i="54"/>
  <c r="C6" i="23"/>
  <c r="D6" i="23"/>
  <c r="E6" i="23"/>
  <c r="F6" i="23"/>
  <c r="G6" i="23"/>
  <c r="H6" i="23"/>
  <c r="L6" i="23"/>
  <c r="M6" i="23"/>
  <c r="N6" i="23"/>
  <c r="C7" i="23"/>
  <c r="D7" i="23"/>
  <c r="E7" i="23"/>
  <c r="F7" i="23"/>
  <c r="G7" i="23"/>
  <c r="H7" i="23"/>
  <c r="I7" i="23"/>
  <c r="J7" i="23"/>
  <c r="K7" i="23"/>
  <c r="L7" i="23"/>
  <c r="M7" i="23"/>
  <c r="N7" i="23"/>
  <c r="C8" i="23"/>
  <c r="D8" i="23"/>
  <c r="E8" i="23"/>
  <c r="F8" i="23"/>
  <c r="G8" i="23"/>
  <c r="H8" i="23"/>
  <c r="I8" i="23"/>
  <c r="J8" i="23"/>
  <c r="K8" i="23"/>
  <c r="L8" i="23"/>
  <c r="M8" i="23"/>
  <c r="N8" i="23"/>
  <c r="C9" i="23"/>
  <c r="D9" i="23"/>
  <c r="E9" i="23"/>
  <c r="F9" i="23"/>
  <c r="G9" i="23"/>
  <c r="H9" i="23"/>
  <c r="I9" i="23"/>
  <c r="J9" i="23"/>
  <c r="K9" i="23"/>
  <c r="L9" i="23"/>
  <c r="M9" i="23"/>
  <c r="N9" i="23"/>
  <c r="C10" i="23"/>
  <c r="D10" i="23"/>
  <c r="E10" i="23"/>
  <c r="F10" i="23"/>
  <c r="G10" i="23"/>
  <c r="H10" i="23"/>
  <c r="I10" i="23"/>
  <c r="J10" i="23"/>
  <c r="K10" i="23"/>
  <c r="L10" i="23"/>
  <c r="M10" i="23"/>
  <c r="N10" i="23"/>
  <c r="C11" i="23"/>
  <c r="D11" i="23"/>
  <c r="E11" i="23"/>
  <c r="F11" i="23"/>
  <c r="G11" i="23"/>
  <c r="H11" i="23"/>
  <c r="I11" i="23"/>
  <c r="J11" i="23"/>
  <c r="K11" i="23"/>
  <c r="L11" i="23"/>
  <c r="M11" i="23"/>
  <c r="N11" i="23"/>
  <c r="C12" i="23"/>
  <c r="D12" i="23"/>
  <c r="E12" i="23"/>
  <c r="F12" i="23"/>
  <c r="G12" i="23"/>
  <c r="H12" i="23"/>
  <c r="I12" i="23"/>
  <c r="J12" i="23"/>
  <c r="K12" i="23"/>
  <c r="L12" i="23"/>
  <c r="M12" i="23"/>
  <c r="N12" i="23"/>
  <c r="C13" i="23"/>
  <c r="D13" i="23"/>
  <c r="E13" i="23"/>
  <c r="F13" i="23"/>
  <c r="G13" i="23"/>
  <c r="H13" i="23"/>
  <c r="I13" i="23"/>
  <c r="J13" i="23"/>
  <c r="K13" i="23"/>
  <c r="L13" i="23"/>
  <c r="M13" i="23"/>
  <c r="N13" i="23"/>
  <c r="C14" i="23"/>
  <c r="D14" i="23"/>
  <c r="E14" i="23"/>
  <c r="F14" i="23"/>
  <c r="G14" i="23"/>
  <c r="H14" i="23"/>
  <c r="I14" i="23"/>
  <c r="J14" i="23"/>
  <c r="K14" i="23"/>
  <c r="L14" i="23"/>
  <c r="M14" i="23"/>
  <c r="N14" i="23"/>
  <c r="C17" i="23"/>
  <c r="D17" i="23"/>
  <c r="E17" i="23"/>
  <c r="F17" i="23"/>
  <c r="G17" i="23"/>
  <c r="H17" i="23"/>
  <c r="I17" i="23"/>
  <c r="J17" i="23"/>
  <c r="K17" i="23"/>
  <c r="L17" i="23"/>
  <c r="M17" i="23"/>
  <c r="N17" i="23"/>
  <c r="D5" i="23"/>
  <c r="E5" i="23"/>
  <c r="F5" i="23"/>
  <c r="G5" i="23"/>
  <c r="H5" i="23"/>
  <c r="L5" i="23"/>
  <c r="M5" i="23"/>
  <c r="N5" i="23"/>
  <c r="C5" i="23"/>
  <c r="O37" i="54" l="1"/>
  <c r="O35" i="54"/>
  <c r="O4" i="25"/>
  <c r="C53" i="25" s="1"/>
  <c r="P29" i="54"/>
  <c r="P27" i="25" s="1"/>
  <c r="O27" i="25"/>
  <c r="P17" i="54"/>
  <c r="P15" i="25" s="1"/>
  <c r="O15" i="25"/>
  <c r="C64" i="25" s="1"/>
  <c r="M18" i="23"/>
  <c r="M34" i="25"/>
  <c r="P28" i="54"/>
  <c r="P26" i="25" s="1"/>
  <c r="O26" i="25"/>
  <c r="P16" i="54"/>
  <c r="P14" i="25" s="1"/>
  <c r="O14" i="25"/>
  <c r="C63" i="25" s="1"/>
  <c r="P27" i="54"/>
  <c r="P25" i="25" s="1"/>
  <c r="O25" i="25"/>
  <c r="P15" i="54"/>
  <c r="P13" i="25" s="1"/>
  <c r="O13" i="25"/>
  <c r="C62" i="25" s="1"/>
  <c r="K18" i="23"/>
  <c r="K34" i="25"/>
  <c r="P26" i="54"/>
  <c r="P24" i="25" s="1"/>
  <c r="O24" i="25"/>
  <c r="P14" i="54"/>
  <c r="P12" i="25" s="1"/>
  <c r="O12" i="25"/>
  <c r="C61" i="25" s="1"/>
  <c r="P25" i="54"/>
  <c r="P23" i="25" s="1"/>
  <c r="O23" i="25"/>
  <c r="P24" i="54"/>
  <c r="P22" i="25" s="1"/>
  <c r="O22" i="25"/>
  <c r="C71" i="25" s="1"/>
  <c r="P12" i="54"/>
  <c r="P10" i="25" s="1"/>
  <c r="O10" i="25"/>
  <c r="C59" i="25" s="1"/>
  <c r="P5" i="54"/>
  <c r="O3" i="25"/>
  <c r="C52" i="25" s="1"/>
  <c r="P23" i="54"/>
  <c r="P21" i="25" s="1"/>
  <c r="O21" i="25"/>
  <c r="C70" i="25" s="1"/>
  <c r="P11" i="54"/>
  <c r="P9" i="25" s="1"/>
  <c r="O9" i="25"/>
  <c r="C58" i="25" s="1"/>
  <c r="P34" i="54"/>
  <c r="P32" i="25" s="1"/>
  <c r="O32" i="25"/>
  <c r="P22" i="54"/>
  <c r="P20" i="25" s="1"/>
  <c r="O20" i="25"/>
  <c r="C69" i="25" s="1"/>
  <c r="P10" i="54"/>
  <c r="P8" i="25" s="1"/>
  <c r="O8" i="25"/>
  <c r="C57" i="25" s="1"/>
  <c r="P13" i="54"/>
  <c r="P11" i="25" s="1"/>
  <c r="O11" i="25"/>
  <c r="C60" i="25" s="1"/>
  <c r="P33" i="54"/>
  <c r="P31" i="25" s="1"/>
  <c r="O31" i="25"/>
  <c r="P21" i="54"/>
  <c r="P19" i="25" s="1"/>
  <c r="O19" i="25"/>
  <c r="C68" i="25" s="1"/>
  <c r="P9" i="54"/>
  <c r="P7" i="25" s="1"/>
  <c r="O7" i="25"/>
  <c r="C56" i="25" s="1"/>
  <c r="E18" i="23"/>
  <c r="E34" i="25"/>
  <c r="P32" i="54"/>
  <c r="P30" i="25" s="1"/>
  <c r="O30" i="25"/>
  <c r="P20" i="54"/>
  <c r="P18" i="25" s="1"/>
  <c r="O18" i="25"/>
  <c r="C67" i="25" s="1"/>
  <c r="P8" i="54"/>
  <c r="P6" i="25" s="1"/>
  <c r="O6" i="25"/>
  <c r="C55" i="25" s="1"/>
  <c r="D18" i="23"/>
  <c r="D34" i="25"/>
  <c r="P31" i="54"/>
  <c r="P29" i="25" s="1"/>
  <c r="O29" i="25"/>
  <c r="P19" i="54"/>
  <c r="P17" i="25" s="1"/>
  <c r="O17" i="25"/>
  <c r="C66" i="25" s="1"/>
  <c r="P7" i="54"/>
  <c r="P5" i="25" s="1"/>
  <c r="O5" i="25"/>
  <c r="C54" i="25" s="1"/>
  <c r="C18" i="23"/>
  <c r="C34" i="25"/>
  <c r="P30" i="54"/>
  <c r="P28" i="25" s="1"/>
  <c r="O28" i="25"/>
  <c r="P18" i="54"/>
  <c r="P16" i="25" s="1"/>
  <c r="O16" i="25"/>
  <c r="C65" i="25" s="1"/>
  <c r="O12" i="23"/>
  <c r="O14" i="23"/>
  <c r="J18" i="23"/>
  <c r="O11" i="23"/>
  <c r="O7" i="23"/>
  <c r="O10" i="23"/>
  <c r="O8" i="23"/>
  <c r="N18" i="23"/>
  <c r="F18" i="23"/>
  <c r="P41" i="54"/>
  <c r="P46" i="54"/>
  <c r="I18" i="23"/>
  <c r="G18" i="23"/>
  <c r="H18" i="23"/>
  <c r="D20" i="23"/>
  <c r="O9" i="23"/>
  <c r="L18" i="23"/>
  <c r="P6" i="23"/>
  <c r="P9" i="23"/>
  <c r="P50" i="54"/>
  <c r="O53" i="54"/>
  <c r="P49" i="54"/>
  <c r="P48" i="54"/>
  <c r="O6" i="23"/>
  <c r="P47" i="54"/>
  <c r="P6" i="54"/>
  <c r="P44" i="54"/>
  <c r="P43" i="54"/>
  <c r="O36" i="54"/>
  <c r="O5" i="23"/>
  <c r="P3" i="25" l="1"/>
  <c r="P35" i="54"/>
  <c r="C74" i="25"/>
  <c r="C40" i="25"/>
  <c r="C81" i="25"/>
  <c r="C47" i="25"/>
  <c r="C79" i="25"/>
  <c r="C45" i="25"/>
  <c r="P4" i="25"/>
  <c r="C38" i="25"/>
  <c r="O33" i="25"/>
  <c r="C48" i="25" s="1"/>
  <c r="C72" i="25"/>
  <c r="P33" i="25"/>
  <c r="C80" i="25"/>
  <c r="C46" i="25"/>
  <c r="C39" i="25"/>
  <c r="C73" i="25"/>
  <c r="C44" i="25"/>
  <c r="C78" i="25"/>
  <c r="C77" i="25"/>
  <c r="C43" i="25"/>
  <c r="O18" i="23"/>
  <c r="O34" i="25"/>
  <c r="C82" i="25" s="1"/>
  <c r="C75" i="25"/>
  <c r="C41" i="25"/>
  <c r="C76" i="25"/>
  <c r="C42" i="25"/>
  <c r="P5" i="23"/>
  <c r="P53" i="54"/>
  <c r="Q38" i="25" s="1"/>
  <c r="P10" i="23"/>
  <c r="P37" i="54"/>
  <c r="P36" i="54"/>
  <c r="P8" i="23"/>
  <c r="P13" i="23"/>
  <c r="P12" i="23"/>
  <c r="P14" i="23"/>
  <c r="P11" i="23"/>
  <c r="P7" i="23"/>
  <c r="B23" i="100"/>
  <c r="B22" i="100"/>
  <c r="B21" i="100"/>
  <c r="F20" i="100"/>
  <c r="E20" i="100"/>
  <c r="D20" i="100"/>
  <c r="B20" i="100"/>
  <c r="F19" i="100"/>
  <c r="E19" i="100"/>
  <c r="D19" i="100"/>
  <c r="B19" i="100"/>
  <c r="F18" i="100"/>
  <c r="E18" i="100"/>
  <c r="D18" i="100"/>
  <c r="B18" i="100"/>
  <c r="F17" i="100"/>
  <c r="E17" i="100"/>
  <c r="D17" i="100"/>
  <c r="B17" i="100"/>
  <c r="F16" i="100"/>
  <c r="E16" i="100"/>
  <c r="D16" i="100"/>
  <c r="B16" i="100"/>
  <c r="F15" i="100"/>
  <c r="E15" i="100"/>
  <c r="D15" i="100"/>
  <c r="B15" i="100"/>
  <c r="F14" i="100"/>
  <c r="E14" i="100"/>
  <c r="D14" i="100"/>
  <c r="B14" i="100"/>
  <c r="E21" i="100" l="1"/>
  <c r="E22" i="100"/>
  <c r="E23" i="100"/>
  <c r="F23" i="100"/>
  <c r="F22" i="100"/>
  <c r="F21" i="100"/>
  <c r="D22" i="100"/>
  <c r="D21" i="100"/>
  <c r="D23" i="100"/>
  <c r="P18" i="23"/>
  <c r="P34" i="25"/>
  <c r="E25" i="100"/>
  <c r="F25" i="100"/>
  <c r="F24" i="100"/>
  <c r="E24" i="100"/>
  <c r="D25" i="100" l="1"/>
  <c r="D24" i="100"/>
  <c r="E26" i="100"/>
  <c r="F26" i="100"/>
  <c r="D26" i="100" l="1"/>
  <c r="O17" i="23"/>
  <c r="D21" i="23" s="1"/>
  <c r="O52" i="54"/>
  <c r="O16" i="23" s="1"/>
  <c r="D52" i="54"/>
  <c r="D16" i="23" s="1"/>
  <c r="E52" i="54"/>
  <c r="E16" i="23" s="1"/>
  <c r="F52" i="54"/>
  <c r="F16" i="23" s="1"/>
  <c r="G52" i="54"/>
  <c r="G16" i="23" s="1"/>
  <c r="H52" i="54"/>
  <c r="H16" i="23" s="1"/>
  <c r="I52" i="54"/>
  <c r="I16" i="23" s="1"/>
  <c r="J52" i="54"/>
  <c r="J16" i="23" s="1"/>
  <c r="K52" i="54"/>
  <c r="K16" i="23" s="1"/>
  <c r="L52" i="54"/>
  <c r="L16" i="23" s="1"/>
  <c r="M52" i="54"/>
  <c r="M16" i="23" s="1"/>
  <c r="N52" i="54"/>
  <c r="N16" i="23" s="1"/>
  <c r="C52" i="54"/>
  <c r="C16" i="23" s="1"/>
  <c r="D51" i="54"/>
  <c r="D15" i="23" s="1"/>
  <c r="E51" i="54"/>
  <c r="E15" i="23" s="1"/>
  <c r="F51" i="54"/>
  <c r="F15" i="23" s="1"/>
  <c r="G51" i="54"/>
  <c r="G15" i="23" s="1"/>
  <c r="H51" i="54"/>
  <c r="H15" i="23" s="1"/>
  <c r="I51" i="54"/>
  <c r="I15" i="23" s="1"/>
  <c r="J51" i="54"/>
  <c r="J15" i="23" s="1"/>
  <c r="K51" i="54"/>
  <c r="K15" i="23" s="1"/>
  <c r="L51" i="54"/>
  <c r="L15" i="23" s="1"/>
  <c r="M51" i="54"/>
  <c r="M15" i="23" s="1"/>
  <c r="N51" i="54"/>
  <c r="N15" i="23" s="1"/>
  <c r="O51" i="54"/>
  <c r="O15" i="23" s="1"/>
  <c r="P51" i="54"/>
  <c r="P15" i="23" s="1"/>
  <c r="C51" i="54"/>
  <c r="C15" i="23" s="1"/>
  <c r="P17" i="23"/>
  <c r="P52" i="54" l="1"/>
  <c r="P16" i="23" s="1"/>
  <c r="F31" i="55"/>
  <c r="K16" i="55" l="1"/>
  <c r="K17" i="55" s="1"/>
  <c r="K18" i="55" s="1"/>
  <c r="L18" i="55" s="1"/>
  <c r="L12" i="55"/>
  <c r="H26" i="55" l="1"/>
  <c r="C9" i="55" l="1"/>
  <c r="C27" i="23" l="1"/>
  <c r="I31" i="55" l="1"/>
  <c r="H31" i="55"/>
  <c r="G31" i="55"/>
  <c r="E31" i="55"/>
  <c r="D31" i="55"/>
  <c r="K31" i="55" l="1"/>
  <c r="E19" i="55" l="1"/>
  <c r="C12" i="55" l="1"/>
  <c r="A13" i="55" s="1"/>
  <c r="A12" i="55" l="1"/>
  <c r="C14" i="55"/>
  <c r="G7" i="55"/>
  <c r="E7" i="55"/>
  <c r="J26" i="55" l="1"/>
  <c r="F5" i="55"/>
  <c r="F7" i="55"/>
  <c r="F6" i="55"/>
  <c r="C25" i="23"/>
  <c r="G14" i="174" l="1"/>
  <c r="G14" i="173"/>
  <c r="F19" i="173"/>
  <c r="G19" i="173" s="1"/>
  <c r="F17" i="173"/>
  <c r="G17" i="173" s="1"/>
  <c r="F19" i="174"/>
  <c r="G19" i="174" s="1"/>
  <c r="F17" i="174"/>
  <c r="G17" i="174" s="1"/>
  <c r="H19" i="55"/>
  <c r="E30" i="23"/>
  <c r="G14" i="55"/>
  <c r="D30" i="23"/>
  <c r="C30" i="23"/>
  <c r="H19" i="173" l="1"/>
  <c r="G21" i="173"/>
  <c r="G21" i="174"/>
  <c r="H19" i="174"/>
  <c r="E26" i="173"/>
  <c r="E26" i="174"/>
  <c r="C24" i="23"/>
  <c r="G21" i="55" l="1"/>
  <c r="K4" i="175" s="1"/>
  <c r="D22" i="2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R8" authorId="0" shapeId="0" xr:uid="{9A3251C8-E2D2-4F0B-8F07-8EDAF07FCE9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2023/3/17
보고서, 서두부분, 집계 추가
2023/3/15
</t>
        </r>
        <r>
          <rPr>
            <sz val="9"/>
            <color indexed="81"/>
            <rFont val="돋움"/>
            <family val="3"/>
            <charset val="129"/>
          </rPr>
          <t>집계하는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많은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부분을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수정하고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추가해줌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자동으로</t>
        </r>
        <r>
          <rPr>
            <sz val="9"/>
            <color indexed="81"/>
            <rFont val="Tahoma"/>
            <family val="2"/>
          </rPr>
          <t xml:space="preserve">, Q2, Q3 </t>
        </r>
        <r>
          <rPr>
            <sz val="9"/>
            <color indexed="81"/>
            <rFont val="돋움"/>
            <family val="3"/>
            <charset val="129"/>
          </rPr>
          <t>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서머리페이지를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생성</t>
        </r>
        <r>
          <rPr>
            <sz val="9"/>
            <color indexed="81"/>
            <rFont val="Tahoma"/>
            <family val="2"/>
          </rPr>
          <t>, (</t>
        </r>
        <r>
          <rPr>
            <sz val="9"/>
            <color indexed="81"/>
            <rFont val="돋움"/>
            <family val="3"/>
            <charset val="129"/>
          </rPr>
          <t>간이수질검사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내역등록을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위해서</t>
        </r>
        <r>
          <rPr>
            <sz val="9"/>
            <color indexed="81"/>
            <rFont val="Tahoma"/>
            <family val="2"/>
          </rPr>
          <t xml:space="preserve"> …)
2</t>
        </r>
        <r>
          <rPr>
            <sz val="9"/>
            <color indexed="81"/>
            <rFont val="돋움"/>
            <family val="3"/>
            <charset val="129"/>
          </rPr>
          <t>공을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중심으로</t>
        </r>
        <r>
          <rPr>
            <sz val="9"/>
            <color indexed="81"/>
            <rFont val="Tahoma"/>
            <family val="2"/>
          </rPr>
          <t>, 3</t>
        </r>
        <r>
          <rPr>
            <sz val="9"/>
            <color indexed="81"/>
            <rFont val="돋움"/>
            <family val="3"/>
            <charset val="129"/>
          </rPr>
          <t>공을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중심으로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서머리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페이지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자동생성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I24" authorId="0" shapeId="0" xr:uid="{C1AF6A76-96EF-4FA4-B2A3-1E31D05B33A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RF_1 Setting</t>
        </r>
      </text>
    </comment>
    <comment ref="I25" authorId="0" shapeId="0" xr:uid="{1015DB7B-864F-4E48-97C8-858E1D82525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RF_1 Setting</t>
        </r>
      </text>
    </comment>
    <comment ref="I26" authorId="0" shapeId="0" xr:uid="{77A09C97-87CB-455E-8D3E-44015ED0CA6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RF_1 Setting</t>
        </r>
      </text>
    </comment>
    <comment ref="C30" authorId="1" shapeId="0" xr:uid="{00000000-0006-0000-0300-000001000000}">
      <text>
        <r>
          <rPr>
            <b/>
            <sz val="9"/>
            <color indexed="81"/>
            <rFont val="Tahoma"/>
            <family val="2"/>
          </rPr>
          <t xml:space="preserve">hwa soo mi
RF_1
cm/year
</t>
        </r>
      </text>
    </comment>
    <comment ref="D30" authorId="1" shapeId="0" xr:uid="{00000000-0006-0000-0300-000002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RF_2
cm/year</t>
        </r>
      </text>
    </comment>
    <comment ref="E30" authorId="0" shapeId="0" xr:uid="{AD295D6B-119D-41A6-AC70-37FC6DE6BAA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RF_3, </t>
        </r>
        <r>
          <rPr>
            <sz val="9"/>
            <color indexed="81"/>
            <rFont val="돋움"/>
            <family val="3"/>
            <charset val="129"/>
          </rPr>
          <t xml:space="preserve">함양량
</t>
        </r>
        <r>
          <rPr>
            <sz val="9"/>
            <color indexed="81"/>
            <rFont val="Tahoma"/>
            <family val="2"/>
          </rPr>
          <t xml:space="preserve">cm/year
</t>
        </r>
      </text>
    </comment>
    <comment ref="A33" authorId="0" shapeId="0" xr:uid="{19A30002-8C21-4737-A3EE-5E3782661A1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q = </t>
        </r>
        <r>
          <rPr>
            <sz val="9"/>
            <color indexed="81"/>
            <rFont val="돋움"/>
            <family val="3"/>
            <charset val="129"/>
          </rPr>
          <t>물량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돋움"/>
            <family val="3"/>
            <charset val="129"/>
          </rPr>
          <t xml:space="preserve">양수량
</t>
        </r>
        <r>
          <rPr>
            <sz val="9"/>
            <color indexed="81"/>
            <rFont val="Tahoma"/>
            <family val="2"/>
          </rPr>
          <t xml:space="preserve">depth = </t>
        </r>
        <r>
          <rPr>
            <sz val="9"/>
            <color indexed="81"/>
            <rFont val="돋움"/>
            <family val="3"/>
            <charset val="129"/>
          </rPr>
          <t xml:space="preserve">설치심도
</t>
        </r>
        <r>
          <rPr>
            <sz val="9"/>
            <color indexed="81"/>
            <rFont val="Tahoma"/>
            <family val="2"/>
          </rPr>
          <t xml:space="preserve">height = </t>
        </r>
        <r>
          <rPr>
            <sz val="9"/>
            <color indexed="81"/>
            <rFont val="돋움"/>
            <family val="3"/>
            <charset val="129"/>
          </rPr>
          <t xml:space="preserve">양정고
</t>
        </r>
        <r>
          <rPr>
            <sz val="9"/>
            <color indexed="81"/>
            <rFont val="Tahoma"/>
            <family val="2"/>
          </rPr>
          <t xml:space="preserve">sum = depth + height
e = </t>
        </r>
        <r>
          <rPr>
            <sz val="9"/>
            <color indexed="81"/>
            <rFont val="돋움"/>
            <family val="3"/>
            <charset val="129"/>
          </rPr>
          <t xml:space="preserve">효율값
</t>
        </r>
        <r>
          <rPr>
            <sz val="9"/>
            <color indexed="81"/>
            <rFont val="Tahoma"/>
            <family val="2"/>
          </rPr>
          <t xml:space="preserve">1, 2, 3, 5, 7.5 </t>
        </r>
        <r>
          <rPr>
            <sz val="9"/>
            <color indexed="81"/>
            <rFont val="돋움"/>
            <family val="3"/>
            <charset val="129"/>
          </rPr>
          <t>마력
결국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양정고를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결정하는것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양정고를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가지고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모터마력을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맟춘다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F33" authorId="0" shapeId="0" xr:uid="{AFC52BCD-6C61-43F6-98A7-1E86D86AB7B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2022/6/24
ChaeSoo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체크하면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채수계획량
체크를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풀면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양수량으로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모터마력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산정함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O4" authorId="0" shapeId="0" xr:uid="{B40EB0DD-91D7-4114-BFE9-F78D5F8638E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SS ; 19 - 16.59
AA; 40 - 156.18
Total - 59; 172.77
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hwa soo min</author>
    <author>minhwasoo</author>
  </authors>
  <commentList>
    <comment ref="F5" authorId="0" shapeId="0" xr:uid="{00000000-0006-0000-0600-000001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H6" authorId="1" shapeId="0" xr:uid="{31011E78-AB10-4159-BC07-9D6FBF3437F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스킨팩터
경험식</t>
        </r>
        <r>
          <rPr>
            <sz val="9"/>
            <color indexed="81"/>
            <rFont val="Tahoma"/>
            <family val="2"/>
          </rPr>
          <t xml:space="preserve">1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2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3 </t>
        </r>
        <r>
          <rPr>
            <sz val="9"/>
            <color indexed="81"/>
            <rFont val="돋움"/>
            <family val="3"/>
            <charset val="129"/>
          </rPr>
          <t>번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하나를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H7" authorId="1" shapeId="0" xr:uid="{61AFB3D1-0E7A-4268-8C47-CCBAD21E493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AqutekSolver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
최초의</t>
        </r>
        <r>
          <rPr>
            <sz val="9"/>
            <color indexed="81"/>
            <rFont val="Tahoma"/>
            <family val="2"/>
          </rPr>
          <t xml:space="preserve"> S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B10" authorId="0" shapeId="0" xr:uid="{00000000-0006-0000-0600-000002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F11" authorId="1" shapeId="0" xr:uid="{36B4A1A6-65AE-4CEF-98BC-2A2702939EA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들어감</t>
        </r>
      </text>
    </comment>
    <comment ref="G11" authorId="1" shapeId="0" xr:uid="{3705513A-2775-41AE-A548-03A82510602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영향반경의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최대값</t>
        </r>
      </text>
    </comment>
    <comment ref="J11" authorId="0" shapeId="0" xr:uid="{00000000-0006-0000-0600-000003000000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0" shapeId="0" xr:uid="{00000000-0006-0000-0600-000004000000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0" shapeId="0" xr:uid="{00000000-0006-0000-0600-000005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0" shapeId="0" xr:uid="{00000000-0006-0000-0600-000006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5" authorId="0" shapeId="0" xr:uid="{00000000-0006-0000-0600-000007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J16" authorId="0" shapeId="0" xr:uid="{00000000-0006-0000-0600-000008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2" authorId="1" shapeId="0" xr:uid="{5AEB2CD9-7178-40E4-A87B-58A9B68F5C2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B23" authorId="0" shapeId="0" xr:uid="{900F1C3F-E687-45B9-B8B8-DF9F47463E15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E25" authorId="0" shapeId="0" xr:uid="{00000000-0006-0000-0600-000009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0" shapeId="0" xr:uid="{00000000-0006-0000-0600-00000A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K26" authorId="1" shapeId="0" xr:uid="{208F7FCE-1AF7-45F4-9AFE-58C5C9CCBC3F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드라스틱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인덱스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일반
</t>
        </r>
      </text>
    </comment>
    <comment ref="K27" authorId="1" shapeId="0" xr:uid="{24C55E6D-B2C9-4A7E-A9BB-A2932C0C072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드라스틱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인덱스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농약
</t>
        </r>
      </text>
    </comment>
    <comment ref="C29" authorId="1" shapeId="0" xr:uid="{D2D04D86-5A3F-4DAB-AA90-308F178C296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농업용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해석방법의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weight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hwa soo min</author>
    <author>minhwasoo</author>
  </authors>
  <commentList>
    <comment ref="F5" authorId="0" shapeId="0" xr:uid="{F8D8D236-E026-42E4-BE94-596407DD8025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H6" authorId="1" shapeId="0" xr:uid="{162442E6-8A5E-45B7-BDCC-40750E155AA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스킨팩터
경험식</t>
        </r>
        <r>
          <rPr>
            <sz val="9"/>
            <color indexed="81"/>
            <rFont val="Tahoma"/>
            <family val="2"/>
          </rPr>
          <t xml:space="preserve">1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2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3 </t>
        </r>
        <r>
          <rPr>
            <sz val="9"/>
            <color indexed="81"/>
            <rFont val="돋움"/>
            <family val="3"/>
            <charset val="129"/>
          </rPr>
          <t>번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하나를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H7" authorId="1" shapeId="0" xr:uid="{C0881A6D-C85A-4C58-807C-77531BAB669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AqutekSolver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
최초의</t>
        </r>
        <r>
          <rPr>
            <sz val="9"/>
            <color indexed="81"/>
            <rFont val="Tahoma"/>
            <family val="2"/>
          </rPr>
          <t xml:space="preserve"> S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B10" authorId="0" shapeId="0" xr:uid="{7A3094E9-939F-4D68-B8AF-E0F93F1D352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F11" authorId="1" shapeId="0" xr:uid="{2B0CF704-7D74-4F61-9A8F-6E2E4272848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들어감</t>
        </r>
      </text>
    </comment>
    <comment ref="G11" authorId="1" shapeId="0" xr:uid="{176479CE-856D-4490-B54B-737DA507EBB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영향반경의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최대값</t>
        </r>
      </text>
    </comment>
    <comment ref="J11" authorId="0" shapeId="0" xr:uid="{EB25BB9A-C52B-4DC1-9B44-1E7406AA6E6E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0" shapeId="0" xr:uid="{71474C92-3DCB-4D00-BB1E-6CF8E096DFA6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0" shapeId="0" xr:uid="{8572DBF7-A326-4D18-B5DD-495C0167FE1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0" shapeId="0" xr:uid="{4BCF868A-79E4-4BBA-AC5F-488B23679B06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5" authorId="0" shapeId="0" xr:uid="{5F331B94-9B5D-4A7F-B74B-CA262A1324AB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J16" authorId="0" shapeId="0" xr:uid="{5EBD2BBC-F4F3-4A6A-84AC-4FEDA8A12824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2" authorId="1" shapeId="0" xr:uid="{E2D7F6A9-FFE5-4533-ACD0-DD6D6D1CDF8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B23" authorId="0" shapeId="0" xr:uid="{4BE1B6CC-16D9-42C7-9F56-A9DBEB4C35F1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E25" authorId="0" shapeId="0" xr:uid="{D925D973-DE11-4DC6-80BA-086EFFE33A66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0" shapeId="0" xr:uid="{6DAB70C0-1491-4F8A-BB43-02C708D8D931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K26" authorId="1" shapeId="0" xr:uid="{EAE780FC-25EA-4C13-952F-9D8DDD1E1C67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드라스틱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인덱스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일반
</t>
        </r>
      </text>
    </comment>
    <comment ref="K27" authorId="1" shapeId="0" xr:uid="{C69A1727-AF1B-4857-BCB1-771698E7843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드라스틱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인덱스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농약
</t>
        </r>
      </text>
    </comment>
    <comment ref="C29" authorId="1" shapeId="0" xr:uid="{E186B521-A6B3-48AF-972A-A00A9469F60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농업용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해석방법의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weight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hwa soo min</author>
    <author>minhwasoo</author>
  </authors>
  <commentList>
    <comment ref="F5" authorId="0" shapeId="0" xr:uid="{83D2F7F3-9A32-4FFB-8906-63798DD4EE83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H6" authorId="1" shapeId="0" xr:uid="{4E2E9A4C-998B-469B-A82E-DBD42D5CA5D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스킨팩터
경험식</t>
        </r>
        <r>
          <rPr>
            <sz val="9"/>
            <color indexed="81"/>
            <rFont val="Tahoma"/>
            <family val="2"/>
          </rPr>
          <t xml:space="preserve">1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2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3 </t>
        </r>
        <r>
          <rPr>
            <sz val="9"/>
            <color indexed="81"/>
            <rFont val="돋움"/>
            <family val="3"/>
            <charset val="129"/>
          </rPr>
          <t>번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하나를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H7" authorId="1" shapeId="0" xr:uid="{A1609556-A99B-48FD-83E0-84FF339FA7D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AqutekSolver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
최초의</t>
        </r>
        <r>
          <rPr>
            <sz val="9"/>
            <color indexed="81"/>
            <rFont val="Tahoma"/>
            <family val="2"/>
          </rPr>
          <t xml:space="preserve"> S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B10" authorId="0" shapeId="0" xr:uid="{D91F79B4-7869-4F1A-A1C4-F13462A1EB08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F11" authorId="1" shapeId="0" xr:uid="{8AF3A7B9-5176-4843-9C20-455CFC3187C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들어감</t>
        </r>
      </text>
    </comment>
    <comment ref="G11" authorId="1" shapeId="0" xr:uid="{6904377D-8E6F-4DF8-B517-F9017257521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영향반경의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최대값</t>
        </r>
      </text>
    </comment>
    <comment ref="J11" authorId="0" shapeId="0" xr:uid="{36D1143E-CD56-4602-9D1E-4B8003FC027C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0" shapeId="0" xr:uid="{2E15DAE4-43A7-4E93-803D-B493C078560C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0" shapeId="0" xr:uid="{E5839651-1D22-47A3-A96A-E1426F672FBA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0" shapeId="0" xr:uid="{83C79D4B-FD95-4725-B6AC-BEE1A95D5C43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5" authorId="0" shapeId="0" xr:uid="{9FAB9F36-986E-4AE3-8509-311C1B10F624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J16" authorId="0" shapeId="0" xr:uid="{9A81EA78-9ECE-4D02-B25A-7F9AAA746962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2" authorId="1" shapeId="0" xr:uid="{616D1984-3501-4995-9141-0695D17F970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B23" authorId="0" shapeId="0" xr:uid="{5D4F89FE-0294-4224-A223-D94378C7A829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E25" authorId="0" shapeId="0" xr:uid="{3CF7F750-7ADC-41F6-881E-60114B78FBBF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0" shapeId="0" xr:uid="{17495180-37D4-43F0-B188-F614D259AA2C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K26" authorId="1" shapeId="0" xr:uid="{36C85518-B529-41E6-9481-EF3843366CCC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드라스틱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인덱스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일반
</t>
        </r>
      </text>
    </comment>
    <comment ref="K27" authorId="1" shapeId="0" xr:uid="{D4752ABB-E220-4529-BA52-13998510641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드라스틱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인덱스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농약
</t>
        </r>
      </text>
    </comment>
    <comment ref="C29" authorId="1" shapeId="0" xr:uid="{4AB78FA0-F707-41EB-B17F-E19B3FE96E1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농업용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해석방법의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weight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865238A3-C404-4C8E-B743-574AEF018B65}" keepAlive="1" name="쿼리 - 표2" description="통합 문서의 '표2' 쿼리에 대한 연결입니다." type="5" refreshedVersion="0" background="1">
    <dbPr connection="Provider=Microsoft.Mashup.OleDb.1;Data Source=$Workbook$;Location=표2;Extended Properties=&quot;&quot;" command="SELECT * FROM [표2]"/>
  </connection>
</connections>
</file>

<file path=xl/sharedStrings.xml><?xml version="1.0" encoding="utf-8"?>
<sst xmlns="http://schemas.openxmlformats.org/spreadsheetml/2006/main" count="698" uniqueCount="322">
  <si>
    <t>순번</t>
    <phoneticPr fontId="7" type="noConversion"/>
  </si>
  <si>
    <t>착정구경
(㎜)</t>
    <phoneticPr fontId="7" type="noConversion"/>
  </si>
  <si>
    <t>착정심도
(m)</t>
    <phoneticPr fontId="7" type="noConversion"/>
  </si>
  <si>
    <t>수중모터
(HP)</t>
    <phoneticPr fontId="7" type="noConversion"/>
  </si>
  <si>
    <t>설치심도
(m)</t>
    <phoneticPr fontId="7" type="noConversion"/>
  </si>
  <si>
    <t>토출경
(㎜)</t>
    <phoneticPr fontId="7" type="noConversion"/>
  </si>
  <si>
    <t>허가번호</t>
    <phoneticPr fontId="7" type="noConversion"/>
  </si>
  <si>
    <t>1월</t>
    <phoneticPr fontId="14" type="noConversion"/>
  </si>
  <si>
    <t>2월</t>
    <phoneticPr fontId="14" type="noConversion"/>
  </si>
  <si>
    <t>3월</t>
    <phoneticPr fontId="14" type="noConversion"/>
  </si>
  <si>
    <t>4월</t>
    <phoneticPr fontId="14" type="noConversion"/>
  </si>
  <si>
    <t>5월</t>
    <phoneticPr fontId="14" type="noConversion"/>
  </si>
  <si>
    <t>6월</t>
  </si>
  <si>
    <t>7월</t>
  </si>
  <si>
    <t>8월</t>
  </si>
  <si>
    <t>9월</t>
  </si>
  <si>
    <t>10월</t>
  </si>
  <si>
    <t>11월</t>
  </si>
  <si>
    <t>12월</t>
  </si>
  <si>
    <t>전년</t>
    <phoneticPr fontId="14" type="noConversion"/>
  </si>
  <si>
    <t>평균</t>
    <phoneticPr fontId="14" type="noConversion"/>
  </si>
  <si>
    <t>최대</t>
    <phoneticPr fontId="14" type="noConversion"/>
  </si>
  <si>
    <t>최소</t>
    <phoneticPr fontId="14" type="noConversion"/>
  </si>
  <si>
    <t>30년평균</t>
    <phoneticPr fontId="14" type="noConversion"/>
  </si>
  <si>
    <t>5월 ~ 9월 강수량</t>
    <phoneticPr fontId="14" type="noConversion"/>
  </si>
  <si>
    <t>30년 평균강우량</t>
    <phoneticPr fontId="7" type="noConversion"/>
  </si>
  <si>
    <t>유역면적</t>
    <phoneticPr fontId="7" type="noConversion"/>
  </si>
  <si>
    <t>적용함양계수</t>
    <phoneticPr fontId="7" type="noConversion"/>
  </si>
  <si>
    <t>강우량(mm)</t>
    <phoneticPr fontId="14" type="noConversion"/>
  </si>
  <si>
    <t>년도</t>
    <phoneticPr fontId="14" type="noConversion"/>
  </si>
  <si>
    <t>평균</t>
  </si>
  <si>
    <t>1월</t>
  </si>
  <si>
    <t>2월</t>
  </si>
  <si>
    <t>3월</t>
  </si>
  <si>
    <t>4월</t>
  </si>
  <si>
    <t>5월</t>
  </si>
  <si>
    <t>최대</t>
    <phoneticPr fontId="7" type="noConversion"/>
  </si>
  <si>
    <t>최소</t>
    <phoneticPr fontId="7" type="noConversion"/>
  </si>
  <si>
    <t>주소</t>
    <phoneticPr fontId="7" type="noConversion"/>
  </si>
  <si>
    <t>회사명</t>
    <phoneticPr fontId="7" type="noConversion"/>
  </si>
  <si>
    <t>연도</t>
  </si>
  <si>
    <t>연도</t>
    <phoneticPr fontId="7" type="noConversion"/>
  </si>
  <si>
    <t>1월</t>
    <phoneticPr fontId="7" type="noConversion"/>
  </si>
  <si>
    <t>전년</t>
  </si>
  <si>
    <t>전년</t>
    <phoneticPr fontId="7" type="noConversion"/>
  </si>
  <si>
    <t>평균</t>
    <phoneticPr fontId="7" type="noConversion"/>
  </si>
  <si>
    <t>최대</t>
  </si>
  <si>
    <t>최소</t>
  </si>
  <si>
    <t>허가번호</t>
    <phoneticPr fontId="7" type="noConversion"/>
  </si>
  <si>
    <t>W-1</t>
    <phoneticPr fontId="14" type="noConversion"/>
  </si>
  <si>
    <t>S</t>
    <phoneticPr fontId="14" type="noConversion"/>
  </si>
  <si>
    <t>동경</t>
    <phoneticPr fontId="14" type="noConversion"/>
  </si>
  <si>
    <t>단 계</t>
  </si>
  <si>
    <t>북위</t>
    <phoneticPr fontId="14" type="noConversion"/>
  </si>
  <si>
    <t>장 기</t>
  </si>
  <si>
    <t>주소</t>
    <phoneticPr fontId="14" type="noConversion"/>
  </si>
  <si>
    <t>심도</t>
    <phoneticPr fontId="14" type="noConversion"/>
  </si>
  <si>
    <t>회 복</t>
  </si>
  <si>
    <t>-</t>
  </si>
  <si>
    <t>굴착지름(정호경)</t>
    <phoneticPr fontId="14" type="noConversion"/>
  </si>
  <si>
    <t>평 균</t>
  </si>
  <si>
    <t>케이싱</t>
    <phoneticPr fontId="14" type="noConversion"/>
  </si>
  <si>
    <t>토사</t>
    <phoneticPr fontId="14" type="noConversion"/>
  </si>
  <si>
    <t>영향반경</t>
    <phoneticPr fontId="14" type="noConversion"/>
  </si>
  <si>
    <t>풍화암</t>
    <phoneticPr fontId="14" type="noConversion"/>
  </si>
  <si>
    <t>평균영향반경</t>
    <phoneticPr fontId="7" type="noConversion"/>
  </si>
  <si>
    <t>연암</t>
    <phoneticPr fontId="14" type="noConversion"/>
  </si>
  <si>
    <t>경암</t>
    <phoneticPr fontId="14" type="noConversion"/>
  </si>
  <si>
    <t>대수층 두께</t>
    <phoneticPr fontId="7" type="noConversion"/>
  </si>
  <si>
    <t>허가량(채수계획량)</t>
    <phoneticPr fontId="14" type="noConversion"/>
  </si>
  <si>
    <t>양수량</t>
    <phoneticPr fontId="14" type="noConversion"/>
  </si>
  <si>
    <t>마력</t>
    <phoneticPr fontId="14" type="noConversion"/>
  </si>
  <si>
    <t>수중모터 설치심도</t>
    <phoneticPr fontId="14" type="noConversion"/>
  </si>
  <si>
    <t>유역면적(㎡)</t>
    <phoneticPr fontId="14" type="noConversion"/>
  </si>
  <si>
    <t>함양량(㎥/day)</t>
    <phoneticPr fontId="14" type="noConversion"/>
  </si>
  <si>
    <t>개발가능량(㎥/day)</t>
    <phoneticPr fontId="7" type="noConversion"/>
  </si>
  <si>
    <t>토출관</t>
    <phoneticPr fontId="14" type="noConversion"/>
  </si>
  <si>
    <t>자연수위</t>
    <phoneticPr fontId="14" type="noConversion"/>
  </si>
  <si>
    <t>기사용량(㎥/day)</t>
    <phoneticPr fontId="14" type="noConversion"/>
  </si>
  <si>
    <t>잔량(㎥/day)</t>
    <phoneticPr fontId="14" type="noConversion"/>
  </si>
  <si>
    <t>안정수위</t>
    <phoneticPr fontId="14" type="noConversion"/>
  </si>
  <si>
    <t>양수정의 수질 변화기록</t>
    <phoneticPr fontId="7" type="noConversion"/>
  </si>
  <si>
    <t>측정일시</t>
    <phoneticPr fontId="7" type="noConversion"/>
  </si>
  <si>
    <t>기본 온도</t>
    <phoneticPr fontId="7" type="noConversion"/>
  </si>
  <si>
    <t>기본 EC</t>
    <phoneticPr fontId="7" type="noConversion"/>
  </si>
  <si>
    <t>기본 PH</t>
    <phoneticPr fontId="7" type="noConversion"/>
  </si>
  <si>
    <t>항목</t>
    <phoneticPr fontId="7" type="noConversion"/>
  </si>
  <si>
    <t>W-1</t>
    <phoneticPr fontId="7" type="noConversion"/>
  </si>
  <si>
    <t>경과</t>
    <phoneticPr fontId="7" type="noConversion"/>
  </si>
  <si>
    <t>온도( ℃ )</t>
    <phoneticPr fontId="7" type="noConversion"/>
  </si>
  <si>
    <t>EC (μs/㎝)</t>
    <phoneticPr fontId="7" type="noConversion"/>
  </si>
  <si>
    <t>pH</t>
    <phoneticPr fontId="7" type="noConversion"/>
  </si>
  <si>
    <t>변화량</t>
    <phoneticPr fontId="7" type="noConversion"/>
  </si>
  <si>
    <t>경도</t>
    <phoneticPr fontId="7" type="noConversion"/>
  </si>
  <si>
    <t>수질 1번</t>
    <phoneticPr fontId="7" type="noConversion"/>
  </si>
  <si>
    <t>금회채수계획(㎥/day)</t>
    <phoneticPr fontId="14" type="noConversion"/>
  </si>
  <si>
    <t>10년빈도시최소강수량</t>
    <phoneticPr fontId="7" type="noConversion"/>
  </si>
  <si>
    <t>개발가능량(㎥/year)</t>
    <phoneticPr fontId="7" type="noConversion"/>
  </si>
  <si>
    <t>년함양량(㎥/year)</t>
    <phoneticPr fontId="14" type="noConversion"/>
  </si>
  <si>
    <t>구분</t>
    <phoneticPr fontId="14" type="noConversion"/>
  </si>
  <si>
    <t>Aquifer media
(대수층두께)</t>
    <phoneticPr fontId="14" type="noConversion"/>
  </si>
  <si>
    <t>Soil Media
(토질)</t>
    <phoneticPr fontId="14" type="noConversion"/>
  </si>
  <si>
    <t>Impact of the vadose zone media
(비포화대의구성물질)</t>
    <phoneticPr fontId="14" type="noConversion"/>
  </si>
  <si>
    <t>Hydraulic
Conductivity
of Acquifer
(수리전도도)</t>
    <phoneticPr fontId="14" type="noConversion"/>
  </si>
  <si>
    <t>Drastic Index</t>
    <phoneticPr fontId="14" type="noConversion"/>
  </si>
  <si>
    <t>W-1</t>
    <phoneticPr fontId="14" type="noConversion"/>
  </si>
  <si>
    <t>Range</t>
    <phoneticPr fontId="14" type="noConversion"/>
  </si>
  <si>
    <t>Rating</t>
    <phoneticPr fontId="14" type="noConversion"/>
  </si>
  <si>
    <t>Depth of water
(자연수위, m)</t>
    <phoneticPr fontId="14" type="noConversion"/>
  </si>
  <si>
    <t>Net Recharge
(함양량,cm/year)</t>
    <phoneticPr fontId="14" type="noConversion"/>
  </si>
  <si>
    <t>K(m/day)</t>
    <phoneticPr fontId="14" type="noConversion"/>
  </si>
  <si>
    <t>Shultze</t>
    <phoneticPr fontId="7" type="noConversion"/>
  </si>
  <si>
    <t>Webber</t>
    <phoneticPr fontId="7" type="noConversion"/>
  </si>
  <si>
    <t>Jacob</t>
    <phoneticPr fontId="7" type="noConversion"/>
  </si>
  <si>
    <t>거리</t>
    <phoneticPr fontId="7" type="noConversion"/>
  </si>
  <si>
    <t>관정높이</t>
    <phoneticPr fontId="7" type="noConversion"/>
  </si>
  <si>
    <t>지표수표고</t>
    <phoneticPr fontId="7" type="noConversion"/>
  </si>
  <si>
    <t xml:space="preserve">높이차 </t>
    <phoneticPr fontId="7" type="noConversion"/>
  </si>
  <si>
    <t>동수구배</t>
    <phoneticPr fontId="7" type="noConversion"/>
  </si>
  <si>
    <t>지형구배</t>
    <phoneticPr fontId="7" type="noConversion"/>
  </si>
  <si>
    <t>T(㎡/day)</t>
    <phoneticPr fontId="14" type="noConversion"/>
  </si>
  <si>
    <t>유향</t>
    <phoneticPr fontId="7" type="noConversion"/>
  </si>
  <si>
    <t>자연수위높이</t>
    <phoneticPr fontId="7" type="noConversion"/>
  </si>
  <si>
    <t>Topography
(지형구배 %)</t>
    <phoneticPr fontId="14" type="noConversion"/>
  </si>
  <si>
    <t xml:space="preserve"> </t>
    <phoneticPr fontId="7" type="noConversion"/>
  </si>
  <si>
    <t>Shale</t>
    <phoneticPr fontId="7" type="noConversion"/>
  </si>
  <si>
    <t>Metamorphic/Igneous</t>
    <phoneticPr fontId="7" type="noConversion"/>
  </si>
  <si>
    <t>Weathered Metamorphic / Igneous</t>
    <phoneticPr fontId="7" type="noConversion"/>
  </si>
  <si>
    <t>Glacial Till</t>
    <phoneticPr fontId="7" type="noConversion"/>
  </si>
  <si>
    <t>Bedded SandStone</t>
    <phoneticPr fontId="7" type="noConversion"/>
  </si>
  <si>
    <t>Limestone</t>
    <phoneticPr fontId="7" type="noConversion"/>
  </si>
  <si>
    <t>Sand and Gravel</t>
    <phoneticPr fontId="7" type="noConversion"/>
  </si>
  <si>
    <t>Basalt</t>
    <phoneticPr fontId="7" type="noConversion"/>
  </si>
  <si>
    <t>Karst Limestone</t>
    <phoneticPr fontId="7" type="noConversion"/>
  </si>
  <si>
    <t>Massive Limestone</t>
    <phoneticPr fontId="7" type="noConversion"/>
  </si>
  <si>
    <t>Massive Shale</t>
    <phoneticPr fontId="7" type="noConversion"/>
  </si>
  <si>
    <t>Massive Sandstone</t>
    <phoneticPr fontId="7" type="noConversion"/>
  </si>
  <si>
    <t>Thin or Absecnt</t>
    <phoneticPr fontId="7" type="noConversion"/>
  </si>
  <si>
    <t>Gravel</t>
    <phoneticPr fontId="7" type="noConversion"/>
  </si>
  <si>
    <t>Sand</t>
    <phoneticPr fontId="7" type="noConversion"/>
  </si>
  <si>
    <t>Peat</t>
    <phoneticPr fontId="7" type="noConversion"/>
  </si>
  <si>
    <t>Shringing or Aggregated Clay</t>
    <phoneticPr fontId="7" type="noConversion"/>
  </si>
  <si>
    <t>Sandy Loam</t>
    <phoneticPr fontId="7" type="noConversion"/>
  </si>
  <si>
    <t>Loam</t>
    <phoneticPr fontId="7" type="noConversion"/>
  </si>
  <si>
    <t>Silty Loam</t>
    <phoneticPr fontId="7" type="noConversion"/>
  </si>
  <si>
    <t>Clay Loam</t>
    <phoneticPr fontId="7" type="noConversion"/>
  </si>
  <si>
    <t>Mud</t>
    <phoneticPr fontId="7" type="noConversion"/>
  </si>
  <si>
    <t>Nonshrinking and Nonaggregated Clay</t>
    <phoneticPr fontId="7" type="noConversion"/>
  </si>
  <si>
    <t>Typical Rating</t>
    <phoneticPr fontId="7" type="noConversion"/>
  </si>
  <si>
    <t>Rating</t>
    <phoneticPr fontId="7" type="noConversion"/>
  </si>
  <si>
    <t>비포화대의 영향에 대한 등급 (Ir)</t>
    <phoneticPr fontId="7" type="noConversion"/>
  </si>
  <si>
    <t>토양특성에 대한 등급 Sr</t>
    <phoneticPr fontId="7" type="noConversion"/>
  </si>
  <si>
    <t>대수층 특성에 대한 등급 Ar</t>
    <phoneticPr fontId="7" type="noConversion"/>
  </si>
  <si>
    <t>Confining Layer</t>
    <phoneticPr fontId="7" type="noConversion"/>
  </si>
  <si>
    <t>Silt/Clay</t>
    <phoneticPr fontId="7" type="noConversion"/>
  </si>
  <si>
    <t>Sandstone</t>
    <phoneticPr fontId="7" type="noConversion"/>
  </si>
  <si>
    <t>Bedded Limestone, Sandstone, Shale</t>
    <phoneticPr fontId="7" type="noConversion"/>
  </si>
  <si>
    <t>Sand and Gravel with Significant Silt and Clay</t>
    <phoneticPr fontId="7" type="noConversion"/>
  </si>
  <si>
    <t>W-1</t>
    <phoneticPr fontId="7" type="noConversion"/>
  </si>
  <si>
    <t>W-2</t>
    <phoneticPr fontId="7" type="noConversion"/>
  </si>
  <si>
    <t>W-3</t>
    <phoneticPr fontId="7" type="noConversion"/>
  </si>
  <si>
    <t xml:space="preserve">위도 </t>
    <phoneticPr fontId="7" type="noConversion"/>
  </si>
  <si>
    <t>강우량</t>
    <phoneticPr fontId="7" type="noConversion"/>
  </si>
  <si>
    <t>온도(℃)</t>
    <phoneticPr fontId="7" type="noConversion"/>
  </si>
  <si>
    <t>온도</t>
    <phoneticPr fontId="7" type="noConversion"/>
  </si>
  <si>
    <t>EC</t>
    <phoneticPr fontId="7" type="noConversion"/>
  </si>
  <si>
    <t>수위강하량</t>
    <phoneticPr fontId="7" type="noConversion"/>
  </si>
  <si>
    <t>함양량대비개발가능량</t>
    <phoneticPr fontId="7" type="noConversion"/>
  </si>
  <si>
    <t>조사지역의 월평균 강수량 (2009-2018)</t>
  </si>
  <si>
    <t>10년간 평균강수량</t>
  </si>
  <si>
    <t>30년평균함양량</t>
  </si>
  <si>
    <t>결국 양정고를 결정하는것,</t>
  </si>
  <si>
    <t>양정고를 가지고 모터마력을 맟춘다.</t>
  </si>
  <si>
    <t>EC(μs/㎝)</t>
  </si>
  <si>
    <t>신규개발가능량</t>
    <phoneticPr fontId="7" type="noConversion"/>
  </si>
  <si>
    <t>채수계획
(㎥/일)</t>
    <phoneticPr fontId="7" type="noConversion"/>
  </si>
  <si>
    <t>30년평균</t>
    <phoneticPr fontId="7" type="noConversion"/>
  </si>
  <si>
    <t>10년평균</t>
    <phoneticPr fontId="7" type="noConversion"/>
  </si>
  <si>
    <t>년도</t>
    <phoneticPr fontId="7" type="noConversion"/>
  </si>
  <si>
    <t>Weight(일반)</t>
    <phoneticPr fontId="7" type="noConversion"/>
  </si>
  <si>
    <t>Weight(농약)</t>
    <phoneticPr fontId="14" type="noConversion"/>
  </si>
  <si>
    <t>Index(일반)</t>
    <phoneticPr fontId="14" type="noConversion"/>
  </si>
  <si>
    <t>Index(농약)</t>
    <phoneticPr fontId="14" type="noConversion"/>
  </si>
  <si>
    <t>금강/대청댐하류</t>
    <phoneticPr fontId="7" type="noConversion"/>
  </si>
  <si>
    <t>금강/미호천</t>
    <phoneticPr fontId="7" type="noConversion"/>
  </si>
  <si>
    <t>삽교천/삽교천</t>
    <phoneticPr fontId="7" type="noConversion"/>
  </si>
  <si>
    <t>Metamorphic/Igneous</t>
  </si>
  <si>
    <t>RF1 :</t>
    <phoneticPr fontId="7" type="noConversion"/>
  </si>
  <si>
    <t>RF2 :</t>
    <phoneticPr fontId="7" type="noConversion"/>
  </si>
  <si>
    <t>RF3 :</t>
    <phoneticPr fontId="7" type="noConversion"/>
  </si>
  <si>
    <t>RF1</t>
    <phoneticPr fontId="7" type="noConversion"/>
  </si>
  <si>
    <t>RF2</t>
    <phoneticPr fontId="7" type="noConversion"/>
  </si>
  <si>
    <t>RF3</t>
    <phoneticPr fontId="7" type="noConversion"/>
  </si>
  <si>
    <t>금강/갑천</t>
    <phoneticPr fontId="7" type="noConversion"/>
  </si>
  <si>
    <t>금강/금강공주</t>
    <phoneticPr fontId="7" type="noConversion"/>
  </si>
  <si>
    <t>금강/논산천</t>
  </si>
  <si>
    <t>금강/논산천</t>
    <phoneticPr fontId="7" type="noConversion"/>
  </si>
  <si>
    <t>금강/금강하구언</t>
    <phoneticPr fontId="7" type="noConversion"/>
  </si>
  <si>
    <t>금강서해/대호방조제</t>
    <phoneticPr fontId="7" type="noConversion"/>
  </si>
  <si>
    <t>금강서해/부남방조제</t>
    <phoneticPr fontId="7" type="noConversion"/>
  </si>
  <si>
    <t>금강서해/금강서해</t>
    <phoneticPr fontId="7" type="noConversion"/>
  </si>
  <si>
    <t>금강/대청댐</t>
    <phoneticPr fontId="7" type="noConversion"/>
  </si>
  <si>
    <t>name</t>
    <phoneticPr fontId="7" type="noConversion"/>
  </si>
  <si>
    <t>recharge</t>
    <phoneticPr fontId="7" type="noConversion"/>
  </si>
  <si>
    <t>ratio</t>
    <phoneticPr fontId="7" type="noConversion"/>
  </si>
  <si>
    <t>데이터는 그때, 그때 필요할때 입력해 놓으면 된다.</t>
    <phoneticPr fontId="7" type="noConversion"/>
  </si>
  <si>
    <t>기상청</t>
    <phoneticPr fontId="7" type="noConversion"/>
  </si>
  <si>
    <t>중권역</t>
    <phoneticPr fontId="7" type="noConversion"/>
  </si>
  <si>
    <t>A1_ge_OriginalSaveFile.xlsm</t>
    <phoneticPr fontId="7" type="noConversion"/>
  </si>
  <si>
    <t>한계양수량</t>
    <phoneticPr fontId="7" type="noConversion"/>
  </si>
  <si>
    <t>취수계획량</t>
    <phoneticPr fontId="7" type="noConversion"/>
  </si>
  <si>
    <t>Ratio</t>
    <phoneticPr fontId="7" type="noConversion"/>
  </si>
  <si>
    <t>Well</t>
    <phoneticPr fontId="7" type="noConversion"/>
  </si>
  <si>
    <t>한강/한강서울</t>
    <phoneticPr fontId="7" type="noConversion"/>
  </si>
  <si>
    <t>한강/한강고양</t>
    <phoneticPr fontId="7" type="noConversion"/>
  </si>
  <si>
    <t>회야수영/회야강</t>
    <phoneticPr fontId="7" type="noConversion"/>
  </si>
  <si>
    <t>Min</t>
    <phoneticPr fontId="7" type="noConversion"/>
  </si>
  <si>
    <t>Max</t>
    <phoneticPr fontId="7" type="noConversion"/>
  </si>
  <si>
    <t>적정취수량</t>
    <phoneticPr fontId="7" type="noConversion"/>
  </si>
  <si>
    <t>양수량</t>
    <phoneticPr fontId="7" type="noConversion"/>
  </si>
  <si>
    <t>우물손실계수(C)</t>
    <phoneticPr fontId="7" type="noConversion"/>
  </si>
  <si>
    <t>대수층손실계수 (B)</t>
    <phoneticPr fontId="7" type="noConversion"/>
  </si>
  <si>
    <t>공번</t>
    <phoneticPr fontId="7" type="noConversion"/>
  </si>
  <si>
    <t>케이싱</t>
    <phoneticPr fontId="7" type="noConversion"/>
  </si>
  <si>
    <t>우물</t>
    <phoneticPr fontId="7" type="noConversion"/>
  </si>
  <si>
    <t>대수층두께</t>
    <phoneticPr fontId="7" type="noConversion"/>
  </si>
  <si>
    <t>자연수위</t>
    <phoneticPr fontId="7" type="noConversion"/>
  </si>
  <si>
    <t>안정수위</t>
    <phoneticPr fontId="7" type="noConversion"/>
  </si>
  <si>
    <t>Rw</t>
    <phoneticPr fontId="7" type="noConversion"/>
  </si>
  <si>
    <t>Ds</t>
    <phoneticPr fontId="7" type="noConversion"/>
  </si>
  <si>
    <t>회복수위</t>
    <phoneticPr fontId="7" type="noConversion"/>
  </si>
  <si>
    <t>수위회복량</t>
    <phoneticPr fontId="7" type="noConversion"/>
  </si>
  <si>
    <t>보령기상청 30년 데이터</t>
    <phoneticPr fontId="7" type="noConversion"/>
  </si>
  <si>
    <t>산수개발</t>
  </si>
  <si>
    <t>보령</t>
  </si>
  <si>
    <t>Silty Loam</t>
  </si>
  <si>
    <t>W-1</t>
  </si>
  <si>
    <t>W-2</t>
  </si>
  <si>
    <t>W-3</t>
  </si>
  <si>
    <t>낮 음</t>
  </si>
  <si>
    <t>비교적낮음</t>
  </si>
  <si>
    <t>△s</t>
    <phoneticPr fontId="8" type="noConversion"/>
  </si>
  <si>
    <t>W-4</t>
    <phoneticPr fontId="7" type="noConversion"/>
  </si>
  <si>
    <t>3-6, 조사공의 적정취수량및 취수계획량</t>
    <phoneticPr fontId="7" type="noConversion"/>
  </si>
  <si>
    <t>수리전도도, K</t>
    <phoneticPr fontId="7" type="noConversion"/>
  </si>
  <si>
    <t>저류계수, S</t>
    <phoneticPr fontId="7" type="noConversion"/>
  </si>
  <si>
    <t>3-3, 장기양수시험결과</t>
    <phoneticPr fontId="7" type="noConversion"/>
  </si>
  <si>
    <t>3-4, aqtesolv 해석결과</t>
    <phoneticPr fontId="7" type="noConversion"/>
  </si>
  <si>
    <t>3-5, 수위회복시험 결과</t>
    <phoneticPr fontId="7" type="noConversion"/>
  </si>
  <si>
    <t>3-6, 수리상수산정결과</t>
    <phoneticPr fontId="7" type="noConversion"/>
  </si>
  <si>
    <t>투수량계수T1</t>
    <phoneticPr fontId="7" type="noConversion"/>
  </si>
  <si>
    <t>저류계수S1</t>
    <phoneticPr fontId="7" type="noConversion"/>
  </si>
  <si>
    <t>적정취수량의 계산</t>
    <phoneticPr fontId="7" type="noConversion"/>
  </si>
  <si>
    <t>포획기간</t>
    <phoneticPr fontId="7" type="noConversion"/>
  </si>
  <si>
    <t>투수량계수</t>
    <phoneticPr fontId="7" type="noConversion"/>
  </si>
  <si>
    <t>동수경사</t>
    <phoneticPr fontId="7" type="noConversion"/>
  </si>
  <si>
    <t>동수경사평균</t>
    <phoneticPr fontId="7" type="noConversion"/>
  </si>
  <si>
    <t>비고</t>
    <phoneticPr fontId="7" type="noConversion"/>
  </si>
  <si>
    <t>투수량계수,평균</t>
    <phoneticPr fontId="7" type="noConversion"/>
  </si>
  <si>
    <t>유향평균</t>
    <phoneticPr fontId="7" type="noConversion"/>
  </si>
  <si>
    <t>공극율</t>
    <phoneticPr fontId="7" type="noConversion"/>
  </si>
  <si>
    <t>대수층두께평균</t>
    <phoneticPr fontId="7" type="noConversion"/>
  </si>
  <si>
    <t>무경계조건</t>
  </si>
  <si>
    <t>WHPA 입력자료</t>
    <phoneticPr fontId="7" type="noConversion"/>
  </si>
  <si>
    <t>3-7, 조사공별 수리상수</t>
    <phoneticPr fontId="7" type="noConversion"/>
  </si>
  <si>
    <t>대수층두께, B</t>
    <phoneticPr fontId="7" type="noConversion"/>
  </si>
  <si>
    <t>수위강하량, delta h</t>
    <phoneticPr fontId="7" type="noConversion"/>
  </si>
  <si>
    <t>안정수위도달시간, time</t>
    <phoneticPr fontId="7" type="noConversion"/>
  </si>
  <si>
    <t>투수량계수, T</t>
    <phoneticPr fontId="7" type="noConversion"/>
  </si>
  <si>
    <t>W1</t>
  </si>
  <si>
    <t>금강서해/대호방조제</t>
  </si>
  <si>
    <t>한강/한강고양</t>
  </si>
  <si>
    <t>금강/금강하구언</t>
  </si>
  <si>
    <t>낙동강/낙동강</t>
  </si>
  <si>
    <t>WELL</t>
  </si>
  <si>
    <t>Shultz</t>
  </si>
  <si>
    <t>Webber</t>
  </si>
  <si>
    <t>Jcob</t>
  </si>
  <si>
    <t>Average</t>
  </si>
  <si>
    <t>Max</t>
  </si>
  <si>
    <t>A2_ge_OriginalSaveFile.xlsm</t>
  </si>
  <si>
    <t>A3_ge_OriginalSaveFile.xlsm</t>
  </si>
  <si>
    <t>W2</t>
  </si>
  <si>
    <t>W3</t>
  </si>
  <si>
    <t>충남 보령시 천북면 하만리 산 143-5</t>
  </si>
  <si>
    <t>부남방조제</t>
  </si>
  <si>
    <t>충남 보령시 천북면 하만리 산 143-6</t>
  </si>
  <si>
    <t>2023년 학성농장, 농업용관정개발</t>
  </si>
  <si>
    <t>장기양수시험</t>
  </si>
  <si>
    <t>수위회복시험</t>
  </si>
  <si>
    <t>선택치</t>
  </si>
  <si>
    <t>5년</t>
    <phoneticPr fontId="7" type="noConversion"/>
  </si>
  <si>
    <t>취수계획량</t>
  </si>
  <si>
    <t>2.3 지하수 함양량 및 개발가능량 산정</t>
  </si>
  <si>
    <t>유역면적
(㎡)</t>
  </si>
  <si>
    <t>기사용량
(㎥/일)</t>
  </si>
  <si>
    <t>양수능력
(㎥/일)</t>
  </si>
  <si>
    <t>양수량
(㎥/일)</t>
  </si>
  <si>
    <t>함양량
(㎥/일)</t>
  </si>
  <si>
    <t>30년평균
강우량(mm)</t>
  </si>
  <si>
    <t>유역면적(㎡)</t>
  </si>
  <si>
    <t>면적(㎡)</t>
  </si>
  <si>
    <t>함양량대비
개발가능량(%)</t>
  </si>
  <si>
    <t>개발가능량
(㎥/일)</t>
  </si>
  <si>
    <t>기이용량
(㎥/일)</t>
  </si>
  <si>
    <t>취수계획량
(㎥/일)</t>
  </si>
  <si>
    <t>잔량
(㎥/일)</t>
  </si>
  <si>
    <t>양수량</t>
  </si>
  <si>
    <t>자연수위</t>
  </si>
  <si>
    <t>안정수위</t>
  </si>
  <si>
    <t>투수량계수</t>
  </si>
  <si>
    <t>저류계수</t>
  </si>
  <si>
    <t>공  번</t>
  </si>
  <si>
    <t>심  도</t>
  </si>
  <si>
    <t>양수영향반경</t>
  </si>
  <si>
    <t>장축부</t>
  </si>
  <si>
    <t>구분</t>
  </si>
  <si>
    <t>굴착심도</t>
  </si>
  <si>
    <t>양수시설</t>
  </si>
  <si>
    <t>2.6 대수층 특성 및 적정채수량 분석</t>
  </si>
  <si>
    <t>신규
개발가능량
(㎥/일)</t>
  </si>
  <si>
    <t>2023/3/17일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</si>
</sst>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0">
    <numFmt numFmtId="41" formatCode="_-* #,##0_-;\-* #,##0_-;_-* &quot;-&quot;_-;_-@_-"/>
    <numFmt numFmtId="44" formatCode="_-&quot;₩&quot;* #,##0.00_-;\-&quot;₩&quot;* #,##0.00_-;_-&quot;₩&quot;* &quot;-&quot;??_-;_-@_-"/>
    <numFmt numFmtId="164" formatCode="\$#,##0_);[Red]\(\$#,##0\)"/>
    <numFmt numFmtId="165" formatCode="_(* #,##0.00_);_(* \(#,##0.00\);_(* &quot;-&quot;??_);_(@_)"/>
    <numFmt numFmtId="166" formatCode="_ * #,##0_ ;_ * \-#,##0_ ;_ * &quot;-&quot;_ ;_ @_ "/>
    <numFmt numFmtId="167" formatCode="mm&quot;월&quot;dd&quot;일&quot;"/>
    <numFmt numFmtId="168" formatCode="&quot;?#,##0.00;\-&quot;&quot;?&quot;#,##0.00"/>
    <numFmt numFmtId="169" formatCode="_-* #,##0.0_-;\-* #,##0.0_-;_-* &quot;-&quot;??_-;_-@_-"/>
    <numFmt numFmtId="170" formatCode="_ * #,##0.00_ ;_ * \-#,##0.00_ ;_ * &quot;-&quot;??_ ;_ @_ "/>
    <numFmt numFmtId="171" formatCode="#,##0.000_);[Red]\(#,##0.000\)"/>
    <numFmt numFmtId="172" formatCode="#,##0;&quot;-&quot;#,##0"/>
    <numFmt numFmtId="173" formatCode="#,##0.0_);[Red]\(#,##0.0\)"/>
    <numFmt numFmtId="174" formatCode="#,##0.0_ "/>
    <numFmt numFmtId="175" formatCode="0.0_ "/>
    <numFmt numFmtId="176" formatCode="#,##0_ "/>
    <numFmt numFmtId="177" formatCode="0.0"/>
    <numFmt numFmtId="178" formatCode="_(* #,##0.0_);_(* \(#,##0.0\);_(* &quot;-&quot;??_);_(@_)"/>
    <numFmt numFmtId="179" formatCode="#,##0_ ;[Red]\-#,##0\ "/>
    <numFmt numFmtId="180" formatCode="yy&quot;-&quot;m&quot;-&quot;d\ h:mm;@"/>
    <numFmt numFmtId="181" formatCode="#,##0.00_ "/>
    <numFmt numFmtId="182" formatCode="0.0000"/>
    <numFmt numFmtId="183" formatCode="0.00_ "/>
    <numFmt numFmtId="184" formatCode="0.0\ &quot;도&quot;"/>
    <numFmt numFmtId="185" formatCode="0.000\ &quot;%&quot;"/>
    <numFmt numFmtId="186" formatCode="yyyy&quot;-&quot;mm&quot;-&quot;dd\ h:mm;@"/>
    <numFmt numFmtId="187" formatCode="0_);[Red]\(0\)"/>
    <numFmt numFmtId="188" formatCode="0.0_);[Red]\(0.0\)"/>
    <numFmt numFmtId="189" formatCode="0.0%"/>
    <numFmt numFmtId="190" formatCode="#,##0.0"/>
    <numFmt numFmtId="191" formatCode="#,##0.0;\-#,##0.0"/>
  </numFmts>
  <fonts count="47">
    <font>
      <sz val="11"/>
      <name val="돋움"/>
      <family val="3"/>
      <charset val="129"/>
    </font>
    <font>
      <sz val="11"/>
      <color theme="1"/>
      <name val="Calibri"/>
      <family val="2"/>
      <charset val="129"/>
      <scheme val="minor"/>
    </font>
    <font>
      <sz val="11"/>
      <color theme="1"/>
      <name val="Calibri"/>
      <family val="2"/>
      <charset val="129"/>
      <scheme val="minor"/>
    </font>
    <font>
      <sz val="11"/>
      <color theme="1"/>
      <name val="Calibri"/>
      <family val="2"/>
      <charset val="129"/>
      <scheme val="minor"/>
    </font>
    <font>
      <sz val="11"/>
      <color theme="1"/>
      <name val="Calibri"/>
      <family val="2"/>
      <charset val="129"/>
      <scheme val="minor"/>
    </font>
    <font>
      <sz val="11"/>
      <color theme="1"/>
      <name val="Calibri"/>
      <family val="2"/>
      <charset val="129"/>
      <scheme val="minor"/>
    </font>
    <font>
      <sz val="11"/>
      <name val="돋움"/>
      <family val="3"/>
      <charset val="129"/>
    </font>
    <font>
      <sz val="8"/>
      <name val="돋움"/>
      <family val="3"/>
      <charset val="129"/>
    </font>
    <font>
      <sz val="10"/>
      <name val="MS Sans Serif"/>
      <family val="2"/>
    </font>
    <font>
      <sz val="12"/>
      <name val="바탕체"/>
      <family val="1"/>
      <charset val="129"/>
    </font>
    <font>
      <u/>
      <sz val="10"/>
      <color indexed="14"/>
      <name val="돋움체"/>
      <family val="3"/>
      <charset val="129"/>
    </font>
    <font>
      <sz val="10"/>
      <name val="궁서(English)"/>
      <family val="3"/>
      <charset val="129"/>
    </font>
    <font>
      <sz val="11"/>
      <name val="굴림체"/>
      <family val="3"/>
      <charset val="129"/>
    </font>
    <font>
      <b/>
      <sz val="12"/>
      <name val="Arial"/>
      <family val="2"/>
    </font>
    <font>
      <sz val="8"/>
      <name val="Calibri"/>
      <family val="2"/>
      <charset val="129"/>
      <scheme val="minor"/>
    </font>
    <font>
      <sz val="10"/>
      <color theme="1"/>
      <name val="맑은 고딕"/>
      <family val="3"/>
      <charset val="129"/>
    </font>
    <font>
      <sz val="10"/>
      <color rgb="FF000000"/>
      <name val="맑은 고딕"/>
      <family val="3"/>
      <charset val="129"/>
    </font>
    <font>
      <b/>
      <sz val="10"/>
      <color rgb="FF000000"/>
      <name val="맑은 고딕"/>
      <family val="3"/>
      <charset val="129"/>
    </font>
    <font>
      <sz val="11"/>
      <color theme="1"/>
      <name val="맑은 고딕"/>
      <family val="3"/>
      <charset val="129"/>
    </font>
    <font>
      <b/>
      <sz val="10"/>
      <color theme="1"/>
      <name val="맑은 고딕"/>
      <family val="3"/>
      <charset val="129"/>
    </font>
    <font>
      <b/>
      <i/>
      <sz val="14"/>
      <color theme="1"/>
      <name val="맑은 고딕"/>
      <family val="3"/>
      <charset val="129"/>
    </font>
    <font>
      <i/>
      <sz val="12"/>
      <color theme="1"/>
      <name val="맑은 고딕"/>
      <family val="3"/>
      <charset val="129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9"/>
      <color indexed="81"/>
      <name val="돋움"/>
      <family val="3"/>
      <charset val="129"/>
    </font>
    <font>
      <sz val="11"/>
      <name val="맑은 고딕"/>
      <family val="3"/>
      <charset val="129"/>
    </font>
    <font>
      <b/>
      <sz val="20"/>
      <name val="맑은 고딕"/>
      <family val="3"/>
      <charset val="129"/>
    </font>
    <font>
      <i/>
      <sz val="20"/>
      <color theme="1"/>
      <name val="맑은 고딕"/>
      <family val="3"/>
      <charset val="129"/>
    </font>
    <font>
      <b/>
      <sz val="11"/>
      <name val="맑은 고딕"/>
      <family val="3"/>
      <charset val="129"/>
    </font>
    <font>
      <b/>
      <sz val="10"/>
      <name val="맑은 고딕"/>
      <family val="3"/>
      <charset val="129"/>
    </font>
    <font>
      <b/>
      <sz val="11"/>
      <color theme="1"/>
      <name val="맑은 고딕"/>
      <family val="3"/>
      <charset val="129"/>
    </font>
    <font>
      <b/>
      <i/>
      <sz val="11"/>
      <color theme="1"/>
      <name val="맑은 고딕"/>
      <family val="3"/>
      <charset val="129"/>
    </font>
    <font>
      <b/>
      <i/>
      <sz val="14"/>
      <name val="맑은 고딕"/>
      <family val="3"/>
      <charset val="129"/>
    </font>
    <font>
      <i/>
      <sz val="14"/>
      <name val="맑은 고딕"/>
      <family val="3"/>
      <charset val="129"/>
    </font>
    <font>
      <sz val="10"/>
      <name val="맑은 고딕"/>
      <family val="3"/>
      <charset val="129"/>
    </font>
    <font>
      <b/>
      <i/>
      <sz val="16"/>
      <name val="맑은 고딕"/>
      <family val="3"/>
      <charset val="129"/>
    </font>
    <font>
      <b/>
      <sz val="11"/>
      <color theme="0"/>
      <name val="맑은 고딕"/>
      <family val="3"/>
      <charset val="129"/>
    </font>
    <font>
      <b/>
      <i/>
      <sz val="12"/>
      <color theme="1"/>
      <name val="맑은 고딕"/>
      <family val="3"/>
      <charset val="129"/>
    </font>
    <font>
      <b/>
      <i/>
      <sz val="12"/>
      <color theme="0"/>
      <name val="맑은 고딕"/>
      <family val="3"/>
      <charset val="129"/>
    </font>
    <font>
      <i/>
      <sz val="11"/>
      <color rgb="FF000000"/>
      <name val="맑은 고딕"/>
      <family val="3"/>
      <charset val="129"/>
    </font>
    <font>
      <b/>
      <sz val="9"/>
      <color indexed="81"/>
      <name val="돋움"/>
      <family val="3"/>
      <charset val="129"/>
    </font>
    <font>
      <sz val="11"/>
      <name val="Consolas"/>
      <family val="3"/>
    </font>
    <font>
      <b/>
      <sz val="10"/>
      <color theme="0"/>
      <name val="맑은 고딕"/>
      <family val="3"/>
      <charset val="129"/>
    </font>
    <font>
      <b/>
      <i/>
      <sz val="11"/>
      <color theme="0"/>
      <name val="맑은 고딕"/>
      <family val="3"/>
      <charset val="129"/>
    </font>
    <font>
      <b/>
      <sz val="10"/>
      <color theme="1"/>
      <name val="Calibri"/>
      <family val="3"/>
      <charset val="129"/>
      <scheme val="minor"/>
    </font>
    <font>
      <b/>
      <sz val="11"/>
      <name val="돋움"/>
      <family val="3"/>
      <charset val="129"/>
    </font>
    <font>
      <b/>
      <i/>
      <sz val="11"/>
      <name val="맑은 고딕"/>
      <family val="3"/>
      <charset val="129"/>
    </font>
  </fonts>
  <fills count="33">
    <fill>
      <patternFill patternType="none"/>
    </fill>
    <fill>
      <patternFill patternType="gray125"/>
    </fill>
    <fill>
      <patternFill patternType="solid">
        <fgColor theme="7" tint="0.79998168889431442"/>
        <bgColor indexed="65"/>
      </patternFill>
    </fill>
    <fill>
      <patternFill patternType="solid">
        <fgColor rgb="FFFFFF0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9E0E1C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9" tint="0.79995117038483843"/>
        <bgColor indexed="64"/>
      </patternFill>
    </fill>
    <fill>
      <patternFill patternType="solid">
        <fgColor theme="6" tint="0.79998168889431442"/>
        <bgColor theme="6" tint="0.79998168889431442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8" tint="0.39997558519241921"/>
        <bgColor indexed="64"/>
      </patternFill>
    </fill>
  </fills>
  <borders count="125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dashed">
        <color indexed="64"/>
      </bottom>
      <diagonal/>
    </border>
    <border>
      <left/>
      <right style="dashed">
        <color indexed="64"/>
      </right>
      <top style="dashed">
        <color indexed="64"/>
      </top>
      <bottom style="dashed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medium">
        <color indexed="64"/>
      </bottom>
      <diagonal/>
    </border>
    <border>
      <left/>
      <right style="dashed">
        <color indexed="64"/>
      </right>
      <top/>
      <bottom style="dashed">
        <color indexed="64"/>
      </bottom>
      <diagonal/>
    </border>
    <border>
      <left/>
      <right style="dashed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/>
      <right style="medium">
        <color indexed="64"/>
      </right>
      <top style="medium">
        <color indexed="64"/>
      </top>
      <bottom style="thin">
        <color auto="1"/>
      </bottom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/>
      <right style="medium">
        <color indexed="64"/>
      </right>
      <top style="thin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medium">
        <color auto="1"/>
      </bottom>
      <diagonal/>
    </border>
    <border>
      <left style="medium">
        <color indexed="64"/>
      </left>
      <right style="medium">
        <color indexed="64"/>
      </right>
      <top/>
      <bottom style="thin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 style="thin">
        <color indexed="64"/>
      </right>
      <top style="thin">
        <color auto="1"/>
      </top>
      <bottom style="medium">
        <color indexed="64"/>
      </bottom>
      <diagonal/>
    </border>
    <border>
      <left style="thin">
        <color indexed="64"/>
      </left>
      <right/>
      <top style="thin">
        <color auto="1"/>
      </top>
      <bottom style="medium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 style="medium">
        <color indexed="64"/>
      </left>
      <right style="dashed">
        <color auto="1"/>
      </right>
      <top style="thin">
        <color auto="1"/>
      </top>
      <bottom style="dashed">
        <color auto="1"/>
      </bottom>
      <diagonal/>
    </border>
    <border>
      <left style="dashed">
        <color auto="1"/>
      </left>
      <right style="dashed">
        <color auto="1"/>
      </right>
      <top style="thin">
        <color auto="1"/>
      </top>
      <bottom style="dashed">
        <color auto="1"/>
      </bottom>
      <diagonal/>
    </border>
    <border>
      <left style="dashed">
        <color auto="1"/>
      </left>
      <right style="medium">
        <color indexed="64"/>
      </right>
      <top style="thin">
        <color auto="1"/>
      </top>
      <bottom style="dashed">
        <color auto="1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dashed">
        <color auto="1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/>
      <diagonal/>
    </border>
    <border>
      <left style="dashed">
        <color indexed="64"/>
      </left>
      <right style="dashed">
        <color indexed="64"/>
      </right>
      <top style="dashed">
        <color indexed="64"/>
      </top>
      <bottom/>
      <diagonal/>
    </border>
    <border>
      <left style="dashed">
        <color indexed="64"/>
      </left>
      <right style="medium">
        <color indexed="64"/>
      </right>
      <top style="dashed">
        <color indexed="64"/>
      </top>
      <bottom/>
      <diagonal/>
    </border>
    <border>
      <left style="medium">
        <color indexed="64"/>
      </left>
      <right style="dashed">
        <color auto="1"/>
      </right>
      <top style="medium">
        <color indexed="64"/>
      </top>
      <bottom style="dashed">
        <color auto="1"/>
      </bottom>
      <diagonal/>
    </border>
    <border>
      <left style="dashed">
        <color indexed="64"/>
      </left>
      <right style="dashed">
        <color indexed="64"/>
      </right>
      <top style="medium">
        <color indexed="64"/>
      </top>
      <bottom style="dashed">
        <color auto="1"/>
      </bottom>
      <diagonal/>
    </border>
    <border>
      <left style="dashed">
        <color indexed="64"/>
      </left>
      <right style="medium">
        <color indexed="64"/>
      </right>
      <top style="medium">
        <color indexed="64"/>
      </top>
      <bottom style="dashed">
        <color auto="1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medium">
        <color indexed="64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 style="dashed">
        <color indexed="64"/>
      </right>
      <top style="medium">
        <color indexed="64"/>
      </top>
      <bottom style="dashed">
        <color auto="1"/>
      </bottom>
      <diagonal/>
    </border>
    <border>
      <left/>
      <right style="dashed">
        <color indexed="64"/>
      </right>
      <top style="dashed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auto="1"/>
      </bottom>
      <diagonal/>
    </border>
    <border>
      <left style="medium">
        <color indexed="64"/>
      </left>
      <right style="medium">
        <color indexed="64"/>
      </right>
      <top style="dashed">
        <color auto="1"/>
      </top>
      <bottom style="dashed">
        <color auto="1"/>
      </bottom>
      <diagonal/>
    </border>
    <border>
      <left style="medium">
        <color indexed="64"/>
      </left>
      <right style="medium">
        <color indexed="64"/>
      </right>
      <top style="dashed">
        <color auto="1"/>
      </top>
      <bottom style="medium">
        <color indexed="64"/>
      </bottom>
      <diagonal/>
    </border>
    <border>
      <left/>
      <right style="dashed">
        <color indexed="64"/>
      </right>
      <top/>
      <bottom style="medium">
        <color indexed="64"/>
      </bottom>
      <diagonal/>
    </border>
    <border>
      <left style="dashed">
        <color indexed="64"/>
      </left>
      <right style="dashed">
        <color indexed="64"/>
      </right>
      <top/>
      <bottom style="medium">
        <color indexed="64"/>
      </bottom>
      <diagonal/>
    </border>
    <border>
      <left style="dashed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dashed">
        <color auto="1"/>
      </right>
      <top/>
      <bottom style="dashed">
        <color auto="1"/>
      </bottom>
      <diagonal/>
    </border>
    <border>
      <left style="dashed">
        <color indexed="64"/>
      </left>
      <right style="medium">
        <color indexed="64"/>
      </right>
      <top/>
      <bottom style="dashed">
        <color indexed="64"/>
      </bottom>
      <diagonal/>
    </border>
    <border>
      <left style="dashed">
        <color indexed="64"/>
      </left>
      <right style="dashed">
        <color indexed="64"/>
      </right>
      <top/>
      <bottom style="dashed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auto="1"/>
      </left>
      <right/>
      <top/>
      <bottom/>
      <diagonal/>
    </border>
    <border>
      <left style="medium">
        <color auto="1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dotted">
        <color indexed="64"/>
      </right>
      <top style="medium">
        <color indexed="64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medium">
        <color indexed="64"/>
      </top>
      <bottom style="dotted">
        <color indexed="64"/>
      </bottom>
      <diagonal/>
    </border>
    <border>
      <left style="dotted">
        <color indexed="64"/>
      </left>
      <right style="medium">
        <color indexed="64"/>
      </right>
      <top style="medium">
        <color indexed="64"/>
      </top>
      <bottom style="dotted">
        <color indexed="64"/>
      </bottom>
      <diagonal/>
    </border>
    <border>
      <left style="medium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 style="medium">
        <color indexed="64"/>
      </right>
      <top style="dotted">
        <color indexed="64"/>
      </top>
      <bottom style="dotted">
        <color indexed="64"/>
      </bottom>
      <diagonal/>
    </border>
    <border>
      <left style="medium">
        <color indexed="64"/>
      </left>
      <right style="dotted">
        <color indexed="64"/>
      </right>
      <top style="dotted">
        <color indexed="64"/>
      </top>
      <bottom style="medium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medium">
        <color indexed="64"/>
      </bottom>
      <diagonal/>
    </border>
    <border>
      <left style="dotted">
        <color indexed="64"/>
      </left>
      <right style="medium">
        <color indexed="64"/>
      </right>
      <top style="dotted">
        <color indexed="64"/>
      </top>
      <bottom style="medium">
        <color indexed="64"/>
      </bottom>
      <diagonal/>
    </border>
    <border>
      <left style="thin">
        <color theme="6"/>
      </left>
      <right style="thin">
        <color theme="6"/>
      </right>
      <top style="thin">
        <color theme="6"/>
      </top>
      <bottom style="thin">
        <color theme="6"/>
      </bottom>
      <diagonal/>
    </border>
    <border>
      <left style="medium">
        <color indexed="64"/>
      </left>
      <right style="thin">
        <color theme="6"/>
      </right>
      <top style="medium">
        <color indexed="64"/>
      </top>
      <bottom style="medium">
        <color theme="6"/>
      </bottom>
      <diagonal/>
    </border>
    <border>
      <left style="thin">
        <color theme="6"/>
      </left>
      <right style="thin">
        <color theme="6"/>
      </right>
      <top style="medium">
        <color indexed="64"/>
      </top>
      <bottom style="medium">
        <color theme="6"/>
      </bottom>
      <diagonal/>
    </border>
    <border>
      <left style="thin">
        <color theme="6"/>
      </left>
      <right style="medium">
        <color indexed="64"/>
      </right>
      <top style="medium">
        <color indexed="64"/>
      </top>
      <bottom style="medium">
        <color theme="6"/>
      </bottom>
      <diagonal/>
    </border>
    <border>
      <left style="medium">
        <color indexed="64"/>
      </left>
      <right style="thin">
        <color theme="6"/>
      </right>
      <top style="thin">
        <color theme="6"/>
      </top>
      <bottom style="medium">
        <color theme="6"/>
      </bottom>
      <diagonal/>
    </border>
    <border>
      <left style="thin">
        <color theme="6"/>
      </left>
      <right style="medium">
        <color indexed="64"/>
      </right>
      <top style="thin">
        <color theme="6"/>
      </top>
      <bottom style="thin">
        <color theme="6"/>
      </bottom>
      <diagonal/>
    </border>
    <border>
      <left style="medium">
        <color indexed="64"/>
      </left>
      <right style="thin">
        <color theme="6"/>
      </right>
      <top style="thin">
        <color theme="6"/>
      </top>
      <bottom style="medium">
        <color indexed="64"/>
      </bottom>
      <diagonal/>
    </border>
    <border>
      <left style="thin">
        <color theme="6"/>
      </left>
      <right style="thin">
        <color theme="6"/>
      </right>
      <top style="thin">
        <color theme="6"/>
      </top>
      <bottom style="medium">
        <color indexed="64"/>
      </bottom>
      <diagonal/>
    </border>
    <border>
      <left style="thin">
        <color theme="6"/>
      </left>
      <right style="medium">
        <color indexed="64"/>
      </right>
      <top style="thin">
        <color theme="6"/>
      </top>
      <bottom style="medium">
        <color indexed="64"/>
      </bottom>
      <diagonal/>
    </border>
    <border>
      <left/>
      <right style="dashed">
        <color auto="1"/>
      </right>
      <top style="thin">
        <color auto="1"/>
      </top>
      <bottom style="dashed">
        <color auto="1"/>
      </bottom>
      <diagonal/>
    </border>
    <border>
      <left style="medium">
        <color indexed="64"/>
      </left>
      <right style="dotted">
        <color indexed="64"/>
      </right>
      <top style="dashed">
        <color auto="1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dashed">
        <color auto="1"/>
      </top>
      <bottom style="dotted">
        <color indexed="64"/>
      </bottom>
      <diagonal/>
    </border>
    <border>
      <left style="dotted">
        <color indexed="64"/>
      </left>
      <right style="medium">
        <color indexed="64"/>
      </right>
      <top style="dashed">
        <color auto="1"/>
      </top>
      <bottom style="dotted">
        <color indexed="64"/>
      </bottom>
      <diagonal/>
    </border>
    <border>
      <left style="medium">
        <color indexed="64"/>
      </left>
      <right style="dotted">
        <color indexed="64"/>
      </right>
      <top style="medium">
        <color indexed="64"/>
      </top>
      <bottom style="dotted">
        <color auto="1"/>
      </bottom>
      <diagonal/>
    </border>
    <border>
      <left style="dotted">
        <color indexed="64"/>
      </left>
      <right style="medium">
        <color indexed="64"/>
      </right>
      <top style="medium">
        <color indexed="64"/>
      </top>
      <bottom style="dotted">
        <color auto="1"/>
      </bottom>
      <diagonal/>
    </border>
    <border>
      <left style="medium">
        <color indexed="64"/>
      </left>
      <right style="dotted">
        <color indexed="64"/>
      </right>
      <top style="dotted">
        <color auto="1"/>
      </top>
      <bottom style="medium">
        <color auto="1"/>
      </bottom>
      <diagonal/>
    </border>
    <border>
      <left style="dotted">
        <color indexed="64"/>
      </left>
      <right style="medium">
        <color indexed="64"/>
      </right>
      <top style="dotted">
        <color auto="1"/>
      </top>
      <bottom style="medium">
        <color auto="1"/>
      </bottom>
      <diagonal/>
    </border>
    <border>
      <left style="medium">
        <color auto="1"/>
      </left>
      <right style="medium">
        <color indexed="64"/>
      </right>
      <top/>
      <bottom/>
      <diagonal/>
    </border>
    <border>
      <left/>
      <right style="medium">
        <color indexed="64"/>
      </right>
      <top/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auto="1"/>
      </left>
      <right style="thin">
        <color theme="6"/>
      </right>
      <top style="thin">
        <color theme="6"/>
      </top>
      <bottom style="thin">
        <color theme="6"/>
      </bottom>
      <diagonal/>
    </border>
    <border>
      <left style="medium">
        <color indexed="64"/>
      </left>
      <right style="dotted">
        <color indexed="64"/>
      </right>
      <top style="dotted">
        <color auto="1"/>
      </top>
      <bottom style="dotted">
        <color auto="1"/>
      </bottom>
      <diagonal/>
    </border>
    <border>
      <left style="dotted">
        <color indexed="64"/>
      </left>
      <right style="dotted">
        <color indexed="64"/>
      </right>
      <top style="dotted">
        <color auto="1"/>
      </top>
      <bottom style="dotted">
        <color auto="1"/>
      </bottom>
      <diagonal/>
    </border>
    <border>
      <left style="medium">
        <color indexed="64"/>
      </left>
      <right style="dotted">
        <color indexed="64"/>
      </right>
      <top style="dotted">
        <color auto="1"/>
      </top>
      <bottom style="medium">
        <color auto="1"/>
      </bottom>
      <diagonal/>
    </border>
    <border>
      <left style="dotted">
        <color indexed="64"/>
      </left>
      <right style="dotted">
        <color indexed="64"/>
      </right>
      <top style="dotted">
        <color auto="1"/>
      </top>
      <bottom style="medium">
        <color auto="1"/>
      </bottom>
      <diagonal/>
    </border>
    <border>
      <left style="medium">
        <color indexed="64"/>
      </left>
      <right style="dotted">
        <color indexed="64"/>
      </right>
      <top style="medium">
        <color indexed="64"/>
      </top>
      <bottom style="dotted">
        <color auto="1"/>
      </bottom>
      <diagonal/>
    </border>
    <border>
      <left style="dotted">
        <color indexed="64"/>
      </left>
      <right style="dotted">
        <color indexed="64"/>
      </right>
      <top style="medium">
        <color indexed="64"/>
      </top>
      <bottom style="dotted">
        <color auto="1"/>
      </bottom>
      <diagonal/>
    </border>
    <border>
      <left style="dotted">
        <color indexed="64"/>
      </left>
      <right style="medium">
        <color indexed="64"/>
      </right>
      <top style="medium">
        <color indexed="64"/>
      </top>
      <bottom style="dotted">
        <color auto="1"/>
      </bottom>
      <diagonal/>
    </border>
    <border>
      <left style="medium">
        <color indexed="64"/>
      </left>
      <right style="dotted">
        <color indexed="64"/>
      </right>
      <top style="dotted">
        <color auto="1"/>
      </top>
      <bottom style="dotted">
        <color auto="1"/>
      </bottom>
      <diagonal/>
    </border>
    <border>
      <left style="dotted">
        <color indexed="64"/>
      </left>
      <right style="dotted">
        <color indexed="64"/>
      </right>
      <top style="dotted">
        <color auto="1"/>
      </top>
      <bottom style="dotted">
        <color auto="1"/>
      </bottom>
      <diagonal/>
    </border>
    <border>
      <left style="dotted">
        <color indexed="64"/>
      </left>
      <right style="medium">
        <color indexed="64"/>
      </right>
      <top style="dotted">
        <color auto="1"/>
      </top>
      <bottom style="dotted">
        <color auto="1"/>
      </bottom>
      <diagonal/>
    </border>
    <border>
      <left style="dotted">
        <color indexed="64"/>
      </left>
      <right style="dotted">
        <color indexed="64"/>
      </right>
      <top style="dotted">
        <color auto="1"/>
      </top>
      <bottom style="medium">
        <color auto="1"/>
      </bottom>
      <diagonal/>
    </border>
    <border>
      <left style="dotted">
        <color indexed="64"/>
      </left>
      <right style="medium">
        <color indexed="64"/>
      </right>
      <top style="dotted">
        <color auto="1"/>
      </top>
      <bottom style="medium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dotted">
        <color indexed="64"/>
      </left>
      <right style="dotted">
        <color indexed="64"/>
      </right>
      <top style="medium">
        <color indexed="64"/>
      </top>
      <bottom/>
      <diagonal/>
    </border>
    <border>
      <left style="dotted">
        <color indexed="64"/>
      </left>
      <right style="dotted">
        <color indexed="64"/>
      </right>
      <top/>
      <bottom style="dotted">
        <color auto="1"/>
      </bottom>
      <diagonal/>
    </border>
  </borders>
  <cellStyleXfs count="26">
    <xf numFmtId="0" fontId="0" fillId="0" borderId="0"/>
    <xf numFmtId="164" fontId="8" fillId="0" borderId="0" applyFont="0" applyFill="0" applyBorder="0" applyAlignment="0" applyProtection="0"/>
    <xf numFmtId="167" fontId="6" fillId="0" borderId="0" applyNumberFormat="0" applyFont="0" applyFill="0" applyBorder="0" applyAlignment="0" applyProtection="0"/>
    <xf numFmtId="168" fontId="9" fillId="0" borderId="0" applyNumberFormat="0" applyFont="0" applyFill="0" applyBorder="0" applyAlignment="0" applyProtection="0"/>
    <xf numFmtId="167" fontId="6" fillId="0" borderId="0" applyNumberFormat="0" applyFont="0" applyFill="0" applyBorder="0" applyAlignment="0" applyProtection="0"/>
    <xf numFmtId="168" fontId="9" fillId="0" borderId="0" applyNumberFormat="0" applyFont="0" applyFill="0" applyBorder="0" applyAlignment="0" applyProtection="0"/>
    <xf numFmtId="0" fontId="10" fillId="0" borderId="0" applyNumberFormat="0" applyFill="0" applyBorder="0" applyAlignment="0" applyProtection="0"/>
    <xf numFmtId="169" fontId="9" fillId="0" borderId="0" applyFont="0" applyFill="0" applyBorder="0" applyAlignment="0" applyProtection="0"/>
    <xf numFmtId="172" fontId="11" fillId="0" borderId="0" applyFont="0" applyFill="0" applyBorder="0" applyAlignment="0" applyProtection="0"/>
    <xf numFmtId="171" fontId="6" fillId="0" borderId="0" applyFont="0" applyFill="0" applyBorder="0" applyAlignment="0" applyProtection="0"/>
    <xf numFmtId="49" fontId="12" fillId="0" borderId="1" applyNumberFormat="0" applyAlignment="0"/>
    <xf numFmtId="0" fontId="9" fillId="0" borderId="0"/>
    <xf numFmtId="166" fontId="9" fillId="0" borderId="0" applyFont="0" applyFill="0" applyBorder="0" applyAlignment="0" applyProtection="0"/>
    <xf numFmtId="170" fontId="9" fillId="0" borderId="0" applyFont="0" applyFill="0" applyBorder="0" applyAlignment="0" applyProtection="0"/>
    <xf numFmtId="0" fontId="13" fillId="0" borderId="2" applyNumberFormat="0" applyAlignment="0" applyProtection="0">
      <alignment horizontal="left" vertical="center"/>
    </xf>
    <xf numFmtId="0" fontId="13" fillId="0" borderId="3">
      <alignment horizontal="left" vertical="center"/>
    </xf>
    <xf numFmtId="0" fontId="5" fillId="0" borderId="0">
      <alignment vertical="center"/>
    </xf>
    <xf numFmtId="165" fontId="6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2" borderId="0" applyNumberFormat="0" applyBorder="0" applyAlignment="0" applyProtection="0">
      <alignment vertical="center"/>
    </xf>
    <xf numFmtId="41" fontId="6" fillId="0" borderId="0" applyFont="0" applyFill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0" borderId="0">
      <alignment vertical="center"/>
    </xf>
    <xf numFmtId="9" fontId="6" fillId="0" borderId="0" applyFont="0" applyFill="0" applyBorder="0" applyAlignment="0" applyProtection="0">
      <alignment vertical="center"/>
    </xf>
  </cellStyleXfs>
  <cellXfs count="523">
    <xf numFmtId="0" fontId="0" fillId="0" borderId="0" xfId="0"/>
    <xf numFmtId="0" fontId="15" fillId="0" borderId="0" xfId="18" applyFont="1">
      <alignment vertical="center"/>
    </xf>
    <xf numFmtId="0" fontId="15" fillId="0" borderId="27" xfId="18" applyFont="1" applyBorder="1" applyAlignment="1">
      <alignment horizontal="center" vertical="center"/>
    </xf>
    <xf numFmtId="0" fontId="15" fillId="0" borderId="28" xfId="18" applyFont="1" applyBorder="1" applyAlignment="1">
      <alignment horizontal="center" vertical="center"/>
    </xf>
    <xf numFmtId="0" fontId="15" fillId="0" borderId="29" xfId="18" applyFont="1" applyBorder="1" applyAlignment="1">
      <alignment horizontal="center" vertical="center"/>
    </xf>
    <xf numFmtId="179" fontId="15" fillId="0" borderId="13" xfId="18" applyNumberFormat="1" applyFont="1" applyBorder="1" applyAlignment="1">
      <alignment horizontal="center" vertical="center"/>
    </xf>
    <xf numFmtId="0" fontId="15" fillId="0" borderId="30" xfId="18" applyFont="1" applyBorder="1" applyAlignment="1">
      <alignment horizontal="center" vertical="center"/>
    </xf>
    <xf numFmtId="0" fontId="16" fillId="0" borderId="31" xfId="18" applyFont="1" applyBorder="1" applyAlignment="1">
      <alignment horizontal="center" vertical="center" wrapText="1"/>
    </xf>
    <xf numFmtId="0" fontId="16" fillId="0" borderId="12" xfId="18" applyFont="1" applyBorder="1" applyAlignment="1">
      <alignment horizontal="center" vertical="center" wrapText="1"/>
    </xf>
    <xf numFmtId="0" fontId="16" fillId="0" borderId="7" xfId="18" applyFont="1" applyBorder="1" applyAlignment="1">
      <alignment horizontal="center" vertical="center" wrapText="1"/>
    </xf>
    <xf numFmtId="0" fontId="16" fillId="0" borderId="30" xfId="18" applyFont="1" applyBorder="1" applyAlignment="1">
      <alignment horizontal="center" vertical="center" wrapText="1"/>
    </xf>
    <xf numFmtId="0" fontId="15" fillId="0" borderId="32" xfId="18" applyFont="1" applyBorder="1">
      <alignment vertical="center"/>
    </xf>
    <xf numFmtId="0" fontId="17" fillId="7" borderId="33" xfId="18" applyFont="1" applyFill="1" applyBorder="1" applyAlignment="1">
      <alignment horizontal="center" vertical="center" wrapText="1"/>
    </xf>
    <xf numFmtId="0" fontId="17" fillId="7" borderId="35" xfId="18" applyFont="1" applyFill="1" applyBorder="1" applyAlignment="1">
      <alignment horizontal="center" vertical="center" wrapText="1"/>
    </xf>
    <xf numFmtId="0" fontId="16" fillId="8" borderId="36" xfId="18" applyFont="1" applyFill="1" applyBorder="1" applyAlignment="1">
      <alignment horizontal="center" vertical="center" wrapText="1"/>
    </xf>
    <xf numFmtId="174" fontId="15" fillId="0" borderId="0" xfId="19" applyNumberFormat="1" applyFont="1" applyFill="1">
      <alignment vertical="center"/>
    </xf>
    <xf numFmtId="0" fontId="15" fillId="0" borderId="0" xfId="19" applyFont="1" applyFill="1">
      <alignment vertical="center"/>
    </xf>
    <xf numFmtId="0" fontId="15" fillId="0" borderId="0" xfId="18" applyFont="1" applyAlignment="1">
      <alignment horizontal="center" vertical="center"/>
    </xf>
    <xf numFmtId="173" fontId="15" fillId="0" borderId="0" xfId="18" applyNumberFormat="1" applyFont="1">
      <alignment vertical="center"/>
    </xf>
    <xf numFmtId="174" fontId="15" fillId="0" borderId="0" xfId="18" applyNumberFormat="1" applyFont="1">
      <alignment vertical="center"/>
    </xf>
    <xf numFmtId="0" fontId="16" fillId="0" borderId="0" xfId="18" applyFont="1" applyAlignment="1">
      <alignment horizontal="center" vertical="center" wrapText="1"/>
    </xf>
    <xf numFmtId="0" fontId="15" fillId="0" borderId="38" xfId="18" applyFont="1" applyBorder="1" applyAlignment="1">
      <alignment horizontal="center" vertical="center"/>
    </xf>
    <xf numFmtId="0" fontId="15" fillId="0" borderId="39" xfId="18" applyFont="1" applyBorder="1" applyAlignment="1">
      <alignment horizontal="center" vertical="center"/>
    </xf>
    <xf numFmtId="0" fontId="17" fillId="0" borderId="0" xfId="18" applyFont="1" applyAlignment="1">
      <alignment horizontal="center" vertical="center" wrapText="1"/>
    </xf>
    <xf numFmtId="0" fontId="20" fillId="0" borderId="0" xfId="18" applyFont="1" applyAlignment="1">
      <alignment horizontal="center" vertical="center"/>
    </xf>
    <xf numFmtId="0" fontId="15" fillId="0" borderId="10" xfId="18" applyFont="1" applyBorder="1" applyAlignment="1">
      <alignment horizontal="center" vertical="center"/>
    </xf>
    <xf numFmtId="0" fontId="15" fillId="0" borderId="8" xfId="18" applyFont="1" applyBorder="1" applyAlignment="1">
      <alignment horizontal="center" vertical="center"/>
    </xf>
    <xf numFmtId="0" fontId="15" fillId="0" borderId="9" xfId="18" applyFont="1" applyBorder="1" applyAlignment="1">
      <alignment horizontal="center" vertical="center"/>
    </xf>
    <xf numFmtId="170" fontId="15" fillId="0" borderId="0" xfId="13" applyFont="1" applyAlignment="1">
      <alignment vertical="center"/>
    </xf>
    <xf numFmtId="0" fontId="15" fillId="9" borderId="10" xfId="18" applyFont="1" applyFill="1" applyBorder="1" applyAlignment="1">
      <alignment horizontal="center" vertical="center"/>
    </xf>
    <xf numFmtId="0" fontId="15" fillId="10" borderId="10" xfId="18" applyFont="1" applyFill="1" applyBorder="1" applyAlignment="1">
      <alignment horizontal="center" vertical="center"/>
    </xf>
    <xf numFmtId="0" fontId="15" fillId="0" borderId="35" xfId="18" applyFont="1" applyBorder="1" applyAlignment="1">
      <alignment horizontal="center" vertical="center"/>
    </xf>
    <xf numFmtId="0" fontId="17" fillId="0" borderId="38" xfId="18" applyFont="1" applyBorder="1" applyAlignment="1">
      <alignment horizontal="center" vertical="center" wrapText="1"/>
    </xf>
    <xf numFmtId="0" fontId="16" fillId="3" borderId="12" xfId="18" applyFont="1" applyFill="1" applyBorder="1" applyAlignment="1">
      <alignment horizontal="center" vertical="center" wrapText="1"/>
    </xf>
    <xf numFmtId="182" fontId="16" fillId="0" borderId="7" xfId="18" applyNumberFormat="1" applyFont="1" applyBorder="1" applyAlignment="1">
      <alignment horizontal="center" vertical="center" wrapText="1"/>
    </xf>
    <xf numFmtId="182" fontId="17" fillId="0" borderId="42" xfId="18" applyNumberFormat="1" applyFont="1" applyBorder="1" applyAlignment="1">
      <alignment horizontal="center" vertical="center" wrapText="1"/>
    </xf>
    <xf numFmtId="0" fontId="17" fillId="7" borderId="34" xfId="18" applyFont="1" applyFill="1" applyBorder="1" applyAlignment="1">
      <alignment horizontal="center" vertical="center" wrapText="1"/>
    </xf>
    <xf numFmtId="0" fontId="25" fillId="0" borderId="0" xfId="0" applyFont="1" applyAlignment="1">
      <alignment horizontal="center" vertical="center"/>
    </xf>
    <xf numFmtId="0" fontId="25" fillId="0" borderId="0" xfId="0" applyFont="1" applyAlignment="1">
      <alignment vertical="center"/>
    </xf>
    <xf numFmtId="0" fontId="26" fillId="0" borderId="0" xfId="0" applyFont="1" applyAlignment="1">
      <alignment horizontal="left" vertical="center"/>
    </xf>
    <xf numFmtId="41" fontId="25" fillId="0" borderId="0" xfId="20" applyFont="1" applyAlignment="1">
      <alignment horizontal="center" vertical="center"/>
    </xf>
    <xf numFmtId="0" fontId="27" fillId="0" borderId="0" xfId="18" applyFont="1">
      <alignment vertical="center"/>
    </xf>
    <xf numFmtId="0" fontId="25" fillId="0" borderId="0" xfId="16" applyFont="1">
      <alignment vertical="center"/>
    </xf>
    <xf numFmtId="0" fontId="25" fillId="0" borderId="0" xfId="0" applyFont="1"/>
    <xf numFmtId="0" fontId="25" fillId="0" borderId="0" xfId="0" applyFont="1" applyAlignment="1">
      <alignment horizontal="center"/>
    </xf>
    <xf numFmtId="0" fontId="25" fillId="0" borderId="43" xfId="0" applyFont="1" applyBorder="1"/>
    <xf numFmtId="0" fontId="25" fillId="0" borderId="45" xfId="0" applyFont="1" applyBorder="1"/>
    <xf numFmtId="0" fontId="25" fillId="10" borderId="1" xfId="0" applyFont="1" applyFill="1" applyBorder="1"/>
    <xf numFmtId="0" fontId="25" fillId="10" borderId="0" xfId="0" applyFont="1" applyFill="1"/>
    <xf numFmtId="0" fontId="25" fillId="10" borderId="43" xfId="0" applyFont="1" applyFill="1" applyBorder="1"/>
    <xf numFmtId="0" fontId="25" fillId="10" borderId="0" xfId="0" applyFont="1" applyFill="1" applyAlignment="1">
      <alignment horizontal="center" vertical="center"/>
    </xf>
    <xf numFmtId="0" fontId="25" fillId="10" borderId="45" xfId="0" applyFont="1" applyFill="1" applyBorder="1"/>
    <xf numFmtId="0" fontId="28" fillId="0" borderId="0" xfId="0" applyFont="1"/>
    <xf numFmtId="0" fontId="28" fillId="0" borderId="0" xfId="0" applyFont="1" applyAlignment="1">
      <alignment horizontal="center" vertical="center"/>
    </xf>
    <xf numFmtId="0" fontId="28" fillId="0" borderId="0" xfId="0" applyFont="1" applyAlignment="1">
      <alignment horizontal="center"/>
    </xf>
    <xf numFmtId="0" fontId="28" fillId="10" borderId="6" xfId="0" applyFont="1" applyFill="1" applyBorder="1" applyAlignment="1">
      <alignment horizontal="center" vertical="center"/>
    </xf>
    <xf numFmtId="0" fontId="28" fillId="0" borderId="44" xfId="0" applyFont="1" applyBorder="1" applyAlignment="1">
      <alignment horizontal="center" vertical="center"/>
    </xf>
    <xf numFmtId="0" fontId="28" fillId="10" borderId="44" xfId="0" applyFont="1" applyFill="1" applyBorder="1" applyAlignment="1">
      <alignment horizontal="center" vertical="center"/>
    </xf>
    <xf numFmtId="0" fontId="28" fillId="0" borderId="15" xfId="0" applyFont="1" applyBorder="1" applyAlignment="1">
      <alignment horizontal="center" vertical="center"/>
    </xf>
    <xf numFmtId="0" fontId="28" fillId="10" borderId="6" xfId="0" applyFont="1" applyFill="1" applyBorder="1" applyAlignment="1">
      <alignment horizontal="center"/>
    </xf>
    <xf numFmtId="0" fontId="28" fillId="0" borderId="44" xfId="0" applyFont="1" applyBorder="1" applyAlignment="1">
      <alignment horizontal="center"/>
    </xf>
    <xf numFmtId="0" fontId="28" fillId="10" borderId="44" xfId="0" applyFont="1" applyFill="1" applyBorder="1" applyAlignment="1">
      <alignment horizontal="center"/>
    </xf>
    <xf numFmtId="0" fontId="28" fillId="10" borderId="15" xfId="0" applyFont="1" applyFill="1" applyBorder="1" applyAlignment="1">
      <alignment horizontal="center"/>
    </xf>
    <xf numFmtId="0" fontId="28" fillId="10" borderId="6" xfId="0" applyFont="1" applyFill="1" applyBorder="1"/>
    <xf numFmtId="0" fontId="28" fillId="0" borderId="44" xfId="0" applyFont="1" applyBorder="1"/>
    <xf numFmtId="0" fontId="28" fillId="10" borderId="44" xfId="0" applyFont="1" applyFill="1" applyBorder="1"/>
    <xf numFmtId="0" fontId="28" fillId="10" borderId="15" xfId="0" applyFont="1" applyFill="1" applyBorder="1"/>
    <xf numFmtId="0" fontId="26" fillId="0" borderId="0" xfId="0" applyFont="1" applyAlignment="1">
      <alignment horizontal="center" vertical="center"/>
    </xf>
    <xf numFmtId="0" fontId="3" fillId="13" borderId="0" xfId="21" applyFill="1" applyAlignment="1">
      <alignment horizontal="center" vertical="center"/>
    </xf>
    <xf numFmtId="0" fontId="25" fillId="0" borderId="49" xfId="0" applyFont="1" applyBorder="1" applyAlignment="1">
      <alignment horizontal="center" vertical="center"/>
    </xf>
    <xf numFmtId="0" fontId="25" fillId="0" borderId="19" xfId="0" applyFont="1" applyBorder="1" applyAlignment="1">
      <alignment horizontal="center" vertical="center"/>
    </xf>
    <xf numFmtId="0" fontId="25" fillId="0" borderId="50" xfId="0" applyFont="1" applyBorder="1" applyAlignment="1">
      <alignment horizontal="center" vertical="center"/>
    </xf>
    <xf numFmtId="0" fontId="25" fillId="0" borderId="68" xfId="0" applyFont="1" applyBorder="1" applyAlignment="1">
      <alignment horizontal="center" vertical="center"/>
    </xf>
    <xf numFmtId="0" fontId="25" fillId="0" borderId="21" xfId="0" applyFont="1" applyBorder="1" applyAlignment="1">
      <alignment horizontal="center" vertical="center"/>
    </xf>
    <xf numFmtId="0" fontId="25" fillId="0" borderId="58" xfId="0" applyFont="1" applyBorder="1" applyAlignment="1">
      <alignment horizontal="center" vertical="center"/>
    </xf>
    <xf numFmtId="0" fontId="25" fillId="0" borderId="57" xfId="0" applyFont="1" applyBorder="1" applyAlignment="1">
      <alignment horizontal="center" vertical="center"/>
    </xf>
    <xf numFmtId="176" fontId="21" fillId="3" borderId="38" xfId="18" applyNumberFormat="1" applyFont="1" applyFill="1" applyBorder="1">
      <alignment vertical="center"/>
    </xf>
    <xf numFmtId="0" fontId="29" fillId="0" borderId="0" xfId="0" applyFont="1" applyAlignment="1">
      <alignment horizontal="center" vertical="center"/>
    </xf>
    <xf numFmtId="44" fontId="25" fillId="0" borderId="0" xfId="0" applyNumberFormat="1" applyFont="1" applyAlignment="1">
      <alignment vertical="center"/>
    </xf>
    <xf numFmtId="0" fontId="18" fillId="0" borderId="0" xfId="16" applyFont="1">
      <alignment vertical="center"/>
    </xf>
    <xf numFmtId="0" fontId="18" fillId="0" borderId="0" xfId="16" applyFont="1" applyAlignment="1">
      <alignment horizontal="left" vertical="center"/>
    </xf>
    <xf numFmtId="0" fontId="18" fillId="15" borderId="54" xfId="24" applyFont="1" applyFill="1" applyBorder="1" applyAlignment="1">
      <alignment horizontal="center" vertical="center"/>
    </xf>
    <xf numFmtId="0" fontId="18" fillId="15" borderId="55" xfId="24" applyFont="1" applyFill="1" applyBorder="1" applyAlignment="1">
      <alignment horizontal="center" vertical="center"/>
    </xf>
    <xf numFmtId="0" fontId="18" fillId="15" borderId="56" xfId="24" applyFont="1" applyFill="1" applyBorder="1" applyAlignment="1">
      <alignment horizontal="center" vertical="center"/>
    </xf>
    <xf numFmtId="0" fontId="18" fillId="0" borderId="49" xfId="24" applyFont="1" applyBorder="1" applyAlignment="1">
      <alignment horizontal="center" vertical="center"/>
    </xf>
    <xf numFmtId="0" fontId="18" fillId="0" borderId="19" xfId="24" applyFont="1" applyBorder="1" applyAlignment="1">
      <alignment horizontal="center" vertical="center"/>
    </xf>
    <xf numFmtId="0" fontId="18" fillId="0" borderId="50" xfId="24" applyFont="1" applyBorder="1" applyAlignment="1">
      <alignment horizontal="center" vertical="center"/>
    </xf>
    <xf numFmtId="0" fontId="18" fillId="15" borderId="49" xfId="24" applyFont="1" applyFill="1" applyBorder="1" applyAlignment="1">
      <alignment horizontal="center" vertical="center"/>
    </xf>
    <xf numFmtId="0" fontId="18" fillId="15" borderId="19" xfId="24" applyFont="1" applyFill="1" applyBorder="1" applyAlignment="1">
      <alignment horizontal="center" vertical="center"/>
    </xf>
    <xf numFmtId="0" fontId="18" fillId="15" borderId="50" xfId="24" applyFont="1" applyFill="1" applyBorder="1" applyAlignment="1">
      <alignment horizontal="center" vertical="center"/>
    </xf>
    <xf numFmtId="0" fontId="18" fillId="15" borderId="21" xfId="24" applyFont="1" applyFill="1" applyBorder="1" applyAlignment="1">
      <alignment horizontal="center" vertical="center"/>
    </xf>
    <xf numFmtId="0" fontId="18" fillId="15" borderId="58" xfId="24" applyFont="1" applyFill="1" applyBorder="1" applyAlignment="1">
      <alignment horizontal="center" vertical="center"/>
    </xf>
    <xf numFmtId="0" fontId="18" fillId="0" borderId="57" xfId="24" applyFont="1" applyBorder="1" applyAlignment="1">
      <alignment horizontal="center" vertical="center"/>
    </xf>
    <xf numFmtId="0" fontId="18" fillId="0" borderId="58" xfId="24" applyFont="1" applyBorder="1" applyAlignment="1">
      <alignment horizontal="center" vertical="center"/>
    </xf>
    <xf numFmtId="0" fontId="18" fillId="16" borderId="54" xfId="16" applyFont="1" applyFill="1" applyBorder="1" applyAlignment="1">
      <alignment horizontal="center" vertical="center"/>
    </xf>
    <xf numFmtId="0" fontId="18" fillId="16" borderId="55" xfId="16" applyFont="1" applyFill="1" applyBorder="1" applyAlignment="1">
      <alignment horizontal="center" vertical="center"/>
    </xf>
    <xf numFmtId="0" fontId="18" fillId="16" borderId="56" xfId="16" applyFont="1" applyFill="1" applyBorder="1" applyAlignment="1">
      <alignment horizontal="center" vertical="center"/>
    </xf>
    <xf numFmtId="0" fontId="18" fillId="0" borderId="0" xfId="16" applyFont="1" applyAlignment="1">
      <alignment horizontal="center" vertical="center"/>
    </xf>
    <xf numFmtId="0" fontId="18" fillId="0" borderId="57" xfId="16" applyFont="1" applyBorder="1" applyAlignment="1">
      <alignment horizontal="center" vertical="center"/>
    </xf>
    <xf numFmtId="0" fontId="18" fillId="0" borderId="21" xfId="17" applyNumberFormat="1" applyFont="1" applyBorder="1" applyAlignment="1">
      <alignment horizontal="center" vertical="center"/>
    </xf>
    <xf numFmtId="0" fontId="15" fillId="16" borderId="61" xfId="24" applyFont="1" applyFill="1" applyBorder="1" applyAlignment="1">
      <alignment horizontal="center" vertical="center"/>
    </xf>
    <xf numFmtId="0" fontId="18" fillId="16" borderId="59" xfId="24" applyFont="1" applyFill="1" applyBorder="1" applyAlignment="1">
      <alignment horizontal="center" vertical="center"/>
    </xf>
    <xf numFmtId="0" fontId="18" fillId="16" borderId="55" xfId="24" applyFont="1" applyFill="1" applyBorder="1" applyAlignment="1">
      <alignment horizontal="center" vertical="center"/>
    </xf>
    <xf numFmtId="0" fontId="18" fillId="16" borderId="56" xfId="24" applyFont="1" applyFill="1" applyBorder="1" applyAlignment="1">
      <alignment horizontal="center" vertical="center"/>
    </xf>
    <xf numFmtId="0" fontId="18" fillId="16" borderId="62" xfId="24" applyFont="1" applyFill="1" applyBorder="1" applyAlignment="1">
      <alignment horizontal="center" vertical="center"/>
    </xf>
    <xf numFmtId="0" fontId="18" fillId="0" borderId="20" xfId="24" applyFont="1" applyBorder="1" applyAlignment="1">
      <alignment horizontal="center" vertical="center"/>
    </xf>
    <xf numFmtId="0" fontId="18" fillId="0" borderId="60" xfId="24" applyFont="1" applyBorder="1" applyAlignment="1">
      <alignment horizontal="center" vertical="center"/>
    </xf>
    <xf numFmtId="0" fontId="18" fillId="0" borderId="52" xfId="24" applyFont="1" applyBorder="1" applyAlignment="1">
      <alignment horizontal="center" vertical="center"/>
    </xf>
    <xf numFmtId="0" fontId="18" fillId="0" borderId="53" xfId="24" applyFont="1" applyBorder="1" applyAlignment="1">
      <alignment horizontal="center" vertical="center"/>
    </xf>
    <xf numFmtId="0" fontId="18" fillId="16" borderId="61" xfId="24" applyFont="1" applyFill="1" applyBorder="1" applyAlignment="1">
      <alignment horizontal="center" vertical="center"/>
    </xf>
    <xf numFmtId="0" fontId="18" fillId="0" borderId="59" xfId="24" applyFont="1" applyBorder="1" applyAlignment="1">
      <alignment horizontal="center" vertical="center"/>
    </xf>
    <xf numFmtId="0" fontId="18" fillId="0" borderId="55" xfId="24" applyFont="1" applyBorder="1" applyAlignment="1">
      <alignment horizontal="center" vertical="center"/>
    </xf>
    <xf numFmtId="0" fontId="18" fillId="0" borderId="56" xfId="24" applyFont="1" applyBorder="1" applyAlignment="1">
      <alignment horizontal="center" vertical="center"/>
    </xf>
    <xf numFmtId="0" fontId="18" fillId="16" borderId="63" xfId="24" applyFont="1" applyFill="1" applyBorder="1" applyAlignment="1">
      <alignment horizontal="center" vertical="center"/>
    </xf>
    <xf numFmtId="0" fontId="18" fillId="0" borderId="23" xfId="24" applyFont="1" applyBorder="1" applyAlignment="1">
      <alignment horizontal="center" vertical="center"/>
    </xf>
    <xf numFmtId="0" fontId="18" fillId="0" borderId="21" xfId="24" applyFont="1" applyBorder="1" applyAlignment="1">
      <alignment horizontal="center" vertical="center"/>
    </xf>
    <xf numFmtId="0" fontId="18" fillId="12" borderId="21" xfId="22" applyFont="1" applyBorder="1" applyAlignment="1">
      <alignment horizontal="center" vertical="center"/>
    </xf>
    <xf numFmtId="0" fontId="18" fillId="16" borderId="18" xfId="24" applyFont="1" applyFill="1" applyBorder="1" applyAlignment="1">
      <alignment horizontal="center" vertical="center"/>
    </xf>
    <xf numFmtId="174" fontId="18" fillId="0" borderId="64" xfId="24" applyNumberFormat="1" applyFont="1" applyBorder="1" applyAlignment="1">
      <alignment horizontal="center" vertical="center"/>
    </xf>
    <xf numFmtId="174" fontId="18" fillId="0" borderId="65" xfId="24" applyNumberFormat="1" applyFont="1" applyBorder="1" applyAlignment="1">
      <alignment horizontal="center" vertical="center"/>
    </xf>
    <xf numFmtId="0" fontId="18" fillId="0" borderId="65" xfId="24" applyFont="1" applyBorder="1" applyAlignment="1">
      <alignment horizontal="center" vertical="center"/>
    </xf>
    <xf numFmtId="0" fontId="18" fillId="0" borderId="66" xfId="24" applyFont="1" applyBorder="1" applyAlignment="1">
      <alignment horizontal="center" vertical="center"/>
    </xf>
    <xf numFmtId="0" fontId="18" fillId="14" borderId="64" xfId="23" applyFont="1" applyBorder="1" applyAlignment="1">
      <alignment horizontal="center" vertical="center"/>
    </xf>
    <xf numFmtId="178" fontId="18" fillId="0" borderId="0" xfId="16" applyNumberFormat="1" applyFont="1">
      <alignment vertical="center"/>
    </xf>
    <xf numFmtId="10" fontId="18" fillId="0" borderId="0" xfId="16" applyNumberFormat="1" applyFont="1">
      <alignment vertical="center"/>
    </xf>
    <xf numFmtId="180" fontId="25" fillId="4" borderId="0" xfId="0" applyNumberFormat="1" applyFont="1" applyFill="1" applyAlignment="1">
      <alignment horizontal="center" vertical="center"/>
    </xf>
    <xf numFmtId="0" fontId="25" fillId="4" borderId="0" xfId="0" applyFont="1" applyFill="1" applyAlignment="1">
      <alignment horizontal="center" vertical="center"/>
    </xf>
    <xf numFmtId="173" fontId="25" fillId="4" borderId="0" xfId="0" applyNumberFormat="1" applyFont="1" applyFill="1" applyAlignment="1">
      <alignment horizontal="center" vertical="center"/>
    </xf>
    <xf numFmtId="0" fontId="25" fillId="16" borderId="49" xfId="0" applyFont="1" applyFill="1" applyBorder="1" applyAlignment="1">
      <alignment horizontal="center" vertical="center"/>
    </xf>
    <xf numFmtId="0" fontId="25" fillId="16" borderId="50" xfId="0" applyFont="1" applyFill="1" applyBorder="1" applyAlignment="1">
      <alignment horizontal="center" vertical="center"/>
    </xf>
    <xf numFmtId="0" fontId="25" fillId="16" borderId="19" xfId="0" applyFont="1" applyFill="1" applyBorder="1" applyAlignment="1">
      <alignment horizontal="center" vertical="center"/>
    </xf>
    <xf numFmtId="180" fontId="25" fillId="0" borderId="67" xfId="0" applyNumberFormat="1" applyFont="1" applyBorder="1" applyAlignment="1">
      <alignment horizontal="center" vertical="center"/>
    </xf>
    <xf numFmtId="181" fontId="25" fillId="0" borderId="68" xfId="0" applyNumberFormat="1" applyFont="1" applyBorder="1" applyAlignment="1">
      <alignment horizontal="center" vertical="center"/>
    </xf>
    <xf numFmtId="180" fontId="25" fillId="0" borderId="49" xfId="0" applyNumberFormat="1" applyFont="1" applyBorder="1" applyAlignment="1">
      <alignment horizontal="center" vertical="center"/>
    </xf>
    <xf numFmtId="181" fontId="25" fillId="0" borderId="50" xfId="0" applyNumberFormat="1" applyFont="1" applyBorder="1" applyAlignment="1">
      <alignment horizontal="center" vertical="center"/>
    </xf>
    <xf numFmtId="180" fontId="25" fillId="0" borderId="51" xfId="0" applyNumberFormat="1" applyFont="1" applyBorder="1" applyAlignment="1">
      <alignment horizontal="center" vertical="center"/>
    </xf>
    <xf numFmtId="0" fontId="25" fillId="0" borderId="53" xfId="0" applyFont="1" applyBorder="1" applyAlignment="1">
      <alignment horizontal="center" vertical="center"/>
    </xf>
    <xf numFmtId="0" fontId="25" fillId="16" borderId="21" xfId="0" applyFont="1" applyFill="1" applyBorder="1" applyAlignment="1">
      <alignment horizontal="center" vertical="center"/>
    </xf>
    <xf numFmtId="0" fontId="25" fillId="16" borderId="58" xfId="0" applyFont="1" applyFill="1" applyBorder="1" applyAlignment="1">
      <alignment horizontal="center" vertical="center"/>
    </xf>
    <xf numFmtId="177" fontId="25" fillId="0" borderId="49" xfId="0" applyNumberFormat="1" applyFont="1" applyBorder="1" applyAlignment="1">
      <alignment horizontal="center" vertical="center"/>
    </xf>
    <xf numFmtId="2" fontId="25" fillId="0" borderId="50" xfId="0" applyNumberFormat="1" applyFont="1" applyBorder="1" applyAlignment="1">
      <alignment horizontal="center" vertical="center"/>
    </xf>
    <xf numFmtId="177" fontId="25" fillId="0" borderId="57" xfId="0" applyNumberFormat="1" applyFont="1" applyBorder="1" applyAlignment="1">
      <alignment horizontal="center" vertical="center"/>
    </xf>
    <xf numFmtId="2" fontId="25" fillId="0" borderId="58" xfId="0" applyNumberFormat="1" applyFont="1" applyBorder="1" applyAlignment="1">
      <alignment horizontal="center" vertical="center"/>
    </xf>
    <xf numFmtId="0" fontId="25" fillId="16" borderId="20" xfId="0" applyFont="1" applyFill="1" applyBorder="1" applyAlignment="1">
      <alignment horizontal="center" vertical="center"/>
    </xf>
    <xf numFmtId="0" fontId="25" fillId="16" borderId="23" xfId="0" applyFont="1" applyFill="1" applyBorder="1" applyAlignment="1">
      <alignment horizontal="center" vertical="center"/>
    </xf>
    <xf numFmtId="0" fontId="32" fillId="0" borderId="0" xfId="0" applyFont="1" applyAlignment="1">
      <alignment horizontal="center" vertical="center"/>
    </xf>
    <xf numFmtId="0" fontId="33" fillId="0" borderId="0" xfId="0" applyFont="1" applyAlignment="1">
      <alignment horizontal="center" vertical="center"/>
    </xf>
    <xf numFmtId="0" fontId="33" fillId="0" borderId="0" xfId="0" applyFont="1" applyAlignment="1">
      <alignment vertical="center"/>
    </xf>
    <xf numFmtId="40" fontId="25" fillId="4" borderId="0" xfId="0" applyNumberFormat="1" applyFont="1" applyFill="1" applyAlignment="1">
      <alignment horizontal="center" vertical="center"/>
    </xf>
    <xf numFmtId="186" fontId="25" fillId="0" borderId="67" xfId="0" applyNumberFormat="1" applyFont="1" applyBorder="1" applyAlignment="1">
      <alignment horizontal="center" vertical="center"/>
    </xf>
    <xf numFmtId="0" fontId="25" fillId="0" borderId="22" xfId="0" applyFont="1" applyBorder="1" applyAlignment="1">
      <alignment horizontal="center" vertical="center"/>
    </xf>
    <xf numFmtId="38" fontId="25" fillId="0" borderId="69" xfId="0" applyNumberFormat="1" applyFont="1" applyBorder="1" applyAlignment="1">
      <alignment horizontal="center" vertical="center"/>
    </xf>
    <xf numFmtId="186" fontId="25" fillId="0" borderId="49" xfId="0" applyNumberFormat="1" applyFont="1" applyBorder="1" applyAlignment="1">
      <alignment horizontal="center" vertical="center"/>
    </xf>
    <xf numFmtId="0" fontId="25" fillId="0" borderId="20" xfId="0" applyFont="1" applyBorder="1" applyAlignment="1">
      <alignment horizontal="center" vertical="center"/>
    </xf>
    <xf numFmtId="38" fontId="25" fillId="0" borderId="19" xfId="0" applyNumberFormat="1" applyFont="1" applyBorder="1" applyAlignment="1">
      <alignment horizontal="center" vertical="center"/>
    </xf>
    <xf numFmtId="177" fontId="25" fillId="0" borderId="20" xfId="0" applyNumberFormat="1" applyFont="1" applyBorder="1" applyAlignment="1">
      <alignment horizontal="center" vertical="center"/>
    </xf>
    <xf numFmtId="0" fontId="3" fillId="0" borderId="0" xfId="21" applyFill="1" applyAlignment="1">
      <alignment horizontal="center" vertical="center"/>
    </xf>
    <xf numFmtId="0" fontId="19" fillId="0" borderId="27" xfId="18" applyFont="1" applyBorder="1" applyAlignment="1">
      <alignment horizontal="center" vertical="center"/>
    </xf>
    <xf numFmtId="0" fontId="19" fillId="10" borderId="10" xfId="18" applyFont="1" applyFill="1" applyBorder="1" applyAlignment="1">
      <alignment horizontal="center" vertical="center"/>
    </xf>
    <xf numFmtId="0" fontId="19" fillId="9" borderId="10" xfId="18" applyFont="1" applyFill="1" applyBorder="1" applyAlignment="1">
      <alignment horizontal="center" vertical="center"/>
    </xf>
    <xf numFmtId="185" fontId="25" fillId="0" borderId="0" xfId="16" applyNumberFormat="1" applyFont="1" applyAlignment="1">
      <alignment horizontal="center" vertical="center"/>
    </xf>
    <xf numFmtId="0" fontId="19" fillId="7" borderId="35" xfId="18" applyFont="1" applyFill="1" applyBorder="1" applyAlignment="1">
      <alignment horizontal="center" vertical="center" wrapText="1"/>
    </xf>
    <xf numFmtId="0" fontId="30" fillId="0" borderId="20" xfId="24" applyFont="1" applyBorder="1" applyAlignment="1">
      <alignment horizontal="center" vertical="center"/>
    </xf>
    <xf numFmtId="0" fontId="18" fillId="3" borderId="0" xfId="16" applyFont="1" applyFill="1">
      <alignment vertical="center"/>
    </xf>
    <xf numFmtId="0" fontId="18" fillId="3" borderId="19" xfId="24" applyFont="1" applyFill="1" applyBorder="1" applyAlignment="1">
      <alignment horizontal="center" vertical="center"/>
    </xf>
    <xf numFmtId="0" fontId="18" fillId="0" borderId="49" xfId="16" applyFont="1" applyBorder="1" applyAlignment="1">
      <alignment horizontal="center" vertical="center"/>
    </xf>
    <xf numFmtId="0" fontId="18" fillId="0" borderId="50" xfId="16" applyFont="1" applyBorder="1" applyAlignment="1">
      <alignment horizontal="center" vertical="center"/>
    </xf>
    <xf numFmtId="0" fontId="18" fillId="0" borderId="58" xfId="16" applyFont="1" applyBorder="1" applyAlignment="1">
      <alignment horizontal="center" vertical="center"/>
    </xf>
    <xf numFmtId="0" fontId="18" fillId="17" borderId="54" xfId="16" applyFont="1" applyFill="1" applyBorder="1" applyAlignment="1">
      <alignment horizontal="center" vertical="center"/>
    </xf>
    <xf numFmtId="0" fontId="18" fillId="17" borderId="56" xfId="16" applyFont="1" applyFill="1" applyBorder="1" applyAlignment="1">
      <alignment horizontal="center" vertical="center"/>
    </xf>
    <xf numFmtId="0" fontId="18" fillId="3" borderId="49" xfId="24" applyFont="1" applyFill="1" applyBorder="1" applyAlignment="1">
      <alignment horizontal="center" vertical="center"/>
    </xf>
    <xf numFmtId="0" fontId="18" fillId="3" borderId="50" xfId="24" applyFont="1" applyFill="1" applyBorder="1" applyAlignment="1">
      <alignment horizontal="center" vertical="center"/>
    </xf>
    <xf numFmtId="0" fontId="18" fillId="15" borderId="57" xfId="24" applyFont="1" applyFill="1" applyBorder="1" applyAlignment="1">
      <alignment horizontal="center" vertical="center"/>
    </xf>
    <xf numFmtId="0" fontId="30" fillId="0" borderId="58" xfId="24" applyFont="1" applyBorder="1" applyAlignment="1">
      <alignment horizontal="center" vertical="center"/>
    </xf>
    <xf numFmtId="0" fontId="30" fillId="12" borderId="20" xfId="22" applyFont="1" applyBorder="1" applyAlignment="1">
      <alignment horizontal="center" vertical="center"/>
    </xf>
    <xf numFmtId="0" fontId="30" fillId="0" borderId="59" xfId="24" applyFont="1" applyBorder="1" applyAlignment="1">
      <alignment horizontal="center" vertical="center"/>
    </xf>
    <xf numFmtId="0" fontId="36" fillId="18" borderId="0" xfId="18" applyFont="1" applyFill="1" applyAlignment="1">
      <alignment horizontal="center" vertical="center"/>
    </xf>
    <xf numFmtId="0" fontId="30" fillId="0" borderId="23" xfId="24" applyFont="1" applyBorder="1" applyAlignment="1">
      <alignment horizontal="center" vertical="center"/>
    </xf>
    <xf numFmtId="0" fontId="21" fillId="3" borderId="11" xfId="18" applyFont="1" applyFill="1" applyBorder="1">
      <alignment vertical="center"/>
    </xf>
    <xf numFmtId="0" fontId="30" fillId="16" borderId="62" xfId="24" applyFont="1" applyFill="1" applyBorder="1" applyAlignment="1">
      <alignment horizontal="center" vertical="center"/>
    </xf>
    <xf numFmtId="0" fontId="19" fillId="5" borderId="10" xfId="18" applyFont="1" applyFill="1" applyBorder="1" applyAlignment="1">
      <alignment horizontal="center" vertical="center"/>
    </xf>
    <xf numFmtId="174" fontId="21" fillId="5" borderId="26" xfId="18" applyNumberFormat="1" applyFont="1" applyFill="1" applyBorder="1">
      <alignment vertical="center"/>
    </xf>
    <xf numFmtId="0" fontId="39" fillId="8" borderId="37" xfId="18" applyFont="1" applyFill="1" applyBorder="1" applyAlignment="1">
      <alignment horizontal="center" vertical="center" wrapText="1"/>
    </xf>
    <xf numFmtId="0" fontId="39" fillId="8" borderId="34" xfId="18" applyFont="1" applyFill="1" applyBorder="1" applyAlignment="1">
      <alignment horizontal="center" vertical="center" wrapText="1"/>
    </xf>
    <xf numFmtId="0" fontId="39" fillId="8" borderId="35" xfId="18" applyFont="1" applyFill="1" applyBorder="1" applyAlignment="1">
      <alignment horizontal="center" vertical="center" wrapText="1"/>
    </xf>
    <xf numFmtId="177" fontId="31" fillId="0" borderId="35" xfId="18" applyNumberFormat="1" applyFont="1" applyBorder="1" applyAlignment="1">
      <alignment horizontal="center" vertical="center"/>
    </xf>
    <xf numFmtId="0" fontId="25" fillId="0" borderId="49" xfId="16" applyFont="1" applyBorder="1" applyAlignment="1">
      <alignment horizontal="center" vertical="center"/>
    </xf>
    <xf numFmtId="183" fontId="25" fillId="0" borderId="50" xfId="16" applyNumberFormat="1" applyFont="1" applyBorder="1" applyAlignment="1">
      <alignment horizontal="center" vertical="center"/>
    </xf>
    <xf numFmtId="0" fontId="25" fillId="0" borderId="57" xfId="16" applyFont="1" applyBorder="1" applyAlignment="1">
      <alignment horizontal="center" vertical="center"/>
    </xf>
    <xf numFmtId="0" fontId="25" fillId="0" borderId="58" xfId="16" applyFont="1" applyBorder="1" applyAlignment="1">
      <alignment horizontal="center" vertical="center"/>
    </xf>
    <xf numFmtId="0" fontId="18" fillId="0" borderId="0" xfId="18" applyFont="1" applyAlignment="1">
      <alignment horizontal="center" vertical="center"/>
    </xf>
    <xf numFmtId="0" fontId="28" fillId="0" borderId="55" xfId="0" applyFont="1" applyBorder="1" applyAlignment="1">
      <alignment horizontal="center" vertical="center" wrapText="1"/>
    </xf>
    <xf numFmtId="0" fontId="29" fillId="0" borderId="55" xfId="0" applyFont="1" applyBorder="1" applyAlignment="1">
      <alignment horizontal="center" vertical="center" wrapText="1"/>
    </xf>
    <xf numFmtId="0" fontId="28" fillId="0" borderId="56" xfId="0" applyFont="1" applyBorder="1" applyAlignment="1">
      <alignment horizontal="center" vertical="center" wrapText="1"/>
    </xf>
    <xf numFmtId="0" fontId="28" fillId="0" borderId="19" xfId="0" applyFont="1" applyBorder="1" applyAlignment="1">
      <alignment horizontal="center" vertical="center"/>
    </xf>
    <xf numFmtId="0" fontId="30" fillId="10" borderId="19" xfId="0" applyFont="1" applyFill="1" applyBorder="1" applyAlignment="1">
      <alignment horizontal="center" vertical="center"/>
    </xf>
    <xf numFmtId="177" fontId="30" fillId="10" borderId="19" xfId="0" applyNumberFormat="1" applyFont="1" applyFill="1" applyBorder="1" applyAlignment="1">
      <alignment horizontal="center" vertical="center"/>
    </xf>
    <xf numFmtId="0" fontId="19" fillId="10" borderId="19" xfId="0" applyFont="1" applyFill="1" applyBorder="1" applyAlignment="1">
      <alignment horizontal="center" vertical="center" wrapText="1"/>
    </xf>
    <xf numFmtId="185" fontId="30" fillId="10" borderId="19" xfId="0" applyNumberFormat="1" applyFont="1" applyFill="1" applyBorder="1" applyAlignment="1">
      <alignment horizontal="center" vertical="center"/>
    </xf>
    <xf numFmtId="0" fontId="36" fillId="20" borderId="50" xfId="0" applyFont="1" applyFill="1" applyBorder="1" applyAlignment="1">
      <alignment horizontal="center" vertical="center"/>
    </xf>
    <xf numFmtId="0" fontId="28" fillId="16" borderId="19" xfId="0" applyFont="1" applyFill="1" applyBorder="1" applyAlignment="1">
      <alignment horizontal="center" vertical="center"/>
    </xf>
    <xf numFmtId="0" fontId="18" fillId="16" borderId="19" xfId="0" applyFont="1" applyFill="1" applyBorder="1" applyAlignment="1">
      <alignment horizontal="center" vertical="center"/>
    </xf>
    <xf numFmtId="0" fontId="31" fillId="16" borderId="50" xfId="0" applyFont="1" applyFill="1" applyBorder="1" applyAlignment="1">
      <alignment horizontal="center" vertical="center"/>
    </xf>
    <xf numFmtId="0" fontId="28" fillId="16" borderId="21" xfId="0" applyFont="1" applyFill="1" applyBorder="1" applyAlignment="1">
      <alignment horizontal="center" vertical="center"/>
    </xf>
    <xf numFmtId="0" fontId="18" fillId="16" borderId="21" xfId="0" applyFont="1" applyFill="1" applyBorder="1" applyAlignment="1">
      <alignment horizontal="center" vertical="center"/>
    </xf>
    <xf numFmtId="0" fontId="31" fillId="16" borderId="58" xfId="0" applyFont="1" applyFill="1" applyBorder="1" applyAlignment="1">
      <alignment horizontal="center" vertical="center"/>
    </xf>
    <xf numFmtId="0" fontId="30" fillId="0" borderId="33" xfId="16" applyFont="1" applyBorder="1" applyAlignment="1">
      <alignment horizontal="center" vertical="center"/>
    </xf>
    <xf numFmtId="0" fontId="18" fillId="0" borderId="10" xfId="16" applyFont="1" applyBorder="1">
      <alignment vertical="center"/>
    </xf>
    <xf numFmtId="0" fontId="30" fillId="0" borderId="73" xfId="16" applyFont="1" applyBorder="1" applyAlignment="1">
      <alignment horizontal="center" vertical="center"/>
    </xf>
    <xf numFmtId="0" fontId="18" fillId="0" borderId="74" xfId="16" applyFont="1" applyBorder="1">
      <alignment vertical="center"/>
    </xf>
    <xf numFmtId="0" fontId="18" fillId="0" borderId="73" xfId="16" applyFont="1" applyBorder="1" applyAlignment="1">
      <alignment horizontal="center" vertical="center"/>
    </xf>
    <xf numFmtId="0" fontId="28" fillId="8" borderId="19" xfId="0" applyFont="1" applyFill="1" applyBorder="1" applyAlignment="1">
      <alignment horizontal="center" vertical="center"/>
    </xf>
    <xf numFmtId="0" fontId="25" fillId="8" borderId="19" xfId="0" applyFont="1" applyFill="1" applyBorder="1" applyAlignment="1">
      <alignment horizontal="center" vertical="center"/>
    </xf>
    <xf numFmtId="0" fontId="18" fillId="8" borderId="50" xfId="0" applyFont="1" applyFill="1" applyBorder="1" applyAlignment="1">
      <alignment horizontal="center" vertical="center"/>
    </xf>
    <xf numFmtId="0" fontId="18" fillId="8" borderId="19" xfId="0" applyFont="1" applyFill="1" applyBorder="1" applyAlignment="1">
      <alignment horizontal="center" vertical="center"/>
    </xf>
    <xf numFmtId="0" fontId="30" fillId="0" borderId="0" xfId="16" applyFont="1" applyAlignment="1">
      <alignment horizontal="right" vertical="center"/>
    </xf>
    <xf numFmtId="189" fontId="18" fillId="0" borderId="74" xfId="16" applyNumberFormat="1" applyFont="1" applyBorder="1">
      <alignment vertical="center"/>
    </xf>
    <xf numFmtId="0" fontId="18" fillId="0" borderId="9" xfId="16" applyFont="1" applyBorder="1">
      <alignment vertical="center"/>
    </xf>
    <xf numFmtId="0" fontId="18" fillId="0" borderId="4" xfId="16" applyFont="1" applyBorder="1">
      <alignment vertical="center"/>
    </xf>
    <xf numFmtId="176" fontId="18" fillId="13" borderId="4" xfId="16" applyNumberFormat="1" applyFont="1" applyFill="1" applyBorder="1">
      <alignment vertical="center"/>
    </xf>
    <xf numFmtId="10" fontId="30" fillId="22" borderId="25" xfId="25" applyNumberFormat="1" applyFont="1" applyFill="1" applyBorder="1">
      <alignment vertical="center"/>
    </xf>
    <xf numFmtId="10" fontId="30" fillId="22" borderId="25" xfId="16" applyNumberFormat="1" applyFont="1" applyFill="1" applyBorder="1">
      <alignment vertical="center"/>
    </xf>
    <xf numFmtId="10" fontId="30" fillId="22" borderId="26" xfId="16" applyNumberFormat="1" applyFont="1" applyFill="1" applyBorder="1">
      <alignment vertical="center"/>
    </xf>
    <xf numFmtId="10" fontId="30" fillId="21" borderId="74" xfId="16" applyNumberFormat="1" applyFont="1" applyFill="1" applyBorder="1">
      <alignment vertical="center"/>
    </xf>
    <xf numFmtId="10" fontId="30" fillId="21" borderId="4" xfId="16" applyNumberFormat="1" applyFont="1" applyFill="1" applyBorder="1">
      <alignment vertical="center"/>
    </xf>
    <xf numFmtId="10" fontId="30" fillId="21" borderId="4" xfId="25" applyNumberFormat="1" applyFont="1" applyFill="1" applyBorder="1">
      <alignment vertical="center"/>
    </xf>
    <xf numFmtId="0" fontId="30" fillId="0" borderId="24" xfId="16" applyFont="1" applyBorder="1" applyAlignment="1">
      <alignment horizontal="center" vertical="center"/>
    </xf>
    <xf numFmtId="0" fontId="18" fillId="0" borderId="8" xfId="16" applyFont="1" applyBorder="1" applyAlignment="1">
      <alignment horizontal="center" vertical="center"/>
    </xf>
    <xf numFmtId="0" fontId="28" fillId="10" borderId="50" xfId="16" applyFont="1" applyFill="1" applyBorder="1" applyAlignment="1">
      <alignment horizontal="center" vertical="center"/>
    </xf>
    <xf numFmtId="174" fontId="18" fillId="13" borderId="4" xfId="16" applyNumberFormat="1" applyFont="1" applyFill="1" applyBorder="1">
      <alignment vertical="center"/>
    </xf>
    <xf numFmtId="173" fontId="18" fillId="13" borderId="9" xfId="16" applyNumberFormat="1" applyFont="1" applyFill="1" applyBorder="1">
      <alignment vertical="center"/>
    </xf>
    <xf numFmtId="0" fontId="34" fillId="0" borderId="67" xfId="0" applyFont="1" applyBorder="1" applyAlignment="1">
      <alignment horizontal="center" vertical="center"/>
    </xf>
    <xf numFmtId="177" fontId="30" fillId="0" borderId="75" xfId="16" applyNumberFormat="1" applyFont="1" applyBorder="1" applyAlignment="1">
      <alignment horizontal="center" vertical="center"/>
    </xf>
    <xf numFmtId="177" fontId="30" fillId="0" borderId="76" xfId="16" applyNumberFormat="1" applyFont="1" applyBorder="1" applyAlignment="1">
      <alignment horizontal="center" vertical="center"/>
    </xf>
    <xf numFmtId="0" fontId="18" fillId="0" borderId="71" xfId="16" applyFont="1" applyBorder="1">
      <alignment vertical="center"/>
    </xf>
    <xf numFmtId="0" fontId="18" fillId="0" borderId="78" xfId="16" applyFont="1" applyBorder="1">
      <alignment vertical="center"/>
    </xf>
    <xf numFmtId="0" fontId="18" fillId="0" borderId="72" xfId="16" applyFont="1" applyBorder="1">
      <alignment vertical="center"/>
    </xf>
    <xf numFmtId="0" fontId="18" fillId="0" borderId="14" xfId="16" applyFont="1" applyBorder="1" applyAlignment="1">
      <alignment horizontal="center" vertical="center"/>
    </xf>
    <xf numFmtId="173" fontId="18" fillId="0" borderId="16" xfId="16" applyNumberFormat="1" applyFont="1" applyBorder="1">
      <alignment vertical="center"/>
    </xf>
    <xf numFmtId="0" fontId="18" fillId="0" borderId="77" xfId="16" applyFont="1" applyBorder="1" applyAlignment="1">
      <alignment horizontal="center" vertical="center"/>
    </xf>
    <xf numFmtId="173" fontId="30" fillId="0" borderId="79" xfId="16" applyNumberFormat="1" applyFont="1" applyBorder="1">
      <alignment vertical="center"/>
    </xf>
    <xf numFmtId="10" fontId="18" fillId="0" borderId="17" xfId="16" applyNumberFormat="1" applyFont="1" applyBorder="1">
      <alignment vertical="center"/>
    </xf>
    <xf numFmtId="0" fontId="19" fillId="0" borderId="0" xfId="18" applyFont="1" applyAlignment="1">
      <alignment horizontal="center" vertical="center"/>
    </xf>
    <xf numFmtId="0" fontId="30" fillId="0" borderId="0" xfId="16" applyFont="1" applyAlignment="1">
      <alignment horizontal="center"/>
    </xf>
    <xf numFmtId="178" fontId="25" fillId="0" borderId="0" xfId="0" applyNumberFormat="1" applyFont="1" applyAlignment="1">
      <alignment horizontal="center" vertical="center"/>
    </xf>
    <xf numFmtId="187" fontId="28" fillId="0" borderId="0" xfId="0" applyNumberFormat="1" applyFont="1" applyAlignment="1">
      <alignment horizontal="center" vertical="center"/>
    </xf>
    <xf numFmtId="174" fontId="37" fillId="10" borderId="26" xfId="18" applyNumberFormat="1" applyFont="1" applyFill="1" applyBorder="1">
      <alignment vertical="center"/>
    </xf>
    <xf numFmtId="174" fontId="37" fillId="9" borderId="26" xfId="18" applyNumberFormat="1" applyFont="1" applyFill="1" applyBorder="1">
      <alignment vertical="center"/>
    </xf>
    <xf numFmtId="177" fontId="21" fillId="3" borderId="5" xfId="18" applyNumberFormat="1" applyFont="1" applyFill="1" applyBorder="1">
      <alignment vertical="center"/>
    </xf>
    <xf numFmtId="174" fontId="21" fillId="9" borderId="26" xfId="18" applyNumberFormat="1" applyFont="1" applyFill="1" applyBorder="1">
      <alignment vertical="center"/>
    </xf>
    <xf numFmtId="174" fontId="21" fillId="10" borderId="26" xfId="18" applyNumberFormat="1" applyFont="1" applyFill="1" applyBorder="1">
      <alignment vertical="center"/>
    </xf>
    <xf numFmtId="0" fontId="28" fillId="13" borderId="8" xfId="0" applyFont="1" applyFill="1" applyBorder="1" applyAlignment="1">
      <alignment horizontal="center" vertical="center"/>
    </xf>
    <xf numFmtId="188" fontId="25" fillId="13" borderId="19" xfId="17" applyNumberFormat="1" applyFont="1" applyFill="1" applyBorder="1">
      <alignment vertical="center"/>
    </xf>
    <xf numFmtId="0" fontId="28" fillId="13" borderId="9" xfId="0" applyFont="1" applyFill="1" applyBorder="1" applyAlignment="1">
      <alignment horizontal="center" vertical="center"/>
    </xf>
    <xf numFmtId="0" fontId="28" fillId="13" borderId="10" xfId="0" applyFont="1" applyFill="1" applyBorder="1" applyAlignment="1">
      <alignment horizontal="center" vertical="center"/>
    </xf>
    <xf numFmtId="187" fontId="25" fillId="13" borderId="46" xfId="0" applyNumberFormat="1" applyFont="1" applyFill="1" applyBorder="1" applyAlignment="1">
      <alignment horizontal="center" vertical="center"/>
    </xf>
    <xf numFmtId="188" fontId="25" fillId="13" borderId="47" xfId="17" applyNumberFormat="1" applyFont="1" applyFill="1" applyBorder="1">
      <alignment vertical="center"/>
    </xf>
    <xf numFmtId="188" fontId="25" fillId="13" borderId="48" xfId="17" applyNumberFormat="1" applyFont="1" applyFill="1" applyBorder="1">
      <alignment vertical="center"/>
    </xf>
    <xf numFmtId="178" fontId="25" fillId="13" borderId="48" xfId="0" applyNumberFormat="1" applyFont="1" applyFill="1" applyBorder="1" applyAlignment="1">
      <alignment vertical="center"/>
    </xf>
    <xf numFmtId="187" fontId="25" fillId="13" borderId="49" xfId="0" applyNumberFormat="1" applyFont="1" applyFill="1" applyBorder="1" applyAlignment="1">
      <alignment horizontal="center" vertical="center"/>
    </xf>
    <xf numFmtId="188" fontId="25" fillId="13" borderId="50" xfId="17" applyNumberFormat="1" applyFont="1" applyFill="1" applyBorder="1">
      <alignment vertical="center"/>
    </xf>
    <xf numFmtId="178" fontId="25" fillId="13" borderId="50" xfId="0" applyNumberFormat="1" applyFont="1" applyFill="1" applyBorder="1" applyAlignment="1">
      <alignment vertical="center"/>
    </xf>
    <xf numFmtId="187" fontId="25" fillId="13" borderId="51" xfId="0" applyNumberFormat="1" applyFont="1" applyFill="1" applyBorder="1" applyAlignment="1">
      <alignment horizontal="center" vertical="center"/>
    </xf>
    <xf numFmtId="188" fontId="25" fillId="13" borderId="52" xfId="17" applyNumberFormat="1" applyFont="1" applyFill="1" applyBorder="1">
      <alignment vertical="center"/>
    </xf>
    <xf numFmtId="188" fontId="25" fillId="13" borderId="53" xfId="17" applyNumberFormat="1" applyFont="1" applyFill="1" applyBorder="1">
      <alignment vertical="center"/>
    </xf>
    <xf numFmtId="178" fontId="25" fillId="13" borderId="53" xfId="0" applyNumberFormat="1" applyFont="1" applyFill="1" applyBorder="1" applyAlignment="1">
      <alignment vertical="center"/>
    </xf>
    <xf numFmtId="0" fontId="25" fillId="13" borderId="54" xfId="0" applyFont="1" applyFill="1" applyBorder="1" applyAlignment="1">
      <alignment horizontal="center" vertical="center"/>
    </xf>
    <xf numFmtId="188" fontId="25" fillId="13" borderId="55" xfId="0" applyNumberFormat="1" applyFont="1" applyFill="1" applyBorder="1" applyAlignment="1">
      <alignment vertical="center"/>
    </xf>
    <xf numFmtId="188" fontId="25" fillId="13" borderId="56" xfId="0" applyNumberFormat="1" applyFont="1" applyFill="1" applyBorder="1" applyAlignment="1">
      <alignment vertical="center"/>
    </xf>
    <xf numFmtId="0" fontId="25" fillId="13" borderId="49" xfId="0" applyFont="1" applyFill="1" applyBorder="1" applyAlignment="1">
      <alignment horizontal="center" vertical="center"/>
    </xf>
    <xf numFmtId="188" fontId="25" fillId="13" borderId="19" xfId="0" applyNumberFormat="1" applyFont="1" applyFill="1" applyBorder="1" applyAlignment="1">
      <alignment vertical="center"/>
    </xf>
    <xf numFmtId="188" fontId="25" fillId="13" borderId="50" xfId="0" applyNumberFormat="1" applyFont="1" applyFill="1" applyBorder="1" applyAlignment="1">
      <alignment vertical="center"/>
    </xf>
    <xf numFmtId="178" fontId="25" fillId="13" borderId="50" xfId="17" applyNumberFormat="1" applyFont="1" applyFill="1" applyBorder="1">
      <alignment vertical="center"/>
    </xf>
    <xf numFmtId="0" fontId="25" fillId="13" borderId="57" xfId="0" applyFont="1" applyFill="1" applyBorder="1" applyAlignment="1">
      <alignment horizontal="center" vertical="center"/>
    </xf>
    <xf numFmtId="188" fontId="25" fillId="13" borderId="21" xfId="0" applyNumberFormat="1" applyFont="1" applyFill="1" applyBorder="1" applyAlignment="1">
      <alignment vertical="center"/>
    </xf>
    <xf numFmtId="188" fontId="25" fillId="13" borderId="58" xfId="0" applyNumberFormat="1" applyFont="1" applyFill="1" applyBorder="1" applyAlignment="1">
      <alignment vertical="center"/>
    </xf>
    <xf numFmtId="178" fontId="25" fillId="13" borderId="58" xfId="17" applyNumberFormat="1" applyFont="1" applyFill="1" applyBorder="1">
      <alignment vertical="center"/>
    </xf>
    <xf numFmtId="188" fontId="25" fillId="13" borderId="19" xfId="17" applyNumberFormat="1" applyFont="1" applyFill="1" applyBorder="1" applyAlignment="1">
      <alignment horizontal="right" vertical="center"/>
    </xf>
    <xf numFmtId="178" fontId="28" fillId="13" borderId="54" xfId="17" applyNumberFormat="1" applyFont="1" applyFill="1" applyBorder="1" applyAlignment="1">
      <alignment horizontal="center" vertical="center"/>
    </xf>
    <xf numFmtId="178" fontId="28" fillId="13" borderId="55" xfId="17" applyNumberFormat="1" applyFont="1" applyFill="1" applyBorder="1" applyAlignment="1">
      <alignment horizontal="center" vertical="center"/>
    </xf>
    <xf numFmtId="178" fontId="28" fillId="13" borderId="56" xfId="17" applyNumberFormat="1" applyFont="1" applyFill="1" applyBorder="1" applyAlignment="1">
      <alignment horizontal="center" vertical="center"/>
    </xf>
    <xf numFmtId="178" fontId="28" fillId="13" borderId="59" xfId="17" applyNumberFormat="1" applyFont="1" applyFill="1" applyBorder="1" applyAlignment="1">
      <alignment horizontal="center" vertical="center"/>
    </xf>
    <xf numFmtId="187" fontId="25" fillId="13" borderId="49" xfId="17" applyNumberFormat="1" applyFont="1" applyFill="1" applyBorder="1" applyAlignment="1">
      <alignment horizontal="center" vertical="center"/>
    </xf>
    <xf numFmtId="188" fontId="25" fillId="13" borderId="50" xfId="17" applyNumberFormat="1" applyFont="1" applyFill="1" applyBorder="1" applyAlignment="1">
      <alignment horizontal="right" vertical="center"/>
    </xf>
    <xf numFmtId="178" fontId="25" fillId="13" borderId="20" xfId="17" applyNumberFormat="1" applyFont="1" applyFill="1" applyBorder="1">
      <alignment vertical="center"/>
    </xf>
    <xf numFmtId="187" fontId="25" fillId="13" borderId="57" xfId="17" applyNumberFormat="1" applyFont="1" applyFill="1" applyBorder="1" applyAlignment="1">
      <alignment horizontal="center" vertical="center"/>
    </xf>
    <xf numFmtId="188" fontId="25" fillId="13" borderId="21" xfId="17" applyNumberFormat="1" applyFont="1" applyFill="1" applyBorder="1" applyAlignment="1">
      <alignment horizontal="right" vertical="center"/>
    </xf>
    <xf numFmtId="188" fontId="25" fillId="13" borderId="58" xfId="17" applyNumberFormat="1" applyFont="1" applyFill="1" applyBorder="1" applyAlignment="1">
      <alignment horizontal="right" vertical="center"/>
    </xf>
    <xf numFmtId="178" fontId="25" fillId="13" borderId="23" xfId="17" applyNumberFormat="1" applyFont="1" applyFill="1" applyBorder="1">
      <alignment vertical="center"/>
    </xf>
    <xf numFmtId="178" fontId="25" fillId="13" borderId="67" xfId="17" applyNumberFormat="1" applyFont="1" applyFill="1" applyBorder="1" applyAlignment="1">
      <alignment horizontal="center" vertical="center"/>
    </xf>
    <xf numFmtId="177" fontId="25" fillId="13" borderId="69" xfId="17" applyNumberFormat="1" applyFont="1" applyFill="1" applyBorder="1">
      <alignment vertical="center"/>
    </xf>
    <xf numFmtId="177" fontId="25" fillId="13" borderId="68" xfId="17" applyNumberFormat="1" applyFont="1" applyFill="1" applyBorder="1">
      <alignment vertical="center"/>
    </xf>
    <xf numFmtId="178" fontId="25" fillId="13" borderId="22" xfId="17" applyNumberFormat="1" applyFont="1" applyFill="1" applyBorder="1">
      <alignment vertical="center"/>
    </xf>
    <xf numFmtId="178" fontId="25" fillId="13" borderId="68" xfId="17" applyNumberFormat="1" applyFont="1" applyFill="1" applyBorder="1">
      <alignment vertical="center"/>
    </xf>
    <xf numFmtId="178" fontId="25" fillId="13" borderId="49" xfId="17" applyNumberFormat="1" applyFont="1" applyFill="1" applyBorder="1" applyAlignment="1">
      <alignment horizontal="center" vertical="center"/>
    </xf>
    <xf numFmtId="177" fontId="25" fillId="13" borderId="19" xfId="17" applyNumberFormat="1" applyFont="1" applyFill="1" applyBorder="1">
      <alignment vertical="center"/>
    </xf>
    <xf numFmtId="177" fontId="25" fillId="13" borderId="50" xfId="17" applyNumberFormat="1" applyFont="1" applyFill="1" applyBorder="1">
      <alignment vertical="center"/>
    </xf>
    <xf numFmtId="178" fontId="25" fillId="13" borderId="57" xfId="17" applyNumberFormat="1" applyFont="1" applyFill="1" applyBorder="1" applyAlignment="1">
      <alignment horizontal="center" vertical="center"/>
    </xf>
    <xf numFmtId="177" fontId="25" fillId="13" borderId="21" xfId="17" applyNumberFormat="1" applyFont="1" applyFill="1" applyBorder="1">
      <alignment vertical="center"/>
    </xf>
    <xf numFmtId="177" fontId="25" fillId="13" borderId="58" xfId="17" applyNumberFormat="1" applyFont="1" applyFill="1" applyBorder="1">
      <alignment vertical="center"/>
    </xf>
    <xf numFmtId="0" fontId="41" fillId="0" borderId="0" xfId="0" applyFont="1"/>
    <xf numFmtId="0" fontId="42" fillId="25" borderId="41" xfId="18" applyFont="1" applyFill="1" applyBorder="1" applyAlignment="1">
      <alignment horizontal="center" vertical="center" wrapText="1"/>
    </xf>
    <xf numFmtId="182" fontId="42" fillId="26" borderId="40" xfId="18" applyNumberFormat="1" applyFont="1" applyFill="1" applyBorder="1" applyAlignment="1">
      <alignment horizontal="center" vertical="center" wrapText="1"/>
    </xf>
    <xf numFmtId="0" fontId="28" fillId="13" borderId="29" xfId="0" applyFont="1" applyFill="1" applyBorder="1" applyAlignment="1">
      <alignment horizontal="center" vertical="center"/>
    </xf>
    <xf numFmtId="178" fontId="25" fillId="13" borderId="98" xfId="0" applyNumberFormat="1" applyFont="1" applyFill="1" applyBorder="1" applyAlignment="1">
      <alignment vertical="center"/>
    </xf>
    <xf numFmtId="178" fontId="25" fillId="13" borderId="20" xfId="0" applyNumberFormat="1" applyFont="1" applyFill="1" applyBorder="1" applyAlignment="1">
      <alignment vertical="center"/>
    </xf>
    <xf numFmtId="178" fontId="25" fillId="13" borderId="60" xfId="0" applyNumberFormat="1" applyFont="1" applyFill="1" applyBorder="1" applyAlignment="1">
      <alignment vertical="center"/>
    </xf>
    <xf numFmtId="188" fontId="25" fillId="13" borderId="59" xfId="0" applyNumberFormat="1" applyFont="1" applyFill="1" applyBorder="1" applyAlignment="1">
      <alignment vertical="center"/>
    </xf>
    <xf numFmtId="0" fontId="25" fillId="16" borderId="99" xfId="0" applyFont="1" applyFill="1" applyBorder="1" applyAlignment="1">
      <alignment horizontal="center" vertical="center"/>
    </xf>
    <xf numFmtId="0" fontId="25" fillId="16" borderId="100" xfId="0" applyFont="1" applyFill="1" applyBorder="1" applyAlignment="1">
      <alignment horizontal="center" vertical="center"/>
    </xf>
    <xf numFmtId="0" fontId="25" fillId="16" borderId="101" xfId="0" applyFont="1" applyFill="1" applyBorder="1" applyAlignment="1">
      <alignment horizontal="center" vertical="center"/>
    </xf>
    <xf numFmtId="0" fontId="25" fillId="0" borderId="83" xfId="0" applyFont="1" applyBorder="1" applyAlignment="1">
      <alignment horizontal="center" vertical="center"/>
    </xf>
    <xf numFmtId="173" fontId="25" fillId="0" borderId="84" xfId="0" applyNumberFormat="1" applyFont="1" applyBorder="1" applyAlignment="1">
      <alignment horizontal="center" vertical="center"/>
    </xf>
    <xf numFmtId="181" fontId="25" fillId="0" borderId="85" xfId="0" applyNumberFormat="1" applyFont="1" applyBorder="1" applyAlignment="1">
      <alignment horizontal="center" vertical="center"/>
    </xf>
    <xf numFmtId="0" fontId="25" fillId="16" borderId="83" xfId="0" applyFont="1" applyFill="1" applyBorder="1" applyAlignment="1">
      <alignment horizontal="center" vertical="center"/>
    </xf>
    <xf numFmtId="0" fontId="25" fillId="16" borderId="84" xfId="0" applyFont="1" applyFill="1" applyBorder="1" applyAlignment="1">
      <alignment horizontal="center" vertical="center"/>
    </xf>
    <xf numFmtId="0" fontId="25" fillId="16" borderId="85" xfId="0" applyFont="1" applyFill="1" applyBorder="1" applyAlignment="1">
      <alignment horizontal="center" vertical="center"/>
    </xf>
    <xf numFmtId="2" fontId="25" fillId="16" borderId="85" xfId="0" applyNumberFormat="1" applyFont="1" applyFill="1" applyBorder="1" applyAlignment="1">
      <alignment horizontal="center" vertical="center"/>
    </xf>
    <xf numFmtId="0" fontId="25" fillId="16" borderId="86" xfId="0" applyFont="1" applyFill="1" applyBorder="1" applyAlignment="1">
      <alignment horizontal="center" vertical="center"/>
    </xf>
    <xf numFmtId="0" fontId="25" fillId="16" borderId="87" xfId="0" applyFont="1" applyFill="1" applyBorder="1" applyAlignment="1">
      <alignment horizontal="center" vertical="center"/>
    </xf>
    <xf numFmtId="0" fontId="25" fillId="16" borderId="88" xfId="0" applyFont="1" applyFill="1" applyBorder="1" applyAlignment="1">
      <alignment horizontal="center" vertical="center"/>
    </xf>
    <xf numFmtId="175" fontId="25" fillId="0" borderId="83" xfId="0" applyNumberFormat="1" applyFont="1" applyBorder="1" applyAlignment="1">
      <alignment horizontal="center" vertical="center"/>
    </xf>
    <xf numFmtId="0" fontId="43" fillId="25" borderId="0" xfId="18" applyFont="1" applyFill="1" applyAlignment="1">
      <alignment horizontal="center" vertical="center"/>
    </xf>
    <xf numFmtId="0" fontId="30" fillId="0" borderId="21" xfId="24" applyFont="1" applyBorder="1" applyAlignment="1">
      <alignment horizontal="center" vertical="center"/>
    </xf>
    <xf numFmtId="0" fontId="18" fillId="0" borderId="58" xfId="17" applyNumberFormat="1" applyFont="1" applyBorder="1" applyAlignment="1">
      <alignment horizontal="center" vertical="center"/>
    </xf>
    <xf numFmtId="0" fontId="34" fillId="0" borderId="0" xfId="0" applyFont="1" applyAlignment="1">
      <alignment horizontal="center" vertical="center"/>
    </xf>
    <xf numFmtId="0" fontId="25" fillId="4" borderId="102" xfId="0" applyFont="1" applyFill="1" applyBorder="1" applyAlignment="1">
      <alignment horizontal="center" vertical="center"/>
    </xf>
    <xf numFmtId="180" fontId="25" fillId="4" borderId="103" xfId="0" applyNumberFormat="1" applyFont="1" applyFill="1" applyBorder="1" applyAlignment="1">
      <alignment horizontal="center" vertical="center"/>
    </xf>
    <xf numFmtId="0" fontId="25" fillId="4" borderId="104" xfId="0" applyFont="1" applyFill="1" applyBorder="1" applyAlignment="1">
      <alignment horizontal="center" vertical="center"/>
    </xf>
    <xf numFmtId="173" fontId="25" fillId="4" borderId="105" xfId="0" applyNumberFormat="1" applyFont="1" applyFill="1" applyBorder="1" applyAlignment="1">
      <alignment horizontal="center" vertical="center"/>
    </xf>
    <xf numFmtId="0" fontId="18" fillId="4" borderId="102" xfId="0" applyFont="1" applyFill="1" applyBorder="1" applyAlignment="1">
      <alignment horizontal="center" vertical="center"/>
    </xf>
    <xf numFmtId="180" fontId="18" fillId="4" borderId="103" xfId="0" applyNumberFormat="1" applyFont="1" applyFill="1" applyBorder="1" applyAlignment="1">
      <alignment horizontal="center" vertical="center"/>
    </xf>
    <xf numFmtId="10" fontId="36" fillId="23" borderId="9" xfId="16" applyNumberFormat="1" applyFont="1" applyFill="1" applyBorder="1">
      <alignment vertical="center"/>
    </xf>
    <xf numFmtId="10" fontId="36" fillId="23" borderId="10" xfId="16" applyNumberFormat="1" applyFont="1" applyFill="1" applyBorder="1">
      <alignment vertical="center"/>
    </xf>
    <xf numFmtId="10" fontId="36" fillId="24" borderId="9" xfId="16" applyNumberFormat="1" applyFont="1" applyFill="1" applyBorder="1">
      <alignment vertical="center"/>
    </xf>
    <xf numFmtId="10" fontId="36" fillId="24" borderId="10" xfId="16" applyNumberFormat="1" applyFont="1" applyFill="1" applyBorder="1">
      <alignment vertical="center"/>
    </xf>
    <xf numFmtId="10" fontId="36" fillId="20" borderId="9" xfId="16" applyNumberFormat="1" applyFont="1" applyFill="1" applyBorder="1">
      <alignment vertical="center"/>
    </xf>
    <xf numFmtId="10" fontId="36" fillId="20" borderId="10" xfId="16" applyNumberFormat="1" applyFont="1" applyFill="1" applyBorder="1">
      <alignment vertical="center"/>
    </xf>
    <xf numFmtId="0" fontId="17" fillId="0" borderId="32" xfId="18" applyFont="1" applyBorder="1" applyAlignment="1">
      <alignment horizontal="center" vertical="center" wrapText="1"/>
    </xf>
    <xf numFmtId="0" fontId="15" fillId="0" borderId="36" xfId="18" applyFont="1" applyBorder="1" applyAlignment="1">
      <alignment horizontal="center" vertical="center"/>
    </xf>
    <xf numFmtId="0" fontId="15" fillId="0" borderId="17" xfId="18" applyFont="1" applyBorder="1" applyAlignment="1">
      <alignment horizontal="center" vertical="center"/>
    </xf>
    <xf numFmtId="0" fontId="28" fillId="31" borderId="35" xfId="18" applyFont="1" applyFill="1" applyBorder="1" applyAlignment="1">
      <alignment horizontal="center" vertical="center"/>
    </xf>
    <xf numFmtId="184" fontId="36" fillId="27" borderId="50" xfId="16" applyNumberFormat="1" applyFont="1" applyFill="1" applyBorder="1" applyAlignment="1">
      <alignment horizontal="center" vertical="center"/>
    </xf>
    <xf numFmtId="184" fontId="18" fillId="28" borderId="0" xfId="16" applyNumberFormat="1" applyFont="1" applyFill="1">
      <alignment vertical="center"/>
    </xf>
    <xf numFmtId="187" fontId="28" fillId="32" borderId="0" xfId="0" applyNumberFormat="1" applyFont="1" applyFill="1" applyAlignment="1">
      <alignment horizontal="center" vertical="center"/>
    </xf>
    <xf numFmtId="10" fontId="34" fillId="0" borderId="0" xfId="0" applyNumberFormat="1" applyFont="1" applyAlignment="1">
      <alignment horizontal="center" vertical="center"/>
    </xf>
    <xf numFmtId="0" fontId="34" fillId="0" borderId="0" xfId="0" applyFont="1"/>
    <xf numFmtId="0" fontId="34" fillId="0" borderId="112" xfId="0" applyFont="1" applyBorder="1" applyAlignment="1">
      <alignment horizontal="center" vertical="center"/>
    </xf>
    <xf numFmtId="0" fontId="34" fillId="0" borderId="113" xfId="0" applyFont="1" applyBorder="1" applyAlignment="1">
      <alignment horizontal="center" vertical="center"/>
    </xf>
    <xf numFmtId="17" fontId="34" fillId="0" borderId="113" xfId="0" applyNumberFormat="1" applyFont="1" applyBorder="1" applyAlignment="1">
      <alignment horizontal="center" vertical="center"/>
    </xf>
    <xf numFmtId="0" fontId="15" fillId="0" borderId="113" xfId="0" applyFont="1" applyBorder="1" applyAlignment="1">
      <alignment horizontal="center" vertical="center" wrapText="1"/>
    </xf>
    <xf numFmtId="0" fontId="15" fillId="0" borderId="113" xfId="0" applyFont="1" applyBorder="1" applyAlignment="1">
      <alignment horizontal="center" vertical="center"/>
    </xf>
    <xf numFmtId="190" fontId="25" fillId="0" borderId="0" xfId="0" applyNumberFormat="1" applyFont="1" applyAlignment="1">
      <alignment horizontal="center" vertical="center"/>
    </xf>
    <xf numFmtId="189" fontId="25" fillId="0" borderId="0" xfId="25" applyNumberFormat="1" applyFont="1" applyAlignment="1">
      <alignment horizontal="center" vertical="center"/>
    </xf>
    <xf numFmtId="0" fontId="42" fillId="23" borderId="14" xfId="16" applyFont="1" applyFill="1" applyBorder="1" applyAlignment="1">
      <alignment horizontal="center" vertical="center"/>
    </xf>
    <xf numFmtId="0" fontId="42" fillId="23" borderId="71" xfId="16" applyFont="1" applyFill="1" applyBorder="1" applyAlignment="1">
      <alignment horizontal="center" vertical="center"/>
    </xf>
    <xf numFmtId="190" fontId="42" fillId="23" borderId="71" xfId="16" applyNumberFormat="1" applyFont="1" applyFill="1" applyBorder="1" applyAlignment="1">
      <alignment horizontal="center" vertical="center"/>
    </xf>
    <xf numFmtId="189" fontId="42" fillId="23" borderId="16" xfId="25" applyNumberFormat="1" applyFont="1" applyFill="1" applyBorder="1" applyAlignment="1">
      <alignment horizontal="center" vertical="center"/>
    </xf>
    <xf numFmtId="189" fontId="42" fillId="23" borderId="90" xfId="25" applyNumberFormat="1" applyFont="1" applyFill="1" applyBorder="1" applyAlignment="1">
      <alignment horizontal="center" vertical="center"/>
    </xf>
    <xf numFmtId="189" fontId="42" fillId="23" borderId="91" xfId="25" applyNumberFormat="1" applyFont="1" applyFill="1" applyBorder="1" applyAlignment="1">
      <alignment horizontal="center" vertical="center"/>
    </xf>
    <xf numFmtId="189" fontId="42" fillId="23" borderId="92" xfId="25" applyNumberFormat="1" applyFont="1" applyFill="1" applyBorder="1" applyAlignment="1">
      <alignment horizontal="center" vertical="center"/>
    </xf>
    <xf numFmtId="0" fontId="42" fillId="23" borderId="90" xfId="16" applyFont="1" applyFill="1" applyBorder="1" applyAlignment="1">
      <alignment horizontal="center" vertical="center"/>
    </xf>
    <xf numFmtId="189" fontId="42" fillId="23" borderId="71" xfId="25" applyNumberFormat="1" applyFont="1" applyFill="1" applyBorder="1" applyAlignment="1">
      <alignment horizontal="center" vertical="center"/>
    </xf>
    <xf numFmtId="0" fontId="25" fillId="0" borderId="77" xfId="0" applyFont="1" applyBorder="1" applyAlignment="1">
      <alignment horizontal="center" vertical="center"/>
    </xf>
    <xf numFmtId="189" fontId="25" fillId="0" borderId="79" xfId="25" applyNumberFormat="1" applyFont="1" applyBorder="1" applyAlignment="1">
      <alignment horizontal="center" vertical="center"/>
    </xf>
    <xf numFmtId="189" fontId="42" fillId="23" borderId="93" xfId="25" applyNumberFormat="1" applyFont="1" applyFill="1" applyBorder="1" applyAlignment="1">
      <alignment horizontal="center" vertical="center"/>
    </xf>
    <xf numFmtId="189" fontId="18" fillId="0" borderId="89" xfId="25" applyNumberFormat="1" applyFont="1" applyBorder="1" applyAlignment="1">
      <alignment horizontal="center" vertical="center"/>
    </xf>
    <xf numFmtId="189" fontId="18" fillId="0" borderId="94" xfId="25" applyNumberFormat="1" applyFont="1" applyBorder="1" applyAlignment="1">
      <alignment horizontal="center" vertical="center"/>
    </xf>
    <xf numFmtId="189" fontId="18" fillId="0" borderId="109" xfId="25" applyNumberFormat="1" applyFont="1" applyBorder="1" applyAlignment="1">
      <alignment horizontal="center" vertical="center"/>
    </xf>
    <xf numFmtId="0" fontId="18" fillId="0" borderId="89" xfId="25" applyNumberFormat="1" applyFont="1" applyBorder="1" applyAlignment="1">
      <alignment horizontal="center" vertical="center"/>
    </xf>
    <xf numFmtId="0" fontId="18" fillId="0" borderId="94" xfId="25" applyNumberFormat="1" applyFont="1" applyBorder="1" applyAlignment="1">
      <alignment horizontal="center" vertical="center"/>
    </xf>
    <xf numFmtId="190" fontId="18" fillId="0" borderId="89" xfId="0" applyNumberFormat="1" applyFont="1" applyBorder="1" applyAlignment="1">
      <alignment horizontal="center" vertical="center"/>
    </xf>
    <xf numFmtId="190" fontId="18" fillId="0" borderId="94" xfId="0" applyNumberFormat="1" applyFont="1" applyBorder="1" applyAlignment="1">
      <alignment horizontal="center" vertical="center"/>
    </xf>
    <xf numFmtId="189" fontId="42" fillId="23" borderId="95" xfId="25" applyNumberFormat="1" applyFont="1" applyFill="1" applyBorder="1" applyAlignment="1">
      <alignment horizontal="center" vertical="center"/>
    </xf>
    <xf numFmtId="0" fontId="18" fillId="0" borderId="96" xfId="0" applyFont="1" applyBorder="1" applyAlignment="1">
      <alignment horizontal="center" vertical="center"/>
    </xf>
    <xf numFmtId="0" fontId="18" fillId="0" borderId="97" xfId="0" applyFont="1" applyBorder="1" applyAlignment="1">
      <alignment horizontal="center" vertical="center"/>
    </xf>
    <xf numFmtId="0" fontId="25" fillId="0" borderId="79" xfId="0" applyFont="1" applyBorder="1" applyAlignment="1">
      <alignment horizontal="center" vertical="center"/>
    </xf>
    <xf numFmtId="0" fontId="25" fillId="0" borderId="78" xfId="0" applyFont="1" applyBorder="1" applyAlignment="1">
      <alignment horizontal="center" vertical="center"/>
    </xf>
    <xf numFmtId="0" fontId="25" fillId="0" borderId="72" xfId="0" applyFont="1" applyBorder="1" applyAlignment="1">
      <alignment horizontal="center" vertical="center"/>
    </xf>
    <xf numFmtId="190" fontId="25" fillId="0" borderId="72" xfId="0" applyNumberFormat="1" applyFont="1" applyBorder="1" applyAlignment="1">
      <alignment horizontal="center" vertical="center"/>
    </xf>
    <xf numFmtId="189" fontId="25" fillId="0" borderId="17" xfId="25" applyNumberFormat="1" applyFont="1" applyBorder="1" applyAlignment="1">
      <alignment horizontal="center" vertical="center"/>
    </xf>
    <xf numFmtId="0" fontId="25" fillId="0" borderId="17" xfId="0" applyFont="1" applyBorder="1" applyAlignment="1">
      <alignment horizontal="center" vertical="center"/>
    </xf>
    <xf numFmtId="190" fontId="18" fillId="29" borderId="89" xfId="0" applyNumberFormat="1" applyFont="1" applyFill="1" applyBorder="1" applyAlignment="1">
      <alignment horizontal="center" vertical="center"/>
    </xf>
    <xf numFmtId="0" fontId="18" fillId="29" borderId="89" xfId="0" applyFont="1" applyFill="1" applyBorder="1" applyAlignment="1">
      <alignment horizontal="center" vertical="center"/>
    </xf>
    <xf numFmtId="0" fontId="18" fillId="0" borderId="89" xfId="0" applyFont="1" applyBorder="1" applyAlignment="1">
      <alignment horizontal="center" vertical="center"/>
    </xf>
    <xf numFmtId="0" fontId="28" fillId="0" borderId="40" xfId="0" applyFont="1" applyBorder="1" applyAlignment="1">
      <alignment horizontal="center" vertical="center"/>
    </xf>
    <xf numFmtId="0" fontId="25" fillId="0" borderId="2" xfId="0" applyFont="1" applyBorder="1" applyAlignment="1">
      <alignment horizontal="center" vertical="center"/>
    </xf>
    <xf numFmtId="190" fontId="25" fillId="0" borderId="36" xfId="0" applyNumberFormat="1" applyFont="1" applyBorder="1" applyAlignment="1">
      <alignment horizontal="center" vertical="center"/>
    </xf>
    <xf numFmtId="0" fontId="25" fillId="0" borderId="108" xfId="0" applyFont="1" applyBorder="1" applyAlignment="1">
      <alignment horizontal="center" vertical="center"/>
    </xf>
    <xf numFmtId="0" fontId="25" fillId="0" borderId="18" xfId="0" applyFont="1" applyBorder="1" applyAlignment="1">
      <alignment horizontal="center" vertical="center"/>
    </xf>
    <xf numFmtId="0" fontId="28" fillId="0" borderId="0" xfId="0" applyFont="1" applyAlignment="1">
      <alignment horizontal="left" vertical="center"/>
    </xf>
    <xf numFmtId="0" fontId="28" fillId="30" borderId="108" xfId="0" applyFont="1" applyFill="1" applyBorder="1" applyAlignment="1">
      <alignment horizontal="center" vertical="center"/>
    </xf>
    <xf numFmtId="0" fontId="28" fillId="30" borderId="71" xfId="0" applyFont="1" applyFill="1" applyBorder="1" applyAlignment="1">
      <alignment horizontal="center" vertical="center"/>
    </xf>
    <xf numFmtId="0" fontId="28" fillId="30" borderId="16" xfId="0" applyFont="1" applyFill="1" applyBorder="1" applyAlignment="1">
      <alignment horizontal="center" vertical="center"/>
    </xf>
    <xf numFmtId="0" fontId="28" fillId="30" borderId="14" xfId="0" applyFont="1" applyFill="1" applyBorder="1" applyAlignment="1">
      <alignment horizontal="center" vertical="center"/>
    </xf>
    <xf numFmtId="0" fontId="25" fillId="0" borderId="106" xfId="0" applyFont="1" applyBorder="1" applyAlignment="1">
      <alignment horizontal="center" vertical="center"/>
    </xf>
    <xf numFmtId="2" fontId="25" fillId="0" borderId="79" xfId="0" applyNumberFormat="1" applyFont="1" applyBorder="1" applyAlignment="1">
      <alignment horizontal="center" vertical="center"/>
    </xf>
    <xf numFmtId="2" fontId="25" fillId="0" borderId="77" xfId="0" applyNumberFormat="1" applyFont="1" applyBorder="1" applyAlignment="1">
      <alignment horizontal="center" vertical="center"/>
    </xf>
    <xf numFmtId="2" fontId="25" fillId="0" borderId="0" xfId="0" applyNumberFormat="1" applyFont="1" applyAlignment="1">
      <alignment horizontal="center" vertical="center"/>
    </xf>
    <xf numFmtId="2" fontId="25" fillId="0" borderId="17" xfId="0" applyNumberFormat="1" applyFont="1" applyBorder="1" applyAlignment="1">
      <alignment horizontal="center" vertical="center"/>
    </xf>
    <xf numFmtId="2" fontId="25" fillId="0" borderId="72" xfId="0" applyNumberFormat="1" applyFont="1" applyBorder="1" applyAlignment="1">
      <alignment horizontal="center" vertical="center"/>
    </xf>
    <xf numFmtId="189" fontId="25" fillId="0" borderId="0" xfId="25" applyNumberFormat="1" applyFont="1" applyAlignment="1">
      <alignment horizontal="center"/>
    </xf>
    <xf numFmtId="190" fontId="25" fillId="0" borderId="0" xfId="0" applyNumberFormat="1" applyFont="1" applyAlignment="1">
      <alignment horizontal="center"/>
    </xf>
    <xf numFmtId="0" fontId="25" fillId="0" borderId="0" xfId="0" applyFont="1" applyAlignment="1">
      <alignment horizontal="left" vertical="center"/>
    </xf>
    <xf numFmtId="189" fontId="25" fillId="0" borderId="0" xfId="25" applyNumberFormat="1" applyFont="1" applyAlignment="1">
      <alignment horizontal="left" vertical="center"/>
    </xf>
    <xf numFmtId="2" fontId="25" fillId="0" borderId="0" xfId="0" applyNumberFormat="1" applyFont="1" applyAlignment="1">
      <alignment horizontal="left" vertical="center"/>
    </xf>
    <xf numFmtId="0" fontId="28" fillId="21" borderId="35" xfId="0" applyFont="1" applyFill="1" applyBorder="1" applyAlignment="1">
      <alignment horizontal="center" vertical="center"/>
    </xf>
    <xf numFmtId="0" fontId="28" fillId="0" borderId="106" xfId="0" applyFont="1" applyBorder="1" applyAlignment="1">
      <alignment horizontal="center" vertical="center"/>
    </xf>
    <xf numFmtId="0" fontId="25" fillId="0" borderId="79" xfId="0" applyFont="1" applyBorder="1"/>
    <xf numFmtId="0" fontId="28" fillId="0" borderId="18" xfId="0" applyFont="1" applyBorder="1" applyAlignment="1">
      <alignment horizontal="center" vertical="center"/>
    </xf>
    <xf numFmtId="0" fontId="25" fillId="0" borderId="72" xfId="0" applyFont="1" applyBorder="1"/>
    <xf numFmtId="0" fontId="25" fillId="0" borderId="17" xfId="0" applyFont="1" applyBorder="1"/>
    <xf numFmtId="2" fontId="25" fillId="0" borderId="0" xfId="0" applyNumberFormat="1" applyFont="1"/>
    <xf numFmtId="0" fontId="28" fillId="9" borderId="40" xfId="0" applyFont="1" applyFill="1" applyBorder="1" applyAlignment="1">
      <alignment horizontal="center" vertical="center"/>
    </xf>
    <xf numFmtId="0" fontId="28" fillId="9" borderId="35" xfId="0" applyFont="1" applyFill="1" applyBorder="1" applyAlignment="1">
      <alignment horizontal="center" vertical="center"/>
    </xf>
    <xf numFmtId="0" fontId="28" fillId="9" borderId="36" xfId="0" applyFont="1" applyFill="1" applyBorder="1" applyAlignment="1">
      <alignment horizontal="center" vertical="center"/>
    </xf>
    <xf numFmtId="2" fontId="28" fillId="9" borderId="35" xfId="0" applyNumberFormat="1" applyFont="1" applyFill="1" applyBorder="1" applyAlignment="1">
      <alignment horizontal="center" vertical="center"/>
    </xf>
    <xf numFmtId="0" fontId="25" fillId="0" borderId="16" xfId="0" applyFont="1" applyBorder="1" applyAlignment="1">
      <alignment horizontal="center" vertical="center"/>
    </xf>
    <xf numFmtId="2" fontId="25" fillId="0" borderId="106" xfId="0" applyNumberFormat="1" applyFont="1" applyBorder="1" applyAlignment="1">
      <alignment horizontal="center" vertical="center"/>
    </xf>
    <xf numFmtId="0" fontId="28" fillId="21" borderId="2" xfId="0" applyFont="1" applyFill="1" applyBorder="1" applyAlignment="1">
      <alignment horizontal="center" vertical="center"/>
    </xf>
    <xf numFmtId="190" fontId="28" fillId="21" borderId="2" xfId="0" applyNumberFormat="1" applyFont="1" applyFill="1" applyBorder="1" applyAlignment="1">
      <alignment horizontal="center" vertical="center"/>
    </xf>
    <xf numFmtId="189" fontId="28" fillId="21" borderId="2" xfId="25" applyNumberFormat="1" applyFont="1" applyFill="1" applyBorder="1" applyAlignment="1">
      <alignment horizontal="center" vertical="center"/>
    </xf>
    <xf numFmtId="0" fontId="28" fillId="21" borderId="36" xfId="0" applyFont="1" applyFill="1" applyBorder="1" applyAlignment="1">
      <alignment horizontal="center" vertical="center"/>
    </xf>
    <xf numFmtId="2" fontId="28" fillId="0" borderId="0" xfId="0" applyNumberFormat="1" applyFont="1" applyAlignment="1">
      <alignment horizontal="center" vertical="center"/>
    </xf>
    <xf numFmtId="0" fontId="28" fillId="0" borderId="0" xfId="0" applyFont="1" applyAlignment="1">
      <alignment vertical="center"/>
    </xf>
    <xf numFmtId="0" fontId="28" fillId="9" borderId="2" xfId="0" applyFont="1" applyFill="1" applyBorder="1" applyAlignment="1">
      <alignment horizontal="center" vertical="center"/>
    </xf>
    <xf numFmtId="0" fontId="15" fillId="3" borderId="28" xfId="18" applyFont="1" applyFill="1" applyBorder="1" applyAlignment="1">
      <alignment horizontal="center" vertical="center"/>
    </xf>
    <xf numFmtId="0" fontId="15" fillId="3" borderId="31" xfId="18" applyFont="1" applyFill="1" applyBorder="1" applyAlignment="1">
      <alignment horizontal="center" vertical="center"/>
    </xf>
    <xf numFmtId="0" fontId="19" fillId="3" borderId="31" xfId="18" applyFont="1" applyFill="1" applyBorder="1" applyAlignment="1">
      <alignment horizontal="center" vertical="center"/>
    </xf>
    <xf numFmtId="0" fontId="15" fillId="0" borderId="31" xfId="18" applyFont="1" applyBorder="1" applyAlignment="1">
      <alignment horizontal="center" vertical="center"/>
    </xf>
    <xf numFmtId="0" fontId="19" fillId="9" borderId="31" xfId="18" applyFont="1" applyFill="1" applyBorder="1" applyAlignment="1">
      <alignment horizontal="center" vertical="center"/>
    </xf>
    <xf numFmtId="0" fontId="15" fillId="13" borderId="31" xfId="18" applyFont="1" applyFill="1" applyBorder="1" applyAlignment="1">
      <alignment horizontal="center" vertical="center"/>
    </xf>
    <xf numFmtId="0" fontId="15" fillId="10" borderId="31" xfId="18" applyFont="1" applyFill="1" applyBorder="1" applyAlignment="1">
      <alignment horizontal="center" vertical="center"/>
    </xf>
    <xf numFmtId="0" fontId="15" fillId="0" borderId="32" xfId="18" applyFont="1" applyBorder="1" applyAlignment="1">
      <alignment horizontal="center" vertical="center"/>
    </xf>
    <xf numFmtId="0" fontId="15" fillId="3" borderId="107" xfId="18" applyFont="1" applyFill="1" applyBorder="1" applyAlignment="1">
      <alignment horizontal="center" vertical="center"/>
    </xf>
    <xf numFmtId="0" fontId="15" fillId="3" borderId="32" xfId="18" applyFont="1" applyFill="1" applyBorder="1" applyAlignment="1">
      <alignment horizontal="center" vertical="center"/>
    </xf>
    <xf numFmtId="0" fontId="15" fillId="10" borderId="36" xfId="18" applyFont="1" applyFill="1" applyBorder="1" applyAlignment="1">
      <alignment horizontal="center" vertical="center"/>
    </xf>
    <xf numFmtId="0" fontId="34" fillId="0" borderId="118" xfId="0" applyFont="1" applyBorder="1" applyAlignment="1">
      <alignment horizontal="center" vertical="center"/>
    </xf>
    <xf numFmtId="0" fontId="34" fillId="0" borderId="119" xfId="0" applyFont="1" applyBorder="1" applyAlignment="1">
      <alignment horizontal="center" vertical="center"/>
    </xf>
    <xf numFmtId="0" fontId="34" fillId="0" borderId="120" xfId="0" applyFont="1" applyBorder="1" applyAlignment="1">
      <alignment horizontal="center" vertical="center"/>
    </xf>
    <xf numFmtId="0" fontId="34" fillId="0" borderId="121" xfId="0" applyFont="1" applyBorder="1" applyAlignment="1">
      <alignment horizontal="center" vertical="center"/>
    </xf>
    <xf numFmtId="0" fontId="34" fillId="0" borderId="110" xfId="0" applyFont="1" applyBorder="1" applyAlignment="1">
      <alignment horizontal="center" vertical="center"/>
    </xf>
    <xf numFmtId="0" fontId="34" fillId="0" borderId="111" xfId="0" applyFont="1" applyBorder="1" applyAlignment="1">
      <alignment horizontal="center" vertical="center"/>
    </xf>
    <xf numFmtId="17" fontId="34" fillId="0" borderId="111" xfId="0" applyNumberFormat="1" applyFont="1" applyBorder="1" applyAlignment="1">
      <alignment horizontal="center" vertical="center"/>
    </xf>
    <xf numFmtId="0" fontId="15" fillId="0" borderId="111" xfId="0" applyFont="1" applyBorder="1" applyAlignment="1">
      <alignment horizontal="center" vertical="center" wrapText="1"/>
    </xf>
    <xf numFmtId="0" fontId="15" fillId="0" borderId="111" xfId="0" applyFont="1" applyBorder="1" applyAlignment="1">
      <alignment horizontal="center" vertical="center"/>
    </xf>
    <xf numFmtId="0" fontId="15" fillId="0" borderId="0" xfId="18" applyFont="1" applyAlignment="1">
      <alignment horizontal="left" vertical="center"/>
    </xf>
    <xf numFmtId="0" fontId="25" fillId="0" borderId="106" xfId="0" applyFont="1" applyBorder="1" applyAlignment="1">
      <alignment vertical="center"/>
    </xf>
    <xf numFmtId="182" fontId="25" fillId="0" borderId="106" xfId="0" applyNumberFormat="1" applyFont="1" applyBorder="1" applyAlignment="1">
      <alignment vertical="center"/>
    </xf>
    <xf numFmtId="0" fontId="25" fillId="0" borderId="18" xfId="0" applyFont="1" applyBorder="1" applyAlignment="1">
      <alignment vertical="center"/>
    </xf>
    <xf numFmtId="0" fontId="25" fillId="0" borderId="79" xfId="0" applyFont="1" applyBorder="1" applyAlignment="1">
      <alignment vertical="center"/>
    </xf>
    <xf numFmtId="0" fontId="25" fillId="0" borderId="17" xfId="0" applyFont="1" applyBorder="1" applyAlignment="1">
      <alignment vertical="center"/>
    </xf>
    <xf numFmtId="0" fontId="0" fillId="0" borderId="0" xfId="0" applyAlignment="1">
      <alignment horizontal="center" vertical="center"/>
    </xf>
    <xf numFmtId="0" fontId="45" fillId="0" borderId="0" xfId="0" applyFont="1" applyAlignment="1">
      <alignment horizontal="center" vertical="center"/>
    </xf>
    <xf numFmtId="0" fontId="45" fillId="0" borderId="0" xfId="0" applyFont="1" applyAlignment="1">
      <alignment horizontal="left" vertical="center"/>
    </xf>
    <xf numFmtId="0" fontId="25" fillId="10" borderId="122" xfId="0" applyFont="1" applyFill="1" applyBorder="1" applyAlignment="1">
      <alignment horizontal="center" vertical="center"/>
    </xf>
    <xf numFmtId="0" fontId="34" fillId="0" borderId="111" xfId="20" applyNumberFormat="1" applyFont="1" applyBorder="1" applyAlignment="1" applyProtection="1">
      <alignment horizontal="center" vertical="center"/>
      <protection locked="0"/>
    </xf>
    <xf numFmtId="0" fontId="34" fillId="0" borderId="113" xfId="20" applyNumberFormat="1" applyFont="1" applyBorder="1" applyAlignment="1" applyProtection="1">
      <alignment horizontal="center" vertical="center"/>
      <protection locked="0"/>
    </xf>
    <xf numFmtId="0" fontId="46" fillId="0" borderId="0" xfId="0" applyFont="1" applyAlignment="1">
      <alignment horizontal="center" vertical="center"/>
    </xf>
    <xf numFmtId="0" fontId="28" fillId="16" borderId="8" xfId="0" applyFont="1" applyFill="1" applyBorder="1" applyAlignment="1">
      <alignment horizontal="center" vertical="center"/>
    </xf>
    <xf numFmtId="0" fontId="28" fillId="16" borderId="9" xfId="0" applyFont="1" applyFill="1" applyBorder="1" applyAlignment="1">
      <alignment horizontal="center" vertical="center" wrapText="1"/>
    </xf>
    <xf numFmtId="0" fontId="28" fillId="16" borderId="10" xfId="0" applyFont="1" applyFill="1" applyBorder="1" applyAlignment="1">
      <alignment horizontal="center" vertical="center" wrapText="1"/>
    </xf>
    <xf numFmtId="3" fontId="46" fillId="0" borderId="24" xfId="20" applyNumberFormat="1" applyFont="1" applyBorder="1" applyAlignment="1">
      <alignment horizontal="center" vertical="center"/>
    </xf>
    <xf numFmtId="191" fontId="46" fillId="0" borderId="25" xfId="0" applyNumberFormat="1" applyFont="1" applyBorder="1" applyAlignment="1">
      <alignment horizontal="center" vertical="center"/>
    </xf>
    <xf numFmtId="9" fontId="46" fillId="0" borderId="25" xfId="0" applyNumberFormat="1" applyFont="1" applyBorder="1" applyAlignment="1">
      <alignment horizontal="center" vertical="center"/>
    </xf>
    <xf numFmtId="0" fontId="46" fillId="0" borderId="25" xfId="0" applyFont="1" applyBorder="1" applyAlignment="1">
      <alignment horizontal="center" vertical="center"/>
    </xf>
    <xf numFmtId="191" fontId="46" fillId="0" borderId="26" xfId="0" applyNumberFormat="1" applyFont="1" applyBorder="1" applyAlignment="1">
      <alignment horizontal="center" vertical="center"/>
    </xf>
    <xf numFmtId="0" fontId="28" fillId="16" borderId="9" xfId="0" applyFont="1" applyFill="1" applyBorder="1" applyAlignment="1">
      <alignment horizontal="center" vertical="center"/>
    </xf>
    <xf numFmtId="0" fontId="28" fillId="16" borderId="10" xfId="0" applyFont="1" applyFill="1" applyBorder="1" applyAlignment="1">
      <alignment horizontal="center" vertical="center"/>
    </xf>
    <xf numFmtId="0" fontId="25" fillId="0" borderId="73" xfId="0" applyFont="1" applyBorder="1" applyAlignment="1">
      <alignment horizontal="center" vertical="center"/>
    </xf>
    <xf numFmtId="0" fontId="25" fillId="0" borderId="4" xfId="0" applyFont="1" applyBorder="1" applyAlignment="1">
      <alignment horizontal="center" vertical="center"/>
    </xf>
    <xf numFmtId="0" fontId="25" fillId="0" borderId="74" xfId="0" applyFont="1" applyBorder="1" applyAlignment="1">
      <alignment horizontal="center" vertical="center"/>
    </xf>
    <xf numFmtId="0" fontId="25" fillId="0" borderId="24" xfId="0" applyFont="1" applyBorder="1" applyAlignment="1">
      <alignment horizontal="center" vertical="center"/>
    </xf>
    <xf numFmtId="0" fontId="25" fillId="0" borderId="25" xfId="0" applyFont="1" applyBorder="1" applyAlignment="1">
      <alignment horizontal="center" vertical="center"/>
    </xf>
    <xf numFmtId="0" fontId="25" fillId="0" borderId="26" xfId="0" applyFont="1" applyBorder="1" applyAlignment="1">
      <alignment horizontal="center" vertical="center"/>
    </xf>
    <xf numFmtId="0" fontId="35" fillId="0" borderId="0" xfId="0" applyFont="1" applyAlignment="1">
      <alignment horizontal="center" vertical="center"/>
    </xf>
    <xf numFmtId="0" fontId="36" fillId="23" borderId="70" xfId="16" applyFont="1" applyFill="1" applyBorder="1" applyAlignment="1">
      <alignment horizontal="center" vertical="center"/>
    </xf>
    <xf numFmtId="0" fontId="36" fillId="23" borderId="29" xfId="16" applyFont="1" applyFill="1" applyBorder="1" applyAlignment="1">
      <alignment horizontal="center" vertical="center"/>
    </xf>
    <xf numFmtId="0" fontId="36" fillId="24" borderId="70" xfId="16" applyFont="1" applyFill="1" applyBorder="1" applyAlignment="1">
      <alignment horizontal="center" vertical="center"/>
    </xf>
    <xf numFmtId="0" fontId="36" fillId="24" borderId="29" xfId="16" applyFont="1" applyFill="1" applyBorder="1" applyAlignment="1">
      <alignment horizontal="center" vertical="center"/>
    </xf>
    <xf numFmtId="0" fontId="36" fillId="20" borderId="70" xfId="16" applyFont="1" applyFill="1" applyBorder="1" applyAlignment="1">
      <alignment horizontal="center" vertical="center"/>
    </xf>
    <xf numFmtId="0" fontId="36" fillId="20" borderId="29" xfId="16" applyFont="1" applyFill="1" applyBorder="1" applyAlignment="1">
      <alignment horizontal="center" vertical="center"/>
    </xf>
    <xf numFmtId="0" fontId="29" fillId="9" borderId="115" xfId="0" applyFont="1" applyFill="1" applyBorder="1" applyAlignment="1">
      <alignment horizontal="center" vertical="center"/>
    </xf>
    <xf numFmtId="0" fontId="29" fillId="9" borderId="118" xfId="0" applyFont="1" applyFill="1" applyBorder="1" applyAlignment="1">
      <alignment horizontal="center" vertical="center"/>
    </xf>
    <xf numFmtId="0" fontId="29" fillId="9" borderId="116" xfId="0" applyFont="1" applyFill="1" applyBorder="1" applyAlignment="1">
      <alignment horizontal="center" vertical="center"/>
    </xf>
    <xf numFmtId="0" fontId="29" fillId="9" borderId="119" xfId="0" applyFont="1" applyFill="1" applyBorder="1" applyAlignment="1">
      <alignment horizontal="center" vertical="center"/>
    </xf>
    <xf numFmtId="0" fontId="29" fillId="9" borderId="115" xfId="0" applyFont="1" applyFill="1" applyBorder="1" applyAlignment="1">
      <alignment horizontal="center" vertical="center" wrapText="1"/>
    </xf>
    <xf numFmtId="0" fontId="29" fillId="9" borderId="118" xfId="0" applyFont="1" applyFill="1" applyBorder="1" applyAlignment="1">
      <alignment horizontal="center" vertical="center" wrapText="1"/>
    </xf>
    <xf numFmtId="41" fontId="29" fillId="9" borderId="123" xfId="20" applyFont="1" applyFill="1" applyBorder="1" applyAlignment="1">
      <alignment horizontal="center" vertical="center" wrapText="1"/>
    </xf>
    <xf numFmtId="41" fontId="29" fillId="9" borderId="124" xfId="20" applyFont="1" applyFill="1" applyBorder="1" applyAlignment="1">
      <alignment horizontal="center" vertical="center" wrapText="1"/>
    </xf>
    <xf numFmtId="0" fontId="44" fillId="9" borderId="115" xfId="21" applyFont="1" applyFill="1" applyBorder="1" applyAlignment="1">
      <alignment horizontal="center" vertical="center" wrapText="1"/>
    </xf>
    <xf numFmtId="0" fontId="44" fillId="9" borderId="118" xfId="21" applyFont="1" applyFill="1" applyBorder="1" applyAlignment="1">
      <alignment horizontal="center" vertical="center" wrapText="1"/>
    </xf>
    <xf numFmtId="0" fontId="29" fillId="9" borderId="114" xfId="0" applyFont="1" applyFill="1" applyBorder="1" applyAlignment="1">
      <alignment horizontal="center" vertical="center"/>
    </xf>
    <xf numFmtId="0" fontId="29" fillId="9" borderId="117" xfId="0" applyFont="1" applyFill="1" applyBorder="1" applyAlignment="1">
      <alignment horizontal="center" vertical="center"/>
    </xf>
    <xf numFmtId="0" fontId="25" fillId="0" borderId="108" xfId="0" applyFont="1" applyBorder="1" applyAlignment="1">
      <alignment horizontal="center" vertical="center"/>
    </xf>
    <xf numFmtId="0" fontId="25" fillId="0" borderId="18" xfId="0" applyFont="1" applyBorder="1" applyAlignment="1">
      <alignment horizontal="center" vertical="center"/>
    </xf>
    <xf numFmtId="190" fontId="25" fillId="0" borderId="16" xfId="0" applyNumberFormat="1" applyFont="1" applyBorder="1" applyAlignment="1">
      <alignment horizontal="center" vertical="center"/>
    </xf>
    <xf numFmtId="190" fontId="25" fillId="0" borderId="17" xfId="0" applyNumberFormat="1" applyFont="1" applyBorder="1" applyAlignment="1">
      <alignment horizontal="center" vertical="center"/>
    </xf>
    <xf numFmtId="0" fontId="28" fillId="0" borderId="14" xfId="0" applyFont="1" applyBorder="1" applyAlignment="1">
      <alignment horizontal="center" vertical="center"/>
    </xf>
    <xf numFmtId="0" fontId="28" fillId="0" borderId="78" xfId="0" applyFont="1" applyBorder="1" applyAlignment="1">
      <alignment horizontal="center" vertical="center"/>
    </xf>
    <xf numFmtId="0" fontId="28" fillId="0" borderId="77" xfId="0" applyFont="1" applyBorder="1" applyAlignment="1">
      <alignment horizontal="center" vertical="center"/>
    </xf>
    <xf numFmtId="182" fontId="25" fillId="0" borderId="108" xfId="0" applyNumberFormat="1" applyFont="1" applyBorder="1" applyAlignment="1">
      <alignment horizontal="center" vertical="center"/>
    </xf>
    <xf numFmtId="182" fontId="25" fillId="0" borderId="106" xfId="0" applyNumberFormat="1" applyFont="1" applyBorder="1" applyAlignment="1">
      <alignment horizontal="center" vertical="center"/>
    </xf>
    <xf numFmtId="0" fontId="25" fillId="0" borderId="106" xfId="0" applyFont="1" applyBorder="1" applyAlignment="1">
      <alignment horizontal="center" vertical="center"/>
    </xf>
    <xf numFmtId="0" fontId="28" fillId="0" borderId="54" xfId="0" applyFont="1" applyBorder="1" applyAlignment="1">
      <alignment horizontal="center" vertical="center"/>
    </xf>
    <xf numFmtId="0" fontId="28" fillId="0" borderId="55" xfId="0" applyFont="1" applyBorder="1" applyAlignment="1">
      <alignment horizontal="center" vertical="center"/>
    </xf>
    <xf numFmtId="0" fontId="25" fillId="0" borderId="49" xfId="0" applyFont="1" applyBorder="1" applyAlignment="1">
      <alignment horizontal="center" vertical="center"/>
    </xf>
    <xf numFmtId="0" fontId="25" fillId="0" borderId="57" xfId="0" applyFont="1" applyBorder="1" applyAlignment="1">
      <alignment horizontal="center" vertical="center"/>
    </xf>
    <xf numFmtId="0" fontId="36" fillId="6" borderId="54" xfId="16" applyFont="1" applyFill="1" applyBorder="1" applyAlignment="1">
      <alignment horizontal="center" vertical="center"/>
    </xf>
    <xf numFmtId="0" fontId="36" fillId="6" borderId="56" xfId="16" applyFont="1" applyFill="1" applyBorder="1" applyAlignment="1">
      <alignment horizontal="center" vertical="center"/>
    </xf>
    <xf numFmtId="0" fontId="38" fillId="19" borderId="40" xfId="18" applyFont="1" applyFill="1" applyBorder="1" applyAlignment="1">
      <alignment horizontal="center" vertical="center" wrapText="1"/>
    </xf>
    <xf numFmtId="0" fontId="38" fillId="19" borderId="36" xfId="18" applyFont="1" applyFill="1" applyBorder="1" applyAlignment="1">
      <alignment horizontal="center" vertical="center" wrapText="1"/>
    </xf>
    <xf numFmtId="0" fontId="25" fillId="16" borderId="57" xfId="0" applyFont="1" applyFill="1" applyBorder="1" applyAlignment="1">
      <alignment horizontal="center" vertical="center"/>
    </xf>
    <xf numFmtId="0" fontId="25" fillId="16" borderId="58" xfId="0" applyFont="1" applyFill="1" applyBorder="1" applyAlignment="1">
      <alignment horizontal="center" vertical="center"/>
    </xf>
    <xf numFmtId="0" fontId="25" fillId="16" borderId="54" xfId="0" applyFont="1" applyFill="1" applyBorder="1" applyAlignment="1">
      <alignment horizontal="center" vertical="center"/>
    </xf>
    <xf numFmtId="0" fontId="25" fillId="16" borderId="56" xfId="0" applyFont="1" applyFill="1" applyBorder="1" applyAlignment="1">
      <alignment horizontal="center" vertical="center"/>
    </xf>
    <xf numFmtId="0" fontId="25" fillId="16" borderId="59" xfId="0" applyFont="1" applyFill="1" applyBorder="1" applyAlignment="1">
      <alignment horizontal="center" vertical="center"/>
    </xf>
    <xf numFmtId="0" fontId="25" fillId="16" borderId="55" xfId="0" applyFont="1" applyFill="1" applyBorder="1" applyAlignment="1">
      <alignment horizontal="center" vertical="center"/>
    </xf>
    <xf numFmtId="0" fontId="25" fillId="16" borderId="49" xfId="0" applyFont="1" applyFill="1" applyBorder="1" applyAlignment="1">
      <alignment horizontal="center" vertical="center"/>
    </xf>
    <xf numFmtId="0" fontId="25" fillId="16" borderId="50" xfId="0" applyFont="1" applyFill="1" applyBorder="1" applyAlignment="1">
      <alignment horizontal="center" vertical="center"/>
    </xf>
    <xf numFmtId="0" fontId="25" fillId="16" borderId="80" xfId="0" applyFont="1" applyFill="1" applyBorder="1" applyAlignment="1">
      <alignment horizontal="center" vertical="center"/>
    </xf>
    <xf numFmtId="0" fontId="25" fillId="16" borderId="81" xfId="0" applyFont="1" applyFill="1" applyBorder="1" applyAlignment="1">
      <alignment horizontal="center" vertical="center"/>
    </xf>
    <xf numFmtId="0" fontId="25" fillId="16" borderId="82" xfId="0" applyFont="1" applyFill="1" applyBorder="1" applyAlignment="1">
      <alignment horizontal="center" vertical="center"/>
    </xf>
  </cellXfs>
  <cellStyles count="26">
    <cellStyle name="$" xfId="1" xr:uid="{00000000-0005-0000-0000-000000000000}"/>
    <cellStyle name="$_db진흥" xfId="4" xr:uid="{00000000-0005-0000-0000-000001000000}"/>
    <cellStyle name="$_SE40" xfId="5" xr:uid="{00000000-0005-0000-0000-000002000000}"/>
    <cellStyle name="$_견적2" xfId="2" xr:uid="{00000000-0005-0000-0000-000003000000}"/>
    <cellStyle name="$_기아" xfId="3" xr:uid="{00000000-0005-0000-0000-000004000000}"/>
    <cellStyle name="20% - 강조색1" xfId="21" builtinId="30"/>
    <cellStyle name="20% - 강조색4 2" xfId="19" xr:uid="{00000000-0005-0000-0000-000006000000}"/>
    <cellStyle name="20% - 강조색5" xfId="23" builtinId="46"/>
    <cellStyle name="20% - 강조색6" xfId="22" builtinId="50"/>
    <cellStyle name="Header1" xfId="14" xr:uid="{00000000-0005-0000-0000-000007000000}"/>
    <cellStyle name="Header2" xfId="15" xr:uid="{00000000-0005-0000-0000-000008000000}"/>
    <cellStyle name="백분율" xfId="25" builtinId="5"/>
    <cellStyle name="쉼표" xfId="17" builtinId="3"/>
    <cellStyle name="쉼표 [0]" xfId="20" builtinId="6"/>
    <cellStyle name="열어본 하이퍼링크" xfId="6" xr:uid="{00000000-0005-0000-0000-00000C000000}"/>
    <cellStyle name="원" xfId="7" xr:uid="{00000000-0005-0000-0000-00000D000000}"/>
    <cellStyle name="원_경기도지하수관리계획_1.28_경기본부의견적용" xfId="8" xr:uid="{00000000-0005-0000-0000-00000E000000}"/>
    <cellStyle name="원_이용시설" xfId="9" xr:uid="{00000000-0005-0000-0000-00000F000000}"/>
    <cellStyle name="을지" xfId="10" xr:uid="{00000000-0005-0000-0000-000010000000}"/>
    <cellStyle name="지정되지 않음" xfId="11" xr:uid="{00000000-0005-0000-0000-000011000000}"/>
    <cellStyle name="콤마 [0]_1.FAX국내" xfId="12" xr:uid="{00000000-0005-0000-0000-000012000000}"/>
    <cellStyle name="콤마_1.FAX국내" xfId="13" xr:uid="{00000000-0005-0000-0000-000013000000}"/>
    <cellStyle name="표준" xfId="0" builtinId="0"/>
    <cellStyle name="표준 2" xfId="16" xr:uid="{00000000-0005-0000-0000-000015000000}"/>
    <cellStyle name="표준 2 2" xfId="18" xr:uid="{00000000-0005-0000-0000-000016000000}"/>
    <cellStyle name="표준 2 3" xfId="24" xr:uid="{A7DBD823-682A-4501-80AC-3335D0232F49}"/>
  </cellStyles>
  <dxfs count="12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numFmt numFmtId="189" formatCode="0.0%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numFmt numFmtId="190" formatCode="#,##0.0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맑은 고딕"/>
        <family val="3"/>
        <charset val="129"/>
        <scheme val="none"/>
      </font>
      <fill>
        <patternFill patternType="solid">
          <fgColor indexed="64"/>
          <bgColor theme="8" tint="-0.249977111117893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  <numFmt numFmtId="14" formatCode="0.00%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  <numFmt numFmtId="14" formatCode="0.00%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</dxfs>
  <tableStyles count="0" defaultTableStyle="TableStyleMedium9" defaultPivotStyle="PivotStyleLight16"/>
  <colors>
    <mruColors>
      <color rgb="FF9E0E1C"/>
      <color rgb="FFE3DE00"/>
      <color rgb="FF00506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onnections" Target="connections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ustomXml" Target="../customXml/item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_rels/activeX42.xml.rels><?xml version="1.0" encoding="UTF-8" standalone="yes"?>
<Relationships xmlns="http://schemas.openxmlformats.org/package/2006/relationships"><Relationship Id="rId1" Type="http://schemas.microsoft.com/office/2006/relationships/activeXControlBinary" Target="activeX42.bin"/></Relationships>
</file>

<file path=xl/activeX/_rels/activeX43.xml.rels><?xml version="1.0" encoding="UTF-8" standalone="yes"?>
<Relationships xmlns="http://schemas.openxmlformats.org/package/2006/relationships"><Relationship Id="rId1" Type="http://schemas.microsoft.com/office/2006/relationships/activeXControlBinary" Target="activeX43.bin"/></Relationships>
</file>

<file path=xl/activeX/_rels/activeX44.xml.rels><?xml version="1.0" encoding="UTF-8" standalone="yes"?>
<Relationships xmlns="http://schemas.openxmlformats.org/package/2006/relationships"><Relationship Id="rId1" Type="http://schemas.microsoft.com/office/2006/relationships/activeXControlBinary" Target="activeX44.bin"/></Relationships>
</file>

<file path=xl/activeX/_rels/activeX45.xml.rels><?xml version="1.0" encoding="UTF-8" standalone="yes"?>
<Relationships xmlns="http://schemas.openxmlformats.org/package/2006/relationships"><Relationship Id="rId1" Type="http://schemas.microsoft.com/office/2006/relationships/activeXControlBinary" Target="activeX45.bin"/></Relationships>
</file>

<file path=xl/activeX/_rels/activeX46.xml.rels><?xml version="1.0" encoding="UTF-8" standalone="yes"?>
<Relationships xmlns="http://schemas.openxmlformats.org/package/2006/relationships"><Relationship Id="rId1" Type="http://schemas.microsoft.com/office/2006/relationships/activeXControlBinary" Target="activeX46.bin"/></Relationships>
</file>

<file path=xl/activeX/_rels/activeX47.xml.rels><?xml version="1.0" encoding="UTF-8" standalone="yes"?>
<Relationships xmlns="http://schemas.openxmlformats.org/package/2006/relationships"><Relationship Id="rId1" Type="http://schemas.microsoft.com/office/2006/relationships/activeXControlBinary" Target="activeX47.bin"/></Relationships>
</file>

<file path=xl/activeX/_rels/activeX48.xml.rels><?xml version="1.0" encoding="UTF-8" standalone="yes"?>
<Relationships xmlns="http://schemas.openxmlformats.org/package/2006/relationships"><Relationship Id="rId1" Type="http://schemas.microsoft.com/office/2006/relationships/activeXControlBinary" Target="activeX48.bin"/></Relationships>
</file>

<file path=xl/activeX/_rels/activeX49.xml.rels><?xml version="1.0" encoding="UTF-8" standalone="yes"?>
<Relationships xmlns="http://schemas.openxmlformats.org/package/2006/relationships"><Relationship Id="rId1" Type="http://schemas.microsoft.com/office/2006/relationships/activeXControlBinary" Target="activeX49.bin"/></Relationships>
</file>

<file path=xl/activeX/_rels/activeX50.xml.rels><?xml version="1.0" encoding="UTF-8" standalone="yes"?>
<Relationships xmlns="http://schemas.openxmlformats.org/package/2006/relationships"><Relationship Id="rId1" Type="http://schemas.microsoft.com/office/2006/relationships/activeXControlBinary" Target="activeX50.bin"/></Relationships>
</file>

<file path=xl/activeX/_rels/activeX51.xml.rels><?xml version="1.0" encoding="UTF-8" standalone="yes"?>
<Relationships xmlns="http://schemas.openxmlformats.org/package/2006/relationships"><Relationship Id="rId1" Type="http://schemas.microsoft.com/office/2006/relationships/activeXControlBinary" Target="activeX51.bin"/></Relationships>
</file>

<file path=xl/activeX/_rels/activeX52.xml.rels><?xml version="1.0" encoding="UTF-8" standalone="yes"?>
<Relationships xmlns="http://schemas.openxmlformats.org/package/2006/relationships"><Relationship Id="rId1" Type="http://schemas.microsoft.com/office/2006/relationships/activeXControlBinary" Target="activeX52.bin"/></Relationships>
</file>

<file path=xl/activeX/_rels/activeX53.xml.rels><?xml version="1.0" encoding="UTF-8" standalone="yes"?>
<Relationships xmlns="http://schemas.openxmlformats.org/package/2006/relationships"><Relationship Id="rId1" Type="http://schemas.microsoft.com/office/2006/relationships/activeXControlBinary" Target="activeX5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3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4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3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4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1"/>
    </mc:Choice>
    <mc:Fallback>
      <c:style val="1"/>
    </mc:Fallback>
  </mc:AlternateContent>
  <c:chart>
    <c:autoTitleDeleted val="1"/>
    <c:plotArea>
      <c:layout>
        <c:manualLayout>
          <c:layoutTarget val="inner"/>
          <c:xMode val="edge"/>
          <c:yMode val="edge"/>
          <c:x val="6.0585584910659379E-2"/>
          <c:y val="7.474466280310374E-2"/>
          <c:w val="0.91972937775338648"/>
          <c:h val="0.77699877192061517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Y!$C$37</c:f>
              <c:strCache>
                <c:ptCount val="1"/>
                <c:pt idx="0">
                  <c:v>강우량</c:v>
                </c:pt>
              </c:strCache>
            </c:strRef>
          </c:tx>
          <c:spPr>
            <a:solidFill>
              <a:schemeClr val="dk1">
                <a:tint val="88500"/>
                <a:alpha val="7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Y!$B$38:$B$48</c:f>
              <c:strCache>
                <c:ptCount val="11"/>
                <c:pt idx="0">
                  <c:v>2013</c:v>
                </c:pt>
                <c:pt idx="1">
                  <c:v>2014</c:v>
                </c:pt>
                <c:pt idx="2">
                  <c:v>2015</c:v>
                </c:pt>
                <c:pt idx="3">
                  <c:v>2016</c:v>
                </c:pt>
                <c:pt idx="4">
                  <c:v>2017</c:v>
                </c:pt>
                <c:pt idx="5">
                  <c:v>2018</c:v>
                </c:pt>
                <c:pt idx="6">
                  <c:v>2019</c:v>
                </c:pt>
                <c:pt idx="7">
                  <c:v>2020</c:v>
                </c:pt>
                <c:pt idx="8">
                  <c:v>2021</c:v>
                </c:pt>
                <c:pt idx="9">
                  <c:v>2022</c:v>
                </c:pt>
                <c:pt idx="10">
                  <c:v>10년평균</c:v>
                </c:pt>
              </c:strCache>
            </c:strRef>
          </c:cat>
          <c:val>
            <c:numRef>
              <c:f>Y!$C$38:$C$48</c:f>
              <c:numCache>
                <c:formatCode>General</c:formatCode>
                <c:ptCount val="11"/>
                <c:pt idx="0">
                  <c:v>1387.7</c:v>
                </c:pt>
                <c:pt idx="1">
                  <c:v>1010.1</c:v>
                </c:pt>
                <c:pt idx="2">
                  <c:v>785.4</c:v>
                </c:pt>
                <c:pt idx="3">
                  <c:v>792.8</c:v>
                </c:pt>
                <c:pt idx="4">
                  <c:v>856.2</c:v>
                </c:pt>
                <c:pt idx="5">
                  <c:v>1337.2</c:v>
                </c:pt>
                <c:pt idx="6">
                  <c:v>821.9</c:v>
                </c:pt>
                <c:pt idx="7">
                  <c:v>1301.9000000000001</c:v>
                </c:pt>
                <c:pt idx="8">
                  <c:v>1107.9000000000001</c:v>
                </c:pt>
                <c:pt idx="9">
                  <c:v>1348.4</c:v>
                </c:pt>
                <c:pt idx="10">
                  <c:v>1075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5B2-4AF7-9FEF-B0E9342F7F41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32"/>
        <c:overlap val="25"/>
        <c:axId val="1601425679"/>
        <c:axId val="1731913439"/>
      </c:barChart>
      <c:catAx>
        <c:axId val="160142567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31913439"/>
        <c:crosses val="autoZero"/>
        <c:auto val="1"/>
        <c:lblAlgn val="ctr"/>
        <c:lblOffset val="100"/>
        <c:noMultiLvlLbl val="0"/>
      </c:catAx>
      <c:valAx>
        <c:axId val="1731913439"/>
        <c:scaling>
          <c:orientation val="minMax"/>
          <c:max val="25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2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0142567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1"/>
    </mc:Choice>
    <mc:Fallback>
      <c:style val="1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Y!$C$51</c:f>
              <c:strCache>
                <c:ptCount val="1"/>
                <c:pt idx="0">
                  <c:v>강우량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Y!$B$52:$B$82</c:f>
              <c:strCache>
                <c:ptCount val="31"/>
                <c:pt idx="0">
                  <c:v>1993</c:v>
                </c:pt>
                <c:pt idx="1">
                  <c:v>1994</c:v>
                </c:pt>
                <c:pt idx="2">
                  <c:v>1995</c:v>
                </c:pt>
                <c:pt idx="3">
                  <c:v>1996</c:v>
                </c:pt>
                <c:pt idx="4">
                  <c:v>1997</c:v>
                </c:pt>
                <c:pt idx="5">
                  <c:v>1998</c:v>
                </c:pt>
                <c:pt idx="6">
                  <c:v>1999</c:v>
                </c:pt>
                <c:pt idx="7">
                  <c:v>2000</c:v>
                </c:pt>
                <c:pt idx="8">
                  <c:v>2001</c:v>
                </c:pt>
                <c:pt idx="9">
                  <c:v>2002</c:v>
                </c:pt>
                <c:pt idx="10">
                  <c:v>2003</c:v>
                </c:pt>
                <c:pt idx="11">
                  <c:v>2004</c:v>
                </c:pt>
                <c:pt idx="12">
                  <c:v>2005</c:v>
                </c:pt>
                <c:pt idx="13">
                  <c:v>2006</c:v>
                </c:pt>
                <c:pt idx="14">
                  <c:v>2007</c:v>
                </c:pt>
                <c:pt idx="15">
                  <c:v>2008</c:v>
                </c:pt>
                <c:pt idx="16">
                  <c:v>2009</c:v>
                </c:pt>
                <c:pt idx="17">
                  <c:v>2010</c:v>
                </c:pt>
                <c:pt idx="18">
                  <c:v>2011</c:v>
                </c:pt>
                <c:pt idx="19">
                  <c:v>2012</c:v>
                </c:pt>
                <c:pt idx="20">
                  <c:v>2013</c:v>
                </c:pt>
                <c:pt idx="21">
                  <c:v>2014</c:v>
                </c:pt>
                <c:pt idx="22">
                  <c:v>2015</c:v>
                </c:pt>
                <c:pt idx="23">
                  <c:v>2016</c:v>
                </c:pt>
                <c:pt idx="24">
                  <c:v>2017</c:v>
                </c:pt>
                <c:pt idx="25">
                  <c:v>2018</c:v>
                </c:pt>
                <c:pt idx="26">
                  <c:v>2019</c:v>
                </c:pt>
                <c:pt idx="27">
                  <c:v>2020</c:v>
                </c:pt>
                <c:pt idx="28">
                  <c:v>2021</c:v>
                </c:pt>
                <c:pt idx="29">
                  <c:v>2022</c:v>
                </c:pt>
                <c:pt idx="30">
                  <c:v>30년평균</c:v>
                </c:pt>
              </c:strCache>
            </c:strRef>
          </c:cat>
          <c:val>
            <c:numRef>
              <c:f>Y!$C$52:$C$82</c:f>
              <c:numCache>
                <c:formatCode>General</c:formatCode>
                <c:ptCount val="31"/>
                <c:pt idx="0">
                  <c:v>1162.0999999999999</c:v>
                </c:pt>
                <c:pt idx="1">
                  <c:v>1269</c:v>
                </c:pt>
                <c:pt idx="2">
                  <c:v>1459.5</c:v>
                </c:pt>
                <c:pt idx="3">
                  <c:v>899.6</c:v>
                </c:pt>
                <c:pt idx="4">
                  <c:v>1442.3</c:v>
                </c:pt>
                <c:pt idx="5">
                  <c:v>1397.2</c:v>
                </c:pt>
                <c:pt idx="6">
                  <c:v>1284.0999999999999</c:v>
                </c:pt>
                <c:pt idx="7">
                  <c:v>1515.4</c:v>
                </c:pt>
                <c:pt idx="8">
                  <c:v>903.7</c:v>
                </c:pt>
                <c:pt idx="9">
                  <c:v>1453.2</c:v>
                </c:pt>
                <c:pt idx="10">
                  <c:v>1343.7</c:v>
                </c:pt>
                <c:pt idx="11">
                  <c:v>1216.2</c:v>
                </c:pt>
                <c:pt idx="12">
                  <c:v>1266.5</c:v>
                </c:pt>
                <c:pt idx="13">
                  <c:v>831.4</c:v>
                </c:pt>
                <c:pt idx="14">
                  <c:v>1295.8</c:v>
                </c:pt>
                <c:pt idx="15">
                  <c:v>813.5</c:v>
                </c:pt>
                <c:pt idx="16">
                  <c:v>1081.4000000000001</c:v>
                </c:pt>
                <c:pt idx="17">
                  <c:v>1502.3</c:v>
                </c:pt>
                <c:pt idx="18">
                  <c:v>1743</c:v>
                </c:pt>
                <c:pt idx="19">
                  <c:v>1319</c:v>
                </c:pt>
                <c:pt idx="20">
                  <c:v>1387.7</c:v>
                </c:pt>
                <c:pt idx="21">
                  <c:v>1010.1</c:v>
                </c:pt>
                <c:pt idx="22">
                  <c:v>785.4</c:v>
                </c:pt>
                <c:pt idx="23">
                  <c:v>792.8</c:v>
                </c:pt>
                <c:pt idx="24">
                  <c:v>856.2</c:v>
                </c:pt>
                <c:pt idx="25">
                  <c:v>1337.2</c:v>
                </c:pt>
                <c:pt idx="26">
                  <c:v>821.9</c:v>
                </c:pt>
                <c:pt idx="27">
                  <c:v>1301.9000000000001</c:v>
                </c:pt>
                <c:pt idx="28">
                  <c:v>1107.9000000000001</c:v>
                </c:pt>
                <c:pt idx="29">
                  <c:v>1348.4</c:v>
                </c:pt>
                <c:pt idx="30">
                  <c:v>1198.3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0D9-4BAD-AC5B-F7019116F3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99"/>
        <c:axId val="1828181264"/>
        <c:axId val="1828175440"/>
      </c:barChart>
      <c:catAx>
        <c:axId val="18281812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28175440"/>
        <c:crosses val="autoZero"/>
        <c:auto val="1"/>
        <c:lblAlgn val="ctr"/>
        <c:lblOffset val="100"/>
        <c:noMultiLvlLbl val="0"/>
      </c:catAx>
      <c:valAx>
        <c:axId val="18281754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281812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1"/>
    </mc:Choice>
    <mc:Fallback>
      <c:style val="1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Y!$D$38</c:f>
              <c:strCache>
                <c:ptCount val="1"/>
                <c:pt idx="0">
                  <c:v>평균</c:v>
                </c:pt>
              </c:strCache>
            </c:strRef>
          </c:tx>
          <c:spPr>
            <a:solidFill>
              <a:schemeClr val="dk1">
                <a:tint val="88500"/>
                <a:alpha val="7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Y!$E$37:$Q$37</c:f>
              <c:strCache>
                <c:ptCount val="13"/>
                <c:pt idx="0">
                  <c:v>1월</c:v>
                </c:pt>
                <c:pt idx="1">
                  <c:v>2월</c:v>
                </c:pt>
                <c:pt idx="2">
                  <c:v>3월</c:v>
                </c:pt>
                <c:pt idx="3">
                  <c:v>4월</c:v>
                </c:pt>
                <c:pt idx="4">
                  <c:v>5월</c:v>
                </c:pt>
                <c:pt idx="5">
                  <c:v>6월</c:v>
                </c:pt>
                <c:pt idx="6">
                  <c:v>7월</c:v>
                </c:pt>
                <c:pt idx="7">
                  <c:v>8월</c:v>
                </c:pt>
                <c:pt idx="8">
                  <c:v>9월</c:v>
                </c:pt>
                <c:pt idx="9">
                  <c:v>10월</c:v>
                </c:pt>
                <c:pt idx="10">
                  <c:v>11월</c:v>
                </c:pt>
                <c:pt idx="11">
                  <c:v>12월</c:v>
                </c:pt>
                <c:pt idx="12">
                  <c:v>평균</c:v>
                </c:pt>
              </c:strCache>
            </c:strRef>
          </c:cat>
          <c:val>
            <c:numRef>
              <c:f>Y!$E$38:$Q$38</c:f>
              <c:numCache>
                <c:formatCode>General</c:formatCode>
                <c:ptCount val="13"/>
                <c:pt idx="0">
                  <c:v>19.100000000000001</c:v>
                </c:pt>
                <c:pt idx="1">
                  <c:v>32</c:v>
                </c:pt>
                <c:pt idx="2">
                  <c:v>44.4</c:v>
                </c:pt>
                <c:pt idx="3">
                  <c:v>72.5</c:v>
                </c:pt>
                <c:pt idx="4">
                  <c:v>75.2</c:v>
                </c:pt>
                <c:pt idx="5">
                  <c:v>96.1</c:v>
                </c:pt>
                <c:pt idx="6">
                  <c:v>195.3</c:v>
                </c:pt>
                <c:pt idx="7">
                  <c:v>221.2</c:v>
                </c:pt>
                <c:pt idx="8">
                  <c:v>142.1</c:v>
                </c:pt>
                <c:pt idx="9">
                  <c:v>77.8</c:v>
                </c:pt>
                <c:pt idx="10">
                  <c:v>65.2</c:v>
                </c:pt>
                <c:pt idx="11">
                  <c:v>34.200000000000003</c:v>
                </c:pt>
                <c:pt idx="12">
                  <c:v>89.6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9BD-482D-9BAE-4A729D22FF3C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70"/>
        <c:overlap val="25"/>
        <c:axId val="108596368"/>
        <c:axId val="108584304"/>
      </c:barChart>
      <c:catAx>
        <c:axId val="108596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8584304"/>
        <c:crosses val="autoZero"/>
        <c:auto val="1"/>
        <c:lblAlgn val="ctr"/>
        <c:lblOffset val="100"/>
        <c:noMultiLvlLbl val="0"/>
      </c:catAx>
      <c:valAx>
        <c:axId val="1085843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2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8596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20">
  <a:schemeClr val="dk1"/>
  <cs:variation>
    <a:tint val="88500"/>
  </cs:variation>
  <cs:variation>
    <a:tint val="55000"/>
  </cs:variation>
  <cs:variation>
    <a:tint val="75000"/>
  </cs:variation>
  <cs:variation>
    <a:tint val="98500"/>
  </cs:variation>
  <cs:variation>
    <a:tint val="30000"/>
  </cs:variation>
  <cs:variation>
    <a:tint val="60000"/>
  </cs:variation>
  <cs:variation>
    <a:tint val="8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20">
  <a:schemeClr val="dk1"/>
  <cs:variation>
    <a:tint val="88500"/>
  </cs:variation>
  <cs:variation>
    <a:tint val="55000"/>
  </cs:variation>
  <cs:variation>
    <a:tint val="75000"/>
  </cs:variation>
  <cs:variation>
    <a:tint val="98500"/>
  </cs:variation>
  <cs:variation>
    <a:tint val="30000"/>
  </cs:variation>
  <cs:variation>
    <a:tint val="60000"/>
  </cs:variation>
  <cs:variation>
    <a:tint val="8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20">
  <a:schemeClr val="dk1"/>
  <cs:variation>
    <a:tint val="88500"/>
  </cs:variation>
  <cs:variation>
    <a:tint val="55000"/>
  </cs:variation>
  <cs:variation>
    <a:tint val="75000"/>
  </cs:variation>
  <cs:variation>
    <a:tint val="98500"/>
  </cs:variation>
  <cs:variation>
    <a:tint val="30000"/>
  </cs:variation>
  <cs:variation>
    <a:tint val="60000"/>
  </cs:variation>
  <cs:variation>
    <a:tint val="80000"/>
  </cs:variation>
</cs:colorStyle>
</file>

<file path=xl/charts/style1.xml><?xml version="1.0" encoding="utf-8"?>
<cs:chartStyle xmlns:cs="http://schemas.microsoft.com/office/drawing/2012/chartStyle" xmlns:a="http://schemas.openxmlformats.org/drawingml/2006/main" id="215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587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 cap="none" spc="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bg1"/>
    </cs:fontRef>
    <cs:spPr>
      <a:solidFill>
        <a:schemeClr val="tx1">
          <a:lumMod val="50000"/>
          <a:lumOff val="50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>
            <a:alpha val="70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 baseline="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1600" b="0" i="0" kern="1200" cap="none" spc="5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587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 spc="20" baseline="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1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b="0" kern="1200" cap="none" spc="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dk1">
          <a:lumMod val="15000"/>
          <a:lumOff val="8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8100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8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2000" b="0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round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15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587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 cap="none" spc="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bg1"/>
    </cs:fontRef>
    <cs:spPr>
      <a:solidFill>
        <a:schemeClr val="tx1">
          <a:lumMod val="50000"/>
          <a:lumOff val="50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>
            <a:alpha val="70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 baseline="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1600" b="0" i="0" kern="1200" cap="none" spc="5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587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 spc="20" baseline="0"/>
  </cs:valueAxis>
  <cs:wall>
    <cs:lnRef idx="0"/>
    <cs:fillRef idx="0"/>
    <cs:effectRef idx="0"/>
    <cs:fontRef idx="minor">
      <a:schemeClr val="dk1"/>
    </cs:fontRef>
  </cs:wall>
</cs:chartStyle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8" Type="http://schemas.openxmlformats.org/officeDocument/2006/relationships/image" Target="../media/image10.emf"/><Relationship Id="rId3" Type="http://schemas.openxmlformats.org/officeDocument/2006/relationships/image" Target="../media/image5.emf"/><Relationship Id="rId7" Type="http://schemas.openxmlformats.org/officeDocument/2006/relationships/image" Target="../media/image9.emf"/><Relationship Id="rId2" Type="http://schemas.openxmlformats.org/officeDocument/2006/relationships/image" Target="../media/image3.emf"/><Relationship Id="rId1" Type="http://schemas.openxmlformats.org/officeDocument/2006/relationships/image" Target="../media/image4.emf"/><Relationship Id="rId6" Type="http://schemas.openxmlformats.org/officeDocument/2006/relationships/image" Target="../media/image8.emf"/><Relationship Id="rId5" Type="http://schemas.openxmlformats.org/officeDocument/2006/relationships/image" Target="../media/image7.emf"/><Relationship Id="rId4" Type="http://schemas.openxmlformats.org/officeDocument/2006/relationships/image" Target="../media/image6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1.emf"/></Relationships>
</file>

<file path=xl/drawings/_rels/vmlDrawing4.vml.rels><?xml version="1.0" encoding="UTF-8" standalone="yes"?>
<Relationships xmlns="http://schemas.openxmlformats.org/package/2006/relationships"><Relationship Id="rId8" Type="http://schemas.openxmlformats.org/officeDocument/2006/relationships/image" Target="../media/image19.emf"/><Relationship Id="rId3" Type="http://schemas.openxmlformats.org/officeDocument/2006/relationships/image" Target="../media/image15.emf"/><Relationship Id="rId7" Type="http://schemas.openxmlformats.org/officeDocument/2006/relationships/image" Target="../media/image12.emf"/><Relationship Id="rId2" Type="http://schemas.openxmlformats.org/officeDocument/2006/relationships/image" Target="../media/image16.emf"/><Relationship Id="rId1" Type="http://schemas.openxmlformats.org/officeDocument/2006/relationships/image" Target="../media/image17.emf"/><Relationship Id="rId6" Type="http://schemas.openxmlformats.org/officeDocument/2006/relationships/image" Target="../media/image18.emf"/><Relationship Id="rId5" Type="http://schemas.openxmlformats.org/officeDocument/2006/relationships/image" Target="../media/image13.emf"/><Relationship Id="rId4" Type="http://schemas.openxmlformats.org/officeDocument/2006/relationships/image" Target="../media/image14.emf"/></Relationships>
</file>

<file path=xl/drawings/_rels/vmlDrawing5.vml.rels><?xml version="1.0" encoding="UTF-8" standalone="yes"?>
<Relationships xmlns="http://schemas.openxmlformats.org/package/2006/relationships"><Relationship Id="rId2" Type="http://schemas.openxmlformats.org/officeDocument/2006/relationships/image" Target="../media/image20.emf"/><Relationship Id="rId1" Type="http://schemas.openxmlformats.org/officeDocument/2006/relationships/image" Target="../media/image21.emf"/></Relationships>
</file>

<file path=xl/drawings/_rels/vmlDrawing6.vml.rels><?xml version="1.0" encoding="UTF-8" standalone="yes"?>
<Relationships xmlns="http://schemas.openxmlformats.org/package/2006/relationships"><Relationship Id="rId2" Type="http://schemas.openxmlformats.org/officeDocument/2006/relationships/image" Target="../media/image22.emf"/><Relationship Id="rId1" Type="http://schemas.openxmlformats.org/officeDocument/2006/relationships/image" Target="../media/image23.emf"/></Relationships>
</file>

<file path=xl/drawings/_rels/vmlDrawing7.vml.rels><?xml version="1.0" encoding="UTF-8" standalone="yes"?>
<Relationships xmlns="http://schemas.openxmlformats.org/package/2006/relationships"><Relationship Id="rId2" Type="http://schemas.openxmlformats.org/officeDocument/2006/relationships/image" Target="../media/image24.emf"/><Relationship Id="rId1" Type="http://schemas.openxmlformats.org/officeDocument/2006/relationships/image" Target="../media/image25.emf"/></Relationships>
</file>

<file path=xl/drawings/_rels/vmlDrawing8.vml.rels><?xml version="1.0" encoding="UTF-8" standalone="yes"?>
<Relationships xmlns="http://schemas.openxmlformats.org/package/2006/relationships"><Relationship Id="rId2" Type="http://schemas.openxmlformats.org/officeDocument/2006/relationships/image" Target="../media/image27.emf"/><Relationship Id="rId1" Type="http://schemas.openxmlformats.org/officeDocument/2006/relationships/image" Target="../media/image26.emf"/></Relationships>
</file>

<file path=xl/drawings/_rels/vmlDrawing9.vml.rels><?xml version="1.0" encoding="UTF-8" standalone="yes"?>
<Relationships xmlns="http://schemas.openxmlformats.org/package/2006/relationships"><Relationship Id="rId8" Type="http://schemas.openxmlformats.org/officeDocument/2006/relationships/image" Target="../media/image35.emf"/><Relationship Id="rId3" Type="http://schemas.openxmlformats.org/officeDocument/2006/relationships/image" Target="../media/image28.emf"/><Relationship Id="rId7" Type="http://schemas.openxmlformats.org/officeDocument/2006/relationships/image" Target="../media/image34.emf"/><Relationship Id="rId2" Type="http://schemas.openxmlformats.org/officeDocument/2006/relationships/image" Target="../media/image29.emf"/><Relationship Id="rId1" Type="http://schemas.openxmlformats.org/officeDocument/2006/relationships/image" Target="../media/image30.emf"/><Relationship Id="rId6" Type="http://schemas.openxmlformats.org/officeDocument/2006/relationships/image" Target="../media/image33.emf"/><Relationship Id="rId5" Type="http://schemas.openxmlformats.org/officeDocument/2006/relationships/image" Target="../media/image32.emf"/><Relationship Id="rId4" Type="http://schemas.openxmlformats.org/officeDocument/2006/relationships/image" Target="../media/image31.emf"/><Relationship Id="rId9" Type="http://schemas.openxmlformats.org/officeDocument/2006/relationships/image" Target="../media/image36.emf"/></Relationships>
</file>

<file path=xl/drawings/_rels/vmlDrawing10.vml.rels><?xml version="1.0" encoding="UTF-8" standalone="yes"?>
<Relationships xmlns="http://schemas.openxmlformats.org/package/2006/relationships"><Relationship Id="rId3" Type="http://schemas.openxmlformats.org/officeDocument/2006/relationships/image" Target="../media/image38.emf"/><Relationship Id="rId2" Type="http://schemas.openxmlformats.org/officeDocument/2006/relationships/image" Target="../media/image39.emf"/><Relationship Id="rId1" Type="http://schemas.openxmlformats.org/officeDocument/2006/relationships/image" Target="../media/image40.emf"/><Relationship Id="rId4" Type="http://schemas.openxmlformats.org/officeDocument/2006/relationships/image" Target="../media/image37.emf"/></Relationships>
</file>

<file path=xl/drawings/_rels/vmlDrawing11.vml.rels><?xml version="1.0" encoding="UTF-8" standalone="yes"?>
<Relationships xmlns="http://schemas.openxmlformats.org/package/2006/relationships"><Relationship Id="rId3" Type="http://schemas.openxmlformats.org/officeDocument/2006/relationships/image" Target="../media/image42.emf"/><Relationship Id="rId2" Type="http://schemas.openxmlformats.org/officeDocument/2006/relationships/image" Target="../media/image43.emf"/><Relationship Id="rId1" Type="http://schemas.openxmlformats.org/officeDocument/2006/relationships/image" Target="../media/image44.emf"/><Relationship Id="rId4" Type="http://schemas.openxmlformats.org/officeDocument/2006/relationships/image" Target="../media/image41.emf"/></Relationships>
</file>

<file path=xl/drawings/_rels/vmlDrawing12.vml.rels><?xml version="1.0" encoding="UTF-8" standalone="yes"?>
<Relationships xmlns="http://schemas.openxmlformats.org/package/2006/relationships"><Relationship Id="rId3" Type="http://schemas.openxmlformats.org/officeDocument/2006/relationships/image" Target="../media/image45.emf"/><Relationship Id="rId2" Type="http://schemas.openxmlformats.org/officeDocument/2006/relationships/image" Target="../media/image46.emf"/><Relationship Id="rId1" Type="http://schemas.openxmlformats.org/officeDocument/2006/relationships/image" Target="../media/image47.emf"/></Relationships>
</file>

<file path=xl/drawings/_rels/vmlDrawing13.vml.rels><?xml version="1.0" encoding="UTF-8" standalone="yes"?>
<Relationships xmlns="http://schemas.openxmlformats.org/package/2006/relationships"><Relationship Id="rId3" Type="http://schemas.openxmlformats.org/officeDocument/2006/relationships/image" Target="../media/image50.emf"/><Relationship Id="rId2" Type="http://schemas.openxmlformats.org/officeDocument/2006/relationships/image" Target="../media/image48.emf"/><Relationship Id="rId1" Type="http://schemas.openxmlformats.org/officeDocument/2006/relationships/image" Target="../media/image49.emf"/></Relationships>
</file>

<file path=xl/drawings/_rels/vmlDrawing14.vml.rels><?xml version="1.0" encoding="UTF-8" standalone="yes"?>
<Relationships xmlns="http://schemas.openxmlformats.org/package/2006/relationships"><Relationship Id="rId3" Type="http://schemas.openxmlformats.org/officeDocument/2006/relationships/image" Target="../media/image53.emf"/><Relationship Id="rId2" Type="http://schemas.openxmlformats.org/officeDocument/2006/relationships/image" Target="../media/image51.emf"/><Relationship Id="rId1" Type="http://schemas.openxmlformats.org/officeDocument/2006/relationships/image" Target="../media/image5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352425</xdr:colOff>
          <xdr:row>3</xdr:row>
          <xdr:rowOff>57150</xdr:rowOff>
        </xdr:from>
        <xdr:to>
          <xdr:col>17</xdr:col>
          <xdr:colOff>1495425</xdr:colOff>
          <xdr:row>4</xdr:row>
          <xdr:rowOff>95250</xdr:rowOff>
        </xdr:to>
        <xdr:sp macro="" textlink="">
          <xdr:nvSpPr>
            <xdr:cNvPr id="218113" name="CommandButton1" hidden="1">
              <a:extLst>
                <a:ext uri="{63B3BB69-23CF-44E3-9099-C40C66FF867C}">
                  <a14:compatExt spid="_x0000_s218113"/>
                </a:ext>
                <a:ext uri="{FF2B5EF4-FFF2-40B4-BE49-F238E27FC236}">
                  <a16:creationId xmlns:a16="http://schemas.microsoft.com/office/drawing/2014/main" id="{00000000-0008-0000-0000-000001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352425</xdr:colOff>
          <xdr:row>4</xdr:row>
          <xdr:rowOff>142875</xdr:rowOff>
        </xdr:from>
        <xdr:to>
          <xdr:col>17</xdr:col>
          <xdr:colOff>1495425</xdr:colOff>
          <xdr:row>5</xdr:row>
          <xdr:rowOff>180975</xdr:rowOff>
        </xdr:to>
        <xdr:sp macro="" textlink="">
          <xdr:nvSpPr>
            <xdr:cNvPr id="218114" name="CommandButton2" hidden="1">
              <a:extLst>
                <a:ext uri="{63B3BB69-23CF-44E3-9099-C40C66FF867C}">
                  <a14:compatExt spid="_x0000_s218114"/>
                </a:ext>
                <a:ext uri="{FF2B5EF4-FFF2-40B4-BE49-F238E27FC236}">
                  <a16:creationId xmlns:a16="http://schemas.microsoft.com/office/drawing/2014/main" id="{00000000-0008-0000-0000-000002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285750</xdr:colOff>
      <xdr:row>55</xdr:row>
      <xdr:rowOff>104774</xdr:rowOff>
    </xdr:from>
    <xdr:to>
      <xdr:col>15</xdr:col>
      <xdr:colOff>304800</xdr:colOff>
      <xdr:row>69</xdr:row>
      <xdr:rowOff>171449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328611</xdr:colOff>
      <xdr:row>38</xdr:row>
      <xdr:rowOff>166686</xdr:rowOff>
    </xdr:from>
    <xdr:to>
      <xdr:col>15</xdr:col>
      <xdr:colOff>333374</xdr:colOff>
      <xdr:row>54</xdr:row>
      <xdr:rowOff>133349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314325</xdr:colOff>
      <xdr:row>70</xdr:row>
      <xdr:rowOff>66675</xdr:rowOff>
    </xdr:from>
    <xdr:to>
      <xdr:col>15</xdr:col>
      <xdr:colOff>200025</xdr:colOff>
      <xdr:row>84</xdr:row>
      <xdr:rowOff>171450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447675</xdr:colOff>
          <xdr:row>30</xdr:row>
          <xdr:rowOff>104775</xdr:rowOff>
        </xdr:from>
        <xdr:to>
          <xdr:col>4</xdr:col>
          <xdr:colOff>723900</xdr:colOff>
          <xdr:row>31</xdr:row>
          <xdr:rowOff>209550</xdr:rowOff>
        </xdr:to>
        <xdr:sp macro="" textlink="">
          <xdr:nvSpPr>
            <xdr:cNvPr id="50181" name="CommandButton1" hidden="1">
              <a:extLst>
                <a:ext uri="{63B3BB69-23CF-44E3-9099-C40C66FF867C}">
                  <a14:compatExt spid="_x0000_s50181"/>
                </a:ext>
                <a:ext uri="{FF2B5EF4-FFF2-40B4-BE49-F238E27FC236}">
                  <a16:creationId xmlns:a16="http://schemas.microsoft.com/office/drawing/2014/main" id="{00000000-0008-0000-0200-00000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38100</xdr:colOff>
          <xdr:row>26</xdr:row>
          <xdr:rowOff>95250</xdr:rowOff>
        </xdr:from>
        <xdr:to>
          <xdr:col>11</xdr:col>
          <xdr:colOff>714375</xdr:colOff>
          <xdr:row>27</xdr:row>
          <xdr:rowOff>200025</xdr:rowOff>
        </xdr:to>
        <xdr:sp macro="" textlink="">
          <xdr:nvSpPr>
            <xdr:cNvPr id="50190" name="ShowLocation" hidden="1">
              <a:extLst>
                <a:ext uri="{63B3BB69-23CF-44E3-9099-C40C66FF867C}">
                  <a14:compatExt spid="_x0000_s50190"/>
                </a:ext>
                <a:ext uri="{FF2B5EF4-FFF2-40B4-BE49-F238E27FC236}">
                  <a16:creationId xmlns:a16="http://schemas.microsoft.com/office/drawing/2014/main" id="{00000000-0008-0000-0200-00000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142875</xdr:colOff>
          <xdr:row>30</xdr:row>
          <xdr:rowOff>152400</xdr:rowOff>
        </xdr:from>
        <xdr:to>
          <xdr:col>6</xdr:col>
          <xdr:colOff>428625</xdr:colOff>
          <xdr:row>31</xdr:row>
          <xdr:rowOff>161925</xdr:rowOff>
        </xdr:to>
        <xdr:sp macro="" textlink="">
          <xdr:nvSpPr>
            <xdr:cNvPr id="50192" name="cbCheSoo" hidden="1">
              <a:extLst>
                <a:ext uri="{63B3BB69-23CF-44E3-9099-C40C66FF867C}">
                  <a14:compatExt spid="_x0000_s50192"/>
                </a:ext>
                <a:ext uri="{FF2B5EF4-FFF2-40B4-BE49-F238E27FC236}">
                  <a16:creationId xmlns:a16="http://schemas.microsoft.com/office/drawing/2014/main" id="{00000000-0008-0000-0200-00001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447675</xdr:colOff>
          <xdr:row>32</xdr:row>
          <xdr:rowOff>38100</xdr:rowOff>
        </xdr:from>
        <xdr:to>
          <xdr:col>4</xdr:col>
          <xdr:colOff>723900</xdr:colOff>
          <xdr:row>33</xdr:row>
          <xdr:rowOff>200025</xdr:rowOff>
        </xdr:to>
        <xdr:sp macro="" textlink="">
          <xdr:nvSpPr>
            <xdr:cNvPr id="50193" name="CommandButton2" hidden="1">
              <a:extLst>
                <a:ext uri="{63B3BB69-23CF-44E3-9099-C40C66FF867C}">
                  <a14:compatExt spid="_x0000_s50193"/>
                </a:ext>
                <a:ext uri="{FF2B5EF4-FFF2-40B4-BE49-F238E27FC236}">
                  <a16:creationId xmlns:a16="http://schemas.microsoft.com/office/drawing/2014/main" id="{00000000-0008-0000-0200-00001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571500</xdr:colOff>
          <xdr:row>18</xdr:row>
          <xdr:rowOff>85725</xdr:rowOff>
        </xdr:from>
        <xdr:to>
          <xdr:col>15</xdr:col>
          <xdr:colOff>733425</xdr:colOff>
          <xdr:row>19</xdr:row>
          <xdr:rowOff>190500</xdr:rowOff>
        </xdr:to>
        <xdr:sp macro="" textlink="">
          <xdr:nvSpPr>
            <xdr:cNvPr id="50195" name="CommandButton3" hidden="1">
              <a:extLst>
                <a:ext uri="{63B3BB69-23CF-44E3-9099-C40C66FF867C}">
                  <a14:compatExt spid="_x0000_s50195"/>
                </a:ext>
                <a:ext uri="{FF2B5EF4-FFF2-40B4-BE49-F238E27FC236}">
                  <a16:creationId xmlns:a16="http://schemas.microsoft.com/office/drawing/2014/main" id="{00000000-0008-0000-0200-00001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228600</xdr:colOff>
          <xdr:row>30</xdr:row>
          <xdr:rowOff>171450</xdr:rowOff>
        </xdr:from>
        <xdr:to>
          <xdr:col>7</xdr:col>
          <xdr:colOff>609600</xdr:colOff>
          <xdr:row>31</xdr:row>
          <xdr:rowOff>133350</xdr:rowOff>
        </xdr:to>
        <xdr:sp macro="" textlink="">
          <xdr:nvSpPr>
            <xdr:cNvPr id="50196" name="OptionButton1" hidden="1">
              <a:extLst>
                <a:ext uri="{63B3BB69-23CF-44E3-9099-C40C66FF867C}">
                  <a14:compatExt spid="_x0000_s50196"/>
                </a:ext>
                <a:ext uri="{FF2B5EF4-FFF2-40B4-BE49-F238E27FC236}">
                  <a16:creationId xmlns:a16="http://schemas.microsoft.com/office/drawing/2014/main" id="{00000000-0008-0000-0200-00001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228600</xdr:colOff>
          <xdr:row>31</xdr:row>
          <xdr:rowOff>123825</xdr:rowOff>
        </xdr:from>
        <xdr:to>
          <xdr:col>7</xdr:col>
          <xdr:colOff>704850</xdr:colOff>
          <xdr:row>32</xdr:row>
          <xdr:rowOff>142875</xdr:rowOff>
        </xdr:to>
        <xdr:sp macro="" textlink="">
          <xdr:nvSpPr>
            <xdr:cNvPr id="50197" name="OptionButton2" hidden="1">
              <a:extLst>
                <a:ext uri="{63B3BB69-23CF-44E3-9099-C40C66FF867C}">
                  <a14:compatExt spid="_x0000_s50197"/>
                </a:ext>
                <a:ext uri="{FF2B5EF4-FFF2-40B4-BE49-F238E27FC236}">
                  <a16:creationId xmlns:a16="http://schemas.microsoft.com/office/drawing/2014/main" id="{00000000-0008-0000-0200-00001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228600</xdr:colOff>
          <xdr:row>32</xdr:row>
          <xdr:rowOff>133350</xdr:rowOff>
        </xdr:from>
        <xdr:to>
          <xdr:col>8</xdr:col>
          <xdr:colOff>361950</xdr:colOff>
          <xdr:row>33</xdr:row>
          <xdr:rowOff>152400</xdr:rowOff>
        </xdr:to>
        <xdr:sp macro="" textlink="">
          <xdr:nvSpPr>
            <xdr:cNvPr id="50198" name="OptionButton3" hidden="1">
              <a:extLst>
                <a:ext uri="{63B3BB69-23CF-44E3-9099-C40C66FF867C}">
                  <a14:compatExt spid="_x0000_s50198"/>
                </a:ext>
                <a:ext uri="{FF2B5EF4-FFF2-40B4-BE49-F238E27FC236}">
                  <a16:creationId xmlns:a16="http://schemas.microsoft.com/office/drawing/2014/main" id="{00000000-0008-0000-0200-00001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47625</xdr:colOff>
          <xdr:row>2</xdr:row>
          <xdr:rowOff>28575</xdr:rowOff>
        </xdr:from>
        <xdr:to>
          <xdr:col>6</xdr:col>
          <xdr:colOff>666750</xdr:colOff>
          <xdr:row>4</xdr:row>
          <xdr:rowOff>85725</xdr:rowOff>
        </xdr:to>
        <xdr:sp macro="" textlink="">
          <xdr:nvSpPr>
            <xdr:cNvPr id="138244" name="HideLocation" hidden="1">
              <a:extLst>
                <a:ext uri="{63B3BB69-23CF-44E3-9099-C40C66FF867C}">
                  <a14:compatExt spid="_x0000_s138244"/>
                </a:ext>
                <a:ext uri="{FF2B5EF4-FFF2-40B4-BE49-F238E27FC236}">
                  <a16:creationId xmlns:a16="http://schemas.microsoft.com/office/drawing/2014/main" id="{00000000-0008-0000-0400-0000041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0</xdr:row>
          <xdr:rowOff>390525</xdr:rowOff>
        </xdr:from>
        <xdr:to>
          <xdr:col>1</xdr:col>
          <xdr:colOff>333375</xdr:colOff>
          <xdr:row>0</xdr:row>
          <xdr:rowOff>704850</xdr:rowOff>
        </xdr:to>
        <xdr:sp macro="" textlink="">
          <xdr:nvSpPr>
            <xdr:cNvPr id="99329" name="CommandButton1" hidden="1">
              <a:extLst>
                <a:ext uri="{63B3BB69-23CF-44E3-9099-C40C66FF867C}">
                  <a14:compatExt spid="_x0000_s99329"/>
                </a:ext>
                <a:ext uri="{FF2B5EF4-FFF2-40B4-BE49-F238E27FC236}">
                  <a16:creationId xmlns:a16="http://schemas.microsoft.com/office/drawing/2014/main" id="{00000000-0008-0000-0500-000001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390525</xdr:colOff>
          <xdr:row>0</xdr:row>
          <xdr:rowOff>390525</xdr:rowOff>
        </xdr:from>
        <xdr:to>
          <xdr:col>2</xdr:col>
          <xdr:colOff>28575</xdr:colOff>
          <xdr:row>0</xdr:row>
          <xdr:rowOff>704850</xdr:rowOff>
        </xdr:to>
        <xdr:sp macro="" textlink="">
          <xdr:nvSpPr>
            <xdr:cNvPr id="99330" name="CommandButton2" hidden="1">
              <a:extLst>
                <a:ext uri="{63B3BB69-23CF-44E3-9099-C40C66FF867C}">
                  <a14:compatExt spid="_x0000_s99330"/>
                </a:ext>
                <a:ext uri="{FF2B5EF4-FFF2-40B4-BE49-F238E27FC236}">
                  <a16:creationId xmlns:a16="http://schemas.microsoft.com/office/drawing/2014/main" id="{00000000-0008-0000-0500-000002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323850</xdr:colOff>
          <xdr:row>0</xdr:row>
          <xdr:rowOff>438150</xdr:rowOff>
        </xdr:from>
        <xdr:to>
          <xdr:col>14</xdr:col>
          <xdr:colOff>523875</xdr:colOff>
          <xdr:row>0</xdr:row>
          <xdr:rowOff>752475</xdr:rowOff>
        </xdr:to>
        <xdr:sp macro="" textlink="">
          <xdr:nvSpPr>
            <xdr:cNvPr id="99332" name="CommandButton4" hidden="1">
              <a:extLst>
                <a:ext uri="{63B3BB69-23CF-44E3-9099-C40C66FF867C}">
                  <a14:compatExt spid="_x0000_s99332"/>
                </a:ext>
                <a:ext uri="{FF2B5EF4-FFF2-40B4-BE49-F238E27FC236}">
                  <a16:creationId xmlns:a16="http://schemas.microsoft.com/office/drawing/2014/main" id="{00000000-0008-0000-0500-000004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457200</xdr:colOff>
          <xdr:row>0</xdr:row>
          <xdr:rowOff>95250</xdr:rowOff>
        </xdr:from>
        <xdr:to>
          <xdr:col>2</xdr:col>
          <xdr:colOff>438150</xdr:colOff>
          <xdr:row>0</xdr:row>
          <xdr:rowOff>381000</xdr:rowOff>
        </xdr:to>
        <xdr:sp macro="" textlink="">
          <xdr:nvSpPr>
            <xdr:cNvPr id="99334" name="SingleColor" hidden="1">
              <a:extLst>
                <a:ext uri="{63B3BB69-23CF-44E3-9099-C40C66FF867C}">
                  <a14:compatExt spid="_x0000_s99334"/>
                </a:ext>
                <a:ext uri="{FF2B5EF4-FFF2-40B4-BE49-F238E27FC236}">
                  <a16:creationId xmlns:a16="http://schemas.microsoft.com/office/drawing/2014/main" id="{00000000-0008-0000-0500-000006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571500</xdr:colOff>
          <xdr:row>0</xdr:row>
          <xdr:rowOff>438150</xdr:rowOff>
        </xdr:from>
        <xdr:to>
          <xdr:col>15</xdr:col>
          <xdr:colOff>609600</xdr:colOff>
          <xdr:row>0</xdr:row>
          <xdr:rowOff>752475</xdr:rowOff>
        </xdr:to>
        <xdr:sp macro="" textlink="">
          <xdr:nvSpPr>
            <xdr:cNvPr id="99335" name="CommandButton5" hidden="1">
              <a:extLst>
                <a:ext uri="{63B3BB69-23CF-44E3-9099-C40C66FF867C}">
                  <a14:compatExt spid="_x0000_s99335"/>
                </a:ext>
                <a:ext uri="{FF2B5EF4-FFF2-40B4-BE49-F238E27FC236}">
                  <a16:creationId xmlns:a16="http://schemas.microsoft.com/office/drawing/2014/main" id="{00000000-0008-0000-0500-000007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104775</xdr:colOff>
          <xdr:row>0</xdr:row>
          <xdr:rowOff>400050</xdr:rowOff>
        </xdr:from>
        <xdr:to>
          <xdr:col>2</xdr:col>
          <xdr:colOff>666750</xdr:colOff>
          <xdr:row>0</xdr:row>
          <xdr:rowOff>714375</xdr:rowOff>
        </xdr:to>
        <xdr:sp macro="" textlink="">
          <xdr:nvSpPr>
            <xdr:cNvPr id="99336" name="CommandButton6" hidden="1">
              <a:extLst>
                <a:ext uri="{63B3BB69-23CF-44E3-9099-C40C66FF867C}">
                  <a14:compatExt spid="_x0000_s99336"/>
                </a:ext>
                <a:ext uri="{FF2B5EF4-FFF2-40B4-BE49-F238E27FC236}">
                  <a16:creationId xmlns:a16="http://schemas.microsoft.com/office/drawing/2014/main" id="{00000000-0008-0000-0500-000008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657225</xdr:colOff>
          <xdr:row>0</xdr:row>
          <xdr:rowOff>438150</xdr:rowOff>
        </xdr:from>
        <xdr:to>
          <xdr:col>16</xdr:col>
          <xdr:colOff>476250</xdr:colOff>
          <xdr:row>0</xdr:row>
          <xdr:rowOff>752475</xdr:rowOff>
        </xdr:to>
        <xdr:sp macro="" textlink="">
          <xdr:nvSpPr>
            <xdr:cNvPr id="99342" name="CommandButton7" hidden="1">
              <a:extLst>
                <a:ext uri="{63B3BB69-23CF-44E3-9099-C40C66FF867C}">
                  <a14:compatExt spid="_x0000_s99342"/>
                </a:ext>
                <a:ext uri="{FF2B5EF4-FFF2-40B4-BE49-F238E27FC236}">
                  <a16:creationId xmlns:a16="http://schemas.microsoft.com/office/drawing/2014/main" id="{00000000-0008-0000-0500-00000E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514350</xdr:colOff>
          <xdr:row>0</xdr:row>
          <xdr:rowOff>428625</xdr:rowOff>
        </xdr:from>
        <xdr:to>
          <xdr:col>16</xdr:col>
          <xdr:colOff>1276350</xdr:colOff>
          <xdr:row>0</xdr:row>
          <xdr:rowOff>742950</xdr:rowOff>
        </xdr:to>
        <xdr:sp macro="" textlink="">
          <xdr:nvSpPr>
            <xdr:cNvPr id="99346" name="CommandButton3" hidden="1">
              <a:extLst>
                <a:ext uri="{63B3BB69-23CF-44E3-9099-C40C66FF867C}">
                  <a14:compatExt spid="_x0000_s99346"/>
                </a:ext>
                <a:ext uri="{FF2B5EF4-FFF2-40B4-BE49-F238E27FC236}">
                  <a16:creationId xmlns:a16="http://schemas.microsoft.com/office/drawing/2014/main" id="{00000000-0008-0000-0500-000012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1</xdr:row>
          <xdr:rowOff>114300</xdr:rowOff>
        </xdr:from>
        <xdr:to>
          <xdr:col>5</xdr:col>
          <xdr:colOff>38100</xdr:colOff>
          <xdr:row>3</xdr:row>
          <xdr:rowOff>9525</xdr:rowOff>
        </xdr:to>
        <xdr:sp macro="" textlink="">
          <xdr:nvSpPr>
            <xdr:cNvPr id="178177" name="CommandButton1" hidden="1">
              <a:extLst>
                <a:ext uri="{63B3BB69-23CF-44E3-9099-C40C66FF867C}">
                  <a14:compatExt spid="_x0000_s178177"/>
                </a:ext>
                <a:ext uri="{FF2B5EF4-FFF2-40B4-BE49-F238E27FC236}">
                  <a16:creationId xmlns:a16="http://schemas.microsoft.com/office/drawing/2014/main" id="{00000000-0008-0000-0600-000001B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133350</xdr:colOff>
          <xdr:row>3</xdr:row>
          <xdr:rowOff>47625</xdr:rowOff>
        </xdr:from>
        <xdr:to>
          <xdr:col>5</xdr:col>
          <xdr:colOff>28575</xdr:colOff>
          <xdr:row>4</xdr:row>
          <xdr:rowOff>190500</xdr:rowOff>
        </xdr:to>
        <xdr:sp macro="" textlink="">
          <xdr:nvSpPr>
            <xdr:cNvPr id="178178" name="CommandButton2" hidden="1">
              <a:extLst>
                <a:ext uri="{63B3BB69-23CF-44E3-9099-C40C66FF867C}">
                  <a14:compatExt spid="_x0000_s178178"/>
                </a:ext>
                <a:ext uri="{FF2B5EF4-FFF2-40B4-BE49-F238E27FC236}">
                  <a16:creationId xmlns:a16="http://schemas.microsoft.com/office/drawing/2014/main" id="{00000000-0008-0000-0600-000002B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1</xdr:row>
          <xdr:rowOff>38100</xdr:rowOff>
        </xdr:from>
        <xdr:to>
          <xdr:col>2</xdr:col>
          <xdr:colOff>342900</xdr:colOff>
          <xdr:row>1</xdr:row>
          <xdr:rowOff>428625</xdr:rowOff>
        </xdr:to>
        <xdr:sp macro="" textlink="">
          <xdr:nvSpPr>
            <xdr:cNvPr id="205825" name="CommandButton1" hidden="1">
              <a:extLst>
                <a:ext uri="{63B3BB69-23CF-44E3-9099-C40C66FF867C}">
                  <a14:compatExt spid="_x0000_s205825"/>
                </a:ext>
                <a:ext uri="{FF2B5EF4-FFF2-40B4-BE49-F238E27FC236}">
                  <a16:creationId xmlns:a16="http://schemas.microsoft.com/office/drawing/2014/main" id="{00000000-0008-0000-0700-0000012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133350</xdr:colOff>
          <xdr:row>2</xdr:row>
          <xdr:rowOff>28575</xdr:rowOff>
        </xdr:from>
        <xdr:to>
          <xdr:col>2</xdr:col>
          <xdr:colOff>352425</xdr:colOff>
          <xdr:row>3</xdr:row>
          <xdr:rowOff>171450</xdr:rowOff>
        </xdr:to>
        <xdr:sp macro="" textlink="">
          <xdr:nvSpPr>
            <xdr:cNvPr id="205826" name="CommandButton2" hidden="1">
              <a:extLst>
                <a:ext uri="{63B3BB69-23CF-44E3-9099-C40C66FF867C}">
                  <a14:compatExt spid="_x0000_s205826"/>
                </a:ext>
                <a:ext uri="{FF2B5EF4-FFF2-40B4-BE49-F238E27FC236}">
                  <a16:creationId xmlns:a16="http://schemas.microsoft.com/office/drawing/2014/main" id="{00000000-0008-0000-0700-0000022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190500</xdr:colOff>
          <xdr:row>2</xdr:row>
          <xdr:rowOff>28575</xdr:rowOff>
        </xdr:from>
        <xdr:to>
          <xdr:col>1</xdr:col>
          <xdr:colOff>609600</xdr:colOff>
          <xdr:row>3</xdr:row>
          <xdr:rowOff>95250</xdr:rowOff>
        </xdr:to>
        <xdr:sp macro="" textlink="">
          <xdr:nvSpPr>
            <xdr:cNvPr id="253954" name="CommandButton1" hidden="1">
              <a:extLst>
                <a:ext uri="{63B3BB69-23CF-44E3-9099-C40C66FF867C}">
                  <a14:compatExt spid="_x0000_s253954"/>
                </a:ext>
                <a:ext uri="{FF2B5EF4-FFF2-40B4-BE49-F238E27FC236}">
                  <a16:creationId xmlns:a16="http://schemas.microsoft.com/office/drawing/2014/main" id="{00000000-0008-0000-0800-000002E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200025</xdr:colOff>
          <xdr:row>3</xdr:row>
          <xdr:rowOff>142875</xdr:rowOff>
        </xdr:from>
        <xdr:to>
          <xdr:col>1</xdr:col>
          <xdr:colOff>619125</xdr:colOff>
          <xdr:row>4</xdr:row>
          <xdr:rowOff>209550</xdr:rowOff>
        </xdr:to>
        <xdr:sp macro="" textlink="">
          <xdr:nvSpPr>
            <xdr:cNvPr id="253955" name="CommandButton2" hidden="1">
              <a:extLst>
                <a:ext uri="{63B3BB69-23CF-44E3-9099-C40C66FF867C}">
                  <a14:compatExt spid="_x0000_s253955"/>
                </a:ext>
                <a:ext uri="{FF2B5EF4-FFF2-40B4-BE49-F238E27FC236}">
                  <a16:creationId xmlns:a16="http://schemas.microsoft.com/office/drawing/2014/main" id="{00000000-0008-0000-0800-000003E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180975</xdr:colOff>
          <xdr:row>1</xdr:row>
          <xdr:rowOff>47625</xdr:rowOff>
        </xdr:from>
        <xdr:to>
          <xdr:col>1</xdr:col>
          <xdr:colOff>304800</xdr:colOff>
          <xdr:row>2</xdr:row>
          <xdr:rowOff>9525</xdr:rowOff>
        </xdr:to>
        <xdr:sp macro="" textlink="">
          <xdr:nvSpPr>
            <xdr:cNvPr id="264193" name="CommandButton1" hidden="1">
              <a:extLst>
                <a:ext uri="{63B3BB69-23CF-44E3-9099-C40C66FF867C}">
                  <a14:compatExt spid="_x0000_s264193"/>
                </a:ext>
                <a:ext uri="{FF2B5EF4-FFF2-40B4-BE49-F238E27FC236}">
                  <a16:creationId xmlns:a16="http://schemas.microsoft.com/office/drawing/2014/main" id="{00000000-0008-0000-0900-0000010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180975</xdr:colOff>
          <xdr:row>2</xdr:row>
          <xdr:rowOff>57150</xdr:rowOff>
        </xdr:from>
        <xdr:to>
          <xdr:col>1</xdr:col>
          <xdr:colOff>304800</xdr:colOff>
          <xdr:row>2</xdr:row>
          <xdr:rowOff>371475</xdr:rowOff>
        </xdr:to>
        <xdr:sp macro="" textlink="">
          <xdr:nvSpPr>
            <xdr:cNvPr id="264194" name="CommandButton2" hidden="1">
              <a:extLst>
                <a:ext uri="{63B3BB69-23CF-44E3-9099-C40C66FF867C}">
                  <a14:compatExt spid="_x0000_s264194"/>
                </a:ext>
                <a:ext uri="{FF2B5EF4-FFF2-40B4-BE49-F238E27FC236}">
                  <a16:creationId xmlns:a16="http://schemas.microsoft.com/office/drawing/2014/main" id="{00000000-0008-0000-0900-0000020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7</xdr:row>
          <xdr:rowOff>228600</xdr:rowOff>
        </xdr:from>
        <xdr:to>
          <xdr:col>10</xdr:col>
          <xdr:colOff>1295400</xdr:colOff>
          <xdr:row>9</xdr:row>
          <xdr:rowOff>180975</xdr:rowOff>
        </xdr:to>
        <xdr:sp macro="" textlink="">
          <xdr:nvSpPr>
            <xdr:cNvPr id="3096" name="CommandButton5" hidden="1">
              <a:extLst>
                <a:ext uri="{63B3BB69-23CF-44E3-9099-C40C66FF867C}">
                  <a14:compatExt spid="_x0000_s3096"/>
                </a:ext>
                <a:ext uri="{FF2B5EF4-FFF2-40B4-BE49-F238E27FC236}">
                  <a16:creationId xmlns:a16="http://schemas.microsoft.com/office/drawing/2014/main" id="{00000000-0008-0000-0A00-00001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18</xdr:row>
          <xdr:rowOff>123825</xdr:rowOff>
        </xdr:from>
        <xdr:to>
          <xdr:col>10</xdr:col>
          <xdr:colOff>1162050</xdr:colOff>
          <xdr:row>21</xdr:row>
          <xdr:rowOff>0</xdr:rowOff>
        </xdr:to>
        <xdr:sp macro="" textlink="">
          <xdr:nvSpPr>
            <xdr:cNvPr id="3102" name="Frame1" hidden="1">
              <a:extLst>
                <a:ext uri="{63B3BB69-23CF-44E3-9099-C40C66FF867C}">
                  <a14:compatExt spid="_x0000_s3102"/>
                </a:ext>
                <a:ext uri="{FF2B5EF4-FFF2-40B4-BE49-F238E27FC236}">
                  <a16:creationId xmlns:a16="http://schemas.microsoft.com/office/drawing/2014/main" id="{00000000-0008-0000-0A00-00001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21</xdr:row>
          <xdr:rowOff>123825</xdr:rowOff>
        </xdr:from>
        <xdr:to>
          <xdr:col>10</xdr:col>
          <xdr:colOff>1143000</xdr:colOff>
          <xdr:row>23</xdr:row>
          <xdr:rowOff>38100</xdr:rowOff>
        </xdr:to>
        <xdr:sp macro="" textlink="">
          <xdr:nvSpPr>
            <xdr:cNvPr id="3103" name="CommandButton6" hidden="1">
              <a:extLst>
                <a:ext uri="{63B3BB69-23CF-44E3-9099-C40C66FF867C}">
                  <a14:compatExt spid="_x0000_s3103"/>
                </a:ext>
                <a:ext uri="{FF2B5EF4-FFF2-40B4-BE49-F238E27FC236}">
                  <a16:creationId xmlns:a16="http://schemas.microsoft.com/office/drawing/2014/main" id="{00000000-0008-0000-0A00-00001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133350</xdr:colOff>
          <xdr:row>9</xdr:row>
          <xdr:rowOff>161925</xdr:rowOff>
        </xdr:from>
        <xdr:to>
          <xdr:col>7</xdr:col>
          <xdr:colOff>1000125</xdr:colOff>
          <xdr:row>11</xdr:row>
          <xdr:rowOff>28575</xdr:rowOff>
        </xdr:to>
        <xdr:sp macro="" textlink="">
          <xdr:nvSpPr>
            <xdr:cNvPr id="3115" name="CommandButton1" hidden="1">
              <a:extLst>
                <a:ext uri="{63B3BB69-23CF-44E3-9099-C40C66FF867C}">
                  <a14:compatExt spid="_x0000_s3115"/>
                </a:ext>
                <a:ext uri="{FF2B5EF4-FFF2-40B4-BE49-F238E27FC236}">
                  <a16:creationId xmlns:a16="http://schemas.microsoft.com/office/drawing/2014/main" id="{00000000-0008-0000-0A00-00002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133350</xdr:colOff>
          <xdr:row>11</xdr:row>
          <xdr:rowOff>123825</xdr:rowOff>
        </xdr:from>
        <xdr:to>
          <xdr:col>7</xdr:col>
          <xdr:colOff>1000125</xdr:colOff>
          <xdr:row>12</xdr:row>
          <xdr:rowOff>238125</xdr:rowOff>
        </xdr:to>
        <xdr:sp macro="" textlink="">
          <xdr:nvSpPr>
            <xdr:cNvPr id="3116" name="CommandButton2" hidden="1">
              <a:extLst>
                <a:ext uri="{63B3BB69-23CF-44E3-9099-C40C66FF867C}">
                  <a14:compatExt spid="_x0000_s3116"/>
                </a:ext>
                <a:ext uri="{FF2B5EF4-FFF2-40B4-BE49-F238E27FC236}">
                  <a16:creationId xmlns:a16="http://schemas.microsoft.com/office/drawing/2014/main" id="{00000000-0008-0000-0A00-00002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133350</xdr:colOff>
          <xdr:row>13</xdr:row>
          <xdr:rowOff>85725</xdr:rowOff>
        </xdr:from>
        <xdr:to>
          <xdr:col>7</xdr:col>
          <xdr:colOff>1000125</xdr:colOff>
          <xdr:row>14</xdr:row>
          <xdr:rowOff>200025</xdr:rowOff>
        </xdr:to>
        <xdr:sp macro="" textlink="">
          <xdr:nvSpPr>
            <xdr:cNvPr id="3117" name="CommandButton3" hidden="1">
              <a:extLst>
                <a:ext uri="{63B3BB69-23CF-44E3-9099-C40C66FF867C}">
                  <a14:compatExt spid="_x0000_s3117"/>
                </a:ext>
                <a:ext uri="{FF2B5EF4-FFF2-40B4-BE49-F238E27FC236}">
                  <a16:creationId xmlns:a16="http://schemas.microsoft.com/office/drawing/2014/main" id="{00000000-0008-0000-0A00-00002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133350</xdr:colOff>
          <xdr:row>19</xdr:row>
          <xdr:rowOff>95250</xdr:rowOff>
        </xdr:from>
        <xdr:to>
          <xdr:col>7</xdr:col>
          <xdr:colOff>1000125</xdr:colOff>
          <xdr:row>20</xdr:row>
          <xdr:rowOff>209550</xdr:rowOff>
        </xdr:to>
        <xdr:sp macro="" textlink="">
          <xdr:nvSpPr>
            <xdr:cNvPr id="3118" name="CommandButton4" hidden="1">
              <a:extLst>
                <a:ext uri="{63B3BB69-23CF-44E3-9099-C40C66FF867C}">
                  <a14:compatExt spid="_x0000_s3118"/>
                </a:ext>
                <a:ext uri="{FF2B5EF4-FFF2-40B4-BE49-F238E27FC236}">
                  <a16:creationId xmlns:a16="http://schemas.microsoft.com/office/drawing/2014/main" id="{00000000-0008-0000-0A00-00002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133350</xdr:colOff>
          <xdr:row>15</xdr:row>
          <xdr:rowOff>47625</xdr:rowOff>
        </xdr:from>
        <xdr:to>
          <xdr:col>7</xdr:col>
          <xdr:colOff>1000125</xdr:colOff>
          <xdr:row>16</xdr:row>
          <xdr:rowOff>161925</xdr:rowOff>
        </xdr:to>
        <xdr:sp macro="" textlink="">
          <xdr:nvSpPr>
            <xdr:cNvPr id="3119" name="CommandButton7" hidden="1">
              <a:extLst>
                <a:ext uri="{63B3BB69-23CF-44E3-9099-C40C66FF867C}">
                  <a14:compatExt spid="_x0000_s3119"/>
                </a:ext>
                <a:ext uri="{FF2B5EF4-FFF2-40B4-BE49-F238E27FC236}">
                  <a16:creationId xmlns:a16="http://schemas.microsoft.com/office/drawing/2014/main" id="{00000000-0008-0000-0A00-00002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104775</xdr:colOff>
          <xdr:row>2</xdr:row>
          <xdr:rowOff>38100</xdr:rowOff>
        </xdr:from>
        <xdr:to>
          <xdr:col>7</xdr:col>
          <xdr:colOff>971550</xdr:colOff>
          <xdr:row>3</xdr:row>
          <xdr:rowOff>152400</xdr:rowOff>
        </xdr:to>
        <xdr:sp macro="" textlink="">
          <xdr:nvSpPr>
            <xdr:cNvPr id="3120" name="CommandButton8" hidden="1">
              <a:extLst>
                <a:ext uri="{63B3BB69-23CF-44E3-9099-C40C66FF867C}">
                  <a14:compatExt spid="_x0000_s3120"/>
                </a:ext>
                <a:ext uri="{FF2B5EF4-FFF2-40B4-BE49-F238E27FC236}">
                  <a16:creationId xmlns:a16="http://schemas.microsoft.com/office/drawing/2014/main" id="{00000000-0008-0000-0A00-00003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7</xdr:row>
          <xdr:rowOff>228600</xdr:rowOff>
        </xdr:from>
        <xdr:to>
          <xdr:col>10</xdr:col>
          <xdr:colOff>1295400</xdr:colOff>
          <xdr:row>9</xdr:row>
          <xdr:rowOff>180975</xdr:rowOff>
        </xdr:to>
        <xdr:sp macro="" textlink="">
          <xdr:nvSpPr>
            <xdr:cNvPr id="259073" name="CommandButton5" hidden="1">
              <a:extLst>
                <a:ext uri="{63B3BB69-23CF-44E3-9099-C40C66FF867C}">
                  <a14:compatExt spid="_x0000_s259073"/>
                </a:ext>
                <a:ext uri="{FF2B5EF4-FFF2-40B4-BE49-F238E27FC236}">
                  <a16:creationId xmlns:a16="http://schemas.microsoft.com/office/drawing/2014/main" id="{00000000-0008-0000-0B00-000001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18</xdr:row>
          <xdr:rowOff>123825</xdr:rowOff>
        </xdr:from>
        <xdr:to>
          <xdr:col>10</xdr:col>
          <xdr:colOff>1162050</xdr:colOff>
          <xdr:row>21</xdr:row>
          <xdr:rowOff>0</xdr:rowOff>
        </xdr:to>
        <xdr:sp macro="" textlink="">
          <xdr:nvSpPr>
            <xdr:cNvPr id="259074" name="Frame1" hidden="1">
              <a:extLst>
                <a:ext uri="{63B3BB69-23CF-44E3-9099-C40C66FF867C}">
                  <a14:compatExt spid="_x0000_s259074"/>
                </a:ext>
                <a:ext uri="{FF2B5EF4-FFF2-40B4-BE49-F238E27FC236}">
                  <a16:creationId xmlns:a16="http://schemas.microsoft.com/office/drawing/2014/main" id="{00000000-0008-0000-0B00-000002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21</xdr:row>
          <xdr:rowOff>123825</xdr:rowOff>
        </xdr:from>
        <xdr:to>
          <xdr:col>10</xdr:col>
          <xdr:colOff>1209675</xdr:colOff>
          <xdr:row>23</xdr:row>
          <xdr:rowOff>38100</xdr:rowOff>
        </xdr:to>
        <xdr:sp macro="" textlink="">
          <xdr:nvSpPr>
            <xdr:cNvPr id="259075" name="CommandButton6" hidden="1">
              <a:extLst>
                <a:ext uri="{63B3BB69-23CF-44E3-9099-C40C66FF867C}">
                  <a14:compatExt spid="_x0000_s259075"/>
                </a:ext>
                <a:ext uri="{FF2B5EF4-FFF2-40B4-BE49-F238E27FC236}">
                  <a16:creationId xmlns:a16="http://schemas.microsoft.com/office/drawing/2014/main" id="{00000000-0008-0000-0B00-000003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104775</xdr:colOff>
          <xdr:row>2</xdr:row>
          <xdr:rowOff>38100</xdr:rowOff>
        </xdr:from>
        <xdr:to>
          <xdr:col>7</xdr:col>
          <xdr:colOff>971550</xdr:colOff>
          <xdr:row>3</xdr:row>
          <xdr:rowOff>152400</xdr:rowOff>
        </xdr:to>
        <xdr:sp macro="" textlink="">
          <xdr:nvSpPr>
            <xdr:cNvPr id="259081" name="CommandButton8" hidden="1">
              <a:extLst>
                <a:ext uri="{63B3BB69-23CF-44E3-9099-C40C66FF867C}">
                  <a14:compatExt spid="_x0000_s259081"/>
                </a:ext>
                <a:ext uri="{FF2B5EF4-FFF2-40B4-BE49-F238E27FC236}">
                  <a16:creationId xmlns:a16="http://schemas.microsoft.com/office/drawing/2014/main" id="{00000000-0008-0000-0B00-000009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7</xdr:row>
          <xdr:rowOff>228600</xdr:rowOff>
        </xdr:from>
        <xdr:to>
          <xdr:col>10</xdr:col>
          <xdr:colOff>1295400</xdr:colOff>
          <xdr:row>9</xdr:row>
          <xdr:rowOff>180975</xdr:rowOff>
        </xdr:to>
        <xdr:sp macro="" textlink="">
          <xdr:nvSpPr>
            <xdr:cNvPr id="260097" name="CommandButton5" hidden="1">
              <a:extLst>
                <a:ext uri="{63B3BB69-23CF-44E3-9099-C40C66FF867C}">
                  <a14:compatExt spid="_x0000_s260097"/>
                </a:ext>
                <a:ext uri="{FF2B5EF4-FFF2-40B4-BE49-F238E27FC236}">
                  <a16:creationId xmlns:a16="http://schemas.microsoft.com/office/drawing/2014/main" id="{00000000-0008-0000-0C00-000001F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18</xdr:row>
          <xdr:rowOff>123825</xdr:rowOff>
        </xdr:from>
        <xdr:to>
          <xdr:col>10</xdr:col>
          <xdr:colOff>1162050</xdr:colOff>
          <xdr:row>21</xdr:row>
          <xdr:rowOff>0</xdr:rowOff>
        </xdr:to>
        <xdr:sp macro="" textlink="">
          <xdr:nvSpPr>
            <xdr:cNvPr id="260098" name="Frame1" hidden="1">
              <a:extLst>
                <a:ext uri="{63B3BB69-23CF-44E3-9099-C40C66FF867C}">
                  <a14:compatExt spid="_x0000_s260098"/>
                </a:ext>
                <a:ext uri="{FF2B5EF4-FFF2-40B4-BE49-F238E27FC236}">
                  <a16:creationId xmlns:a16="http://schemas.microsoft.com/office/drawing/2014/main" id="{00000000-0008-0000-0C00-000002F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21</xdr:row>
          <xdr:rowOff>123825</xdr:rowOff>
        </xdr:from>
        <xdr:to>
          <xdr:col>10</xdr:col>
          <xdr:colOff>1209675</xdr:colOff>
          <xdr:row>23</xdr:row>
          <xdr:rowOff>38100</xdr:rowOff>
        </xdr:to>
        <xdr:sp macro="" textlink="">
          <xdr:nvSpPr>
            <xdr:cNvPr id="260099" name="CommandButton6" hidden="1">
              <a:extLst>
                <a:ext uri="{63B3BB69-23CF-44E3-9099-C40C66FF867C}">
                  <a14:compatExt spid="_x0000_s260099"/>
                </a:ext>
                <a:ext uri="{FF2B5EF4-FFF2-40B4-BE49-F238E27FC236}">
                  <a16:creationId xmlns:a16="http://schemas.microsoft.com/office/drawing/2014/main" id="{00000000-0008-0000-0C00-000003F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104775</xdr:colOff>
          <xdr:row>2</xdr:row>
          <xdr:rowOff>38100</xdr:rowOff>
        </xdr:from>
        <xdr:to>
          <xdr:col>7</xdr:col>
          <xdr:colOff>971550</xdr:colOff>
          <xdr:row>3</xdr:row>
          <xdr:rowOff>152400</xdr:rowOff>
        </xdr:to>
        <xdr:sp macro="" textlink="">
          <xdr:nvSpPr>
            <xdr:cNvPr id="260100" name="CommandButton8" hidden="1">
              <a:extLst>
                <a:ext uri="{63B3BB69-23CF-44E3-9099-C40C66FF867C}">
                  <a14:compatExt spid="_x0000_s260100"/>
                </a:ext>
                <a:ext uri="{FF2B5EF4-FFF2-40B4-BE49-F238E27FC236}">
                  <a16:creationId xmlns:a16="http://schemas.microsoft.com/office/drawing/2014/main" id="{00000000-0008-0000-0C00-000004F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76200</xdr:colOff>
          <xdr:row>5</xdr:row>
          <xdr:rowOff>38100</xdr:rowOff>
        </xdr:from>
        <xdr:to>
          <xdr:col>6</xdr:col>
          <xdr:colOff>104775</xdr:colOff>
          <xdr:row>6</xdr:row>
          <xdr:rowOff>57150</xdr:rowOff>
        </xdr:to>
        <xdr:sp macro="" textlink="">
          <xdr:nvSpPr>
            <xdr:cNvPr id="129025" name="CommandButton1" hidden="1">
              <a:extLst>
                <a:ext uri="{63B3BB69-23CF-44E3-9099-C40C66FF867C}">
                  <a14:compatExt spid="_x0000_s129025"/>
                </a:ext>
                <a:ext uri="{FF2B5EF4-FFF2-40B4-BE49-F238E27FC236}">
                  <a16:creationId xmlns:a16="http://schemas.microsoft.com/office/drawing/2014/main" id="{00000000-0008-0000-0D00-000001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76200</xdr:colOff>
          <xdr:row>6</xdr:row>
          <xdr:rowOff>104775</xdr:rowOff>
        </xdr:from>
        <xdr:to>
          <xdr:col>6</xdr:col>
          <xdr:colOff>104775</xdr:colOff>
          <xdr:row>7</xdr:row>
          <xdr:rowOff>114300</xdr:rowOff>
        </xdr:to>
        <xdr:sp macro="" textlink="">
          <xdr:nvSpPr>
            <xdr:cNvPr id="129026" name="CommandButton2" hidden="1">
              <a:extLst>
                <a:ext uri="{63B3BB69-23CF-44E3-9099-C40C66FF867C}">
                  <a14:compatExt spid="_x0000_s129026"/>
                </a:ext>
                <a:ext uri="{FF2B5EF4-FFF2-40B4-BE49-F238E27FC236}">
                  <a16:creationId xmlns:a16="http://schemas.microsoft.com/office/drawing/2014/main" id="{00000000-0008-0000-0D00-000002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76200</xdr:colOff>
          <xdr:row>7</xdr:row>
          <xdr:rowOff>161925</xdr:rowOff>
        </xdr:from>
        <xdr:to>
          <xdr:col>6</xdr:col>
          <xdr:colOff>104775</xdr:colOff>
          <xdr:row>8</xdr:row>
          <xdr:rowOff>161925</xdr:rowOff>
        </xdr:to>
        <xdr:sp macro="" textlink="">
          <xdr:nvSpPr>
            <xdr:cNvPr id="129027" name="CommandButton3" hidden="1">
              <a:extLst>
                <a:ext uri="{63B3BB69-23CF-44E3-9099-C40C66FF867C}">
                  <a14:compatExt spid="_x0000_s129027"/>
                </a:ext>
                <a:ext uri="{FF2B5EF4-FFF2-40B4-BE49-F238E27FC236}">
                  <a16:creationId xmlns:a16="http://schemas.microsoft.com/office/drawing/2014/main" id="{00000000-0008-0000-0D00-000003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142875</xdr:colOff>
          <xdr:row>5</xdr:row>
          <xdr:rowOff>38100</xdr:rowOff>
        </xdr:from>
        <xdr:to>
          <xdr:col>6</xdr:col>
          <xdr:colOff>600075</xdr:colOff>
          <xdr:row>6</xdr:row>
          <xdr:rowOff>57150</xdr:rowOff>
        </xdr:to>
        <xdr:sp macro="" textlink="">
          <xdr:nvSpPr>
            <xdr:cNvPr id="126977" name="CommandButton1" hidden="1">
              <a:extLst>
                <a:ext uri="{63B3BB69-23CF-44E3-9099-C40C66FF867C}">
                  <a14:compatExt spid="_x0000_s126977"/>
                </a:ext>
                <a:ext uri="{FF2B5EF4-FFF2-40B4-BE49-F238E27FC236}">
                  <a16:creationId xmlns:a16="http://schemas.microsoft.com/office/drawing/2014/main" id="{00000000-0008-0000-0E00-000001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142875</xdr:colOff>
          <xdr:row>6</xdr:row>
          <xdr:rowOff>114300</xdr:rowOff>
        </xdr:from>
        <xdr:to>
          <xdr:col>6</xdr:col>
          <xdr:colOff>600075</xdr:colOff>
          <xdr:row>7</xdr:row>
          <xdr:rowOff>133350</xdr:rowOff>
        </xdr:to>
        <xdr:sp macro="" textlink="">
          <xdr:nvSpPr>
            <xdr:cNvPr id="126978" name="CommandButton2" hidden="1">
              <a:extLst>
                <a:ext uri="{63B3BB69-23CF-44E3-9099-C40C66FF867C}">
                  <a14:compatExt spid="_x0000_s126978"/>
                </a:ext>
                <a:ext uri="{FF2B5EF4-FFF2-40B4-BE49-F238E27FC236}">
                  <a16:creationId xmlns:a16="http://schemas.microsoft.com/office/drawing/2014/main" id="{00000000-0008-0000-0E00-000002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133350</xdr:colOff>
          <xdr:row>7</xdr:row>
          <xdr:rowOff>200025</xdr:rowOff>
        </xdr:from>
        <xdr:to>
          <xdr:col>6</xdr:col>
          <xdr:colOff>647700</xdr:colOff>
          <xdr:row>8</xdr:row>
          <xdr:rowOff>228600</xdr:rowOff>
        </xdr:to>
        <xdr:sp macro="" textlink="">
          <xdr:nvSpPr>
            <xdr:cNvPr id="126979" name="CommandButton3" hidden="1">
              <a:extLst>
                <a:ext uri="{63B3BB69-23CF-44E3-9099-C40C66FF867C}">
                  <a14:compatExt spid="_x0000_s126979"/>
                </a:ext>
                <a:ext uri="{FF2B5EF4-FFF2-40B4-BE49-F238E27FC236}">
                  <a16:creationId xmlns:a16="http://schemas.microsoft.com/office/drawing/2014/main" id="{00000000-0008-0000-0E00-000003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590550</xdr:colOff>
          <xdr:row>5</xdr:row>
          <xdr:rowOff>9525</xdr:rowOff>
        </xdr:from>
        <xdr:to>
          <xdr:col>9</xdr:col>
          <xdr:colOff>104775</xdr:colOff>
          <xdr:row>6</xdr:row>
          <xdr:rowOff>57150</xdr:rowOff>
        </xdr:to>
        <xdr:sp macro="" textlink="">
          <xdr:nvSpPr>
            <xdr:cNvPr id="128001" name="CommandButton1" hidden="1">
              <a:extLst>
                <a:ext uri="{63B3BB69-23CF-44E3-9099-C40C66FF867C}">
                  <a14:compatExt spid="_x0000_s128001"/>
                </a:ext>
                <a:ext uri="{FF2B5EF4-FFF2-40B4-BE49-F238E27FC236}">
                  <a16:creationId xmlns:a16="http://schemas.microsoft.com/office/drawing/2014/main" id="{00000000-0008-0000-0F00-000001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600075</xdr:colOff>
          <xdr:row>6</xdr:row>
          <xdr:rowOff>114300</xdr:rowOff>
        </xdr:from>
        <xdr:to>
          <xdr:col>9</xdr:col>
          <xdr:colOff>104775</xdr:colOff>
          <xdr:row>7</xdr:row>
          <xdr:rowOff>142875</xdr:rowOff>
        </xdr:to>
        <xdr:sp macro="" textlink="">
          <xdr:nvSpPr>
            <xdr:cNvPr id="128002" name="CommandButton2" hidden="1">
              <a:extLst>
                <a:ext uri="{63B3BB69-23CF-44E3-9099-C40C66FF867C}">
                  <a14:compatExt spid="_x0000_s128002"/>
                </a:ext>
                <a:ext uri="{FF2B5EF4-FFF2-40B4-BE49-F238E27FC236}">
                  <a16:creationId xmlns:a16="http://schemas.microsoft.com/office/drawing/2014/main" id="{00000000-0008-0000-0F00-000002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600075</xdr:colOff>
          <xdr:row>7</xdr:row>
          <xdr:rowOff>200025</xdr:rowOff>
        </xdr:from>
        <xdr:to>
          <xdr:col>9</xdr:col>
          <xdr:colOff>104775</xdr:colOff>
          <xdr:row>8</xdr:row>
          <xdr:rowOff>228600</xdr:rowOff>
        </xdr:to>
        <xdr:sp macro="" textlink="">
          <xdr:nvSpPr>
            <xdr:cNvPr id="128003" name="CommandButton3" hidden="1">
              <a:extLst>
                <a:ext uri="{63B3BB69-23CF-44E3-9099-C40C66FF867C}">
                  <a14:compatExt spid="_x0000_s128003"/>
                </a:ext>
                <a:ext uri="{FF2B5EF4-FFF2-40B4-BE49-F238E27FC236}">
                  <a16:creationId xmlns:a16="http://schemas.microsoft.com/office/drawing/2014/main" id="{00000000-0008-0000-0F00-000003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367F5893-A8D3-4321-8AED-B91BC72622A2}" name="Location" displayName="Location" ref="A1:C16" totalsRowShown="0" headerRowDxfId="11" dataDxfId="10">
  <autoFilter ref="A1:C16" xr:uid="{367F5893-A8D3-4321-8AED-B91BC72622A2}"/>
  <tableColumns count="3">
    <tableColumn id="1" xr3:uid="{6ED3AF0C-5C92-497B-B5CC-3308F4F8389A}" name="name" dataDxfId="9"/>
    <tableColumn id="2" xr3:uid="{14EF71A0-9338-4536-BA7B-8C25144FD21C}" name="recharge" dataDxfId="8"/>
    <tableColumn id="3" xr3:uid="{B91C1F12-5D85-4346-999B-B2991C1FFA16}" name="ratio" dataDxfId="7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F15D4586-4045-47F6-955C-6B37C136D6A6}" name="표3" displayName="표3" ref="G2:K7" totalsRowShown="0" headerRowDxfId="6" dataDxfId="5" headerRowCellStyle="표준 2">
  <autoFilter ref="G2:K7" xr:uid="{F15D4586-4045-47F6-955C-6B37C136D6A6}"/>
  <tableColumns count="5">
    <tableColumn id="1" xr3:uid="{94F6F35E-75D0-4DC5-87CF-F660CE87C56C}" name="Well" dataDxfId="4"/>
    <tableColumn id="2" xr3:uid="{84ED002E-1E6C-4906-A804-7EDF9F6A1513}" name="한계양수량" dataDxfId="3"/>
    <tableColumn id="3" xr3:uid="{7C0E669B-EE6C-4573-A9F3-15E52CAA58A2}" name="적정취수량" dataDxfId="2"/>
    <tableColumn id="4" xr3:uid="{EC3D64FF-8479-4EE4-A828-DF900CA530FF}" name="취수계획량" dataDxfId="1"/>
    <tableColumn id="5" xr3:uid="{7E646384-D3F9-4FA7-ACE1-2017C310267B}" name="Ratio" dataDxfId="0" dataCellStyle="백분율"/>
  </tableColumns>
  <tableStyleInfo name="TableStyleLight18" showFirstColumn="0" showLastColumn="0" showRowStripes="1" showColumnStripes="0"/>
</table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.xml"/><Relationship Id="rId13" Type="http://schemas.openxmlformats.org/officeDocument/2006/relationships/image" Target="../media/image7.emf"/><Relationship Id="rId18" Type="http://schemas.openxmlformats.org/officeDocument/2006/relationships/control" Target="../activeX/activeX10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4.emf"/><Relationship Id="rId12" Type="http://schemas.openxmlformats.org/officeDocument/2006/relationships/control" Target="../activeX/activeX7.xml"/><Relationship Id="rId17" Type="http://schemas.openxmlformats.org/officeDocument/2006/relationships/image" Target="../media/image9.emf"/><Relationship Id="rId2" Type="http://schemas.openxmlformats.org/officeDocument/2006/relationships/drawing" Target="../drawings/drawing3.xml"/><Relationship Id="rId16" Type="http://schemas.openxmlformats.org/officeDocument/2006/relationships/control" Target="../activeX/activeX9.xml"/><Relationship Id="rId20" Type="http://schemas.openxmlformats.org/officeDocument/2006/relationships/comments" Target="../comments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4.xml"/><Relationship Id="rId11" Type="http://schemas.openxmlformats.org/officeDocument/2006/relationships/image" Target="../media/image6.emf"/><Relationship Id="rId5" Type="http://schemas.openxmlformats.org/officeDocument/2006/relationships/image" Target="../media/image3.emf"/><Relationship Id="rId15" Type="http://schemas.openxmlformats.org/officeDocument/2006/relationships/image" Target="../media/image8.emf"/><Relationship Id="rId10" Type="http://schemas.openxmlformats.org/officeDocument/2006/relationships/control" Target="../activeX/activeX6.xml"/><Relationship Id="rId19" Type="http://schemas.openxmlformats.org/officeDocument/2006/relationships/image" Target="../media/image10.emf"/><Relationship Id="rId4" Type="http://schemas.openxmlformats.org/officeDocument/2006/relationships/control" Target="../activeX/activeX3.xml"/><Relationship Id="rId9" Type="http://schemas.openxmlformats.org/officeDocument/2006/relationships/image" Target="../media/image5.emf"/><Relationship Id="rId14" Type="http://schemas.openxmlformats.org/officeDocument/2006/relationships/control" Target="../activeX/activeX8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4.xml"/><Relationship Id="rId5" Type="http://schemas.openxmlformats.org/officeDocument/2006/relationships/table" Target="../tables/table1.xml"/><Relationship Id="rId4" Type="http://schemas.openxmlformats.org/officeDocument/2006/relationships/image" Target="../media/image11.emf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4.xml"/><Relationship Id="rId13" Type="http://schemas.openxmlformats.org/officeDocument/2006/relationships/image" Target="../media/image16.emf"/><Relationship Id="rId18" Type="http://schemas.openxmlformats.org/officeDocument/2006/relationships/control" Target="../activeX/activeX19.xml"/><Relationship Id="rId3" Type="http://schemas.openxmlformats.org/officeDocument/2006/relationships/vmlDrawing" Target="../drawings/vmlDrawing4.vml"/><Relationship Id="rId7" Type="http://schemas.openxmlformats.org/officeDocument/2006/relationships/image" Target="../media/image13.emf"/><Relationship Id="rId12" Type="http://schemas.openxmlformats.org/officeDocument/2006/relationships/control" Target="../activeX/activeX16.xml"/><Relationship Id="rId17" Type="http://schemas.openxmlformats.org/officeDocument/2006/relationships/image" Target="../media/image18.emf"/><Relationship Id="rId2" Type="http://schemas.openxmlformats.org/officeDocument/2006/relationships/drawing" Target="../drawings/drawing5.xml"/><Relationship Id="rId16" Type="http://schemas.openxmlformats.org/officeDocument/2006/relationships/control" Target="../activeX/activeX18.xml"/><Relationship Id="rId20" Type="http://schemas.openxmlformats.org/officeDocument/2006/relationships/comments" Target="../comments3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13.xml"/><Relationship Id="rId11" Type="http://schemas.openxmlformats.org/officeDocument/2006/relationships/image" Target="../media/image15.emf"/><Relationship Id="rId5" Type="http://schemas.openxmlformats.org/officeDocument/2006/relationships/image" Target="../media/image12.emf"/><Relationship Id="rId15" Type="http://schemas.openxmlformats.org/officeDocument/2006/relationships/image" Target="../media/image17.emf"/><Relationship Id="rId10" Type="http://schemas.openxmlformats.org/officeDocument/2006/relationships/control" Target="../activeX/activeX15.xml"/><Relationship Id="rId19" Type="http://schemas.openxmlformats.org/officeDocument/2006/relationships/image" Target="../media/image19.emf"/><Relationship Id="rId4" Type="http://schemas.openxmlformats.org/officeDocument/2006/relationships/control" Target="../activeX/activeX12.xml"/><Relationship Id="rId9" Type="http://schemas.openxmlformats.org/officeDocument/2006/relationships/image" Target="../media/image14.emf"/><Relationship Id="rId14" Type="http://schemas.openxmlformats.org/officeDocument/2006/relationships/control" Target="../activeX/activeX17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table" Target="../tables/table2.xml"/><Relationship Id="rId3" Type="http://schemas.openxmlformats.org/officeDocument/2006/relationships/vmlDrawing" Target="../drawings/vmlDrawing5.vml"/><Relationship Id="rId7" Type="http://schemas.openxmlformats.org/officeDocument/2006/relationships/image" Target="../media/image21.emf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21.xml"/><Relationship Id="rId5" Type="http://schemas.openxmlformats.org/officeDocument/2006/relationships/image" Target="../media/image20.emf"/><Relationship Id="rId4" Type="http://schemas.openxmlformats.org/officeDocument/2006/relationships/control" Target="../activeX/activeX20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22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7.xml"/><Relationship Id="rId6" Type="http://schemas.openxmlformats.org/officeDocument/2006/relationships/image" Target="../media/image23.emf"/><Relationship Id="rId5" Type="http://schemas.openxmlformats.org/officeDocument/2006/relationships/control" Target="../activeX/activeX23.xml"/><Relationship Id="rId4" Type="http://schemas.openxmlformats.org/officeDocument/2006/relationships/image" Target="../media/image22.emf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24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8.xml"/><Relationship Id="rId6" Type="http://schemas.openxmlformats.org/officeDocument/2006/relationships/image" Target="../media/image25.emf"/><Relationship Id="rId5" Type="http://schemas.openxmlformats.org/officeDocument/2006/relationships/control" Target="../activeX/activeX25.xml"/><Relationship Id="rId4" Type="http://schemas.openxmlformats.org/officeDocument/2006/relationships/image" Target="../media/image24.emf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7" Type="http://schemas.openxmlformats.org/officeDocument/2006/relationships/image" Target="../media/image27.emf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27.xml"/><Relationship Id="rId5" Type="http://schemas.openxmlformats.org/officeDocument/2006/relationships/image" Target="../media/image26.emf"/><Relationship Id="rId4" Type="http://schemas.openxmlformats.org/officeDocument/2006/relationships/control" Target="../activeX/activeX26.xml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0.xml"/><Relationship Id="rId13" Type="http://schemas.openxmlformats.org/officeDocument/2006/relationships/image" Target="../media/image32.emf"/><Relationship Id="rId18" Type="http://schemas.openxmlformats.org/officeDocument/2006/relationships/control" Target="../activeX/activeX35.xml"/><Relationship Id="rId3" Type="http://schemas.openxmlformats.org/officeDocument/2006/relationships/vmlDrawing" Target="../drawings/vmlDrawing9.vml"/><Relationship Id="rId21" Type="http://schemas.openxmlformats.org/officeDocument/2006/relationships/image" Target="../media/image36.emf"/><Relationship Id="rId7" Type="http://schemas.openxmlformats.org/officeDocument/2006/relationships/image" Target="../media/image29.emf"/><Relationship Id="rId12" Type="http://schemas.openxmlformats.org/officeDocument/2006/relationships/control" Target="../activeX/activeX32.xml"/><Relationship Id="rId17" Type="http://schemas.openxmlformats.org/officeDocument/2006/relationships/image" Target="../media/image34.emf"/><Relationship Id="rId2" Type="http://schemas.openxmlformats.org/officeDocument/2006/relationships/drawing" Target="../drawings/drawing10.xml"/><Relationship Id="rId16" Type="http://schemas.openxmlformats.org/officeDocument/2006/relationships/control" Target="../activeX/activeX34.xml"/><Relationship Id="rId20" Type="http://schemas.openxmlformats.org/officeDocument/2006/relationships/control" Target="../activeX/activeX36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29.xml"/><Relationship Id="rId11" Type="http://schemas.openxmlformats.org/officeDocument/2006/relationships/image" Target="../media/image31.emf"/><Relationship Id="rId5" Type="http://schemas.openxmlformats.org/officeDocument/2006/relationships/image" Target="../media/image28.emf"/><Relationship Id="rId15" Type="http://schemas.openxmlformats.org/officeDocument/2006/relationships/image" Target="../media/image33.emf"/><Relationship Id="rId10" Type="http://schemas.openxmlformats.org/officeDocument/2006/relationships/control" Target="../activeX/activeX31.xml"/><Relationship Id="rId19" Type="http://schemas.openxmlformats.org/officeDocument/2006/relationships/image" Target="../media/image35.emf"/><Relationship Id="rId4" Type="http://schemas.openxmlformats.org/officeDocument/2006/relationships/control" Target="../activeX/activeX28.xml"/><Relationship Id="rId9" Type="http://schemas.openxmlformats.org/officeDocument/2006/relationships/image" Target="../media/image30.emf"/><Relationship Id="rId14" Type="http://schemas.openxmlformats.org/officeDocument/2006/relationships/control" Target="../activeX/activeX33.xml"/><Relationship Id="rId22" Type="http://schemas.openxmlformats.org/officeDocument/2006/relationships/comments" Target="../comments4.xml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9.xml"/><Relationship Id="rId3" Type="http://schemas.openxmlformats.org/officeDocument/2006/relationships/vmlDrawing" Target="../drawings/vmlDrawing10.vml"/><Relationship Id="rId7" Type="http://schemas.openxmlformats.org/officeDocument/2006/relationships/image" Target="../media/image38.emf"/><Relationship Id="rId12" Type="http://schemas.openxmlformats.org/officeDocument/2006/relationships/comments" Target="../comments5.x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7.bin"/><Relationship Id="rId6" Type="http://schemas.openxmlformats.org/officeDocument/2006/relationships/control" Target="../activeX/activeX38.xml"/><Relationship Id="rId11" Type="http://schemas.openxmlformats.org/officeDocument/2006/relationships/image" Target="../media/image40.emf"/><Relationship Id="rId5" Type="http://schemas.openxmlformats.org/officeDocument/2006/relationships/image" Target="../media/image37.emf"/><Relationship Id="rId10" Type="http://schemas.openxmlformats.org/officeDocument/2006/relationships/control" Target="../activeX/activeX40.xml"/><Relationship Id="rId4" Type="http://schemas.openxmlformats.org/officeDocument/2006/relationships/control" Target="../activeX/activeX37.xml"/><Relationship Id="rId9" Type="http://schemas.openxmlformats.org/officeDocument/2006/relationships/image" Target="../media/image39.emf"/></Relationships>
</file>

<file path=xl/worksheets/_rels/sheet1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3.xml"/><Relationship Id="rId3" Type="http://schemas.openxmlformats.org/officeDocument/2006/relationships/vmlDrawing" Target="../drawings/vmlDrawing11.vml"/><Relationship Id="rId7" Type="http://schemas.openxmlformats.org/officeDocument/2006/relationships/image" Target="../media/image42.emf"/><Relationship Id="rId12" Type="http://schemas.openxmlformats.org/officeDocument/2006/relationships/comments" Target="../comments6.x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8.bin"/><Relationship Id="rId6" Type="http://schemas.openxmlformats.org/officeDocument/2006/relationships/control" Target="../activeX/activeX42.xml"/><Relationship Id="rId11" Type="http://schemas.openxmlformats.org/officeDocument/2006/relationships/image" Target="../media/image44.emf"/><Relationship Id="rId5" Type="http://schemas.openxmlformats.org/officeDocument/2006/relationships/image" Target="../media/image41.emf"/><Relationship Id="rId10" Type="http://schemas.openxmlformats.org/officeDocument/2006/relationships/control" Target="../activeX/activeX44.xml"/><Relationship Id="rId4" Type="http://schemas.openxmlformats.org/officeDocument/2006/relationships/control" Target="../activeX/activeX41.xml"/><Relationship Id="rId9" Type="http://schemas.openxmlformats.org/officeDocument/2006/relationships/image" Target="../media/image43.emf"/></Relationships>
</file>

<file path=xl/worksheets/_rels/sheet1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7.xml"/><Relationship Id="rId3" Type="http://schemas.openxmlformats.org/officeDocument/2006/relationships/vmlDrawing" Target="../drawings/vmlDrawing12.vml"/><Relationship Id="rId7" Type="http://schemas.openxmlformats.org/officeDocument/2006/relationships/image" Target="../media/image46.emf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9.bin"/><Relationship Id="rId6" Type="http://schemas.openxmlformats.org/officeDocument/2006/relationships/control" Target="../activeX/activeX46.xml"/><Relationship Id="rId5" Type="http://schemas.openxmlformats.org/officeDocument/2006/relationships/image" Target="../media/image45.emf"/><Relationship Id="rId4" Type="http://schemas.openxmlformats.org/officeDocument/2006/relationships/control" Target="../activeX/activeX45.xml"/><Relationship Id="rId9" Type="http://schemas.openxmlformats.org/officeDocument/2006/relationships/image" Target="../media/image47.emf"/></Relationships>
</file>

<file path=xl/worksheets/_rels/sheet1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0.xml"/><Relationship Id="rId3" Type="http://schemas.openxmlformats.org/officeDocument/2006/relationships/vmlDrawing" Target="../drawings/vmlDrawing13.vml"/><Relationship Id="rId7" Type="http://schemas.openxmlformats.org/officeDocument/2006/relationships/image" Target="../media/image49.emf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0.bin"/><Relationship Id="rId6" Type="http://schemas.openxmlformats.org/officeDocument/2006/relationships/control" Target="../activeX/activeX49.xml"/><Relationship Id="rId5" Type="http://schemas.openxmlformats.org/officeDocument/2006/relationships/image" Target="../media/image48.emf"/><Relationship Id="rId4" Type="http://schemas.openxmlformats.org/officeDocument/2006/relationships/control" Target="../activeX/activeX48.xml"/><Relationship Id="rId9" Type="http://schemas.openxmlformats.org/officeDocument/2006/relationships/image" Target="../media/image50.emf"/></Relationships>
</file>

<file path=xl/worksheets/_rels/sheet1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3.xml"/><Relationship Id="rId3" Type="http://schemas.openxmlformats.org/officeDocument/2006/relationships/vmlDrawing" Target="../drawings/vmlDrawing14.vml"/><Relationship Id="rId7" Type="http://schemas.openxmlformats.org/officeDocument/2006/relationships/image" Target="../media/image52.emf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1.bin"/><Relationship Id="rId6" Type="http://schemas.openxmlformats.org/officeDocument/2006/relationships/control" Target="../activeX/activeX52.xml"/><Relationship Id="rId5" Type="http://schemas.openxmlformats.org/officeDocument/2006/relationships/image" Target="../media/image51.emf"/><Relationship Id="rId4" Type="http://schemas.openxmlformats.org/officeDocument/2006/relationships/control" Target="../activeX/activeX51.xml"/><Relationship Id="rId9" Type="http://schemas.openxmlformats.org/officeDocument/2006/relationships/image" Target="../media/image53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C00000"/>
  </sheetPr>
  <dimension ref="B2:W54"/>
  <sheetViews>
    <sheetView tabSelected="1" zoomScaleNormal="100" workbookViewId="0">
      <selection activeCell="R9" sqref="R9"/>
    </sheetView>
  </sheetViews>
  <sheetFormatPr defaultRowHeight="16.5"/>
  <cols>
    <col min="1" max="1" width="8.88671875" style="38"/>
    <col min="2" max="2" width="5.88671875" style="37" customWidth="1"/>
    <col min="3" max="8" width="5.77734375" style="38" customWidth="1"/>
    <col min="9" max="9" width="7.44140625" style="38" customWidth="1"/>
    <col min="10" max="10" width="6.77734375" style="38" customWidth="1"/>
    <col min="11" max="11" width="5.77734375" style="38" customWidth="1"/>
    <col min="12" max="12" width="5.6640625" style="38" customWidth="1"/>
    <col min="13" max="14" width="5.77734375" style="38" customWidth="1"/>
    <col min="15" max="15" width="8.109375" style="38" customWidth="1"/>
    <col min="16" max="16" width="6.44140625" style="38" customWidth="1"/>
    <col min="17" max="17" width="12.21875" style="38" bestFit="1" customWidth="1"/>
    <col min="18" max="18" width="19.21875" style="38" customWidth="1"/>
    <col min="19" max="16384" width="8.88671875" style="38"/>
  </cols>
  <sheetData>
    <row r="2" spans="2:23" ht="26.25" customHeight="1">
      <c r="B2" s="475" t="s">
        <v>232</v>
      </c>
      <c r="C2" s="475"/>
      <c r="D2" s="475"/>
      <c r="E2" s="475"/>
      <c r="F2" s="475"/>
      <c r="G2" s="475"/>
      <c r="H2" s="475"/>
      <c r="I2" s="475"/>
      <c r="J2" s="475"/>
      <c r="K2" s="475"/>
      <c r="L2" s="475"/>
    </row>
    <row r="3" spans="2:23" ht="17.25" thickBot="1">
      <c r="I3"/>
      <c r="J3"/>
      <c r="K3"/>
    </row>
    <row r="4" spans="2:23" s="77" customFormat="1" ht="22.5" customHeight="1">
      <c r="B4" s="251" t="s">
        <v>41</v>
      </c>
      <c r="C4" s="253" t="s">
        <v>42</v>
      </c>
      <c r="D4" s="253" t="s">
        <v>32</v>
      </c>
      <c r="E4" s="253" t="s">
        <v>33</v>
      </c>
      <c r="F4" s="253" t="s">
        <v>34</v>
      </c>
      <c r="G4" s="253" t="s">
        <v>35</v>
      </c>
      <c r="H4" s="253" t="s">
        <v>12</v>
      </c>
      <c r="I4" s="253" t="s">
        <v>13</v>
      </c>
      <c r="J4" s="253" t="s">
        <v>14</v>
      </c>
      <c r="K4" s="253" t="s">
        <v>15</v>
      </c>
      <c r="L4" s="253" t="s">
        <v>16</v>
      </c>
      <c r="M4" s="253" t="s">
        <v>17</v>
      </c>
      <c r="N4" s="254" t="s">
        <v>18</v>
      </c>
      <c r="O4" s="303" t="s">
        <v>44</v>
      </c>
      <c r="P4" s="254" t="s">
        <v>45</v>
      </c>
    </row>
    <row r="5" spans="2:23" ht="22.5" customHeight="1">
      <c r="B5" s="255">
        <v>1993</v>
      </c>
      <c r="C5" s="256">
        <v>4.5999999999999996</v>
      </c>
      <c r="D5" s="256">
        <v>66.7</v>
      </c>
      <c r="E5" s="256">
        <v>21.6</v>
      </c>
      <c r="F5" s="256">
        <v>32.6</v>
      </c>
      <c r="G5" s="256">
        <v>68.5</v>
      </c>
      <c r="H5" s="256">
        <v>225.5</v>
      </c>
      <c r="I5" s="256">
        <v>241.5</v>
      </c>
      <c r="J5" s="256">
        <v>206.5</v>
      </c>
      <c r="K5" s="256">
        <v>141.5</v>
      </c>
      <c r="L5" s="256">
        <v>32</v>
      </c>
      <c r="M5" s="256">
        <v>87.4</v>
      </c>
      <c r="N5" s="257">
        <v>33.700000000000003</v>
      </c>
      <c r="O5" s="304">
        <f>ROUND(SUM(C5:N5),1)</f>
        <v>1162.0999999999999</v>
      </c>
      <c r="P5" s="258">
        <f>ROUND(O5/12,1)</f>
        <v>96.8</v>
      </c>
      <c r="Q5" s="78"/>
      <c r="R5" s="245"/>
      <c r="S5" s="244"/>
      <c r="T5" s="245"/>
      <c r="U5" s="244"/>
      <c r="V5" s="245"/>
      <c r="W5" s="244"/>
    </row>
    <row r="6" spans="2:23" ht="22.5" customHeight="1">
      <c r="B6" s="259">
        <v>1994</v>
      </c>
      <c r="C6" s="252">
        <v>17.899999999999999</v>
      </c>
      <c r="D6" s="252">
        <v>6</v>
      </c>
      <c r="E6" s="252">
        <v>58.2</v>
      </c>
      <c r="F6" s="252">
        <v>51.5</v>
      </c>
      <c r="G6" s="252">
        <v>135.5</v>
      </c>
      <c r="H6" s="252">
        <v>207</v>
      </c>
      <c r="I6" s="252">
        <v>137</v>
      </c>
      <c r="J6" s="252">
        <v>443.5</v>
      </c>
      <c r="K6" s="252">
        <v>21</v>
      </c>
      <c r="L6" s="252">
        <v>155</v>
      </c>
      <c r="M6" s="252">
        <v>17.5</v>
      </c>
      <c r="N6" s="260">
        <v>18.899999999999999</v>
      </c>
      <c r="O6" s="305">
        <f t="shared" ref="O6:O34" si="0">ROUND(SUM(C6:N6),1)</f>
        <v>1269</v>
      </c>
      <c r="P6" s="261">
        <f t="shared" ref="P6:P34" si="1">ROUND(O6/12,1)</f>
        <v>105.8</v>
      </c>
      <c r="Q6" s="78"/>
      <c r="R6" s="245"/>
      <c r="S6" s="244"/>
      <c r="T6" s="245"/>
      <c r="U6" s="244"/>
      <c r="V6" s="245"/>
      <c r="W6" s="244"/>
    </row>
    <row r="7" spans="2:23" ht="22.5" customHeight="1">
      <c r="B7" s="259">
        <v>1995</v>
      </c>
      <c r="C7" s="252">
        <v>15.7</v>
      </c>
      <c r="D7" s="252">
        <v>11</v>
      </c>
      <c r="E7" s="252">
        <v>19.600000000000001</v>
      </c>
      <c r="F7" s="252">
        <v>65.5</v>
      </c>
      <c r="G7" s="252">
        <v>49.5</v>
      </c>
      <c r="H7" s="252">
        <v>26.5</v>
      </c>
      <c r="I7" s="252">
        <v>144.5</v>
      </c>
      <c r="J7" s="252">
        <v>996.5</v>
      </c>
      <c r="K7" s="252">
        <v>70.5</v>
      </c>
      <c r="L7" s="252">
        <v>24.5</v>
      </c>
      <c r="M7" s="252">
        <v>23</v>
      </c>
      <c r="N7" s="260">
        <v>12.7</v>
      </c>
      <c r="O7" s="305">
        <f t="shared" si="0"/>
        <v>1459.5</v>
      </c>
      <c r="P7" s="261">
        <f t="shared" si="1"/>
        <v>121.6</v>
      </c>
      <c r="Q7" s="78"/>
      <c r="R7" s="245"/>
      <c r="S7" s="244"/>
      <c r="T7" s="245"/>
      <c r="U7" s="244"/>
      <c r="V7" s="245"/>
      <c r="W7" s="244"/>
    </row>
    <row r="8" spans="2:23" ht="22.5" customHeight="1">
      <c r="B8" s="259">
        <v>1996</v>
      </c>
      <c r="C8" s="252">
        <v>33.4</v>
      </c>
      <c r="D8" s="252">
        <v>6.8</v>
      </c>
      <c r="E8" s="252">
        <v>104.5</v>
      </c>
      <c r="F8" s="252">
        <v>34</v>
      </c>
      <c r="G8" s="252">
        <v>22.5</v>
      </c>
      <c r="H8" s="252">
        <v>235</v>
      </c>
      <c r="I8" s="252">
        <v>192.5</v>
      </c>
      <c r="J8" s="252">
        <v>44.5</v>
      </c>
      <c r="K8" s="252">
        <v>14</v>
      </c>
      <c r="L8" s="252">
        <v>106.5</v>
      </c>
      <c r="M8" s="252">
        <v>74.2</v>
      </c>
      <c r="N8" s="260">
        <v>31.7</v>
      </c>
      <c r="O8" s="305">
        <f t="shared" si="0"/>
        <v>899.6</v>
      </c>
      <c r="P8" s="261">
        <f t="shared" si="1"/>
        <v>75</v>
      </c>
      <c r="Q8" s="78"/>
      <c r="R8" s="344" t="s">
        <v>321</v>
      </c>
      <c r="S8" s="244"/>
      <c r="T8" s="245"/>
      <c r="U8" s="244"/>
      <c r="V8" s="245"/>
      <c r="W8" s="244"/>
    </row>
    <row r="9" spans="2:23" ht="22.5" customHeight="1">
      <c r="B9" s="259">
        <v>1997</v>
      </c>
      <c r="C9" s="252">
        <v>15.1</v>
      </c>
      <c r="D9" s="252">
        <v>38.4</v>
      </c>
      <c r="E9" s="252">
        <v>30.5</v>
      </c>
      <c r="F9" s="252">
        <v>57.5</v>
      </c>
      <c r="G9" s="252">
        <v>203</v>
      </c>
      <c r="H9" s="252">
        <v>272</v>
      </c>
      <c r="I9" s="252">
        <v>353.5</v>
      </c>
      <c r="J9" s="252">
        <v>211.5</v>
      </c>
      <c r="K9" s="252">
        <v>23</v>
      </c>
      <c r="L9" s="252">
        <v>10</v>
      </c>
      <c r="M9" s="252">
        <v>193.5</v>
      </c>
      <c r="N9" s="260">
        <v>34.299999999999997</v>
      </c>
      <c r="O9" s="305">
        <f t="shared" si="0"/>
        <v>1442.3</v>
      </c>
      <c r="P9" s="261">
        <f t="shared" si="1"/>
        <v>120.2</v>
      </c>
      <c r="Q9" s="78"/>
      <c r="R9" s="245"/>
      <c r="S9" s="244"/>
      <c r="T9" s="245"/>
      <c r="U9" s="244"/>
      <c r="V9" s="245"/>
      <c r="W9" s="244"/>
    </row>
    <row r="10" spans="2:23" ht="22.5" customHeight="1">
      <c r="B10" s="259">
        <v>1998</v>
      </c>
      <c r="C10" s="252">
        <v>29.9</v>
      </c>
      <c r="D10" s="252">
        <v>40.200000000000003</v>
      </c>
      <c r="E10" s="252">
        <v>30.5</v>
      </c>
      <c r="F10" s="252">
        <v>138</v>
      </c>
      <c r="G10" s="252">
        <v>100</v>
      </c>
      <c r="H10" s="252">
        <v>209.5</v>
      </c>
      <c r="I10" s="252">
        <v>263</v>
      </c>
      <c r="J10" s="252">
        <v>341.7</v>
      </c>
      <c r="K10" s="252">
        <v>150.30000000000001</v>
      </c>
      <c r="L10" s="252">
        <v>61</v>
      </c>
      <c r="M10" s="252">
        <v>29.3</v>
      </c>
      <c r="N10" s="260">
        <v>3.8</v>
      </c>
      <c r="O10" s="305">
        <f t="shared" si="0"/>
        <v>1397.2</v>
      </c>
      <c r="P10" s="261">
        <f t="shared" si="1"/>
        <v>116.4</v>
      </c>
      <c r="Q10" s="78"/>
      <c r="R10" s="245"/>
      <c r="S10" s="244"/>
      <c r="T10" s="245"/>
      <c r="U10" s="244"/>
      <c r="V10" s="245"/>
      <c r="W10" s="244"/>
    </row>
    <row r="11" spans="2:23" ht="22.5" customHeight="1">
      <c r="B11" s="259">
        <v>1999</v>
      </c>
      <c r="C11" s="252">
        <v>7.9</v>
      </c>
      <c r="D11" s="252">
        <v>9.5</v>
      </c>
      <c r="E11" s="252">
        <v>71</v>
      </c>
      <c r="F11" s="252">
        <v>88.5</v>
      </c>
      <c r="G11" s="252">
        <v>124.5</v>
      </c>
      <c r="H11" s="252">
        <v>192.5</v>
      </c>
      <c r="I11" s="252">
        <v>98</v>
      </c>
      <c r="J11" s="252">
        <v>180</v>
      </c>
      <c r="K11" s="252">
        <v>292.5</v>
      </c>
      <c r="L11" s="252">
        <v>169</v>
      </c>
      <c r="M11" s="252">
        <v>24.9</v>
      </c>
      <c r="N11" s="260">
        <v>25.8</v>
      </c>
      <c r="O11" s="305">
        <f t="shared" si="0"/>
        <v>1284.0999999999999</v>
      </c>
      <c r="P11" s="261">
        <f t="shared" si="1"/>
        <v>107</v>
      </c>
      <c r="R11" s="245"/>
      <c r="S11" s="244"/>
      <c r="T11" s="245"/>
      <c r="U11" s="244"/>
      <c r="V11" s="245"/>
      <c r="W11" s="244"/>
    </row>
    <row r="12" spans="2:23" ht="22.5" customHeight="1">
      <c r="B12" s="259">
        <v>2000</v>
      </c>
      <c r="C12" s="252">
        <v>42.1</v>
      </c>
      <c r="D12" s="252">
        <v>3.2</v>
      </c>
      <c r="E12" s="252">
        <v>7</v>
      </c>
      <c r="F12" s="252">
        <v>35</v>
      </c>
      <c r="G12" s="252">
        <v>53.5</v>
      </c>
      <c r="H12" s="252">
        <v>159.5</v>
      </c>
      <c r="I12" s="252">
        <v>155</v>
      </c>
      <c r="J12" s="252">
        <v>701.5</v>
      </c>
      <c r="K12" s="252">
        <v>241</v>
      </c>
      <c r="L12" s="252">
        <v>46</v>
      </c>
      <c r="M12" s="252">
        <v>39.5</v>
      </c>
      <c r="N12" s="260">
        <v>32.1</v>
      </c>
      <c r="O12" s="305">
        <f t="shared" si="0"/>
        <v>1515.4</v>
      </c>
      <c r="P12" s="261">
        <f t="shared" si="1"/>
        <v>126.3</v>
      </c>
      <c r="R12" s="245"/>
      <c r="S12" s="244"/>
      <c r="T12" s="245"/>
      <c r="U12" s="244"/>
      <c r="V12" s="245"/>
      <c r="W12" s="244"/>
    </row>
    <row r="13" spans="2:23" ht="22.5" customHeight="1">
      <c r="B13" s="259">
        <v>2001</v>
      </c>
      <c r="C13" s="252">
        <v>73.3</v>
      </c>
      <c r="D13" s="252">
        <v>46</v>
      </c>
      <c r="E13" s="252">
        <v>15.9</v>
      </c>
      <c r="F13" s="252">
        <v>26</v>
      </c>
      <c r="G13" s="252">
        <v>17</v>
      </c>
      <c r="H13" s="252">
        <v>129</v>
      </c>
      <c r="I13" s="252">
        <v>286.5</v>
      </c>
      <c r="J13" s="252">
        <v>170</v>
      </c>
      <c r="K13" s="252">
        <v>10</v>
      </c>
      <c r="L13" s="252">
        <v>85</v>
      </c>
      <c r="M13" s="252">
        <v>13</v>
      </c>
      <c r="N13" s="260">
        <v>32</v>
      </c>
      <c r="O13" s="305">
        <f t="shared" si="0"/>
        <v>903.7</v>
      </c>
      <c r="P13" s="261">
        <f t="shared" si="1"/>
        <v>75.3</v>
      </c>
      <c r="R13" s="245"/>
      <c r="S13" s="244"/>
      <c r="T13" s="245"/>
      <c r="U13" s="244"/>
      <c r="V13" s="245"/>
      <c r="W13" s="244"/>
    </row>
    <row r="14" spans="2:23" ht="22.5" customHeight="1">
      <c r="B14" s="259">
        <v>2002</v>
      </c>
      <c r="C14" s="252">
        <v>50.8</v>
      </c>
      <c r="D14" s="252">
        <v>5.5</v>
      </c>
      <c r="E14" s="252">
        <v>32</v>
      </c>
      <c r="F14" s="252">
        <v>169</v>
      </c>
      <c r="G14" s="252">
        <v>155.5</v>
      </c>
      <c r="H14" s="252">
        <v>72</v>
      </c>
      <c r="I14" s="252">
        <v>217.5</v>
      </c>
      <c r="J14" s="252">
        <v>477</v>
      </c>
      <c r="K14" s="252">
        <v>27</v>
      </c>
      <c r="L14" s="252">
        <v>134</v>
      </c>
      <c r="M14" s="252">
        <v>61.1</v>
      </c>
      <c r="N14" s="260">
        <v>51.8</v>
      </c>
      <c r="O14" s="305">
        <f t="shared" si="0"/>
        <v>1453.2</v>
      </c>
      <c r="P14" s="261">
        <f t="shared" si="1"/>
        <v>121.1</v>
      </c>
      <c r="R14" s="245"/>
      <c r="S14" s="244"/>
      <c r="T14" s="245"/>
      <c r="U14" s="244"/>
      <c r="V14" s="245"/>
      <c r="W14" s="244"/>
    </row>
    <row r="15" spans="2:23" ht="22.5" customHeight="1">
      <c r="B15" s="259">
        <v>2003</v>
      </c>
      <c r="C15" s="252">
        <v>30.7</v>
      </c>
      <c r="D15" s="252">
        <v>44.5</v>
      </c>
      <c r="E15" s="252">
        <v>39.5</v>
      </c>
      <c r="F15" s="252">
        <v>168.5</v>
      </c>
      <c r="G15" s="252">
        <v>78.5</v>
      </c>
      <c r="H15" s="252">
        <v>153</v>
      </c>
      <c r="I15" s="252">
        <v>309.5</v>
      </c>
      <c r="J15" s="252">
        <v>310</v>
      </c>
      <c r="K15" s="252">
        <v>128</v>
      </c>
      <c r="L15" s="252">
        <v>23</v>
      </c>
      <c r="M15" s="252">
        <v>45.5</v>
      </c>
      <c r="N15" s="260">
        <v>13</v>
      </c>
      <c r="O15" s="305">
        <f t="shared" si="0"/>
        <v>1343.7</v>
      </c>
      <c r="P15" s="261">
        <f t="shared" si="1"/>
        <v>112</v>
      </c>
    </row>
    <row r="16" spans="2:23" ht="22.5" customHeight="1">
      <c r="B16" s="259">
        <v>2004</v>
      </c>
      <c r="C16" s="252">
        <v>22.1</v>
      </c>
      <c r="D16" s="252">
        <v>28.5</v>
      </c>
      <c r="E16" s="252">
        <v>45.7</v>
      </c>
      <c r="F16" s="252">
        <v>58</v>
      </c>
      <c r="G16" s="252">
        <v>105.5</v>
      </c>
      <c r="H16" s="252">
        <v>234.5</v>
      </c>
      <c r="I16" s="252">
        <v>263.5</v>
      </c>
      <c r="J16" s="252">
        <v>164</v>
      </c>
      <c r="K16" s="252">
        <v>195</v>
      </c>
      <c r="L16" s="252">
        <v>4</v>
      </c>
      <c r="M16" s="252">
        <v>56.5</v>
      </c>
      <c r="N16" s="260">
        <v>38.9</v>
      </c>
      <c r="O16" s="305">
        <f t="shared" si="0"/>
        <v>1216.2</v>
      </c>
      <c r="P16" s="261">
        <f t="shared" si="1"/>
        <v>101.4</v>
      </c>
    </row>
    <row r="17" spans="2:16" ht="22.5" customHeight="1">
      <c r="B17" s="259">
        <v>2005</v>
      </c>
      <c r="C17" s="252">
        <v>5.8</v>
      </c>
      <c r="D17" s="252">
        <v>35.799999999999997</v>
      </c>
      <c r="E17" s="252">
        <v>30</v>
      </c>
      <c r="F17" s="252">
        <v>73.5</v>
      </c>
      <c r="G17" s="252">
        <v>48.5</v>
      </c>
      <c r="H17" s="252">
        <v>156</v>
      </c>
      <c r="I17" s="252">
        <v>260.5</v>
      </c>
      <c r="J17" s="252">
        <v>291.5</v>
      </c>
      <c r="K17" s="252">
        <v>282.5</v>
      </c>
      <c r="L17" s="252">
        <v>21</v>
      </c>
      <c r="M17" s="252">
        <v>18</v>
      </c>
      <c r="N17" s="260">
        <v>43.4</v>
      </c>
      <c r="O17" s="305">
        <f t="shared" si="0"/>
        <v>1266.5</v>
      </c>
      <c r="P17" s="261">
        <f t="shared" si="1"/>
        <v>105.5</v>
      </c>
    </row>
    <row r="18" spans="2:16" ht="22.5" customHeight="1">
      <c r="B18" s="259">
        <v>2006</v>
      </c>
      <c r="C18" s="252">
        <v>27</v>
      </c>
      <c r="D18" s="252">
        <v>25.9</v>
      </c>
      <c r="E18" s="252">
        <v>10.6</v>
      </c>
      <c r="F18" s="252">
        <v>81.5</v>
      </c>
      <c r="G18" s="252">
        <v>94.5</v>
      </c>
      <c r="H18" s="252">
        <v>114.5</v>
      </c>
      <c r="I18" s="252">
        <v>321</v>
      </c>
      <c r="J18" s="252">
        <v>21.5</v>
      </c>
      <c r="K18" s="252">
        <v>23.5</v>
      </c>
      <c r="L18" s="252">
        <v>24.5</v>
      </c>
      <c r="M18" s="252">
        <v>61.5</v>
      </c>
      <c r="N18" s="260">
        <v>25.4</v>
      </c>
      <c r="O18" s="305">
        <f t="shared" si="0"/>
        <v>831.4</v>
      </c>
      <c r="P18" s="261">
        <f t="shared" si="1"/>
        <v>69.3</v>
      </c>
    </row>
    <row r="19" spans="2:16" ht="22.5" customHeight="1">
      <c r="B19" s="259">
        <v>2007</v>
      </c>
      <c r="C19" s="252">
        <v>23.4</v>
      </c>
      <c r="D19" s="252">
        <v>29.8</v>
      </c>
      <c r="E19" s="252">
        <v>102</v>
      </c>
      <c r="F19" s="252">
        <v>29.5</v>
      </c>
      <c r="G19" s="252">
        <v>79</v>
      </c>
      <c r="H19" s="252">
        <v>85</v>
      </c>
      <c r="I19" s="252">
        <v>214</v>
      </c>
      <c r="J19" s="252">
        <v>239.5</v>
      </c>
      <c r="K19" s="252">
        <v>384</v>
      </c>
      <c r="L19" s="252">
        <v>59</v>
      </c>
      <c r="M19" s="252">
        <v>17.5</v>
      </c>
      <c r="N19" s="260">
        <v>33.1</v>
      </c>
      <c r="O19" s="305">
        <f t="shared" si="0"/>
        <v>1295.8</v>
      </c>
      <c r="P19" s="261">
        <f t="shared" si="1"/>
        <v>108</v>
      </c>
    </row>
    <row r="20" spans="2:16" ht="22.5" customHeight="1">
      <c r="B20" s="259">
        <v>2008</v>
      </c>
      <c r="C20" s="252">
        <v>20.9</v>
      </c>
      <c r="D20" s="252">
        <v>10.8</v>
      </c>
      <c r="E20" s="252">
        <v>48.2</v>
      </c>
      <c r="F20" s="252">
        <v>40.5</v>
      </c>
      <c r="G20" s="252">
        <v>78.900000000000006</v>
      </c>
      <c r="H20" s="252">
        <v>101.3</v>
      </c>
      <c r="I20" s="252">
        <v>257.2</v>
      </c>
      <c r="J20" s="252">
        <v>119.5</v>
      </c>
      <c r="K20" s="252">
        <v>46.9</v>
      </c>
      <c r="L20" s="252">
        <v>26.7</v>
      </c>
      <c r="M20" s="252">
        <v>37.6</v>
      </c>
      <c r="N20" s="260">
        <v>25</v>
      </c>
      <c r="O20" s="305">
        <f t="shared" si="0"/>
        <v>813.5</v>
      </c>
      <c r="P20" s="261">
        <f t="shared" si="1"/>
        <v>67.8</v>
      </c>
    </row>
    <row r="21" spans="2:16" ht="22.5" customHeight="1">
      <c r="B21" s="259">
        <v>2009</v>
      </c>
      <c r="C21" s="252">
        <v>18.5</v>
      </c>
      <c r="D21" s="252">
        <v>23.3</v>
      </c>
      <c r="E21" s="252">
        <v>55.1</v>
      </c>
      <c r="F21" s="252">
        <v>41.5</v>
      </c>
      <c r="G21" s="252">
        <v>154.5</v>
      </c>
      <c r="H21" s="252">
        <v>115.1</v>
      </c>
      <c r="I21" s="252">
        <v>320.89999999999998</v>
      </c>
      <c r="J21" s="252">
        <v>176.6</v>
      </c>
      <c r="K21" s="252">
        <v>25.5</v>
      </c>
      <c r="L21" s="252">
        <v>39.5</v>
      </c>
      <c r="M21" s="252">
        <v>52.9</v>
      </c>
      <c r="N21" s="260">
        <v>58</v>
      </c>
      <c r="O21" s="305">
        <f t="shared" si="0"/>
        <v>1081.4000000000001</v>
      </c>
      <c r="P21" s="261">
        <f t="shared" si="1"/>
        <v>90.1</v>
      </c>
    </row>
    <row r="22" spans="2:16" ht="22.5" customHeight="1">
      <c r="B22" s="259">
        <v>2010</v>
      </c>
      <c r="C22" s="252">
        <v>30.1</v>
      </c>
      <c r="D22" s="252">
        <v>73.5</v>
      </c>
      <c r="E22" s="252">
        <v>75.900000000000006</v>
      </c>
      <c r="F22" s="252">
        <v>58.5</v>
      </c>
      <c r="G22" s="252">
        <v>122.8</v>
      </c>
      <c r="H22" s="252">
        <v>60.8</v>
      </c>
      <c r="I22" s="252">
        <v>396.5</v>
      </c>
      <c r="J22" s="252">
        <v>402.7</v>
      </c>
      <c r="K22" s="252">
        <v>213.1</v>
      </c>
      <c r="L22" s="252">
        <v>19.2</v>
      </c>
      <c r="M22" s="252">
        <v>16.3</v>
      </c>
      <c r="N22" s="260">
        <v>32.9</v>
      </c>
      <c r="O22" s="305">
        <f t="shared" si="0"/>
        <v>1502.3</v>
      </c>
      <c r="P22" s="261">
        <f t="shared" si="1"/>
        <v>125.2</v>
      </c>
    </row>
    <row r="23" spans="2:16" ht="22.5" customHeight="1">
      <c r="B23" s="259">
        <v>2011</v>
      </c>
      <c r="C23" s="252">
        <v>11.1</v>
      </c>
      <c r="D23" s="252">
        <v>37.5</v>
      </c>
      <c r="E23" s="252">
        <v>18</v>
      </c>
      <c r="F23" s="252">
        <v>72.099999999999994</v>
      </c>
      <c r="G23" s="252">
        <v>115.3</v>
      </c>
      <c r="H23" s="252">
        <v>318</v>
      </c>
      <c r="I23" s="252">
        <v>723.1</v>
      </c>
      <c r="J23" s="252">
        <v>289.39999999999998</v>
      </c>
      <c r="K23" s="252">
        <v>70.8</v>
      </c>
      <c r="L23" s="252">
        <v>13.9</v>
      </c>
      <c r="M23" s="252">
        <v>61.3</v>
      </c>
      <c r="N23" s="260">
        <v>12.5</v>
      </c>
      <c r="O23" s="305">
        <f t="shared" si="0"/>
        <v>1743</v>
      </c>
      <c r="P23" s="261">
        <f t="shared" si="1"/>
        <v>145.30000000000001</v>
      </c>
    </row>
    <row r="24" spans="2:16" ht="22.5" customHeight="1">
      <c r="B24" s="259">
        <v>2012</v>
      </c>
      <c r="C24" s="252">
        <v>24.2</v>
      </c>
      <c r="D24" s="252">
        <v>9.1999999999999993</v>
      </c>
      <c r="E24" s="252">
        <v>45</v>
      </c>
      <c r="F24" s="252">
        <v>68.900000000000006</v>
      </c>
      <c r="G24" s="252">
        <v>14.6</v>
      </c>
      <c r="H24" s="252">
        <v>76.8</v>
      </c>
      <c r="I24" s="252">
        <v>231.1</v>
      </c>
      <c r="J24" s="252">
        <v>450.2</v>
      </c>
      <c r="K24" s="252">
        <v>207.7</v>
      </c>
      <c r="L24" s="252">
        <v>65</v>
      </c>
      <c r="M24" s="252">
        <v>61.1</v>
      </c>
      <c r="N24" s="260">
        <v>65.2</v>
      </c>
      <c r="O24" s="305">
        <f t="shared" si="0"/>
        <v>1319</v>
      </c>
      <c r="P24" s="261">
        <f t="shared" si="1"/>
        <v>109.9</v>
      </c>
    </row>
    <row r="25" spans="2:16" ht="22.5" customHeight="1">
      <c r="B25" s="259">
        <v>2013</v>
      </c>
      <c r="C25" s="252">
        <v>28.4</v>
      </c>
      <c r="D25" s="252">
        <v>40.700000000000003</v>
      </c>
      <c r="E25" s="252">
        <v>53.4</v>
      </c>
      <c r="F25" s="252">
        <v>68.2</v>
      </c>
      <c r="G25" s="252">
        <v>116.6</v>
      </c>
      <c r="H25" s="252">
        <v>159.9</v>
      </c>
      <c r="I25" s="252">
        <v>267.5</v>
      </c>
      <c r="J25" s="252">
        <v>214.6</v>
      </c>
      <c r="K25" s="252">
        <v>320</v>
      </c>
      <c r="L25" s="252">
        <v>10.9</v>
      </c>
      <c r="M25" s="252">
        <v>81.099999999999994</v>
      </c>
      <c r="N25" s="260">
        <v>26.4</v>
      </c>
      <c r="O25" s="305">
        <f t="shared" si="0"/>
        <v>1387.7</v>
      </c>
      <c r="P25" s="261">
        <f t="shared" si="1"/>
        <v>115.6</v>
      </c>
    </row>
    <row r="26" spans="2:16" ht="22.5" customHeight="1">
      <c r="B26" s="259">
        <v>2014</v>
      </c>
      <c r="C26" s="252">
        <v>3.4</v>
      </c>
      <c r="D26" s="252">
        <v>20.5</v>
      </c>
      <c r="E26" s="252">
        <v>56.3</v>
      </c>
      <c r="F26" s="252">
        <v>70</v>
      </c>
      <c r="G26" s="252">
        <v>47.1</v>
      </c>
      <c r="H26" s="252">
        <v>125.8</v>
      </c>
      <c r="I26" s="252">
        <v>104</v>
      </c>
      <c r="J26" s="252">
        <v>168.5</v>
      </c>
      <c r="K26" s="252">
        <v>152</v>
      </c>
      <c r="L26" s="252">
        <v>156</v>
      </c>
      <c r="M26" s="252">
        <v>39.9</v>
      </c>
      <c r="N26" s="260">
        <v>66.599999999999994</v>
      </c>
      <c r="O26" s="305">
        <f t="shared" si="0"/>
        <v>1010.1</v>
      </c>
      <c r="P26" s="261">
        <f t="shared" si="1"/>
        <v>84.2</v>
      </c>
    </row>
    <row r="27" spans="2:16" ht="22.5" customHeight="1">
      <c r="B27" s="259">
        <v>2015</v>
      </c>
      <c r="C27" s="252">
        <v>29.9</v>
      </c>
      <c r="D27" s="252">
        <v>23.4</v>
      </c>
      <c r="E27" s="252">
        <v>30.9</v>
      </c>
      <c r="F27" s="252">
        <v>129.69999999999999</v>
      </c>
      <c r="G27" s="252">
        <v>38.799999999999997</v>
      </c>
      <c r="H27" s="252">
        <v>83.9</v>
      </c>
      <c r="I27" s="252">
        <v>94.7</v>
      </c>
      <c r="J27" s="252">
        <v>30.2</v>
      </c>
      <c r="K27" s="252">
        <v>13.3</v>
      </c>
      <c r="L27" s="252">
        <v>90</v>
      </c>
      <c r="M27" s="252">
        <v>155.6</v>
      </c>
      <c r="N27" s="260">
        <v>65</v>
      </c>
      <c r="O27" s="305">
        <f t="shared" si="0"/>
        <v>785.4</v>
      </c>
      <c r="P27" s="261">
        <f t="shared" si="1"/>
        <v>65.5</v>
      </c>
    </row>
    <row r="28" spans="2:16" ht="22.5" customHeight="1">
      <c r="B28" s="259">
        <v>2016</v>
      </c>
      <c r="C28" s="252">
        <v>7.8</v>
      </c>
      <c r="D28" s="252">
        <v>54.2</v>
      </c>
      <c r="E28" s="252">
        <v>18.7</v>
      </c>
      <c r="F28" s="252">
        <v>105.1</v>
      </c>
      <c r="G28" s="252">
        <v>146.5</v>
      </c>
      <c r="H28" s="252">
        <v>23.7</v>
      </c>
      <c r="I28" s="252">
        <v>200.2</v>
      </c>
      <c r="J28" s="252">
        <v>5.0999999999999996</v>
      </c>
      <c r="K28" s="252">
        <v>73.400000000000006</v>
      </c>
      <c r="L28" s="252">
        <v>108</v>
      </c>
      <c r="M28" s="252">
        <v>5.6</v>
      </c>
      <c r="N28" s="260">
        <v>44.5</v>
      </c>
      <c r="O28" s="305">
        <f t="shared" si="0"/>
        <v>792.8</v>
      </c>
      <c r="P28" s="261">
        <f t="shared" si="1"/>
        <v>66.099999999999994</v>
      </c>
    </row>
    <row r="29" spans="2:16" ht="22.5" customHeight="1">
      <c r="B29" s="259">
        <v>2017</v>
      </c>
      <c r="C29" s="252">
        <v>14.8</v>
      </c>
      <c r="D29" s="252">
        <v>30.2</v>
      </c>
      <c r="E29" s="252">
        <v>14.4</v>
      </c>
      <c r="F29" s="252">
        <v>57.6</v>
      </c>
      <c r="G29" s="252">
        <v>58.9</v>
      </c>
      <c r="H29" s="252">
        <v>21.1</v>
      </c>
      <c r="I29" s="252">
        <v>278.10000000000002</v>
      </c>
      <c r="J29" s="252">
        <v>210</v>
      </c>
      <c r="K29" s="252">
        <v>90</v>
      </c>
      <c r="L29" s="252">
        <v>26.6</v>
      </c>
      <c r="M29" s="252">
        <v>15.9</v>
      </c>
      <c r="N29" s="260">
        <v>38.6</v>
      </c>
      <c r="O29" s="305">
        <f t="shared" si="0"/>
        <v>856.2</v>
      </c>
      <c r="P29" s="261">
        <f t="shared" si="1"/>
        <v>71.400000000000006</v>
      </c>
    </row>
    <row r="30" spans="2:16" ht="22.5" customHeight="1">
      <c r="B30" s="259">
        <v>2018</v>
      </c>
      <c r="C30" s="252">
        <v>15</v>
      </c>
      <c r="D30" s="252">
        <v>33.6</v>
      </c>
      <c r="E30" s="252">
        <v>92</v>
      </c>
      <c r="F30" s="252">
        <v>128.1</v>
      </c>
      <c r="G30" s="252">
        <v>104.5</v>
      </c>
      <c r="H30" s="252">
        <v>71</v>
      </c>
      <c r="I30" s="252">
        <v>262.7</v>
      </c>
      <c r="J30" s="252">
        <v>239.6</v>
      </c>
      <c r="K30" s="252">
        <v>158.19999999999999</v>
      </c>
      <c r="L30" s="252">
        <v>154.69999999999999</v>
      </c>
      <c r="M30" s="252">
        <v>46.7</v>
      </c>
      <c r="N30" s="260">
        <v>31.1</v>
      </c>
      <c r="O30" s="305">
        <f t="shared" si="0"/>
        <v>1337.2</v>
      </c>
      <c r="P30" s="261">
        <f t="shared" si="1"/>
        <v>111.4</v>
      </c>
    </row>
    <row r="31" spans="2:16" ht="22.5" customHeight="1">
      <c r="B31" s="259">
        <v>2019</v>
      </c>
      <c r="C31" s="252">
        <v>1.9</v>
      </c>
      <c r="D31" s="252">
        <v>17.8</v>
      </c>
      <c r="E31" s="252">
        <v>18.2</v>
      </c>
      <c r="F31" s="252">
        <v>71.900000000000006</v>
      </c>
      <c r="G31" s="252">
        <v>31.3</v>
      </c>
      <c r="H31" s="252">
        <v>56</v>
      </c>
      <c r="I31" s="252">
        <v>149</v>
      </c>
      <c r="J31" s="252">
        <v>131.30000000000001</v>
      </c>
      <c r="K31" s="252">
        <v>118.7</v>
      </c>
      <c r="L31" s="252">
        <v>63.9</v>
      </c>
      <c r="M31" s="252">
        <v>130.6</v>
      </c>
      <c r="N31" s="260">
        <v>31.3</v>
      </c>
      <c r="O31" s="305">
        <f t="shared" si="0"/>
        <v>821.9</v>
      </c>
      <c r="P31" s="261">
        <f t="shared" si="1"/>
        <v>68.5</v>
      </c>
    </row>
    <row r="32" spans="2:16" ht="22.5" customHeight="1">
      <c r="B32" s="259">
        <v>2020</v>
      </c>
      <c r="C32" s="252">
        <v>49.4</v>
      </c>
      <c r="D32" s="252">
        <v>75.3</v>
      </c>
      <c r="E32" s="252">
        <v>22.8</v>
      </c>
      <c r="F32" s="252">
        <v>16.5</v>
      </c>
      <c r="G32" s="252">
        <v>92.4</v>
      </c>
      <c r="H32" s="252">
        <v>139.69999999999999</v>
      </c>
      <c r="I32" s="252">
        <v>345.9</v>
      </c>
      <c r="J32" s="252">
        <v>321.5</v>
      </c>
      <c r="K32" s="252">
        <v>177.1</v>
      </c>
      <c r="L32" s="252">
        <v>16.2</v>
      </c>
      <c r="M32" s="252">
        <v>35.4</v>
      </c>
      <c r="N32" s="260">
        <v>9.6999999999999993</v>
      </c>
      <c r="O32" s="305">
        <f t="shared" si="0"/>
        <v>1301.9000000000001</v>
      </c>
      <c r="P32" s="261">
        <f t="shared" si="1"/>
        <v>108.5</v>
      </c>
    </row>
    <row r="33" spans="2:16" ht="22.5" customHeight="1">
      <c r="B33" s="259">
        <v>2021</v>
      </c>
      <c r="C33" s="252">
        <v>32</v>
      </c>
      <c r="D33" s="252">
        <v>18.7</v>
      </c>
      <c r="E33" s="252">
        <v>76.099999999999994</v>
      </c>
      <c r="F33" s="252">
        <v>43.4</v>
      </c>
      <c r="G33" s="252">
        <v>110</v>
      </c>
      <c r="H33" s="252">
        <v>55</v>
      </c>
      <c r="I33" s="252">
        <v>131.30000000000001</v>
      </c>
      <c r="J33" s="252">
        <v>253.7</v>
      </c>
      <c r="K33" s="252">
        <v>215.9</v>
      </c>
      <c r="L33" s="252">
        <v>39.6</v>
      </c>
      <c r="M33" s="252">
        <v>117.8</v>
      </c>
      <c r="N33" s="260">
        <v>14.4</v>
      </c>
      <c r="O33" s="305">
        <f t="shared" si="0"/>
        <v>1107.9000000000001</v>
      </c>
      <c r="P33" s="261">
        <f t="shared" si="1"/>
        <v>92.3</v>
      </c>
    </row>
    <row r="34" spans="2:16" ht="22.5" customHeight="1" thickBot="1">
      <c r="B34" s="262">
        <v>2022</v>
      </c>
      <c r="C34" s="263">
        <v>8.4</v>
      </c>
      <c r="D34" s="263">
        <v>5.3</v>
      </c>
      <c r="E34" s="263">
        <v>60.9</v>
      </c>
      <c r="F34" s="263">
        <v>34.799999999999997</v>
      </c>
      <c r="G34" s="263">
        <v>5.7</v>
      </c>
      <c r="H34" s="263">
        <v>225</v>
      </c>
      <c r="I34" s="263">
        <v>119.9</v>
      </c>
      <c r="J34" s="263">
        <v>637.1</v>
      </c>
      <c r="K34" s="263">
        <v>102</v>
      </c>
      <c r="L34" s="263">
        <v>112</v>
      </c>
      <c r="M34" s="263">
        <v>23.3</v>
      </c>
      <c r="N34" s="264">
        <v>14</v>
      </c>
      <c r="O34" s="306">
        <f t="shared" si="0"/>
        <v>1348.4</v>
      </c>
      <c r="P34" s="265">
        <f t="shared" si="1"/>
        <v>112.4</v>
      </c>
    </row>
    <row r="35" spans="2:16" ht="22.5" customHeight="1">
      <c r="B35" s="266" t="s">
        <v>36</v>
      </c>
      <c r="C35" s="267">
        <f>MAX(C5:C34)</f>
        <v>73.3</v>
      </c>
      <c r="D35" s="267">
        <f t="shared" ref="D35:N35" si="2">MAX(D5:D34)</f>
        <v>75.3</v>
      </c>
      <c r="E35" s="267">
        <f t="shared" si="2"/>
        <v>104.5</v>
      </c>
      <c r="F35" s="267">
        <f t="shared" si="2"/>
        <v>169</v>
      </c>
      <c r="G35" s="267">
        <f t="shared" si="2"/>
        <v>203</v>
      </c>
      <c r="H35" s="267">
        <f t="shared" si="2"/>
        <v>318</v>
      </c>
      <c r="I35" s="267">
        <f t="shared" si="2"/>
        <v>723.1</v>
      </c>
      <c r="J35" s="267">
        <f t="shared" si="2"/>
        <v>996.5</v>
      </c>
      <c r="K35" s="267">
        <f t="shared" si="2"/>
        <v>384</v>
      </c>
      <c r="L35" s="267">
        <f t="shared" si="2"/>
        <v>169</v>
      </c>
      <c r="M35" s="267">
        <f t="shared" si="2"/>
        <v>193.5</v>
      </c>
      <c r="N35" s="268">
        <f t="shared" si="2"/>
        <v>66.599999999999994</v>
      </c>
      <c r="O35" s="307">
        <f t="shared" ref="O35" si="3">MAX(O5:O34)</f>
        <v>1743</v>
      </c>
      <c r="P35" s="268">
        <f>MAX(P5:P34)</f>
        <v>145.30000000000001</v>
      </c>
    </row>
    <row r="36" spans="2:16" ht="22.5" customHeight="1">
      <c r="B36" s="269" t="s">
        <v>37</v>
      </c>
      <c r="C36" s="270">
        <f>ROUND(MIN(C5:C34),1)</f>
        <v>1.9</v>
      </c>
      <c r="D36" s="270">
        <f t="shared" ref="D36:N36" si="4">ROUND(MIN(D5:D34),1)</f>
        <v>3.2</v>
      </c>
      <c r="E36" s="270">
        <f t="shared" si="4"/>
        <v>7</v>
      </c>
      <c r="F36" s="270">
        <f t="shared" si="4"/>
        <v>16.5</v>
      </c>
      <c r="G36" s="270">
        <f t="shared" si="4"/>
        <v>5.7</v>
      </c>
      <c r="H36" s="270">
        <f t="shared" si="4"/>
        <v>21.1</v>
      </c>
      <c r="I36" s="270">
        <f t="shared" si="4"/>
        <v>94.7</v>
      </c>
      <c r="J36" s="270">
        <f t="shared" si="4"/>
        <v>5.0999999999999996</v>
      </c>
      <c r="K36" s="270">
        <f t="shared" si="4"/>
        <v>10</v>
      </c>
      <c r="L36" s="270">
        <f t="shared" si="4"/>
        <v>4</v>
      </c>
      <c r="M36" s="270">
        <f t="shared" si="4"/>
        <v>5.6</v>
      </c>
      <c r="N36" s="271">
        <f t="shared" si="4"/>
        <v>3.8</v>
      </c>
      <c r="O36" s="284">
        <f>ROUND(MIN(O5:O34),1)</f>
        <v>785.4</v>
      </c>
      <c r="P36" s="272">
        <f>ROUND(MIN(P5:P34),1)</f>
        <v>65.5</v>
      </c>
    </row>
    <row r="37" spans="2:16" ht="22.5" customHeight="1" thickBot="1">
      <c r="B37" s="273" t="s">
        <v>45</v>
      </c>
      <c r="C37" s="274">
        <f>ROUND(AVERAGE(C5:C34),1)</f>
        <v>23.2</v>
      </c>
      <c r="D37" s="274">
        <f t="shared" ref="D37:N37" si="5">ROUND(AVERAGE(D5:D34),1)</f>
        <v>29.1</v>
      </c>
      <c r="E37" s="274">
        <f t="shared" si="5"/>
        <v>43.5</v>
      </c>
      <c r="F37" s="274">
        <f t="shared" si="5"/>
        <v>70.5</v>
      </c>
      <c r="G37" s="274">
        <f t="shared" si="5"/>
        <v>85.8</v>
      </c>
      <c r="H37" s="274">
        <f t="shared" si="5"/>
        <v>136.80000000000001</v>
      </c>
      <c r="I37" s="274">
        <f t="shared" si="5"/>
        <v>244.7</v>
      </c>
      <c r="J37" s="274">
        <f t="shared" si="5"/>
        <v>281.60000000000002</v>
      </c>
      <c r="K37" s="274">
        <f t="shared" si="5"/>
        <v>132.9</v>
      </c>
      <c r="L37" s="274">
        <f t="shared" si="5"/>
        <v>63.2</v>
      </c>
      <c r="M37" s="274">
        <f t="shared" si="5"/>
        <v>54.8</v>
      </c>
      <c r="N37" s="275">
        <f t="shared" si="5"/>
        <v>32.200000000000003</v>
      </c>
      <c r="O37" s="288">
        <f>ROUND(AVERAGE(O5:O34),1)</f>
        <v>1198.3</v>
      </c>
      <c r="P37" s="276">
        <f>ROUND(AVERAGE(P5:P34),1)</f>
        <v>99.9</v>
      </c>
    </row>
    <row r="38" spans="2:16" ht="21.95" customHeight="1"/>
    <row r="39" spans="2:16" ht="21.95" customHeight="1" thickBot="1"/>
    <row r="40" spans="2:16" ht="22.5" customHeight="1">
      <c r="B40" s="278" t="s">
        <v>40</v>
      </c>
      <c r="C40" s="279" t="s">
        <v>31</v>
      </c>
      <c r="D40" s="279" t="s">
        <v>32</v>
      </c>
      <c r="E40" s="279" t="s">
        <v>33</v>
      </c>
      <c r="F40" s="279" t="s">
        <v>34</v>
      </c>
      <c r="G40" s="279" t="s">
        <v>35</v>
      </c>
      <c r="H40" s="279" t="s">
        <v>12</v>
      </c>
      <c r="I40" s="279" t="s">
        <v>13</v>
      </c>
      <c r="J40" s="279" t="s">
        <v>14</v>
      </c>
      <c r="K40" s="279" t="s">
        <v>15</v>
      </c>
      <c r="L40" s="279" t="s">
        <v>16</v>
      </c>
      <c r="M40" s="279" t="s">
        <v>17</v>
      </c>
      <c r="N40" s="280" t="s">
        <v>18</v>
      </c>
      <c r="O40" s="281" t="s">
        <v>43</v>
      </c>
      <c r="P40" s="280" t="s">
        <v>30</v>
      </c>
    </row>
    <row r="41" spans="2:16" ht="22.5" customHeight="1">
      <c r="B41" s="282">
        <f>B25</f>
        <v>2013</v>
      </c>
      <c r="C41" s="277">
        <f t="shared" ref="C41:N41" si="6">C25</f>
        <v>28.4</v>
      </c>
      <c r="D41" s="277">
        <f t="shared" si="6"/>
        <v>40.700000000000003</v>
      </c>
      <c r="E41" s="277">
        <f t="shared" si="6"/>
        <v>53.4</v>
      </c>
      <c r="F41" s="277">
        <f t="shared" si="6"/>
        <v>68.2</v>
      </c>
      <c r="G41" s="277">
        <f t="shared" si="6"/>
        <v>116.6</v>
      </c>
      <c r="H41" s="277">
        <f t="shared" si="6"/>
        <v>159.9</v>
      </c>
      <c r="I41" s="277">
        <f t="shared" si="6"/>
        <v>267.5</v>
      </c>
      <c r="J41" s="277">
        <f t="shared" si="6"/>
        <v>214.6</v>
      </c>
      <c r="K41" s="277">
        <f t="shared" si="6"/>
        <v>320</v>
      </c>
      <c r="L41" s="277">
        <f t="shared" si="6"/>
        <v>10.9</v>
      </c>
      <c r="M41" s="277">
        <f t="shared" si="6"/>
        <v>81.099999999999994</v>
      </c>
      <c r="N41" s="283">
        <f t="shared" si="6"/>
        <v>26.4</v>
      </c>
      <c r="O41" s="284">
        <f>ROUND(SUM(C41:N41),1)</f>
        <v>1387.7</v>
      </c>
      <c r="P41" s="272">
        <f>ROUND(O41/12,1)</f>
        <v>115.6</v>
      </c>
    </row>
    <row r="42" spans="2:16" ht="22.5" customHeight="1">
      <c r="B42" s="282">
        <f t="shared" ref="B42:N42" si="7">B26</f>
        <v>2014</v>
      </c>
      <c r="C42" s="277">
        <f t="shared" si="7"/>
        <v>3.4</v>
      </c>
      <c r="D42" s="277">
        <f t="shared" si="7"/>
        <v>20.5</v>
      </c>
      <c r="E42" s="277">
        <f t="shared" si="7"/>
        <v>56.3</v>
      </c>
      <c r="F42" s="277">
        <f t="shared" si="7"/>
        <v>70</v>
      </c>
      <c r="G42" s="277">
        <f t="shared" si="7"/>
        <v>47.1</v>
      </c>
      <c r="H42" s="277">
        <f t="shared" si="7"/>
        <v>125.8</v>
      </c>
      <c r="I42" s="277">
        <f t="shared" si="7"/>
        <v>104</v>
      </c>
      <c r="J42" s="277">
        <f t="shared" si="7"/>
        <v>168.5</v>
      </c>
      <c r="K42" s="277">
        <f t="shared" si="7"/>
        <v>152</v>
      </c>
      <c r="L42" s="277">
        <f t="shared" si="7"/>
        <v>156</v>
      </c>
      <c r="M42" s="277">
        <f t="shared" si="7"/>
        <v>39.9</v>
      </c>
      <c r="N42" s="283">
        <f t="shared" si="7"/>
        <v>66.599999999999994</v>
      </c>
      <c r="O42" s="284">
        <f t="shared" ref="O42:O50" si="8">ROUND(SUM(C42:N42),1)</f>
        <v>1010.1</v>
      </c>
      <c r="P42" s="272">
        <f t="shared" ref="P42:P50" si="9">ROUND(O42/12,1)</f>
        <v>84.2</v>
      </c>
    </row>
    <row r="43" spans="2:16" ht="22.5" customHeight="1">
      <c r="B43" s="282">
        <f t="shared" ref="B43:N43" si="10">B27</f>
        <v>2015</v>
      </c>
      <c r="C43" s="277">
        <f t="shared" si="10"/>
        <v>29.9</v>
      </c>
      <c r="D43" s="277">
        <f t="shared" si="10"/>
        <v>23.4</v>
      </c>
      <c r="E43" s="277">
        <f t="shared" si="10"/>
        <v>30.9</v>
      </c>
      <c r="F43" s="277">
        <f t="shared" si="10"/>
        <v>129.69999999999999</v>
      </c>
      <c r="G43" s="277">
        <f t="shared" si="10"/>
        <v>38.799999999999997</v>
      </c>
      <c r="H43" s="277">
        <f t="shared" si="10"/>
        <v>83.9</v>
      </c>
      <c r="I43" s="277">
        <f t="shared" si="10"/>
        <v>94.7</v>
      </c>
      <c r="J43" s="277">
        <f t="shared" si="10"/>
        <v>30.2</v>
      </c>
      <c r="K43" s="277">
        <f t="shared" si="10"/>
        <v>13.3</v>
      </c>
      <c r="L43" s="277">
        <f t="shared" si="10"/>
        <v>90</v>
      </c>
      <c r="M43" s="277">
        <f t="shared" si="10"/>
        <v>155.6</v>
      </c>
      <c r="N43" s="283">
        <f t="shared" si="10"/>
        <v>65</v>
      </c>
      <c r="O43" s="284">
        <f t="shared" si="8"/>
        <v>785.4</v>
      </c>
      <c r="P43" s="272">
        <f t="shared" si="9"/>
        <v>65.5</v>
      </c>
    </row>
    <row r="44" spans="2:16" ht="22.5" customHeight="1">
      <c r="B44" s="282">
        <f t="shared" ref="B44:N44" si="11">B28</f>
        <v>2016</v>
      </c>
      <c r="C44" s="277">
        <f t="shared" si="11"/>
        <v>7.8</v>
      </c>
      <c r="D44" s="277">
        <f t="shared" si="11"/>
        <v>54.2</v>
      </c>
      <c r="E44" s="277">
        <f t="shared" si="11"/>
        <v>18.7</v>
      </c>
      <c r="F44" s="277">
        <f t="shared" si="11"/>
        <v>105.1</v>
      </c>
      <c r="G44" s="277">
        <f t="shared" si="11"/>
        <v>146.5</v>
      </c>
      <c r="H44" s="277">
        <f t="shared" si="11"/>
        <v>23.7</v>
      </c>
      <c r="I44" s="277">
        <f t="shared" si="11"/>
        <v>200.2</v>
      </c>
      <c r="J44" s="277">
        <f t="shared" si="11"/>
        <v>5.0999999999999996</v>
      </c>
      <c r="K44" s="277">
        <f t="shared" si="11"/>
        <v>73.400000000000006</v>
      </c>
      <c r="L44" s="277">
        <f t="shared" si="11"/>
        <v>108</v>
      </c>
      <c r="M44" s="277">
        <f t="shared" si="11"/>
        <v>5.6</v>
      </c>
      <c r="N44" s="283">
        <f t="shared" si="11"/>
        <v>44.5</v>
      </c>
      <c r="O44" s="284">
        <f t="shared" si="8"/>
        <v>792.8</v>
      </c>
      <c r="P44" s="272">
        <f t="shared" si="9"/>
        <v>66.099999999999994</v>
      </c>
    </row>
    <row r="45" spans="2:16" ht="22.5" customHeight="1">
      <c r="B45" s="282">
        <f t="shared" ref="B45:N45" si="12">B29</f>
        <v>2017</v>
      </c>
      <c r="C45" s="277">
        <f t="shared" si="12"/>
        <v>14.8</v>
      </c>
      <c r="D45" s="277">
        <f t="shared" si="12"/>
        <v>30.2</v>
      </c>
      <c r="E45" s="277">
        <f t="shared" si="12"/>
        <v>14.4</v>
      </c>
      <c r="F45" s="277">
        <f t="shared" si="12"/>
        <v>57.6</v>
      </c>
      <c r="G45" s="277">
        <f t="shared" si="12"/>
        <v>58.9</v>
      </c>
      <c r="H45" s="277">
        <f t="shared" si="12"/>
        <v>21.1</v>
      </c>
      <c r="I45" s="277">
        <f t="shared" si="12"/>
        <v>278.10000000000002</v>
      </c>
      <c r="J45" s="277">
        <f t="shared" si="12"/>
        <v>210</v>
      </c>
      <c r="K45" s="277">
        <f t="shared" si="12"/>
        <v>90</v>
      </c>
      <c r="L45" s="277">
        <f t="shared" si="12"/>
        <v>26.6</v>
      </c>
      <c r="M45" s="277">
        <f t="shared" si="12"/>
        <v>15.9</v>
      </c>
      <c r="N45" s="283">
        <f t="shared" si="12"/>
        <v>38.6</v>
      </c>
      <c r="O45" s="284">
        <f t="shared" si="8"/>
        <v>856.2</v>
      </c>
      <c r="P45" s="272">
        <f t="shared" si="9"/>
        <v>71.400000000000006</v>
      </c>
    </row>
    <row r="46" spans="2:16" ht="22.5" customHeight="1">
      <c r="B46" s="282">
        <f t="shared" ref="B46:N46" si="13">B30</f>
        <v>2018</v>
      </c>
      <c r="C46" s="277">
        <f t="shared" si="13"/>
        <v>15</v>
      </c>
      <c r="D46" s="277">
        <f t="shared" si="13"/>
        <v>33.6</v>
      </c>
      <c r="E46" s="277">
        <f t="shared" si="13"/>
        <v>92</v>
      </c>
      <c r="F46" s="277">
        <f t="shared" si="13"/>
        <v>128.1</v>
      </c>
      <c r="G46" s="277">
        <f t="shared" si="13"/>
        <v>104.5</v>
      </c>
      <c r="H46" s="277">
        <f t="shared" si="13"/>
        <v>71</v>
      </c>
      <c r="I46" s="277">
        <f t="shared" si="13"/>
        <v>262.7</v>
      </c>
      <c r="J46" s="277">
        <f t="shared" si="13"/>
        <v>239.6</v>
      </c>
      <c r="K46" s="277">
        <f t="shared" si="13"/>
        <v>158.19999999999999</v>
      </c>
      <c r="L46" s="277">
        <f t="shared" si="13"/>
        <v>154.69999999999999</v>
      </c>
      <c r="M46" s="277">
        <f t="shared" si="13"/>
        <v>46.7</v>
      </c>
      <c r="N46" s="283">
        <f t="shared" si="13"/>
        <v>31.1</v>
      </c>
      <c r="O46" s="284">
        <f t="shared" si="8"/>
        <v>1337.2</v>
      </c>
      <c r="P46" s="272">
        <f t="shared" si="9"/>
        <v>111.4</v>
      </c>
    </row>
    <row r="47" spans="2:16" ht="22.5" customHeight="1">
      <c r="B47" s="282">
        <f t="shared" ref="B47:N47" si="14">B31</f>
        <v>2019</v>
      </c>
      <c r="C47" s="277">
        <f t="shared" si="14"/>
        <v>1.9</v>
      </c>
      <c r="D47" s="277">
        <f t="shared" si="14"/>
        <v>17.8</v>
      </c>
      <c r="E47" s="277">
        <f t="shared" si="14"/>
        <v>18.2</v>
      </c>
      <c r="F47" s="277">
        <f t="shared" si="14"/>
        <v>71.900000000000006</v>
      </c>
      <c r="G47" s="277">
        <f t="shared" si="14"/>
        <v>31.3</v>
      </c>
      <c r="H47" s="277">
        <f t="shared" si="14"/>
        <v>56</v>
      </c>
      <c r="I47" s="277">
        <f t="shared" si="14"/>
        <v>149</v>
      </c>
      <c r="J47" s="277">
        <f t="shared" si="14"/>
        <v>131.30000000000001</v>
      </c>
      <c r="K47" s="277">
        <f t="shared" si="14"/>
        <v>118.7</v>
      </c>
      <c r="L47" s="277">
        <f t="shared" si="14"/>
        <v>63.9</v>
      </c>
      <c r="M47" s="277">
        <f t="shared" si="14"/>
        <v>130.6</v>
      </c>
      <c r="N47" s="283">
        <f t="shared" si="14"/>
        <v>31.3</v>
      </c>
      <c r="O47" s="284">
        <f t="shared" si="8"/>
        <v>821.9</v>
      </c>
      <c r="P47" s="272">
        <f t="shared" si="9"/>
        <v>68.5</v>
      </c>
    </row>
    <row r="48" spans="2:16" ht="22.5" customHeight="1">
      <c r="B48" s="282">
        <f t="shared" ref="B48:N48" si="15">B32</f>
        <v>2020</v>
      </c>
      <c r="C48" s="277">
        <f t="shared" si="15"/>
        <v>49.4</v>
      </c>
      <c r="D48" s="277">
        <f t="shared" si="15"/>
        <v>75.3</v>
      </c>
      <c r="E48" s="277">
        <f t="shared" si="15"/>
        <v>22.8</v>
      </c>
      <c r="F48" s="277">
        <f t="shared" si="15"/>
        <v>16.5</v>
      </c>
      <c r="G48" s="277">
        <f t="shared" si="15"/>
        <v>92.4</v>
      </c>
      <c r="H48" s="277">
        <f t="shared" si="15"/>
        <v>139.69999999999999</v>
      </c>
      <c r="I48" s="277">
        <f t="shared" si="15"/>
        <v>345.9</v>
      </c>
      <c r="J48" s="277">
        <f t="shared" si="15"/>
        <v>321.5</v>
      </c>
      <c r="K48" s="277">
        <f t="shared" si="15"/>
        <v>177.1</v>
      </c>
      <c r="L48" s="277">
        <f t="shared" si="15"/>
        <v>16.2</v>
      </c>
      <c r="M48" s="277">
        <f t="shared" si="15"/>
        <v>35.4</v>
      </c>
      <c r="N48" s="283">
        <f t="shared" si="15"/>
        <v>9.6999999999999993</v>
      </c>
      <c r="O48" s="284">
        <f t="shared" si="8"/>
        <v>1301.9000000000001</v>
      </c>
      <c r="P48" s="272">
        <f t="shared" si="9"/>
        <v>108.5</v>
      </c>
    </row>
    <row r="49" spans="2:16" ht="22.5" customHeight="1">
      <c r="B49" s="282">
        <f t="shared" ref="B49:N49" si="16">B33</f>
        <v>2021</v>
      </c>
      <c r="C49" s="277">
        <f t="shared" si="16"/>
        <v>32</v>
      </c>
      <c r="D49" s="277">
        <f t="shared" si="16"/>
        <v>18.7</v>
      </c>
      <c r="E49" s="277">
        <f t="shared" si="16"/>
        <v>76.099999999999994</v>
      </c>
      <c r="F49" s="277">
        <f t="shared" si="16"/>
        <v>43.4</v>
      </c>
      <c r="G49" s="277">
        <f t="shared" si="16"/>
        <v>110</v>
      </c>
      <c r="H49" s="277">
        <f t="shared" si="16"/>
        <v>55</v>
      </c>
      <c r="I49" s="277">
        <f t="shared" si="16"/>
        <v>131.30000000000001</v>
      </c>
      <c r="J49" s="277">
        <f t="shared" si="16"/>
        <v>253.7</v>
      </c>
      <c r="K49" s="277">
        <f t="shared" si="16"/>
        <v>215.9</v>
      </c>
      <c r="L49" s="277">
        <f t="shared" si="16"/>
        <v>39.6</v>
      </c>
      <c r="M49" s="277">
        <f t="shared" si="16"/>
        <v>117.8</v>
      </c>
      <c r="N49" s="283">
        <f t="shared" si="16"/>
        <v>14.4</v>
      </c>
      <c r="O49" s="284">
        <f t="shared" si="8"/>
        <v>1107.9000000000001</v>
      </c>
      <c r="P49" s="272">
        <f t="shared" si="9"/>
        <v>92.3</v>
      </c>
    </row>
    <row r="50" spans="2:16" ht="22.5" customHeight="1" thickBot="1">
      <c r="B50" s="285">
        <f t="shared" ref="B50:N50" si="17">B34</f>
        <v>2022</v>
      </c>
      <c r="C50" s="286">
        <f t="shared" si="17"/>
        <v>8.4</v>
      </c>
      <c r="D50" s="286">
        <f t="shared" si="17"/>
        <v>5.3</v>
      </c>
      <c r="E50" s="286">
        <f>E34</f>
        <v>60.9</v>
      </c>
      <c r="F50" s="286">
        <f t="shared" si="17"/>
        <v>34.799999999999997</v>
      </c>
      <c r="G50" s="286">
        <f t="shared" si="17"/>
        <v>5.7</v>
      </c>
      <c r="H50" s="286">
        <f t="shared" si="17"/>
        <v>225</v>
      </c>
      <c r="I50" s="286">
        <f t="shared" si="17"/>
        <v>119.9</v>
      </c>
      <c r="J50" s="286">
        <f t="shared" si="17"/>
        <v>637.1</v>
      </c>
      <c r="K50" s="286">
        <f t="shared" si="17"/>
        <v>102</v>
      </c>
      <c r="L50" s="286">
        <f t="shared" si="17"/>
        <v>112</v>
      </c>
      <c r="M50" s="286">
        <f t="shared" si="17"/>
        <v>23.3</v>
      </c>
      <c r="N50" s="287">
        <f t="shared" si="17"/>
        <v>14</v>
      </c>
      <c r="O50" s="288">
        <f t="shared" si="8"/>
        <v>1348.4</v>
      </c>
      <c r="P50" s="276">
        <f t="shared" si="9"/>
        <v>112.4</v>
      </c>
    </row>
    <row r="51" spans="2:16" ht="22.5" customHeight="1">
      <c r="B51" s="289" t="s">
        <v>46</v>
      </c>
      <c r="C51" s="290">
        <f>MAX(C41:C50)</f>
        <v>49.4</v>
      </c>
      <c r="D51" s="290">
        <f t="shared" ref="D51:P51" si="18">MAX(D41:D50)</f>
        <v>75.3</v>
      </c>
      <c r="E51" s="290">
        <f t="shared" si="18"/>
        <v>92</v>
      </c>
      <c r="F51" s="290">
        <f t="shared" si="18"/>
        <v>129.69999999999999</v>
      </c>
      <c r="G51" s="290">
        <f t="shared" si="18"/>
        <v>146.5</v>
      </c>
      <c r="H51" s="290">
        <f t="shared" si="18"/>
        <v>225</v>
      </c>
      <c r="I51" s="290">
        <f t="shared" si="18"/>
        <v>345.9</v>
      </c>
      <c r="J51" s="290">
        <f t="shared" si="18"/>
        <v>637.1</v>
      </c>
      <c r="K51" s="290">
        <f t="shared" si="18"/>
        <v>320</v>
      </c>
      <c r="L51" s="290">
        <f t="shared" si="18"/>
        <v>156</v>
      </c>
      <c r="M51" s="290">
        <f t="shared" si="18"/>
        <v>155.6</v>
      </c>
      <c r="N51" s="291">
        <f t="shared" si="18"/>
        <v>66.599999999999994</v>
      </c>
      <c r="O51" s="292">
        <f t="shared" si="18"/>
        <v>1387.7</v>
      </c>
      <c r="P51" s="293">
        <f t="shared" si="18"/>
        <v>115.6</v>
      </c>
    </row>
    <row r="52" spans="2:16" ht="22.5" customHeight="1">
      <c r="B52" s="294" t="s">
        <v>47</v>
      </c>
      <c r="C52" s="295">
        <f>MIN(C41:C50)</f>
        <v>1.9</v>
      </c>
      <c r="D52" s="295">
        <f t="shared" ref="D52:P52" si="19">MIN(D41:D50)</f>
        <v>5.3</v>
      </c>
      <c r="E52" s="295">
        <f t="shared" si="19"/>
        <v>14.4</v>
      </c>
      <c r="F52" s="295">
        <f t="shared" si="19"/>
        <v>16.5</v>
      </c>
      <c r="G52" s="295">
        <f t="shared" si="19"/>
        <v>5.7</v>
      </c>
      <c r="H52" s="295">
        <f t="shared" si="19"/>
        <v>21.1</v>
      </c>
      <c r="I52" s="295">
        <f t="shared" si="19"/>
        <v>94.7</v>
      </c>
      <c r="J52" s="295">
        <f t="shared" si="19"/>
        <v>5.0999999999999996</v>
      </c>
      <c r="K52" s="295">
        <f t="shared" si="19"/>
        <v>13.3</v>
      </c>
      <c r="L52" s="295">
        <f t="shared" si="19"/>
        <v>10.9</v>
      </c>
      <c r="M52" s="295">
        <f t="shared" si="19"/>
        <v>5.6</v>
      </c>
      <c r="N52" s="296">
        <f t="shared" si="19"/>
        <v>9.6999999999999993</v>
      </c>
      <c r="O52" s="284">
        <f>MIN(O41:O50)</f>
        <v>785.4</v>
      </c>
      <c r="P52" s="272">
        <f t="shared" si="19"/>
        <v>65.5</v>
      </c>
    </row>
    <row r="53" spans="2:16" ht="22.5" customHeight="1" thickBot="1">
      <c r="B53" s="297" t="s">
        <v>30</v>
      </c>
      <c r="C53" s="298">
        <f>ROUND(AVERAGE(C41:C50),1)</f>
        <v>19.100000000000001</v>
      </c>
      <c r="D53" s="298">
        <f t="shared" ref="D53:N53" si="20">ROUND(AVERAGE(D41:D50),1)</f>
        <v>32</v>
      </c>
      <c r="E53" s="298">
        <f t="shared" si="20"/>
        <v>44.4</v>
      </c>
      <c r="F53" s="298">
        <f t="shared" si="20"/>
        <v>72.5</v>
      </c>
      <c r="G53" s="298">
        <f t="shared" si="20"/>
        <v>75.2</v>
      </c>
      <c r="H53" s="298">
        <f t="shared" si="20"/>
        <v>96.1</v>
      </c>
      <c r="I53" s="298">
        <f t="shared" si="20"/>
        <v>195.3</v>
      </c>
      <c r="J53" s="298">
        <f t="shared" si="20"/>
        <v>221.2</v>
      </c>
      <c r="K53" s="298">
        <f t="shared" si="20"/>
        <v>142.1</v>
      </c>
      <c r="L53" s="298">
        <f t="shared" si="20"/>
        <v>77.8</v>
      </c>
      <c r="M53" s="298">
        <f t="shared" si="20"/>
        <v>65.2</v>
      </c>
      <c r="N53" s="299">
        <f t="shared" si="20"/>
        <v>34.200000000000003</v>
      </c>
      <c r="O53" s="288">
        <f>ROUND(AVERAGE(O41:O50),1)</f>
        <v>1075</v>
      </c>
      <c r="P53" s="276">
        <f>ROUND(AVERAGE(P41:P50),1)</f>
        <v>89.6</v>
      </c>
    </row>
    <row r="54" spans="2:16" ht="24" customHeight="1"/>
  </sheetData>
  <mergeCells count="1">
    <mergeCell ref="B2:L2"/>
  </mergeCells>
  <phoneticPr fontId="7" type="noConversion"/>
  <pageMargins left="0.7" right="0.7" top="0.75" bottom="0.75" header="0.3" footer="0.3"/>
  <pageSetup paperSize="9" orientation="portrait" r:id="rId1"/>
  <ignoredErrors>
    <ignoredError sqref="O41:O50 O5:O34 C36:M37" formulaRange="1"/>
  </ignoredErrors>
  <drawing r:id="rId2"/>
  <legacyDrawing r:id="rId3"/>
  <controls>
    <mc:AlternateContent xmlns:mc="http://schemas.openxmlformats.org/markup-compatibility/2006">
      <mc:Choice Requires="x14">
        <control shapeId="218113" r:id="rId4" name="CommandButton1">
          <controlPr defaultSize="0" autoLine="0" r:id="rId5">
            <anchor moveWithCells="1">
              <from>
                <xdr:col>16</xdr:col>
                <xdr:colOff>352425</xdr:colOff>
                <xdr:row>3</xdr:row>
                <xdr:rowOff>57150</xdr:rowOff>
              </from>
              <to>
                <xdr:col>17</xdr:col>
                <xdr:colOff>1495425</xdr:colOff>
                <xdr:row>4</xdr:row>
                <xdr:rowOff>95250</xdr:rowOff>
              </to>
            </anchor>
          </controlPr>
        </control>
      </mc:Choice>
      <mc:Fallback>
        <control shapeId="218113" r:id="rId4" name="CommandButton1"/>
      </mc:Fallback>
    </mc:AlternateContent>
    <mc:AlternateContent xmlns:mc="http://schemas.openxmlformats.org/markup-compatibility/2006">
      <mc:Choice Requires="x14">
        <control shapeId="218114" r:id="rId6" name="CommandButton2">
          <controlPr defaultSize="0" autoLine="0" r:id="rId7">
            <anchor moveWithCells="1">
              <from>
                <xdr:col>16</xdr:col>
                <xdr:colOff>352425</xdr:colOff>
                <xdr:row>4</xdr:row>
                <xdr:rowOff>142875</xdr:rowOff>
              </from>
              <to>
                <xdr:col>17</xdr:col>
                <xdr:colOff>1495425</xdr:colOff>
                <xdr:row>5</xdr:row>
                <xdr:rowOff>180975</xdr:rowOff>
              </to>
            </anchor>
          </controlPr>
        </control>
      </mc:Choice>
      <mc:Fallback>
        <control shapeId="218114" r:id="rId6" name="CommandButton2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B1:Q82"/>
  <sheetViews>
    <sheetView topLeftCell="A49" workbookViewId="0">
      <selection activeCell="G41" sqref="G41"/>
    </sheetView>
  </sheetViews>
  <sheetFormatPr defaultColWidth="8.88671875" defaultRowHeight="16.5"/>
  <cols>
    <col min="1" max="1" width="8.88671875" style="79"/>
    <col min="2" max="2" width="8.88671875" style="97"/>
    <col min="3" max="3" width="8" style="97" customWidth="1"/>
    <col min="4" max="16384" width="8.88671875" style="79"/>
  </cols>
  <sheetData>
    <row r="1" spans="2:16" ht="17.25" thickBot="1">
      <c r="I1"/>
      <c r="J1"/>
      <c r="K1"/>
    </row>
    <row r="2" spans="2:16">
      <c r="B2" s="81"/>
      <c r="C2" s="82" t="s">
        <v>7</v>
      </c>
      <c r="D2" s="82" t="s">
        <v>8</v>
      </c>
      <c r="E2" s="82" t="s">
        <v>9</v>
      </c>
      <c r="F2" s="82" t="s">
        <v>10</v>
      </c>
      <c r="G2" s="82" t="s">
        <v>11</v>
      </c>
      <c r="H2" s="82" t="s">
        <v>12</v>
      </c>
      <c r="I2" s="82" t="s">
        <v>13</v>
      </c>
      <c r="J2" s="82" t="s">
        <v>14</v>
      </c>
      <c r="K2" s="82" t="s">
        <v>15</v>
      </c>
      <c r="L2" s="82" t="s">
        <v>16</v>
      </c>
      <c r="M2" s="82" t="s">
        <v>17</v>
      </c>
      <c r="N2" s="82" t="s">
        <v>18</v>
      </c>
      <c r="O2" s="82" t="s">
        <v>28</v>
      </c>
      <c r="P2" s="83" t="s">
        <v>20</v>
      </c>
    </row>
    <row r="3" spans="2:16">
      <c r="B3" s="84">
        <f>All!B5</f>
        <v>1993</v>
      </c>
      <c r="C3" s="85">
        <f>All!C5</f>
        <v>4.5999999999999996</v>
      </c>
      <c r="D3" s="85">
        <f>All!D5</f>
        <v>66.7</v>
      </c>
      <c r="E3" s="85">
        <f>All!E5</f>
        <v>21.6</v>
      </c>
      <c r="F3" s="85">
        <f>All!F5</f>
        <v>32.6</v>
      </c>
      <c r="G3" s="85">
        <f>All!G5</f>
        <v>68.5</v>
      </c>
      <c r="H3" s="85">
        <f>All!H5</f>
        <v>225.5</v>
      </c>
      <c r="I3" s="85">
        <f>All!I5</f>
        <v>241.5</v>
      </c>
      <c r="J3" s="85">
        <f>All!J5</f>
        <v>206.5</v>
      </c>
      <c r="K3" s="85">
        <f>All!K5</f>
        <v>141.5</v>
      </c>
      <c r="L3" s="85">
        <f>All!L5</f>
        <v>32</v>
      </c>
      <c r="M3" s="85">
        <f>All!M5</f>
        <v>87.4</v>
      </c>
      <c r="N3" s="85">
        <f>All!N5</f>
        <v>33.700000000000003</v>
      </c>
      <c r="O3" s="85">
        <f>All!O5</f>
        <v>1162.0999999999999</v>
      </c>
      <c r="P3" s="86">
        <f>All!P5</f>
        <v>96.8</v>
      </c>
    </row>
    <row r="4" spans="2:16">
      <c r="B4" s="84">
        <f>All!B6</f>
        <v>1994</v>
      </c>
      <c r="C4" s="85">
        <f>All!C6</f>
        <v>17.899999999999999</v>
      </c>
      <c r="D4" s="85">
        <f>All!D6</f>
        <v>6</v>
      </c>
      <c r="E4" s="85">
        <f>All!E6</f>
        <v>58.2</v>
      </c>
      <c r="F4" s="85">
        <f>All!F6</f>
        <v>51.5</v>
      </c>
      <c r="G4" s="85">
        <f>All!G6</f>
        <v>135.5</v>
      </c>
      <c r="H4" s="85">
        <f>All!H6</f>
        <v>207</v>
      </c>
      <c r="I4" s="85">
        <f>All!I6</f>
        <v>137</v>
      </c>
      <c r="J4" s="85">
        <f>All!J6</f>
        <v>443.5</v>
      </c>
      <c r="K4" s="85">
        <f>All!K6</f>
        <v>21</v>
      </c>
      <c r="L4" s="85">
        <f>All!L6</f>
        <v>155</v>
      </c>
      <c r="M4" s="85">
        <f>All!M6</f>
        <v>17.5</v>
      </c>
      <c r="N4" s="85">
        <f>All!N6</f>
        <v>18.899999999999999</v>
      </c>
      <c r="O4" s="85">
        <f>All!O6</f>
        <v>1269</v>
      </c>
      <c r="P4" s="86">
        <f>All!P6</f>
        <v>105.8</v>
      </c>
    </row>
    <row r="5" spans="2:16">
      <c r="B5" s="84">
        <f>All!B7</f>
        <v>1995</v>
      </c>
      <c r="C5" s="85">
        <f>All!C7</f>
        <v>15.7</v>
      </c>
      <c r="D5" s="85">
        <f>All!D7</f>
        <v>11</v>
      </c>
      <c r="E5" s="85">
        <f>All!E7</f>
        <v>19.600000000000001</v>
      </c>
      <c r="F5" s="85">
        <f>All!F7</f>
        <v>65.5</v>
      </c>
      <c r="G5" s="85">
        <f>All!G7</f>
        <v>49.5</v>
      </c>
      <c r="H5" s="85">
        <f>All!H7</f>
        <v>26.5</v>
      </c>
      <c r="I5" s="85">
        <f>All!I7</f>
        <v>144.5</v>
      </c>
      <c r="J5" s="85">
        <f>All!J7</f>
        <v>996.5</v>
      </c>
      <c r="K5" s="85">
        <f>All!K7</f>
        <v>70.5</v>
      </c>
      <c r="L5" s="85">
        <f>All!L7</f>
        <v>24.5</v>
      </c>
      <c r="M5" s="85">
        <f>All!M7</f>
        <v>23</v>
      </c>
      <c r="N5" s="85">
        <f>All!N7</f>
        <v>12.7</v>
      </c>
      <c r="O5" s="85">
        <f>All!O7</f>
        <v>1459.5</v>
      </c>
      <c r="P5" s="86">
        <f>All!P7</f>
        <v>121.6</v>
      </c>
    </row>
    <row r="6" spans="2:16">
      <c r="B6" s="84">
        <f>All!B8</f>
        <v>1996</v>
      </c>
      <c r="C6" s="85">
        <f>All!C8</f>
        <v>33.4</v>
      </c>
      <c r="D6" s="85">
        <f>All!D8</f>
        <v>6.8</v>
      </c>
      <c r="E6" s="85">
        <f>All!E8</f>
        <v>104.5</v>
      </c>
      <c r="F6" s="85">
        <f>All!F8</f>
        <v>34</v>
      </c>
      <c r="G6" s="85">
        <f>All!G8</f>
        <v>22.5</v>
      </c>
      <c r="H6" s="85">
        <f>All!H8</f>
        <v>235</v>
      </c>
      <c r="I6" s="85">
        <f>All!I8</f>
        <v>192.5</v>
      </c>
      <c r="J6" s="85">
        <f>All!J8</f>
        <v>44.5</v>
      </c>
      <c r="K6" s="85">
        <f>All!K8</f>
        <v>14</v>
      </c>
      <c r="L6" s="85">
        <f>All!L8</f>
        <v>106.5</v>
      </c>
      <c r="M6" s="85">
        <f>All!M8</f>
        <v>74.2</v>
      </c>
      <c r="N6" s="85">
        <f>All!N8</f>
        <v>31.7</v>
      </c>
      <c r="O6" s="85">
        <f>All!O8</f>
        <v>899.6</v>
      </c>
      <c r="P6" s="86">
        <f>All!P8</f>
        <v>75</v>
      </c>
    </row>
    <row r="7" spans="2:16">
      <c r="B7" s="84">
        <f>All!B9</f>
        <v>1997</v>
      </c>
      <c r="C7" s="85">
        <f>All!C9</f>
        <v>15.1</v>
      </c>
      <c r="D7" s="85">
        <f>All!D9</f>
        <v>38.4</v>
      </c>
      <c r="E7" s="85">
        <f>All!E9</f>
        <v>30.5</v>
      </c>
      <c r="F7" s="85">
        <f>All!F9</f>
        <v>57.5</v>
      </c>
      <c r="G7" s="85">
        <f>All!G9</f>
        <v>203</v>
      </c>
      <c r="H7" s="85">
        <f>All!H9</f>
        <v>272</v>
      </c>
      <c r="I7" s="85">
        <f>All!I9</f>
        <v>353.5</v>
      </c>
      <c r="J7" s="85">
        <f>All!J9</f>
        <v>211.5</v>
      </c>
      <c r="K7" s="85">
        <f>All!K9</f>
        <v>23</v>
      </c>
      <c r="L7" s="85">
        <f>All!L9</f>
        <v>10</v>
      </c>
      <c r="M7" s="85">
        <f>All!M9</f>
        <v>193.5</v>
      </c>
      <c r="N7" s="85">
        <f>All!N9</f>
        <v>34.299999999999997</v>
      </c>
      <c r="O7" s="85">
        <f>All!O9</f>
        <v>1442.3</v>
      </c>
      <c r="P7" s="86">
        <f>All!P9</f>
        <v>120.2</v>
      </c>
    </row>
    <row r="8" spans="2:16">
      <c r="B8" s="84">
        <f>All!B10</f>
        <v>1998</v>
      </c>
      <c r="C8" s="85">
        <f>All!C10</f>
        <v>29.9</v>
      </c>
      <c r="D8" s="85">
        <f>All!D10</f>
        <v>40.200000000000003</v>
      </c>
      <c r="E8" s="85">
        <f>All!E10</f>
        <v>30.5</v>
      </c>
      <c r="F8" s="85">
        <f>All!F10</f>
        <v>138</v>
      </c>
      <c r="G8" s="85">
        <f>All!G10</f>
        <v>100</v>
      </c>
      <c r="H8" s="85">
        <f>All!H10</f>
        <v>209.5</v>
      </c>
      <c r="I8" s="85">
        <f>All!I10</f>
        <v>263</v>
      </c>
      <c r="J8" s="85">
        <f>All!J10</f>
        <v>341.7</v>
      </c>
      <c r="K8" s="85">
        <f>All!K10</f>
        <v>150.30000000000001</v>
      </c>
      <c r="L8" s="85">
        <f>All!L10</f>
        <v>61</v>
      </c>
      <c r="M8" s="85">
        <f>All!M10</f>
        <v>29.3</v>
      </c>
      <c r="N8" s="85">
        <f>All!N10</f>
        <v>3.8</v>
      </c>
      <c r="O8" s="85">
        <f>All!O10</f>
        <v>1397.2</v>
      </c>
      <c r="P8" s="86">
        <f>All!P10</f>
        <v>116.4</v>
      </c>
    </row>
    <row r="9" spans="2:16">
      <c r="B9" s="84">
        <f>All!B11</f>
        <v>1999</v>
      </c>
      <c r="C9" s="85">
        <f>All!C11</f>
        <v>7.9</v>
      </c>
      <c r="D9" s="85">
        <f>All!D11</f>
        <v>9.5</v>
      </c>
      <c r="E9" s="85">
        <f>All!E11</f>
        <v>71</v>
      </c>
      <c r="F9" s="85">
        <f>All!F11</f>
        <v>88.5</v>
      </c>
      <c r="G9" s="85">
        <f>All!G11</f>
        <v>124.5</v>
      </c>
      <c r="H9" s="85">
        <f>All!H11</f>
        <v>192.5</v>
      </c>
      <c r="I9" s="85">
        <f>All!I11</f>
        <v>98</v>
      </c>
      <c r="J9" s="85">
        <f>All!J11</f>
        <v>180</v>
      </c>
      <c r="K9" s="85">
        <f>All!K11</f>
        <v>292.5</v>
      </c>
      <c r="L9" s="85">
        <f>All!L11</f>
        <v>169</v>
      </c>
      <c r="M9" s="85">
        <f>All!M11</f>
        <v>24.9</v>
      </c>
      <c r="N9" s="85">
        <f>All!N11</f>
        <v>25.8</v>
      </c>
      <c r="O9" s="85">
        <f>All!O11</f>
        <v>1284.0999999999999</v>
      </c>
      <c r="P9" s="86">
        <f>All!P11</f>
        <v>107</v>
      </c>
    </row>
    <row r="10" spans="2:16">
      <c r="B10" s="84">
        <f>All!B12</f>
        <v>2000</v>
      </c>
      <c r="C10" s="85">
        <f>All!C12</f>
        <v>42.1</v>
      </c>
      <c r="D10" s="85">
        <f>All!D12</f>
        <v>3.2</v>
      </c>
      <c r="E10" s="85">
        <f>All!E12</f>
        <v>7</v>
      </c>
      <c r="F10" s="85">
        <f>All!F12</f>
        <v>35</v>
      </c>
      <c r="G10" s="85">
        <f>All!G12</f>
        <v>53.5</v>
      </c>
      <c r="H10" s="85">
        <f>All!H12</f>
        <v>159.5</v>
      </c>
      <c r="I10" s="85">
        <f>All!I12</f>
        <v>155</v>
      </c>
      <c r="J10" s="85">
        <f>All!J12</f>
        <v>701.5</v>
      </c>
      <c r="K10" s="85">
        <f>All!K12</f>
        <v>241</v>
      </c>
      <c r="L10" s="85">
        <f>All!L12</f>
        <v>46</v>
      </c>
      <c r="M10" s="85">
        <f>All!M12</f>
        <v>39.5</v>
      </c>
      <c r="N10" s="85">
        <f>All!N12</f>
        <v>32.1</v>
      </c>
      <c r="O10" s="85">
        <f>All!O12</f>
        <v>1515.4</v>
      </c>
      <c r="P10" s="86">
        <f>All!P12</f>
        <v>126.3</v>
      </c>
    </row>
    <row r="11" spans="2:16">
      <c r="B11" s="84">
        <f>All!B13</f>
        <v>2001</v>
      </c>
      <c r="C11" s="85">
        <f>All!C13</f>
        <v>73.3</v>
      </c>
      <c r="D11" s="85">
        <f>All!D13</f>
        <v>46</v>
      </c>
      <c r="E11" s="85">
        <f>All!E13</f>
        <v>15.9</v>
      </c>
      <c r="F11" s="85">
        <f>All!F13</f>
        <v>26</v>
      </c>
      <c r="G11" s="85">
        <f>All!G13</f>
        <v>17</v>
      </c>
      <c r="H11" s="85">
        <f>All!H13</f>
        <v>129</v>
      </c>
      <c r="I11" s="85">
        <f>All!I13</f>
        <v>286.5</v>
      </c>
      <c r="J11" s="85">
        <f>All!J13</f>
        <v>170</v>
      </c>
      <c r="K11" s="85">
        <f>All!K13</f>
        <v>10</v>
      </c>
      <c r="L11" s="85">
        <f>All!L13</f>
        <v>85</v>
      </c>
      <c r="M11" s="85">
        <f>All!M13</f>
        <v>13</v>
      </c>
      <c r="N11" s="85">
        <f>All!N13</f>
        <v>32</v>
      </c>
      <c r="O11" s="85">
        <f>All!O13</f>
        <v>903.7</v>
      </c>
      <c r="P11" s="86">
        <f>All!P13</f>
        <v>75.3</v>
      </c>
    </row>
    <row r="12" spans="2:16">
      <c r="B12" s="84">
        <f>All!B14</f>
        <v>2002</v>
      </c>
      <c r="C12" s="85">
        <f>All!C14</f>
        <v>50.8</v>
      </c>
      <c r="D12" s="85">
        <f>All!D14</f>
        <v>5.5</v>
      </c>
      <c r="E12" s="85">
        <f>All!E14</f>
        <v>32</v>
      </c>
      <c r="F12" s="85">
        <f>All!F14</f>
        <v>169</v>
      </c>
      <c r="G12" s="85">
        <f>All!G14</f>
        <v>155.5</v>
      </c>
      <c r="H12" s="85">
        <f>All!H14</f>
        <v>72</v>
      </c>
      <c r="I12" s="85">
        <f>All!I14</f>
        <v>217.5</v>
      </c>
      <c r="J12" s="85">
        <f>All!J14</f>
        <v>477</v>
      </c>
      <c r="K12" s="85">
        <f>All!K14</f>
        <v>27</v>
      </c>
      <c r="L12" s="85">
        <f>All!L14</f>
        <v>134</v>
      </c>
      <c r="M12" s="85">
        <f>All!M14</f>
        <v>61.1</v>
      </c>
      <c r="N12" s="85">
        <f>All!N14</f>
        <v>51.8</v>
      </c>
      <c r="O12" s="85">
        <f>All!O14</f>
        <v>1453.2</v>
      </c>
      <c r="P12" s="86">
        <f>All!P14</f>
        <v>121.1</v>
      </c>
    </row>
    <row r="13" spans="2:16">
      <c r="B13" s="84">
        <f>All!B15</f>
        <v>2003</v>
      </c>
      <c r="C13" s="85">
        <f>All!C15</f>
        <v>30.7</v>
      </c>
      <c r="D13" s="85">
        <f>All!D15</f>
        <v>44.5</v>
      </c>
      <c r="E13" s="85">
        <f>All!E15</f>
        <v>39.5</v>
      </c>
      <c r="F13" s="85">
        <f>All!F15</f>
        <v>168.5</v>
      </c>
      <c r="G13" s="85">
        <f>All!G15</f>
        <v>78.5</v>
      </c>
      <c r="H13" s="85">
        <f>All!H15</f>
        <v>153</v>
      </c>
      <c r="I13" s="85">
        <f>All!I15</f>
        <v>309.5</v>
      </c>
      <c r="J13" s="85">
        <f>All!J15</f>
        <v>310</v>
      </c>
      <c r="K13" s="85">
        <f>All!K15</f>
        <v>128</v>
      </c>
      <c r="L13" s="85">
        <f>All!L15</f>
        <v>23</v>
      </c>
      <c r="M13" s="85">
        <f>All!M15</f>
        <v>45.5</v>
      </c>
      <c r="N13" s="85">
        <f>All!N15</f>
        <v>13</v>
      </c>
      <c r="O13" s="85">
        <f>All!O15</f>
        <v>1343.7</v>
      </c>
      <c r="P13" s="86">
        <f>All!P15</f>
        <v>112</v>
      </c>
    </row>
    <row r="14" spans="2:16">
      <c r="B14" s="84">
        <f>All!B16</f>
        <v>2004</v>
      </c>
      <c r="C14" s="85">
        <f>All!C16</f>
        <v>22.1</v>
      </c>
      <c r="D14" s="85">
        <f>All!D16</f>
        <v>28.5</v>
      </c>
      <c r="E14" s="85">
        <f>All!E16</f>
        <v>45.7</v>
      </c>
      <c r="F14" s="85">
        <f>All!F16</f>
        <v>58</v>
      </c>
      <c r="G14" s="85">
        <f>All!G16</f>
        <v>105.5</v>
      </c>
      <c r="H14" s="85">
        <f>All!H16</f>
        <v>234.5</v>
      </c>
      <c r="I14" s="85">
        <f>All!I16</f>
        <v>263.5</v>
      </c>
      <c r="J14" s="85">
        <f>All!J16</f>
        <v>164</v>
      </c>
      <c r="K14" s="85">
        <f>All!K16</f>
        <v>195</v>
      </c>
      <c r="L14" s="85">
        <f>All!L16</f>
        <v>4</v>
      </c>
      <c r="M14" s="85">
        <f>All!M16</f>
        <v>56.5</v>
      </c>
      <c r="N14" s="85">
        <f>All!N16</f>
        <v>38.9</v>
      </c>
      <c r="O14" s="85">
        <f>All!O16</f>
        <v>1216.2</v>
      </c>
      <c r="P14" s="86">
        <f>All!P16</f>
        <v>101.4</v>
      </c>
    </row>
    <row r="15" spans="2:16">
      <c r="B15" s="84">
        <f>All!B17</f>
        <v>2005</v>
      </c>
      <c r="C15" s="85">
        <f>All!C17</f>
        <v>5.8</v>
      </c>
      <c r="D15" s="85">
        <f>All!D17</f>
        <v>35.799999999999997</v>
      </c>
      <c r="E15" s="85">
        <f>All!E17</f>
        <v>30</v>
      </c>
      <c r="F15" s="85">
        <f>All!F17</f>
        <v>73.5</v>
      </c>
      <c r="G15" s="85">
        <f>All!G17</f>
        <v>48.5</v>
      </c>
      <c r="H15" s="85">
        <f>All!H17</f>
        <v>156</v>
      </c>
      <c r="I15" s="85">
        <f>All!I17</f>
        <v>260.5</v>
      </c>
      <c r="J15" s="85">
        <f>All!J17</f>
        <v>291.5</v>
      </c>
      <c r="K15" s="85">
        <f>All!K17</f>
        <v>282.5</v>
      </c>
      <c r="L15" s="85">
        <f>All!L17</f>
        <v>21</v>
      </c>
      <c r="M15" s="85">
        <f>All!M17</f>
        <v>18</v>
      </c>
      <c r="N15" s="85">
        <f>All!N17</f>
        <v>43.4</v>
      </c>
      <c r="O15" s="85">
        <f>All!O17</f>
        <v>1266.5</v>
      </c>
      <c r="P15" s="86">
        <f>All!P17</f>
        <v>105.5</v>
      </c>
    </row>
    <row r="16" spans="2:16">
      <c r="B16" s="84">
        <f>All!B18</f>
        <v>2006</v>
      </c>
      <c r="C16" s="85">
        <f>All!C18</f>
        <v>27</v>
      </c>
      <c r="D16" s="85">
        <f>All!D18</f>
        <v>25.9</v>
      </c>
      <c r="E16" s="85">
        <f>All!E18</f>
        <v>10.6</v>
      </c>
      <c r="F16" s="85">
        <f>All!F18</f>
        <v>81.5</v>
      </c>
      <c r="G16" s="85">
        <f>All!G18</f>
        <v>94.5</v>
      </c>
      <c r="H16" s="85">
        <f>All!H18</f>
        <v>114.5</v>
      </c>
      <c r="I16" s="85">
        <f>All!I18</f>
        <v>321</v>
      </c>
      <c r="J16" s="85">
        <f>All!J18</f>
        <v>21.5</v>
      </c>
      <c r="K16" s="85">
        <f>All!K18</f>
        <v>23.5</v>
      </c>
      <c r="L16" s="85">
        <f>All!L18</f>
        <v>24.5</v>
      </c>
      <c r="M16" s="85">
        <f>All!M18</f>
        <v>61.5</v>
      </c>
      <c r="N16" s="85">
        <f>All!N18</f>
        <v>25.4</v>
      </c>
      <c r="O16" s="85">
        <f>All!O18</f>
        <v>831.4</v>
      </c>
      <c r="P16" s="86">
        <f>All!P18</f>
        <v>69.3</v>
      </c>
    </row>
    <row r="17" spans="2:16">
      <c r="B17" s="84">
        <f>All!B19</f>
        <v>2007</v>
      </c>
      <c r="C17" s="85">
        <f>All!C19</f>
        <v>23.4</v>
      </c>
      <c r="D17" s="85">
        <f>All!D19</f>
        <v>29.8</v>
      </c>
      <c r="E17" s="85">
        <f>All!E19</f>
        <v>102</v>
      </c>
      <c r="F17" s="85">
        <f>All!F19</f>
        <v>29.5</v>
      </c>
      <c r="G17" s="85">
        <f>All!G19</f>
        <v>79</v>
      </c>
      <c r="H17" s="85">
        <f>All!H19</f>
        <v>85</v>
      </c>
      <c r="I17" s="85">
        <f>All!I19</f>
        <v>214</v>
      </c>
      <c r="J17" s="85">
        <f>All!J19</f>
        <v>239.5</v>
      </c>
      <c r="K17" s="85">
        <f>All!K19</f>
        <v>384</v>
      </c>
      <c r="L17" s="85">
        <f>All!L19</f>
        <v>59</v>
      </c>
      <c r="M17" s="85">
        <f>All!M19</f>
        <v>17.5</v>
      </c>
      <c r="N17" s="85">
        <f>All!N19</f>
        <v>33.1</v>
      </c>
      <c r="O17" s="85">
        <f>All!O19</f>
        <v>1295.8</v>
      </c>
      <c r="P17" s="86">
        <f>All!P19</f>
        <v>108</v>
      </c>
    </row>
    <row r="18" spans="2:16">
      <c r="B18" s="84">
        <f>All!B20</f>
        <v>2008</v>
      </c>
      <c r="C18" s="85">
        <f>All!C20</f>
        <v>20.9</v>
      </c>
      <c r="D18" s="85">
        <f>All!D20</f>
        <v>10.8</v>
      </c>
      <c r="E18" s="85">
        <f>All!E20</f>
        <v>48.2</v>
      </c>
      <c r="F18" s="85">
        <f>All!F20</f>
        <v>40.5</v>
      </c>
      <c r="G18" s="85">
        <f>All!G20</f>
        <v>78.900000000000006</v>
      </c>
      <c r="H18" s="85">
        <f>All!H20</f>
        <v>101.3</v>
      </c>
      <c r="I18" s="85">
        <f>All!I20</f>
        <v>257.2</v>
      </c>
      <c r="J18" s="85">
        <f>All!J20</f>
        <v>119.5</v>
      </c>
      <c r="K18" s="85">
        <f>All!K20</f>
        <v>46.9</v>
      </c>
      <c r="L18" s="85">
        <f>All!L20</f>
        <v>26.7</v>
      </c>
      <c r="M18" s="85">
        <f>All!M20</f>
        <v>37.6</v>
      </c>
      <c r="N18" s="85">
        <f>All!N20</f>
        <v>25</v>
      </c>
      <c r="O18" s="85">
        <f>All!O20</f>
        <v>813.5</v>
      </c>
      <c r="P18" s="86">
        <f>All!P20</f>
        <v>67.8</v>
      </c>
    </row>
    <row r="19" spans="2:16">
      <c r="B19" s="84">
        <f>All!B21</f>
        <v>2009</v>
      </c>
      <c r="C19" s="85">
        <f>All!C21</f>
        <v>18.5</v>
      </c>
      <c r="D19" s="85">
        <f>All!D21</f>
        <v>23.3</v>
      </c>
      <c r="E19" s="85">
        <f>All!E21</f>
        <v>55.1</v>
      </c>
      <c r="F19" s="85">
        <f>All!F21</f>
        <v>41.5</v>
      </c>
      <c r="G19" s="85">
        <f>All!G21</f>
        <v>154.5</v>
      </c>
      <c r="H19" s="85">
        <f>All!H21</f>
        <v>115.1</v>
      </c>
      <c r="I19" s="85">
        <f>All!I21</f>
        <v>320.89999999999998</v>
      </c>
      <c r="J19" s="85">
        <f>All!J21</f>
        <v>176.6</v>
      </c>
      <c r="K19" s="85">
        <f>All!K21</f>
        <v>25.5</v>
      </c>
      <c r="L19" s="85">
        <f>All!L21</f>
        <v>39.5</v>
      </c>
      <c r="M19" s="85">
        <f>All!M21</f>
        <v>52.9</v>
      </c>
      <c r="N19" s="85">
        <f>All!N21</f>
        <v>58</v>
      </c>
      <c r="O19" s="85">
        <f>All!O21</f>
        <v>1081.4000000000001</v>
      </c>
      <c r="P19" s="86">
        <f>All!P21</f>
        <v>90.1</v>
      </c>
    </row>
    <row r="20" spans="2:16">
      <c r="B20" s="84">
        <f>All!B22</f>
        <v>2010</v>
      </c>
      <c r="C20" s="85">
        <f>All!C22</f>
        <v>30.1</v>
      </c>
      <c r="D20" s="85">
        <f>All!D22</f>
        <v>73.5</v>
      </c>
      <c r="E20" s="85">
        <f>All!E22</f>
        <v>75.900000000000006</v>
      </c>
      <c r="F20" s="85">
        <f>All!F22</f>
        <v>58.5</v>
      </c>
      <c r="G20" s="85">
        <f>All!G22</f>
        <v>122.8</v>
      </c>
      <c r="H20" s="85">
        <f>All!H22</f>
        <v>60.8</v>
      </c>
      <c r="I20" s="85">
        <f>All!I22</f>
        <v>396.5</v>
      </c>
      <c r="J20" s="85">
        <f>All!J22</f>
        <v>402.7</v>
      </c>
      <c r="K20" s="85">
        <f>All!K22</f>
        <v>213.1</v>
      </c>
      <c r="L20" s="85">
        <f>All!L22</f>
        <v>19.2</v>
      </c>
      <c r="M20" s="85">
        <f>All!M22</f>
        <v>16.3</v>
      </c>
      <c r="N20" s="85">
        <f>All!N22</f>
        <v>32.9</v>
      </c>
      <c r="O20" s="85">
        <f>All!O22</f>
        <v>1502.3</v>
      </c>
      <c r="P20" s="86">
        <f>All!P22</f>
        <v>125.2</v>
      </c>
    </row>
    <row r="21" spans="2:16">
      <c r="B21" s="84">
        <f>All!B23</f>
        <v>2011</v>
      </c>
      <c r="C21" s="85">
        <f>All!C23</f>
        <v>11.1</v>
      </c>
      <c r="D21" s="85">
        <f>All!D23</f>
        <v>37.5</v>
      </c>
      <c r="E21" s="85">
        <f>All!E23</f>
        <v>18</v>
      </c>
      <c r="F21" s="85">
        <f>All!F23</f>
        <v>72.099999999999994</v>
      </c>
      <c r="G21" s="85">
        <f>All!G23</f>
        <v>115.3</v>
      </c>
      <c r="H21" s="85">
        <f>All!H23</f>
        <v>318</v>
      </c>
      <c r="I21" s="85">
        <f>All!I23</f>
        <v>723.1</v>
      </c>
      <c r="J21" s="85">
        <f>All!J23</f>
        <v>289.39999999999998</v>
      </c>
      <c r="K21" s="85">
        <f>All!K23</f>
        <v>70.8</v>
      </c>
      <c r="L21" s="85">
        <f>All!L23</f>
        <v>13.9</v>
      </c>
      <c r="M21" s="85">
        <f>All!M23</f>
        <v>61.3</v>
      </c>
      <c r="N21" s="85">
        <f>All!N23</f>
        <v>12.5</v>
      </c>
      <c r="O21" s="85">
        <f>All!O23</f>
        <v>1743</v>
      </c>
      <c r="P21" s="86">
        <f>All!P23</f>
        <v>145.30000000000001</v>
      </c>
    </row>
    <row r="22" spans="2:16">
      <c r="B22" s="84">
        <f>All!B24</f>
        <v>2012</v>
      </c>
      <c r="C22" s="85">
        <f>All!C24</f>
        <v>24.2</v>
      </c>
      <c r="D22" s="85">
        <f>All!D24</f>
        <v>9.1999999999999993</v>
      </c>
      <c r="E22" s="85">
        <f>All!E24</f>
        <v>45</v>
      </c>
      <c r="F22" s="85">
        <f>All!F24</f>
        <v>68.900000000000006</v>
      </c>
      <c r="G22" s="85">
        <f>All!G24</f>
        <v>14.6</v>
      </c>
      <c r="H22" s="85">
        <f>All!H24</f>
        <v>76.8</v>
      </c>
      <c r="I22" s="85">
        <f>All!I24</f>
        <v>231.1</v>
      </c>
      <c r="J22" s="85">
        <f>All!J24</f>
        <v>450.2</v>
      </c>
      <c r="K22" s="85">
        <f>All!K24</f>
        <v>207.7</v>
      </c>
      <c r="L22" s="85">
        <f>All!L24</f>
        <v>65</v>
      </c>
      <c r="M22" s="85">
        <f>All!M24</f>
        <v>61.1</v>
      </c>
      <c r="N22" s="85">
        <f>All!N24</f>
        <v>65.2</v>
      </c>
      <c r="O22" s="85">
        <f>All!O24</f>
        <v>1319</v>
      </c>
      <c r="P22" s="86">
        <f>All!P24</f>
        <v>109.9</v>
      </c>
    </row>
    <row r="23" spans="2:16" s="163" customFormat="1">
      <c r="B23" s="170">
        <f>All!B25</f>
        <v>2013</v>
      </c>
      <c r="C23" s="164">
        <f>All!C25</f>
        <v>28.4</v>
      </c>
      <c r="D23" s="164">
        <f>All!D25</f>
        <v>40.700000000000003</v>
      </c>
      <c r="E23" s="164">
        <f>All!E25</f>
        <v>53.4</v>
      </c>
      <c r="F23" s="164">
        <f>All!F25</f>
        <v>68.2</v>
      </c>
      <c r="G23" s="164">
        <f>All!G25</f>
        <v>116.6</v>
      </c>
      <c r="H23" s="164">
        <f>All!H25</f>
        <v>159.9</v>
      </c>
      <c r="I23" s="164">
        <f>All!I25</f>
        <v>267.5</v>
      </c>
      <c r="J23" s="164">
        <f>All!J25</f>
        <v>214.6</v>
      </c>
      <c r="K23" s="164">
        <f>All!K25</f>
        <v>320</v>
      </c>
      <c r="L23" s="164">
        <f>All!L25</f>
        <v>10.9</v>
      </c>
      <c r="M23" s="164">
        <f>All!M25</f>
        <v>81.099999999999994</v>
      </c>
      <c r="N23" s="164">
        <f>All!N25</f>
        <v>26.4</v>
      </c>
      <c r="O23" s="164">
        <f>All!O25</f>
        <v>1387.7</v>
      </c>
      <c r="P23" s="171">
        <f>All!P25</f>
        <v>115.6</v>
      </c>
    </row>
    <row r="24" spans="2:16">
      <c r="B24" s="84">
        <f>All!B26</f>
        <v>2014</v>
      </c>
      <c r="C24" s="85">
        <f>All!C26</f>
        <v>3.4</v>
      </c>
      <c r="D24" s="85">
        <f>All!D26</f>
        <v>20.5</v>
      </c>
      <c r="E24" s="85">
        <f>All!E26</f>
        <v>56.3</v>
      </c>
      <c r="F24" s="85">
        <f>All!F26</f>
        <v>70</v>
      </c>
      <c r="G24" s="85">
        <f>All!G26</f>
        <v>47.1</v>
      </c>
      <c r="H24" s="85">
        <f>All!H26</f>
        <v>125.8</v>
      </c>
      <c r="I24" s="85">
        <f>All!I26</f>
        <v>104</v>
      </c>
      <c r="J24" s="85">
        <f>All!J26</f>
        <v>168.5</v>
      </c>
      <c r="K24" s="85">
        <f>All!K26</f>
        <v>152</v>
      </c>
      <c r="L24" s="85">
        <f>All!L26</f>
        <v>156</v>
      </c>
      <c r="M24" s="85">
        <f>All!M26</f>
        <v>39.9</v>
      </c>
      <c r="N24" s="85">
        <f>All!N26</f>
        <v>66.599999999999994</v>
      </c>
      <c r="O24" s="85">
        <f>All!O26</f>
        <v>1010.1</v>
      </c>
      <c r="P24" s="86">
        <f>All!P26</f>
        <v>84.2</v>
      </c>
    </row>
    <row r="25" spans="2:16">
      <c r="B25" s="84">
        <f>All!B27</f>
        <v>2015</v>
      </c>
      <c r="C25" s="85">
        <f>All!C27</f>
        <v>29.9</v>
      </c>
      <c r="D25" s="85">
        <f>All!D27</f>
        <v>23.4</v>
      </c>
      <c r="E25" s="85">
        <f>All!E27</f>
        <v>30.9</v>
      </c>
      <c r="F25" s="85">
        <f>All!F27</f>
        <v>129.69999999999999</v>
      </c>
      <c r="G25" s="85">
        <f>All!G27</f>
        <v>38.799999999999997</v>
      </c>
      <c r="H25" s="85">
        <f>All!H27</f>
        <v>83.9</v>
      </c>
      <c r="I25" s="85">
        <f>All!I27</f>
        <v>94.7</v>
      </c>
      <c r="J25" s="85">
        <f>All!J27</f>
        <v>30.2</v>
      </c>
      <c r="K25" s="85">
        <f>All!K27</f>
        <v>13.3</v>
      </c>
      <c r="L25" s="85">
        <f>All!L27</f>
        <v>90</v>
      </c>
      <c r="M25" s="85">
        <f>All!M27</f>
        <v>155.6</v>
      </c>
      <c r="N25" s="85">
        <f>All!N27</f>
        <v>65</v>
      </c>
      <c r="O25" s="85">
        <f>All!O27</f>
        <v>785.4</v>
      </c>
      <c r="P25" s="86">
        <f>All!P27</f>
        <v>65.5</v>
      </c>
    </row>
    <row r="26" spans="2:16">
      <c r="B26" s="84">
        <f>All!B28</f>
        <v>2016</v>
      </c>
      <c r="C26" s="85">
        <f>All!C28</f>
        <v>7.8</v>
      </c>
      <c r="D26" s="85">
        <f>All!D28</f>
        <v>54.2</v>
      </c>
      <c r="E26" s="85">
        <f>All!E28</f>
        <v>18.7</v>
      </c>
      <c r="F26" s="85">
        <f>All!F28</f>
        <v>105.1</v>
      </c>
      <c r="G26" s="85">
        <f>All!G28</f>
        <v>146.5</v>
      </c>
      <c r="H26" s="85">
        <f>All!H28</f>
        <v>23.7</v>
      </c>
      <c r="I26" s="85">
        <f>All!I28</f>
        <v>200.2</v>
      </c>
      <c r="J26" s="85">
        <f>All!J28</f>
        <v>5.0999999999999996</v>
      </c>
      <c r="K26" s="85">
        <f>All!K28</f>
        <v>73.400000000000006</v>
      </c>
      <c r="L26" s="85">
        <f>All!L28</f>
        <v>108</v>
      </c>
      <c r="M26" s="85">
        <f>All!M28</f>
        <v>5.6</v>
      </c>
      <c r="N26" s="85">
        <f>All!N28</f>
        <v>44.5</v>
      </c>
      <c r="O26" s="85">
        <f>All!O28</f>
        <v>792.8</v>
      </c>
      <c r="P26" s="86">
        <f>All!P28</f>
        <v>66.099999999999994</v>
      </c>
    </row>
    <row r="27" spans="2:16">
      <c r="B27" s="84">
        <f>All!B29</f>
        <v>2017</v>
      </c>
      <c r="C27" s="85">
        <f>All!C29</f>
        <v>14.8</v>
      </c>
      <c r="D27" s="85">
        <f>All!D29</f>
        <v>30.2</v>
      </c>
      <c r="E27" s="85">
        <f>All!E29</f>
        <v>14.4</v>
      </c>
      <c r="F27" s="85">
        <f>All!F29</f>
        <v>57.6</v>
      </c>
      <c r="G27" s="85">
        <f>All!G29</f>
        <v>58.9</v>
      </c>
      <c r="H27" s="85">
        <f>All!H29</f>
        <v>21.1</v>
      </c>
      <c r="I27" s="85">
        <f>All!I29</f>
        <v>278.10000000000002</v>
      </c>
      <c r="J27" s="85">
        <f>All!J29</f>
        <v>210</v>
      </c>
      <c r="K27" s="85">
        <f>All!K29</f>
        <v>90</v>
      </c>
      <c r="L27" s="85">
        <f>All!L29</f>
        <v>26.6</v>
      </c>
      <c r="M27" s="85">
        <f>All!M29</f>
        <v>15.9</v>
      </c>
      <c r="N27" s="85">
        <f>All!N29</f>
        <v>38.6</v>
      </c>
      <c r="O27" s="85">
        <f>All!O29</f>
        <v>856.2</v>
      </c>
      <c r="P27" s="86">
        <f>All!P29</f>
        <v>71.400000000000006</v>
      </c>
    </row>
    <row r="28" spans="2:16">
      <c r="B28" s="84">
        <f>All!B30</f>
        <v>2018</v>
      </c>
      <c r="C28" s="85">
        <f>All!C30</f>
        <v>15</v>
      </c>
      <c r="D28" s="85">
        <f>All!D30</f>
        <v>33.6</v>
      </c>
      <c r="E28" s="85">
        <f>All!E30</f>
        <v>92</v>
      </c>
      <c r="F28" s="85">
        <f>All!F30</f>
        <v>128.1</v>
      </c>
      <c r="G28" s="85">
        <f>All!G30</f>
        <v>104.5</v>
      </c>
      <c r="H28" s="85">
        <f>All!H30</f>
        <v>71</v>
      </c>
      <c r="I28" s="85">
        <f>All!I30</f>
        <v>262.7</v>
      </c>
      <c r="J28" s="85">
        <f>All!J30</f>
        <v>239.6</v>
      </c>
      <c r="K28" s="85">
        <f>All!K30</f>
        <v>158.19999999999999</v>
      </c>
      <c r="L28" s="85">
        <f>All!L30</f>
        <v>154.69999999999999</v>
      </c>
      <c r="M28" s="85">
        <f>All!M30</f>
        <v>46.7</v>
      </c>
      <c r="N28" s="85">
        <f>All!N30</f>
        <v>31.1</v>
      </c>
      <c r="O28" s="85">
        <f>All!O30</f>
        <v>1337.2</v>
      </c>
      <c r="P28" s="86">
        <f>All!P30</f>
        <v>111.4</v>
      </c>
    </row>
    <row r="29" spans="2:16">
      <c r="B29" s="84">
        <f>All!B31</f>
        <v>2019</v>
      </c>
      <c r="C29" s="85">
        <f>All!C31</f>
        <v>1.9</v>
      </c>
      <c r="D29" s="85">
        <f>All!D31</f>
        <v>17.8</v>
      </c>
      <c r="E29" s="85">
        <f>All!E31</f>
        <v>18.2</v>
      </c>
      <c r="F29" s="85">
        <f>All!F31</f>
        <v>71.900000000000006</v>
      </c>
      <c r="G29" s="85">
        <f>All!G31</f>
        <v>31.3</v>
      </c>
      <c r="H29" s="85">
        <f>All!H31</f>
        <v>56</v>
      </c>
      <c r="I29" s="85">
        <f>All!I31</f>
        <v>149</v>
      </c>
      <c r="J29" s="85">
        <f>All!J31</f>
        <v>131.30000000000001</v>
      </c>
      <c r="K29" s="85">
        <f>All!K31</f>
        <v>118.7</v>
      </c>
      <c r="L29" s="85">
        <f>All!L31</f>
        <v>63.9</v>
      </c>
      <c r="M29" s="85">
        <f>All!M31</f>
        <v>130.6</v>
      </c>
      <c r="N29" s="85">
        <f>All!N31</f>
        <v>31.3</v>
      </c>
      <c r="O29" s="85">
        <f>All!O31</f>
        <v>821.9</v>
      </c>
      <c r="P29" s="86">
        <f>All!P31</f>
        <v>68.5</v>
      </c>
    </row>
    <row r="30" spans="2:16">
      <c r="B30" s="84">
        <f>All!B32</f>
        <v>2020</v>
      </c>
      <c r="C30" s="85">
        <f>All!C32</f>
        <v>49.4</v>
      </c>
      <c r="D30" s="85">
        <f>All!D32</f>
        <v>75.3</v>
      </c>
      <c r="E30" s="85">
        <f>All!E32</f>
        <v>22.8</v>
      </c>
      <c r="F30" s="85">
        <f>All!F32</f>
        <v>16.5</v>
      </c>
      <c r="G30" s="85">
        <f>All!G32</f>
        <v>92.4</v>
      </c>
      <c r="H30" s="85">
        <f>All!H32</f>
        <v>139.69999999999999</v>
      </c>
      <c r="I30" s="85">
        <f>All!I32</f>
        <v>345.9</v>
      </c>
      <c r="J30" s="85">
        <f>All!J32</f>
        <v>321.5</v>
      </c>
      <c r="K30" s="85">
        <f>All!K32</f>
        <v>177.1</v>
      </c>
      <c r="L30" s="85">
        <f>All!L32</f>
        <v>16.2</v>
      </c>
      <c r="M30" s="85">
        <f>All!M32</f>
        <v>35.4</v>
      </c>
      <c r="N30" s="85">
        <f>All!N32</f>
        <v>9.6999999999999993</v>
      </c>
      <c r="O30" s="85">
        <f>All!O32</f>
        <v>1301.9000000000001</v>
      </c>
      <c r="P30" s="86">
        <f>All!P32</f>
        <v>108.5</v>
      </c>
    </row>
    <row r="31" spans="2:16">
      <c r="B31" s="84">
        <f>All!B33</f>
        <v>2021</v>
      </c>
      <c r="C31" s="85">
        <f>All!C33</f>
        <v>32</v>
      </c>
      <c r="D31" s="85">
        <f>All!D33</f>
        <v>18.7</v>
      </c>
      <c r="E31" s="85">
        <f>All!E33</f>
        <v>76.099999999999994</v>
      </c>
      <c r="F31" s="85">
        <f>All!F33</f>
        <v>43.4</v>
      </c>
      <c r="G31" s="85">
        <f>All!G33</f>
        <v>110</v>
      </c>
      <c r="H31" s="85">
        <f>All!H33</f>
        <v>55</v>
      </c>
      <c r="I31" s="85">
        <f>All!I33</f>
        <v>131.30000000000001</v>
      </c>
      <c r="J31" s="85">
        <f>All!J33</f>
        <v>253.7</v>
      </c>
      <c r="K31" s="85">
        <f>All!K33</f>
        <v>215.9</v>
      </c>
      <c r="L31" s="85">
        <f>All!L33</f>
        <v>39.6</v>
      </c>
      <c r="M31" s="85">
        <f>All!M33</f>
        <v>117.8</v>
      </c>
      <c r="N31" s="85">
        <f>All!N33</f>
        <v>14.4</v>
      </c>
      <c r="O31" s="85">
        <f>All!O33</f>
        <v>1107.9000000000001</v>
      </c>
      <c r="P31" s="86">
        <f>All!P33</f>
        <v>92.3</v>
      </c>
    </row>
    <row r="32" spans="2:16">
      <c r="B32" s="84">
        <f>All!B34</f>
        <v>2022</v>
      </c>
      <c r="C32" s="85">
        <f>All!C34</f>
        <v>8.4</v>
      </c>
      <c r="D32" s="85">
        <f>All!D34</f>
        <v>5.3</v>
      </c>
      <c r="E32" s="85">
        <f>All!E34</f>
        <v>60.9</v>
      </c>
      <c r="F32" s="85">
        <f>All!F34</f>
        <v>34.799999999999997</v>
      </c>
      <c r="G32" s="85">
        <f>All!G34</f>
        <v>5.7</v>
      </c>
      <c r="H32" s="85">
        <f>All!H34</f>
        <v>225</v>
      </c>
      <c r="I32" s="85">
        <f>All!I34</f>
        <v>119.9</v>
      </c>
      <c r="J32" s="85">
        <f>All!J34</f>
        <v>637.1</v>
      </c>
      <c r="K32" s="85">
        <f>All!K34</f>
        <v>102</v>
      </c>
      <c r="L32" s="85">
        <f>All!L34</f>
        <v>112</v>
      </c>
      <c r="M32" s="85">
        <f>All!M34</f>
        <v>23.3</v>
      </c>
      <c r="N32" s="85">
        <f>All!N34</f>
        <v>14</v>
      </c>
      <c r="O32" s="85">
        <f>All!O34</f>
        <v>1348.4</v>
      </c>
      <c r="P32" s="86">
        <f>All!P34</f>
        <v>112.4</v>
      </c>
    </row>
    <row r="33" spans="2:17">
      <c r="B33" s="87" t="s">
        <v>177</v>
      </c>
      <c r="C33" s="88">
        <f>ROUND(SUM(C23:C32)/10,1)</f>
        <v>19.100000000000001</v>
      </c>
      <c r="D33" s="88">
        <f t="shared" ref="D33:P33" si="0">ROUND(SUM(D23:D32)/10,1)</f>
        <v>32</v>
      </c>
      <c r="E33" s="88">
        <f t="shared" si="0"/>
        <v>44.4</v>
      </c>
      <c r="F33" s="88">
        <f t="shared" si="0"/>
        <v>72.5</v>
      </c>
      <c r="G33" s="88">
        <f t="shared" si="0"/>
        <v>75.2</v>
      </c>
      <c r="H33" s="88">
        <f t="shared" si="0"/>
        <v>96.1</v>
      </c>
      <c r="I33" s="88">
        <f t="shared" si="0"/>
        <v>195.3</v>
      </c>
      <c r="J33" s="88">
        <f t="shared" si="0"/>
        <v>221.2</v>
      </c>
      <c r="K33" s="88">
        <f t="shared" si="0"/>
        <v>142.1</v>
      </c>
      <c r="L33" s="88">
        <f t="shared" si="0"/>
        <v>77.8</v>
      </c>
      <c r="M33" s="88">
        <f t="shared" si="0"/>
        <v>65.2</v>
      </c>
      <c r="N33" s="88">
        <f t="shared" si="0"/>
        <v>34.200000000000003</v>
      </c>
      <c r="O33" s="88">
        <f t="shared" si="0"/>
        <v>1075</v>
      </c>
      <c r="P33" s="89">
        <f t="shared" si="0"/>
        <v>89.6</v>
      </c>
    </row>
    <row r="34" spans="2:17" ht="17.25" thickBot="1">
      <c r="B34" s="172" t="s">
        <v>176</v>
      </c>
      <c r="C34" s="90">
        <f>All!C37</f>
        <v>23.2</v>
      </c>
      <c r="D34" s="90">
        <f>All!D37</f>
        <v>29.1</v>
      </c>
      <c r="E34" s="90">
        <f>All!E37</f>
        <v>43.5</v>
      </c>
      <c r="F34" s="90">
        <f>All!F37</f>
        <v>70.5</v>
      </c>
      <c r="G34" s="90">
        <f>All!G37</f>
        <v>85.8</v>
      </c>
      <c r="H34" s="90">
        <f>All!H37</f>
        <v>136.80000000000001</v>
      </c>
      <c r="I34" s="90">
        <f>All!I37</f>
        <v>244.7</v>
      </c>
      <c r="J34" s="90">
        <f>All!J37</f>
        <v>281.60000000000002</v>
      </c>
      <c r="K34" s="90">
        <f>All!K37</f>
        <v>132.9</v>
      </c>
      <c r="L34" s="90">
        <f>All!L37</f>
        <v>63.2</v>
      </c>
      <c r="M34" s="90">
        <f>All!M37</f>
        <v>54.8</v>
      </c>
      <c r="N34" s="90">
        <f>All!N37</f>
        <v>32.200000000000003</v>
      </c>
      <c r="O34" s="90">
        <f>All!O37</f>
        <v>1198.3</v>
      </c>
      <c r="P34" s="91">
        <f>All!P37</f>
        <v>99.9</v>
      </c>
    </row>
    <row r="36" spans="2:17" ht="17.25" thickBot="1"/>
    <row r="37" spans="2:17">
      <c r="B37" s="81" t="s">
        <v>29</v>
      </c>
      <c r="C37" s="83" t="s">
        <v>162</v>
      </c>
      <c r="D37" s="94"/>
      <c r="E37" s="95" t="s">
        <v>31</v>
      </c>
      <c r="F37" s="95" t="s">
        <v>32</v>
      </c>
      <c r="G37" s="95" t="s">
        <v>33</v>
      </c>
      <c r="H37" s="95" t="s">
        <v>34</v>
      </c>
      <c r="I37" s="95" t="s">
        <v>35</v>
      </c>
      <c r="J37" s="95" t="s">
        <v>12</v>
      </c>
      <c r="K37" s="102" t="s">
        <v>13</v>
      </c>
      <c r="L37" s="102" t="s">
        <v>14</v>
      </c>
      <c r="M37" s="102" t="s">
        <v>15</v>
      </c>
      <c r="N37" s="95" t="s">
        <v>16</v>
      </c>
      <c r="O37" s="95" t="s">
        <v>17</v>
      </c>
      <c r="P37" s="95" t="s">
        <v>18</v>
      </c>
      <c r="Q37" s="96" t="s">
        <v>30</v>
      </c>
    </row>
    <row r="38" spans="2:17" ht="17.25" thickBot="1">
      <c r="B38" s="84">
        <f>B23</f>
        <v>2013</v>
      </c>
      <c r="C38" s="86">
        <f>O23</f>
        <v>1387.7</v>
      </c>
      <c r="D38" s="98" t="s">
        <v>30</v>
      </c>
      <c r="E38" s="99">
        <f>All!C53</f>
        <v>19.100000000000001</v>
      </c>
      <c r="F38" s="99">
        <f>All!D53</f>
        <v>32</v>
      </c>
      <c r="G38" s="99">
        <f>All!E53</f>
        <v>44.4</v>
      </c>
      <c r="H38" s="99">
        <f>All!F53</f>
        <v>72.5</v>
      </c>
      <c r="I38" s="99">
        <f>All!G53</f>
        <v>75.2</v>
      </c>
      <c r="J38" s="99">
        <f>All!H53</f>
        <v>96.1</v>
      </c>
      <c r="K38" s="99">
        <f>All!I53</f>
        <v>195.3</v>
      </c>
      <c r="L38" s="99">
        <f>All!J53</f>
        <v>221.2</v>
      </c>
      <c r="M38" s="99">
        <f>All!K53</f>
        <v>142.1</v>
      </c>
      <c r="N38" s="99">
        <f>All!L53</f>
        <v>77.8</v>
      </c>
      <c r="O38" s="99">
        <f>All!M53</f>
        <v>65.2</v>
      </c>
      <c r="P38" s="99">
        <f>All!N53</f>
        <v>34.200000000000003</v>
      </c>
      <c r="Q38" s="324">
        <f>All!P53</f>
        <v>89.6</v>
      </c>
    </row>
    <row r="39" spans="2:17">
      <c r="B39" s="84">
        <f t="shared" ref="B39:B48" si="1">B24</f>
        <v>2014</v>
      </c>
      <c r="C39" s="86">
        <f t="shared" ref="C39:C48" si="2">O24</f>
        <v>1010.1</v>
      </c>
    </row>
    <row r="40" spans="2:17">
      <c r="B40" s="84">
        <f t="shared" si="1"/>
        <v>2015</v>
      </c>
      <c r="C40" s="86">
        <f t="shared" si="2"/>
        <v>785.4</v>
      </c>
    </row>
    <row r="41" spans="2:17">
      <c r="B41" s="84">
        <f t="shared" si="1"/>
        <v>2016</v>
      </c>
      <c r="C41" s="86">
        <f t="shared" si="2"/>
        <v>792.8</v>
      </c>
    </row>
    <row r="42" spans="2:17">
      <c r="B42" s="84">
        <f t="shared" si="1"/>
        <v>2017</v>
      </c>
      <c r="C42" s="86">
        <f t="shared" si="2"/>
        <v>856.2</v>
      </c>
    </row>
    <row r="43" spans="2:17">
      <c r="B43" s="84">
        <f t="shared" si="1"/>
        <v>2018</v>
      </c>
      <c r="C43" s="86">
        <f t="shared" si="2"/>
        <v>1337.2</v>
      </c>
    </row>
    <row r="44" spans="2:17">
      <c r="B44" s="84">
        <f t="shared" si="1"/>
        <v>2019</v>
      </c>
      <c r="C44" s="86">
        <f t="shared" si="2"/>
        <v>821.9</v>
      </c>
    </row>
    <row r="45" spans="2:17">
      <c r="B45" s="84">
        <f t="shared" si="1"/>
        <v>2020</v>
      </c>
      <c r="C45" s="86">
        <f t="shared" si="2"/>
        <v>1301.9000000000001</v>
      </c>
    </row>
    <row r="46" spans="2:17">
      <c r="B46" s="84">
        <f t="shared" si="1"/>
        <v>2021</v>
      </c>
      <c r="C46" s="86">
        <f t="shared" si="2"/>
        <v>1107.9000000000001</v>
      </c>
    </row>
    <row r="47" spans="2:17">
      <c r="B47" s="84">
        <f t="shared" si="1"/>
        <v>2022</v>
      </c>
      <c r="C47" s="86">
        <f t="shared" si="2"/>
        <v>1348.4</v>
      </c>
    </row>
    <row r="48" spans="2:17" ht="17.25" thickBot="1">
      <c r="B48" s="92" t="str">
        <f t="shared" si="1"/>
        <v>10년평균</v>
      </c>
      <c r="C48" s="93">
        <f t="shared" si="2"/>
        <v>1075</v>
      </c>
    </row>
    <row r="50" spans="2:3" ht="17.25" thickBot="1"/>
    <row r="51" spans="2:3">
      <c r="B51" s="168" t="s">
        <v>178</v>
      </c>
      <c r="C51" s="169" t="s">
        <v>162</v>
      </c>
    </row>
    <row r="52" spans="2:3">
      <c r="B52" s="165">
        <f>B3</f>
        <v>1993</v>
      </c>
      <c r="C52" s="166">
        <f>O3</f>
        <v>1162.0999999999999</v>
      </c>
    </row>
    <row r="53" spans="2:3">
      <c r="B53" s="165">
        <f t="shared" ref="B53:B81" si="3">B4</f>
        <v>1994</v>
      </c>
      <c r="C53" s="166">
        <f t="shared" ref="C53:C81" si="4">O4</f>
        <v>1269</v>
      </c>
    </row>
    <row r="54" spans="2:3">
      <c r="B54" s="165">
        <f t="shared" si="3"/>
        <v>1995</v>
      </c>
      <c r="C54" s="166">
        <f t="shared" si="4"/>
        <v>1459.5</v>
      </c>
    </row>
    <row r="55" spans="2:3">
      <c r="B55" s="165">
        <f t="shared" si="3"/>
        <v>1996</v>
      </c>
      <c r="C55" s="166">
        <f t="shared" si="4"/>
        <v>899.6</v>
      </c>
    </row>
    <row r="56" spans="2:3">
      <c r="B56" s="165">
        <f t="shared" si="3"/>
        <v>1997</v>
      </c>
      <c r="C56" s="166">
        <f t="shared" si="4"/>
        <v>1442.3</v>
      </c>
    </row>
    <row r="57" spans="2:3">
      <c r="B57" s="165">
        <f t="shared" si="3"/>
        <v>1998</v>
      </c>
      <c r="C57" s="166">
        <f t="shared" si="4"/>
        <v>1397.2</v>
      </c>
    </row>
    <row r="58" spans="2:3">
      <c r="B58" s="165">
        <f t="shared" si="3"/>
        <v>1999</v>
      </c>
      <c r="C58" s="166">
        <f t="shared" si="4"/>
        <v>1284.0999999999999</v>
      </c>
    </row>
    <row r="59" spans="2:3">
      <c r="B59" s="165">
        <f t="shared" si="3"/>
        <v>2000</v>
      </c>
      <c r="C59" s="166">
        <f t="shared" si="4"/>
        <v>1515.4</v>
      </c>
    </row>
    <row r="60" spans="2:3">
      <c r="B60" s="165">
        <f t="shared" si="3"/>
        <v>2001</v>
      </c>
      <c r="C60" s="166">
        <f t="shared" si="4"/>
        <v>903.7</v>
      </c>
    </row>
    <row r="61" spans="2:3">
      <c r="B61" s="165">
        <f t="shared" si="3"/>
        <v>2002</v>
      </c>
      <c r="C61" s="166">
        <f t="shared" si="4"/>
        <v>1453.2</v>
      </c>
    </row>
    <row r="62" spans="2:3">
      <c r="B62" s="165">
        <f t="shared" si="3"/>
        <v>2003</v>
      </c>
      <c r="C62" s="166">
        <f t="shared" si="4"/>
        <v>1343.7</v>
      </c>
    </row>
    <row r="63" spans="2:3">
      <c r="B63" s="165">
        <f t="shared" si="3"/>
        <v>2004</v>
      </c>
      <c r="C63" s="166">
        <f t="shared" si="4"/>
        <v>1216.2</v>
      </c>
    </row>
    <row r="64" spans="2:3">
      <c r="B64" s="165">
        <f t="shared" si="3"/>
        <v>2005</v>
      </c>
      <c r="C64" s="166">
        <f t="shared" si="4"/>
        <v>1266.5</v>
      </c>
    </row>
    <row r="65" spans="2:3">
      <c r="B65" s="165">
        <f t="shared" si="3"/>
        <v>2006</v>
      </c>
      <c r="C65" s="166">
        <f t="shared" si="4"/>
        <v>831.4</v>
      </c>
    </row>
    <row r="66" spans="2:3">
      <c r="B66" s="165">
        <f t="shared" si="3"/>
        <v>2007</v>
      </c>
      <c r="C66" s="166">
        <f t="shared" si="4"/>
        <v>1295.8</v>
      </c>
    </row>
    <row r="67" spans="2:3">
      <c r="B67" s="165">
        <f t="shared" si="3"/>
        <v>2008</v>
      </c>
      <c r="C67" s="166">
        <f t="shared" si="4"/>
        <v>813.5</v>
      </c>
    </row>
    <row r="68" spans="2:3">
      <c r="B68" s="165">
        <f t="shared" si="3"/>
        <v>2009</v>
      </c>
      <c r="C68" s="166">
        <f t="shared" si="4"/>
        <v>1081.4000000000001</v>
      </c>
    </row>
    <row r="69" spans="2:3">
      <c r="B69" s="165">
        <f t="shared" si="3"/>
        <v>2010</v>
      </c>
      <c r="C69" s="166">
        <f t="shared" si="4"/>
        <v>1502.3</v>
      </c>
    </row>
    <row r="70" spans="2:3">
      <c r="B70" s="165">
        <f t="shared" si="3"/>
        <v>2011</v>
      </c>
      <c r="C70" s="166">
        <f t="shared" si="4"/>
        <v>1743</v>
      </c>
    </row>
    <row r="71" spans="2:3">
      <c r="B71" s="165">
        <f t="shared" si="3"/>
        <v>2012</v>
      </c>
      <c r="C71" s="166">
        <f t="shared" si="4"/>
        <v>1319</v>
      </c>
    </row>
    <row r="72" spans="2:3">
      <c r="B72" s="165">
        <f t="shared" si="3"/>
        <v>2013</v>
      </c>
      <c r="C72" s="166">
        <f t="shared" si="4"/>
        <v>1387.7</v>
      </c>
    </row>
    <row r="73" spans="2:3">
      <c r="B73" s="165">
        <f t="shared" si="3"/>
        <v>2014</v>
      </c>
      <c r="C73" s="166">
        <f t="shared" si="4"/>
        <v>1010.1</v>
      </c>
    </row>
    <row r="74" spans="2:3">
      <c r="B74" s="165">
        <f t="shared" si="3"/>
        <v>2015</v>
      </c>
      <c r="C74" s="166">
        <f t="shared" si="4"/>
        <v>785.4</v>
      </c>
    </row>
    <row r="75" spans="2:3">
      <c r="B75" s="165">
        <f t="shared" si="3"/>
        <v>2016</v>
      </c>
      <c r="C75" s="166">
        <f t="shared" si="4"/>
        <v>792.8</v>
      </c>
    </row>
    <row r="76" spans="2:3">
      <c r="B76" s="165">
        <f t="shared" si="3"/>
        <v>2017</v>
      </c>
      <c r="C76" s="166">
        <f t="shared" si="4"/>
        <v>856.2</v>
      </c>
    </row>
    <row r="77" spans="2:3">
      <c r="B77" s="165">
        <f t="shared" si="3"/>
        <v>2018</v>
      </c>
      <c r="C77" s="166">
        <f t="shared" si="4"/>
        <v>1337.2</v>
      </c>
    </row>
    <row r="78" spans="2:3">
      <c r="B78" s="165">
        <f>B29</f>
        <v>2019</v>
      </c>
      <c r="C78" s="166">
        <f t="shared" si="4"/>
        <v>821.9</v>
      </c>
    </row>
    <row r="79" spans="2:3">
      <c r="B79" s="165">
        <f t="shared" si="3"/>
        <v>2020</v>
      </c>
      <c r="C79" s="166">
        <f t="shared" si="4"/>
        <v>1301.9000000000001</v>
      </c>
    </row>
    <row r="80" spans="2:3">
      <c r="B80" s="165">
        <f t="shared" si="3"/>
        <v>2021</v>
      </c>
      <c r="C80" s="166">
        <f t="shared" si="4"/>
        <v>1107.9000000000001</v>
      </c>
    </row>
    <row r="81" spans="2:3">
      <c r="B81" s="165">
        <f t="shared" si="3"/>
        <v>2022</v>
      </c>
      <c r="C81" s="166">
        <f t="shared" si="4"/>
        <v>1348.4</v>
      </c>
    </row>
    <row r="82" spans="2:3" ht="17.25" thickBot="1">
      <c r="B82" s="98" t="str">
        <f>B34</f>
        <v>30년평균</v>
      </c>
      <c r="C82" s="167">
        <f>O34</f>
        <v>1198.3</v>
      </c>
    </row>
  </sheetData>
  <phoneticPr fontId="7" type="noConversion"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tabColor theme="9" tint="0.39997558519241921"/>
  </sheetPr>
  <dimension ref="A2:P35"/>
  <sheetViews>
    <sheetView topLeftCell="A7" zoomScaleNormal="100" workbookViewId="0">
      <selection activeCell="G41" sqref="G41"/>
    </sheetView>
  </sheetViews>
  <sheetFormatPr defaultColWidth="8.88671875" defaultRowHeight="16.5"/>
  <cols>
    <col min="1" max="1" width="17" style="79" customWidth="1"/>
    <col min="2" max="2" width="19.21875" style="79" customWidth="1"/>
    <col min="3" max="16" width="8.77734375" style="79" customWidth="1"/>
    <col min="17" max="16384" width="8.88671875" style="79"/>
  </cols>
  <sheetData>
    <row r="2" spans="2:16">
      <c r="B2" s="80" t="s">
        <v>168</v>
      </c>
    </row>
    <row r="3" spans="2:16" ht="17.25" thickBot="1">
      <c r="I3"/>
      <c r="J3"/>
      <c r="K3"/>
    </row>
    <row r="4" spans="2:16" ht="23.25" customHeight="1">
      <c r="B4" s="100"/>
      <c r="C4" s="101" t="s">
        <v>7</v>
      </c>
      <c r="D4" s="102" t="s">
        <v>8</v>
      </c>
      <c r="E4" s="102" t="s">
        <v>9</v>
      </c>
      <c r="F4" s="102" t="s">
        <v>10</v>
      </c>
      <c r="G4" s="102" t="s">
        <v>11</v>
      </c>
      <c r="H4" s="102" t="s">
        <v>12</v>
      </c>
      <c r="I4" s="102" t="s">
        <v>13</v>
      </c>
      <c r="J4" s="102" t="s">
        <v>14</v>
      </c>
      <c r="K4" s="102" t="s">
        <v>15</v>
      </c>
      <c r="L4" s="102" t="s">
        <v>16</v>
      </c>
      <c r="M4" s="102" t="s">
        <v>17</v>
      </c>
      <c r="N4" s="103" t="s">
        <v>18</v>
      </c>
      <c r="O4" s="101" t="s">
        <v>19</v>
      </c>
      <c r="P4" s="103" t="s">
        <v>20</v>
      </c>
    </row>
    <row r="5" spans="2:16" ht="22.15" customHeight="1">
      <c r="B5" s="179">
        <f>All!B41</f>
        <v>2013</v>
      </c>
      <c r="C5" s="105">
        <f>All!C41</f>
        <v>28.4</v>
      </c>
      <c r="D5" s="85">
        <f>All!D41</f>
        <v>40.700000000000003</v>
      </c>
      <c r="E5" s="85">
        <f>All!E41</f>
        <v>53.4</v>
      </c>
      <c r="F5" s="85">
        <f>All!F41</f>
        <v>68.2</v>
      </c>
      <c r="G5" s="85">
        <f>All!G41</f>
        <v>116.6</v>
      </c>
      <c r="H5" s="85">
        <f>All!H41</f>
        <v>159.9</v>
      </c>
      <c r="I5" s="85">
        <f>All!I41</f>
        <v>267.5</v>
      </c>
      <c r="J5" s="85">
        <f>All!J41</f>
        <v>214.6</v>
      </c>
      <c r="K5" s="85">
        <f>All!K41</f>
        <v>320</v>
      </c>
      <c r="L5" s="85">
        <f>All!L41</f>
        <v>10.9</v>
      </c>
      <c r="M5" s="85">
        <f>All!M41</f>
        <v>81.099999999999994</v>
      </c>
      <c r="N5" s="86">
        <f>All!N41</f>
        <v>26.4</v>
      </c>
      <c r="O5" s="162">
        <f>All!O41</f>
        <v>1387.7</v>
      </c>
      <c r="P5" s="86">
        <f>All!P41</f>
        <v>115.6</v>
      </c>
    </row>
    <row r="6" spans="2:16" ht="22.15" customHeight="1">
      <c r="B6" s="104">
        <f>All!B42</f>
        <v>2014</v>
      </c>
      <c r="C6" s="105">
        <f>All!C42</f>
        <v>3.4</v>
      </c>
      <c r="D6" s="85">
        <f>All!D42</f>
        <v>20.5</v>
      </c>
      <c r="E6" s="85">
        <f>All!E42</f>
        <v>56.3</v>
      </c>
      <c r="F6" s="85">
        <f>All!F42</f>
        <v>70</v>
      </c>
      <c r="G6" s="85">
        <f>All!G42</f>
        <v>47.1</v>
      </c>
      <c r="H6" s="85">
        <f>All!H42</f>
        <v>125.8</v>
      </c>
      <c r="I6" s="85">
        <f>All!I42</f>
        <v>104</v>
      </c>
      <c r="J6" s="85">
        <f>All!J42</f>
        <v>168.5</v>
      </c>
      <c r="K6" s="85">
        <f>All!K42</f>
        <v>152</v>
      </c>
      <c r="L6" s="85">
        <f>All!L42</f>
        <v>156</v>
      </c>
      <c r="M6" s="85">
        <f>All!M42</f>
        <v>39.9</v>
      </c>
      <c r="N6" s="86">
        <f>All!N42</f>
        <v>66.599999999999994</v>
      </c>
      <c r="O6" s="105">
        <f>All!O42</f>
        <v>1010.1</v>
      </c>
      <c r="P6" s="86">
        <f>All!P42</f>
        <v>84.2</v>
      </c>
    </row>
    <row r="7" spans="2:16" ht="22.15" customHeight="1">
      <c r="B7" s="179">
        <f>All!B43</f>
        <v>2015</v>
      </c>
      <c r="C7" s="105">
        <f>All!C43</f>
        <v>29.9</v>
      </c>
      <c r="D7" s="85">
        <f>All!D43</f>
        <v>23.4</v>
      </c>
      <c r="E7" s="85">
        <f>All!E43</f>
        <v>30.9</v>
      </c>
      <c r="F7" s="85">
        <f>All!F43</f>
        <v>129.69999999999999</v>
      </c>
      <c r="G7" s="85">
        <f>All!G43</f>
        <v>38.799999999999997</v>
      </c>
      <c r="H7" s="85">
        <f>All!H43</f>
        <v>83.9</v>
      </c>
      <c r="I7" s="85">
        <f>All!I43</f>
        <v>94.7</v>
      </c>
      <c r="J7" s="85">
        <f>All!J43</f>
        <v>30.2</v>
      </c>
      <c r="K7" s="85">
        <f>All!K43</f>
        <v>13.3</v>
      </c>
      <c r="L7" s="85">
        <f>All!L43</f>
        <v>90</v>
      </c>
      <c r="M7" s="85">
        <f>All!M43</f>
        <v>155.6</v>
      </c>
      <c r="N7" s="86">
        <f>All!N43</f>
        <v>65</v>
      </c>
      <c r="O7" s="162">
        <f>All!O43</f>
        <v>785.4</v>
      </c>
      <c r="P7" s="86">
        <f>All!P43</f>
        <v>65.5</v>
      </c>
    </row>
    <row r="8" spans="2:16" ht="22.15" customHeight="1">
      <c r="B8" s="104">
        <f>All!B44</f>
        <v>2016</v>
      </c>
      <c r="C8" s="105">
        <f>All!C44</f>
        <v>7.8</v>
      </c>
      <c r="D8" s="85">
        <f>All!D44</f>
        <v>54.2</v>
      </c>
      <c r="E8" s="85">
        <f>All!E44</f>
        <v>18.7</v>
      </c>
      <c r="F8" s="85">
        <f>All!F44</f>
        <v>105.1</v>
      </c>
      <c r="G8" s="85">
        <f>All!G44</f>
        <v>146.5</v>
      </c>
      <c r="H8" s="85">
        <f>All!H44</f>
        <v>23.7</v>
      </c>
      <c r="I8" s="85">
        <f>All!I44</f>
        <v>200.2</v>
      </c>
      <c r="J8" s="85">
        <f>All!J44</f>
        <v>5.0999999999999996</v>
      </c>
      <c r="K8" s="85">
        <f>All!K44</f>
        <v>73.400000000000006</v>
      </c>
      <c r="L8" s="85">
        <f>All!L44</f>
        <v>108</v>
      </c>
      <c r="M8" s="85">
        <f>All!M44</f>
        <v>5.6</v>
      </c>
      <c r="N8" s="86">
        <f>All!N44</f>
        <v>44.5</v>
      </c>
      <c r="O8" s="105">
        <f>All!O44</f>
        <v>792.8</v>
      </c>
      <c r="P8" s="86">
        <f>All!P44</f>
        <v>66.099999999999994</v>
      </c>
    </row>
    <row r="9" spans="2:16" ht="22.15" customHeight="1">
      <c r="B9" s="104">
        <f>All!B45</f>
        <v>2017</v>
      </c>
      <c r="C9" s="105">
        <f>All!C45</f>
        <v>14.8</v>
      </c>
      <c r="D9" s="85">
        <f>All!D45</f>
        <v>30.2</v>
      </c>
      <c r="E9" s="85">
        <f>All!E45</f>
        <v>14.4</v>
      </c>
      <c r="F9" s="85">
        <f>All!F45</f>
        <v>57.6</v>
      </c>
      <c r="G9" s="85">
        <f>All!G45</f>
        <v>58.9</v>
      </c>
      <c r="H9" s="85">
        <f>All!H45</f>
        <v>21.1</v>
      </c>
      <c r="I9" s="85">
        <f>All!I45</f>
        <v>278.10000000000002</v>
      </c>
      <c r="J9" s="85">
        <f>All!J45</f>
        <v>210</v>
      </c>
      <c r="K9" s="85">
        <f>All!K45</f>
        <v>90</v>
      </c>
      <c r="L9" s="85">
        <f>All!L45</f>
        <v>26.6</v>
      </c>
      <c r="M9" s="85">
        <f>All!M45</f>
        <v>15.9</v>
      </c>
      <c r="N9" s="86">
        <f>All!N45</f>
        <v>38.6</v>
      </c>
      <c r="O9" s="105">
        <f>All!O45</f>
        <v>856.2</v>
      </c>
      <c r="P9" s="86">
        <f>All!P45</f>
        <v>71.400000000000006</v>
      </c>
    </row>
    <row r="10" spans="2:16" ht="22.15" customHeight="1">
      <c r="B10" s="104">
        <f>All!B46</f>
        <v>2018</v>
      </c>
      <c r="C10" s="105">
        <f>All!C46</f>
        <v>15</v>
      </c>
      <c r="D10" s="85">
        <f>All!D46</f>
        <v>33.6</v>
      </c>
      <c r="E10" s="85">
        <f>All!E46</f>
        <v>92</v>
      </c>
      <c r="F10" s="85">
        <f>All!F46</f>
        <v>128.1</v>
      </c>
      <c r="G10" s="85">
        <f>All!G46</f>
        <v>104.5</v>
      </c>
      <c r="H10" s="85">
        <f>All!H46</f>
        <v>71</v>
      </c>
      <c r="I10" s="85">
        <f>All!I46</f>
        <v>262.7</v>
      </c>
      <c r="J10" s="85">
        <f>All!J46</f>
        <v>239.6</v>
      </c>
      <c r="K10" s="85">
        <f>All!K46</f>
        <v>158.19999999999999</v>
      </c>
      <c r="L10" s="85">
        <f>All!L46</f>
        <v>154.69999999999999</v>
      </c>
      <c r="M10" s="85">
        <f>All!M46</f>
        <v>46.7</v>
      </c>
      <c r="N10" s="86">
        <f>All!N46</f>
        <v>31.1</v>
      </c>
      <c r="O10" s="105">
        <f>All!O46</f>
        <v>1337.2</v>
      </c>
      <c r="P10" s="86">
        <f>All!P46</f>
        <v>111.4</v>
      </c>
    </row>
    <row r="11" spans="2:16" ht="22.15" customHeight="1">
      <c r="B11" s="104">
        <f>All!B47</f>
        <v>2019</v>
      </c>
      <c r="C11" s="105">
        <f>All!C47</f>
        <v>1.9</v>
      </c>
      <c r="D11" s="85">
        <f>All!D47</f>
        <v>17.8</v>
      </c>
      <c r="E11" s="85">
        <f>All!E47</f>
        <v>18.2</v>
      </c>
      <c r="F11" s="85">
        <f>All!F47</f>
        <v>71.900000000000006</v>
      </c>
      <c r="G11" s="85">
        <f>All!G47</f>
        <v>31.3</v>
      </c>
      <c r="H11" s="85">
        <f>All!H47</f>
        <v>56</v>
      </c>
      <c r="I11" s="85">
        <f>All!I47</f>
        <v>149</v>
      </c>
      <c r="J11" s="85">
        <f>All!J47</f>
        <v>131.30000000000001</v>
      </c>
      <c r="K11" s="85">
        <f>All!K47</f>
        <v>118.7</v>
      </c>
      <c r="L11" s="85">
        <f>All!L47</f>
        <v>63.9</v>
      </c>
      <c r="M11" s="85">
        <f>All!M47</f>
        <v>130.6</v>
      </c>
      <c r="N11" s="86">
        <f>All!N47</f>
        <v>31.3</v>
      </c>
      <c r="O11" s="105">
        <f>All!O47</f>
        <v>821.9</v>
      </c>
      <c r="P11" s="86">
        <f>All!P47</f>
        <v>68.5</v>
      </c>
    </row>
    <row r="12" spans="2:16" ht="22.15" customHeight="1">
      <c r="B12" s="104">
        <f>All!B48</f>
        <v>2020</v>
      </c>
      <c r="C12" s="105">
        <f>All!C48</f>
        <v>49.4</v>
      </c>
      <c r="D12" s="85">
        <f>All!D48</f>
        <v>75.3</v>
      </c>
      <c r="E12" s="85">
        <f>All!E48</f>
        <v>22.8</v>
      </c>
      <c r="F12" s="85">
        <f>All!F48</f>
        <v>16.5</v>
      </c>
      <c r="G12" s="85">
        <f>All!G48</f>
        <v>92.4</v>
      </c>
      <c r="H12" s="85">
        <f>All!H48</f>
        <v>139.69999999999999</v>
      </c>
      <c r="I12" s="85">
        <f>All!I48</f>
        <v>345.9</v>
      </c>
      <c r="J12" s="85">
        <f>All!J48</f>
        <v>321.5</v>
      </c>
      <c r="K12" s="85">
        <f>All!K48</f>
        <v>177.1</v>
      </c>
      <c r="L12" s="85">
        <f>All!L48</f>
        <v>16.2</v>
      </c>
      <c r="M12" s="85">
        <f>All!M48</f>
        <v>35.4</v>
      </c>
      <c r="N12" s="86">
        <f>All!N48</f>
        <v>9.6999999999999993</v>
      </c>
      <c r="O12" s="105">
        <f>All!O48</f>
        <v>1301.9000000000001</v>
      </c>
      <c r="P12" s="86">
        <f>All!P48</f>
        <v>108.5</v>
      </c>
    </row>
    <row r="13" spans="2:16" ht="22.15" customHeight="1">
      <c r="B13" s="104">
        <f>All!B49</f>
        <v>2021</v>
      </c>
      <c r="C13" s="105">
        <f>All!C49</f>
        <v>32</v>
      </c>
      <c r="D13" s="85">
        <f>All!D49</f>
        <v>18.7</v>
      </c>
      <c r="E13" s="85">
        <f>All!E49</f>
        <v>76.099999999999994</v>
      </c>
      <c r="F13" s="85">
        <f>All!F49</f>
        <v>43.4</v>
      </c>
      <c r="G13" s="85">
        <f>All!G49</f>
        <v>110</v>
      </c>
      <c r="H13" s="85">
        <f>All!H49</f>
        <v>55</v>
      </c>
      <c r="I13" s="85">
        <f>All!I49</f>
        <v>131.30000000000001</v>
      </c>
      <c r="J13" s="85">
        <f>All!J49</f>
        <v>253.7</v>
      </c>
      <c r="K13" s="85">
        <f>All!K49</f>
        <v>215.9</v>
      </c>
      <c r="L13" s="85">
        <f>All!L49</f>
        <v>39.6</v>
      </c>
      <c r="M13" s="85">
        <f>All!M49</f>
        <v>117.8</v>
      </c>
      <c r="N13" s="86">
        <f>All!N49</f>
        <v>14.4</v>
      </c>
      <c r="O13" s="105">
        <f>All!O49</f>
        <v>1107.9000000000001</v>
      </c>
      <c r="P13" s="86">
        <f>All!P49</f>
        <v>92.3</v>
      </c>
    </row>
    <row r="14" spans="2:16" ht="22.15" customHeight="1" thickBot="1">
      <c r="B14" s="104">
        <f>All!B50</f>
        <v>2022</v>
      </c>
      <c r="C14" s="106">
        <f>All!C50</f>
        <v>8.4</v>
      </c>
      <c r="D14" s="107">
        <f>All!D50</f>
        <v>5.3</v>
      </c>
      <c r="E14" s="107">
        <f>All!E50</f>
        <v>60.9</v>
      </c>
      <c r="F14" s="107">
        <f>All!F50</f>
        <v>34.799999999999997</v>
      </c>
      <c r="G14" s="107">
        <f>All!G50</f>
        <v>5.7</v>
      </c>
      <c r="H14" s="107">
        <f>All!H50</f>
        <v>225</v>
      </c>
      <c r="I14" s="107">
        <f>All!I50</f>
        <v>119.9</v>
      </c>
      <c r="J14" s="107">
        <f>All!J50</f>
        <v>637.1</v>
      </c>
      <c r="K14" s="107">
        <f>All!K50</f>
        <v>102</v>
      </c>
      <c r="L14" s="107">
        <f>All!L50</f>
        <v>112</v>
      </c>
      <c r="M14" s="107">
        <f>All!M50</f>
        <v>23.3</v>
      </c>
      <c r="N14" s="108">
        <f>All!N50</f>
        <v>14</v>
      </c>
      <c r="O14" s="106">
        <f>All!O50</f>
        <v>1348.4</v>
      </c>
      <c r="P14" s="108">
        <f>All!P50</f>
        <v>112.4</v>
      </c>
    </row>
    <row r="15" spans="2:16" ht="22.15" customHeight="1">
      <c r="B15" s="109" t="s">
        <v>21</v>
      </c>
      <c r="C15" s="110">
        <f>All!C51</f>
        <v>49.4</v>
      </c>
      <c r="D15" s="111">
        <f>All!D51</f>
        <v>75.3</v>
      </c>
      <c r="E15" s="111">
        <f>All!E51</f>
        <v>92</v>
      </c>
      <c r="F15" s="111">
        <f>All!F51</f>
        <v>129.69999999999999</v>
      </c>
      <c r="G15" s="111">
        <f>All!G51</f>
        <v>146.5</v>
      </c>
      <c r="H15" s="111">
        <f>All!H51</f>
        <v>225</v>
      </c>
      <c r="I15" s="111">
        <f>All!I51</f>
        <v>345.9</v>
      </c>
      <c r="J15" s="111">
        <f>All!J51</f>
        <v>637.1</v>
      </c>
      <c r="K15" s="111">
        <f>All!K51</f>
        <v>320</v>
      </c>
      <c r="L15" s="111">
        <f>All!L51</f>
        <v>156</v>
      </c>
      <c r="M15" s="111">
        <f>All!M51</f>
        <v>155.6</v>
      </c>
      <c r="N15" s="112">
        <f>All!N51</f>
        <v>66.599999999999994</v>
      </c>
      <c r="O15" s="175">
        <f>All!O51</f>
        <v>1387.7</v>
      </c>
      <c r="P15" s="112">
        <f>All!P51</f>
        <v>115.6</v>
      </c>
    </row>
    <row r="16" spans="2:16" ht="22.15" customHeight="1">
      <c r="B16" s="104" t="s">
        <v>22</v>
      </c>
      <c r="C16" s="105">
        <f>All!C52</f>
        <v>1.9</v>
      </c>
      <c r="D16" s="85">
        <f>All!D52</f>
        <v>5.3</v>
      </c>
      <c r="E16" s="85">
        <f>All!E52</f>
        <v>14.4</v>
      </c>
      <c r="F16" s="85">
        <f>All!F52</f>
        <v>16.5</v>
      </c>
      <c r="G16" s="85">
        <f>All!G52</f>
        <v>5.7</v>
      </c>
      <c r="H16" s="85">
        <f>All!H52</f>
        <v>21.1</v>
      </c>
      <c r="I16" s="85">
        <f>All!I52</f>
        <v>94.7</v>
      </c>
      <c r="J16" s="85">
        <f>All!J52</f>
        <v>5.0999999999999996</v>
      </c>
      <c r="K16" s="85">
        <f>All!K52</f>
        <v>13.3</v>
      </c>
      <c r="L16" s="85">
        <f>All!L52</f>
        <v>10.9</v>
      </c>
      <c r="M16" s="85">
        <f>All!M52</f>
        <v>5.6</v>
      </c>
      <c r="N16" s="86">
        <f>All!N52</f>
        <v>9.6999999999999993</v>
      </c>
      <c r="O16" s="174">
        <f>All!O52</f>
        <v>785.4</v>
      </c>
      <c r="P16" s="86">
        <f>All!P52</f>
        <v>65.5</v>
      </c>
    </row>
    <row r="17" spans="1:16" ht="22.15" customHeight="1" thickBot="1">
      <c r="B17" s="113" t="s">
        <v>20</v>
      </c>
      <c r="C17" s="114">
        <f>All!C53</f>
        <v>19.100000000000001</v>
      </c>
      <c r="D17" s="115">
        <f>All!D53</f>
        <v>32</v>
      </c>
      <c r="E17" s="323">
        <f>All!E53</f>
        <v>44.4</v>
      </c>
      <c r="F17" s="115">
        <f>All!F53</f>
        <v>72.5</v>
      </c>
      <c r="G17" s="116">
        <f>All!G53</f>
        <v>75.2</v>
      </c>
      <c r="H17" s="116">
        <f>All!H53</f>
        <v>96.1</v>
      </c>
      <c r="I17" s="116">
        <f>All!I53</f>
        <v>195.3</v>
      </c>
      <c r="J17" s="116">
        <f>All!J53</f>
        <v>221.2</v>
      </c>
      <c r="K17" s="116">
        <f>All!K53</f>
        <v>142.1</v>
      </c>
      <c r="L17" s="115">
        <f>All!L53</f>
        <v>77.8</v>
      </c>
      <c r="M17" s="115">
        <f>All!M53</f>
        <v>65.2</v>
      </c>
      <c r="N17" s="93">
        <f>All!N53</f>
        <v>34.200000000000003</v>
      </c>
      <c r="O17" s="177">
        <f>All!O53</f>
        <v>1075</v>
      </c>
      <c r="P17" s="173">
        <f>All!P53</f>
        <v>89.6</v>
      </c>
    </row>
    <row r="18" spans="1:16" ht="29.25" customHeight="1" thickBot="1">
      <c r="B18" s="117" t="s">
        <v>23</v>
      </c>
      <c r="C18" s="118">
        <f>All!C37</f>
        <v>23.2</v>
      </c>
      <c r="D18" s="119">
        <f>All!D37</f>
        <v>29.1</v>
      </c>
      <c r="E18" s="119">
        <f>All!E37</f>
        <v>43.5</v>
      </c>
      <c r="F18" s="119">
        <f>All!F37</f>
        <v>70.5</v>
      </c>
      <c r="G18" s="119">
        <f>All!G37</f>
        <v>85.8</v>
      </c>
      <c r="H18" s="119">
        <f>All!H37</f>
        <v>136.80000000000001</v>
      </c>
      <c r="I18" s="120">
        <f>All!I37</f>
        <v>244.7</v>
      </c>
      <c r="J18" s="120">
        <f>All!J37</f>
        <v>281.60000000000002</v>
      </c>
      <c r="K18" s="120">
        <f>All!K37</f>
        <v>132.9</v>
      </c>
      <c r="L18" s="120">
        <f>All!L37</f>
        <v>63.2</v>
      </c>
      <c r="M18" s="120">
        <f>All!M37</f>
        <v>54.8</v>
      </c>
      <c r="N18" s="121">
        <f>All!N37</f>
        <v>32.200000000000003</v>
      </c>
      <c r="O18" s="122">
        <f>All!O37</f>
        <v>1198.3</v>
      </c>
      <c r="P18" s="121">
        <f>All!P37</f>
        <v>99.9</v>
      </c>
    </row>
    <row r="19" spans="1:16" ht="22.15" customHeight="1" thickBot="1"/>
    <row r="20" spans="1:16">
      <c r="B20" s="237" t="s">
        <v>24</v>
      </c>
      <c r="C20" s="234"/>
      <c r="D20" s="238">
        <f>SUM(G17:K17)</f>
        <v>729.9</v>
      </c>
      <c r="F20" s="123"/>
    </row>
    <row r="21" spans="1:16">
      <c r="B21" s="239" t="s">
        <v>169</v>
      </c>
      <c r="D21" s="240">
        <f>O17</f>
        <v>1075</v>
      </c>
    </row>
    <row r="22" spans="1:16" ht="17.25" thickBot="1">
      <c r="B22" s="235"/>
      <c r="C22" s="236"/>
      <c r="D22" s="241">
        <f>D20/D21</f>
        <v>0.67897674418604648</v>
      </c>
    </row>
    <row r="23" spans="1:16" ht="33.75" customHeight="1" thickBot="1">
      <c r="C23" s="243" t="s">
        <v>190</v>
      </c>
      <c r="D23" s="243" t="s">
        <v>191</v>
      </c>
      <c r="E23" s="243" t="s">
        <v>192</v>
      </c>
    </row>
    <row r="24" spans="1:16" ht="21.95" customHeight="1" thickBot="1">
      <c r="B24" s="227" t="s">
        <v>96</v>
      </c>
      <c r="C24" s="230">
        <f>O16</f>
        <v>785.4</v>
      </c>
      <c r="D24" s="217"/>
      <c r="E24" s="207"/>
      <c r="H24" s="215" t="s">
        <v>187</v>
      </c>
      <c r="I24" s="476" t="s">
        <v>271</v>
      </c>
      <c r="J24" s="477"/>
      <c r="K24" s="332">
        <f>INDEX(Location[recharge], MATCH(I24,Location[name],0))</f>
        <v>0.13400000000000001</v>
      </c>
      <c r="L24" s="333">
        <f>INDEX(Location[ratio], MATCH(I24,Location[name],0))</f>
        <v>0.65</v>
      </c>
    </row>
    <row r="25" spans="1:16" ht="21.95" customHeight="1" thickBot="1">
      <c r="B25" s="210" t="s">
        <v>25</v>
      </c>
      <c r="C25" s="229">
        <f>O18</f>
        <v>1198.3</v>
      </c>
      <c r="D25" s="218"/>
      <c r="E25" s="209"/>
      <c r="H25" s="215" t="s">
        <v>188</v>
      </c>
      <c r="I25" s="478" t="s">
        <v>272</v>
      </c>
      <c r="J25" s="479"/>
      <c r="K25" s="334">
        <f>INDEX(Location[recharge], MATCH(I25,Location[name],0))</f>
        <v>0.16600000000000001</v>
      </c>
      <c r="L25" s="335">
        <f>INDEX(Location[ratio], MATCH(I25,Location[name],0))</f>
        <v>0.64</v>
      </c>
    </row>
    <row r="26" spans="1:16" ht="21.95" customHeight="1">
      <c r="B26" s="208" t="s">
        <v>167</v>
      </c>
      <c r="C26" s="225">
        <f>L24</f>
        <v>0.65</v>
      </c>
      <c r="D26" s="224">
        <f>L25</f>
        <v>0.64</v>
      </c>
      <c r="E26" s="223">
        <f>L26</f>
        <v>0.65</v>
      </c>
      <c r="H26" s="215" t="s">
        <v>189</v>
      </c>
      <c r="I26" s="480" t="s">
        <v>270</v>
      </c>
      <c r="J26" s="481"/>
      <c r="K26" s="336">
        <f>INDEX(Location[recharge], MATCH(I26,Location[name],0))</f>
        <v>0.127</v>
      </c>
      <c r="L26" s="337">
        <f>INDEX(Location[ratio], MATCH(I26,Location[name],0))</f>
        <v>0.65</v>
      </c>
    </row>
    <row r="27" spans="1:16" ht="21.95" customHeight="1">
      <c r="B27" s="210" t="s">
        <v>26</v>
      </c>
      <c r="C27" s="219">
        <f>Well!P4</f>
        <v>3059068</v>
      </c>
      <c r="D27" s="218"/>
      <c r="E27" s="216"/>
    </row>
    <row r="28" spans="1:16" ht="21.95" customHeight="1" thickBot="1">
      <c r="B28" s="226" t="s">
        <v>27</v>
      </c>
      <c r="C28" s="220">
        <f>K24</f>
        <v>0.13400000000000001</v>
      </c>
      <c r="D28" s="221">
        <f>K25</f>
        <v>0.16600000000000001</v>
      </c>
      <c r="E28" s="222">
        <f>K26</f>
        <v>0.127</v>
      </c>
    </row>
    <row r="29" spans="1:16" ht="17.25" thickBot="1">
      <c r="E29" s="124"/>
    </row>
    <row r="30" spans="1:16" ht="22.15" customHeight="1" thickBot="1">
      <c r="B30" s="206" t="s">
        <v>170</v>
      </c>
      <c r="C30" s="232">
        <f>max*rf_1/10</f>
        <v>16.057220000000001</v>
      </c>
      <c r="D30" s="232">
        <f>max*rf_2/10</f>
        <v>19.891780000000001</v>
      </c>
      <c r="E30" s="233">
        <f>max*rf_3/10</f>
        <v>15.21841</v>
      </c>
    </row>
    <row r="31" spans="1:16" ht="22.15" customHeight="1">
      <c r="E31" s="124"/>
    </row>
    <row r="32" spans="1:16" ht="17.25" customHeight="1">
      <c r="A32" s="79" t="s">
        <v>171</v>
      </c>
      <c r="B32"/>
      <c r="C32"/>
      <c r="D32"/>
    </row>
    <row r="33" spans="1:6" ht="17.25" customHeight="1">
      <c r="A33" s="79" t="s">
        <v>172</v>
      </c>
    </row>
    <row r="34" spans="1:6" ht="17.25" customHeight="1">
      <c r="C34"/>
      <c r="D34"/>
    </row>
    <row r="35" spans="1:6" ht="17.25" customHeight="1"/>
  </sheetData>
  <mergeCells count="3">
    <mergeCell ref="I24:J24"/>
    <mergeCell ref="I25:J25"/>
    <mergeCell ref="I26:J26"/>
  </mergeCells>
  <phoneticPr fontId="7" type="noConversion"/>
  <pageMargins left="0.7" right="0.7" top="0.75" bottom="0.75" header="0.3" footer="0.3"/>
  <pageSetup paperSize="9" orientation="portrait" horizontalDpi="4294967292" r:id="rId1"/>
  <drawing r:id="rId2"/>
  <legacyDrawing r:id="rId3"/>
  <controls>
    <mc:AlternateContent xmlns:mc="http://schemas.openxmlformats.org/markup-compatibility/2006">
      <mc:Choice Requires="x14">
        <control shapeId="50190" r:id="rId4" name="ShowLocation">
          <controlPr defaultSize="0" autoLine="0" r:id="rId5">
            <anchor moveWithCells="1">
              <from>
                <xdr:col>8</xdr:col>
                <xdr:colOff>38100</xdr:colOff>
                <xdr:row>26</xdr:row>
                <xdr:rowOff>95250</xdr:rowOff>
              </from>
              <to>
                <xdr:col>11</xdr:col>
                <xdr:colOff>714375</xdr:colOff>
                <xdr:row>27</xdr:row>
                <xdr:rowOff>200025</xdr:rowOff>
              </to>
            </anchor>
          </controlPr>
        </control>
      </mc:Choice>
      <mc:Fallback>
        <control shapeId="50190" r:id="rId4" name="ShowLocation"/>
      </mc:Fallback>
    </mc:AlternateContent>
    <mc:AlternateContent xmlns:mc="http://schemas.openxmlformats.org/markup-compatibility/2006">
      <mc:Choice Requires="x14">
        <control shapeId="50181" r:id="rId6" name="CommandButton1">
          <controlPr defaultSize="0" autoLine="0" r:id="rId7">
            <anchor moveWithCells="1">
              <from>
                <xdr:col>2</xdr:col>
                <xdr:colOff>447675</xdr:colOff>
                <xdr:row>30</xdr:row>
                <xdr:rowOff>104775</xdr:rowOff>
              </from>
              <to>
                <xdr:col>4</xdr:col>
                <xdr:colOff>723900</xdr:colOff>
                <xdr:row>31</xdr:row>
                <xdr:rowOff>209550</xdr:rowOff>
              </to>
            </anchor>
          </controlPr>
        </control>
      </mc:Choice>
      <mc:Fallback>
        <control shapeId="50181" r:id="rId6" name="CommandButton1"/>
      </mc:Fallback>
    </mc:AlternateContent>
    <mc:AlternateContent xmlns:mc="http://schemas.openxmlformats.org/markup-compatibility/2006">
      <mc:Choice Requires="x14">
        <control shapeId="50192" r:id="rId8" name="cbCheSoo">
          <controlPr defaultSize="0" autoLine="0" r:id="rId9">
            <anchor moveWithCells="1">
              <from>
                <xdr:col>5</xdr:col>
                <xdr:colOff>142875</xdr:colOff>
                <xdr:row>30</xdr:row>
                <xdr:rowOff>152400</xdr:rowOff>
              </from>
              <to>
                <xdr:col>6</xdr:col>
                <xdr:colOff>428625</xdr:colOff>
                <xdr:row>31</xdr:row>
                <xdr:rowOff>161925</xdr:rowOff>
              </to>
            </anchor>
          </controlPr>
        </control>
      </mc:Choice>
      <mc:Fallback>
        <control shapeId="50192" r:id="rId8" name="cbCheSoo"/>
      </mc:Fallback>
    </mc:AlternateContent>
    <mc:AlternateContent xmlns:mc="http://schemas.openxmlformats.org/markup-compatibility/2006">
      <mc:Choice Requires="x14">
        <control shapeId="50193" r:id="rId10" name="CommandButton2">
          <controlPr defaultSize="0" autoLine="0" r:id="rId11">
            <anchor moveWithCells="1">
              <from>
                <xdr:col>2</xdr:col>
                <xdr:colOff>447675</xdr:colOff>
                <xdr:row>32</xdr:row>
                <xdr:rowOff>38100</xdr:rowOff>
              </from>
              <to>
                <xdr:col>4</xdr:col>
                <xdr:colOff>723900</xdr:colOff>
                <xdr:row>33</xdr:row>
                <xdr:rowOff>200025</xdr:rowOff>
              </to>
            </anchor>
          </controlPr>
        </control>
      </mc:Choice>
      <mc:Fallback>
        <control shapeId="50193" r:id="rId10" name="CommandButton2"/>
      </mc:Fallback>
    </mc:AlternateContent>
    <mc:AlternateContent xmlns:mc="http://schemas.openxmlformats.org/markup-compatibility/2006">
      <mc:Choice Requires="x14">
        <control shapeId="50195" r:id="rId12" name="CommandButton3">
          <controlPr defaultSize="0" autoLine="0" r:id="rId13">
            <anchor moveWithCells="1">
              <from>
                <xdr:col>13</xdr:col>
                <xdr:colOff>571500</xdr:colOff>
                <xdr:row>18</xdr:row>
                <xdr:rowOff>85725</xdr:rowOff>
              </from>
              <to>
                <xdr:col>15</xdr:col>
                <xdr:colOff>733425</xdr:colOff>
                <xdr:row>19</xdr:row>
                <xdr:rowOff>190500</xdr:rowOff>
              </to>
            </anchor>
          </controlPr>
        </control>
      </mc:Choice>
      <mc:Fallback>
        <control shapeId="50195" r:id="rId12" name="CommandButton3"/>
      </mc:Fallback>
    </mc:AlternateContent>
    <mc:AlternateContent xmlns:mc="http://schemas.openxmlformats.org/markup-compatibility/2006">
      <mc:Choice Requires="x14">
        <control shapeId="50196" r:id="rId14" name="OptionButton1">
          <controlPr defaultSize="0" autoLine="0" r:id="rId15">
            <anchor moveWithCells="1">
              <from>
                <xdr:col>6</xdr:col>
                <xdr:colOff>228600</xdr:colOff>
                <xdr:row>30</xdr:row>
                <xdr:rowOff>171450</xdr:rowOff>
              </from>
              <to>
                <xdr:col>7</xdr:col>
                <xdr:colOff>609600</xdr:colOff>
                <xdr:row>31</xdr:row>
                <xdr:rowOff>133350</xdr:rowOff>
              </to>
            </anchor>
          </controlPr>
        </control>
      </mc:Choice>
      <mc:Fallback>
        <control shapeId="50196" r:id="rId14" name="OptionButton1"/>
      </mc:Fallback>
    </mc:AlternateContent>
    <mc:AlternateContent xmlns:mc="http://schemas.openxmlformats.org/markup-compatibility/2006">
      <mc:Choice Requires="x14">
        <control shapeId="50197" r:id="rId16" name="OptionButton2">
          <controlPr defaultSize="0" autoLine="0" r:id="rId17">
            <anchor moveWithCells="1">
              <from>
                <xdr:col>6</xdr:col>
                <xdr:colOff>228600</xdr:colOff>
                <xdr:row>31</xdr:row>
                <xdr:rowOff>123825</xdr:rowOff>
              </from>
              <to>
                <xdr:col>7</xdr:col>
                <xdr:colOff>704850</xdr:colOff>
                <xdr:row>32</xdr:row>
                <xdr:rowOff>142875</xdr:rowOff>
              </to>
            </anchor>
          </controlPr>
        </control>
      </mc:Choice>
      <mc:Fallback>
        <control shapeId="50197" r:id="rId16" name="OptionButton2"/>
      </mc:Fallback>
    </mc:AlternateContent>
    <mc:AlternateContent xmlns:mc="http://schemas.openxmlformats.org/markup-compatibility/2006">
      <mc:Choice Requires="x14">
        <control shapeId="50198" r:id="rId18" name="OptionButton3">
          <controlPr defaultSize="0" autoLine="0" r:id="rId19">
            <anchor moveWithCells="1">
              <from>
                <xdr:col>6</xdr:col>
                <xdr:colOff>228600</xdr:colOff>
                <xdr:row>32</xdr:row>
                <xdr:rowOff>133350</xdr:rowOff>
              </from>
              <to>
                <xdr:col>8</xdr:col>
                <xdr:colOff>361950</xdr:colOff>
                <xdr:row>33</xdr:row>
                <xdr:rowOff>152400</xdr:rowOff>
              </to>
            </anchor>
          </controlPr>
        </control>
      </mc:Choice>
      <mc:Fallback>
        <control shapeId="50198" r:id="rId18" name="OptionButton3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E065B4A4-39B8-4EFA-A151-E0D48F15AF64}">
          <x14:formula1>
            <xm:f>location!$A:$A</xm:f>
          </x14:formula1>
          <xm:sqref>I24:J26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1"/>
  <dimension ref="A2:K14"/>
  <sheetViews>
    <sheetView workbookViewId="0">
      <selection activeCell="G19" sqref="G19"/>
    </sheetView>
  </sheetViews>
  <sheetFormatPr defaultRowHeight="16.5"/>
  <cols>
    <col min="1" max="1" width="28.5546875" style="43" customWidth="1"/>
    <col min="2" max="2" width="14.5546875" style="37" customWidth="1"/>
    <col min="3" max="3" width="4.77734375" style="43" customWidth="1"/>
    <col min="4" max="4" width="31.5546875" style="43" customWidth="1"/>
    <col min="5" max="5" width="8.88671875" style="44"/>
    <col min="6" max="6" width="8.88671875" style="43"/>
    <col min="7" max="7" width="36" style="43" customWidth="1"/>
    <col min="8" max="16384" width="8.88671875" style="43"/>
  </cols>
  <sheetData>
    <row r="2" spans="1:11" s="52" customFormat="1">
      <c r="A2" s="52" t="s">
        <v>152</v>
      </c>
      <c r="B2" s="53" t="s">
        <v>148</v>
      </c>
      <c r="D2" s="52" t="s">
        <v>151</v>
      </c>
      <c r="E2" s="54" t="s">
        <v>149</v>
      </c>
      <c r="G2" s="52" t="s">
        <v>150</v>
      </c>
    </row>
    <row r="3" spans="1:11">
      <c r="A3" s="43" t="s">
        <v>124</v>
      </c>
      <c r="I3"/>
      <c r="J3"/>
      <c r="K3"/>
    </row>
    <row r="4" spans="1:11" s="48" customFormat="1">
      <c r="A4" s="47" t="s">
        <v>135</v>
      </c>
      <c r="B4" s="55">
        <v>2</v>
      </c>
      <c r="D4" s="47" t="s">
        <v>137</v>
      </c>
      <c r="E4" s="59">
        <v>10</v>
      </c>
      <c r="G4" s="47" t="s">
        <v>153</v>
      </c>
      <c r="H4" s="63">
        <v>1</v>
      </c>
      <c r="I4"/>
      <c r="J4"/>
      <c r="K4"/>
    </row>
    <row r="5" spans="1:11">
      <c r="A5" s="45" t="s">
        <v>126</v>
      </c>
      <c r="B5" s="56">
        <v>3</v>
      </c>
      <c r="D5" s="45" t="s">
        <v>138</v>
      </c>
      <c r="E5" s="60">
        <v>10</v>
      </c>
      <c r="G5" s="45" t="s">
        <v>154</v>
      </c>
      <c r="H5" s="64">
        <v>3</v>
      </c>
      <c r="I5"/>
      <c r="J5"/>
      <c r="K5"/>
    </row>
    <row r="6" spans="1:11" s="48" customFormat="1">
      <c r="A6" s="49" t="s">
        <v>127</v>
      </c>
      <c r="B6" s="57">
        <v>4</v>
      </c>
      <c r="D6" s="49" t="s">
        <v>139</v>
      </c>
      <c r="E6" s="61">
        <v>9</v>
      </c>
      <c r="G6" s="49" t="s">
        <v>125</v>
      </c>
      <c r="H6" s="65">
        <v>3</v>
      </c>
      <c r="I6"/>
      <c r="J6"/>
      <c r="K6"/>
    </row>
    <row r="7" spans="1:11">
      <c r="A7" s="45" t="s">
        <v>128</v>
      </c>
      <c r="B7" s="56">
        <v>5</v>
      </c>
      <c r="D7" s="45" t="s">
        <v>140</v>
      </c>
      <c r="E7" s="60">
        <v>8</v>
      </c>
      <c r="G7" s="45" t="s">
        <v>130</v>
      </c>
      <c r="H7" s="64">
        <v>6</v>
      </c>
    </row>
    <row r="8" spans="1:11" s="48" customFormat="1">
      <c r="A8" s="49" t="s">
        <v>129</v>
      </c>
      <c r="B8" s="57">
        <v>6</v>
      </c>
      <c r="D8" s="49" t="s">
        <v>141</v>
      </c>
      <c r="E8" s="61">
        <v>7</v>
      </c>
      <c r="G8" s="49" t="s">
        <v>155</v>
      </c>
      <c r="H8" s="65">
        <v>6</v>
      </c>
    </row>
    <row r="9" spans="1:11">
      <c r="A9" s="45" t="s">
        <v>136</v>
      </c>
      <c r="B9" s="56">
        <v>6</v>
      </c>
      <c r="D9" s="45" t="s">
        <v>142</v>
      </c>
      <c r="E9" s="60">
        <v>6</v>
      </c>
      <c r="G9" s="45" t="s">
        <v>156</v>
      </c>
      <c r="H9" s="64">
        <v>6</v>
      </c>
    </row>
    <row r="10" spans="1:11" s="48" customFormat="1">
      <c r="A10" s="49" t="s">
        <v>134</v>
      </c>
      <c r="B10" s="57">
        <v>6</v>
      </c>
      <c r="D10" s="49" t="s">
        <v>143</v>
      </c>
      <c r="E10" s="61">
        <v>5</v>
      </c>
      <c r="G10" s="49" t="s">
        <v>157</v>
      </c>
      <c r="H10" s="65">
        <v>6</v>
      </c>
    </row>
    <row r="11" spans="1:11">
      <c r="A11" s="45" t="s">
        <v>131</v>
      </c>
      <c r="B11" s="56">
        <v>8</v>
      </c>
      <c r="D11" s="45" t="s">
        <v>144</v>
      </c>
      <c r="E11" s="60">
        <v>4</v>
      </c>
      <c r="G11" s="45" t="s">
        <v>126</v>
      </c>
      <c r="H11" s="64">
        <v>4</v>
      </c>
    </row>
    <row r="12" spans="1:11" s="48" customFormat="1">
      <c r="A12" s="49" t="s">
        <v>132</v>
      </c>
      <c r="B12" s="57">
        <v>9</v>
      </c>
      <c r="D12" s="49" t="s">
        <v>145</v>
      </c>
      <c r="E12" s="61">
        <v>3</v>
      </c>
      <c r="G12" s="49" t="s">
        <v>131</v>
      </c>
      <c r="H12" s="65">
        <v>8</v>
      </c>
    </row>
    <row r="13" spans="1:11">
      <c r="A13" s="46" t="s">
        <v>133</v>
      </c>
      <c r="B13" s="58">
        <v>10</v>
      </c>
      <c r="D13" s="45" t="s">
        <v>146</v>
      </c>
      <c r="E13" s="60">
        <v>2</v>
      </c>
      <c r="G13" s="45" t="s">
        <v>132</v>
      </c>
      <c r="H13" s="64">
        <v>9</v>
      </c>
    </row>
    <row r="14" spans="1:11" s="48" customFormat="1">
      <c r="B14" s="50"/>
      <c r="D14" s="51" t="s">
        <v>147</v>
      </c>
      <c r="E14" s="62">
        <v>1</v>
      </c>
      <c r="G14" s="51" t="s">
        <v>133</v>
      </c>
      <c r="H14" s="66">
        <v>10</v>
      </c>
    </row>
  </sheetData>
  <phoneticPr fontId="7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797543-E446-47EB-99A5-33104C706837}">
  <sheetPr codeName="Sheet3"/>
  <dimension ref="A1:L16"/>
  <sheetViews>
    <sheetView workbookViewId="0">
      <selection activeCell="A17" sqref="A17"/>
    </sheetView>
  </sheetViews>
  <sheetFormatPr defaultRowHeight="18" customHeight="1"/>
  <cols>
    <col min="1" max="1" width="21" style="325" customWidth="1"/>
    <col min="2" max="2" width="11.5546875" style="325" customWidth="1"/>
    <col min="3" max="3" width="13" style="325" customWidth="1"/>
    <col min="4" max="16384" width="8.88671875" style="346"/>
  </cols>
  <sheetData>
    <row r="1" spans="1:12" ht="18" customHeight="1">
      <c r="A1" s="325" t="s">
        <v>202</v>
      </c>
      <c r="B1" s="325" t="s">
        <v>203</v>
      </c>
      <c r="C1" s="325" t="s">
        <v>204</v>
      </c>
    </row>
    <row r="2" spans="1:12" ht="18" customHeight="1">
      <c r="A2" s="325" t="s">
        <v>201</v>
      </c>
      <c r="B2" s="345">
        <v>0.13600000000000001</v>
      </c>
      <c r="C2" s="345">
        <v>0.66</v>
      </c>
    </row>
    <row r="3" spans="1:12" ht="18" customHeight="1">
      <c r="A3" s="325" t="s">
        <v>193</v>
      </c>
      <c r="B3" s="345">
        <v>0.151</v>
      </c>
      <c r="C3" s="345">
        <v>0.65</v>
      </c>
    </row>
    <row r="4" spans="1:12" ht="18" customHeight="1">
      <c r="A4" s="325" t="s">
        <v>183</v>
      </c>
      <c r="B4" s="345">
        <v>0.16700000000000001</v>
      </c>
      <c r="C4" s="345">
        <v>0.65</v>
      </c>
      <c r="J4" s="346" t="s">
        <v>195</v>
      </c>
      <c r="K4" s="346">
        <f>INDEX(Location[recharge],MATCH(J4,Location[name],0))</f>
        <v>0.16600000000000001</v>
      </c>
      <c r="L4" s="346">
        <f>INDEX(Location[ratio], MATCH(J4,Location[name]))</f>
        <v>0.65</v>
      </c>
    </row>
    <row r="5" spans="1:12" ht="18" customHeight="1">
      <c r="A5" s="325" t="s">
        <v>184</v>
      </c>
      <c r="B5" s="345">
        <v>0.17299999999999999</v>
      </c>
      <c r="C5" s="345">
        <v>0.66849999999999998</v>
      </c>
    </row>
    <row r="6" spans="1:12" ht="18" customHeight="1">
      <c r="A6" s="325" t="s">
        <v>194</v>
      </c>
      <c r="B6" s="345">
        <v>0.16300000000000001</v>
      </c>
      <c r="C6" s="345">
        <v>0.67</v>
      </c>
    </row>
    <row r="7" spans="1:12" ht="18" customHeight="1">
      <c r="A7" s="325" t="s">
        <v>196</v>
      </c>
      <c r="B7" s="345">
        <v>0.16600000000000001</v>
      </c>
      <c r="C7" s="345">
        <v>0.64</v>
      </c>
      <c r="E7" s="346" t="s">
        <v>205</v>
      </c>
    </row>
    <row r="8" spans="1:12" ht="18" customHeight="1">
      <c r="A8" s="325" t="s">
        <v>197</v>
      </c>
      <c r="B8" s="345">
        <v>0.16600000000000001</v>
      </c>
      <c r="C8" s="345">
        <v>0.64</v>
      </c>
    </row>
    <row r="9" spans="1:12" ht="18" customHeight="1">
      <c r="A9" s="325" t="s">
        <v>185</v>
      </c>
      <c r="B9" s="345">
        <v>0.125</v>
      </c>
      <c r="C9" s="345">
        <v>0.67</v>
      </c>
    </row>
    <row r="10" spans="1:12" ht="18" customHeight="1">
      <c r="A10" s="325" t="s">
        <v>198</v>
      </c>
      <c r="B10" s="345">
        <v>0.127</v>
      </c>
      <c r="C10" s="345">
        <v>0.65</v>
      </c>
    </row>
    <row r="11" spans="1:12" ht="18" customHeight="1">
      <c r="A11" s="325" t="s">
        <v>199</v>
      </c>
      <c r="B11" s="345">
        <v>0.128</v>
      </c>
      <c r="C11" s="345">
        <v>0.64</v>
      </c>
    </row>
    <row r="12" spans="1:12" ht="18" customHeight="1">
      <c r="A12" s="325" t="s">
        <v>200</v>
      </c>
      <c r="B12" s="345">
        <v>0.17499999999999999</v>
      </c>
      <c r="C12" s="345">
        <v>0.67</v>
      </c>
    </row>
    <row r="13" spans="1:12" ht="18" customHeight="1">
      <c r="A13" s="325" t="s">
        <v>213</v>
      </c>
      <c r="B13" s="345">
        <v>0.13</v>
      </c>
      <c r="C13" s="345">
        <v>0.63</v>
      </c>
    </row>
    <row r="14" spans="1:12" ht="18" customHeight="1">
      <c r="A14" s="325" t="s">
        <v>214</v>
      </c>
      <c r="B14" s="345">
        <v>0.13400000000000001</v>
      </c>
      <c r="C14" s="345">
        <v>0.65</v>
      </c>
    </row>
    <row r="15" spans="1:12" ht="18" customHeight="1">
      <c r="A15" s="325" t="s">
        <v>215</v>
      </c>
      <c r="B15" s="345">
        <v>0.16500000000000001</v>
      </c>
      <c r="C15" s="345">
        <v>0.62</v>
      </c>
    </row>
    <row r="16" spans="1:12" ht="18" customHeight="1">
      <c r="A16" s="325" t="s">
        <v>273</v>
      </c>
      <c r="B16" s="345">
        <v>0.16300000000000001</v>
      </c>
      <c r="C16" s="345">
        <v>0.223</v>
      </c>
    </row>
  </sheetData>
  <phoneticPr fontId="7" type="noConversion"/>
  <dataValidations count="2">
    <dataValidation type="list" allowBlank="1" showInputMessage="1" showErrorMessage="1" sqref="F17" xr:uid="{4B7CC748-BCD7-458D-BD0B-7BAE03877D99}">
      <formula1>$A$2:$A$16</formula1>
    </dataValidation>
    <dataValidation type="list" allowBlank="1" showInputMessage="1" showErrorMessage="1" sqref="J4" xr:uid="{B272EA71-B5A1-49D5-8349-D79797F5E031}">
      <formula1>DaeGweonYeok</formula1>
    </dataValidation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38244" r:id="rId3" name="HideLocation">
          <controlPr defaultSize="0" autoLine="0" r:id="rId4">
            <anchor moveWithCells="1">
              <from>
                <xdr:col>4</xdr:col>
                <xdr:colOff>47625</xdr:colOff>
                <xdr:row>2</xdr:row>
                <xdr:rowOff>28575</xdr:rowOff>
              </from>
              <to>
                <xdr:col>6</xdr:col>
                <xdr:colOff>666750</xdr:colOff>
                <xdr:row>4</xdr:row>
                <xdr:rowOff>85725</xdr:rowOff>
              </to>
            </anchor>
          </controlPr>
        </control>
      </mc:Choice>
      <mc:Fallback>
        <control shapeId="138244" r:id="rId3" name="HideLocation"/>
      </mc:Fallback>
    </mc:AlternateContent>
  </controls>
  <tableParts count="1">
    <tablePart r:id="rId5"/>
  </tablePart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>
    <tabColor rgb="FF7030A0"/>
  </sheetPr>
  <dimension ref="A1:R8"/>
  <sheetViews>
    <sheetView zoomScaleNormal="100" workbookViewId="0">
      <selection activeCell="D15" sqref="D15"/>
    </sheetView>
  </sheetViews>
  <sheetFormatPr defaultColWidth="8.88671875" defaultRowHeight="16.5"/>
  <cols>
    <col min="1" max="1" width="5.21875" style="38" customWidth="1"/>
    <col min="2" max="2" width="13.44140625" style="37" customWidth="1"/>
    <col min="3" max="3" width="9.109375" style="37" customWidth="1"/>
    <col min="4" max="4" width="26.6640625" style="37" customWidth="1"/>
    <col min="5" max="5" width="9.6640625" style="37" customWidth="1"/>
    <col min="6" max="6" width="9" style="37" customWidth="1"/>
    <col min="7" max="7" width="8.109375" style="37" customWidth="1"/>
    <col min="8" max="8" width="9.33203125" style="37" customWidth="1"/>
    <col min="9" max="9" width="7.77734375" style="37" customWidth="1"/>
    <col min="10" max="10" width="10.21875" style="156" customWidth="1"/>
    <col min="11" max="11" width="8.109375" style="37" customWidth="1"/>
    <col min="12" max="12" width="7.109375" style="37" customWidth="1"/>
    <col min="13" max="13" width="6.33203125" style="37" customWidth="1"/>
    <col min="14" max="14" width="6.5546875" style="37" customWidth="1"/>
    <col min="15" max="15" width="8.44140625" style="37" customWidth="1"/>
    <col min="16" max="16" width="11" style="40" customWidth="1"/>
    <col min="17" max="17" width="15.6640625" style="37" customWidth="1"/>
    <col min="18" max="18" width="15" style="37" customWidth="1"/>
    <col min="19" max="16384" width="8.88671875" style="38"/>
  </cols>
  <sheetData>
    <row r="1" spans="1:18" ht="63.75" customHeight="1" thickBot="1">
      <c r="D1" s="67"/>
      <c r="E1" s="67"/>
      <c r="F1" s="39" t="s">
        <v>287</v>
      </c>
      <c r="J1" s="68"/>
    </row>
    <row r="2" spans="1:18" s="77" customFormat="1" ht="23.1" customHeight="1">
      <c r="A2" s="492" t="s">
        <v>0</v>
      </c>
      <c r="B2" s="482" t="s">
        <v>39</v>
      </c>
      <c r="C2" s="482" t="s">
        <v>6</v>
      </c>
      <c r="D2" s="482" t="s">
        <v>38</v>
      </c>
      <c r="E2" s="482" t="s">
        <v>207</v>
      </c>
      <c r="F2" s="482" t="s">
        <v>206</v>
      </c>
      <c r="G2" s="486" t="s">
        <v>1</v>
      </c>
      <c r="H2" s="486" t="s">
        <v>2</v>
      </c>
      <c r="I2" s="486" t="s">
        <v>175</v>
      </c>
      <c r="J2" s="490" t="s">
        <v>297</v>
      </c>
      <c r="K2" s="486" t="s">
        <v>296</v>
      </c>
      <c r="L2" s="486" t="s">
        <v>3</v>
      </c>
      <c r="M2" s="486" t="s">
        <v>4</v>
      </c>
      <c r="N2" s="486" t="s">
        <v>5</v>
      </c>
      <c r="O2" s="486" t="s">
        <v>295</v>
      </c>
      <c r="P2" s="488" t="s">
        <v>294</v>
      </c>
      <c r="Q2" s="482" t="s">
        <v>161</v>
      </c>
      <c r="R2" s="484" t="s">
        <v>93</v>
      </c>
    </row>
    <row r="3" spans="1:18" s="77" customFormat="1" ht="27" customHeight="1">
      <c r="A3" s="493"/>
      <c r="B3" s="483"/>
      <c r="C3" s="483"/>
      <c r="D3" s="483"/>
      <c r="E3" s="483"/>
      <c r="F3" s="483"/>
      <c r="G3" s="487"/>
      <c r="H3" s="487"/>
      <c r="I3" s="487"/>
      <c r="J3" s="491"/>
      <c r="K3" s="487"/>
      <c r="L3" s="487"/>
      <c r="M3" s="487"/>
      <c r="N3" s="487"/>
      <c r="O3" s="487"/>
      <c r="P3" s="489"/>
      <c r="Q3" s="483"/>
      <c r="R3" s="485"/>
    </row>
    <row r="4" spans="1:18" ht="23.1" customHeight="1">
      <c r="A4" s="441" t="s">
        <v>269</v>
      </c>
      <c r="B4" s="442" t="s">
        <v>233</v>
      </c>
      <c r="C4" s="443"/>
      <c r="D4" s="442" t="s">
        <v>284</v>
      </c>
      <c r="E4" s="442" t="s">
        <v>285</v>
      </c>
      <c r="F4" s="442" t="s">
        <v>234</v>
      </c>
      <c r="G4" s="442">
        <v>200</v>
      </c>
      <c r="H4" s="442">
        <v>500</v>
      </c>
      <c r="I4" s="442">
        <v>130</v>
      </c>
      <c r="J4" s="442">
        <v>143</v>
      </c>
      <c r="K4" s="442">
        <v>143</v>
      </c>
      <c r="L4" s="442">
        <v>10</v>
      </c>
      <c r="M4" s="442">
        <v>200</v>
      </c>
      <c r="N4" s="444">
        <v>50</v>
      </c>
      <c r="O4" s="445">
        <v>172.8</v>
      </c>
      <c r="P4" s="456">
        <v>3059068</v>
      </c>
      <c r="Q4" s="437"/>
      <c r="R4" s="438"/>
    </row>
    <row r="5" spans="1:18" ht="23.1" customHeight="1">
      <c r="A5" s="441" t="s">
        <v>282</v>
      </c>
      <c r="B5" s="442" t="s">
        <v>233</v>
      </c>
      <c r="C5" s="443"/>
      <c r="D5" s="442" t="s">
        <v>286</v>
      </c>
      <c r="E5" s="442" t="s">
        <v>285</v>
      </c>
      <c r="F5" s="442" t="s">
        <v>234</v>
      </c>
      <c r="G5" s="442">
        <v>200</v>
      </c>
      <c r="H5" s="442">
        <v>250</v>
      </c>
      <c r="I5" s="442">
        <v>150</v>
      </c>
      <c r="J5" s="442">
        <v>130</v>
      </c>
      <c r="K5" s="442">
        <v>120</v>
      </c>
      <c r="L5" s="442">
        <v>2</v>
      </c>
      <c r="M5" s="442">
        <v>60</v>
      </c>
      <c r="N5" s="444">
        <v>50</v>
      </c>
      <c r="O5" s="445">
        <v>172.8</v>
      </c>
      <c r="P5" s="456">
        <v>3059068</v>
      </c>
      <c r="Q5" s="437"/>
      <c r="R5" s="438"/>
    </row>
    <row r="6" spans="1:18" ht="23.1" customHeight="1" thickBot="1">
      <c r="A6" s="347" t="s">
        <v>283</v>
      </c>
      <c r="B6" s="348" t="s">
        <v>233</v>
      </c>
      <c r="C6" s="349"/>
      <c r="D6" s="348" t="s">
        <v>286</v>
      </c>
      <c r="E6" s="348" t="s">
        <v>285</v>
      </c>
      <c r="F6" s="348" t="s">
        <v>234</v>
      </c>
      <c r="G6" s="348">
        <v>200</v>
      </c>
      <c r="H6" s="348">
        <v>250</v>
      </c>
      <c r="I6" s="348">
        <v>150</v>
      </c>
      <c r="J6" s="348">
        <v>130</v>
      </c>
      <c r="K6" s="348">
        <v>120</v>
      </c>
      <c r="L6" s="348">
        <v>2</v>
      </c>
      <c r="M6" s="348">
        <v>60</v>
      </c>
      <c r="N6" s="350">
        <v>50</v>
      </c>
      <c r="O6" s="351">
        <v>172.8</v>
      </c>
      <c r="P6" s="457">
        <v>3059068</v>
      </c>
      <c r="Q6" s="439"/>
      <c r="R6" s="440"/>
    </row>
    <row r="7" spans="1:18" ht="23.25" customHeight="1">
      <c r="A7" s="231"/>
    </row>
    <row r="8" spans="1:18" ht="23.25" customHeight="1">
      <c r="I8" s="455">
        <f>SUM(I4:I7)</f>
        <v>430</v>
      </c>
    </row>
  </sheetData>
  <sheetProtection selectLockedCells="1" selectUnlockedCells="1"/>
  <mergeCells count="18">
    <mergeCell ref="A2:A3"/>
    <mergeCell ref="C2:C3"/>
    <mergeCell ref="D2:D3"/>
    <mergeCell ref="F2:F3"/>
    <mergeCell ref="E2:E3"/>
    <mergeCell ref="Q2:Q3"/>
    <mergeCell ref="R2:R3"/>
    <mergeCell ref="O2:O3"/>
    <mergeCell ref="P2:P3"/>
    <mergeCell ref="B2:B3"/>
    <mergeCell ref="H2:H3"/>
    <mergeCell ref="L2:L3"/>
    <mergeCell ref="M2:M3"/>
    <mergeCell ref="N2:N3"/>
    <mergeCell ref="G2:G3"/>
    <mergeCell ref="I2:I3"/>
    <mergeCell ref="J2:J3"/>
    <mergeCell ref="K2:K3"/>
  </mergeCells>
  <phoneticPr fontId="7" type="noConversion"/>
  <pageMargins left="1.1200000000000001" right="0.48" top="0.82" bottom="0.49" header="0.81" footer="0.46"/>
  <pageSetup paperSize="9" orientation="landscape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99342" r:id="rId4" name="CommandButton7">
          <controlPr defaultSize="0" autoLine="0" r:id="rId5">
            <anchor moveWithCells="1">
              <from>
                <xdr:col>15</xdr:col>
                <xdr:colOff>657225</xdr:colOff>
                <xdr:row>0</xdr:row>
                <xdr:rowOff>438150</xdr:rowOff>
              </from>
              <to>
                <xdr:col>16</xdr:col>
                <xdr:colOff>476250</xdr:colOff>
                <xdr:row>0</xdr:row>
                <xdr:rowOff>752475</xdr:rowOff>
              </to>
            </anchor>
          </controlPr>
        </control>
      </mc:Choice>
      <mc:Fallback>
        <control shapeId="99342" r:id="rId4" name="CommandButton7"/>
      </mc:Fallback>
    </mc:AlternateContent>
    <mc:AlternateContent xmlns:mc="http://schemas.openxmlformats.org/markup-compatibility/2006">
      <mc:Choice Requires="x14">
        <control shapeId="99335" r:id="rId6" name="CommandButton5">
          <controlPr defaultSize="0" autoLine="0" r:id="rId7">
            <anchor moveWithCells="1">
              <from>
                <xdr:col>14</xdr:col>
                <xdr:colOff>571500</xdr:colOff>
                <xdr:row>0</xdr:row>
                <xdr:rowOff>438150</xdr:rowOff>
              </from>
              <to>
                <xdr:col>15</xdr:col>
                <xdr:colOff>609600</xdr:colOff>
                <xdr:row>0</xdr:row>
                <xdr:rowOff>752475</xdr:rowOff>
              </to>
            </anchor>
          </controlPr>
        </control>
      </mc:Choice>
      <mc:Fallback>
        <control shapeId="99335" r:id="rId6" name="CommandButton5"/>
      </mc:Fallback>
    </mc:AlternateContent>
    <mc:AlternateContent xmlns:mc="http://schemas.openxmlformats.org/markup-compatibility/2006">
      <mc:Choice Requires="x14">
        <control shapeId="99334" r:id="rId8" name="SingleColor">
          <controlPr defaultSize="0" autoLine="0" r:id="rId9">
            <anchor moveWithCells="1">
              <from>
                <xdr:col>1</xdr:col>
                <xdr:colOff>457200</xdr:colOff>
                <xdr:row>0</xdr:row>
                <xdr:rowOff>95250</xdr:rowOff>
              </from>
              <to>
                <xdr:col>2</xdr:col>
                <xdr:colOff>438150</xdr:colOff>
                <xdr:row>0</xdr:row>
                <xdr:rowOff>381000</xdr:rowOff>
              </to>
            </anchor>
          </controlPr>
        </control>
      </mc:Choice>
      <mc:Fallback>
        <control shapeId="99334" r:id="rId8" name="SingleColor"/>
      </mc:Fallback>
    </mc:AlternateContent>
    <mc:AlternateContent xmlns:mc="http://schemas.openxmlformats.org/markup-compatibility/2006">
      <mc:Choice Requires="x14">
        <control shapeId="99332" r:id="rId10" name="CommandButton4">
          <controlPr defaultSize="0" autoLine="0" r:id="rId11">
            <anchor moveWithCells="1">
              <from>
                <xdr:col>13</xdr:col>
                <xdr:colOff>323850</xdr:colOff>
                <xdr:row>0</xdr:row>
                <xdr:rowOff>438150</xdr:rowOff>
              </from>
              <to>
                <xdr:col>14</xdr:col>
                <xdr:colOff>523875</xdr:colOff>
                <xdr:row>0</xdr:row>
                <xdr:rowOff>752475</xdr:rowOff>
              </to>
            </anchor>
          </controlPr>
        </control>
      </mc:Choice>
      <mc:Fallback>
        <control shapeId="99332" r:id="rId10" name="CommandButton4"/>
      </mc:Fallback>
    </mc:AlternateContent>
    <mc:AlternateContent xmlns:mc="http://schemas.openxmlformats.org/markup-compatibility/2006">
      <mc:Choice Requires="x14">
        <control shapeId="99330" r:id="rId12" name="CommandButton2">
          <controlPr defaultSize="0" autoLine="0" r:id="rId13">
            <anchor moveWithCells="1">
              <from>
                <xdr:col>1</xdr:col>
                <xdr:colOff>390525</xdr:colOff>
                <xdr:row>0</xdr:row>
                <xdr:rowOff>390525</xdr:rowOff>
              </from>
              <to>
                <xdr:col>2</xdr:col>
                <xdr:colOff>28575</xdr:colOff>
                <xdr:row>0</xdr:row>
                <xdr:rowOff>704850</xdr:rowOff>
              </to>
            </anchor>
          </controlPr>
        </control>
      </mc:Choice>
      <mc:Fallback>
        <control shapeId="99330" r:id="rId12" name="CommandButton2"/>
      </mc:Fallback>
    </mc:AlternateContent>
    <mc:AlternateContent xmlns:mc="http://schemas.openxmlformats.org/markup-compatibility/2006">
      <mc:Choice Requires="x14">
        <control shapeId="99329" r:id="rId14" name="CommandButton1">
          <controlPr defaultSize="0" autoLine="0" r:id="rId15">
            <anchor moveWithCells="1">
              <from>
                <xdr:col>0</xdr:col>
                <xdr:colOff>38100</xdr:colOff>
                <xdr:row>0</xdr:row>
                <xdr:rowOff>390525</xdr:rowOff>
              </from>
              <to>
                <xdr:col>1</xdr:col>
                <xdr:colOff>333375</xdr:colOff>
                <xdr:row>0</xdr:row>
                <xdr:rowOff>704850</xdr:rowOff>
              </to>
            </anchor>
          </controlPr>
        </control>
      </mc:Choice>
      <mc:Fallback>
        <control shapeId="99329" r:id="rId14" name="CommandButton1"/>
      </mc:Fallback>
    </mc:AlternateContent>
    <mc:AlternateContent xmlns:mc="http://schemas.openxmlformats.org/markup-compatibility/2006">
      <mc:Choice Requires="x14">
        <control shapeId="99336" r:id="rId16" name="CommandButton6">
          <controlPr defaultSize="0" autoLine="0" r:id="rId17">
            <anchor moveWithCells="1">
              <from>
                <xdr:col>2</xdr:col>
                <xdr:colOff>104775</xdr:colOff>
                <xdr:row>0</xdr:row>
                <xdr:rowOff>400050</xdr:rowOff>
              </from>
              <to>
                <xdr:col>2</xdr:col>
                <xdr:colOff>666750</xdr:colOff>
                <xdr:row>0</xdr:row>
                <xdr:rowOff>714375</xdr:rowOff>
              </to>
            </anchor>
          </controlPr>
        </control>
      </mc:Choice>
      <mc:Fallback>
        <control shapeId="99336" r:id="rId16" name="CommandButton6"/>
      </mc:Fallback>
    </mc:AlternateContent>
    <mc:AlternateContent xmlns:mc="http://schemas.openxmlformats.org/markup-compatibility/2006">
      <mc:Choice Requires="x14">
        <control shapeId="99346" r:id="rId18" name="CommandButton3">
          <controlPr defaultSize="0" autoLine="0" r:id="rId19">
            <anchor moveWithCells="1">
              <from>
                <xdr:col>16</xdr:col>
                <xdr:colOff>514350</xdr:colOff>
                <xdr:row>0</xdr:row>
                <xdr:rowOff>428625</xdr:rowOff>
              </from>
              <to>
                <xdr:col>16</xdr:col>
                <xdr:colOff>1276350</xdr:colOff>
                <xdr:row>0</xdr:row>
                <xdr:rowOff>742950</xdr:rowOff>
              </to>
            </anchor>
          </controlPr>
        </control>
      </mc:Choice>
      <mc:Fallback>
        <control shapeId="99346" r:id="rId18" name="CommandButton3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4632CA-182C-423A-B9A5-E451DF338AD5}">
  <sheetPr codeName="Sheet_Agg1"/>
  <dimension ref="F1:S50"/>
  <sheetViews>
    <sheetView topLeftCell="B1" workbookViewId="0">
      <selection activeCell="G41" sqref="G41:G42"/>
    </sheetView>
  </sheetViews>
  <sheetFormatPr defaultRowHeight="20.100000000000001" customHeight="1"/>
  <cols>
    <col min="1" max="1" width="0" style="37" hidden="1" customWidth="1"/>
    <col min="2" max="3" width="8.88671875" style="37"/>
    <col min="4" max="5" width="0" style="37" hidden="1" customWidth="1"/>
    <col min="6" max="6" width="8.88671875" style="37"/>
    <col min="7" max="7" width="16.88671875" style="37" customWidth="1"/>
    <col min="8" max="8" width="11.77734375" style="37" customWidth="1"/>
    <col min="9" max="9" width="11.77734375" style="352" customWidth="1"/>
    <col min="10" max="10" width="11.77734375" style="37" customWidth="1"/>
    <col min="11" max="11" width="11.77734375" style="353" customWidth="1"/>
    <col min="12" max="17" width="11.77734375" style="37" customWidth="1"/>
    <col min="18" max="18" width="14" style="37" customWidth="1"/>
    <col min="19" max="19" width="15" style="37" customWidth="1"/>
    <col min="20" max="16384" width="8.88671875" style="37"/>
  </cols>
  <sheetData>
    <row r="1" spans="7:19" ht="36" customHeight="1" thickBot="1">
      <c r="G1" s="53" t="s">
        <v>243</v>
      </c>
    </row>
    <row r="2" spans="7:19" ht="20.100000000000001" customHeight="1" thickBot="1">
      <c r="G2" s="354" t="s">
        <v>212</v>
      </c>
      <c r="H2" s="355" t="s">
        <v>209</v>
      </c>
      <c r="I2" s="356" t="s">
        <v>218</v>
      </c>
      <c r="J2" s="355" t="s">
        <v>210</v>
      </c>
      <c r="K2" s="357" t="s">
        <v>211</v>
      </c>
      <c r="M2" s="358"/>
      <c r="N2" s="359" t="s">
        <v>216</v>
      </c>
      <c r="O2" s="360" t="s">
        <v>217</v>
      </c>
      <c r="Q2" s="361" t="s">
        <v>212</v>
      </c>
      <c r="R2" s="362" t="s">
        <v>220</v>
      </c>
      <c r="S2" s="357" t="s">
        <v>221</v>
      </c>
    </row>
    <row r="3" spans="7:19" ht="20.100000000000001" customHeight="1" thickBot="1">
      <c r="G3" s="363" t="s">
        <v>236</v>
      </c>
      <c r="H3" s="37">
        <v>149</v>
      </c>
      <c r="I3" s="352">
        <v>133.95966914143432</v>
      </c>
      <c r="J3" s="37">
        <v>130</v>
      </c>
      <c r="K3" s="364">
        <v>0.89261744966442957</v>
      </c>
      <c r="M3" s="365" t="s">
        <v>211</v>
      </c>
      <c r="N3" s="366">
        <v>0.89261744966442957</v>
      </c>
      <c r="O3" s="367">
        <v>0.89261744966442957</v>
      </c>
      <c r="Q3" s="368" t="s">
        <v>236</v>
      </c>
      <c r="R3" s="369">
        <v>6.0139999999999998E-4</v>
      </c>
      <c r="S3" s="370">
        <v>0.21038480000000001</v>
      </c>
    </row>
    <row r="4" spans="7:19" ht="20.100000000000001" customHeight="1" thickBot="1">
      <c r="G4" s="363" t="s">
        <v>237</v>
      </c>
      <c r="H4" s="37">
        <v>149</v>
      </c>
      <c r="I4" s="352">
        <v>133.92821031130663</v>
      </c>
      <c r="J4" s="37">
        <v>130</v>
      </c>
      <c r="K4" s="364">
        <v>0.89261744966442957</v>
      </c>
      <c r="M4" s="365" t="s">
        <v>218</v>
      </c>
      <c r="N4" s="371">
        <v>133.92821031130663</v>
      </c>
      <c r="O4" s="372">
        <v>133.95966914143432</v>
      </c>
      <c r="Q4" s="368" t="s">
        <v>237</v>
      </c>
      <c r="R4" s="369">
        <v>5.5579999999999996E-4</v>
      </c>
      <c r="S4" s="370">
        <v>0.19516990000000001</v>
      </c>
    </row>
    <row r="5" spans="7:19" ht="20.100000000000001" customHeight="1" thickBot="1">
      <c r="G5" s="363" t="s">
        <v>238</v>
      </c>
      <c r="H5" s="37">
        <v>149</v>
      </c>
      <c r="I5" s="352">
        <v>133.93943451037802</v>
      </c>
      <c r="J5" s="37">
        <v>130</v>
      </c>
      <c r="K5" s="364">
        <v>0.89261744966442957</v>
      </c>
      <c r="M5" s="373" t="s">
        <v>219</v>
      </c>
      <c r="N5" s="374">
        <v>130</v>
      </c>
      <c r="O5" s="375">
        <v>130</v>
      </c>
      <c r="Q5" s="368" t="s">
        <v>238</v>
      </c>
      <c r="R5" s="369">
        <v>5.7790000000000001E-4</v>
      </c>
      <c r="S5" s="370">
        <v>0.2025769</v>
      </c>
    </row>
    <row r="6" spans="7:19" ht="20.100000000000001" customHeight="1">
      <c r="G6" s="363"/>
      <c r="K6" s="364"/>
      <c r="Q6" s="368"/>
      <c r="R6" s="369"/>
      <c r="S6" s="370"/>
    </row>
    <row r="7" spans="7:19" ht="20.100000000000001" customHeight="1">
      <c r="G7" s="363"/>
      <c r="K7" s="364"/>
      <c r="Q7" s="368"/>
      <c r="R7" s="369"/>
      <c r="S7" s="370"/>
    </row>
    <row r="8" spans="7:19" ht="20.100000000000001" customHeight="1">
      <c r="G8" s="363"/>
      <c r="K8" s="364"/>
      <c r="Q8" s="363"/>
      <c r="S8" s="376"/>
    </row>
    <row r="9" spans="7:19" ht="20.100000000000001" customHeight="1">
      <c r="G9" s="363"/>
      <c r="K9" s="364"/>
      <c r="Q9" s="363"/>
      <c r="S9" s="376"/>
    </row>
    <row r="10" spans="7:19" ht="20.100000000000001" customHeight="1">
      <c r="G10" s="363"/>
      <c r="K10" s="364"/>
      <c r="Q10" s="363"/>
      <c r="S10" s="376"/>
    </row>
    <row r="11" spans="7:19" ht="20.100000000000001" customHeight="1">
      <c r="G11" s="363"/>
      <c r="K11" s="364"/>
      <c r="Q11" s="363"/>
      <c r="S11" s="376"/>
    </row>
    <row r="12" spans="7:19" ht="20.100000000000001" customHeight="1">
      <c r="G12" s="363"/>
      <c r="K12" s="364"/>
      <c r="Q12" s="363"/>
      <c r="S12" s="376"/>
    </row>
    <row r="13" spans="7:19" ht="20.100000000000001" customHeight="1">
      <c r="G13" s="363"/>
      <c r="K13" s="364"/>
      <c r="Q13" s="363"/>
      <c r="S13" s="376"/>
    </row>
    <row r="14" spans="7:19" ht="20.100000000000001" customHeight="1">
      <c r="G14" s="363"/>
      <c r="K14" s="364"/>
      <c r="Q14" s="363"/>
      <c r="S14" s="376"/>
    </row>
    <row r="15" spans="7:19" ht="20.100000000000001" customHeight="1">
      <c r="G15" s="363"/>
      <c r="K15" s="364"/>
      <c r="Q15" s="363"/>
      <c r="S15" s="376"/>
    </row>
    <row r="16" spans="7:19" ht="20.100000000000001" customHeight="1">
      <c r="G16" s="363"/>
      <c r="K16" s="364"/>
      <c r="Q16" s="363"/>
      <c r="S16" s="376"/>
    </row>
    <row r="17" spans="6:19" ht="20.100000000000001" customHeight="1">
      <c r="G17" s="363"/>
      <c r="K17" s="364"/>
      <c r="Q17" s="363"/>
      <c r="S17" s="376"/>
    </row>
    <row r="18" spans="6:19" ht="20.100000000000001" customHeight="1">
      <c r="G18" s="363"/>
      <c r="K18" s="364"/>
      <c r="Q18" s="363"/>
      <c r="S18" s="376"/>
    </row>
    <row r="19" spans="6:19" ht="20.100000000000001" customHeight="1" thickBot="1">
      <c r="G19" s="377"/>
      <c r="H19" s="378"/>
      <c r="I19" s="379"/>
      <c r="J19" s="378"/>
      <c r="K19" s="380"/>
      <c r="Q19" s="377"/>
      <c r="R19" s="378"/>
      <c r="S19" s="381"/>
    </row>
    <row r="22" spans="6:19" ht="20.100000000000001" customHeight="1">
      <c r="M22" s="352"/>
      <c r="N22" s="352"/>
      <c r="O22" s="352"/>
      <c r="P22" s="352"/>
      <c r="Q22" s="352"/>
      <c r="R22" s="352"/>
      <c r="S22" s="352"/>
    </row>
    <row r="23" spans="6:19" ht="20.100000000000001" customHeight="1">
      <c r="M23" s="382">
        <v>133.95966914143432</v>
      </c>
      <c r="N23" s="371">
        <v>133.92821031130663</v>
      </c>
      <c r="O23" s="382">
        <v>133.93943451037802</v>
      </c>
      <c r="P23" s="371">
        <v>124.10752425577586</v>
      </c>
      <c r="Q23" s="382">
        <v>155.45958109179159</v>
      </c>
      <c r="R23" s="352"/>
      <c r="S23" s="352"/>
    </row>
    <row r="24" spans="6:19" ht="20.100000000000001" customHeight="1">
      <c r="M24" s="383">
        <v>130</v>
      </c>
      <c r="N24" s="384">
        <v>130</v>
      </c>
      <c r="O24" s="383">
        <v>130</v>
      </c>
      <c r="P24" s="384">
        <v>120</v>
      </c>
      <c r="Q24" s="383">
        <v>150</v>
      </c>
      <c r="R24" s="352"/>
      <c r="S24" s="352"/>
    </row>
    <row r="25" spans="6:19" ht="20.100000000000001" customHeight="1" thickBot="1">
      <c r="M25" s="352"/>
      <c r="N25" s="352"/>
      <c r="O25" s="352"/>
      <c r="P25" s="352"/>
      <c r="Q25" s="352"/>
      <c r="R25" s="352"/>
      <c r="S25" s="352"/>
    </row>
    <row r="26" spans="6:19" ht="20.100000000000001" customHeight="1" thickBot="1">
      <c r="G26" s="385" t="s">
        <v>252</v>
      </c>
      <c r="H26" s="386"/>
      <c r="I26" s="387"/>
    </row>
    <row r="27" spans="6:19" ht="20.100000000000001" customHeight="1">
      <c r="F27" s="498" t="s">
        <v>236</v>
      </c>
      <c r="G27" s="494">
        <v>149</v>
      </c>
      <c r="H27" s="388">
        <v>44.94</v>
      </c>
      <c r="I27" s="496">
        <v>133.95966914143432</v>
      </c>
    </row>
    <row r="28" spans="6:19" ht="20.100000000000001" customHeight="1" thickBot="1">
      <c r="F28" s="499"/>
      <c r="G28" s="495"/>
      <c r="H28" s="389">
        <v>21.13</v>
      </c>
      <c r="I28" s="497"/>
      <c r="K28" s="37"/>
    </row>
    <row r="29" spans="6:19" ht="20.100000000000001" customHeight="1">
      <c r="F29" s="498" t="s">
        <v>237</v>
      </c>
      <c r="G29" s="494">
        <v>149</v>
      </c>
      <c r="H29" s="388">
        <v>41.65</v>
      </c>
      <c r="I29" s="496">
        <v>133.92821031130663</v>
      </c>
    </row>
    <row r="30" spans="6:19" ht="20.100000000000001" customHeight="1" thickBot="1">
      <c r="F30" s="499"/>
      <c r="G30" s="495"/>
      <c r="H30" s="389">
        <v>19.59</v>
      </c>
      <c r="I30" s="497"/>
    </row>
    <row r="31" spans="6:19" ht="20.100000000000001" customHeight="1">
      <c r="F31" s="498" t="s">
        <v>238</v>
      </c>
      <c r="G31" s="494">
        <v>149</v>
      </c>
      <c r="H31" s="388">
        <v>43.25</v>
      </c>
      <c r="I31" s="496">
        <v>133.93943451037802</v>
      </c>
    </row>
    <row r="32" spans="6:19" ht="20.100000000000001" customHeight="1" thickBot="1">
      <c r="F32" s="499"/>
      <c r="G32" s="495"/>
      <c r="H32" s="389">
        <v>20.34</v>
      </c>
      <c r="I32" s="497"/>
    </row>
    <row r="33" spans="6:9" ht="20.100000000000001" customHeight="1">
      <c r="F33" s="498"/>
      <c r="G33" s="494"/>
      <c r="H33" s="388"/>
      <c r="I33" s="496"/>
    </row>
    <row r="34" spans="6:9" ht="20.100000000000001" customHeight="1" thickBot="1">
      <c r="F34" s="499"/>
      <c r="G34" s="495"/>
      <c r="H34" s="389"/>
      <c r="I34" s="497"/>
    </row>
    <row r="35" spans="6:9" ht="20.100000000000001" customHeight="1">
      <c r="F35" s="498"/>
      <c r="G35" s="494"/>
      <c r="H35" s="388"/>
      <c r="I35" s="496"/>
    </row>
    <row r="36" spans="6:9" ht="20.100000000000001" customHeight="1" thickBot="1">
      <c r="F36" s="499"/>
      <c r="G36" s="495"/>
      <c r="H36" s="389"/>
      <c r="I36" s="497"/>
    </row>
    <row r="37" spans="6:9" ht="20.100000000000001" customHeight="1">
      <c r="F37" s="498"/>
      <c r="G37" s="494"/>
      <c r="H37" s="388"/>
      <c r="I37" s="496"/>
    </row>
    <row r="38" spans="6:9" ht="20.100000000000001" customHeight="1" thickBot="1">
      <c r="F38" s="499"/>
      <c r="G38" s="495"/>
      <c r="H38" s="389"/>
      <c r="I38" s="497"/>
    </row>
    <row r="39" spans="6:9" ht="20.100000000000001" customHeight="1">
      <c r="F39" s="498"/>
      <c r="G39" s="494"/>
      <c r="H39" s="388"/>
      <c r="I39" s="496"/>
    </row>
    <row r="40" spans="6:9" ht="20.100000000000001" customHeight="1" thickBot="1">
      <c r="F40" s="499"/>
      <c r="G40" s="495"/>
      <c r="H40" s="389"/>
      <c r="I40" s="497"/>
    </row>
    <row r="41" spans="6:9" ht="20.100000000000001" customHeight="1">
      <c r="F41" s="498"/>
      <c r="G41" s="494"/>
      <c r="H41" s="388"/>
      <c r="I41" s="496"/>
    </row>
    <row r="42" spans="6:9" ht="20.100000000000001" customHeight="1" thickBot="1">
      <c r="F42" s="499"/>
      <c r="G42" s="495"/>
      <c r="H42" s="389"/>
      <c r="I42" s="497"/>
    </row>
    <row r="43" spans="6:9" ht="20.100000000000001" customHeight="1">
      <c r="F43" s="498"/>
      <c r="G43" s="494"/>
      <c r="H43" s="388"/>
      <c r="I43" s="496"/>
    </row>
    <row r="44" spans="6:9" ht="20.100000000000001" customHeight="1" thickBot="1">
      <c r="F44" s="499"/>
      <c r="G44" s="495"/>
      <c r="H44" s="389"/>
      <c r="I44" s="497"/>
    </row>
    <row r="45" spans="6:9" ht="20.100000000000001" customHeight="1">
      <c r="F45" s="498"/>
      <c r="G45" s="494"/>
      <c r="H45" s="388"/>
      <c r="I45" s="496"/>
    </row>
    <row r="46" spans="6:9" ht="20.100000000000001" customHeight="1" thickBot="1">
      <c r="F46" s="499"/>
      <c r="G46" s="495"/>
      <c r="H46" s="389"/>
      <c r="I46" s="497"/>
    </row>
    <row r="47" spans="6:9" ht="20.100000000000001" customHeight="1">
      <c r="F47" s="498"/>
      <c r="G47" s="494"/>
      <c r="H47" s="388"/>
      <c r="I47" s="496"/>
    </row>
    <row r="48" spans="6:9" ht="20.100000000000001" customHeight="1" thickBot="1">
      <c r="F48" s="499"/>
      <c r="G48" s="495"/>
      <c r="H48" s="389"/>
      <c r="I48" s="497"/>
    </row>
    <row r="49" spans="6:9" ht="20.100000000000001" customHeight="1">
      <c r="F49" s="498"/>
      <c r="G49" s="494"/>
      <c r="H49" s="388"/>
      <c r="I49" s="496"/>
    </row>
    <row r="50" spans="6:9" ht="20.100000000000001" customHeight="1" thickBot="1">
      <c r="F50" s="499"/>
      <c r="G50" s="495"/>
      <c r="H50" s="389"/>
      <c r="I50" s="497"/>
    </row>
  </sheetData>
  <mergeCells count="36">
    <mergeCell ref="F47:F48"/>
    <mergeCell ref="G47:G48"/>
    <mergeCell ref="I47:I48"/>
    <mergeCell ref="F49:F50"/>
    <mergeCell ref="G49:G50"/>
    <mergeCell ref="I49:I50"/>
    <mergeCell ref="F43:F44"/>
    <mergeCell ref="G43:G44"/>
    <mergeCell ref="I43:I44"/>
    <mergeCell ref="F45:F46"/>
    <mergeCell ref="G45:G46"/>
    <mergeCell ref="I45:I46"/>
    <mergeCell ref="F39:F40"/>
    <mergeCell ref="G39:G40"/>
    <mergeCell ref="I39:I40"/>
    <mergeCell ref="F41:F42"/>
    <mergeCell ref="G41:G42"/>
    <mergeCell ref="I41:I42"/>
    <mergeCell ref="F35:F36"/>
    <mergeCell ref="G35:G36"/>
    <mergeCell ref="I35:I36"/>
    <mergeCell ref="F37:F38"/>
    <mergeCell ref="G37:G38"/>
    <mergeCell ref="I37:I38"/>
    <mergeCell ref="F31:F32"/>
    <mergeCell ref="G31:G32"/>
    <mergeCell ref="I31:I32"/>
    <mergeCell ref="F33:F34"/>
    <mergeCell ref="G33:G34"/>
    <mergeCell ref="I33:I34"/>
    <mergeCell ref="G27:G28"/>
    <mergeCell ref="I27:I28"/>
    <mergeCell ref="F27:F28"/>
    <mergeCell ref="F29:F30"/>
    <mergeCell ref="G29:G30"/>
    <mergeCell ref="I29:I30"/>
  </mergeCells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78178" r:id="rId4" name="CommandButton2">
          <controlPr defaultSize="0" autoLine="0" r:id="rId5">
            <anchor moveWithCells="1">
              <from>
                <xdr:col>1</xdr:col>
                <xdr:colOff>133350</xdr:colOff>
                <xdr:row>3</xdr:row>
                <xdr:rowOff>47625</xdr:rowOff>
              </from>
              <to>
                <xdr:col>5</xdr:col>
                <xdr:colOff>28575</xdr:colOff>
                <xdr:row>4</xdr:row>
                <xdr:rowOff>190500</xdr:rowOff>
              </to>
            </anchor>
          </controlPr>
        </control>
      </mc:Choice>
      <mc:Fallback>
        <control shapeId="178178" r:id="rId4" name="CommandButton2"/>
      </mc:Fallback>
    </mc:AlternateContent>
    <mc:AlternateContent xmlns:mc="http://schemas.openxmlformats.org/markup-compatibility/2006">
      <mc:Choice Requires="x14">
        <control shapeId="178177" r:id="rId6" name="CommandButton1">
          <controlPr defaultSize="0" autoLine="0" r:id="rId7">
            <anchor moveWithCells="1">
              <from>
                <xdr:col>1</xdr:col>
                <xdr:colOff>142875</xdr:colOff>
                <xdr:row>1</xdr:row>
                <xdr:rowOff>114300</xdr:rowOff>
              </from>
              <to>
                <xdr:col>5</xdr:col>
                <xdr:colOff>38100</xdr:colOff>
                <xdr:row>3</xdr:row>
                <xdr:rowOff>9525</xdr:rowOff>
              </to>
            </anchor>
          </controlPr>
        </control>
      </mc:Choice>
      <mc:Fallback>
        <control shapeId="178177" r:id="rId6" name="CommandButton1"/>
      </mc:Fallback>
    </mc:AlternateContent>
  </controls>
  <tableParts count="1">
    <tablePart r:id="rId8"/>
  </tablePart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F9E03E-BE36-4160-B3C6-CED5EF246906}">
  <sheetPr codeName="Sheet_Agg2"/>
  <dimension ref="C1:U67"/>
  <sheetViews>
    <sheetView workbookViewId="0">
      <selection activeCell="G41" sqref="G41"/>
    </sheetView>
  </sheetViews>
  <sheetFormatPr defaultRowHeight="20.100000000000001" customHeight="1"/>
  <cols>
    <col min="1" max="1" width="5.109375" style="43" customWidth="1"/>
    <col min="2" max="2" width="8.88671875" style="43"/>
    <col min="3" max="3" width="5.6640625" style="43" customWidth="1"/>
    <col min="4" max="4" width="20.6640625" style="43" customWidth="1"/>
    <col min="5" max="5" width="10.109375" style="43" customWidth="1"/>
    <col min="6" max="6" width="10.33203125" style="43" customWidth="1"/>
    <col min="7" max="7" width="10.109375" style="43" customWidth="1"/>
    <col min="8" max="8" width="10.21875" style="43" customWidth="1"/>
    <col min="9" max="9" width="11.109375" style="43" customWidth="1"/>
    <col min="10" max="10" width="11" style="43" customWidth="1"/>
    <col min="11" max="11" width="10.88671875" style="43" customWidth="1"/>
    <col min="12" max="12" width="10" style="43" customWidth="1"/>
    <col min="13" max="13" width="8.88671875" style="43"/>
    <col min="14" max="14" width="9.88671875" style="43" customWidth="1"/>
    <col min="15" max="15" width="9.44140625" style="43" customWidth="1"/>
    <col min="16" max="16" width="11.109375" style="43" customWidth="1"/>
    <col min="17" max="17" width="9.109375" style="43" customWidth="1"/>
    <col min="18" max="16384" width="8.88671875" style="43"/>
  </cols>
  <sheetData>
    <row r="1" spans="4:21" ht="20.100000000000001" customHeight="1" thickBot="1">
      <c r="D1" s="53" t="s">
        <v>246</v>
      </c>
      <c r="L1" s="390" t="s">
        <v>247</v>
      </c>
      <c r="S1" s="390" t="s">
        <v>248</v>
      </c>
    </row>
    <row r="2" spans="4:21" ht="36.75" customHeight="1">
      <c r="D2" s="391" t="s">
        <v>222</v>
      </c>
      <c r="E2" s="392" t="s">
        <v>219</v>
      </c>
      <c r="F2" s="392" t="s">
        <v>226</v>
      </c>
      <c r="G2" s="392" t="s">
        <v>227</v>
      </c>
      <c r="H2" s="392" t="s">
        <v>166</v>
      </c>
      <c r="I2" s="392" t="s">
        <v>228</v>
      </c>
      <c r="J2" s="393" t="s">
        <v>229</v>
      </c>
      <c r="L2" s="394" t="s">
        <v>219</v>
      </c>
      <c r="M2" s="392" t="s">
        <v>223</v>
      </c>
      <c r="N2" s="392" t="s">
        <v>224</v>
      </c>
      <c r="O2" s="392" t="s">
        <v>225</v>
      </c>
      <c r="P2" s="392" t="s">
        <v>250</v>
      </c>
      <c r="Q2" s="393" t="s">
        <v>251</v>
      </c>
      <c r="S2" s="394" t="s">
        <v>227</v>
      </c>
      <c r="T2" s="392" t="s">
        <v>230</v>
      </c>
      <c r="U2" s="393" t="s">
        <v>231</v>
      </c>
    </row>
    <row r="3" spans="4:21" ht="20.100000000000001" customHeight="1">
      <c r="D3" s="395" t="s">
        <v>236</v>
      </c>
      <c r="E3" s="37">
        <v>130</v>
      </c>
      <c r="F3" s="37">
        <v>14.3</v>
      </c>
      <c r="G3" s="37">
        <v>64.8</v>
      </c>
      <c r="H3" s="37">
        <v>50.5</v>
      </c>
      <c r="I3" s="37">
        <v>0.1</v>
      </c>
      <c r="J3" s="396">
        <v>3.9890328339016063</v>
      </c>
      <c r="K3" s="37"/>
      <c r="L3" s="363">
        <v>130</v>
      </c>
      <c r="M3" s="37">
        <v>0.1</v>
      </c>
      <c r="N3" s="37">
        <v>0.1</v>
      </c>
      <c r="O3" s="37">
        <v>485.7</v>
      </c>
      <c r="P3" s="37">
        <v>1.732</v>
      </c>
      <c r="Q3" s="376">
        <v>8.8969999999999994E-2</v>
      </c>
      <c r="S3" s="397">
        <v>64.8</v>
      </c>
      <c r="T3" s="398">
        <v>16.491080206622705</v>
      </c>
      <c r="U3" s="396">
        <v>48.308919793377292</v>
      </c>
    </row>
    <row r="4" spans="4:21" ht="20.100000000000001" customHeight="1">
      <c r="D4" s="395" t="s">
        <v>237</v>
      </c>
      <c r="E4" s="37">
        <v>130</v>
      </c>
      <c r="F4" s="37">
        <v>14.9</v>
      </c>
      <c r="G4" s="37">
        <v>61.7</v>
      </c>
      <c r="H4" s="37">
        <v>46.800000000000004</v>
      </c>
      <c r="I4" s="37">
        <v>0.1</v>
      </c>
      <c r="J4" s="396">
        <v>3.7991159487113451</v>
      </c>
      <c r="K4" s="37"/>
      <c r="L4" s="363">
        <v>130</v>
      </c>
      <c r="M4" s="37">
        <v>0.1</v>
      </c>
      <c r="N4" s="37">
        <v>0.1</v>
      </c>
      <c r="O4" s="37">
        <v>235.1</v>
      </c>
      <c r="P4" s="37">
        <v>1.877</v>
      </c>
      <c r="Q4" s="376">
        <v>9.2749999999999999E-2</v>
      </c>
      <c r="S4" s="397">
        <v>61.7</v>
      </c>
      <c r="T4" s="398">
        <v>17.057988721779331</v>
      </c>
      <c r="U4" s="396">
        <v>44.642011278220671</v>
      </c>
    </row>
    <row r="5" spans="4:21" ht="20.100000000000001" customHeight="1">
      <c r="D5" s="395" t="s">
        <v>238</v>
      </c>
      <c r="E5" s="37">
        <v>130</v>
      </c>
      <c r="F5" s="37">
        <v>13.8</v>
      </c>
      <c r="G5" s="37">
        <v>62.4</v>
      </c>
      <c r="H5" s="37">
        <v>48.599999999999994</v>
      </c>
      <c r="I5" s="37">
        <v>0.1</v>
      </c>
      <c r="J5" s="396">
        <v>3.8914763181450334</v>
      </c>
      <c r="K5" s="37"/>
      <c r="L5" s="363">
        <v>130</v>
      </c>
      <c r="M5" s="37">
        <v>0.1</v>
      </c>
      <c r="N5" s="37">
        <v>0.1</v>
      </c>
      <c r="O5" s="37">
        <v>236.2</v>
      </c>
      <c r="P5" s="37">
        <v>1.8029999999999999</v>
      </c>
      <c r="Q5" s="376">
        <v>9.0880000000000002E-2</v>
      </c>
      <c r="S5" s="397">
        <v>62.4</v>
      </c>
      <c r="T5" s="398">
        <v>15.974338991033088</v>
      </c>
      <c r="U5" s="396">
        <v>46.425661008966912</v>
      </c>
    </row>
    <row r="6" spans="4:21" ht="20.100000000000001" customHeight="1">
      <c r="D6" s="395"/>
      <c r="E6" s="37"/>
      <c r="F6" s="37"/>
      <c r="G6" s="37"/>
      <c r="H6" s="37"/>
      <c r="I6" s="37"/>
      <c r="J6" s="396"/>
      <c r="K6" s="37"/>
      <c r="L6" s="363"/>
      <c r="M6" s="37"/>
      <c r="N6" s="37"/>
      <c r="O6" s="37"/>
      <c r="P6" s="37"/>
      <c r="Q6" s="376"/>
      <c r="S6" s="397"/>
      <c r="T6" s="398"/>
      <c r="U6" s="396"/>
    </row>
    <row r="7" spans="4:21" ht="20.100000000000001" customHeight="1">
      <c r="D7" s="395"/>
      <c r="E7" s="37"/>
      <c r="F7" s="37"/>
      <c r="G7" s="37"/>
      <c r="H7" s="37"/>
      <c r="I7" s="37"/>
      <c r="J7" s="396"/>
      <c r="K7" s="37"/>
      <c r="L7" s="363"/>
      <c r="M7" s="37"/>
      <c r="N7" s="37"/>
      <c r="O7" s="37"/>
      <c r="P7" s="37"/>
      <c r="Q7" s="376"/>
      <c r="S7" s="397"/>
      <c r="T7" s="398"/>
      <c r="U7" s="396"/>
    </row>
    <row r="8" spans="4:21" ht="20.100000000000001" customHeight="1">
      <c r="D8" s="395"/>
      <c r="E8" s="37"/>
      <c r="F8" s="37"/>
      <c r="G8" s="37"/>
      <c r="H8" s="37"/>
      <c r="I8" s="37"/>
      <c r="J8" s="396"/>
      <c r="K8" s="37"/>
      <c r="L8" s="363"/>
      <c r="M8" s="37"/>
      <c r="N8" s="37"/>
      <c r="O8" s="37"/>
      <c r="P8" s="37"/>
      <c r="Q8" s="376"/>
      <c r="S8" s="363"/>
      <c r="T8" s="398"/>
      <c r="U8" s="396"/>
    </row>
    <row r="9" spans="4:21" ht="20.100000000000001" customHeight="1">
      <c r="D9" s="395"/>
      <c r="E9" s="37"/>
      <c r="F9" s="37"/>
      <c r="G9" s="37"/>
      <c r="H9" s="37"/>
      <c r="I9" s="37"/>
      <c r="J9" s="396"/>
      <c r="K9" s="37"/>
      <c r="L9" s="363"/>
      <c r="M9" s="37"/>
      <c r="N9" s="37"/>
      <c r="O9" s="37"/>
      <c r="P9" s="37"/>
      <c r="Q9" s="376"/>
      <c r="S9" s="363"/>
      <c r="T9" s="398"/>
      <c r="U9" s="396"/>
    </row>
    <row r="10" spans="4:21" ht="20.100000000000001" customHeight="1">
      <c r="D10" s="395"/>
      <c r="E10" s="37"/>
      <c r="F10" s="37"/>
      <c r="G10" s="37"/>
      <c r="H10" s="37"/>
      <c r="I10" s="37"/>
      <c r="J10" s="396"/>
      <c r="K10" s="37"/>
      <c r="L10" s="363"/>
      <c r="M10" s="37"/>
      <c r="N10" s="37"/>
      <c r="O10" s="37"/>
      <c r="P10" s="37"/>
      <c r="Q10" s="376"/>
      <c r="S10" s="363"/>
      <c r="T10" s="398"/>
      <c r="U10" s="396"/>
    </row>
    <row r="11" spans="4:21" ht="20.100000000000001" customHeight="1">
      <c r="D11" s="395"/>
      <c r="E11" s="37"/>
      <c r="F11" s="37"/>
      <c r="G11" s="37"/>
      <c r="H11" s="37"/>
      <c r="I11" s="37"/>
      <c r="J11" s="396"/>
      <c r="K11" s="37"/>
      <c r="L11" s="363"/>
      <c r="M11" s="37"/>
      <c r="N11" s="37"/>
      <c r="O11" s="37"/>
      <c r="P11" s="37"/>
      <c r="Q11" s="376"/>
      <c r="S11" s="363"/>
      <c r="T11" s="398"/>
      <c r="U11" s="396"/>
    </row>
    <row r="12" spans="4:21" ht="20.100000000000001" customHeight="1">
      <c r="D12" s="395"/>
      <c r="E12" s="37"/>
      <c r="F12" s="37"/>
      <c r="G12" s="37"/>
      <c r="H12" s="37"/>
      <c r="I12" s="37"/>
      <c r="J12" s="396"/>
      <c r="K12" s="37"/>
      <c r="L12" s="363"/>
      <c r="M12" s="37"/>
      <c r="N12" s="37"/>
      <c r="O12" s="37"/>
      <c r="P12" s="37"/>
      <c r="Q12" s="376"/>
      <c r="S12" s="363"/>
      <c r="T12" s="398"/>
      <c r="U12" s="396"/>
    </row>
    <row r="13" spans="4:21" ht="20.100000000000001" customHeight="1">
      <c r="D13" s="395"/>
      <c r="E13" s="37"/>
      <c r="F13" s="37"/>
      <c r="G13" s="37"/>
      <c r="H13" s="37"/>
      <c r="I13" s="37"/>
      <c r="J13" s="396"/>
      <c r="K13" s="37"/>
      <c r="L13" s="363"/>
      <c r="M13" s="37"/>
      <c r="N13" s="37"/>
      <c r="O13" s="37"/>
      <c r="P13" s="37"/>
      <c r="Q13" s="376"/>
      <c r="S13" s="363"/>
      <c r="T13" s="398"/>
      <c r="U13" s="396"/>
    </row>
    <row r="14" spans="4:21" ht="20.100000000000001" customHeight="1">
      <c r="D14" s="395"/>
      <c r="E14" s="37"/>
      <c r="F14" s="37"/>
      <c r="G14" s="37"/>
      <c r="H14" s="37"/>
      <c r="I14" s="37"/>
      <c r="J14" s="396"/>
      <c r="K14" s="37"/>
      <c r="L14" s="363"/>
      <c r="M14" s="37"/>
      <c r="N14" s="37"/>
      <c r="O14" s="37"/>
      <c r="P14" s="37"/>
      <c r="Q14" s="376"/>
      <c r="S14" s="363"/>
      <c r="T14" s="398"/>
      <c r="U14" s="396"/>
    </row>
    <row r="15" spans="4:21" ht="20.100000000000001" customHeight="1">
      <c r="D15" s="395"/>
      <c r="E15" s="37"/>
      <c r="F15" s="37"/>
      <c r="G15" s="37"/>
      <c r="H15" s="37"/>
      <c r="I15" s="37"/>
      <c r="J15" s="396"/>
      <c r="K15" s="37"/>
      <c r="L15" s="363"/>
      <c r="M15" s="37"/>
      <c r="N15" s="37"/>
      <c r="O15" s="37"/>
      <c r="P15" s="37"/>
      <c r="Q15" s="376"/>
      <c r="S15" s="363"/>
      <c r="T15" s="398"/>
      <c r="U15" s="396"/>
    </row>
    <row r="16" spans="4:21" ht="20.100000000000001" customHeight="1" thickBot="1">
      <c r="D16" s="389"/>
      <c r="E16" s="378"/>
      <c r="F16" s="378"/>
      <c r="G16" s="378"/>
      <c r="H16" s="378"/>
      <c r="I16" s="378"/>
      <c r="J16" s="399"/>
      <c r="K16" s="37"/>
      <c r="L16" s="377"/>
      <c r="M16" s="378"/>
      <c r="N16" s="378"/>
      <c r="O16" s="378"/>
      <c r="P16" s="378"/>
      <c r="Q16" s="381"/>
      <c r="S16" s="377"/>
      <c r="T16" s="400"/>
      <c r="U16" s="399"/>
    </row>
    <row r="17" spans="3:21" ht="20.100000000000001" customHeight="1">
      <c r="D17" s="37"/>
      <c r="E17" s="37"/>
      <c r="F17" s="37"/>
      <c r="G17" s="37"/>
      <c r="H17" s="37"/>
      <c r="I17" s="37"/>
      <c r="J17" s="398"/>
      <c r="K17" s="37"/>
      <c r="L17" s="37"/>
      <c r="M17" s="37"/>
      <c r="N17" s="37"/>
      <c r="O17" s="37"/>
      <c r="P17" s="37"/>
      <c r="Q17" s="37"/>
      <c r="S17" s="37"/>
      <c r="T17" s="398"/>
      <c r="U17" s="398"/>
    </row>
    <row r="18" spans="3:21" ht="20.100000000000001" customHeight="1">
      <c r="D18" s="37"/>
      <c r="E18" s="37"/>
      <c r="F18" s="37"/>
      <c r="G18" s="37"/>
      <c r="H18" s="37"/>
      <c r="I18" s="37"/>
      <c r="J18" s="398"/>
      <c r="K18" s="37"/>
      <c r="L18" s="37"/>
      <c r="M18" s="37"/>
      <c r="N18" s="37"/>
      <c r="O18" s="37"/>
      <c r="P18" s="37"/>
      <c r="Q18" s="37"/>
      <c r="S18" s="37"/>
      <c r="T18" s="398"/>
      <c r="U18" s="398"/>
    </row>
    <row r="19" spans="3:21" ht="20.100000000000001" customHeight="1">
      <c r="H19" s="401"/>
      <c r="J19" s="402"/>
      <c r="K19" s="402"/>
      <c r="L19" s="402"/>
      <c r="M19" s="402"/>
      <c r="N19" s="402"/>
      <c r="O19" s="402"/>
      <c r="P19" s="402"/>
      <c r="S19" s="37"/>
      <c r="T19" s="398"/>
      <c r="U19" s="398"/>
    </row>
    <row r="20" spans="3:21" s="403" customFormat="1" ht="26.25" customHeight="1" thickBot="1">
      <c r="D20" s="390" t="s">
        <v>264</v>
      </c>
      <c r="F20" s="390"/>
      <c r="H20" s="404"/>
      <c r="T20" s="405"/>
      <c r="U20" s="405"/>
    </row>
    <row r="21" spans="3:21" s="52" customFormat="1" ht="36" customHeight="1" thickBot="1">
      <c r="D21" s="406" t="s">
        <v>222</v>
      </c>
      <c r="E21" s="419" t="s">
        <v>236</v>
      </c>
      <c r="F21" s="420" t="s">
        <v>237</v>
      </c>
      <c r="G21" s="419" t="s">
        <v>238</v>
      </c>
      <c r="H21" s="421"/>
      <c r="I21" s="419"/>
      <c r="J21" s="419"/>
      <c r="K21" s="419"/>
      <c r="L21" s="419"/>
      <c r="M21" s="419"/>
      <c r="N21" s="419"/>
      <c r="O21" s="419"/>
      <c r="P21" s="422"/>
      <c r="Q21" s="53"/>
      <c r="S21" s="53"/>
      <c r="T21" s="423"/>
      <c r="U21" s="423"/>
    </row>
    <row r="22" spans="3:21" s="37" customFormat="1" ht="23.1" customHeight="1">
      <c r="D22" s="407" t="s">
        <v>268</v>
      </c>
      <c r="E22" s="37">
        <v>1.5549999999999999</v>
      </c>
      <c r="F22" s="37">
        <v>1.6819999999999999</v>
      </c>
      <c r="G22" s="37">
        <v>1.534</v>
      </c>
      <c r="J22" s="43"/>
      <c r="K22" s="43"/>
      <c r="L22" s="43"/>
      <c r="M22" s="43"/>
      <c r="N22" s="43"/>
      <c r="O22" s="43"/>
      <c r="P22" s="408"/>
      <c r="T22" s="398"/>
      <c r="U22" s="398"/>
    </row>
    <row r="23" spans="3:21" s="37" customFormat="1" ht="23.1" customHeight="1">
      <c r="D23" s="407" t="s">
        <v>244</v>
      </c>
      <c r="E23" s="37">
        <v>3.3800000000000002E-3</v>
      </c>
      <c r="F23" s="37">
        <v>7.5599999999999999E-3</v>
      </c>
      <c r="G23" s="37">
        <v>7.0600000000000003E-3</v>
      </c>
      <c r="J23" s="43"/>
      <c r="K23" s="43"/>
      <c r="L23" s="43"/>
      <c r="M23" s="43"/>
      <c r="N23" s="43"/>
      <c r="O23" s="43"/>
      <c r="P23" s="408"/>
      <c r="T23" s="398"/>
      <c r="U23" s="398"/>
    </row>
    <row r="24" spans="3:21" s="37" customFormat="1" ht="23.1" customHeight="1">
      <c r="D24" s="407" t="s">
        <v>245</v>
      </c>
      <c r="E24" s="37">
        <v>3.2289999999999999E-4</v>
      </c>
      <c r="F24" s="37">
        <v>3.1720000000000001E-4</v>
      </c>
      <c r="G24" s="37">
        <v>3.2009999999999997E-4</v>
      </c>
      <c r="J24" s="43"/>
      <c r="K24" s="43"/>
      <c r="L24" s="43"/>
      <c r="M24" s="43"/>
      <c r="N24" s="43"/>
      <c r="O24" s="43"/>
      <c r="P24" s="408"/>
      <c r="T24" s="398"/>
      <c r="U24" s="398"/>
    </row>
    <row r="25" spans="3:21" s="37" customFormat="1" ht="23.1" customHeight="1">
      <c r="D25" s="407" t="s">
        <v>267</v>
      </c>
      <c r="E25" s="37">
        <v>0.58330000000000004</v>
      </c>
      <c r="F25" s="37">
        <v>0.58330000000000004</v>
      </c>
      <c r="G25" s="37">
        <v>0.58330000000000004</v>
      </c>
      <c r="J25" s="43"/>
      <c r="K25" s="43"/>
      <c r="L25" s="43"/>
      <c r="M25" s="43"/>
      <c r="N25" s="43"/>
      <c r="O25" s="43"/>
      <c r="P25" s="408"/>
      <c r="T25" s="398"/>
      <c r="U25" s="398"/>
    </row>
    <row r="26" spans="3:21" s="37" customFormat="1" ht="23.1" customHeight="1">
      <c r="D26" s="407" t="s">
        <v>266</v>
      </c>
      <c r="E26" s="37">
        <v>50.5</v>
      </c>
      <c r="F26" s="37">
        <v>46.800000000000004</v>
      </c>
      <c r="G26" s="37">
        <v>48.599999999999994</v>
      </c>
      <c r="J26" s="43"/>
      <c r="K26" s="43"/>
      <c r="L26" s="43"/>
      <c r="M26" s="43"/>
      <c r="N26" s="43"/>
      <c r="O26" s="43"/>
      <c r="P26" s="408"/>
      <c r="T26" s="398"/>
      <c r="U26" s="398"/>
    </row>
    <row r="27" spans="3:21" s="37" customFormat="1" ht="23.1" customHeight="1" thickBot="1">
      <c r="D27" s="409" t="s">
        <v>265</v>
      </c>
      <c r="E27" s="378">
        <v>485.7</v>
      </c>
      <c r="F27" s="378">
        <v>235.1</v>
      </c>
      <c r="G27" s="378">
        <v>236.2</v>
      </c>
      <c r="H27" s="378"/>
      <c r="I27" s="378"/>
      <c r="J27" s="410"/>
      <c r="K27" s="410"/>
      <c r="L27" s="410"/>
      <c r="M27" s="410"/>
      <c r="N27" s="410"/>
      <c r="O27" s="410"/>
      <c r="P27" s="411"/>
      <c r="T27" s="398"/>
      <c r="U27" s="398"/>
    </row>
    <row r="28" spans="3:21" ht="20.100000000000001" customHeight="1">
      <c r="D28" s="44"/>
      <c r="E28" s="44"/>
      <c r="F28" s="402"/>
      <c r="G28" s="44"/>
      <c r="H28" s="401"/>
      <c r="T28" s="412"/>
      <c r="U28" s="412"/>
    </row>
    <row r="29" spans="3:21" ht="20.100000000000001" customHeight="1">
      <c r="D29" s="37"/>
      <c r="E29" s="37"/>
      <c r="F29" s="37"/>
      <c r="G29" s="37"/>
      <c r="H29" s="37"/>
      <c r="I29" s="37"/>
      <c r="J29" s="398"/>
      <c r="K29" s="37"/>
      <c r="L29" s="37"/>
      <c r="M29" s="37"/>
      <c r="N29" s="37"/>
      <c r="O29" s="37"/>
      <c r="P29" s="37"/>
      <c r="Q29" s="37"/>
      <c r="T29" s="412"/>
      <c r="U29" s="412"/>
    </row>
    <row r="30" spans="3:21" ht="32.25" customHeight="1" thickBot="1">
      <c r="D30" s="37"/>
      <c r="E30" s="37"/>
      <c r="F30" s="37"/>
      <c r="G30" s="37"/>
      <c r="H30" s="37"/>
      <c r="I30" s="390"/>
      <c r="J30" s="398"/>
      <c r="K30" s="37"/>
      <c r="L30" s="37"/>
      <c r="M30" s="37"/>
      <c r="N30" s="37"/>
      <c r="O30" s="37"/>
      <c r="P30" s="37"/>
      <c r="Q30" s="37"/>
    </row>
    <row r="31" spans="3:21" s="37" customFormat="1" ht="39.75" customHeight="1" thickBot="1">
      <c r="C31" s="413" t="s">
        <v>222</v>
      </c>
      <c r="D31" s="414" t="s">
        <v>249</v>
      </c>
      <c r="E31" s="414"/>
      <c r="F31" s="415"/>
      <c r="H31" s="414" t="s">
        <v>274</v>
      </c>
      <c r="I31" s="414" t="s">
        <v>275</v>
      </c>
      <c r="J31" s="416" t="s">
        <v>276</v>
      </c>
      <c r="K31" s="414" t="s">
        <v>277</v>
      </c>
      <c r="L31" s="414" t="s">
        <v>278</v>
      </c>
      <c r="M31" s="415" t="s">
        <v>279</v>
      </c>
    </row>
    <row r="32" spans="3:21" ht="20.100000000000001" customHeight="1">
      <c r="C32" s="498" t="s">
        <v>236</v>
      </c>
      <c r="D32" s="388" t="s">
        <v>288</v>
      </c>
      <c r="E32" s="388">
        <v>1.732</v>
      </c>
      <c r="F32" s="417">
        <v>3.2289999999999999E-4</v>
      </c>
      <c r="G32" s="37"/>
      <c r="H32" s="395" t="s">
        <v>236</v>
      </c>
      <c r="I32" s="395">
        <v>43</v>
      </c>
      <c r="J32" s="418">
        <v>52.7</v>
      </c>
      <c r="K32" s="395">
        <v>81.7</v>
      </c>
      <c r="L32" s="395">
        <v>59.1</v>
      </c>
      <c r="M32" s="376">
        <v>81.7</v>
      </c>
      <c r="N32" s="37"/>
      <c r="O32" s="37"/>
      <c r="P32" s="37"/>
      <c r="Q32" s="37"/>
    </row>
    <row r="33" spans="3:17" ht="20.100000000000001" customHeight="1">
      <c r="C33" s="500"/>
      <c r="D33" s="395" t="s">
        <v>289</v>
      </c>
      <c r="E33" s="395">
        <v>1.5549999999999999</v>
      </c>
      <c r="F33" s="376"/>
      <c r="G33" s="37"/>
      <c r="H33" s="395" t="s">
        <v>237</v>
      </c>
      <c r="I33" s="395">
        <v>62.5</v>
      </c>
      <c r="J33" s="418">
        <v>76.5</v>
      </c>
      <c r="K33" s="395">
        <v>85.8</v>
      </c>
      <c r="L33" s="395">
        <v>74.900000000000006</v>
      </c>
      <c r="M33" s="376">
        <v>85.8</v>
      </c>
      <c r="N33" s="37"/>
      <c r="O33" s="37"/>
      <c r="P33" s="37"/>
      <c r="Q33" s="37"/>
    </row>
    <row r="34" spans="3:17" ht="20.100000000000001" customHeight="1" thickBot="1">
      <c r="C34" s="499"/>
      <c r="D34" s="389" t="s">
        <v>290</v>
      </c>
      <c r="E34" s="389">
        <v>1.6435</v>
      </c>
      <c r="F34" s="381">
        <v>3.2289999999999999E-4</v>
      </c>
      <c r="G34" s="37"/>
      <c r="H34" s="395" t="s">
        <v>238</v>
      </c>
      <c r="I34" s="395">
        <v>61.2</v>
      </c>
      <c r="J34" s="418">
        <v>75</v>
      </c>
      <c r="K34" s="395">
        <v>82.7</v>
      </c>
      <c r="L34" s="395">
        <v>73</v>
      </c>
      <c r="M34" s="376">
        <v>82.7</v>
      </c>
      <c r="N34" s="37"/>
      <c r="O34" s="37"/>
      <c r="P34" s="37"/>
      <c r="Q34" s="37"/>
    </row>
    <row r="35" spans="3:17" ht="20.100000000000001" customHeight="1">
      <c r="C35" s="498" t="s">
        <v>237</v>
      </c>
      <c r="D35" s="388" t="s">
        <v>288</v>
      </c>
      <c r="E35" s="388">
        <v>1.877</v>
      </c>
      <c r="F35" s="417">
        <v>3.1720000000000001E-4</v>
      </c>
      <c r="G35" s="37"/>
      <c r="H35" s="395"/>
      <c r="I35" s="395"/>
      <c r="J35" s="418"/>
      <c r="K35" s="395"/>
      <c r="L35" s="395"/>
      <c r="M35" s="376"/>
      <c r="N35" s="37"/>
      <c r="O35" s="37"/>
      <c r="P35" s="37"/>
      <c r="Q35" s="37"/>
    </row>
    <row r="36" spans="3:17" ht="20.100000000000001" customHeight="1">
      <c r="C36" s="500"/>
      <c r="D36" s="395" t="s">
        <v>289</v>
      </c>
      <c r="E36" s="395">
        <v>1.6819999999999999</v>
      </c>
      <c r="F36" s="376"/>
      <c r="G36" s="37"/>
      <c r="H36" s="395"/>
      <c r="I36" s="395"/>
      <c r="J36" s="395"/>
      <c r="K36" s="395"/>
      <c r="L36" s="395"/>
      <c r="M36" s="376"/>
      <c r="N36" s="37"/>
      <c r="O36" s="37"/>
      <c r="P36" s="37"/>
      <c r="Q36" s="37"/>
    </row>
    <row r="37" spans="3:17" ht="20.100000000000001" customHeight="1" thickBot="1">
      <c r="C37" s="499"/>
      <c r="D37" s="389" t="s">
        <v>290</v>
      </c>
      <c r="E37" s="389">
        <v>1.7795000000000001</v>
      </c>
      <c r="F37" s="381">
        <v>3.1720000000000001E-4</v>
      </c>
      <c r="G37" s="37"/>
      <c r="H37" s="395"/>
      <c r="I37" s="395"/>
      <c r="J37" s="395"/>
      <c r="K37" s="395"/>
      <c r="L37" s="395"/>
      <c r="M37" s="376"/>
      <c r="N37" s="37"/>
      <c r="O37" s="37"/>
      <c r="P37" s="37"/>
      <c r="Q37" s="37"/>
    </row>
    <row r="38" spans="3:17" ht="20.100000000000001" customHeight="1">
      <c r="C38" s="498" t="s">
        <v>238</v>
      </c>
      <c r="D38" s="388" t="s">
        <v>288</v>
      </c>
      <c r="E38" s="388">
        <v>1.8029999999999999</v>
      </c>
      <c r="F38" s="417">
        <v>3.2009999999999997E-4</v>
      </c>
      <c r="G38" s="37"/>
      <c r="H38" s="395"/>
      <c r="I38" s="395"/>
      <c r="J38" s="395"/>
      <c r="K38" s="395"/>
      <c r="L38" s="395"/>
      <c r="M38" s="376"/>
      <c r="N38" s="37"/>
      <c r="O38" s="37"/>
      <c r="P38" s="37"/>
      <c r="Q38" s="37"/>
    </row>
    <row r="39" spans="3:17" ht="20.100000000000001" customHeight="1">
      <c r="C39" s="500"/>
      <c r="D39" s="395" t="s">
        <v>289</v>
      </c>
      <c r="E39" s="395">
        <v>1.534</v>
      </c>
      <c r="F39" s="376"/>
      <c r="G39" s="37"/>
      <c r="H39" s="395"/>
      <c r="I39" s="395"/>
      <c r="J39" s="395"/>
      <c r="K39" s="395"/>
      <c r="L39" s="395"/>
      <c r="M39" s="376"/>
      <c r="N39" s="37"/>
      <c r="O39" s="37"/>
      <c r="P39" s="37"/>
      <c r="Q39" s="37"/>
    </row>
    <row r="40" spans="3:17" ht="20.100000000000001" customHeight="1" thickBot="1">
      <c r="C40" s="499"/>
      <c r="D40" s="389" t="s">
        <v>290</v>
      </c>
      <c r="E40" s="389">
        <v>1.6684999999999999</v>
      </c>
      <c r="F40" s="381">
        <v>3.2009999999999997E-4</v>
      </c>
      <c r="G40" s="37"/>
      <c r="H40" s="395"/>
      <c r="I40" s="395"/>
      <c r="J40" s="395"/>
      <c r="K40" s="395"/>
      <c r="L40" s="395"/>
      <c r="M40" s="376"/>
      <c r="N40" s="37"/>
      <c r="O40" s="37"/>
      <c r="P40" s="37"/>
      <c r="Q40" s="37"/>
    </row>
    <row r="41" spans="3:17" ht="20.100000000000001" customHeight="1">
      <c r="C41" s="500"/>
      <c r="D41" s="395"/>
      <c r="E41" s="388"/>
      <c r="F41" s="417"/>
      <c r="G41" s="37"/>
      <c r="H41" s="395"/>
      <c r="I41" s="395"/>
      <c r="J41" s="395"/>
      <c r="K41" s="395"/>
      <c r="L41" s="395"/>
      <c r="M41" s="376"/>
      <c r="N41" s="37"/>
      <c r="O41" s="37"/>
      <c r="P41" s="37"/>
      <c r="Q41" s="37"/>
    </row>
    <row r="42" spans="3:17" ht="20.100000000000001" customHeight="1">
      <c r="C42" s="500"/>
      <c r="D42" s="395"/>
      <c r="E42" s="395"/>
      <c r="F42" s="376"/>
      <c r="G42" s="37"/>
      <c r="H42" s="395"/>
      <c r="I42" s="395"/>
      <c r="J42" s="395"/>
      <c r="K42" s="395"/>
      <c r="L42" s="395"/>
      <c r="M42" s="376"/>
      <c r="N42" s="37"/>
      <c r="O42" s="37"/>
      <c r="P42" s="37"/>
      <c r="Q42" s="37"/>
    </row>
    <row r="43" spans="3:17" ht="20.100000000000001" customHeight="1" thickBot="1">
      <c r="C43" s="499"/>
      <c r="D43" s="389"/>
      <c r="E43" s="389"/>
      <c r="F43" s="381"/>
      <c r="G43" s="37"/>
      <c r="H43" s="395"/>
      <c r="I43" s="395"/>
      <c r="J43" s="395"/>
      <c r="K43" s="395"/>
      <c r="L43" s="395"/>
      <c r="M43" s="376"/>
      <c r="N43" s="37"/>
      <c r="O43" s="37"/>
      <c r="P43" s="37"/>
      <c r="Q43" s="37"/>
    </row>
    <row r="44" spans="3:17" ht="20.100000000000001" customHeight="1">
      <c r="C44" s="498"/>
      <c r="D44" s="388"/>
      <c r="E44" s="388"/>
      <c r="F44" s="417"/>
      <c r="G44" s="37"/>
      <c r="H44" s="395"/>
      <c r="I44" s="395"/>
      <c r="J44" s="395"/>
      <c r="K44" s="395"/>
      <c r="L44" s="395"/>
      <c r="M44" s="376"/>
      <c r="N44" s="37"/>
      <c r="O44" s="37"/>
      <c r="P44" s="37"/>
      <c r="Q44" s="37"/>
    </row>
    <row r="45" spans="3:17" ht="20.100000000000001" customHeight="1" thickBot="1">
      <c r="C45" s="500"/>
      <c r="D45" s="395"/>
      <c r="E45" s="395"/>
      <c r="F45" s="376"/>
      <c r="G45" s="37"/>
      <c r="H45" s="389"/>
      <c r="I45" s="389"/>
      <c r="J45" s="389"/>
      <c r="K45" s="389"/>
      <c r="L45" s="389"/>
      <c r="M45" s="381"/>
      <c r="N45" s="37"/>
      <c r="O45" s="37"/>
      <c r="P45" s="37"/>
      <c r="Q45" s="37"/>
    </row>
    <row r="46" spans="3:17" ht="20.100000000000001" customHeight="1" thickBot="1">
      <c r="C46" s="499"/>
      <c r="D46" s="389"/>
      <c r="E46" s="389"/>
      <c r="F46" s="381"/>
      <c r="G46" s="37"/>
      <c r="H46" s="37"/>
      <c r="I46" s="37"/>
      <c r="J46" s="37"/>
      <c r="K46" s="37"/>
      <c r="L46" s="37"/>
      <c r="M46" s="37"/>
      <c r="N46" s="37"/>
      <c r="O46" s="37"/>
      <c r="P46" s="37"/>
      <c r="Q46" s="37"/>
    </row>
    <row r="47" spans="3:17" ht="20.100000000000001" customHeight="1">
      <c r="C47" s="498"/>
      <c r="D47" s="388"/>
      <c r="E47" s="388"/>
      <c r="F47" s="417"/>
    </row>
    <row r="48" spans="3:17" ht="20.100000000000001" customHeight="1">
      <c r="C48" s="500"/>
      <c r="D48" s="395"/>
      <c r="E48" s="395"/>
      <c r="F48" s="376"/>
    </row>
    <row r="49" spans="3:6" ht="20.100000000000001" customHeight="1" thickBot="1">
      <c r="C49" s="499"/>
      <c r="D49" s="389"/>
      <c r="E49" s="389"/>
      <c r="F49" s="381"/>
    </row>
    <row r="50" spans="3:6" ht="20.100000000000001" customHeight="1">
      <c r="C50" s="498"/>
      <c r="D50" s="388"/>
      <c r="E50" s="388"/>
      <c r="F50" s="417"/>
    </row>
    <row r="51" spans="3:6" ht="20.100000000000001" customHeight="1">
      <c r="C51" s="500"/>
      <c r="D51" s="395"/>
      <c r="E51" s="395"/>
      <c r="F51" s="376"/>
    </row>
    <row r="52" spans="3:6" ht="20.100000000000001" customHeight="1" thickBot="1">
      <c r="C52" s="499"/>
      <c r="D52" s="389"/>
      <c r="E52" s="389"/>
      <c r="F52" s="381"/>
    </row>
    <row r="53" spans="3:6" ht="20.100000000000001" customHeight="1">
      <c r="C53" s="498"/>
      <c r="D53" s="388"/>
      <c r="E53" s="388"/>
      <c r="F53" s="417"/>
    </row>
    <row r="54" spans="3:6" ht="20.100000000000001" customHeight="1">
      <c r="C54" s="500"/>
      <c r="D54" s="395"/>
      <c r="E54" s="395"/>
      <c r="F54" s="376"/>
    </row>
    <row r="55" spans="3:6" ht="20.100000000000001" customHeight="1" thickBot="1">
      <c r="C55" s="499"/>
      <c r="D55" s="389"/>
      <c r="E55" s="389"/>
      <c r="F55" s="381"/>
    </row>
    <row r="56" spans="3:6" ht="20.100000000000001" customHeight="1">
      <c r="C56" s="498"/>
      <c r="D56" s="388"/>
      <c r="E56" s="388"/>
      <c r="F56" s="417"/>
    </row>
    <row r="57" spans="3:6" ht="20.100000000000001" customHeight="1">
      <c r="C57" s="500"/>
      <c r="D57" s="395"/>
      <c r="E57" s="395"/>
      <c r="F57" s="376"/>
    </row>
    <row r="58" spans="3:6" ht="20.100000000000001" customHeight="1" thickBot="1">
      <c r="C58" s="499"/>
      <c r="D58" s="389"/>
      <c r="E58" s="389"/>
      <c r="F58" s="381"/>
    </row>
    <row r="59" spans="3:6" ht="20.100000000000001" customHeight="1">
      <c r="C59" s="498"/>
      <c r="D59" s="388"/>
      <c r="E59" s="388"/>
      <c r="F59" s="417"/>
    </row>
    <row r="60" spans="3:6" ht="20.100000000000001" customHeight="1">
      <c r="C60" s="500"/>
      <c r="D60" s="395"/>
      <c r="E60" s="395"/>
      <c r="F60" s="376"/>
    </row>
    <row r="61" spans="3:6" ht="20.100000000000001" customHeight="1" thickBot="1">
      <c r="C61" s="499"/>
      <c r="D61" s="389"/>
      <c r="E61" s="389"/>
      <c r="F61" s="381"/>
    </row>
    <row r="62" spans="3:6" ht="20.100000000000001" customHeight="1">
      <c r="C62" s="498"/>
      <c r="D62" s="388"/>
      <c r="E62" s="388"/>
      <c r="F62" s="417"/>
    </row>
    <row r="63" spans="3:6" ht="20.100000000000001" customHeight="1">
      <c r="C63" s="500"/>
      <c r="D63" s="395"/>
      <c r="E63" s="395"/>
      <c r="F63" s="376"/>
    </row>
    <row r="64" spans="3:6" ht="20.100000000000001" customHeight="1" thickBot="1">
      <c r="C64" s="499"/>
      <c r="D64" s="389"/>
      <c r="E64" s="389"/>
      <c r="F64" s="381"/>
    </row>
    <row r="65" spans="3:6" ht="20.100000000000001" customHeight="1">
      <c r="C65" s="498"/>
      <c r="D65" s="388"/>
      <c r="E65" s="395"/>
      <c r="F65" s="376"/>
    </row>
    <row r="66" spans="3:6" ht="20.100000000000001" customHeight="1">
      <c r="C66" s="500"/>
      <c r="D66" s="395"/>
      <c r="E66" s="395"/>
      <c r="F66" s="376"/>
    </row>
    <row r="67" spans="3:6" ht="20.100000000000001" customHeight="1" thickBot="1">
      <c r="C67" s="499"/>
      <c r="D67" s="389"/>
      <c r="E67" s="389"/>
      <c r="F67" s="381"/>
    </row>
  </sheetData>
  <mergeCells count="12">
    <mergeCell ref="C65:C67"/>
    <mergeCell ref="C32:C34"/>
    <mergeCell ref="C35:C37"/>
    <mergeCell ref="C38:C40"/>
    <mergeCell ref="C41:C43"/>
    <mergeCell ref="C44:C46"/>
    <mergeCell ref="C47:C49"/>
    <mergeCell ref="C50:C52"/>
    <mergeCell ref="C53:C55"/>
    <mergeCell ref="C56:C58"/>
    <mergeCell ref="C59:C61"/>
    <mergeCell ref="C62:C64"/>
  </mergeCells>
  <phoneticPr fontId="7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05826" r:id="rId3" name="CommandButton2">
          <controlPr defaultSize="0" autoLine="0" r:id="rId4">
            <anchor moveWithCells="1">
              <from>
                <xdr:col>0</xdr:col>
                <xdr:colOff>133350</xdr:colOff>
                <xdr:row>2</xdr:row>
                <xdr:rowOff>28575</xdr:rowOff>
              </from>
              <to>
                <xdr:col>2</xdr:col>
                <xdr:colOff>352425</xdr:colOff>
                <xdr:row>3</xdr:row>
                <xdr:rowOff>171450</xdr:rowOff>
              </to>
            </anchor>
          </controlPr>
        </control>
      </mc:Choice>
      <mc:Fallback>
        <control shapeId="205826" r:id="rId3" name="CommandButton2"/>
      </mc:Fallback>
    </mc:AlternateContent>
    <mc:AlternateContent xmlns:mc="http://schemas.openxmlformats.org/markup-compatibility/2006">
      <mc:Choice Requires="x14">
        <control shapeId="205825" r:id="rId5" name="CommandButton1">
          <controlPr defaultSize="0" autoLine="0" r:id="rId6">
            <anchor moveWithCells="1">
              <from>
                <xdr:col>0</xdr:col>
                <xdr:colOff>123825</xdr:colOff>
                <xdr:row>1</xdr:row>
                <xdr:rowOff>38100</xdr:rowOff>
              </from>
              <to>
                <xdr:col>2</xdr:col>
                <xdr:colOff>342900</xdr:colOff>
                <xdr:row>1</xdr:row>
                <xdr:rowOff>428625</xdr:rowOff>
              </to>
            </anchor>
          </controlPr>
        </control>
      </mc:Choice>
      <mc:Fallback>
        <control shapeId="205825" r:id="rId5" name="CommandButton1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A9D837-4641-4986-AD09-567D493718E3}">
  <sheetPr codeName="Sheet_AggWhpa"/>
  <dimension ref="C2:O17"/>
  <sheetViews>
    <sheetView workbookViewId="0">
      <selection activeCell="E20" sqref="E20"/>
    </sheetView>
  </sheetViews>
  <sheetFormatPr defaultRowHeight="20.100000000000001" customHeight="1"/>
  <cols>
    <col min="1" max="2" width="8.88671875" style="37"/>
    <col min="3" max="15" width="12.21875" style="37" customWidth="1"/>
    <col min="16" max="16384" width="8.88671875" style="37"/>
  </cols>
  <sheetData>
    <row r="2" spans="3:15" s="38" customFormat="1" ht="32.25" customHeight="1" thickBot="1">
      <c r="C2" s="424" t="s">
        <v>263</v>
      </c>
    </row>
    <row r="3" spans="3:15" s="53" customFormat="1" ht="20.100000000000001" customHeight="1" thickBot="1">
      <c r="C3" s="414" t="s">
        <v>222</v>
      </c>
      <c r="D3" s="414" t="s">
        <v>253</v>
      </c>
      <c r="E3" s="425" t="s">
        <v>219</v>
      </c>
      <c r="F3" s="414" t="s">
        <v>254</v>
      </c>
      <c r="G3" s="415" t="s">
        <v>258</v>
      </c>
      <c r="H3" s="415" t="s">
        <v>260</v>
      </c>
      <c r="I3" s="415" t="s">
        <v>225</v>
      </c>
      <c r="J3" s="415" t="s">
        <v>261</v>
      </c>
      <c r="K3" s="414" t="s">
        <v>121</v>
      </c>
      <c r="L3" s="415" t="s">
        <v>259</v>
      </c>
      <c r="M3" s="414" t="s">
        <v>255</v>
      </c>
      <c r="N3" s="414" t="s">
        <v>256</v>
      </c>
      <c r="O3" s="415" t="s">
        <v>257</v>
      </c>
    </row>
    <row r="4" spans="3:15" ht="20.100000000000001" customHeight="1">
      <c r="C4" s="395" t="s">
        <v>236</v>
      </c>
      <c r="D4" s="494" t="s">
        <v>291</v>
      </c>
      <c r="E4" s="37">
        <v>143</v>
      </c>
      <c r="F4" s="395">
        <v>1.6435</v>
      </c>
      <c r="G4" s="494">
        <v>1.6972</v>
      </c>
      <c r="H4" s="494">
        <v>0.03</v>
      </c>
      <c r="I4" s="376">
        <v>485.7</v>
      </c>
      <c r="J4" s="494">
        <v>319</v>
      </c>
      <c r="K4" s="395">
        <v>34</v>
      </c>
      <c r="L4" s="494">
        <v>34</v>
      </c>
      <c r="M4" s="395">
        <v>2.2243346007604567E-2</v>
      </c>
      <c r="N4" s="501">
        <v>2.2200000000000001E-2</v>
      </c>
      <c r="O4" s="494" t="s">
        <v>262</v>
      </c>
    </row>
    <row r="5" spans="3:15" ht="20.100000000000001" customHeight="1">
      <c r="C5" s="395" t="s">
        <v>237</v>
      </c>
      <c r="D5" s="503"/>
      <c r="E5" s="37">
        <v>130</v>
      </c>
      <c r="F5" s="395">
        <v>1.7795000000000001</v>
      </c>
      <c r="G5" s="503"/>
      <c r="H5" s="503"/>
      <c r="I5" s="376">
        <v>235.1</v>
      </c>
      <c r="J5" s="503"/>
      <c r="K5" s="395">
        <v>34</v>
      </c>
      <c r="L5" s="503"/>
      <c r="M5" s="395">
        <v>2.1102661596958179E-2</v>
      </c>
      <c r="N5" s="502"/>
      <c r="O5" s="503"/>
    </row>
    <row r="6" spans="3:15" ht="20.100000000000001" customHeight="1">
      <c r="C6" s="395" t="s">
        <v>238</v>
      </c>
      <c r="D6" s="503"/>
      <c r="E6" s="37">
        <v>130</v>
      </c>
      <c r="F6" s="395">
        <v>1.6684999999999999</v>
      </c>
      <c r="G6" s="503"/>
      <c r="H6" s="503"/>
      <c r="I6" s="376">
        <v>236.2</v>
      </c>
      <c r="J6" s="503"/>
      <c r="K6" s="395">
        <v>34</v>
      </c>
      <c r="L6" s="503"/>
      <c r="M6" s="395">
        <v>2.3193916349809891E-2</v>
      </c>
      <c r="N6" s="502"/>
      <c r="O6" s="503"/>
    </row>
    <row r="7" spans="3:15" ht="20.100000000000001" customHeight="1">
      <c r="C7" s="395"/>
      <c r="D7" s="447"/>
      <c r="F7" s="395"/>
      <c r="G7" s="447"/>
      <c r="H7" s="447"/>
      <c r="I7" s="376"/>
      <c r="J7" s="447"/>
      <c r="K7" s="395"/>
      <c r="L7" s="447"/>
      <c r="M7" s="395"/>
      <c r="N7" s="448"/>
      <c r="O7" s="447"/>
    </row>
    <row r="8" spans="3:15" ht="20.100000000000001" customHeight="1">
      <c r="C8" s="395"/>
      <c r="D8" s="447"/>
      <c r="F8" s="395"/>
      <c r="G8" s="447"/>
      <c r="H8" s="447"/>
      <c r="I8" s="376"/>
      <c r="J8" s="447"/>
      <c r="K8" s="395"/>
      <c r="L8" s="447"/>
      <c r="M8" s="395"/>
      <c r="N8" s="448"/>
      <c r="O8" s="447"/>
    </row>
    <row r="9" spans="3:15" ht="20.100000000000001" customHeight="1">
      <c r="C9" s="395"/>
      <c r="D9" s="447"/>
      <c r="F9" s="395"/>
      <c r="G9" s="450"/>
      <c r="H9" s="447"/>
      <c r="I9" s="376"/>
      <c r="J9" s="447"/>
      <c r="K9" s="395"/>
      <c r="L9" s="450"/>
      <c r="M9" s="395"/>
      <c r="N9" s="447"/>
      <c r="O9" s="447"/>
    </row>
    <row r="10" spans="3:15" ht="20.100000000000001" customHeight="1">
      <c r="C10" s="395"/>
      <c r="D10" s="447"/>
      <c r="F10" s="395"/>
      <c r="G10" s="450"/>
      <c r="H10" s="447"/>
      <c r="I10" s="376"/>
      <c r="J10" s="447"/>
      <c r="K10" s="395"/>
      <c r="L10" s="450"/>
      <c r="M10" s="395"/>
      <c r="N10" s="447"/>
      <c r="O10" s="447"/>
    </row>
    <row r="11" spans="3:15" ht="20.100000000000001" customHeight="1">
      <c r="C11" s="395"/>
      <c r="D11" s="447"/>
      <c r="F11" s="395"/>
      <c r="G11" s="450"/>
      <c r="H11" s="447"/>
      <c r="I11" s="376"/>
      <c r="J11" s="447"/>
      <c r="K11" s="395"/>
      <c r="L11" s="450"/>
      <c r="M11" s="395"/>
      <c r="N11" s="447"/>
      <c r="O11" s="447"/>
    </row>
    <row r="12" spans="3:15" ht="20.100000000000001" customHeight="1">
      <c r="C12" s="395"/>
      <c r="D12" s="447"/>
      <c r="F12" s="395"/>
      <c r="G12" s="450"/>
      <c r="H12" s="447"/>
      <c r="I12" s="376"/>
      <c r="J12" s="447"/>
      <c r="K12" s="395"/>
      <c r="L12" s="450"/>
      <c r="M12" s="395"/>
      <c r="N12" s="447"/>
      <c r="O12" s="447"/>
    </row>
    <row r="13" spans="3:15" ht="20.100000000000001" customHeight="1">
      <c r="C13" s="395"/>
      <c r="D13" s="447"/>
      <c r="F13" s="395"/>
      <c r="G13" s="450"/>
      <c r="H13" s="447"/>
      <c r="I13" s="376"/>
      <c r="J13" s="447"/>
      <c r="K13" s="395"/>
      <c r="L13" s="450"/>
      <c r="M13" s="395"/>
      <c r="N13" s="447"/>
      <c r="O13" s="447"/>
    </row>
    <row r="14" spans="3:15" ht="20.100000000000001" customHeight="1">
      <c r="C14" s="395"/>
      <c r="D14" s="447"/>
      <c r="F14" s="395"/>
      <c r="G14" s="450"/>
      <c r="H14" s="447"/>
      <c r="I14" s="376"/>
      <c r="J14" s="447"/>
      <c r="K14" s="395"/>
      <c r="L14" s="450"/>
      <c r="M14" s="395"/>
      <c r="N14" s="447"/>
      <c r="O14" s="447"/>
    </row>
    <row r="15" spans="3:15" ht="20.100000000000001" customHeight="1">
      <c r="C15" s="395"/>
      <c r="D15" s="447"/>
      <c r="F15" s="395"/>
      <c r="G15" s="450"/>
      <c r="H15" s="447"/>
      <c r="I15" s="376"/>
      <c r="J15" s="447"/>
      <c r="K15" s="395"/>
      <c r="L15" s="450"/>
      <c r="M15" s="395"/>
      <c r="N15" s="447"/>
      <c r="O15" s="447"/>
    </row>
    <row r="16" spans="3:15" ht="20.100000000000001" customHeight="1">
      <c r="C16" s="395"/>
      <c r="D16" s="447"/>
      <c r="F16" s="395"/>
      <c r="G16" s="450"/>
      <c r="H16" s="447"/>
      <c r="I16" s="376"/>
      <c r="J16" s="447"/>
      <c r="K16" s="395"/>
      <c r="L16" s="450"/>
      <c r="M16" s="395"/>
      <c r="N16" s="447"/>
      <c r="O16" s="447"/>
    </row>
    <row r="17" spans="3:15" ht="20.100000000000001" customHeight="1" thickBot="1">
      <c r="C17" s="389"/>
      <c r="D17" s="449"/>
      <c r="E17" s="378"/>
      <c r="F17" s="389"/>
      <c r="G17" s="451"/>
      <c r="H17" s="449"/>
      <c r="I17" s="381"/>
      <c r="J17" s="449"/>
      <c r="K17" s="389"/>
      <c r="L17" s="451"/>
      <c r="M17" s="389"/>
      <c r="N17" s="449"/>
      <c r="O17" s="449"/>
    </row>
  </sheetData>
  <mergeCells count="7">
    <mergeCell ref="N4:N6"/>
    <mergeCell ref="O4:O6"/>
    <mergeCell ref="D4:D6"/>
    <mergeCell ref="G4:G6"/>
    <mergeCell ref="H4:H6"/>
    <mergeCell ref="J4:J6"/>
    <mergeCell ref="L4:L6"/>
  </mergeCells>
  <phoneticPr fontId="7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53955" r:id="rId3" name="CommandButton2">
          <controlPr defaultSize="0" autoLine="0" r:id="rId4">
            <anchor moveWithCells="1">
              <from>
                <xdr:col>0</xdr:col>
                <xdr:colOff>200025</xdr:colOff>
                <xdr:row>3</xdr:row>
                <xdr:rowOff>142875</xdr:rowOff>
              </from>
              <to>
                <xdr:col>1</xdr:col>
                <xdr:colOff>619125</xdr:colOff>
                <xdr:row>4</xdr:row>
                <xdr:rowOff>209550</xdr:rowOff>
              </to>
            </anchor>
          </controlPr>
        </control>
      </mc:Choice>
      <mc:Fallback>
        <control shapeId="253955" r:id="rId3" name="CommandButton2"/>
      </mc:Fallback>
    </mc:AlternateContent>
    <mc:AlternateContent xmlns:mc="http://schemas.openxmlformats.org/markup-compatibility/2006">
      <mc:Choice Requires="x14">
        <control shapeId="253954" r:id="rId5" name="CommandButton1">
          <controlPr defaultSize="0" autoLine="0" r:id="rId6">
            <anchor moveWithCells="1">
              <from>
                <xdr:col>0</xdr:col>
                <xdr:colOff>190500</xdr:colOff>
                <xdr:row>2</xdr:row>
                <xdr:rowOff>28575</xdr:rowOff>
              </from>
              <to>
                <xdr:col>1</xdr:col>
                <xdr:colOff>609600</xdr:colOff>
                <xdr:row>3</xdr:row>
                <xdr:rowOff>95250</xdr:rowOff>
              </to>
            </anchor>
          </controlPr>
        </control>
      </mc:Choice>
      <mc:Fallback>
        <control shapeId="253954" r:id="rId5" name="CommandButton1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A4F15F-AF41-4AB0-9CB3-34026ABF86C3}">
  <sheetPr codeName="Sheet_AggSum">
    <tabColor rgb="FF00B050"/>
  </sheetPr>
  <dimension ref="D2:P55"/>
  <sheetViews>
    <sheetView workbookViewId="0">
      <selection activeCell="C14" sqref="C14"/>
    </sheetView>
  </sheetViews>
  <sheetFormatPr defaultRowHeight="20.100000000000001" customHeight="1"/>
  <cols>
    <col min="4" max="17" width="12.33203125" customWidth="1"/>
  </cols>
  <sheetData>
    <row r="2" spans="4:11" s="454" customFormat="1" ht="27.75" customHeight="1" thickBot="1">
      <c r="D2" s="390" t="s">
        <v>293</v>
      </c>
    </row>
    <row r="3" spans="4:11" s="53" customFormat="1" ht="42.75" customHeight="1">
      <c r="D3" s="459" t="s">
        <v>301</v>
      </c>
      <c r="E3" s="460" t="s">
        <v>299</v>
      </c>
      <c r="F3" s="460" t="s">
        <v>298</v>
      </c>
      <c r="G3" s="460" t="s">
        <v>302</v>
      </c>
      <c r="H3" s="460" t="s">
        <v>303</v>
      </c>
      <c r="I3" s="460" t="s">
        <v>304</v>
      </c>
      <c r="J3" s="460" t="s">
        <v>305</v>
      </c>
      <c r="K3" s="461" t="s">
        <v>306</v>
      </c>
    </row>
    <row r="4" spans="4:11" s="458" customFormat="1" ht="33.75" customHeight="1" thickBot="1">
      <c r="D4" s="462">
        <f>Well!$P$4</f>
        <v>3059068</v>
      </c>
      <c r="E4" s="463">
        <f>max</f>
        <v>1198.3</v>
      </c>
      <c r="F4" s="463">
        <f>'1'!$F$19</f>
        <v>1345.7569279715069</v>
      </c>
      <c r="G4" s="464">
        <f>'1'!$G$13</f>
        <v>0.65</v>
      </c>
      <c r="H4" s="463">
        <f>'1'!$G$19</f>
        <v>874.7420031814795</v>
      </c>
      <c r="I4" s="465">
        <f>'1'!$F$21</f>
        <v>172.8</v>
      </c>
      <c r="J4" s="463">
        <f>SumWater</f>
        <v>430</v>
      </c>
      <c r="K4" s="466">
        <f>'1'!$G$21</f>
        <v>271.94200318147949</v>
      </c>
    </row>
    <row r="6" spans="4:11" ht="20.100000000000001" customHeight="1" thickBot="1"/>
    <row r="7" spans="4:11" ht="52.5" customHeight="1">
      <c r="D7" s="459" t="s">
        <v>301</v>
      </c>
      <c r="E7" s="460" t="s">
        <v>299</v>
      </c>
      <c r="F7" s="460" t="s">
        <v>298</v>
      </c>
      <c r="G7" s="460" t="s">
        <v>302</v>
      </c>
      <c r="H7" s="460" t="s">
        <v>303</v>
      </c>
      <c r="I7" s="460" t="s">
        <v>304</v>
      </c>
      <c r="J7" s="460" t="s">
        <v>320</v>
      </c>
      <c r="K7" s="461" t="s">
        <v>305</v>
      </c>
    </row>
    <row r="8" spans="4:11" ht="31.5" customHeight="1" thickBot="1">
      <c r="D8" s="462">
        <f>Well!$P$4</f>
        <v>3059068</v>
      </c>
      <c r="E8" s="463">
        <f>max</f>
        <v>1198.3</v>
      </c>
      <c r="F8" s="463">
        <f>'1'!$F$19</f>
        <v>1345.7569279715069</v>
      </c>
      <c r="G8" s="464">
        <f>'1'!$G$13</f>
        <v>0.65</v>
      </c>
      <c r="H8" s="463">
        <f>'1'!$G$19</f>
        <v>874.7420031814795</v>
      </c>
      <c r="I8" s="465">
        <f>'1'!$F$21</f>
        <v>172.8</v>
      </c>
      <c r="J8" s="463">
        <f>'1'!H19</f>
        <v>701.94200318147955</v>
      </c>
      <c r="K8" s="466">
        <f>SumWater</f>
        <v>430</v>
      </c>
    </row>
    <row r="10" spans="4:11" ht="30.75" customHeight="1" thickBot="1">
      <c r="D10" s="390" t="s">
        <v>319</v>
      </c>
    </row>
    <row r="11" spans="4:11" s="53" customFormat="1" ht="39" customHeight="1">
      <c r="D11" s="459" t="s">
        <v>312</v>
      </c>
      <c r="E11" s="467" t="s">
        <v>313</v>
      </c>
      <c r="F11" s="467" t="s">
        <v>307</v>
      </c>
      <c r="G11" s="467" t="s">
        <v>308</v>
      </c>
      <c r="H11" s="467" t="s">
        <v>309</v>
      </c>
      <c r="I11" s="467" t="s">
        <v>310</v>
      </c>
      <c r="J11" s="468" t="s">
        <v>311</v>
      </c>
    </row>
    <row r="12" spans="4:11" s="37" customFormat="1" ht="20.100000000000001" customHeight="1">
      <c r="D12" s="469" t="s">
        <v>236</v>
      </c>
      <c r="E12" s="470">
        <v>500</v>
      </c>
      <c r="F12" s="470">
        <v>143</v>
      </c>
      <c r="G12" s="470">
        <v>14.3</v>
      </c>
      <c r="H12" s="470">
        <v>64.8</v>
      </c>
      <c r="I12" s="470">
        <v>1.6435</v>
      </c>
      <c r="J12" s="471">
        <v>3.2289999999999999E-4</v>
      </c>
    </row>
    <row r="13" spans="4:11" s="37" customFormat="1" ht="20.100000000000001" customHeight="1">
      <c r="D13" s="469" t="s">
        <v>237</v>
      </c>
      <c r="E13" s="470">
        <v>250</v>
      </c>
      <c r="F13" s="470">
        <v>130</v>
      </c>
      <c r="G13" s="470">
        <v>14.9</v>
      </c>
      <c r="H13" s="470">
        <v>61.7</v>
      </c>
      <c r="I13" s="470">
        <v>1.7795000000000001</v>
      </c>
      <c r="J13" s="471">
        <v>3.1720000000000001E-4</v>
      </c>
    </row>
    <row r="14" spans="4:11" s="37" customFormat="1" ht="20.100000000000001" customHeight="1">
      <c r="D14" s="469" t="s">
        <v>238</v>
      </c>
      <c r="E14" s="470">
        <v>250</v>
      </c>
      <c r="F14" s="470">
        <v>130</v>
      </c>
      <c r="G14" s="470">
        <v>13.8</v>
      </c>
      <c r="H14" s="470">
        <v>62.4</v>
      </c>
      <c r="I14" s="470">
        <v>1.6684999999999999</v>
      </c>
      <c r="J14" s="471">
        <v>3.2009999999999997E-4</v>
      </c>
    </row>
    <row r="15" spans="4:11" s="37" customFormat="1" ht="20.100000000000001" customHeight="1">
      <c r="D15" s="469"/>
      <c r="E15" s="470"/>
      <c r="F15" s="470"/>
      <c r="G15" s="470"/>
      <c r="H15" s="470"/>
      <c r="I15" s="470"/>
      <c r="J15" s="471"/>
    </row>
    <row r="16" spans="4:11" s="37" customFormat="1" ht="20.100000000000001" customHeight="1">
      <c r="D16" s="469"/>
      <c r="E16" s="470"/>
      <c r="F16" s="470"/>
      <c r="G16" s="470"/>
      <c r="H16" s="470"/>
      <c r="I16" s="470"/>
      <c r="J16" s="471"/>
    </row>
    <row r="17" spans="4:10" s="37" customFormat="1" ht="20.100000000000001" customHeight="1">
      <c r="D17" s="469"/>
      <c r="E17" s="470"/>
      <c r="F17" s="470"/>
      <c r="G17" s="470"/>
      <c r="H17" s="470"/>
      <c r="I17" s="470"/>
      <c r="J17" s="471"/>
    </row>
    <row r="18" spans="4:10" s="37" customFormat="1" ht="20.100000000000001" customHeight="1">
      <c r="D18" s="469"/>
      <c r="E18" s="470"/>
      <c r="F18" s="470"/>
      <c r="G18" s="470"/>
      <c r="H18" s="470"/>
      <c r="I18" s="470"/>
      <c r="J18" s="471"/>
    </row>
    <row r="19" spans="4:10" s="37" customFormat="1" ht="20.100000000000001" customHeight="1">
      <c r="D19" s="469"/>
      <c r="E19" s="470"/>
      <c r="F19" s="470"/>
      <c r="G19" s="470"/>
      <c r="H19" s="470"/>
      <c r="I19" s="470"/>
      <c r="J19" s="471"/>
    </row>
    <row r="20" spans="4:10" s="37" customFormat="1" ht="20.100000000000001" customHeight="1">
      <c r="D20" s="469"/>
      <c r="E20" s="470"/>
      <c r="F20" s="470"/>
      <c r="G20" s="470"/>
      <c r="H20" s="470"/>
      <c r="I20" s="470"/>
      <c r="J20" s="471"/>
    </row>
    <row r="21" spans="4:10" s="37" customFormat="1" ht="20.100000000000001" customHeight="1">
      <c r="D21" s="469"/>
      <c r="E21" s="470"/>
      <c r="F21" s="470"/>
      <c r="G21" s="470"/>
      <c r="H21" s="470"/>
      <c r="I21" s="470"/>
      <c r="J21" s="471"/>
    </row>
    <row r="22" spans="4:10" s="37" customFormat="1" ht="20.100000000000001" customHeight="1">
      <c r="D22" s="469"/>
      <c r="E22" s="470"/>
      <c r="F22" s="470"/>
      <c r="G22" s="470"/>
      <c r="H22" s="470"/>
      <c r="I22" s="470"/>
      <c r="J22" s="471"/>
    </row>
    <row r="23" spans="4:10" s="37" customFormat="1" ht="20.100000000000001" customHeight="1">
      <c r="D23" s="469"/>
      <c r="E23" s="470"/>
      <c r="F23" s="470"/>
      <c r="G23" s="470"/>
      <c r="H23" s="470"/>
      <c r="I23" s="470"/>
      <c r="J23" s="471"/>
    </row>
    <row r="24" spans="4:10" s="37" customFormat="1" ht="20.100000000000001" customHeight="1" thickBot="1">
      <c r="D24" s="472"/>
      <c r="E24" s="473"/>
      <c r="F24" s="473"/>
      <c r="G24" s="473"/>
      <c r="H24" s="473"/>
      <c r="I24" s="473"/>
      <c r="J24" s="474"/>
    </row>
    <row r="25" spans="4:10" s="37" customFormat="1" ht="20.100000000000001" customHeight="1"/>
    <row r="26" spans="4:10" ht="20.100000000000001" customHeight="1" thickBot="1"/>
    <row r="27" spans="4:10" ht="31.5" customHeight="1">
      <c r="D27" s="459" t="s">
        <v>316</v>
      </c>
      <c r="E27" s="467" t="s">
        <v>314</v>
      </c>
      <c r="F27" s="468" t="s">
        <v>315</v>
      </c>
    </row>
    <row r="28" spans="4:10" s="37" customFormat="1" ht="20.100000000000001" customHeight="1">
      <c r="D28" s="469" t="s">
        <v>236</v>
      </c>
      <c r="E28" s="470">
        <v>81.7</v>
      </c>
      <c r="F28" s="471"/>
    </row>
    <row r="29" spans="4:10" s="37" customFormat="1" ht="20.100000000000001" customHeight="1">
      <c r="D29" s="469" t="s">
        <v>237</v>
      </c>
      <c r="E29" s="470">
        <v>85.8</v>
      </c>
      <c r="F29" s="471"/>
    </row>
    <row r="30" spans="4:10" s="37" customFormat="1" ht="20.100000000000001" customHeight="1">
      <c r="D30" s="469" t="s">
        <v>238</v>
      </c>
      <c r="E30" s="470">
        <v>82.7</v>
      </c>
      <c r="F30" s="471"/>
    </row>
    <row r="31" spans="4:10" s="37" customFormat="1" ht="20.100000000000001" customHeight="1">
      <c r="D31" s="469"/>
      <c r="E31" s="470"/>
      <c r="F31" s="471"/>
    </row>
    <row r="32" spans="4:10" s="37" customFormat="1" ht="20.100000000000001" customHeight="1">
      <c r="D32" s="469"/>
      <c r="E32" s="470"/>
      <c r="F32" s="471"/>
    </row>
    <row r="33" spans="4:16" s="37" customFormat="1" ht="20.100000000000001" customHeight="1">
      <c r="D33" s="469"/>
      <c r="E33" s="470"/>
      <c r="F33" s="471"/>
    </row>
    <row r="34" spans="4:16" s="37" customFormat="1" ht="20.100000000000001" customHeight="1">
      <c r="D34" s="469"/>
      <c r="E34" s="470"/>
      <c r="F34" s="471"/>
    </row>
    <row r="35" spans="4:16" s="37" customFormat="1" ht="20.100000000000001" customHeight="1">
      <c r="D35" s="469"/>
      <c r="E35" s="470"/>
      <c r="F35" s="471"/>
    </row>
    <row r="36" spans="4:16" s="37" customFormat="1" ht="20.100000000000001" customHeight="1">
      <c r="D36" s="469"/>
      <c r="E36" s="470"/>
      <c r="F36" s="471"/>
    </row>
    <row r="37" spans="4:16" s="37" customFormat="1" ht="20.100000000000001" customHeight="1">
      <c r="D37" s="469"/>
      <c r="E37" s="470"/>
      <c r="F37" s="471"/>
    </row>
    <row r="38" spans="4:16" s="37" customFormat="1" ht="20.100000000000001" customHeight="1">
      <c r="D38" s="469"/>
      <c r="E38" s="470"/>
      <c r="F38" s="471"/>
    </row>
    <row r="39" spans="4:16" s="37" customFormat="1" ht="20.100000000000001" customHeight="1">
      <c r="D39" s="469"/>
      <c r="E39" s="470"/>
      <c r="F39" s="471"/>
    </row>
    <row r="40" spans="4:16" s="37" customFormat="1" ht="19.5" customHeight="1" thickBot="1">
      <c r="D40" s="472"/>
      <c r="E40" s="473"/>
      <c r="F40" s="474"/>
    </row>
    <row r="41" spans="4:16" ht="20.100000000000001" customHeight="1">
      <c r="D41" s="452"/>
    </row>
    <row r="42" spans="4:16" ht="20.100000000000001" customHeight="1">
      <c r="D42" s="452"/>
    </row>
    <row r="43" spans="4:16" ht="20.100000000000001" customHeight="1" thickBot="1">
      <c r="D43" s="453" t="s">
        <v>292</v>
      </c>
    </row>
    <row r="44" spans="4:16" s="37" customFormat="1" ht="31.5" customHeight="1">
      <c r="D44" s="459" t="s">
        <v>236</v>
      </c>
      <c r="E44" s="467" t="s">
        <v>237</v>
      </c>
      <c r="F44" s="467" t="s">
        <v>238</v>
      </c>
      <c r="G44" s="467"/>
      <c r="H44" s="467"/>
      <c r="I44" s="467"/>
      <c r="J44" s="467"/>
      <c r="K44" s="467"/>
      <c r="L44" s="467"/>
      <c r="M44" s="467"/>
      <c r="N44" s="467"/>
      <c r="O44" s="467"/>
      <c r="P44" s="468"/>
    </row>
    <row r="45" spans="4:16" s="37" customFormat="1" ht="30" customHeight="1" thickBot="1">
      <c r="D45" s="472">
        <v>130</v>
      </c>
      <c r="E45" s="473">
        <v>150</v>
      </c>
      <c r="F45" s="473">
        <v>150</v>
      </c>
      <c r="G45" s="473"/>
      <c r="H45" s="473"/>
      <c r="I45" s="473"/>
      <c r="J45" s="473"/>
      <c r="K45" s="473"/>
      <c r="L45" s="473"/>
      <c r="M45" s="473"/>
      <c r="N45" s="473"/>
      <c r="O45" s="473"/>
      <c r="P45" s="474"/>
    </row>
    <row r="46" spans="4:16" ht="20.100000000000001" customHeight="1">
      <c r="D46" s="452"/>
    </row>
    <row r="47" spans="4:16" ht="20.100000000000001" customHeight="1">
      <c r="D47" s="452"/>
    </row>
    <row r="48" spans="4:16" ht="22.5" customHeight="1" thickBot="1">
      <c r="D48" s="453" t="s">
        <v>317</v>
      </c>
    </row>
    <row r="49" spans="4:16" s="37" customFormat="1" ht="36.75" customHeight="1">
      <c r="D49" s="459" t="s">
        <v>236</v>
      </c>
      <c r="E49" s="467" t="s">
        <v>237</v>
      </c>
      <c r="F49" s="467" t="s">
        <v>238</v>
      </c>
      <c r="G49" s="467"/>
      <c r="H49" s="467"/>
      <c r="I49" s="467"/>
      <c r="J49" s="467"/>
      <c r="K49" s="467"/>
      <c r="L49" s="467"/>
      <c r="M49" s="467"/>
      <c r="N49" s="467"/>
      <c r="O49" s="467"/>
      <c r="P49" s="468"/>
    </row>
    <row r="50" spans="4:16" s="37" customFormat="1" ht="30" customHeight="1" thickBot="1">
      <c r="D50" s="472">
        <v>500</v>
      </c>
      <c r="E50" s="473">
        <v>250</v>
      </c>
      <c r="F50" s="473">
        <v>250</v>
      </c>
      <c r="G50" s="473"/>
      <c r="H50" s="473"/>
      <c r="I50" s="473"/>
      <c r="J50" s="473"/>
      <c r="K50" s="473"/>
      <c r="L50" s="473"/>
      <c r="M50" s="473"/>
      <c r="N50" s="473"/>
      <c r="O50" s="473"/>
      <c r="P50" s="474"/>
    </row>
    <row r="51" spans="4:16" ht="20.100000000000001" customHeight="1">
      <c r="D51" s="452"/>
    </row>
    <row r="52" spans="4:16" ht="20.100000000000001" customHeight="1">
      <c r="D52" s="452"/>
    </row>
    <row r="53" spans="4:16" ht="20.100000000000001" customHeight="1" thickBot="1">
      <c r="D53" s="453" t="s">
        <v>318</v>
      </c>
    </row>
    <row r="54" spans="4:16" s="37" customFormat="1" ht="40.5" customHeight="1">
      <c r="D54" s="459" t="s">
        <v>236</v>
      </c>
      <c r="E54" s="467" t="s">
        <v>237</v>
      </c>
      <c r="F54" s="467" t="s">
        <v>238</v>
      </c>
      <c r="G54" s="467"/>
      <c r="H54" s="467"/>
      <c r="I54" s="467"/>
      <c r="J54" s="467"/>
      <c r="K54" s="467"/>
      <c r="L54" s="467"/>
      <c r="M54" s="467"/>
      <c r="N54" s="467"/>
      <c r="O54" s="467"/>
      <c r="P54" s="468"/>
    </row>
    <row r="55" spans="4:16" s="37" customFormat="1" ht="30" customHeight="1" thickBot="1">
      <c r="D55" s="472">
        <v>10</v>
      </c>
      <c r="E55" s="473">
        <v>2</v>
      </c>
      <c r="F55" s="473">
        <v>2</v>
      </c>
      <c r="G55" s="473"/>
      <c r="H55" s="473"/>
      <c r="I55" s="473"/>
      <c r="J55" s="473"/>
      <c r="K55" s="473"/>
      <c r="L55" s="473"/>
      <c r="M55" s="473"/>
      <c r="N55" s="473"/>
      <c r="O55" s="473"/>
      <c r="P55" s="474"/>
    </row>
  </sheetData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64193" r:id="rId4" name="CommandButton1">
          <controlPr defaultSize="0" autoLine="0" r:id="rId5">
            <anchor moveWithCells="1">
              <from>
                <xdr:col>0</xdr:col>
                <xdr:colOff>180975</xdr:colOff>
                <xdr:row>1</xdr:row>
                <xdr:rowOff>47625</xdr:rowOff>
              </from>
              <to>
                <xdr:col>1</xdr:col>
                <xdr:colOff>304800</xdr:colOff>
                <xdr:row>2</xdr:row>
                <xdr:rowOff>9525</xdr:rowOff>
              </to>
            </anchor>
          </controlPr>
        </control>
      </mc:Choice>
      <mc:Fallback>
        <control shapeId="264193" r:id="rId4" name="CommandButton1"/>
      </mc:Fallback>
    </mc:AlternateContent>
    <mc:AlternateContent xmlns:mc="http://schemas.openxmlformats.org/markup-compatibility/2006">
      <mc:Choice Requires="x14">
        <control shapeId="264194" r:id="rId6" name="CommandButton2">
          <controlPr defaultSize="0" autoLine="0" r:id="rId7">
            <anchor moveWithCells="1">
              <from>
                <xdr:col>0</xdr:col>
                <xdr:colOff>180975</xdr:colOff>
                <xdr:row>2</xdr:row>
                <xdr:rowOff>57150</xdr:rowOff>
              </from>
              <to>
                <xdr:col>1</xdr:col>
                <xdr:colOff>304800</xdr:colOff>
                <xdr:row>2</xdr:row>
                <xdr:rowOff>371475</xdr:rowOff>
              </to>
            </anchor>
          </controlPr>
        </control>
      </mc:Choice>
      <mc:Fallback>
        <control shapeId="264194" r:id="rId6" name="CommandButton2"/>
      </mc:Fallback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6">
    <tabColor rgb="FFC00000"/>
  </sheetPr>
  <dimension ref="A1:M41"/>
  <sheetViews>
    <sheetView workbookViewId="0">
      <selection activeCell="G41" sqref="G41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2.77734375" style="17" customWidth="1"/>
    <col min="4" max="4" width="17.109375" style="1" customWidth="1"/>
    <col min="5" max="5" width="15" style="1" customWidth="1"/>
    <col min="6" max="6" width="16" style="1" customWidth="1"/>
    <col min="7" max="7" width="14.21875" style="1" customWidth="1"/>
    <col min="8" max="8" width="14" style="1" customWidth="1"/>
    <col min="9" max="9" width="20.77734375" style="1" customWidth="1"/>
    <col min="10" max="10" width="14.77734375" style="1" customWidth="1"/>
    <col min="11" max="11" width="15.21875" style="1" customWidth="1"/>
    <col min="12" max="16384" width="8.88671875" style="1"/>
  </cols>
  <sheetData>
    <row r="1" spans="1:13" ht="20.100000000000001" customHeight="1"/>
    <row r="2" spans="1:13" ht="20.100000000000001" customHeight="1" thickBot="1">
      <c r="B2" s="24" t="s">
        <v>158</v>
      </c>
      <c r="C2" s="17" t="str">
        <f>Well!D4</f>
        <v>충남 보령시 천북면 하만리 산 143-5</v>
      </c>
      <c r="H2"/>
      <c r="I2" s="300" t="s">
        <v>208</v>
      </c>
      <c r="J2"/>
      <c r="K2"/>
      <c r="L2"/>
      <c r="M2"/>
    </row>
    <row r="3" spans="1:13" ht="20.100000000000001" customHeight="1">
      <c r="B3" s="2" t="s">
        <v>48</v>
      </c>
      <c r="C3" s="426">
        <f>Well!C4</f>
        <v>0</v>
      </c>
      <c r="D3" s="3" t="s">
        <v>49</v>
      </c>
      <c r="E3" s="4" t="s">
        <v>120</v>
      </c>
      <c r="F3" s="5" t="s">
        <v>110</v>
      </c>
      <c r="G3" s="2" t="s">
        <v>50</v>
      </c>
      <c r="H3"/>
      <c r="I3"/>
      <c r="J3"/>
      <c r="K3"/>
      <c r="L3"/>
      <c r="M3"/>
    </row>
    <row r="4" spans="1:13" ht="20.100000000000001" customHeight="1">
      <c r="B4" s="6" t="s">
        <v>51</v>
      </c>
      <c r="C4" s="427">
        <f>Well!R4</f>
        <v>0</v>
      </c>
      <c r="D4" s="7" t="s">
        <v>52</v>
      </c>
      <c r="E4" s="8">
        <v>0</v>
      </c>
      <c r="F4" s="9"/>
      <c r="G4" s="10"/>
      <c r="H4"/>
      <c r="I4"/>
      <c r="J4"/>
      <c r="K4"/>
      <c r="L4"/>
      <c r="M4"/>
    </row>
    <row r="5" spans="1:13" ht="20.100000000000001" customHeight="1" thickBot="1">
      <c r="B5" s="6" t="s">
        <v>53</v>
      </c>
      <c r="C5" s="427">
        <f>Well!Q4</f>
        <v>0</v>
      </c>
      <c r="D5" s="7" t="s">
        <v>54</v>
      </c>
      <c r="E5" s="33">
        <v>1.732</v>
      </c>
      <c r="F5" s="34">
        <f>$E$5/$C$14</f>
        <v>3.565987234918674E-3</v>
      </c>
      <c r="G5" s="10">
        <v>3.2289999999999999E-4</v>
      </c>
      <c r="H5"/>
      <c r="I5"/>
      <c r="J5"/>
      <c r="K5"/>
      <c r="L5"/>
      <c r="M5"/>
    </row>
    <row r="6" spans="1:13" ht="20.100000000000001" customHeight="1" thickBot="1">
      <c r="B6" s="6" t="s">
        <v>55</v>
      </c>
      <c r="C6" s="428" t="str">
        <f>Well!D4</f>
        <v>충남 보령시 천북면 하만리 산 143-5</v>
      </c>
      <c r="D6" s="7" t="s">
        <v>57</v>
      </c>
      <c r="E6" s="8">
        <v>1.5549999999999999</v>
      </c>
      <c r="F6" s="34">
        <f>$E$6/$C$14</f>
        <v>3.2015647519044676E-3</v>
      </c>
      <c r="G6" s="10" t="s">
        <v>58</v>
      </c>
      <c r="H6" s="302">
        <v>1.66</v>
      </c>
      <c r="I6"/>
      <c r="J6"/>
      <c r="K6"/>
      <c r="L6"/>
      <c r="M6"/>
    </row>
    <row r="7" spans="1:13" ht="20.100000000000001" customHeight="1" thickBot="1">
      <c r="B7" s="6" t="s">
        <v>56</v>
      </c>
      <c r="C7" s="429">
        <f>Well!H4</f>
        <v>500</v>
      </c>
      <c r="D7" s="338" t="s">
        <v>60</v>
      </c>
      <c r="E7" s="301">
        <f>(E5+E6)/2</f>
        <v>1.6435</v>
      </c>
      <c r="F7" s="35">
        <f>$E$7/$C$14</f>
        <v>3.3837759934115708E-3</v>
      </c>
      <c r="G7" s="32">
        <f>G5</f>
        <v>3.2289999999999999E-4</v>
      </c>
      <c r="H7" s="161">
        <v>8.8969999999999994E-2</v>
      </c>
      <c r="I7"/>
      <c r="J7"/>
      <c r="K7"/>
      <c r="L7"/>
      <c r="M7"/>
    </row>
    <row r="8" spans="1:13" ht="20.100000000000001" customHeight="1" thickBot="1">
      <c r="B8" s="6" t="s">
        <v>59</v>
      </c>
      <c r="C8" s="429">
        <f>Well!G4</f>
        <v>200</v>
      </c>
    </row>
    <row r="9" spans="1:13" ht="20.100000000000001" customHeight="1" thickBot="1">
      <c r="B9" s="6" t="s">
        <v>61</v>
      </c>
      <c r="C9" s="430">
        <f>C10+C11</f>
        <v>12</v>
      </c>
      <c r="D9" s="11"/>
      <c r="E9" s="12" t="s">
        <v>111</v>
      </c>
      <c r="F9" s="36" t="s">
        <v>112</v>
      </c>
      <c r="G9" s="13" t="s">
        <v>113</v>
      </c>
    </row>
    <row r="10" spans="1:13" ht="20.100000000000001" customHeight="1" thickBot="1">
      <c r="B10" s="6" t="s">
        <v>62</v>
      </c>
      <c r="C10" s="428">
        <v>5</v>
      </c>
      <c r="D10" s="14" t="s">
        <v>63</v>
      </c>
      <c r="E10" s="182">
        <v>43</v>
      </c>
      <c r="F10" s="183">
        <v>52.7</v>
      </c>
      <c r="G10" s="184">
        <v>81.7</v>
      </c>
      <c r="H10" s="15"/>
      <c r="I10" s="16"/>
    </row>
    <row r="11" spans="1:13" ht="20.100000000000001" customHeight="1" thickBot="1">
      <c r="B11" s="6" t="s">
        <v>64</v>
      </c>
      <c r="C11" s="428">
        <v>7</v>
      </c>
      <c r="D11" s="339" t="s">
        <v>65</v>
      </c>
      <c r="E11" s="185">
        <f>ROUND(AVERAGE(E10:G10),1)</f>
        <v>59.1</v>
      </c>
      <c r="F11" s="176">
        <f>ROUND((E10+F10)/2,1)</f>
        <v>47.9</v>
      </c>
      <c r="G11" s="322">
        <f>MAX(E10,F10,G10)</f>
        <v>81.7</v>
      </c>
      <c r="H11" s="15"/>
      <c r="I11" s="16"/>
      <c r="J11" s="508" t="s">
        <v>119</v>
      </c>
      <c r="K11" s="509"/>
    </row>
    <row r="12" spans="1:13" ht="20.100000000000001" customHeight="1">
      <c r="A12" s="17" t="str">
        <f>IF(A13&lt;&gt;C7,"CHECK","OK")</f>
        <v>OK</v>
      </c>
      <c r="B12" s="6" t="s">
        <v>66</v>
      </c>
      <c r="C12" s="431">
        <f>C7-C9</f>
        <v>488</v>
      </c>
      <c r="H12" s="18"/>
      <c r="J12" s="186" t="s">
        <v>121</v>
      </c>
      <c r="K12" s="342">
        <v>34</v>
      </c>
      <c r="L12" s="343">
        <f>K12+180</f>
        <v>214</v>
      </c>
    </row>
    <row r="13" spans="1:13" ht="20.100000000000001" customHeight="1">
      <c r="A13" s="17">
        <f>C10+C11+C12+C13</f>
        <v>500</v>
      </c>
      <c r="B13" s="6" t="s">
        <v>67</v>
      </c>
      <c r="C13" s="431"/>
      <c r="E13" s="242" t="str">
        <f>Recharge!I24</f>
        <v>한강/한강고양</v>
      </c>
      <c r="F13" s="190">
        <f>rf_1</f>
        <v>0.13400000000000001</v>
      </c>
      <c r="G13" s="190">
        <f>allow_ratio</f>
        <v>0.65</v>
      </c>
      <c r="H13" s="19"/>
      <c r="J13" s="186" t="s">
        <v>114</v>
      </c>
      <c r="K13" s="228">
        <v>526</v>
      </c>
      <c r="L13" s="42"/>
    </row>
    <row r="14" spans="1:13" ht="20.100000000000001" customHeight="1">
      <c r="B14" s="6" t="s">
        <v>68</v>
      </c>
      <c r="C14" s="430">
        <f>C7-IF(C20&gt;C9,C20,C9)</f>
        <v>485.7</v>
      </c>
      <c r="G14" s="190">
        <f>max</f>
        <v>1198.3</v>
      </c>
      <c r="H14" s="19"/>
      <c r="J14" s="186" t="s">
        <v>115</v>
      </c>
      <c r="K14" s="228">
        <v>76</v>
      </c>
      <c r="L14" s="42"/>
    </row>
    <row r="15" spans="1:13" ht="20.100000000000001" customHeight="1" thickBot="1">
      <c r="B15" s="6" t="s">
        <v>69</v>
      </c>
      <c r="C15" s="429">
        <f>Well!I4</f>
        <v>130</v>
      </c>
      <c r="E15" s="41">
        <v>1</v>
      </c>
      <c r="J15" s="186" t="s">
        <v>116</v>
      </c>
      <c r="K15" s="228">
        <v>50</v>
      </c>
      <c r="L15" s="42"/>
    </row>
    <row r="16" spans="1:13" ht="20.100000000000001" customHeight="1">
      <c r="B16" s="6" t="s">
        <v>70</v>
      </c>
      <c r="C16" s="432">
        <f>Well!J4</f>
        <v>143</v>
      </c>
      <c r="E16" s="157" t="s">
        <v>300</v>
      </c>
      <c r="F16" s="158" t="s">
        <v>98</v>
      </c>
      <c r="G16" s="159" t="s">
        <v>97</v>
      </c>
      <c r="H16" s="19"/>
      <c r="J16" s="186" t="s">
        <v>122</v>
      </c>
      <c r="K16" s="187">
        <f>K14-C20</f>
        <v>61.7</v>
      </c>
      <c r="L16" s="42"/>
    </row>
    <row r="17" spans="2:12" ht="20.100000000000001" customHeight="1" thickBot="1">
      <c r="B17" s="6" t="s">
        <v>71</v>
      </c>
      <c r="C17" s="429">
        <f>Well!L4</f>
        <v>10</v>
      </c>
      <c r="E17" s="76">
        <f>Well!P4</f>
        <v>3059068</v>
      </c>
      <c r="F17" s="250">
        <f>(max*rf_1*E17/1000)</f>
        <v>491201.27870960004</v>
      </c>
      <c r="G17" s="249">
        <f>F17*allow_ratio</f>
        <v>319280.83116124006</v>
      </c>
      <c r="J17" s="186" t="s">
        <v>117</v>
      </c>
      <c r="K17" s="187">
        <f>K16-K15</f>
        <v>11.700000000000003</v>
      </c>
      <c r="L17" s="42"/>
    </row>
    <row r="18" spans="2:12" ht="20.100000000000001" customHeight="1" thickBot="1">
      <c r="B18" s="6" t="s">
        <v>72</v>
      </c>
      <c r="C18" s="429">
        <f>Well!M4</f>
        <v>200</v>
      </c>
      <c r="E18" s="2" t="s">
        <v>73</v>
      </c>
      <c r="F18" s="30" t="s">
        <v>74</v>
      </c>
      <c r="G18" s="29" t="s">
        <v>75</v>
      </c>
      <c r="H18" s="180" t="s">
        <v>174</v>
      </c>
      <c r="I18" s="28"/>
      <c r="J18" s="188" t="s">
        <v>118</v>
      </c>
      <c r="K18" s="189">
        <f>(K17/K13)</f>
        <v>2.2243346007604567E-2</v>
      </c>
      <c r="L18" s="160">
        <f>K18*100</f>
        <v>2.2243346007604567</v>
      </c>
    </row>
    <row r="19" spans="2:12" ht="20.100000000000001" customHeight="1" thickBot="1">
      <c r="B19" s="21" t="s">
        <v>76</v>
      </c>
      <c r="C19" s="433">
        <f>Well!N4</f>
        <v>50</v>
      </c>
      <c r="E19" s="76">
        <f>E17</f>
        <v>3059068</v>
      </c>
      <c r="F19" s="246">
        <f>(max*rf_1*E19/1000)/365</f>
        <v>1345.7569279715069</v>
      </c>
      <c r="G19" s="247">
        <f>F19*allow_ratio</f>
        <v>874.7420031814795</v>
      </c>
      <c r="H19" s="181">
        <f>G19-F21</f>
        <v>701.94200318147955</v>
      </c>
    </row>
    <row r="20" spans="2:12" ht="20.100000000000001" customHeight="1">
      <c r="B20" s="22" t="s">
        <v>77</v>
      </c>
      <c r="C20" s="434">
        <v>14.3</v>
      </c>
      <c r="D20" s="17"/>
      <c r="E20" s="26" t="s">
        <v>95</v>
      </c>
      <c r="F20" s="27" t="s">
        <v>78</v>
      </c>
      <c r="G20" s="25" t="s">
        <v>79</v>
      </c>
    </row>
    <row r="21" spans="2:12" ht="20.100000000000001" customHeight="1" thickBot="1">
      <c r="B21" s="21" t="s">
        <v>80</v>
      </c>
      <c r="C21" s="435">
        <v>64.8</v>
      </c>
      <c r="D21" s="17"/>
      <c r="E21" s="178">
        <f>Well!I8</f>
        <v>430</v>
      </c>
      <c r="F21" s="248">
        <f>Well!O4</f>
        <v>172.8</v>
      </c>
      <c r="G21" s="249">
        <f>G19-E21-F21</f>
        <v>271.94200318147949</v>
      </c>
    </row>
    <row r="22" spans="2:12" ht="20.100000000000001" customHeight="1" thickBot="1">
      <c r="B22" s="31" t="s">
        <v>166</v>
      </c>
      <c r="C22" s="436">
        <f>C21-C20</f>
        <v>50.5</v>
      </c>
      <c r="E22" s="510">
        <f>E21+F21</f>
        <v>602.79999999999995</v>
      </c>
      <c r="F22" s="511"/>
      <c r="G22" s="20"/>
      <c r="I22" s="19"/>
    </row>
    <row r="23" spans="2:12" ht="20.100000000000001" customHeight="1" thickBot="1">
      <c r="B23" s="341" t="s">
        <v>241</v>
      </c>
      <c r="C23" s="340">
        <v>3.99</v>
      </c>
      <c r="E23" s="20"/>
      <c r="F23" s="20"/>
      <c r="G23" s="20"/>
    </row>
    <row r="24" spans="2:12" ht="20.100000000000001" customHeight="1" thickBot="1">
      <c r="E24" s="23"/>
      <c r="F24" s="23"/>
      <c r="G24" s="23"/>
      <c r="H24" s="23"/>
    </row>
    <row r="25" spans="2:12" ht="56.1" customHeight="1">
      <c r="B25" s="504" t="s">
        <v>99</v>
      </c>
      <c r="C25" s="505"/>
      <c r="D25" s="191" t="s">
        <v>108</v>
      </c>
      <c r="E25" s="191" t="s">
        <v>109</v>
      </c>
      <c r="F25" s="191" t="s">
        <v>100</v>
      </c>
      <c r="G25" s="191" t="s">
        <v>101</v>
      </c>
      <c r="H25" s="191" t="s">
        <v>123</v>
      </c>
      <c r="I25" s="191" t="s">
        <v>102</v>
      </c>
      <c r="J25" s="192" t="s">
        <v>103</v>
      </c>
      <c r="K25" s="193" t="s">
        <v>104</v>
      </c>
    </row>
    <row r="26" spans="2:12" ht="25.5" customHeight="1">
      <c r="B26" s="506" t="s">
        <v>105</v>
      </c>
      <c r="C26" s="194" t="s">
        <v>106</v>
      </c>
      <c r="D26" s="195">
        <f>C20</f>
        <v>14.3</v>
      </c>
      <c r="E26" s="196">
        <f>Recharge!C30</f>
        <v>16.057220000000001</v>
      </c>
      <c r="F26" s="197" t="s">
        <v>186</v>
      </c>
      <c r="G26" s="195" t="s">
        <v>235</v>
      </c>
      <c r="H26" s="198">
        <f>L18</f>
        <v>2.2243346007604567</v>
      </c>
      <c r="I26" s="195" t="s">
        <v>186</v>
      </c>
      <c r="J26" s="195">
        <f>(E7/C14)/864</f>
        <v>3.9164073997819102E-6</v>
      </c>
      <c r="K26" s="199" t="s">
        <v>239</v>
      </c>
    </row>
    <row r="27" spans="2:12" ht="25.5" customHeight="1">
      <c r="B27" s="506"/>
      <c r="C27" s="194" t="s">
        <v>107</v>
      </c>
      <c r="D27" s="194">
        <v>5</v>
      </c>
      <c r="E27" s="194">
        <v>8</v>
      </c>
      <c r="F27" s="194">
        <v>3</v>
      </c>
      <c r="G27" s="194">
        <v>4</v>
      </c>
      <c r="H27" s="194">
        <v>9</v>
      </c>
      <c r="I27" s="194">
        <v>4</v>
      </c>
      <c r="J27" s="194">
        <v>2</v>
      </c>
      <c r="K27" s="199" t="s">
        <v>240</v>
      </c>
    </row>
    <row r="28" spans="2:12" ht="25.5" customHeight="1">
      <c r="B28" s="506"/>
      <c r="C28" s="211" t="s">
        <v>179</v>
      </c>
      <c r="D28" s="212">
        <v>5</v>
      </c>
      <c r="E28" s="212">
        <v>4</v>
      </c>
      <c r="F28" s="212">
        <v>3</v>
      </c>
      <c r="G28" s="212">
        <v>2</v>
      </c>
      <c r="H28" s="212">
        <v>1</v>
      </c>
      <c r="I28" s="212">
        <v>5</v>
      </c>
      <c r="J28" s="212">
        <v>3</v>
      </c>
      <c r="K28" s="213"/>
    </row>
    <row r="29" spans="2:12" ht="25.5" customHeight="1">
      <c r="B29" s="506"/>
      <c r="C29" s="211" t="s">
        <v>180</v>
      </c>
      <c r="D29" s="214">
        <v>5</v>
      </c>
      <c r="E29" s="214">
        <v>4</v>
      </c>
      <c r="F29" s="214">
        <v>3</v>
      </c>
      <c r="G29" s="214">
        <v>5</v>
      </c>
      <c r="H29" s="214">
        <v>3</v>
      </c>
      <c r="I29" s="214">
        <v>4</v>
      </c>
      <c r="J29" s="214">
        <v>2</v>
      </c>
      <c r="K29" s="213"/>
    </row>
    <row r="30" spans="2:12" ht="25.5" customHeight="1">
      <c r="B30" s="506"/>
      <c r="C30" s="200" t="s">
        <v>181</v>
      </c>
      <c r="D30" s="201">
        <f>D27*D28</f>
        <v>25</v>
      </c>
      <c r="E30" s="201">
        <f t="shared" ref="E30:J30" si="0">E27*E28</f>
        <v>32</v>
      </c>
      <c r="F30" s="201">
        <f t="shared" si="0"/>
        <v>9</v>
      </c>
      <c r="G30" s="201">
        <f t="shared" si="0"/>
        <v>8</v>
      </c>
      <c r="H30" s="201">
        <f t="shared" si="0"/>
        <v>9</v>
      </c>
      <c r="I30" s="201">
        <f t="shared" si="0"/>
        <v>20</v>
      </c>
      <c r="J30" s="201">
        <f t="shared" si="0"/>
        <v>6</v>
      </c>
      <c r="K30" s="202">
        <f>SUM(D30:J30)</f>
        <v>109</v>
      </c>
    </row>
    <row r="31" spans="2:12" ht="25.5" customHeight="1" thickBot="1">
      <c r="B31" s="507"/>
      <c r="C31" s="203" t="s">
        <v>182</v>
      </c>
      <c r="D31" s="204">
        <f t="shared" ref="D31:J31" si="1">D27*D29</f>
        <v>25</v>
      </c>
      <c r="E31" s="204">
        <f t="shared" si="1"/>
        <v>32</v>
      </c>
      <c r="F31" s="204">
        <f t="shared" si="1"/>
        <v>9</v>
      </c>
      <c r="G31" s="204">
        <f t="shared" si="1"/>
        <v>20</v>
      </c>
      <c r="H31" s="204">
        <f t="shared" si="1"/>
        <v>27</v>
      </c>
      <c r="I31" s="204">
        <f t="shared" si="1"/>
        <v>16</v>
      </c>
      <c r="J31" s="204">
        <f t="shared" si="1"/>
        <v>4</v>
      </c>
      <c r="K31" s="205">
        <f>SUM(D31:J31)</f>
        <v>133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  <row r="40" ht="20.100000000000001" customHeight="1"/>
    <row r="41" ht="20.100000000000001" customHeight="1"/>
  </sheetData>
  <mergeCells count="4">
    <mergeCell ref="B25:C25"/>
    <mergeCell ref="B26:B31"/>
    <mergeCell ref="J11:K11"/>
    <mergeCell ref="E22:F22"/>
  </mergeCells>
  <phoneticPr fontId="7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3103" r:id="rId4" name="CommandButton6">
          <controlPr defaultSize="0" autoLine="0" autoPict="0" r:id="rId5">
            <anchor moveWithCells="1">
              <from>
                <xdr:col>9</xdr:col>
                <xdr:colOff>28575</xdr:colOff>
                <xdr:row>21</xdr:row>
                <xdr:rowOff>123825</xdr:rowOff>
              </from>
              <to>
                <xdr:col>10</xdr:col>
                <xdr:colOff>1143000</xdr:colOff>
                <xdr:row>23</xdr:row>
                <xdr:rowOff>38100</xdr:rowOff>
              </to>
            </anchor>
          </controlPr>
        </control>
      </mc:Choice>
      <mc:Fallback>
        <control shapeId="3103" r:id="rId4" name="CommandButton6"/>
      </mc:Fallback>
    </mc:AlternateContent>
    <mc:AlternateContent xmlns:mc="http://schemas.openxmlformats.org/markup-compatibility/2006">
      <mc:Choice Requires="x14">
        <control shapeId="3102" r:id="rId6" name="Frame1">
          <controlPr defaultSize="0" autoLine="0" autoPict="0" r:id="rId7">
            <anchor moveWithCells="1">
              <from>
                <xdr:col>9</xdr:col>
                <xdr:colOff>38100</xdr:colOff>
                <xdr:row>18</xdr:row>
                <xdr:rowOff>123825</xdr:rowOff>
              </from>
              <to>
                <xdr:col>10</xdr:col>
                <xdr:colOff>1162050</xdr:colOff>
                <xdr:row>21</xdr:row>
                <xdr:rowOff>0</xdr:rowOff>
              </to>
            </anchor>
          </controlPr>
        </control>
      </mc:Choice>
      <mc:Fallback>
        <control shapeId="3102" r:id="rId6" name="Frame1"/>
      </mc:Fallback>
    </mc:AlternateContent>
    <mc:AlternateContent xmlns:mc="http://schemas.openxmlformats.org/markup-compatibility/2006">
      <mc:Choice Requires="x14">
        <control shapeId="3096" r:id="rId8" name="CommandButton5">
          <controlPr defaultSize="0" autoLine="0" autoPict="0" r:id="rId9">
            <anchor moveWithCells="1">
              <from>
                <xdr:col>9</xdr:col>
                <xdr:colOff>28575</xdr:colOff>
                <xdr:row>7</xdr:row>
                <xdr:rowOff>228600</xdr:rowOff>
              </from>
              <to>
                <xdr:col>10</xdr:col>
                <xdr:colOff>1295400</xdr:colOff>
                <xdr:row>9</xdr:row>
                <xdr:rowOff>180975</xdr:rowOff>
              </to>
            </anchor>
          </controlPr>
        </control>
      </mc:Choice>
      <mc:Fallback>
        <control shapeId="3096" r:id="rId8" name="CommandButton5"/>
      </mc:Fallback>
    </mc:AlternateContent>
    <mc:AlternateContent xmlns:mc="http://schemas.openxmlformats.org/markup-compatibility/2006">
      <mc:Choice Requires="x14">
        <control shapeId="3115" r:id="rId10" name="CommandButton1">
          <controlPr defaultSize="0" autoLine="0" r:id="rId11">
            <anchor moveWithCells="1">
              <from>
                <xdr:col>7</xdr:col>
                <xdr:colOff>133350</xdr:colOff>
                <xdr:row>9</xdr:row>
                <xdr:rowOff>161925</xdr:rowOff>
              </from>
              <to>
                <xdr:col>7</xdr:col>
                <xdr:colOff>1000125</xdr:colOff>
                <xdr:row>11</xdr:row>
                <xdr:rowOff>28575</xdr:rowOff>
              </to>
            </anchor>
          </controlPr>
        </control>
      </mc:Choice>
      <mc:Fallback>
        <control shapeId="3115" r:id="rId10" name="CommandButton1"/>
      </mc:Fallback>
    </mc:AlternateContent>
    <mc:AlternateContent xmlns:mc="http://schemas.openxmlformats.org/markup-compatibility/2006">
      <mc:Choice Requires="x14">
        <control shapeId="3116" r:id="rId12" name="CommandButton2">
          <controlPr defaultSize="0" autoLine="0" r:id="rId13">
            <anchor moveWithCells="1">
              <from>
                <xdr:col>7</xdr:col>
                <xdr:colOff>133350</xdr:colOff>
                <xdr:row>11</xdr:row>
                <xdr:rowOff>123825</xdr:rowOff>
              </from>
              <to>
                <xdr:col>7</xdr:col>
                <xdr:colOff>1000125</xdr:colOff>
                <xdr:row>12</xdr:row>
                <xdr:rowOff>238125</xdr:rowOff>
              </to>
            </anchor>
          </controlPr>
        </control>
      </mc:Choice>
      <mc:Fallback>
        <control shapeId="3116" r:id="rId12" name="CommandButton2"/>
      </mc:Fallback>
    </mc:AlternateContent>
    <mc:AlternateContent xmlns:mc="http://schemas.openxmlformats.org/markup-compatibility/2006">
      <mc:Choice Requires="x14">
        <control shapeId="3117" r:id="rId14" name="CommandButton3">
          <controlPr defaultSize="0" autoLine="0" r:id="rId15">
            <anchor moveWithCells="1">
              <from>
                <xdr:col>7</xdr:col>
                <xdr:colOff>133350</xdr:colOff>
                <xdr:row>13</xdr:row>
                <xdr:rowOff>85725</xdr:rowOff>
              </from>
              <to>
                <xdr:col>7</xdr:col>
                <xdr:colOff>1000125</xdr:colOff>
                <xdr:row>14</xdr:row>
                <xdr:rowOff>200025</xdr:rowOff>
              </to>
            </anchor>
          </controlPr>
        </control>
      </mc:Choice>
      <mc:Fallback>
        <control shapeId="3117" r:id="rId14" name="CommandButton3"/>
      </mc:Fallback>
    </mc:AlternateContent>
    <mc:AlternateContent xmlns:mc="http://schemas.openxmlformats.org/markup-compatibility/2006">
      <mc:Choice Requires="x14">
        <control shapeId="3118" r:id="rId16" name="CommandButton4">
          <controlPr defaultSize="0" autoLine="0" r:id="rId17">
            <anchor moveWithCells="1">
              <from>
                <xdr:col>7</xdr:col>
                <xdr:colOff>133350</xdr:colOff>
                <xdr:row>19</xdr:row>
                <xdr:rowOff>95250</xdr:rowOff>
              </from>
              <to>
                <xdr:col>7</xdr:col>
                <xdr:colOff>1000125</xdr:colOff>
                <xdr:row>20</xdr:row>
                <xdr:rowOff>209550</xdr:rowOff>
              </to>
            </anchor>
          </controlPr>
        </control>
      </mc:Choice>
      <mc:Fallback>
        <control shapeId="3118" r:id="rId16" name="CommandButton4"/>
      </mc:Fallback>
    </mc:AlternateContent>
    <mc:AlternateContent xmlns:mc="http://schemas.openxmlformats.org/markup-compatibility/2006">
      <mc:Choice Requires="x14">
        <control shapeId="3119" r:id="rId18" name="CommandButton7">
          <controlPr defaultSize="0" autoLine="0" r:id="rId19">
            <anchor moveWithCells="1">
              <from>
                <xdr:col>7</xdr:col>
                <xdr:colOff>133350</xdr:colOff>
                <xdr:row>15</xdr:row>
                <xdr:rowOff>47625</xdr:rowOff>
              </from>
              <to>
                <xdr:col>7</xdr:col>
                <xdr:colOff>1000125</xdr:colOff>
                <xdr:row>16</xdr:row>
                <xdr:rowOff>161925</xdr:rowOff>
              </to>
            </anchor>
          </controlPr>
        </control>
      </mc:Choice>
      <mc:Fallback>
        <control shapeId="3119" r:id="rId18" name="CommandButton7"/>
      </mc:Fallback>
    </mc:AlternateContent>
    <mc:AlternateContent xmlns:mc="http://schemas.openxmlformats.org/markup-compatibility/2006">
      <mc:Choice Requires="x14">
        <control shapeId="3120" r:id="rId20" name="CommandButton8">
          <controlPr defaultSize="0" autoLine="0" r:id="rId21">
            <anchor moveWithCells="1">
              <from>
                <xdr:col>7</xdr:col>
                <xdr:colOff>104775</xdr:colOff>
                <xdr:row>2</xdr:row>
                <xdr:rowOff>38100</xdr:rowOff>
              </from>
              <to>
                <xdr:col>7</xdr:col>
                <xdr:colOff>971550</xdr:colOff>
                <xdr:row>3</xdr:row>
                <xdr:rowOff>152400</xdr:rowOff>
              </to>
            </anchor>
          </controlPr>
        </control>
      </mc:Choice>
      <mc:Fallback>
        <control shapeId="3120" r:id="rId20" name="CommandButton8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00000000-0002-0000-0600-000000000000}">
          <x14:formula1>
            <xm:f>drastic!$A$4:$A$13</xm:f>
          </x14:formula1>
          <xm:sqref>F26</xm:sqref>
        </x14:dataValidation>
        <x14:dataValidation type="list" allowBlank="1" showInputMessage="1" showErrorMessage="1" xr:uid="{00000000-0002-0000-0600-000001000000}">
          <x14:formula1>
            <xm:f>drastic!$D$4:$D$14</xm:f>
          </x14:formula1>
          <xm:sqref>G26</xm:sqref>
        </x14:dataValidation>
        <x14:dataValidation type="list" allowBlank="1" showInputMessage="1" showErrorMessage="1" xr:uid="{00000000-0002-0000-0600-000002000000}">
          <x14:formula1>
            <xm:f>drastic!$G$4:$G$14</xm:f>
          </x14:formula1>
          <xm:sqref>I26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293BED-8EDF-4387-816B-E45E4C219CA9}">
  <sheetPr codeName="Sheet7">
    <tabColor rgb="FFC00000"/>
  </sheetPr>
  <dimension ref="A1:M41"/>
  <sheetViews>
    <sheetView workbookViewId="0">
      <selection activeCell="G41" sqref="G41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2.77734375" style="17" customWidth="1"/>
    <col min="4" max="4" width="17.109375" style="1" customWidth="1"/>
    <col min="5" max="5" width="15" style="1" customWidth="1"/>
    <col min="6" max="6" width="16" style="1" customWidth="1"/>
    <col min="7" max="7" width="14.21875" style="1" customWidth="1"/>
    <col min="8" max="8" width="14" style="1" customWidth="1"/>
    <col min="9" max="9" width="20.77734375" style="1" customWidth="1"/>
    <col min="10" max="10" width="14.77734375" style="1" customWidth="1"/>
    <col min="11" max="11" width="15.21875" style="1" customWidth="1"/>
    <col min="12" max="16384" width="8.88671875" style="1"/>
  </cols>
  <sheetData>
    <row r="1" spans="1:13" ht="20.100000000000001" customHeight="1"/>
    <row r="2" spans="1:13" ht="20.100000000000001" customHeight="1" thickBot="1">
      <c r="B2" s="24" t="s">
        <v>237</v>
      </c>
      <c r="C2" s="446" t="str">
        <f>Well!D5</f>
        <v>충남 보령시 천북면 하만리 산 143-6</v>
      </c>
      <c r="H2"/>
      <c r="I2" s="300" t="s">
        <v>280</v>
      </c>
      <c r="J2"/>
      <c r="K2"/>
      <c r="L2"/>
      <c r="M2"/>
    </row>
    <row r="3" spans="1:13" ht="20.100000000000001" customHeight="1">
      <c r="B3" s="2" t="s">
        <v>6</v>
      </c>
      <c r="C3" s="426">
        <f>Well!C5</f>
        <v>0</v>
      </c>
      <c r="D3" s="3" t="s">
        <v>49</v>
      </c>
      <c r="E3" s="4" t="s">
        <v>120</v>
      </c>
      <c r="F3" s="5" t="s">
        <v>110</v>
      </c>
      <c r="G3" s="2" t="s">
        <v>50</v>
      </c>
      <c r="H3"/>
      <c r="I3"/>
      <c r="J3"/>
      <c r="K3"/>
      <c r="L3"/>
      <c r="M3"/>
    </row>
    <row r="4" spans="1:13" ht="20.100000000000001" customHeight="1">
      <c r="B4" s="6" t="s">
        <v>51</v>
      </c>
      <c r="C4" s="427">
        <f>Well!R5</f>
        <v>0</v>
      </c>
      <c r="D4" s="7" t="s">
        <v>52</v>
      </c>
      <c r="E4" s="8">
        <v>0</v>
      </c>
      <c r="F4" s="9"/>
      <c r="G4" s="10"/>
      <c r="H4"/>
      <c r="I4"/>
      <c r="J4"/>
      <c r="K4"/>
      <c r="L4"/>
      <c r="M4"/>
    </row>
    <row r="5" spans="1:13" ht="20.100000000000001" customHeight="1" thickBot="1">
      <c r="B5" s="6" t="s">
        <v>53</v>
      </c>
      <c r="C5" s="427">
        <f>Well!Q5</f>
        <v>0</v>
      </c>
      <c r="D5" s="7" t="s">
        <v>54</v>
      </c>
      <c r="E5" s="33">
        <v>1.877</v>
      </c>
      <c r="F5" s="34">
        <f>$E$5/$C$14</f>
        <v>7.9838366652488311E-3</v>
      </c>
      <c r="G5" s="10">
        <v>3.1720000000000001E-4</v>
      </c>
      <c r="H5"/>
      <c r="I5"/>
      <c r="J5"/>
      <c r="K5"/>
      <c r="L5"/>
      <c r="M5"/>
    </row>
    <row r="6" spans="1:13" ht="20.100000000000001" customHeight="1" thickBot="1">
      <c r="B6" s="6" t="s">
        <v>55</v>
      </c>
      <c r="C6" s="428" t="str">
        <f>Well!D5</f>
        <v>충남 보령시 천북면 하만리 산 143-6</v>
      </c>
      <c r="D6" s="7" t="s">
        <v>57</v>
      </c>
      <c r="E6" s="8">
        <v>1.6819999999999999</v>
      </c>
      <c r="F6" s="34">
        <f>$E$6/$C$14</f>
        <v>7.1544023819651208E-3</v>
      </c>
      <c r="G6" s="10" t="s">
        <v>58</v>
      </c>
      <c r="H6" s="302">
        <v>1.71</v>
      </c>
      <c r="I6"/>
      <c r="J6"/>
      <c r="K6"/>
      <c r="L6"/>
      <c r="M6"/>
    </row>
    <row r="7" spans="1:13" ht="20.100000000000001" customHeight="1" thickBot="1">
      <c r="B7" s="6" t="s">
        <v>56</v>
      </c>
      <c r="C7" s="429">
        <f>Well!H5</f>
        <v>250</v>
      </c>
      <c r="D7" s="338" t="s">
        <v>60</v>
      </c>
      <c r="E7" s="301">
        <f>(E5+E6)/2</f>
        <v>1.7795000000000001</v>
      </c>
      <c r="F7" s="35">
        <f>$E$7/$C$14</f>
        <v>7.5691195236069764E-3</v>
      </c>
      <c r="G7" s="32">
        <f>G5</f>
        <v>3.1720000000000001E-4</v>
      </c>
      <c r="H7" s="161">
        <v>9.2749999999999999E-2</v>
      </c>
      <c r="I7"/>
      <c r="J7"/>
      <c r="K7"/>
      <c r="L7"/>
      <c r="M7"/>
    </row>
    <row r="8" spans="1:13" ht="20.100000000000001" customHeight="1" thickBot="1">
      <c r="B8" s="6" t="s">
        <v>59</v>
      </c>
      <c r="C8" s="429">
        <f>Well!G5</f>
        <v>200</v>
      </c>
    </row>
    <row r="9" spans="1:13" ht="20.100000000000001" customHeight="1" thickBot="1">
      <c r="B9" s="6" t="s">
        <v>61</v>
      </c>
      <c r="C9" s="430">
        <f>C10+C11</f>
        <v>12</v>
      </c>
      <c r="D9" s="11"/>
      <c r="E9" s="12" t="s">
        <v>111</v>
      </c>
      <c r="F9" s="36" t="s">
        <v>112</v>
      </c>
      <c r="G9" s="13" t="s">
        <v>113</v>
      </c>
    </row>
    <row r="10" spans="1:13" ht="20.100000000000001" customHeight="1" thickBot="1">
      <c r="B10" s="6" t="s">
        <v>62</v>
      </c>
      <c r="C10" s="428">
        <v>5</v>
      </c>
      <c r="D10" s="14" t="s">
        <v>63</v>
      </c>
      <c r="E10" s="182">
        <v>62.5</v>
      </c>
      <c r="F10" s="183">
        <v>76.5</v>
      </c>
      <c r="G10" s="184">
        <v>85.8</v>
      </c>
      <c r="H10" s="15"/>
      <c r="I10" s="16"/>
    </row>
    <row r="11" spans="1:13" ht="20.100000000000001" customHeight="1" thickBot="1">
      <c r="B11" s="6" t="s">
        <v>64</v>
      </c>
      <c r="C11" s="428">
        <v>7</v>
      </c>
      <c r="D11" s="339" t="s">
        <v>65</v>
      </c>
      <c r="E11" s="185">
        <f>ROUND(AVERAGE(E10:G10),1)</f>
        <v>74.900000000000006</v>
      </c>
      <c r="F11" s="176">
        <f>ROUND((E10+F10)/2,1)</f>
        <v>69.5</v>
      </c>
      <c r="G11" s="322">
        <f>MAX(E10,F10,G10)</f>
        <v>85.8</v>
      </c>
      <c r="H11" s="15"/>
      <c r="I11" s="16"/>
      <c r="J11" s="508" t="s">
        <v>119</v>
      </c>
      <c r="K11" s="509"/>
    </row>
    <row r="12" spans="1:13" ht="20.100000000000001" customHeight="1">
      <c r="A12" s="17" t="str">
        <f>IF(A13&lt;&gt;C7,"CHECK","OK")</f>
        <v>OK</v>
      </c>
      <c r="B12" s="6" t="s">
        <v>66</v>
      </c>
      <c r="C12" s="431">
        <f>C7-C9</f>
        <v>238</v>
      </c>
      <c r="H12" s="18"/>
      <c r="J12" s="186" t="s">
        <v>121</v>
      </c>
      <c r="K12" s="342">
        <v>34</v>
      </c>
      <c r="L12" s="343">
        <f>K12+180</f>
        <v>214</v>
      </c>
    </row>
    <row r="13" spans="1:13" ht="20.100000000000001" customHeight="1">
      <c r="A13" s="17">
        <f>C10+C11+C12+C13</f>
        <v>250</v>
      </c>
      <c r="B13" s="6" t="s">
        <v>67</v>
      </c>
      <c r="C13" s="431"/>
      <c r="E13" s="242" t="str">
        <f>Recharge!I24</f>
        <v>한강/한강고양</v>
      </c>
      <c r="F13" s="190">
        <f>rf_1</f>
        <v>0.13400000000000001</v>
      </c>
      <c r="G13" s="190">
        <f>allow_ratio</f>
        <v>0.65</v>
      </c>
      <c r="H13" s="19"/>
      <c r="J13" s="186" t="s">
        <v>114</v>
      </c>
      <c r="K13" s="228">
        <v>526</v>
      </c>
      <c r="L13" s="42"/>
    </row>
    <row r="14" spans="1:13" ht="20.100000000000001" customHeight="1">
      <c r="B14" s="6" t="s">
        <v>68</v>
      </c>
      <c r="C14" s="430">
        <f>C7-IF(C20&gt;C9,C20,C9)</f>
        <v>235.1</v>
      </c>
      <c r="G14" s="190">
        <f>max</f>
        <v>1198.3</v>
      </c>
      <c r="H14" s="19"/>
      <c r="J14" s="186" t="s">
        <v>115</v>
      </c>
      <c r="K14" s="228">
        <v>76</v>
      </c>
      <c r="L14" s="42"/>
    </row>
    <row r="15" spans="1:13" ht="20.100000000000001" customHeight="1" thickBot="1">
      <c r="B15" s="6" t="s">
        <v>69</v>
      </c>
      <c r="C15" s="429">
        <f>Well!I5</f>
        <v>150</v>
      </c>
      <c r="E15" s="41">
        <v>2</v>
      </c>
      <c r="J15" s="186" t="s">
        <v>116</v>
      </c>
      <c r="K15" s="228">
        <v>50</v>
      </c>
      <c r="L15" s="42"/>
    </row>
    <row r="16" spans="1:13" ht="20.100000000000001" customHeight="1">
      <c r="B16" s="6" t="s">
        <v>70</v>
      </c>
      <c r="C16" s="432">
        <f>Well!J5</f>
        <v>130</v>
      </c>
      <c r="E16" s="157" t="s">
        <v>73</v>
      </c>
      <c r="F16" s="158" t="s">
        <v>98</v>
      </c>
      <c r="G16" s="159" t="s">
        <v>97</v>
      </c>
      <c r="H16" s="19"/>
      <c r="J16" s="186" t="s">
        <v>122</v>
      </c>
      <c r="K16" s="187">
        <f>K14-C20</f>
        <v>61.1</v>
      </c>
      <c r="L16" s="42"/>
    </row>
    <row r="17" spans="2:12" ht="20.100000000000001" customHeight="1" thickBot="1">
      <c r="B17" s="6" t="s">
        <v>71</v>
      </c>
      <c r="C17" s="429">
        <f>Well!L5</f>
        <v>2</v>
      </c>
      <c r="E17" s="76">
        <f>Well!P5</f>
        <v>3059068</v>
      </c>
      <c r="F17" s="250">
        <f>(max*rf_1*E17/1000)</f>
        <v>491201.27870960004</v>
      </c>
      <c r="G17" s="249">
        <f>F17*allow_ratio</f>
        <v>319280.83116124006</v>
      </c>
      <c r="J17" s="186" t="s">
        <v>117</v>
      </c>
      <c r="K17" s="187">
        <f>K16-K15</f>
        <v>11.100000000000001</v>
      </c>
      <c r="L17" s="42"/>
    </row>
    <row r="18" spans="2:12" ht="20.100000000000001" customHeight="1" thickBot="1">
      <c r="B18" s="6" t="s">
        <v>72</v>
      </c>
      <c r="C18" s="429">
        <f>Well!M5</f>
        <v>60</v>
      </c>
      <c r="E18" s="2" t="s">
        <v>73</v>
      </c>
      <c r="F18" s="30" t="s">
        <v>74</v>
      </c>
      <c r="G18" s="29" t="s">
        <v>75</v>
      </c>
      <c r="H18" s="180" t="s">
        <v>174</v>
      </c>
      <c r="I18" s="28"/>
      <c r="J18" s="188" t="s">
        <v>118</v>
      </c>
      <c r="K18" s="189">
        <f>(K17/K13)</f>
        <v>2.1102661596958179E-2</v>
      </c>
      <c r="L18" s="160">
        <f>K18*100</f>
        <v>2.1102661596958181</v>
      </c>
    </row>
    <row r="19" spans="2:12" ht="20.100000000000001" customHeight="1" thickBot="1">
      <c r="B19" s="21" t="s">
        <v>76</v>
      </c>
      <c r="C19" s="433">
        <f>Well!N5</f>
        <v>50</v>
      </c>
      <c r="E19" s="76">
        <f>E17</f>
        <v>3059068</v>
      </c>
      <c r="F19" s="246">
        <f>(max*rf_1*E19/1000)/365</f>
        <v>1345.7569279715069</v>
      </c>
      <c r="G19" s="247">
        <f>F19*allow_ratio</f>
        <v>874.7420031814795</v>
      </c>
      <c r="H19" s="181">
        <f>G19-F21</f>
        <v>701.94200318147955</v>
      </c>
    </row>
    <row r="20" spans="2:12" ht="20.100000000000001" customHeight="1">
      <c r="B20" s="22" t="s">
        <v>77</v>
      </c>
      <c r="C20" s="434">
        <v>14.9</v>
      </c>
      <c r="D20" s="17"/>
      <c r="E20" s="26" t="s">
        <v>95</v>
      </c>
      <c r="F20" s="27" t="s">
        <v>78</v>
      </c>
      <c r="G20" s="25" t="s">
        <v>79</v>
      </c>
    </row>
    <row r="21" spans="2:12" ht="20.100000000000001" customHeight="1" thickBot="1">
      <c r="B21" s="21" t="s">
        <v>80</v>
      </c>
      <c r="C21" s="435">
        <v>61.7</v>
      </c>
      <c r="D21" s="17"/>
      <c r="E21" s="178">
        <f>Well!$I$5</f>
        <v>150</v>
      </c>
      <c r="F21" s="248">
        <f>Well!O5</f>
        <v>172.8</v>
      </c>
      <c r="G21" s="249">
        <f>G19-E21-F21</f>
        <v>551.94200318147955</v>
      </c>
    </row>
    <row r="22" spans="2:12" ht="20.100000000000001" customHeight="1" thickBot="1">
      <c r="B22" s="31" t="s">
        <v>166</v>
      </c>
      <c r="C22" s="436">
        <f>C21-C20</f>
        <v>46.800000000000004</v>
      </c>
      <c r="E22" s="510">
        <f>E21+F21</f>
        <v>322.8</v>
      </c>
      <c r="F22" s="511"/>
      <c r="G22" s="20"/>
      <c r="I22" s="19"/>
    </row>
    <row r="23" spans="2:12" ht="20.100000000000001" customHeight="1" thickBot="1">
      <c r="B23" s="341" t="s">
        <v>241</v>
      </c>
      <c r="C23" s="340">
        <v>3.8</v>
      </c>
      <c r="E23" s="20"/>
      <c r="F23" s="20"/>
      <c r="G23" s="20"/>
    </row>
    <row r="24" spans="2:12" ht="20.100000000000001" customHeight="1" thickBot="1">
      <c r="E24" s="23"/>
      <c r="F24" s="23"/>
      <c r="G24" s="23"/>
      <c r="H24" s="23"/>
    </row>
    <row r="25" spans="2:12" ht="56.1" customHeight="1">
      <c r="B25" s="504" t="s">
        <v>99</v>
      </c>
      <c r="C25" s="505"/>
      <c r="D25" s="191" t="s">
        <v>108</v>
      </c>
      <c r="E25" s="191" t="s">
        <v>109</v>
      </c>
      <c r="F25" s="191" t="s">
        <v>100</v>
      </c>
      <c r="G25" s="191" t="s">
        <v>101</v>
      </c>
      <c r="H25" s="191" t="s">
        <v>123</v>
      </c>
      <c r="I25" s="191" t="s">
        <v>102</v>
      </c>
      <c r="J25" s="192" t="s">
        <v>103</v>
      </c>
      <c r="K25" s="193" t="s">
        <v>104</v>
      </c>
    </row>
    <row r="26" spans="2:12" ht="25.5" customHeight="1">
      <c r="B26" s="506" t="s">
        <v>49</v>
      </c>
      <c r="C26" s="194" t="s">
        <v>106</v>
      </c>
      <c r="D26" s="195">
        <f>C20</f>
        <v>14.9</v>
      </c>
      <c r="E26" s="196">
        <f>Recharge!C30</f>
        <v>16.057220000000001</v>
      </c>
      <c r="F26" s="197" t="s">
        <v>186</v>
      </c>
      <c r="G26" s="195" t="s">
        <v>235</v>
      </c>
      <c r="H26" s="198">
        <f>L18</f>
        <v>2.1102661596958181</v>
      </c>
      <c r="I26" s="195" t="s">
        <v>186</v>
      </c>
      <c r="J26" s="195">
        <f>(E7/C14)/864</f>
        <v>8.7605550041747415E-6</v>
      </c>
      <c r="K26" s="199" t="s">
        <v>239</v>
      </c>
    </row>
    <row r="27" spans="2:12" ht="25.5" customHeight="1">
      <c r="B27" s="506"/>
      <c r="C27" s="194" t="s">
        <v>107</v>
      </c>
      <c r="D27" s="194">
        <v>5</v>
      </c>
      <c r="E27" s="194">
        <v>8</v>
      </c>
      <c r="F27" s="194">
        <v>3</v>
      </c>
      <c r="G27" s="194">
        <v>4</v>
      </c>
      <c r="H27" s="194">
        <v>9</v>
      </c>
      <c r="I27" s="194">
        <v>4</v>
      </c>
      <c r="J27" s="194">
        <v>2</v>
      </c>
      <c r="K27" s="199" t="s">
        <v>240</v>
      </c>
    </row>
    <row r="28" spans="2:12" ht="25.5" customHeight="1">
      <c r="B28" s="506"/>
      <c r="C28" s="211" t="s">
        <v>179</v>
      </c>
      <c r="D28" s="212">
        <v>5</v>
      </c>
      <c r="E28" s="212">
        <v>4</v>
      </c>
      <c r="F28" s="212">
        <v>3</v>
      </c>
      <c r="G28" s="212">
        <v>2</v>
      </c>
      <c r="H28" s="212">
        <v>1</v>
      </c>
      <c r="I28" s="212">
        <v>5</v>
      </c>
      <c r="J28" s="212">
        <v>3</v>
      </c>
      <c r="K28" s="213"/>
    </row>
    <row r="29" spans="2:12" ht="25.5" customHeight="1">
      <c r="B29" s="506"/>
      <c r="C29" s="211" t="s">
        <v>180</v>
      </c>
      <c r="D29" s="214">
        <v>5</v>
      </c>
      <c r="E29" s="214">
        <v>4</v>
      </c>
      <c r="F29" s="214">
        <v>3</v>
      </c>
      <c r="G29" s="214">
        <v>5</v>
      </c>
      <c r="H29" s="214">
        <v>3</v>
      </c>
      <c r="I29" s="214">
        <v>4</v>
      </c>
      <c r="J29" s="214">
        <v>2</v>
      </c>
      <c r="K29" s="213"/>
    </row>
    <row r="30" spans="2:12" ht="25.5" customHeight="1">
      <c r="B30" s="506"/>
      <c r="C30" s="200" t="s">
        <v>181</v>
      </c>
      <c r="D30" s="201">
        <f>D27*D28</f>
        <v>25</v>
      </c>
      <c r="E30" s="201">
        <f t="shared" ref="E30:J30" si="0">E27*E28</f>
        <v>32</v>
      </c>
      <c r="F30" s="201">
        <f t="shared" si="0"/>
        <v>9</v>
      </c>
      <c r="G30" s="201">
        <f t="shared" si="0"/>
        <v>8</v>
      </c>
      <c r="H30" s="201">
        <f t="shared" si="0"/>
        <v>9</v>
      </c>
      <c r="I30" s="201">
        <f t="shared" si="0"/>
        <v>20</v>
      </c>
      <c r="J30" s="201">
        <f t="shared" si="0"/>
        <v>6</v>
      </c>
      <c r="K30" s="202">
        <f>SUM(D30:J30)</f>
        <v>109</v>
      </c>
    </row>
    <row r="31" spans="2:12" ht="25.5" customHeight="1" thickBot="1">
      <c r="B31" s="507"/>
      <c r="C31" s="203" t="s">
        <v>182</v>
      </c>
      <c r="D31" s="204">
        <f t="shared" ref="D31:J31" si="1">D27*D29</f>
        <v>25</v>
      </c>
      <c r="E31" s="204">
        <f t="shared" si="1"/>
        <v>32</v>
      </c>
      <c r="F31" s="204">
        <f t="shared" si="1"/>
        <v>9</v>
      </c>
      <c r="G31" s="204">
        <f t="shared" si="1"/>
        <v>20</v>
      </c>
      <c r="H31" s="204">
        <f t="shared" si="1"/>
        <v>27</v>
      </c>
      <c r="I31" s="204">
        <f t="shared" si="1"/>
        <v>16</v>
      </c>
      <c r="J31" s="204">
        <f t="shared" si="1"/>
        <v>4</v>
      </c>
      <c r="K31" s="205">
        <f>SUM(D31:J31)</f>
        <v>133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  <row r="40" ht="20.100000000000001" customHeight="1"/>
    <row r="41" ht="20.100000000000001" customHeight="1"/>
  </sheetData>
  <mergeCells count="4">
    <mergeCell ref="J11:K11"/>
    <mergeCell ref="E22:F22"/>
    <mergeCell ref="B25:C25"/>
    <mergeCell ref="B26:B31"/>
  </mergeCells>
  <phoneticPr fontId="7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259081" r:id="rId4" name="CommandButton8">
          <controlPr defaultSize="0" autoLine="0" r:id="rId5">
            <anchor moveWithCells="1">
              <from>
                <xdr:col>7</xdr:col>
                <xdr:colOff>104775</xdr:colOff>
                <xdr:row>2</xdr:row>
                <xdr:rowOff>38100</xdr:rowOff>
              </from>
              <to>
                <xdr:col>7</xdr:col>
                <xdr:colOff>971550</xdr:colOff>
                <xdr:row>3</xdr:row>
                <xdr:rowOff>152400</xdr:rowOff>
              </to>
            </anchor>
          </controlPr>
        </control>
      </mc:Choice>
      <mc:Fallback>
        <control shapeId="259081" r:id="rId4" name="CommandButton8"/>
      </mc:Fallback>
    </mc:AlternateContent>
    <mc:AlternateContent xmlns:mc="http://schemas.openxmlformats.org/markup-compatibility/2006">
      <mc:Choice Requires="x14">
        <control shapeId="259075" r:id="rId6" name="CommandButton6">
          <controlPr defaultSize="0" autoLine="0" r:id="rId7">
            <anchor moveWithCells="1">
              <from>
                <xdr:col>9</xdr:col>
                <xdr:colOff>28575</xdr:colOff>
                <xdr:row>21</xdr:row>
                <xdr:rowOff>123825</xdr:rowOff>
              </from>
              <to>
                <xdr:col>10</xdr:col>
                <xdr:colOff>1209675</xdr:colOff>
                <xdr:row>23</xdr:row>
                <xdr:rowOff>38100</xdr:rowOff>
              </to>
            </anchor>
          </controlPr>
        </control>
      </mc:Choice>
      <mc:Fallback>
        <control shapeId="259075" r:id="rId6" name="CommandButton6"/>
      </mc:Fallback>
    </mc:AlternateContent>
    <mc:AlternateContent xmlns:mc="http://schemas.openxmlformats.org/markup-compatibility/2006">
      <mc:Choice Requires="x14">
        <control shapeId="259074" r:id="rId8" name="Frame1">
          <controlPr defaultSize="0" autoLine="0" r:id="rId9">
            <anchor moveWithCells="1">
              <from>
                <xdr:col>9</xdr:col>
                <xdr:colOff>38100</xdr:colOff>
                <xdr:row>18</xdr:row>
                <xdr:rowOff>123825</xdr:rowOff>
              </from>
              <to>
                <xdr:col>10</xdr:col>
                <xdr:colOff>1162050</xdr:colOff>
                <xdr:row>21</xdr:row>
                <xdr:rowOff>0</xdr:rowOff>
              </to>
            </anchor>
          </controlPr>
        </control>
      </mc:Choice>
      <mc:Fallback>
        <control shapeId="259074" r:id="rId8" name="Frame1"/>
      </mc:Fallback>
    </mc:AlternateContent>
    <mc:AlternateContent xmlns:mc="http://schemas.openxmlformats.org/markup-compatibility/2006">
      <mc:Choice Requires="x14">
        <control shapeId="259073" r:id="rId10" name="CommandButton5">
          <controlPr defaultSize="0" autoLine="0" r:id="rId11">
            <anchor moveWithCells="1">
              <from>
                <xdr:col>9</xdr:col>
                <xdr:colOff>28575</xdr:colOff>
                <xdr:row>7</xdr:row>
                <xdr:rowOff>228600</xdr:rowOff>
              </from>
              <to>
                <xdr:col>10</xdr:col>
                <xdr:colOff>1295400</xdr:colOff>
                <xdr:row>9</xdr:row>
                <xdr:rowOff>180975</xdr:rowOff>
              </to>
            </anchor>
          </controlPr>
        </control>
      </mc:Choice>
      <mc:Fallback>
        <control shapeId="259073" r:id="rId10" name="CommandButton5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F8F5F7D0-F583-42D2-8946-63C800DEA7F2}">
          <x14:formula1>
            <xm:f>drastic!$G$4:$G$14</xm:f>
          </x14:formula1>
          <xm:sqref>I26</xm:sqref>
        </x14:dataValidation>
        <x14:dataValidation type="list" allowBlank="1" showInputMessage="1" showErrorMessage="1" xr:uid="{433C4AAE-9929-4999-87A8-1EDE0E53408E}">
          <x14:formula1>
            <xm:f>drastic!$D$4:$D$14</xm:f>
          </x14:formula1>
          <xm:sqref>G26</xm:sqref>
        </x14:dataValidation>
        <x14:dataValidation type="list" allowBlank="1" showInputMessage="1" showErrorMessage="1" xr:uid="{DDE67E14-5C5B-40A2-90C5-EF3C1149D5A0}">
          <x14:formula1>
            <xm:f>drastic!$A$4:$A$13</xm:f>
          </x14:formula1>
          <xm:sqref>F26</xm:sqref>
        </x14:dataValidation>
      </x14:dataValidation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F794FD-245B-4C89-A5D0-C1800460A824}">
  <sheetPr codeName="Sheet8">
    <tabColor rgb="FFC00000"/>
  </sheetPr>
  <dimension ref="A1:M41"/>
  <sheetViews>
    <sheetView workbookViewId="0">
      <selection activeCell="G41" sqref="G41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2.77734375" style="17" customWidth="1"/>
    <col min="4" max="4" width="17.109375" style="1" customWidth="1"/>
    <col min="5" max="5" width="15" style="1" customWidth="1"/>
    <col min="6" max="6" width="16" style="1" customWidth="1"/>
    <col min="7" max="7" width="14.21875" style="1" customWidth="1"/>
    <col min="8" max="8" width="14" style="1" customWidth="1"/>
    <col min="9" max="9" width="20.77734375" style="1" customWidth="1"/>
    <col min="10" max="10" width="14.77734375" style="1" customWidth="1"/>
    <col min="11" max="11" width="15.21875" style="1" customWidth="1"/>
    <col min="12" max="16384" width="8.88671875" style="1"/>
  </cols>
  <sheetData>
    <row r="1" spans="1:13" ht="20.100000000000001" customHeight="1"/>
    <row r="2" spans="1:13" ht="20.100000000000001" customHeight="1" thickBot="1">
      <c r="B2" s="24" t="s">
        <v>238</v>
      </c>
      <c r="C2" s="17" t="str">
        <f>Well!D6</f>
        <v>충남 보령시 천북면 하만리 산 143-6</v>
      </c>
      <c r="H2"/>
      <c r="I2" s="300" t="s">
        <v>281</v>
      </c>
      <c r="J2"/>
      <c r="K2"/>
      <c r="L2"/>
      <c r="M2"/>
    </row>
    <row r="3" spans="1:13" ht="20.100000000000001" customHeight="1">
      <c r="B3" s="2" t="s">
        <v>6</v>
      </c>
      <c r="C3" s="426">
        <f>Well!C6</f>
        <v>0</v>
      </c>
      <c r="D3" s="3" t="s">
        <v>49</v>
      </c>
      <c r="E3" s="4" t="s">
        <v>120</v>
      </c>
      <c r="F3" s="5" t="s">
        <v>110</v>
      </c>
      <c r="G3" s="2" t="s">
        <v>50</v>
      </c>
      <c r="H3"/>
      <c r="I3"/>
      <c r="J3"/>
      <c r="K3"/>
      <c r="L3"/>
      <c r="M3"/>
    </row>
    <row r="4" spans="1:13" ht="20.100000000000001" customHeight="1">
      <c r="B4" s="6" t="s">
        <v>51</v>
      </c>
      <c r="C4" s="427">
        <f>Well!R6</f>
        <v>0</v>
      </c>
      <c r="D4" s="7" t="s">
        <v>52</v>
      </c>
      <c r="E4" s="8">
        <v>0</v>
      </c>
      <c r="F4" s="9"/>
      <c r="G4" s="10"/>
      <c r="H4"/>
      <c r="I4"/>
      <c r="J4"/>
      <c r="K4"/>
      <c r="L4"/>
      <c r="M4"/>
    </row>
    <row r="5" spans="1:13" ht="20.100000000000001" customHeight="1" thickBot="1">
      <c r="B5" s="6" t="s">
        <v>53</v>
      </c>
      <c r="C5" s="427">
        <f>Well!Q6</f>
        <v>0</v>
      </c>
      <c r="D5" s="7" t="s">
        <v>54</v>
      </c>
      <c r="E5" s="33">
        <v>1.8029999999999999</v>
      </c>
      <c r="F5" s="34">
        <f>$E$5/$C$14</f>
        <v>7.6333615580016934E-3</v>
      </c>
      <c r="G5" s="10">
        <v>3.2009999999999997E-4</v>
      </c>
      <c r="H5"/>
      <c r="I5"/>
      <c r="J5"/>
      <c r="K5"/>
      <c r="L5"/>
      <c r="M5"/>
    </row>
    <row r="6" spans="1:13" ht="20.100000000000001" customHeight="1" thickBot="1">
      <c r="B6" s="6" t="s">
        <v>55</v>
      </c>
      <c r="C6" s="428" t="str">
        <f>Well!D6</f>
        <v>충남 보령시 천북면 하만리 산 143-6</v>
      </c>
      <c r="D6" s="7" t="s">
        <v>57</v>
      </c>
      <c r="E6" s="8">
        <v>1.534</v>
      </c>
      <c r="F6" s="34">
        <f>$E$6/$C$14</f>
        <v>6.4944961896697719E-3</v>
      </c>
      <c r="G6" s="10" t="s">
        <v>58</v>
      </c>
      <c r="H6" s="302">
        <v>1.6850000000000001</v>
      </c>
      <c r="I6"/>
      <c r="J6"/>
      <c r="K6"/>
      <c r="L6"/>
      <c r="M6"/>
    </row>
    <row r="7" spans="1:13" ht="20.100000000000001" customHeight="1" thickBot="1">
      <c r="B7" s="6" t="s">
        <v>56</v>
      </c>
      <c r="C7" s="429">
        <f>Well!H6</f>
        <v>250</v>
      </c>
      <c r="D7" s="338" t="s">
        <v>60</v>
      </c>
      <c r="E7" s="301">
        <f>(E5+E6)/2</f>
        <v>1.6684999999999999</v>
      </c>
      <c r="F7" s="35">
        <f>$E$7/$C$14</f>
        <v>7.0639288738357326E-3</v>
      </c>
      <c r="G7" s="32">
        <f>G5</f>
        <v>3.2009999999999997E-4</v>
      </c>
      <c r="H7" s="161">
        <v>9.0880000000000002E-2</v>
      </c>
      <c r="I7"/>
      <c r="J7"/>
      <c r="K7"/>
      <c r="L7"/>
      <c r="M7"/>
    </row>
    <row r="8" spans="1:13" ht="20.100000000000001" customHeight="1" thickBot="1">
      <c r="B8" s="6" t="s">
        <v>59</v>
      </c>
      <c r="C8" s="429">
        <f>Well!G6</f>
        <v>200</v>
      </c>
    </row>
    <row r="9" spans="1:13" ht="20.100000000000001" customHeight="1" thickBot="1">
      <c r="B9" s="6" t="s">
        <v>61</v>
      </c>
      <c r="C9" s="430">
        <f>C10+C11</f>
        <v>12</v>
      </c>
      <c r="D9" s="11"/>
      <c r="E9" s="12" t="s">
        <v>111</v>
      </c>
      <c r="F9" s="36" t="s">
        <v>112</v>
      </c>
      <c r="G9" s="13" t="s">
        <v>113</v>
      </c>
    </row>
    <row r="10" spans="1:13" ht="20.100000000000001" customHeight="1" thickBot="1">
      <c r="B10" s="6" t="s">
        <v>62</v>
      </c>
      <c r="C10" s="428">
        <v>5</v>
      </c>
      <c r="D10" s="14" t="s">
        <v>63</v>
      </c>
      <c r="E10" s="182">
        <v>61.2</v>
      </c>
      <c r="F10" s="183">
        <v>75</v>
      </c>
      <c r="G10" s="184">
        <v>82.7</v>
      </c>
      <c r="H10" s="15"/>
      <c r="I10" s="16"/>
    </row>
    <row r="11" spans="1:13" ht="20.100000000000001" customHeight="1" thickBot="1">
      <c r="B11" s="6" t="s">
        <v>64</v>
      </c>
      <c r="C11" s="428">
        <v>7</v>
      </c>
      <c r="D11" s="339" t="s">
        <v>65</v>
      </c>
      <c r="E11" s="185">
        <f>ROUND(AVERAGE(E10:G10),1)</f>
        <v>73</v>
      </c>
      <c r="F11" s="176">
        <f>ROUND((E10+F10)/2,1)</f>
        <v>68.099999999999994</v>
      </c>
      <c r="G11" s="322">
        <f>MAX(E10,F10,G10)</f>
        <v>82.7</v>
      </c>
      <c r="H11" s="15"/>
      <c r="I11" s="16"/>
      <c r="J11" s="508" t="s">
        <v>119</v>
      </c>
      <c r="K11" s="509"/>
    </row>
    <row r="12" spans="1:13" ht="20.100000000000001" customHeight="1">
      <c r="A12" s="17" t="str">
        <f>IF(A13&lt;&gt;C7,"CHECK","OK")</f>
        <v>OK</v>
      </c>
      <c r="B12" s="6" t="s">
        <v>66</v>
      </c>
      <c r="C12" s="431">
        <f>C7-C9</f>
        <v>238</v>
      </c>
      <c r="H12" s="18"/>
      <c r="J12" s="186" t="s">
        <v>121</v>
      </c>
      <c r="K12" s="342">
        <v>34</v>
      </c>
      <c r="L12" s="343">
        <f>K12+180</f>
        <v>214</v>
      </c>
    </row>
    <row r="13" spans="1:13" ht="20.100000000000001" customHeight="1">
      <c r="A13" s="17">
        <f>C10+C11+C12+C13</f>
        <v>250</v>
      </c>
      <c r="B13" s="6" t="s">
        <v>67</v>
      </c>
      <c r="C13" s="431"/>
      <c r="E13" s="242" t="str">
        <f>Recharge!I24</f>
        <v>한강/한강고양</v>
      </c>
      <c r="F13" s="190">
        <f>rf_1</f>
        <v>0.13400000000000001</v>
      </c>
      <c r="G13" s="190">
        <f>allow_ratio</f>
        <v>0.65</v>
      </c>
      <c r="H13" s="19"/>
      <c r="J13" s="186" t="s">
        <v>114</v>
      </c>
      <c r="K13" s="228">
        <v>526</v>
      </c>
      <c r="L13" s="42"/>
    </row>
    <row r="14" spans="1:13" ht="20.100000000000001" customHeight="1">
      <c r="B14" s="6" t="s">
        <v>68</v>
      </c>
      <c r="C14" s="430">
        <f>C7-IF(C20&gt;C9,C20,C9)</f>
        <v>236.2</v>
      </c>
      <c r="G14" s="190">
        <f>max</f>
        <v>1198.3</v>
      </c>
      <c r="H14" s="19"/>
      <c r="J14" s="186" t="s">
        <v>115</v>
      </c>
      <c r="K14" s="228">
        <v>76</v>
      </c>
      <c r="L14" s="42"/>
    </row>
    <row r="15" spans="1:13" ht="20.100000000000001" customHeight="1" thickBot="1">
      <c r="B15" s="6" t="s">
        <v>69</v>
      </c>
      <c r="C15" s="429">
        <f>Well!I6</f>
        <v>150</v>
      </c>
      <c r="E15" s="41">
        <v>3</v>
      </c>
      <c r="J15" s="186" t="s">
        <v>116</v>
      </c>
      <c r="K15" s="228">
        <v>50</v>
      </c>
      <c r="L15" s="42"/>
    </row>
    <row r="16" spans="1:13" ht="20.100000000000001" customHeight="1">
      <c r="B16" s="6" t="s">
        <v>70</v>
      </c>
      <c r="C16" s="432">
        <f>Well!J6</f>
        <v>130</v>
      </c>
      <c r="E16" s="157" t="s">
        <v>73</v>
      </c>
      <c r="F16" s="158" t="s">
        <v>98</v>
      </c>
      <c r="G16" s="159" t="s">
        <v>97</v>
      </c>
      <c r="H16" s="19"/>
      <c r="J16" s="186" t="s">
        <v>122</v>
      </c>
      <c r="K16" s="187">
        <f>K14-C20</f>
        <v>62.2</v>
      </c>
      <c r="L16" s="42"/>
    </row>
    <row r="17" spans="2:12" ht="20.100000000000001" customHeight="1" thickBot="1">
      <c r="B17" s="6" t="s">
        <v>71</v>
      </c>
      <c r="C17" s="429">
        <f>Well!L6</f>
        <v>2</v>
      </c>
      <c r="E17" s="76">
        <f>Well!P6</f>
        <v>3059068</v>
      </c>
      <c r="F17" s="250">
        <f>(max*rf_1*E17/1000)</f>
        <v>491201.27870960004</v>
      </c>
      <c r="G17" s="249">
        <f>F17*allow_ratio</f>
        <v>319280.83116124006</v>
      </c>
      <c r="J17" s="186" t="s">
        <v>117</v>
      </c>
      <c r="K17" s="187">
        <f>K16-K15</f>
        <v>12.200000000000003</v>
      </c>
      <c r="L17" s="42"/>
    </row>
    <row r="18" spans="2:12" ht="20.100000000000001" customHeight="1" thickBot="1">
      <c r="B18" s="6" t="s">
        <v>72</v>
      </c>
      <c r="C18" s="429">
        <f>Well!M6</f>
        <v>60</v>
      </c>
      <c r="E18" s="2" t="s">
        <v>73</v>
      </c>
      <c r="F18" s="30" t="s">
        <v>74</v>
      </c>
      <c r="G18" s="29" t="s">
        <v>75</v>
      </c>
      <c r="H18" s="180" t="s">
        <v>174</v>
      </c>
      <c r="I18" s="28"/>
      <c r="J18" s="188" t="s">
        <v>118</v>
      </c>
      <c r="K18" s="189">
        <f>(K17/K13)</f>
        <v>2.3193916349809891E-2</v>
      </c>
      <c r="L18" s="160">
        <f>K18*100</f>
        <v>2.3193916349809891</v>
      </c>
    </row>
    <row r="19" spans="2:12" ht="20.100000000000001" customHeight="1" thickBot="1">
      <c r="B19" s="21" t="s">
        <v>76</v>
      </c>
      <c r="C19" s="433">
        <f>Well!N6</f>
        <v>50</v>
      </c>
      <c r="E19" s="76">
        <f>E17</f>
        <v>3059068</v>
      </c>
      <c r="F19" s="246">
        <f>(max*rf_1*E19/1000)/365</f>
        <v>1345.7569279715069</v>
      </c>
      <c r="G19" s="247">
        <f>F19*allow_ratio</f>
        <v>874.7420031814795</v>
      </c>
      <c r="H19" s="181">
        <f>G19-F21</f>
        <v>701.94200318147955</v>
      </c>
    </row>
    <row r="20" spans="2:12" ht="20.100000000000001" customHeight="1">
      <c r="B20" s="22" t="s">
        <v>77</v>
      </c>
      <c r="C20" s="434">
        <v>13.8</v>
      </c>
      <c r="D20" s="17"/>
      <c r="E20" s="26" t="s">
        <v>95</v>
      </c>
      <c r="F20" s="27" t="s">
        <v>78</v>
      </c>
      <c r="G20" s="25" t="s">
        <v>79</v>
      </c>
    </row>
    <row r="21" spans="2:12" ht="20.100000000000001" customHeight="1" thickBot="1">
      <c r="B21" s="21" t="s">
        <v>80</v>
      </c>
      <c r="C21" s="435">
        <v>62.4</v>
      </c>
      <c r="D21" s="17"/>
      <c r="E21" s="178">
        <f>Well!$I$6</f>
        <v>150</v>
      </c>
      <c r="F21" s="248">
        <f>Well!O6</f>
        <v>172.8</v>
      </c>
      <c r="G21" s="249">
        <f>G19-E21-F21</f>
        <v>551.94200318147955</v>
      </c>
    </row>
    <row r="22" spans="2:12" ht="20.100000000000001" customHeight="1" thickBot="1">
      <c r="B22" s="31" t="s">
        <v>166</v>
      </c>
      <c r="C22" s="436">
        <f>C21-C20</f>
        <v>48.599999999999994</v>
      </c>
      <c r="E22" s="510">
        <f>E21+F21</f>
        <v>322.8</v>
      </c>
      <c r="F22" s="511"/>
      <c r="G22" s="20"/>
      <c r="I22" s="19"/>
    </row>
    <row r="23" spans="2:12" ht="20.100000000000001" customHeight="1" thickBot="1">
      <c r="B23" s="341" t="s">
        <v>241</v>
      </c>
      <c r="C23" s="340">
        <v>3.89</v>
      </c>
      <c r="E23" s="20"/>
      <c r="F23" s="20"/>
      <c r="G23" s="20"/>
    </row>
    <row r="24" spans="2:12" ht="20.100000000000001" customHeight="1" thickBot="1">
      <c r="E24" s="23"/>
      <c r="F24" s="23"/>
      <c r="G24" s="23"/>
      <c r="H24" s="23"/>
    </row>
    <row r="25" spans="2:12" ht="56.1" customHeight="1">
      <c r="B25" s="504" t="s">
        <v>99</v>
      </c>
      <c r="C25" s="505"/>
      <c r="D25" s="191" t="s">
        <v>108</v>
      </c>
      <c r="E25" s="191" t="s">
        <v>109</v>
      </c>
      <c r="F25" s="191" t="s">
        <v>100</v>
      </c>
      <c r="G25" s="191" t="s">
        <v>101</v>
      </c>
      <c r="H25" s="191" t="s">
        <v>123</v>
      </c>
      <c r="I25" s="191" t="s">
        <v>102</v>
      </c>
      <c r="J25" s="192" t="s">
        <v>103</v>
      </c>
      <c r="K25" s="193" t="s">
        <v>104</v>
      </c>
    </row>
    <row r="26" spans="2:12" ht="25.5" customHeight="1">
      <c r="B26" s="506" t="s">
        <v>49</v>
      </c>
      <c r="C26" s="194" t="s">
        <v>106</v>
      </c>
      <c r="D26" s="195">
        <f>C20</f>
        <v>13.8</v>
      </c>
      <c r="E26" s="196">
        <f>Recharge!C30</f>
        <v>16.057220000000001</v>
      </c>
      <c r="F26" s="197" t="s">
        <v>186</v>
      </c>
      <c r="G26" s="195" t="s">
        <v>235</v>
      </c>
      <c r="H26" s="198">
        <f>L18</f>
        <v>2.3193916349809891</v>
      </c>
      <c r="I26" s="195" t="s">
        <v>186</v>
      </c>
      <c r="J26" s="195">
        <f>(E7/C14)/864</f>
        <v>8.175843603976543E-6</v>
      </c>
      <c r="K26" s="199" t="s">
        <v>239</v>
      </c>
    </row>
    <row r="27" spans="2:12" ht="25.5" customHeight="1">
      <c r="B27" s="506"/>
      <c r="C27" s="194" t="s">
        <v>107</v>
      </c>
      <c r="D27" s="194">
        <v>5</v>
      </c>
      <c r="E27" s="194">
        <v>8</v>
      </c>
      <c r="F27" s="194">
        <v>3</v>
      </c>
      <c r="G27" s="194">
        <v>4</v>
      </c>
      <c r="H27" s="194">
        <v>9</v>
      </c>
      <c r="I27" s="194">
        <v>4</v>
      </c>
      <c r="J27" s="194">
        <v>2</v>
      </c>
      <c r="K27" s="199" t="s">
        <v>240</v>
      </c>
    </row>
    <row r="28" spans="2:12" ht="25.5" customHeight="1">
      <c r="B28" s="506"/>
      <c r="C28" s="211" t="s">
        <v>179</v>
      </c>
      <c r="D28" s="212">
        <v>5</v>
      </c>
      <c r="E28" s="212">
        <v>4</v>
      </c>
      <c r="F28" s="212">
        <v>3</v>
      </c>
      <c r="G28" s="212">
        <v>2</v>
      </c>
      <c r="H28" s="212">
        <v>1</v>
      </c>
      <c r="I28" s="212">
        <v>5</v>
      </c>
      <c r="J28" s="212">
        <v>3</v>
      </c>
      <c r="K28" s="213"/>
    </row>
    <row r="29" spans="2:12" ht="25.5" customHeight="1">
      <c r="B29" s="506"/>
      <c r="C29" s="211" t="s">
        <v>180</v>
      </c>
      <c r="D29" s="214">
        <v>5</v>
      </c>
      <c r="E29" s="214">
        <v>4</v>
      </c>
      <c r="F29" s="214">
        <v>3</v>
      </c>
      <c r="G29" s="214">
        <v>5</v>
      </c>
      <c r="H29" s="214">
        <v>3</v>
      </c>
      <c r="I29" s="214">
        <v>4</v>
      </c>
      <c r="J29" s="214">
        <v>2</v>
      </c>
      <c r="K29" s="213"/>
    </row>
    <row r="30" spans="2:12" ht="25.5" customHeight="1">
      <c r="B30" s="506"/>
      <c r="C30" s="200" t="s">
        <v>181</v>
      </c>
      <c r="D30" s="201">
        <f>D27*D28</f>
        <v>25</v>
      </c>
      <c r="E30" s="201">
        <f t="shared" ref="E30:J30" si="0">E27*E28</f>
        <v>32</v>
      </c>
      <c r="F30" s="201">
        <f t="shared" si="0"/>
        <v>9</v>
      </c>
      <c r="G30" s="201">
        <f t="shared" si="0"/>
        <v>8</v>
      </c>
      <c r="H30" s="201">
        <f t="shared" si="0"/>
        <v>9</v>
      </c>
      <c r="I30" s="201">
        <f t="shared" si="0"/>
        <v>20</v>
      </c>
      <c r="J30" s="201">
        <f t="shared" si="0"/>
        <v>6</v>
      </c>
      <c r="K30" s="202">
        <f>SUM(D30:J30)</f>
        <v>109</v>
      </c>
    </row>
    <row r="31" spans="2:12" ht="25.5" customHeight="1" thickBot="1">
      <c r="B31" s="507"/>
      <c r="C31" s="203" t="s">
        <v>182</v>
      </c>
      <c r="D31" s="204">
        <f t="shared" ref="D31:J31" si="1">D27*D29</f>
        <v>25</v>
      </c>
      <c r="E31" s="204">
        <f t="shared" si="1"/>
        <v>32</v>
      </c>
      <c r="F31" s="204">
        <f t="shared" si="1"/>
        <v>9</v>
      </c>
      <c r="G31" s="204">
        <f t="shared" si="1"/>
        <v>20</v>
      </c>
      <c r="H31" s="204">
        <f t="shared" si="1"/>
        <v>27</v>
      </c>
      <c r="I31" s="204">
        <f t="shared" si="1"/>
        <v>16</v>
      </c>
      <c r="J31" s="204">
        <f t="shared" si="1"/>
        <v>4</v>
      </c>
      <c r="K31" s="205">
        <f>SUM(D31:J31)</f>
        <v>133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  <row r="40" ht="20.100000000000001" customHeight="1"/>
    <row r="41" ht="20.100000000000001" customHeight="1"/>
  </sheetData>
  <mergeCells count="4">
    <mergeCell ref="J11:K11"/>
    <mergeCell ref="E22:F22"/>
    <mergeCell ref="B25:C25"/>
    <mergeCell ref="B26:B31"/>
  </mergeCells>
  <phoneticPr fontId="7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260100" r:id="rId4" name="CommandButton8">
          <controlPr defaultSize="0" autoLine="0" r:id="rId5">
            <anchor moveWithCells="1">
              <from>
                <xdr:col>7</xdr:col>
                <xdr:colOff>104775</xdr:colOff>
                <xdr:row>2</xdr:row>
                <xdr:rowOff>38100</xdr:rowOff>
              </from>
              <to>
                <xdr:col>7</xdr:col>
                <xdr:colOff>971550</xdr:colOff>
                <xdr:row>3</xdr:row>
                <xdr:rowOff>152400</xdr:rowOff>
              </to>
            </anchor>
          </controlPr>
        </control>
      </mc:Choice>
      <mc:Fallback>
        <control shapeId="260100" r:id="rId4" name="CommandButton8"/>
      </mc:Fallback>
    </mc:AlternateContent>
    <mc:AlternateContent xmlns:mc="http://schemas.openxmlformats.org/markup-compatibility/2006">
      <mc:Choice Requires="x14">
        <control shapeId="260099" r:id="rId6" name="CommandButton6">
          <controlPr defaultSize="0" autoLine="0" r:id="rId7">
            <anchor moveWithCells="1">
              <from>
                <xdr:col>9</xdr:col>
                <xdr:colOff>28575</xdr:colOff>
                <xdr:row>21</xdr:row>
                <xdr:rowOff>123825</xdr:rowOff>
              </from>
              <to>
                <xdr:col>10</xdr:col>
                <xdr:colOff>1209675</xdr:colOff>
                <xdr:row>23</xdr:row>
                <xdr:rowOff>38100</xdr:rowOff>
              </to>
            </anchor>
          </controlPr>
        </control>
      </mc:Choice>
      <mc:Fallback>
        <control shapeId="260099" r:id="rId6" name="CommandButton6"/>
      </mc:Fallback>
    </mc:AlternateContent>
    <mc:AlternateContent xmlns:mc="http://schemas.openxmlformats.org/markup-compatibility/2006">
      <mc:Choice Requires="x14">
        <control shapeId="260098" r:id="rId8" name="Frame1">
          <controlPr defaultSize="0" autoLine="0" r:id="rId9">
            <anchor moveWithCells="1">
              <from>
                <xdr:col>9</xdr:col>
                <xdr:colOff>38100</xdr:colOff>
                <xdr:row>18</xdr:row>
                <xdr:rowOff>123825</xdr:rowOff>
              </from>
              <to>
                <xdr:col>10</xdr:col>
                <xdr:colOff>1162050</xdr:colOff>
                <xdr:row>21</xdr:row>
                <xdr:rowOff>0</xdr:rowOff>
              </to>
            </anchor>
          </controlPr>
        </control>
      </mc:Choice>
      <mc:Fallback>
        <control shapeId="260098" r:id="rId8" name="Frame1"/>
      </mc:Fallback>
    </mc:AlternateContent>
    <mc:AlternateContent xmlns:mc="http://schemas.openxmlformats.org/markup-compatibility/2006">
      <mc:Choice Requires="x14">
        <control shapeId="260097" r:id="rId10" name="CommandButton5">
          <controlPr defaultSize="0" autoLine="0" r:id="rId11">
            <anchor moveWithCells="1">
              <from>
                <xdr:col>9</xdr:col>
                <xdr:colOff>28575</xdr:colOff>
                <xdr:row>7</xdr:row>
                <xdr:rowOff>228600</xdr:rowOff>
              </from>
              <to>
                <xdr:col>10</xdr:col>
                <xdr:colOff>1295400</xdr:colOff>
                <xdr:row>9</xdr:row>
                <xdr:rowOff>180975</xdr:rowOff>
              </to>
            </anchor>
          </controlPr>
        </control>
      </mc:Choice>
      <mc:Fallback>
        <control shapeId="260097" r:id="rId10" name="CommandButton5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FC835FAA-FAF6-45A8-B6C8-10BF186DC9B1}">
          <x14:formula1>
            <xm:f>drastic!$A$4:$A$13</xm:f>
          </x14:formula1>
          <xm:sqref>F26</xm:sqref>
        </x14:dataValidation>
        <x14:dataValidation type="list" allowBlank="1" showInputMessage="1" showErrorMessage="1" xr:uid="{5D655C88-E88D-41C8-880B-2C956FEBC2ED}">
          <x14:formula1>
            <xm:f>drastic!$D$4:$D$14</xm:f>
          </x14:formula1>
          <xm:sqref>G26</xm:sqref>
        </x14:dataValidation>
        <x14:dataValidation type="list" allowBlank="1" showInputMessage="1" showErrorMessage="1" xr:uid="{C3A1288C-6861-4D40-877A-5FB7930335A1}">
          <x14:formula1>
            <xm:f>drastic!$G$4:$G$14</xm:f>
          </x14:formula1>
          <xm:sqref>I26</xm:sqref>
        </x14:dataValidation>
      </x14:dataValidation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E504F4-D327-4576-B96B-4B6194C22D91}">
  <sheetPr codeName="Sheet22">
    <tabColor theme="2" tint="-9.9978637043366805E-2"/>
  </sheetPr>
  <dimension ref="B1:N44"/>
  <sheetViews>
    <sheetView workbookViewId="0">
      <selection activeCell="G41" sqref="G41"/>
    </sheetView>
  </sheetViews>
  <sheetFormatPr defaultColWidth="8.88671875" defaultRowHeight="16.5"/>
  <cols>
    <col min="1" max="1" width="8.88671875" style="43"/>
    <col min="2" max="2" width="16.6640625" style="43" customWidth="1"/>
    <col min="3" max="4" width="14.6640625" style="43" customWidth="1"/>
    <col min="5" max="5" width="12" style="44" customWidth="1"/>
    <col min="6" max="6" width="12.33203125" style="44" customWidth="1"/>
    <col min="7" max="7" width="8.88671875" style="43"/>
    <col min="8" max="8" width="9.88671875" style="43" customWidth="1"/>
    <col min="9" max="9" width="8.33203125" style="43" customWidth="1"/>
    <col min="10" max="10" width="8.77734375" style="43" customWidth="1"/>
    <col min="11" max="16384" width="8.88671875" style="43"/>
  </cols>
  <sheetData>
    <row r="1" spans="2:14" s="38" customFormat="1" ht="18" customHeight="1">
      <c r="E1" s="37"/>
      <c r="F1" s="37"/>
    </row>
    <row r="2" spans="2:14" s="38" customFormat="1" ht="18" customHeight="1">
      <c r="B2" s="38" t="s">
        <v>81</v>
      </c>
      <c r="E2" s="37"/>
      <c r="F2" s="37"/>
    </row>
    <row r="3" spans="2:14" s="38" customFormat="1" ht="18" customHeight="1">
      <c r="E3" s="37"/>
      <c r="F3" s="37"/>
    </row>
    <row r="4" spans="2:14" s="147" customFormat="1" ht="26.25" customHeight="1">
      <c r="B4" s="145" t="s">
        <v>94</v>
      </c>
      <c r="C4" s="146" t="s">
        <v>87</v>
      </c>
      <c r="E4" s="146"/>
      <c r="F4" s="146"/>
    </row>
    <row r="5" spans="2:14" s="38" customFormat="1" ht="18" customHeight="1" thickBot="1">
      <c r="E5" s="37"/>
      <c r="F5" s="37"/>
    </row>
    <row r="6" spans="2:14" s="38" customFormat="1" ht="26.1" customHeight="1">
      <c r="B6" s="326" t="s">
        <v>82</v>
      </c>
      <c r="C6" s="327">
        <v>44753.861111111109</v>
      </c>
      <c r="D6" s="125"/>
      <c r="E6" s="37"/>
      <c r="F6" s="37"/>
    </row>
    <row r="7" spans="2:14" s="38" customFormat="1" ht="26.1" customHeight="1" thickBot="1">
      <c r="B7" s="328" t="s">
        <v>83</v>
      </c>
      <c r="C7" s="329">
        <v>14.6</v>
      </c>
      <c r="D7" s="125"/>
      <c r="E7" s="37"/>
      <c r="F7" s="37"/>
    </row>
    <row r="8" spans="2:14" s="38" customFormat="1" ht="26.1" customHeight="1">
      <c r="B8" s="126" t="s">
        <v>84</v>
      </c>
      <c r="C8" s="127">
        <v>211</v>
      </c>
      <c r="D8" s="125"/>
      <c r="E8" s="37"/>
      <c r="F8" s="37"/>
    </row>
    <row r="9" spans="2:14" s="38" customFormat="1" ht="26.1" customHeight="1">
      <c r="B9" s="126" t="s">
        <v>85</v>
      </c>
      <c r="C9" s="148">
        <v>6.7</v>
      </c>
      <c r="D9" s="125"/>
      <c r="E9" s="37"/>
      <c r="F9" s="37"/>
    </row>
    <row r="10" spans="2:14" s="38" customFormat="1" ht="26.1" customHeight="1">
      <c r="B10" s="126"/>
      <c r="C10" s="127"/>
      <c r="D10" s="125"/>
      <c r="E10" s="37"/>
      <c r="F10" s="37"/>
    </row>
    <row r="11" spans="2:14" s="38" customFormat="1" ht="18" customHeight="1" thickBot="1">
      <c r="E11" s="37"/>
      <c r="F11" s="37"/>
      <c r="L11"/>
      <c r="M11"/>
      <c r="N11"/>
    </row>
    <row r="12" spans="2:14" s="37" customFormat="1" ht="26.1" customHeight="1">
      <c r="B12" s="514" t="s">
        <v>86</v>
      </c>
      <c r="C12" s="515"/>
      <c r="D12" s="516" t="s">
        <v>87</v>
      </c>
      <c r="E12" s="517"/>
      <c r="F12" s="515"/>
      <c r="H12" s="514" t="s">
        <v>87</v>
      </c>
      <c r="I12" s="517"/>
      <c r="J12" s="515"/>
      <c r="L12"/>
      <c r="M12"/>
      <c r="N12"/>
    </row>
    <row r="13" spans="2:14" s="37" customFormat="1" ht="26.1" customHeight="1">
      <c r="B13" s="128" t="s">
        <v>82</v>
      </c>
      <c r="C13" s="129" t="s">
        <v>88</v>
      </c>
      <c r="D13" s="143" t="s">
        <v>89</v>
      </c>
      <c r="E13" s="130" t="s">
        <v>90</v>
      </c>
      <c r="F13" s="129" t="s">
        <v>91</v>
      </c>
      <c r="H13" s="128" t="s">
        <v>89</v>
      </c>
      <c r="I13" s="130" t="s">
        <v>90</v>
      </c>
      <c r="J13" s="129" t="s">
        <v>91</v>
      </c>
      <c r="L13"/>
      <c r="M13"/>
      <c r="N13"/>
    </row>
    <row r="14" spans="2:14" s="37" customFormat="1" ht="26.1" customHeight="1">
      <c r="B14" s="149">
        <f>$C$6+C14/1440</f>
        <v>44753.864583333328</v>
      </c>
      <c r="C14" s="72">
        <v>5</v>
      </c>
      <c r="D14" s="150">
        <f t="shared" ref="D14:D20" si="0">baseTemp+H14</f>
        <v>14.799999999999999</v>
      </c>
      <c r="E14" s="151">
        <f>$C$8+I14</f>
        <v>208</v>
      </c>
      <c r="F14" s="132">
        <f>$C$9+J14</f>
        <v>6.59</v>
      </c>
      <c r="H14" s="69">
        <v>0.2</v>
      </c>
      <c r="I14" s="70">
        <v>-3</v>
      </c>
      <c r="J14" s="71">
        <v>-0.11</v>
      </c>
      <c r="L14"/>
      <c r="M14"/>
      <c r="N14"/>
    </row>
    <row r="15" spans="2:14" s="37" customFormat="1" ht="26.1" customHeight="1">
      <c r="B15" s="152">
        <f t="shared" ref="B15:B23" si="1">$C$6+C15/1440</f>
        <v>44753.881944444445</v>
      </c>
      <c r="C15" s="71">
        <v>30</v>
      </c>
      <c r="D15" s="153">
        <f t="shared" si="0"/>
        <v>14.4</v>
      </c>
      <c r="E15" s="154">
        <f t="shared" ref="E15:E20" si="2">$C$8+I15</f>
        <v>214</v>
      </c>
      <c r="F15" s="134">
        <f t="shared" ref="F15:F20" si="3">$C$9+J15</f>
        <v>6.8</v>
      </c>
      <c r="H15" s="69">
        <v>-0.2</v>
      </c>
      <c r="I15" s="70">
        <v>3</v>
      </c>
      <c r="J15" s="71">
        <v>0.1</v>
      </c>
      <c r="L15"/>
      <c r="M15"/>
      <c r="N15"/>
    </row>
    <row r="16" spans="2:14" s="37" customFormat="1" ht="26.1" customHeight="1">
      <c r="B16" s="152">
        <f t="shared" si="1"/>
        <v>44753.902777777774</v>
      </c>
      <c r="C16" s="71">
        <v>60</v>
      </c>
      <c r="D16" s="153">
        <f t="shared" si="0"/>
        <v>14.4</v>
      </c>
      <c r="E16" s="154">
        <f t="shared" si="2"/>
        <v>213</v>
      </c>
      <c r="F16" s="134">
        <f t="shared" si="3"/>
        <v>6.61</v>
      </c>
      <c r="H16" s="69">
        <v>-0.2</v>
      </c>
      <c r="I16" s="70">
        <v>2</v>
      </c>
      <c r="J16" s="71">
        <v>-0.09</v>
      </c>
      <c r="L16"/>
      <c r="M16"/>
      <c r="N16"/>
    </row>
    <row r="17" spans="2:14" s="37" customFormat="1" ht="26.1" customHeight="1">
      <c r="B17" s="152">
        <f t="shared" si="1"/>
        <v>44753.944444444445</v>
      </c>
      <c r="C17" s="71">
        <v>120</v>
      </c>
      <c r="D17" s="153">
        <f t="shared" si="0"/>
        <v>14.9</v>
      </c>
      <c r="E17" s="154">
        <f t="shared" si="2"/>
        <v>209</v>
      </c>
      <c r="F17" s="134">
        <f t="shared" si="3"/>
        <v>6.58</v>
      </c>
      <c r="H17" s="69">
        <v>0.3</v>
      </c>
      <c r="I17" s="70">
        <v>-2</v>
      </c>
      <c r="J17" s="71">
        <v>-0.12</v>
      </c>
      <c r="L17"/>
      <c r="M17"/>
      <c r="N17"/>
    </row>
    <row r="18" spans="2:14" s="37" customFormat="1" ht="26.1" customHeight="1">
      <c r="B18" s="152">
        <f t="shared" si="1"/>
        <v>44754.027777777774</v>
      </c>
      <c r="C18" s="71">
        <v>240</v>
      </c>
      <c r="D18" s="153">
        <f t="shared" si="0"/>
        <v>14.299999999999999</v>
      </c>
      <c r="E18" s="154">
        <f t="shared" si="2"/>
        <v>210</v>
      </c>
      <c r="F18" s="134">
        <f t="shared" si="3"/>
        <v>6.63</v>
      </c>
      <c r="H18" s="69">
        <v>-0.3</v>
      </c>
      <c r="I18" s="70">
        <v>-1</v>
      </c>
      <c r="J18" s="71">
        <v>-7.0000000000000007E-2</v>
      </c>
      <c r="L18"/>
      <c r="M18"/>
      <c r="N18"/>
    </row>
    <row r="19" spans="2:14" s="37" customFormat="1" ht="26.1" customHeight="1">
      <c r="B19" s="152">
        <f t="shared" si="1"/>
        <v>44754.194444444445</v>
      </c>
      <c r="C19" s="71">
        <v>480</v>
      </c>
      <c r="D19" s="155">
        <f t="shared" si="0"/>
        <v>14.799999999999999</v>
      </c>
      <c r="E19" s="154">
        <f t="shared" si="2"/>
        <v>213</v>
      </c>
      <c r="F19" s="134">
        <f t="shared" si="3"/>
        <v>6.6000000000000005</v>
      </c>
      <c r="H19" s="69">
        <v>0.2</v>
      </c>
      <c r="I19" s="70">
        <v>2</v>
      </c>
      <c r="J19" s="71">
        <v>-0.1</v>
      </c>
      <c r="L19"/>
      <c r="M19"/>
      <c r="N19"/>
    </row>
    <row r="20" spans="2:14" s="38" customFormat="1" ht="26.1" customHeight="1">
      <c r="B20" s="152">
        <f t="shared" si="1"/>
        <v>44754.861111111109</v>
      </c>
      <c r="C20" s="71">
        <v>1440</v>
      </c>
      <c r="D20" s="153">
        <f t="shared" si="0"/>
        <v>14.799999999999999</v>
      </c>
      <c r="E20" s="154">
        <f t="shared" si="2"/>
        <v>208</v>
      </c>
      <c r="F20" s="134">
        <f t="shared" si="3"/>
        <v>6.79</v>
      </c>
      <c r="H20" s="69">
        <v>0.2</v>
      </c>
      <c r="I20" s="70">
        <v>-3</v>
      </c>
      <c r="J20" s="71">
        <v>0.09</v>
      </c>
      <c r="L20"/>
      <c r="M20"/>
      <c r="N20"/>
    </row>
    <row r="21" spans="2:14" s="38" customFormat="1" ht="26.1" customHeight="1">
      <c r="B21" s="152">
        <f t="shared" si="1"/>
        <v>44755.027777777774</v>
      </c>
      <c r="C21" s="71">
        <v>1680</v>
      </c>
      <c r="D21" s="153">
        <f>$D$20</f>
        <v>14.799999999999999</v>
      </c>
      <c r="E21" s="154">
        <f>$E$20</f>
        <v>208</v>
      </c>
      <c r="F21" s="134">
        <f>$F$20</f>
        <v>6.79</v>
      </c>
      <c r="H21" s="69">
        <v>0.1</v>
      </c>
      <c r="I21" s="70">
        <v>-1</v>
      </c>
      <c r="J21" s="71">
        <v>-0.11</v>
      </c>
      <c r="L21"/>
      <c r="M21"/>
      <c r="N21"/>
    </row>
    <row r="22" spans="2:14" s="38" customFormat="1" ht="26.1" customHeight="1">
      <c r="B22" s="152">
        <f t="shared" si="1"/>
        <v>44755.194444444445</v>
      </c>
      <c r="C22" s="71">
        <v>1920</v>
      </c>
      <c r="D22" s="153">
        <f t="shared" ref="D22:D23" si="4">$D$20</f>
        <v>14.799999999999999</v>
      </c>
      <c r="E22" s="154">
        <f t="shared" ref="E22:E23" si="5">$E$20</f>
        <v>208</v>
      </c>
      <c r="F22" s="134">
        <f t="shared" ref="F22:F23" si="6">$F$20</f>
        <v>6.79</v>
      </c>
      <c r="H22" s="69">
        <v>0.2</v>
      </c>
      <c r="I22" s="70">
        <v>-1</v>
      </c>
      <c r="J22" s="71">
        <v>0.12</v>
      </c>
      <c r="L22"/>
      <c r="M22"/>
      <c r="N22"/>
    </row>
    <row r="23" spans="2:14" s="38" customFormat="1" ht="26.1" customHeight="1" thickBot="1">
      <c r="B23" s="152">
        <f t="shared" si="1"/>
        <v>44755.861111111109</v>
      </c>
      <c r="C23" s="71">
        <v>2880</v>
      </c>
      <c r="D23" s="153">
        <f t="shared" si="4"/>
        <v>14.799999999999999</v>
      </c>
      <c r="E23" s="154">
        <f t="shared" si="5"/>
        <v>208</v>
      </c>
      <c r="F23" s="134">
        <f t="shared" si="6"/>
        <v>6.79</v>
      </c>
      <c r="H23" s="75">
        <v>-0.1</v>
      </c>
      <c r="I23" s="73">
        <v>-1</v>
      </c>
      <c r="J23" s="74">
        <v>0.12</v>
      </c>
      <c r="L23"/>
      <c r="M23"/>
      <c r="N23"/>
    </row>
    <row r="24" spans="2:14" s="38" customFormat="1" ht="26.1" customHeight="1">
      <c r="B24" s="518" t="s">
        <v>36</v>
      </c>
      <c r="C24" s="519"/>
      <c r="D24" s="143">
        <f>MAX(D14:D23)</f>
        <v>14.9</v>
      </c>
      <c r="E24" s="130">
        <f t="shared" ref="E24:F24" si="7">MAX(E14:E23)</f>
        <v>214</v>
      </c>
      <c r="F24" s="129">
        <f t="shared" si="7"/>
        <v>6.8</v>
      </c>
      <c r="H24" s="37"/>
      <c r="I24" s="37"/>
      <c r="J24" s="37"/>
    </row>
    <row r="25" spans="2:14" s="38" customFormat="1" ht="26.1" customHeight="1">
      <c r="B25" s="518" t="s">
        <v>37</v>
      </c>
      <c r="C25" s="519"/>
      <c r="D25" s="143">
        <f>MIN(D14:D23)</f>
        <v>14.299999999999999</v>
      </c>
      <c r="E25" s="130">
        <f t="shared" ref="E25:F25" si="8">MIN(E14:E23)</f>
        <v>208</v>
      </c>
      <c r="F25" s="129">
        <f t="shared" si="8"/>
        <v>6.58</v>
      </c>
      <c r="H25" s="37"/>
      <c r="I25" s="37"/>
      <c r="J25" s="37"/>
    </row>
    <row r="26" spans="2:14" s="38" customFormat="1" ht="26.1" customHeight="1" thickBot="1">
      <c r="B26" s="512" t="s">
        <v>92</v>
      </c>
      <c r="C26" s="513"/>
      <c r="D26" s="144">
        <f>D24-D25</f>
        <v>0.60000000000000142</v>
      </c>
      <c r="E26" s="137">
        <f t="shared" ref="E26:F26" si="9">E24-E25</f>
        <v>6</v>
      </c>
      <c r="F26" s="138">
        <f t="shared" si="9"/>
        <v>0.21999999999999975</v>
      </c>
      <c r="H26" s="37"/>
      <c r="I26" s="37"/>
      <c r="J26" s="37"/>
    </row>
    <row r="27" spans="2:14" s="38" customFormat="1" ht="18" customHeight="1">
      <c r="E27" s="37"/>
      <c r="F27" s="37"/>
    </row>
    <row r="28" spans="2:14" s="38" customFormat="1" ht="18" customHeight="1">
      <c r="E28" s="37"/>
      <c r="F28" s="37"/>
    </row>
    <row r="29" spans="2:14" s="38" customFormat="1" ht="18" customHeight="1">
      <c r="E29" s="37"/>
      <c r="F29" s="37"/>
    </row>
    <row r="30" spans="2:14" s="38" customFormat="1" ht="18" customHeight="1">
      <c r="E30" s="37"/>
      <c r="F30" s="37"/>
    </row>
    <row r="31" spans="2:14" s="38" customFormat="1" ht="18" customHeight="1">
      <c r="E31" s="37"/>
      <c r="F31" s="37"/>
    </row>
    <row r="32" spans="2:14" s="38" customFormat="1" ht="18" customHeight="1">
      <c r="E32" s="37"/>
      <c r="F32" s="37"/>
    </row>
    <row r="33" spans="5:6" s="38" customFormat="1" ht="18" customHeight="1">
      <c r="E33" s="37"/>
      <c r="F33" s="37"/>
    </row>
    <row r="34" spans="5:6" s="38" customFormat="1" ht="18" customHeight="1">
      <c r="E34" s="37"/>
      <c r="F34" s="37"/>
    </row>
    <row r="35" spans="5:6" s="38" customFormat="1" ht="18" customHeight="1">
      <c r="E35" s="37"/>
      <c r="F35" s="37"/>
    </row>
    <row r="36" spans="5:6" s="38" customFormat="1" ht="18" customHeight="1">
      <c r="E36" s="37"/>
      <c r="F36" s="37"/>
    </row>
    <row r="37" spans="5:6" s="38" customFormat="1" ht="18" customHeight="1">
      <c r="E37" s="37"/>
      <c r="F37" s="37"/>
    </row>
    <row r="38" spans="5:6" ht="18" customHeight="1"/>
    <row r="39" spans="5:6" ht="18" customHeight="1"/>
    <row r="40" spans="5:6" ht="18" customHeight="1"/>
    <row r="41" spans="5:6" ht="18" customHeight="1"/>
    <row r="42" spans="5:6" ht="18" customHeight="1"/>
    <row r="43" spans="5:6" ht="18" customHeight="1"/>
    <row r="44" spans="5:6" ht="18" customHeight="1"/>
  </sheetData>
  <mergeCells count="6">
    <mergeCell ref="B26:C26"/>
    <mergeCell ref="B12:C12"/>
    <mergeCell ref="D12:F12"/>
    <mergeCell ref="H12:J12"/>
    <mergeCell ref="B24:C24"/>
    <mergeCell ref="B25:C25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9027" r:id="rId4" name="CommandButton3">
          <controlPr defaultSize="0" autoLine="0" r:id="rId5">
            <anchor moveWithCells="1">
              <from>
                <xdr:col>4</xdr:col>
                <xdr:colOff>76200</xdr:colOff>
                <xdr:row>7</xdr:row>
                <xdr:rowOff>161925</xdr:rowOff>
              </from>
              <to>
                <xdr:col>6</xdr:col>
                <xdr:colOff>104775</xdr:colOff>
                <xdr:row>8</xdr:row>
                <xdr:rowOff>161925</xdr:rowOff>
              </to>
            </anchor>
          </controlPr>
        </control>
      </mc:Choice>
      <mc:Fallback>
        <control shapeId="129027" r:id="rId4" name="CommandButton3"/>
      </mc:Fallback>
    </mc:AlternateContent>
    <mc:AlternateContent xmlns:mc="http://schemas.openxmlformats.org/markup-compatibility/2006">
      <mc:Choice Requires="x14">
        <control shapeId="129026" r:id="rId6" name="CommandButton2">
          <controlPr defaultSize="0" autoLine="0" r:id="rId7">
            <anchor moveWithCells="1">
              <from>
                <xdr:col>4</xdr:col>
                <xdr:colOff>76200</xdr:colOff>
                <xdr:row>6</xdr:row>
                <xdr:rowOff>104775</xdr:rowOff>
              </from>
              <to>
                <xdr:col>6</xdr:col>
                <xdr:colOff>104775</xdr:colOff>
                <xdr:row>7</xdr:row>
                <xdr:rowOff>114300</xdr:rowOff>
              </to>
            </anchor>
          </controlPr>
        </control>
      </mc:Choice>
      <mc:Fallback>
        <control shapeId="129026" r:id="rId6" name="CommandButton2"/>
      </mc:Fallback>
    </mc:AlternateContent>
    <mc:AlternateContent xmlns:mc="http://schemas.openxmlformats.org/markup-compatibility/2006">
      <mc:Choice Requires="x14">
        <control shapeId="129025" r:id="rId8" name="CommandButton1">
          <controlPr defaultSize="0" autoLine="0" r:id="rId9">
            <anchor moveWithCells="1">
              <from>
                <xdr:col>4</xdr:col>
                <xdr:colOff>76200</xdr:colOff>
                <xdr:row>5</xdr:row>
                <xdr:rowOff>38100</xdr:rowOff>
              </from>
              <to>
                <xdr:col>6</xdr:col>
                <xdr:colOff>104775</xdr:colOff>
                <xdr:row>6</xdr:row>
                <xdr:rowOff>57150</xdr:rowOff>
              </to>
            </anchor>
          </controlPr>
        </control>
      </mc:Choice>
      <mc:Fallback>
        <control shapeId="129025" r:id="rId8" name="CommandButton1"/>
      </mc:Fallback>
    </mc:AlternateContent>
  </controls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6D1F2F-2031-42B4-8DF5-29BAAE160EF7}">
  <sheetPr codeName="Sheet23">
    <tabColor theme="2" tint="-9.9978637043366805E-2"/>
  </sheetPr>
  <dimension ref="B1:J44"/>
  <sheetViews>
    <sheetView workbookViewId="0">
      <selection activeCell="G41" sqref="G41"/>
    </sheetView>
  </sheetViews>
  <sheetFormatPr defaultColWidth="8.88671875" defaultRowHeight="16.5"/>
  <cols>
    <col min="1" max="1" width="8.88671875" style="43"/>
    <col min="2" max="2" width="13.109375" style="43" customWidth="1"/>
    <col min="3" max="3" width="11.6640625" style="43" bestFit="1" customWidth="1"/>
    <col min="4" max="4" width="8.77734375" style="43" customWidth="1"/>
    <col min="5" max="6" width="8.77734375" style="44" customWidth="1"/>
    <col min="7" max="13" width="8.77734375" style="43" customWidth="1"/>
    <col min="14" max="16384" width="8.88671875" style="43"/>
  </cols>
  <sheetData>
    <row r="1" spans="2:9" s="38" customFormat="1" ht="18" customHeight="1">
      <c r="E1" s="37"/>
      <c r="F1" s="37"/>
    </row>
    <row r="2" spans="2:9" s="38" customFormat="1" ht="18" customHeight="1">
      <c r="B2" s="38" t="s">
        <v>81</v>
      </c>
      <c r="E2" s="37"/>
      <c r="F2" s="37"/>
    </row>
    <row r="3" spans="2:9" s="38" customFormat="1" ht="18" customHeight="1">
      <c r="E3" s="37"/>
      <c r="F3" s="37"/>
    </row>
    <row r="4" spans="2:9" s="38" customFormat="1" ht="18" customHeight="1">
      <c r="B4" s="53" t="s">
        <v>94</v>
      </c>
      <c r="E4" s="37"/>
      <c r="F4" s="37"/>
    </row>
    <row r="5" spans="2:9" s="38" customFormat="1" ht="18" customHeight="1" thickBot="1">
      <c r="E5" s="37"/>
      <c r="F5" s="37"/>
    </row>
    <row r="6" spans="2:9" s="38" customFormat="1" ht="26.1" customHeight="1">
      <c r="B6" s="330" t="s">
        <v>82</v>
      </c>
      <c r="C6" s="331">
        <v>44753.861111111109</v>
      </c>
      <c r="D6" s="125"/>
      <c r="E6" s="37"/>
      <c r="F6" s="37"/>
    </row>
    <row r="7" spans="2:9" s="38" customFormat="1" ht="26.1" customHeight="1" thickBot="1">
      <c r="B7" s="328" t="s">
        <v>83</v>
      </c>
      <c r="C7" s="329">
        <v>14</v>
      </c>
      <c r="D7" s="125"/>
      <c r="E7" s="37"/>
      <c r="F7" s="37"/>
    </row>
    <row r="8" spans="2:9" s="38" customFormat="1" ht="26.1" customHeight="1">
      <c r="B8" s="126" t="s">
        <v>84</v>
      </c>
      <c r="C8" s="127">
        <v>226</v>
      </c>
      <c r="D8" s="126">
        <v>229</v>
      </c>
      <c r="E8" s="37"/>
      <c r="F8" s="37"/>
    </row>
    <row r="9" spans="2:9" s="38" customFormat="1" ht="26.1" customHeight="1">
      <c r="B9" s="126" t="s">
        <v>85</v>
      </c>
      <c r="C9" s="127">
        <v>7.9</v>
      </c>
      <c r="D9" s="126">
        <v>7.8</v>
      </c>
      <c r="E9" s="37"/>
      <c r="F9" s="37"/>
    </row>
    <row r="10" spans="2:9" s="38" customFormat="1" ht="26.1" customHeight="1">
      <c r="B10" s="126"/>
      <c r="C10" s="127"/>
      <c r="D10" s="125"/>
      <c r="E10" s="37"/>
      <c r="F10" s="37"/>
    </row>
    <row r="11" spans="2:9" s="38" customFormat="1" ht="18" customHeight="1" thickBot="1">
      <c r="E11" s="37"/>
      <c r="F11" s="37"/>
    </row>
    <row r="12" spans="2:9" s="37" customFormat="1" ht="26.1" customHeight="1">
      <c r="B12" s="514" t="s">
        <v>86</v>
      </c>
      <c r="C12" s="515"/>
      <c r="D12" s="514" t="s">
        <v>87</v>
      </c>
      <c r="E12" s="517"/>
      <c r="F12" s="515"/>
      <c r="G12" s="520" t="s">
        <v>159</v>
      </c>
      <c r="H12" s="521"/>
      <c r="I12" s="522"/>
    </row>
    <row r="13" spans="2:9" s="37" customFormat="1" ht="26.1" customHeight="1">
      <c r="B13" s="128" t="s">
        <v>82</v>
      </c>
      <c r="C13" s="129" t="s">
        <v>88</v>
      </c>
      <c r="D13" s="308" t="s">
        <v>89</v>
      </c>
      <c r="E13" s="309" t="s">
        <v>90</v>
      </c>
      <c r="F13" s="310" t="s">
        <v>91</v>
      </c>
      <c r="G13" s="314" t="s">
        <v>89</v>
      </c>
      <c r="H13" s="315" t="s">
        <v>90</v>
      </c>
      <c r="I13" s="316" t="s">
        <v>91</v>
      </c>
    </row>
    <row r="14" spans="2:9" s="37" customFormat="1" ht="26.1" customHeight="1">
      <c r="B14" s="131">
        <f>$C$6+C14/1440</f>
        <v>44753.864583333328</v>
      </c>
      <c r="C14" s="72">
        <v>5</v>
      </c>
      <c r="D14" s="321">
        <f t="shared" ref="D14:D23" si="0">baseTemp+D31</f>
        <v>14</v>
      </c>
      <c r="E14" s="312">
        <f t="shared" ref="E14:E20" si="1">$C$8+E31</f>
        <v>223</v>
      </c>
      <c r="F14" s="313">
        <f t="shared" ref="F14:F20" si="2">$C$9+F31</f>
        <v>7.83</v>
      </c>
      <c r="G14" s="321">
        <f t="shared" ref="G14:G20" si="3">baseTemp+H31</f>
        <v>14</v>
      </c>
      <c r="H14" s="312">
        <f>$D$8+I31</f>
        <v>232</v>
      </c>
      <c r="I14" s="313">
        <f>$D$9+J31</f>
        <v>7.89</v>
      </c>
    </row>
    <row r="15" spans="2:9" s="37" customFormat="1" ht="26.1" customHeight="1">
      <c r="B15" s="133">
        <f t="shared" ref="B15:B23" si="4">$C$6+C15/1440</f>
        <v>44753.881944444445</v>
      </c>
      <c r="C15" s="71">
        <v>30</v>
      </c>
      <c r="D15" s="321">
        <f t="shared" si="0"/>
        <v>14.1</v>
      </c>
      <c r="E15" s="312">
        <f t="shared" si="1"/>
        <v>224</v>
      </c>
      <c r="F15" s="313">
        <f t="shared" si="2"/>
        <v>7.82</v>
      </c>
      <c r="G15" s="321">
        <f t="shared" si="3"/>
        <v>14</v>
      </c>
      <c r="H15" s="312">
        <f t="shared" ref="H15:H20" si="5">$D$8+I32</f>
        <v>226</v>
      </c>
      <c r="I15" s="313">
        <f t="shared" ref="I15:I20" si="6">$D$9+J32</f>
        <v>7.71</v>
      </c>
    </row>
    <row r="16" spans="2:9" s="37" customFormat="1" ht="26.1" customHeight="1">
      <c r="B16" s="133">
        <f t="shared" si="4"/>
        <v>44753.902777777774</v>
      </c>
      <c r="C16" s="71">
        <v>60</v>
      </c>
      <c r="D16" s="321">
        <f t="shared" si="0"/>
        <v>14</v>
      </c>
      <c r="E16" s="312">
        <f t="shared" si="1"/>
        <v>228</v>
      </c>
      <c r="F16" s="313">
        <f t="shared" si="2"/>
        <v>8.01</v>
      </c>
      <c r="G16" s="321">
        <f t="shared" si="3"/>
        <v>13.9</v>
      </c>
      <c r="H16" s="312">
        <f t="shared" si="5"/>
        <v>232</v>
      </c>
      <c r="I16" s="313">
        <f t="shared" si="6"/>
        <v>7.7</v>
      </c>
    </row>
    <row r="17" spans="2:10" s="37" customFormat="1" ht="26.1" customHeight="1">
      <c r="B17" s="133">
        <f t="shared" si="4"/>
        <v>44753.944444444445</v>
      </c>
      <c r="C17" s="71">
        <v>120</v>
      </c>
      <c r="D17" s="321">
        <f t="shared" si="0"/>
        <v>14</v>
      </c>
      <c r="E17" s="312">
        <f t="shared" si="1"/>
        <v>228</v>
      </c>
      <c r="F17" s="313">
        <f t="shared" si="2"/>
        <v>8.01</v>
      </c>
      <c r="G17" s="321">
        <f t="shared" si="3"/>
        <v>13.9</v>
      </c>
      <c r="H17" s="312">
        <f t="shared" si="5"/>
        <v>228</v>
      </c>
      <c r="I17" s="313">
        <f t="shared" si="6"/>
        <v>7.7</v>
      </c>
    </row>
    <row r="18" spans="2:10" s="37" customFormat="1" ht="26.1" customHeight="1">
      <c r="B18" s="133">
        <f t="shared" si="4"/>
        <v>44754.027777777774</v>
      </c>
      <c r="C18" s="71">
        <v>240</v>
      </c>
      <c r="D18" s="321">
        <f t="shared" si="0"/>
        <v>14.1</v>
      </c>
      <c r="E18" s="312">
        <f t="shared" si="1"/>
        <v>227</v>
      </c>
      <c r="F18" s="313">
        <f t="shared" si="2"/>
        <v>8.01</v>
      </c>
      <c r="G18" s="321">
        <f t="shared" si="3"/>
        <v>13.9</v>
      </c>
      <c r="H18" s="312">
        <f t="shared" si="5"/>
        <v>230</v>
      </c>
      <c r="I18" s="313">
        <f t="shared" si="6"/>
        <v>7.7</v>
      </c>
    </row>
    <row r="19" spans="2:10" s="37" customFormat="1" ht="26.1" customHeight="1">
      <c r="B19" s="133">
        <f t="shared" si="4"/>
        <v>44754.194444444445</v>
      </c>
      <c r="C19" s="71">
        <v>480</v>
      </c>
      <c r="D19" s="321">
        <f t="shared" si="0"/>
        <v>14</v>
      </c>
      <c r="E19" s="312">
        <f t="shared" si="1"/>
        <v>225</v>
      </c>
      <c r="F19" s="313">
        <f t="shared" si="2"/>
        <v>7.78</v>
      </c>
      <c r="G19" s="321">
        <f t="shared" si="3"/>
        <v>13.9</v>
      </c>
      <c r="H19" s="312">
        <f t="shared" si="5"/>
        <v>228</v>
      </c>
      <c r="I19" s="313">
        <f t="shared" si="6"/>
        <v>7.92</v>
      </c>
    </row>
    <row r="20" spans="2:10" s="38" customFormat="1" ht="26.1" customHeight="1">
      <c r="B20" s="133">
        <f t="shared" si="4"/>
        <v>44754.861111111109</v>
      </c>
      <c r="C20" s="71">
        <v>1440</v>
      </c>
      <c r="D20" s="321">
        <f t="shared" si="0"/>
        <v>14.1</v>
      </c>
      <c r="E20" s="312">
        <f t="shared" si="1"/>
        <v>227</v>
      </c>
      <c r="F20" s="313">
        <f t="shared" si="2"/>
        <v>7.9700000000000006</v>
      </c>
      <c r="G20" s="321">
        <f t="shared" si="3"/>
        <v>13.9</v>
      </c>
      <c r="H20" s="312">
        <f t="shared" si="5"/>
        <v>227</v>
      </c>
      <c r="I20" s="313">
        <f t="shared" si="6"/>
        <v>7.7299999999999995</v>
      </c>
    </row>
    <row r="21" spans="2:10" s="38" customFormat="1" ht="26.1" customHeight="1">
      <c r="B21" s="133">
        <f t="shared" si="4"/>
        <v>44755.027777777774</v>
      </c>
      <c r="C21" s="71">
        <v>1680</v>
      </c>
      <c r="D21" s="321">
        <f t="shared" si="0"/>
        <v>14</v>
      </c>
      <c r="E21" s="312">
        <f>$E$20</f>
        <v>227</v>
      </c>
      <c r="F21" s="313">
        <f>$F$20</f>
        <v>7.9700000000000006</v>
      </c>
      <c r="G21" s="321">
        <f>$G$20</f>
        <v>13.9</v>
      </c>
      <c r="H21" s="312">
        <f>$H$20</f>
        <v>227</v>
      </c>
      <c r="I21" s="313">
        <f>$I$20</f>
        <v>7.7299999999999995</v>
      </c>
    </row>
    <row r="22" spans="2:10" s="38" customFormat="1" ht="26.1" customHeight="1">
      <c r="B22" s="133">
        <f t="shared" si="4"/>
        <v>44755.194444444445</v>
      </c>
      <c r="C22" s="71">
        <v>1920</v>
      </c>
      <c r="D22" s="321">
        <f t="shared" si="0"/>
        <v>14</v>
      </c>
      <c r="E22" s="312">
        <f t="shared" ref="E22:E23" si="7">$E$20</f>
        <v>227</v>
      </c>
      <c r="F22" s="313">
        <f t="shared" ref="F22:F23" si="8">$F$20</f>
        <v>7.9700000000000006</v>
      </c>
      <c r="G22" s="321">
        <f t="shared" ref="G22:G23" si="9">$G$20</f>
        <v>13.9</v>
      </c>
      <c r="H22" s="312">
        <f t="shared" ref="H22:H23" si="10">$H$20</f>
        <v>227</v>
      </c>
      <c r="I22" s="313">
        <f t="shared" ref="I22:I23" si="11">$I$20</f>
        <v>7.7299999999999995</v>
      </c>
    </row>
    <row r="23" spans="2:10" s="38" customFormat="1" ht="26.1" customHeight="1">
      <c r="B23" s="135">
        <f t="shared" si="4"/>
        <v>44755.861111111109</v>
      </c>
      <c r="C23" s="136">
        <v>2880</v>
      </c>
      <c r="D23" s="321">
        <f t="shared" si="0"/>
        <v>14</v>
      </c>
      <c r="E23" s="312">
        <f t="shared" si="7"/>
        <v>227</v>
      </c>
      <c r="F23" s="313">
        <f t="shared" si="8"/>
        <v>7.9700000000000006</v>
      </c>
      <c r="G23" s="321">
        <f t="shared" si="9"/>
        <v>13.9</v>
      </c>
      <c r="H23" s="312">
        <f t="shared" si="10"/>
        <v>227</v>
      </c>
      <c r="I23" s="313">
        <f t="shared" si="11"/>
        <v>7.7299999999999995</v>
      </c>
    </row>
    <row r="24" spans="2:10" s="38" customFormat="1" ht="26.1" customHeight="1">
      <c r="B24" s="518" t="s">
        <v>36</v>
      </c>
      <c r="C24" s="519"/>
      <c r="D24" s="314">
        <f>MAX(D14:D23)</f>
        <v>14.1</v>
      </c>
      <c r="E24" s="315">
        <f t="shared" ref="E24:F24" si="12">MAX(E14:E23)</f>
        <v>228</v>
      </c>
      <c r="F24" s="316">
        <f t="shared" si="12"/>
        <v>8.01</v>
      </c>
      <c r="G24" s="314">
        <f>MAX(G14:G23)</f>
        <v>14</v>
      </c>
      <c r="H24" s="315">
        <f t="shared" ref="H24:I24" si="13">MAX(H14:H23)</f>
        <v>232</v>
      </c>
      <c r="I24" s="316">
        <f t="shared" si="13"/>
        <v>7.92</v>
      </c>
      <c r="J24" s="37"/>
    </row>
    <row r="25" spans="2:10" s="38" customFormat="1" ht="26.1" customHeight="1">
      <c r="B25" s="518" t="s">
        <v>37</v>
      </c>
      <c r="C25" s="519"/>
      <c r="D25" s="314">
        <f>MIN(D14:D23)</f>
        <v>14</v>
      </c>
      <c r="E25" s="315">
        <f t="shared" ref="E25:F25" si="14">MIN(E14:E23)</f>
        <v>223</v>
      </c>
      <c r="F25" s="317">
        <f t="shared" si="14"/>
        <v>7.78</v>
      </c>
      <c r="G25" s="314">
        <f>MIN(G14:G23)</f>
        <v>13.9</v>
      </c>
      <c r="H25" s="315">
        <f t="shared" ref="H25:I25" si="15">MIN(H14:H23)</f>
        <v>226</v>
      </c>
      <c r="I25" s="316">
        <f t="shared" si="15"/>
        <v>7.7</v>
      </c>
      <c r="J25" s="37"/>
    </row>
    <row r="26" spans="2:10" s="38" customFormat="1" ht="26.1" customHeight="1" thickBot="1">
      <c r="B26" s="512" t="s">
        <v>92</v>
      </c>
      <c r="C26" s="513"/>
      <c r="D26" s="318">
        <f>D24-D25</f>
        <v>9.9999999999999645E-2</v>
      </c>
      <c r="E26" s="319">
        <f t="shared" ref="E26:F26" si="16">E24-E25</f>
        <v>5</v>
      </c>
      <c r="F26" s="320">
        <f t="shared" si="16"/>
        <v>0.22999999999999954</v>
      </c>
      <c r="G26" s="318">
        <f>G24-G25</f>
        <v>9.9999999999999645E-2</v>
      </c>
      <c r="H26" s="319">
        <f t="shared" ref="H26:I26" si="17">H24-H25</f>
        <v>6</v>
      </c>
      <c r="I26" s="320">
        <f t="shared" si="17"/>
        <v>0.21999999999999975</v>
      </c>
      <c r="J26" s="37"/>
    </row>
    <row r="27" spans="2:10" s="38" customFormat="1" ht="18" customHeight="1">
      <c r="E27" s="37"/>
      <c r="F27" s="37"/>
    </row>
    <row r="28" spans="2:10" s="38" customFormat="1" ht="18" customHeight="1" thickBot="1">
      <c r="E28" s="37"/>
      <c r="F28" s="37"/>
    </row>
    <row r="29" spans="2:10" s="38" customFormat="1" ht="18" customHeight="1">
      <c r="D29" s="514" t="s">
        <v>87</v>
      </c>
      <c r="E29" s="517"/>
      <c r="F29" s="515"/>
      <c r="H29" s="514" t="s">
        <v>159</v>
      </c>
      <c r="I29" s="517"/>
      <c r="J29" s="515"/>
    </row>
    <row r="30" spans="2:10" s="38" customFormat="1" ht="18" customHeight="1">
      <c r="D30" s="128" t="s">
        <v>89</v>
      </c>
      <c r="E30" s="130" t="s">
        <v>90</v>
      </c>
      <c r="F30" s="129" t="s">
        <v>91</v>
      </c>
      <c r="H30" s="128" t="s">
        <v>89</v>
      </c>
      <c r="I30" s="130" t="s">
        <v>90</v>
      </c>
      <c r="J30" s="129" t="s">
        <v>91</v>
      </c>
    </row>
    <row r="31" spans="2:10" s="38" customFormat="1" ht="18" customHeight="1">
      <c r="D31" s="139">
        <v>0</v>
      </c>
      <c r="E31" s="70">
        <v>-3</v>
      </c>
      <c r="F31" s="140">
        <v>-7.0000000000000007E-2</v>
      </c>
      <c r="H31" s="139">
        <v>0</v>
      </c>
      <c r="I31" s="70">
        <v>3</v>
      </c>
      <c r="J31" s="140">
        <v>0.09</v>
      </c>
    </row>
    <row r="32" spans="2:10" s="38" customFormat="1" ht="18" customHeight="1">
      <c r="D32" s="139">
        <v>0.1</v>
      </c>
      <c r="E32" s="70">
        <v>-2</v>
      </c>
      <c r="F32" s="140">
        <v>-0.08</v>
      </c>
      <c r="H32" s="139">
        <v>0</v>
      </c>
      <c r="I32" s="70">
        <v>-3</v>
      </c>
      <c r="J32" s="140">
        <v>-0.09</v>
      </c>
    </row>
    <row r="33" spans="4:10" s="38" customFormat="1" ht="18" customHeight="1">
      <c r="D33" s="139">
        <v>0</v>
      </c>
      <c r="E33" s="70">
        <v>2</v>
      </c>
      <c r="F33" s="140">
        <v>0.11</v>
      </c>
      <c r="H33" s="139">
        <v>-0.1</v>
      </c>
      <c r="I33" s="70">
        <v>3</v>
      </c>
      <c r="J33" s="140">
        <v>-0.1</v>
      </c>
    </row>
    <row r="34" spans="4:10" s="38" customFormat="1" ht="18" customHeight="1">
      <c r="D34" s="139">
        <v>0</v>
      </c>
      <c r="E34" s="70">
        <v>2</v>
      </c>
      <c r="F34" s="140">
        <v>0.11</v>
      </c>
      <c r="H34" s="139">
        <v>-0.1</v>
      </c>
      <c r="I34" s="70">
        <v>-1</v>
      </c>
      <c r="J34" s="140">
        <v>-0.1</v>
      </c>
    </row>
    <row r="35" spans="4:10" s="38" customFormat="1" ht="18" customHeight="1">
      <c r="D35" s="139">
        <v>0.1</v>
      </c>
      <c r="E35" s="70">
        <v>1</v>
      </c>
      <c r="F35" s="140">
        <v>0.11</v>
      </c>
      <c r="H35" s="139">
        <v>-0.1</v>
      </c>
      <c r="I35" s="70">
        <v>1</v>
      </c>
      <c r="J35" s="140">
        <v>-0.1</v>
      </c>
    </row>
    <row r="36" spans="4:10" s="38" customFormat="1" ht="18" customHeight="1">
      <c r="D36" s="139">
        <v>0</v>
      </c>
      <c r="E36" s="70">
        <v>-1</v>
      </c>
      <c r="F36" s="140">
        <v>-0.12</v>
      </c>
      <c r="H36" s="139">
        <v>-0.1</v>
      </c>
      <c r="I36" s="70">
        <v>-1</v>
      </c>
      <c r="J36" s="140">
        <v>0.12</v>
      </c>
    </row>
    <row r="37" spans="4:10" s="38" customFormat="1" ht="18" customHeight="1">
      <c r="D37" s="139">
        <v>0.1</v>
      </c>
      <c r="E37" s="70">
        <v>1</v>
      </c>
      <c r="F37" s="140">
        <v>7.0000000000000007E-2</v>
      </c>
      <c r="H37" s="139">
        <v>-0.1</v>
      </c>
      <c r="I37" s="70">
        <v>-2</v>
      </c>
      <c r="J37" s="140">
        <v>-7.0000000000000007E-2</v>
      </c>
    </row>
    <row r="38" spans="4:10" ht="18" customHeight="1">
      <c r="D38" s="139">
        <v>0</v>
      </c>
      <c r="E38" s="70">
        <v>-1</v>
      </c>
      <c r="F38" s="140">
        <v>0.12</v>
      </c>
      <c r="H38" s="139">
        <v>0.1</v>
      </c>
      <c r="I38" s="70">
        <v>-1</v>
      </c>
      <c r="J38" s="140">
        <v>0.08</v>
      </c>
    </row>
    <row r="39" spans="4:10" ht="18" customHeight="1">
      <c r="D39" s="139">
        <v>0</v>
      </c>
      <c r="E39" s="70">
        <v>1</v>
      </c>
      <c r="F39" s="140">
        <v>0.11</v>
      </c>
      <c r="H39" s="139">
        <v>-0.1</v>
      </c>
      <c r="I39" s="70">
        <v>-2</v>
      </c>
      <c r="J39" s="140">
        <v>0.09</v>
      </c>
    </row>
    <row r="40" spans="4:10" ht="18" customHeight="1" thickBot="1">
      <c r="D40" s="141">
        <v>0</v>
      </c>
      <c r="E40" s="73">
        <v>-3</v>
      </c>
      <c r="F40" s="142">
        <v>-0.11</v>
      </c>
      <c r="H40" s="141">
        <v>-0.1</v>
      </c>
      <c r="I40" s="73">
        <v>-2</v>
      </c>
      <c r="J40" s="142">
        <v>0.09</v>
      </c>
    </row>
    <row r="41" spans="4:10" ht="18" customHeight="1"/>
    <row r="42" spans="4:10" ht="18" customHeight="1"/>
    <row r="43" spans="4:10" ht="18" customHeight="1"/>
    <row r="44" spans="4:10" ht="18" customHeight="1"/>
  </sheetData>
  <mergeCells count="8">
    <mergeCell ref="D29:F29"/>
    <mergeCell ref="H29:J29"/>
    <mergeCell ref="B12:C12"/>
    <mergeCell ref="D12:F12"/>
    <mergeCell ref="G12:I12"/>
    <mergeCell ref="B24:C24"/>
    <mergeCell ref="B25:C25"/>
    <mergeCell ref="B26:C26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6978" r:id="rId4" name="CommandButton2">
          <controlPr defaultSize="0" autoLine="0" r:id="rId5">
            <anchor moveWithCells="1">
              <from>
                <xdr:col>4</xdr:col>
                <xdr:colOff>142875</xdr:colOff>
                <xdr:row>6</xdr:row>
                <xdr:rowOff>114300</xdr:rowOff>
              </from>
              <to>
                <xdr:col>6</xdr:col>
                <xdr:colOff>600075</xdr:colOff>
                <xdr:row>7</xdr:row>
                <xdr:rowOff>133350</xdr:rowOff>
              </to>
            </anchor>
          </controlPr>
        </control>
      </mc:Choice>
      <mc:Fallback>
        <control shapeId="126978" r:id="rId4" name="CommandButton2"/>
      </mc:Fallback>
    </mc:AlternateContent>
    <mc:AlternateContent xmlns:mc="http://schemas.openxmlformats.org/markup-compatibility/2006">
      <mc:Choice Requires="x14">
        <control shapeId="126977" r:id="rId6" name="CommandButton1">
          <controlPr defaultSize="0" autoLine="0" r:id="rId7">
            <anchor moveWithCells="1">
              <from>
                <xdr:col>4</xdr:col>
                <xdr:colOff>142875</xdr:colOff>
                <xdr:row>5</xdr:row>
                <xdr:rowOff>38100</xdr:rowOff>
              </from>
              <to>
                <xdr:col>6</xdr:col>
                <xdr:colOff>600075</xdr:colOff>
                <xdr:row>6</xdr:row>
                <xdr:rowOff>57150</xdr:rowOff>
              </to>
            </anchor>
          </controlPr>
        </control>
      </mc:Choice>
      <mc:Fallback>
        <control shapeId="126977" r:id="rId6" name="CommandButton1"/>
      </mc:Fallback>
    </mc:AlternateContent>
    <mc:AlternateContent xmlns:mc="http://schemas.openxmlformats.org/markup-compatibility/2006">
      <mc:Choice Requires="x14">
        <control shapeId="126979" r:id="rId8" name="CommandButton3">
          <controlPr defaultSize="0" autoLine="0" r:id="rId9">
            <anchor moveWithCells="1">
              <from>
                <xdr:col>4</xdr:col>
                <xdr:colOff>133350</xdr:colOff>
                <xdr:row>7</xdr:row>
                <xdr:rowOff>200025</xdr:rowOff>
              </from>
              <to>
                <xdr:col>6</xdr:col>
                <xdr:colOff>647700</xdr:colOff>
                <xdr:row>8</xdr:row>
                <xdr:rowOff>228600</xdr:rowOff>
              </to>
            </anchor>
          </controlPr>
        </control>
      </mc:Choice>
      <mc:Fallback>
        <control shapeId="126979" r:id="rId8" name="CommandButton3"/>
      </mc:Fallback>
    </mc:AlternateContent>
  </controls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04B297-66F3-47E5-817C-85E87D53E034}">
  <sheetPr codeName="Sheet24">
    <tabColor theme="2" tint="-9.9978637043366805E-2"/>
  </sheetPr>
  <dimension ref="B1:N44"/>
  <sheetViews>
    <sheetView workbookViewId="0">
      <selection activeCell="G41" sqref="G41"/>
    </sheetView>
  </sheetViews>
  <sheetFormatPr defaultColWidth="8.88671875" defaultRowHeight="16.5"/>
  <cols>
    <col min="1" max="1" width="8.88671875" style="43"/>
    <col min="2" max="2" width="13.109375" style="43" customWidth="1"/>
    <col min="3" max="3" width="10.77734375" style="43" bestFit="1" customWidth="1"/>
    <col min="4" max="4" width="7.33203125" style="43" customWidth="1"/>
    <col min="5" max="6" width="7.33203125" style="44" customWidth="1"/>
    <col min="7" max="12" width="7.33203125" style="43" customWidth="1"/>
    <col min="13" max="23" width="6.77734375" style="43" customWidth="1"/>
    <col min="24" max="16384" width="8.88671875" style="43"/>
  </cols>
  <sheetData>
    <row r="1" spans="2:12" s="38" customFormat="1" ht="18" customHeight="1">
      <c r="E1" s="37"/>
      <c r="F1" s="37"/>
    </row>
    <row r="2" spans="2:12" s="38" customFormat="1" ht="18" customHeight="1">
      <c r="B2" s="38" t="s">
        <v>81</v>
      </c>
      <c r="E2" s="37"/>
      <c r="F2" s="37"/>
    </row>
    <row r="3" spans="2:12" s="38" customFormat="1" ht="18" customHeight="1">
      <c r="E3" s="37"/>
      <c r="F3" s="37"/>
    </row>
    <row r="4" spans="2:12" s="38" customFormat="1" ht="18" customHeight="1">
      <c r="B4" s="53" t="s">
        <v>94</v>
      </c>
      <c r="E4" s="37"/>
      <c r="F4" s="37"/>
    </row>
    <row r="5" spans="2:12" s="38" customFormat="1" ht="18" customHeight="1" thickBot="1">
      <c r="E5" s="37"/>
      <c r="F5" s="37"/>
    </row>
    <row r="6" spans="2:12" s="38" customFormat="1" ht="26.1" customHeight="1">
      <c r="B6" s="330" t="s">
        <v>82</v>
      </c>
      <c r="C6" s="331">
        <v>44717.430555555555</v>
      </c>
      <c r="D6" s="125"/>
      <c r="E6" s="37"/>
      <c r="F6" s="37"/>
    </row>
    <row r="7" spans="2:12" s="38" customFormat="1" ht="26.1" customHeight="1" thickBot="1">
      <c r="B7" s="328" t="s">
        <v>83</v>
      </c>
      <c r="C7" s="329">
        <v>14.7</v>
      </c>
      <c r="D7" s="125"/>
      <c r="E7" s="37"/>
      <c r="F7" s="37"/>
    </row>
    <row r="8" spans="2:12" s="38" customFormat="1" ht="26.1" customHeight="1">
      <c r="B8" s="126" t="s">
        <v>84</v>
      </c>
      <c r="C8" s="127">
        <v>197</v>
      </c>
      <c r="D8" s="126">
        <v>197</v>
      </c>
      <c r="E8" s="37">
        <v>194</v>
      </c>
      <c r="F8" s="37"/>
    </row>
    <row r="9" spans="2:12" s="38" customFormat="1" ht="26.1" customHeight="1">
      <c r="B9" s="126" t="s">
        <v>85</v>
      </c>
      <c r="C9" s="127">
        <v>8.4</v>
      </c>
      <c r="D9" s="126">
        <v>8.3000000000000007</v>
      </c>
      <c r="E9" s="37">
        <v>8.4</v>
      </c>
      <c r="F9" s="37"/>
    </row>
    <row r="10" spans="2:12" s="38" customFormat="1" ht="26.1" customHeight="1">
      <c r="B10" s="126"/>
      <c r="C10" s="127"/>
      <c r="D10" s="125"/>
      <c r="E10" s="37"/>
      <c r="F10" s="37"/>
    </row>
    <row r="11" spans="2:12" s="38" customFormat="1" ht="18" customHeight="1" thickBot="1">
      <c r="E11" s="37"/>
      <c r="F11" s="37"/>
    </row>
    <row r="12" spans="2:12" s="37" customFormat="1" ht="27" customHeight="1">
      <c r="B12" s="514" t="s">
        <v>86</v>
      </c>
      <c r="C12" s="515"/>
      <c r="D12" s="520" t="s">
        <v>242</v>
      </c>
      <c r="E12" s="521"/>
      <c r="F12" s="522"/>
      <c r="G12" s="520" t="s">
        <v>159</v>
      </c>
      <c r="H12" s="521"/>
      <c r="I12" s="522"/>
      <c r="J12" s="520" t="s">
        <v>160</v>
      </c>
      <c r="K12" s="521"/>
      <c r="L12" s="522"/>
    </row>
    <row r="13" spans="2:12" s="37" customFormat="1" ht="27" customHeight="1">
      <c r="B13" s="128" t="s">
        <v>82</v>
      </c>
      <c r="C13" s="129" t="s">
        <v>88</v>
      </c>
      <c r="D13" s="314" t="s">
        <v>163</v>
      </c>
      <c r="E13" s="315" t="s">
        <v>173</v>
      </c>
      <c r="F13" s="316" t="s">
        <v>91</v>
      </c>
      <c r="G13" s="314" t="s">
        <v>163</v>
      </c>
      <c r="H13" s="315" t="s">
        <v>173</v>
      </c>
      <c r="I13" s="316" t="s">
        <v>91</v>
      </c>
      <c r="J13" s="314" t="s">
        <v>163</v>
      </c>
      <c r="K13" s="315" t="s">
        <v>173</v>
      </c>
      <c r="L13" s="316" t="s">
        <v>91</v>
      </c>
    </row>
    <row r="14" spans="2:12" s="37" customFormat="1" ht="27" customHeight="1">
      <c r="B14" s="131">
        <f>$C$6+C14/1440</f>
        <v>44717.434027777774</v>
      </c>
      <c r="C14" s="72">
        <v>5</v>
      </c>
      <c r="D14" s="311">
        <f t="shared" ref="D14:D20" si="0">baseTemp+D31</f>
        <v>14.7</v>
      </c>
      <c r="E14" s="312">
        <f t="shared" ref="E14:E20" si="1">$C$8+E31</f>
        <v>194</v>
      </c>
      <c r="F14" s="313">
        <f t="shared" ref="F14:F20" si="2">$C$9+F31</f>
        <v>8.33</v>
      </c>
      <c r="G14" s="321">
        <f t="shared" ref="G14:G20" si="3">baseTemp+H31</f>
        <v>14.7</v>
      </c>
      <c r="H14" s="312">
        <f>$D$8+I31</f>
        <v>200</v>
      </c>
      <c r="I14" s="313">
        <f>$D$9+J31</f>
        <v>8.39</v>
      </c>
      <c r="J14" s="321">
        <f t="shared" ref="J14:J20" si="4">baseTemp+L31</f>
        <v>14.7</v>
      </c>
      <c r="K14" s="312">
        <f>$E$8+M31</f>
        <v>195</v>
      </c>
      <c r="L14" s="313">
        <f>$E$9+N31</f>
        <v>8.2800000000000011</v>
      </c>
    </row>
    <row r="15" spans="2:12" s="37" customFormat="1" ht="27" customHeight="1">
      <c r="B15" s="133">
        <f t="shared" ref="B15:B23" si="5">$C$6+C15/1440</f>
        <v>44717.451388888891</v>
      </c>
      <c r="C15" s="71">
        <v>30</v>
      </c>
      <c r="D15" s="311">
        <f t="shared" si="0"/>
        <v>14.799999999999999</v>
      </c>
      <c r="E15" s="312">
        <f t="shared" si="1"/>
        <v>195</v>
      </c>
      <c r="F15" s="313">
        <f t="shared" si="2"/>
        <v>8.32</v>
      </c>
      <c r="G15" s="321">
        <f t="shared" si="3"/>
        <v>14.7</v>
      </c>
      <c r="H15" s="312">
        <f t="shared" ref="H15:H20" si="6">$D$8+I32</f>
        <v>194</v>
      </c>
      <c r="I15" s="313">
        <f t="shared" ref="I15:I20" si="7">$D$9+J32</f>
        <v>8.2100000000000009</v>
      </c>
      <c r="J15" s="321">
        <f t="shared" si="4"/>
        <v>14.7</v>
      </c>
      <c r="K15" s="312">
        <f t="shared" ref="K15:K20" si="8">$E$8+M32</f>
        <v>192</v>
      </c>
      <c r="L15" s="313">
        <f t="shared" ref="L15:L20" si="9">$E$9+N32</f>
        <v>8.49</v>
      </c>
    </row>
    <row r="16" spans="2:12" s="37" customFormat="1" ht="27" customHeight="1">
      <c r="B16" s="133">
        <f t="shared" si="5"/>
        <v>44717.472222222219</v>
      </c>
      <c r="C16" s="71">
        <v>60</v>
      </c>
      <c r="D16" s="311">
        <f t="shared" si="0"/>
        <v>14.7</v>
      </c>
      <c r="E16" s="312">
        <f t="shared" si="1"/>
        <v>199</v>
      </c>
      <c r="F16" s="313">
        <f t="shared" si="2"/>
        <v>8.51</v>
      </c>
      <c r="G16" s="321">
        <f t="shared" si="3"/>
        <v>14.6</v>
      </c>
      <c r="H16" s="312">
        <f t="shared" si="6"/>
        <v>200</v>
      </c>
      <c r="I16" s="313">
        <f t="shared" si="7"/>
        <v>8.2000000000000011</v>
      </c>
      <c r="J16" s="321">
        <f t="shared" si="4"/>
        <v>14.799999999999999</v>
      </c>
      <c r="K16" s="312">
        <f t="shared" si="8"/>
        <v>193</v>
      </c>
      <c r="L16" s="313">
        <f t="shared" si="9"/>
        <v>8.51</v>
      </c>
    </row>
    <row r="17" spans="2:14" s="37" customFormat="1" ht="27" customHeight="1">
      <c r="B17" s="133">
        <f t="shared" si="5"/>
        <v>44717.513888888891</v>
      </c>
      <c r="C17" s="71">
        <v>120</v>
      </c>
      <c r="D17" s="311">
        <f t="shared" si="0"/>
        <v>14.7</v>
      </c>
      <c r="E17" s="312">
        <f t="shared" si="1"/>
        <v>199</v>
      </c>
      <c r="F17" s="313">
        <f t="shared" si="2"/>
        <v>8.51</v>
      </c>
      <c r="G17" s="321">
        <f t="shared" si="3"/>
        <v>14.6</v>
      </c>
      <c r="H17" s="312">
        <f t="shared" si="6"/>
        <v>196</v>
      </c>
      <c r="I17" s="313">
        <f t="shared" si="7"/>
        <v>8.2000000000000011</v>
      </c>
      <c r="J17" s="321">
        <f t="shared" si="4"/>
        <v>14.799999999999999</v>
      </c>
      <c r="K17" s="312">
        <f t="shared" si="8"/>
        <v>196</v>
      </c>
      <c r="L17" s="313">
        <f t="shared" si="9"/>
        <v>8.3000000000000007</v>
      </c>
    </row>
    <row r="18" spans="2:14" s="37" customFormat="1" ht="27" customHeight="1">
      <c r="B18" s="133">
        <f t="shared" si="5"/>
        <v>44717.597222222219</v>
      </c>
      <c r="C18" s="71">
        <v>240</v>
      </c>
      <c r="D18" s="311">
        <f t="shared" si="0"/>
        <v>14.799999999999999</v>
      </c>
      <c r="E18" s="312">
        <f t="shared" si="1"/>
        <v>198</v>
      </c>
      <c r="F18" s="313">
        <f t="shared" si="2"/>
        <v>8.51</v>
      </c>
      <c r="G18" s="321">
        <f t="shared" si="3"/>
        <v>14.6</v>
      </c>
      <c r="H18" s="312">
        <f t="shared" si="6"/>
        <v>198</v>
      </c>
      <c r="I18" s="313">
        <f t="shared" si="7"/>
        <v>8.2000000000000011</v>
      </c>
      <c r="J18" s="321">
        <f t="shared" si="4"/>
        <v>14.6</v>
      </c>
      <c r="K18" s="312">
        <f t="shared" si="8"/>
        <v>196</v>
      </c>
      <c r="L18" s="313">
        <f t="shared" si="9"/>
        <v>8.52</v>
      </c>
    </row>
    <row r="19" spans="2:14" s="37" customFormat="1" ht="27" customHeight="1">
      <c r="B19" s="133">
        <f t="shared" si="5"/>
        <v>44717.763888888891</v>
      </c>
      <c r="C19" s="71">
        <v>480</v>
      </c>
      <c r="D19" s="311">
        <f t="shared" si="0"/>
        <v>14.7</v>
      </c>
      <c r="E19" s="312">
        <f t="shared" si="1"/>
        <v>196</v>
      </c>
      <c r="F19" s="313">
        <f t="shared" si="2"/>
        <v>8.2800000000000011</v>
      </c>
      <c r="G19" s="321">
        <f t="shared" si="3"/>
        <v>14.6</v>
      </c>
      <c r="H19" s="312">
        <f t="shared" si="6"/>
        <v>196</v>
      </c>
      <c r="I19" s="313">
        <f t="shared" si="7"/>
        <v>8.42</v>
      </c>
      <c r="J19" s="321">
        <f t="shared" si="4"/>
        <v>14.799999999999999</v>
      </c>
      <c r="K19" s="312">
        <f t="shared" si="8"/>
        <v>191</v>
      </c>
      <c r="L19" s="313">
        <f t="shared" si="9"/>
        <v>8.2800000000000011</v>
      </c>
    </row>
    <row r="20" spans="2:14" s="38" customFormat="1" ht="27" customHeight="1">
      <c r="B20" s="133">
        <f t="shared" si="5"/>
        <v>44718.430555555555</v>
      </c>
      <c r="C20" s="71">
        <v>1440</v>
      </c>
      <c r="D20" s="311">
        <f t="shared" si="0"/>
        <v>14.799999999999999</v>
      </c>
      <c r="E20" s="312">
        <f t="shared" si="1"/>
        <v>198</v>
      </c>
      <c r="F20" s="313">
        <f t="shared" si="2"/>
        <v>8.4700000000000006</v>
      </c>
      <c r="G20" s="321">
        <f t="shared" si="3"/>
        <v>14.6</v>
      </c>
      <c r="H20" s="312">
        <f t="shared" si="6"/>
        <v>195</v>
      </c>
      <c r="I20" s="313">
        <f t="shared" si="7"/>
        <v>8.23</v>
      </c>
      <c r="J20" s="321">
        <f t="shared" si="4"/>
        <v>14.6</v>
      </c>
      <c r="K20" s="312">
        <f t="shared" si="8"/>
        <v>191</v>
      </c>
      <c r="L20" s="313">
        <f t="shared" si="9"/>
        <v>8.33</v>
      </c>
    </row>
    <row r="21" spans="2:14" s="38" customFormat="1" ht="27" customHeight="1">
      <c r="B21" s="133">
        <f t="shared" si="5"/>
        <v>44718.597222222219</v>
      </c>
      <c r="C21" s="71">
        <v>1680</v>
      </c>
      <c r="D21" s="311">
        <f>$D$20</f>
        <v>14.799999999999999</v>
      </c>
      <c r="E21" s="312">
        <f>$E$20</f>
        <v>198</v>
      </c>
      <c r="F21" s="313">
        <f>$F$20</f>
        <v>8.4700000000000006</v>
      </c>
      <c r="G21" s="321">
        <f>$G$20</f>
        <v>14.6</v>
      </c>
      <c r="H21" s="312">
        <f>$H$20</f>
        <v>195</v>
      </c>
      <c r="I21" s="313">
        <f>$I$20</f>
        <v>8.23</v>
      </c>
      <c r="J21" s="321">
        <f>$J$20</f>
        <v>14.6</v>
      </c>
      <c r="K21" s="312">
        <f>$K$20</f>
        <v>191</v>
      </c>
      <c r="L21" s="313">
        <f>$L$20</f>
        <v>8.33</v>
      </c>
    </row>
    <row r="22" spans="2:14" s="38" customFormat="1" ht="27" customHeight="1">
      <c r="B22" s="133">
        <f t="shared" si="5"/>
        <v>44718.763888888891</v>
      </c>
      <c r="C22" s="71">
        <v>1920</v>
      </c>
      <c r="D22" s="311">
        <f t="shared" ref="D22:D23" si="10">$D$20</f>
        <v>14.799999999999999</v>
      </c>
      <c r="E22" s="312">
        <f t="shared" ref="E22:E23" si="11">$E$20</f>
        <v>198</v>
      </c>
      <c r="F22" s="313">
        <f t="shared" ref="F22:F23" si="12">$F$20</f>
        <v>8.4700000000000006</v>
      </c>
      <c r="G22" s="321">
        <f t="shared" ref="G22:G23" si="13">$G$20</f>
        <v>14.6</v>
      </c>
      <c r="H22" s="312">
        <f t="shared" ref="H22:H23" si="14">$H$20</f>
        <v>195</v>
      </c>
      <c r="I22" s="313">
        <f t="shared" ref="I22:I23" si="15">$I$20</f>
        <v>8.23</v>
      </c>
      <c r="J22" s="321">
        <f t="shared" ref="J22:J23" si="16">$J$20</f>
        <v>14.6</v>
      </c>
      <c r="K22" s="312">
        <f t="shared" ref="K22:K23" si="17">$K$20</f>
        <v>191</v>
      </c>
      <c r="L22" s="313">
        <f t="shared" ref="L22:L23" si="18">$L$20</f>
        <v>8.33</v>
      </c>
    </row>
    <row r="23" spans="2:14" s="38" customFormat="1" ht="27" customHeight="1">
      <c r="B23" s="135">
        <f t="shared" si="5"/>
        <v>44719.430555555555</v>
      </c>
      <c r="C23" s="136">
        <v>2880</v>
      </c>
      <c r="D23" s="311">
        <f t="shared" si="10"/>
        <v>14.799999999999999</v>
      </c>
      <c r="E23" s="312">
        <f t="shared" si="11"/>
        <v>198</v>
      </c>
      <c r="F23" s="313">
        <f t="shared" si="12"/>
        <v>8.4700000000000006</v>
      </c>
      <c r="G23" s="321">
        <f t="shared" si="13"/>
        <v>14.6</v>
      </c>
      <c r="H23" s="312">
        <f t="shared" si="14"/>
        <v>195</v>
      </c>
      <c r="I23" s="313">
        <f t="shared" si="15"/>
        <v>8.23</v>
      </c>
      <c r="J23" s="321">
        <f t="shared" si="16"/>
        <v>14.6</v>
      </c>
      <c r="K23" s="312">
        <f t="shared" si="17"/>
        <v>191</v>
      </c>
      <c r="L23" s="313">
        <f t="shared" si="18"/>
        <v>8.33</v>
      </c>
    </row>
    <row r="24" spans="2:14" s="38" customFormat="1" ht="27" customHeight="1">
      <c r="B24" s="518" t="s">
        <v>36</v>
      </c>
      <c r="C24" s="519"/>
      <c r="D24" s="314">
        <f>MAX(D14:D23)</f>
        <v>14.799999999999999</v>
      </c>
      <c r="E24" s="315">
        <f t="shared" ref="E24:F24" si="19">MAX(E14:E23)</f>
        <v>199</v>
      </c>
      <c r="F24" s="316">
        <f t="shared" si="19"/>
        <v>8.51</v>
      </c>
      <c r="G24" s="314">
        <f>MAX(G14:G23)</f>
        <v>14.7</v>
      </c>
      <c r="H24" s="315">
        <f t="shared" ref="H24:I24" si="20">MAX(H14:H23)</f>
        <v>200</v>
      </c>
      <c r="I24" s="316">
        <f t="shared" si="20"/>
        <v>8.42</v>
      </c>
      <c r="J24" s="314">
        <f>MAX(J14:J23)</f>
        <v>14.799999999999999</v>
      </c>
      <c r="K24" s="315">
        <f t="shared" ref="K24:L24" si="21">MAX(K14:K23)</f>
        <v>196</v>
      </c>
      <c r="L24" s="316">
        <f t="shared" si="21"/>
        <v>8.52</v>
      </c>
    </row>
    <row r="25" spans="2:14" s="38" customFormat="1" ht="27" customHeight="1">
      <c r="B25" s="518" t="s">
        <v>37</v>
      </c>
      <c r="C25" s="519"/>
      <c r="D25" s="314">
        <f>MIN(D14:D23)</f>
        <v>14.7</v>
      </c>
      <c r="E25" s="315">
        <f t="shared" ref="E25:F25" si="22">MIN(E14:E23)</f>
        <v>194</v>
      </c>
      <c r="F25" s="316">
        <f t="shared" si="22"/>
        <v>8.2800000000000011</v>
      </c>
      <c r="G25" s="314">
        <f>MIN(G14:G23)</f>
        <v>14.6</v>
      </c>
      <c r="H25" s="315">
        <f t="shared" ref="H25:I25" si="23">MIN(H14:H23)</f>
        <v>194</v>
      </c>
      <c r="I25" s="316">
        <f t="shared" si="23"/>
        <v>8.2000000000000011</v>
      </c>
      <c r="J25" s="314">
        <f>MIN(J14:J23)</f>
        <v>14.6</v>
      </c>
      <c r="K25" s="315">
        <f t="shared" ref="K25:L25" si="24">MIN(K14:K23)</f>
        <v>191</v>
      </c>
      <c r="L25" s="316">
        <f t="shared" si="24"/>
        <v>8.2800000000000011</v>
      </c>
    </row>
    <row r="26" spans="2:14" s="38" customFormat="1" ht="27" customHeight="1" thickBot="1">
      <c r="B26" s="512" t="s">
        <v>92</v>
      </c>
      <c r="C26" s="513"/>
      <c r="D26" s="318">
        <f>D24-D25</f>
        <v>9.9999999999999645E-2</v>
      </c>
      <c r="E26" s="319">
        <f t="shared" ref="E26:F26" si="25">E24-E25</f>
        <v>5</v>
      </c>
      <c r="F26" s="320">
        <f t="shared" si="25"/>
        <v>0.22999999999999865</v>
      </c>
      <c r="G26" s="318">
        <f>G24-G25</f>
        <v>9.9999999999999645E-2</v>
      </c>
      <c r="H26" s="319">
        <f t="shared" ref="H26:I26" si="26">H24-H25</f>
        <v>6</v>
      </c>
      <c r="I26" s="320">
        <f t="shared" si="26"/>
        <v>0.21999999999999886</v>
      </c>
      <c r="J26" s="318">
        <f>J24-J25</f>
        <v>0.19999999999999929</v>
      </c>
      <c r="K26" s="319">
        <f t="shared" ref="K26:L26" si="27">K24-K25</f>
        <v>5</v>
      </c>
      <c r="L26" s="320">
        <f t="shared" si="27"/>
        <v>0.23999999999999844</v>
      </c>
    </row>
    <row r="27" spans="2:14" s="38" customFormat="1" ht="18" customHeight="1">
      <c r="E27" s="37"/>
      <c r="F27" s="37"/>
    </row>
    <row r="28" spans="2:14" s="38" customFormat="1" ht="18" customHeight="1" thickBot="1">
      <c r="E28" s="37"/>
      <c r="F28" s="37"/>
    </row>
    <row r="29" spans="2:14" s="38" customFormat="1" ht="18" customHeight="1">
      <c r="D29" s="514" t="s">
        <v>87</v>
      </c>
      <c r="E29" s="517"/>
      <c r="F29" s="515"/>
      <c r="H29" s="514" t="s">
        <v>159</v>
      </c>
      <c r="I29" s="517"/>
      <c r="J29" s="515"/>
      <c r="L29" s="514" t="s">
        <v>160</v>
      </c>
      <c r="M29" s="517"/>
      <c r="N29" s="515"/>
    </row>
    <row r="30" spans="2:14" s="38" customFormat="1" ht="18" customHeight="1">
      <c r="D30" s="128" t="s">
        <v>164</v>
      </c>
      <c r="E30" s="130" t="s">
        <v>165</v>
      </c>
      <c r="F30" s="129" t="s">
        <v>91</v>
      </c>
      <c r="H30" s="128" t="s">
        <v>164</v>
      </c>
      <c r="I30" s="130" t="s">
        <v>165</v>
      </c>
      <c r="J30" s="129" t="s">
        <v>91</v>
      </c>
      <c r="L30" s="128" t="s">
        <v>164</v>
      </c>
      <c r="M30" s="130" t="s">
        <v>165</v>
      </c>
      <c r="N30" s="129" t="s">
        <v>91</v>
      </c>
    </row>
    <row r="31" spans="2:14" s="38" customFormat="1" ht="18" customHeight="1">
      <c r="D31" s="139">
        <v>0</v>
      </c>
      <c r="E31" s="70">
        <v>-3</v>
      </c>
      <c r="F31" s="140">
        <v>-7.0000000000000007E-2</v>
      </c>
      <c r="H31" s="139">
        <v>0</v>
      </c>
      <c r="I31" s="70">
        <v>3</v>
      </c>
      <c r="J31" s="140">
        <v>0.09</v>
      </c>
      <c r="L31" s="139">
        <v>0</v>
      </c>
      <c r="M31" s="70">
        <v>1</v>
      </c>
      <c r="N31" s="140">
        <v>-0.12</v>
      </c>
    </row>
    <row r="32" spans="2:14" s="38" customFormat="1" ht="18" customHeight="1">
      <c r="D32" s="139">
        <v>0.1</v>
      </c>
      <c r="E32" s="70">
        <v>-2</v>
      </c>
      <c r="F32" s="140">
        <v>-0.08</v>
      </c>
      <c r="H32" s="139">
        <v>0</v>
      </c>
      <c r="I32" s="70">
        <v>-3</v>
      </c>
      <c r="J32" s="140">
        <v>-0.09</v>
      </c>
      <c r="L32" s="139">
        <v>0</v>
      </c>
      <c r="M32" s="70">
        <v>-2</v>
      </c>
      <c r="N32" s="140">
        <v>0.09</v>
      </c>
    </row>
    <row r="33" spans="4:14" s="38" customFormat="1" ht="18" customHeight="1">
      <c r="D33" s="139">
        <v>0</v>
      </c>
      <c r="E33" s="70">
        <v>2</v>
      </c>
      <c r="F33" s="140">
        <v>0.11</v>
      </c>
      <c r="H33" s="139">
        <v>-0.1</v>
      </c>
      <c r="I33" s="70">
        <v>3</v>
      </c>
      <c r="J33" s="140">
        <v>-0.1</v>
      </c>
      <c r="L33" s="139">
        <v>0.1</v>
      </c>
      <c r="M33" s="70">
        <v>-1</v>
      </c>
      <c r="N33" s="140">
        <v>0.11</v>
      </c>
    </row>
    <row r="34" spans="4:14" s="38" customFormat="1" ht="18" customHeight="1">
      <c r="D34" s="139">
        <v>0</v>
      </c>
      <c r="E34" s="70">
        <v>2</v>
      </c>
      <c r="F34" s="140">
        <v>0.11</v>
      </c>
      <c r="H34" s="139">
        <v>-0.1</v>
      </c>
      <c r="I34" s="70">
        <v>-1</v>
      </c>
      <c r="J34" s="140">
        <v>-0.1</v>
      </c>
      <c r="L34" s="139">
        <v>0.1</v>
      </c>
      <c r="M34" s="70">
        <v>2</v>
      </c>
      <c r="N34" s="140">
        <v>-0.1</v>
      </c>
    </row>
    <row r="35" spans="4:14" s="38" customFormat="1" ht="18" customHeight="1">
      <c r="D35" s="139">
        <v>0.1</v>
      </c>
      <c r="E35" s="70">
        <v>1</v>
      </c>
      <c r="F35" s="140">
        <v>0.11</v>
      </c>
      <c r="H35" s="139">
        <v>-0.1</v>
      </c>
      <c r="I35" s="70">
        <v>1</v>
      </c>
      <c r="J35" s="140">
        <v>-0.1</v>
      </c>
      <c r="L35" s="139">
        <v>-0.1</v>
      </c>
      <c r="M35" s="70">
        <v>2</v>
      </c>
      <c r="N35" s="140">
        <v>0.12</v>
      </c>
    </row>
    <row r="36" spans="4:14" s="38" customFormat="1" ht="18" customHeight="1">
      <c r="D36" s="139">
        <v>0</v>
      </c>
      <c r="E36" s="70">
        <v>-1</v>
      </c>
      <c r="F36" s="140">
        <v>-0.12</v>
      </c>
      <c r="H36" s="139">
        <v>-0.1</v>
      </c>
      <c r="I36" s="70">
        <v>-1</v>
      </c>
      <c r="J36" s="140">
        <v>0.12</v>
      </c>
      <c r="L36" s="139">
        <v>0.1</v>
      </c>
      <c r="M36" s="70">
        <v>-3</v>
      </c>
      <c r="N36" s="140">
        <v>-0.12</v>
      </c>
    </row>
    <row r="37" spans="4:14" s="38" customFormat="1" ht="18" customHeight="1">
      <c r="D37" s="139">
        <v>0.1</v>
      </c>
      <c r="E37" s="70">
        <v>1</v>
      </c>
      <c r="F37" s="140">
        <v>7.0000000000000007E-2</v>
      </c>
      <c r="H37" s="139">
        <v>-0.1</v>
      </c>
      <c r="I37" s="70">
        <v>-2</v>
      </c>
      <c r="J37" s="140">
        <v>-7.0000000000000007E-2</v>
      </c>
      <c r="L37" s="139">
        <v>-0.1</v>
      </c>
      <c r="M37" s="70">
        <v>-3</v>
      </c>
      <c r="N37" s="140">
        <v>-7.0000000000000007E-2</v>
      </c>
    </row>
    <row r="38" spans="4:14" ht="18" customHeight="1">
      <c r="D38" s="139">
        <v>0</v>
      </c>
      <c r="E38" s="70">
        <v>-1</v>
      </c>
      <c r="F38" s="140">
        <v>0.12</v>
      </c>
      <c r="H38" s="139">
        <v>0.1</v>
      </c>
      <c r="I38" s="70">
        <v>-1</v>
      </c>
      <c r="J38" s="140">
        <v>0.08</v>
      </c>
      <c r="L38" s="139">
        <v>-0.1</v>
      </c>
      <c r="M38" s="70">
        <v>-1</v>
      </c>
      <c r="N38" s="140">
        <v>0.1</v>
      </c>
    </row>
    <row r="39" spans="4:14" ht="18" customHeight="1">
      <c r="D39" s="139">
        <v>0</v>
      </c>
      <c r="E39" s="70">
        <v>1</v>
      </c>
      <c r="F39" s="140">
        <v>0.11</v>
      </c>
      <c r="H39" s="139">
        <v>-0.1</v>
      </c>
      <c r="I39" s="70">
        <v>-2</v>
      </c>
      <c r="J39" s="140">
        <v>0.09</v>
      </c>
      <c r="L39" s="139">
        <v>0.1</v>
      </c>
      <c r="M39" s="70">
        <v>-1</v>
      </c>
      <c r="N39" s="140">
        <v>0.11</v>
      </c>
    </row>
    <row r="40" spans="4:14" ht="18" customHeight="1" thickBot="1">
      <c r="D40" s="141">
        <v>0</v>
      </c>
      <c r="E40" s="73">
        <v>-3</v>
      </c>
      <c r="F40" s="142">
        <v>-0.11</v>
      </c>
      <c r="H40" s="141">
        <v>-0.1</v>
      </c>
      <c r="I40" s="73">
        <v>-2</v>
      </c>
      <c r="J40" s="142">
        <v>0.09</v>
      </c>
      <c r="L40" s="141">
        <v>0</v>
      </c>
      <c r="M40" s="73">
        <v>-2</v>
      </c>
      <c r="N40" s="142">
        <v>-0.12</v>
      </c>
    </row>
    <row r="41" spans="4:14" ht="18" customHeight="1"/>
    <row r="42" spans="4:14" ht="18" customHeight="1"/>
    <row r="43" spans="4:14" ht="18" customHeight="1"/>
    <row r="44" spans="4:14" ht="18" customHeight="1"/>
  </sheetData>
  <mergeCells count="10">
    <mergeCell ref="B26:C26"/>
    <mergeCell ref="D29:F29"/>
    <mergeCell ref="H29:J29"/>
    <mergeCell ref="L29:N29"/>
    <mergeCell ref="B12:C12"/>
    <mergeCell ref="D12:F12"/>
    <mergeCell ref="G12:I12"/>
    <mergeCell ref="J12:L12"/>
    <mergeCell ref="B24:C24"/>
    <mergeCell ref="B25:C25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8002" r:id="rId4" name="CommandButton2">
          <controlPr defaultSize="0" autoLine="0" r:id="rId5">
            <anchor moveWithCells="1">
              <from>
                <xdr:col>5</xdr:col>
                <xdr:colOff>600075</xdr:colOff>
                <xdr:row>6</xdr:row>
                <xdr:rowOff>114300</xdr:rowOff>
              </from>
              <to>
                <xdr:col>9</xdr:col>
                <xdr:colOff>104775</xdr:colOff>
                <xdr:row>7</xdr:row>
                <xdr:rowOff>142875</xdr:rowOff>
              </to>
            </anchor>
          </controlPr>
        </control>
      </mc:Choice>
      <mc:Fallback>
        <control shapeId="128002" r:id="rId4" name="CommandButton2"/>
      </mc:Fallback>
    </mc:AlternateContent>
    <mc:AlternateContent xmlns:mc="http://schemas.openxmlformats.org/markup-compatibility/2006">
      <mc:Choice Requires="x14">
        <control shapeId="128001" r:id="rId6" name="CommandButton1">
          <controlPr defaultSize="0" autoLine="0" autoPict="0" r:id="rId7">
            <anchor moveWithCells="1">
              <from>
                <xdr:col>5</xdr:col>
                <xdr:colOff>590550</xdr:colOff>
                <xdr:row>5</xdr:row>
                <xdr:rowOff>9525</xdr:rowOff>
              </from>
              <to>
                <xdr:col>9</xdr:col>
                <xdr:colOff>104775</xdr:colOff>
                <xdr:row>6</xdr:row>
                <xdr:rowOff>57150</xdr:rowOff>
              </to>
            </anchor>
          </controlPr>
        </control>
      </mc:Choice>
      <mc:Fallback>
        <control shapeId="128001" r:id="rId6" name="CommandButton1"/>
      </mc:Fallback>
    </mc:AlternateContent>
    <mc:AlternateContent xmlns:mc="http://schemas.openxmlformats.org/markup-compatibility/2006">
      <mc:Choice Requires="x14">
        <control shapeId="128003" r:id="rId8" name="CommandButton3">
          <controlPr defaultSize="0" autoLine="0" r:id="rId9">
            <anchor moveWithCells="1">
              <from>
                <xdr:col>5</xdr:col>
                <xdr:colOff>600075</xdr:colOff>
                <xdr:row>7</xdr:row>
                <xdr:rowOff>200025</xdr:rowOff>
              </from>
              <to>
                <xdr:col>9</xdr:col>
                <xdr:colOff>104775</xdr:colOff>
                <xdr:row>8</xdr:row>
                <xdr:rowOff>228600</xdr:rowOff>
              </to>
            </anchor>
          </controlPr>
        </control>
      </mc:Choice>
      <mc:Fallback>
        <control shapeId="128003" r:id="rId8" name="CommandButton3"/>
      </mc:Fallback>
    </mc:AlternateContent>
  </control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2913F511-7F82-46EE-9710-EC7AECF4D70B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16</vt:i4>
      </vt:variant>
      <vt:variant>
        <vt:lpstr>이름 지정된 범위</vt:lpstr>
      </vt:variant>
      <vt:variant>
        <vt:i4>13</vt:i4>
      </vt:variant>
    </vt:vector>
  </HeadingPairs>
  <TitlesOfParts>
    <vt:vector size="29" baseType="lpstr">
      <vt:lpstr>All</vt:lpstr>
      <vt:lpstr>Y</vt:lpstr>
      <vt:lpstr>Recharge</vt:lpstr>
      <vt:lpstr>drastic</vt:lpstr>
      <vt:lpstr>location</vt:lpstr>
      <vt:lpstr>Well</vt:lpstr>
      <vt:lpstr>Aggregate1</vt:lpstr>
      <vt:lpstr>Aggregate2</vt:lpstr>
      <vt:lpstr>aggWhpa</vt:lpstr>
      <vt:lpstr>AggSum</vt:lpstr>
      <vt:lpstr>1</vt:lpstr>
      <vt:lpstr>2</vt:lpstr>
      <vt:lpstr>3</vt:lpstr>
      <vt:lpstr>Q1</vt:lpstr>
      <vt:lpstr>Q2</vt:lpstr>
      <vt:lpstr>Q3</vt:lpstr>
      <vt:lpstr>allow_ratio</vt:lpstr>
      <vt:lpstr>allow_ratio2</vt:lpstr>
      <vt:lpstr>allow_ratio3</vt:lpstr>
      <vt:lpstr>Area1</vt:lpstr>
      <vt:lpstr>'Q1'!baseTemp</vt:lpstr>
      <vt:lpstr>'Q2'!baseTemp</vt:lpstr>
      <vt:lpstr>'Q3'!baseTemp</vt:lpstr>
      <vt:lpstr>max</vt:lpstr>
      <vt:lpstr>min</vt:lpstr>
      <vt:lpstr>rf_1</vt:lpstr>
      <vt:lpstr>rf_2</vt:lpstr>
      <vt:lpstr>rf_3</vt:lpstr>
      <vt:lpstr>SumWater</vt:lpstr>
    </vt:vector>
  </TitlesOfParts>
  <Company>Korea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홍순욱</dc:creator>
  <cp:lastModifiedBy>minhwasoo</cp:lastModifiedBy>
  <cp:lastPrinted>2009-04-26T05:41:25Z</cp:lastPrinted>
  <dcterms:created xsi:type="dcterms:W3CDTF">2006-03-22T01:28:03Z</dcterms:created>
  <dcterms:modified xsi:type="dcterms:W3CDTF">2023-03-16T23:17:03Z</dcterms:modified>
</cp:coreProperties>
</file>