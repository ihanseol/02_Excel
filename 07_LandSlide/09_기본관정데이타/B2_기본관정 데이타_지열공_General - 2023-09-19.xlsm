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6811D03E-EB53-4C38-9F30-3F0DB08F71D3}" xr6:coauthVersionLast="47" xr6:coauthVersionMax="47" xr10:uidLastSave="{00000000-0000-0000-0000-000000000000}"/>
  <bookViews>
    <workbookView xWindow="4830" yWindow="795" windowWidth="28755" windowHeight="19605" tabRatio="596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54" l="1"/>
  <c r="T8" i="54" a="1"/>
  <c r="T6" i="54"/>
  <c r="T7" i="54"/>
  <c r="T8" i="54" l="1"/>
  <c r="F4" i="52"/>
  <c r="E4" i="52"/>
  <c r="O4" i="52"/>
  <c r="E7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S6" authorId="0" shapeId="0" xr:uid="{D2DA5AB2-95DA-4483-B5B5-4E461E1D9B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T6" authorId="0" shapeId="0" xr:uid="{97D2069E-B419-47F3-B2D3-E1E4EF81B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T7" authorId="0" shapeId="0" xr:uid="{9CBC5E29-5915-4512-A44C-23B641C72D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<sst xmlns="http://schemas.openxmlformats.org/spreadsheetml/2006/main" count="852" uniqueCount="642">
  <si>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</si>
  <si>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</si>
  <si>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</si>
  <si>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</si>
  <si>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</si>
  <si>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</si>
  <si>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</si>
  <si>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</si>
  <si>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</si>
  <si>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</si>
  <si>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</si>
  <si>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</si>
  <si>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</si>
  <si>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</si>
  <si>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</si>
  <si>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</si>
  <si>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</si>
  <si>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</si>
  <si>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</si>
  <si>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</si>
  <si>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</si>
  <si>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</si>
  <si>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</si>
  <si>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</si>
  <si>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</si>
  <si>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</si>
  <si>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</si>
  <si>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</si>
  <si>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</si>
  <si>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</si>
  <si>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</si>
  <si>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</si>
  <si>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</si>
  <si>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</si>
  <si>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</si>
  <si>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</si>
  <si>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</si>
  <si>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</si>
  <si>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</si>
  <si>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</si>
  <si>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</si>
  <si>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</si>
  <si>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</si>
  <si>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</si>
  <si>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</si>
  <si>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</si>
  <si>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</si>
  <si>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</si>
  <si>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</si>
  <si>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</si>
  <si>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</si>
  <si>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</si>
  <si>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</si>
  <si>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</si>
  <si>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</si>
  <si>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</si>
  <si>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</si>
  <si>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</si>
  <si>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</si>
  <si>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</si>
  <si>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</si>
  <si>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</si>
  <si>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</si>
  <si>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</si>
  <si>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</si>
  <si>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</si>
  <si>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</si>
  <si>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</si>
  <si>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</si>
  <si>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</si>
  <si>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</si>
  <si>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</si>
  <si>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</si>
  <si>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</si>
  <si>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</si>
  <si>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</si>
  <si>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</si>
  <si>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</si>
  <si>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</si>
  <si>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</si>
  <si>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</si>
  <si>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</si>
  <si>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</si>
  <si>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</si>
  <si>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</si>
  <si>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</si>
  <si>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</si>
  <si>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</si>
  <si>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</si>
  <si>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</si>
  <si>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</si>
  <si>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</si>
  <si>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</si>
  <si>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</si>
  <si>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</si>
  <si>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</si>
  <si>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</si>
  <si>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</si>
  <si>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</si>
  <si>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</si>
  <si>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</si>
  <si>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</si>
  <si>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</si>
  <si>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</si>
  <si>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</si>
  <si>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</si>
  <si>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</si>
  <si>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</si>
  <si>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</si>
  <si>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</si>
  <si>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</si>
  <si>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</si>
  <si>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</si>
  <si>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</si>
  <si>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</si>
  <si>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</si>
  <si>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</si>
  <si>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</si>
  <si>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</si>
  <si>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</si>
  <si>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</si>
  <si>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</si>
  <si>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</si>
  <si>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</si>
  <si>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</si>
  <si>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</si>
  <si>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</si>
  <si>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</si>
  <si>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</si>
  <si>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</si>
  <si>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</si>
  <si>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</si>
  <si>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</si>
  <si>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</si>
  <si>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</si>
  <si>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</si>
  <si>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</si>
  <si>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</si>
  <si>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</si>
  <si>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</si>
  <si>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</si>
  <si>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</si>
  <si>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</si>
  <si>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</si>
  <si>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</si>
  <si>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</si>
  <si>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</si>
  <si>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</si>
  <si>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</si>
  <si>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</si>
  <si>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</si>
  <si>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</si>
  <si>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</si>
  <si>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</si>
  <si>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</si>
  <si>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</si>
  <si>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</si>
  <si>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</si>
  <si>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</si>
  <si>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</si>
  <si>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</si>
  <si>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</si>
  <si>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</si>
  <si>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</si>
  <si>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</si>
  <si>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</si>
  <si>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</si>
  <si>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</si>
  <si>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</si>
  <si>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</si>
  <si>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</si>
  <si>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</si>
  <si>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</si>
  <si>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</si>
  <si>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</si>
  <si>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</si>
  <si>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</si>
  <si>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</si>
  <si>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</si>
  <si>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</si>
  <si>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</si>
  <si>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</si>
  <si>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</si>
  <si>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</si>
  <si>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</si>
  <si>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</si>
  <si>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</si>
  <si>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</si>
  <si>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</si>
  <si>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</si>
  <si>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</si>
  <si>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</si>
  <si>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</si>
  <si>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</si>
  <si>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</si>
  <si>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</si>
  <si>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</si>
  <si>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</si>
  <si>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</si>
  <si>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</si>
  <si>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</si>
  <si>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</si>
  <si>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</si>
  <si>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</si>
  <si>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</si>
  <si>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</si>
  <si>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</si>
  <si>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</si>
  <si>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</si>
  <si>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</si>
  <si>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</si>
  <si>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</si>
  <si>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</si>
  <si>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</si>
  <si>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</si>
  <si>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</si>
  <si>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</si>
  <si>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</si>
  <si>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</si>
  <si>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</si>
  <si>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</si>
  <si>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</si>
  <si>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</si>
  <si>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</si>
  <si>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</si>
  <si>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</si>
  <si>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</si>
  <si>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</si>
  <si>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</si>
  <si>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</si>
  <si>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</si>
  <si>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</si>
  <si>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</si>
  <si>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</si>
  <si>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</si>
  <si>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</si>
  <si>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</si>
  <si>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</si>
  <si>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</si>
  <si>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</si>
  <si>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</si>
  <si>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</si>
  <si>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</si>
  <si>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</si>
  <si>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</si>
  <si>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</si>
  <si>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</si>
  <si>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</si>
  <si>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</si>
  <si>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</si>
  <si>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</si>
  <si>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</si>
  <si>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</si>
  <si>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</si>
  <si>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</si>
  <si>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</si>
  <si>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</si>
  <si>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</si>
  <si>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</si>
  <si>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</si>
  <si>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</si>
  <si>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</si>
  <si>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</si>
  <si>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</si>
  <si>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</si>
  <si>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</si>
  <si>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</si>
  <si>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</si>
  <si>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</si>
  <si>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</si>
  <si>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</si>
  <si>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</si>
  <si>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</si>
  <si>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</si>
  <si>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</si>
  <si>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</si>
  <si>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</si>
  <si>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</si>
  <si>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</si>
  <si>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</si>
  <si>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</si>
  <si>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</si>
  <si>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</si>
  <si>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</si>
  <si>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</si>
  <si>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</si>
  <si>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</si>
  <si>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</si>
  <si>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</si>
  <si>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</si>
  <si>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</si>
  <si>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</si>
  <si>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</si>
  <si>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</si>
  <si>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</si>
  <si>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</si>
  <si>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</si>
  <si>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</si>
  <si>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</si>
  <si>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</si>
  <si>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</si>
  <si>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</si>
  <si>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</si>
  <si>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</si>
  <si>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</si>
  <si>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</si>
  <si>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</si>
  <si>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</si>
  <si>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</si>
  <si>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</si>
  <si>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</si>
  <si>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</si>
  <si>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</si>
  <si>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</si>
  <si>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</si>
  <si>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</si>
  <si>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</si>
  <si>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</si>
  <si>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</si>
  <si>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</si>
  <si>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</si>
  <si>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</si>
  <si>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</si>
  <si>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</si>
  <si>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</si>
  <si>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</si>
  <si>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</si>
  <si>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</si>
  <si>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</si>
  <si>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</si>
  <si>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</si>
  <si>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</si>
  <si>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</si>
  <si>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</si>
  <si>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</si>
  <si>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</si>
  <si>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</si>
  <si>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</si>
  <si>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</si>
  <si>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</si>
  <si>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</si>
  <si>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</si>
  <si>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</si>
  <si>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</si>
  <si>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</si>
  <si>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</si>
  <si>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</si>
  <si>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</si>
  <si>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</si>
  <si>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</si>
  <si>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</si>
  <si>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</si>
  <si>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</si>
  <si>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</si>
  <si>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</si>
  <si>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</si>
  <si>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</si>
  <si>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</si>
  <si>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</si>
  <si>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</si>
  <si>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</si>
  <si>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</si>
  <si>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</si>
  <si>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</si>
  <si>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</si>
  <si>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</si>
  <si>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</si>
  <si>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</si>
  <si>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</si>
  <si>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</si>
  <si>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</si>
  <si>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</si>
  <si>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</si>
  <si>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</si>
  <si>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</si>
  <si>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</si>
  <si>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</si>
  <si>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</si>
  <si>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</si>
  <si>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</si>
  <si>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</si>
  <si>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</si>
  <si>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</si>
  <si>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</si>
  <si>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</si>
  <si>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</si>
  <si>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</si>
  <si>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</si>
  <si>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</si>
  <si>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</si>
  <si>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</si>
  <si>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</si>
  <si>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</si>
  <si>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</si>
  <si>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</si>
  <si>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</si>
  <si>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</si>
  <si>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</si>
  <si>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</si>
  <si>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</si>
  <si>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</si>
  <si>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</si>
  <si>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</si>
  <si>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</si>
  <si>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</si>
  <si>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</si>
  <si>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</si>
  <si>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</si>
  <si>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</si>
  <si>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</si>
  <si>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</si>
  <si>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</si>
  <si>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</si>
  <si>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</si>
  <si>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</si>
  <si>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</si>
  <si>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</si>
  <si>
    <t>2023/09/19일</t>
    <phoneticPr fontId="7" type="noConversion"/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</si>
  <si>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</si>
  <si>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</si>
  <si>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</si>
  <si>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</si>
  <si>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</si>
  <si>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</si>
  <si>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</si>
  <si>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</si>
  <si>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</si>
  <si>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</si>
  <si>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</si>
  <si>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</si>
  <si>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</si>
  <si>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</si>
  <si>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</si>
  <si>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</si>
  <si>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</si>
  <si>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</si>
  <si>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</si>
  <si>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</si>
  <si>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</si>
  <si>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</si>
  <si>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</si>
  <si>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</si>
  <si>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</si>
  <si>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</si>
  <si>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</si>
  <si>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</si>
  <si>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</si>
  <si>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</si>
  <si>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</si>
  <si>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</si>
  <si>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</si>
  <si>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</si>
  <si>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</si>
  <si>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</si>
  <si>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</si>
  <si>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</si>
  <si>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</si>
  <si>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</si>
  <si>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</si>
  <si>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</si>
  <si>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</si>
  <si>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</si>
  <si>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</si>
  <si>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</si>
  <si>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</si>
  <si>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</si>
  <si>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</si>
  <si>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</si>
  <si>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</si>
  <si>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</si>
  <si>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</si>
  <si>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</si>
  <si>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</si>
  <si>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</si>
  <si>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</si>
  <si>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</si>
  <si>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</si>
  <si>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</si>
  <si>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</si>
  <si>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</si>
  <si>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</si>
  <si>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</si>
  <si>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</si>
  <si>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</si>
  <si>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</si>
  <si>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</si>
  <si>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</si>
  <si>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</si>
  <si>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</si>
  <si>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</si>
  <si>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</si>
  <si>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</si>
  <si>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</si>
  <si>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</si>
  <si>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</si>
  <si>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</si>
  <si>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</si>
  <si>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</si>
  <si>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</si>
  <si>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</si>
  <si>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</si>
  <si>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</si>
  <si>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</si>
  <si>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</si>
  <si>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</si>
  <si>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</si>
  <si>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</si>
  <si>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</si>
  <si>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</si>
  <si>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</si>
  <si>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</si>
  <si>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</si>
  <si>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</si>
  <si>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</si>
  <si>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</si>
  <si>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</si>
  <si>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</si>
  <si>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</si>
  <si>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</si>
  <si>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</si>
  <si>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</si>
  <si>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</si>
  <si>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</si>
  <si>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</si>
  <si>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</si>
  <si>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</si>
  <si>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</si>
  <si>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</si>
  <si>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</si>
  <si>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</si>
  <si>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</si>
  <si>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</si>
  <si>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</si>
  <si>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</si>
  <si>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</si>
  <si>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</si>
  <si>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</si>
  <si>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</si>
  <si>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</si>
  <si>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</si>
  <si>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</si>
  <si>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</si>
  <si>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</si>
  <si>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</si>
  <si>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</si>
  <si>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</si>
  <si>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</si>
  <si>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</si>
  <si>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</si>
  <si>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</si>
  <si>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</si>
  <si>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</si>
  <si>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</si>
  <si>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</si>
  <si>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</si>
  <si>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</si>
  <si>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</si>
  <si>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</si>
  <si>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</si>
  <si>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</si>
  <si>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</si>
  <si>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</si>
  <si>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</si>
  <si>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</si>
  <si>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</si>
  <si>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</si>
  <si>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</si>
  <si>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</si>
  <si>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</si>
  <si>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</si>
  <si>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</si>
  <si>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</si>
  <si>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</si>
  <si>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</si>
  <si>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</si>
  <si>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</si>
  <si>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</si>
  <si>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</si>
  <si>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</si>
  <si>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</si>
  <si>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</si>
  <si>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</si>
  <si>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</si>
  <si>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</si>
  <si>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</si>
  <si>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</si>
  <si>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</si>
  <si>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</si>
  <si>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</si>
  <si>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</si>
  <si>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</si>
  <si>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</si>
  <si>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</si>
  <si>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</si>
  <si>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</si>
  <si>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</si>
  <si>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</si>
  <si>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</si>
  <si>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</si>
  <si>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</si>
  <si>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</si>
  <si>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</si>
  <si>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</si>
  <si>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</si>
  <si>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</si>
  <si>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</si>
  <si>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</si>
  <si>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</si>
  <si>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</si>
  <si>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</si>
  <si>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</si>
  <si>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</si>
  <si>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</si>
  <si>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</si>
  <si>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</si>
  <si>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</si>
  <si>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</si>
  <si>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</si>
  <si>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</si>
  <si>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</si>
  <si>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</si>
  <si>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</si>
  <si>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</si>
  <si>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</si>
  <si>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</si>
  <si>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</si>
  <si>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</si>
  <si>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</si>
  <si>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</si>
  <si>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</si>
  <si>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</si>
  <si>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</si>
  <si>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</si>
  <si>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</si>
  <si>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</si>
  <si>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</si>
  <si>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</si>
  <si>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</si>
  <si>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</si>
  <si>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</si>
  <si>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</si>
  <si>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부여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</si>
</sst>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3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185" fontId="38" fillId="28" borderId="27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185" fontId="38" fillId="28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8" fontId="25" fillId="0" borderId="46" xfId="0" applyNumberFormat="1" applyFont="1" applyBorder="1" applyAlignment="1">
      <alignment horizontal="center" vertical="center"/>
    </xf>
    <xf numFmtId="199" fontId="25" fillId="0" borderId="47" xfId="17" applyNumberFormat="1" applyFont="1" applyBorder="1">
      <alignment vertical="center"/>
    </xf>
    <xf numFmtId="199" fontId="25" fillId="0" borderId="47" xfId="17" applyNumberFormat="1" applyFont="1" applyBorder="1" applyAlignment="1">
      <alignment vertical="center" wrapText="1"/>
    </xf>
    <xf numFmtId="199" fontId="25" fillId="0" borderId="48" xfId="17" applyNumberFormat="1" applyFont="1" applyBorder="1">
      <alignment vertical="center"/>
    </xf>
    <xf numFmtId="198" fontId="25" fillId="0" borderId="49" xfId="0" applyNumberFormat="1" applyFont="1" applyBorder="1" applyAlignment="1">
      <alignment horizontal="center" vertical="center"/>
    </xf>
    <xf numFmtId="199" fontId="25" fillId="0" borderId="19" xfId="17" applyNumberFormat="1" applyFont="1" applyBorder="1">
      <alignment vertical="center"/>
    </xf>
    <xf numFmtId="199" fontId="25" fillId="0" borderId="19" xfId="17" applyNumberFormat="1" applyFont="1" applyBorder="1" applyAlignment="1">
      <alignment vertical="center" wrapText="1"/>
    </xf>
    <xf numFmtId="199" fontId="25" fillId="0" borderId="50" xfId="17" applyNumberFormat="1" applyFont="1" applyBorder="1">
      <alignment vertical="center"/>
    </xf>
    <xf numFmtId="198" fontId="25" fillId="0" borderId="51" xfId="0" applyNumberFormat="1" applyFont="1" applyBorder="1" applyAlignment="1">
      <alignment horizontal="center" vertical="center"/>
    </xf>
    <xf numFmtId="199" fontId="25" fillId="0" borderId="52" xfId="17" applyNumberFormat="1" applyFont="1" applyBorder="1">
      <alignment vertical="center"/>
    </xf>
    <xf numFmtId="199" fontId="25" fillId="0" borderId="53" xfId="17" applyNumberFormat="1" applyFont="1" applyBorder="1">
      <alignment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14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8" fillId="17" borderId="38" xfId="0" applyFont="1" applyFill="1" applyBorder="1" applyAlignment="1">
      <alignment horizontal="center" vertical="center"/>
    </xf>
    <xf numFmtId="0" fontId="28" fillId="6" borderId="35" xfId="0" applyFont="1" applyFill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6" fillId="16" borderId="38" xfId="0" applyFont="1" applyFill="1" applyBorder="1" applyAlignment="1">
      <alignment horizontal="center" vertical="center"/>
    </xf>
    <xf numFmtId="0" fontId="60" fillId="0" borderId="115" xfId="0" applyFont="1" applyBorder="1" applyAlignment="1">
      <alignment horizontal="center" vertical="center"/>
    </xf>
    <xf numFmtId="0" fontId="59" fillId="29" borderId="64" xfId="0" applyFont="1" applyFill="1" applyBorder="1" applyAlignment="1">
      <alignment horizontal="center" vertical="center"/>
    </xf>
    <xf numFmtId="0" fontId="59" fillId="29" borderId="27" xfId="0" applyFont="1" applyFill="1" applyBorder="1" applyAlignment="1">
      <alignment horizontal="center" vertical="center"/>
    </xf>
    <xf numFmtId="0" fontId="56" fillId="0" borderId="0" xfId="0" applyFont="1" applyAlignment="1">
      <alignment vertical="center"/>
    </xf>
    <xf numFmtId="10" fontId="60" fillId="30" borderId="9" xfId="16" applyNumberFormat="1" applyFont="1" applyFill="1" applyBorder="1">
      <alignment vertical="center"/>
    </xf>
    <xf numFmtId="10" fontId="60" fillId="30" borderId="10" xfId="16" applyNumberFormat="1" applyFont="1" applyFill="1" applyBorder="1">
      <alignment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60" fillId="30" borderId="64" xfId="16" applyFont="1" applyFill="1" applyBorder="1" applyAlignment="1">
      <alignment horizontal="center" vertical="center"/>
    </xf>
    <xf numFmtId="0" fontId="60" fillId="30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1236.3</c:v>
                </c:pt>
                <c:pt idx="1">
                  <c:v>1142.0999999999999</c:v>
                </c:pt>
                <c:pt idx="2">
                  <c:v>848.8</c:v>
                </c:pt>
                <c:pt idx="3">
                  <c:v>1129.3</c:v>
                </c:pt>
                <c:pt idx="4">
                  <c:v>1112</c:v>
                </c:pt>
                <c:pt idx="5">
                  <c:v>1457.9</c:v>
                </c:pt>
                <c:pt idx="6">
                  <c:v>992</c:v>
                </c:pt>
                <c:pt idx="7">
                  <c:v>1624.8</c:v>
                </c:pt>
                <c:pt idx="8">
                  <c:v>1123.4000000000001</c:v>
                </c:pt>
                <c:pt idx="9">
                  <c:v>1301.0999999999999</c:v>
                </c:pt>
                <c:pt idx="10">
                  <c:v>1196.8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1315.2</c:v>
                </c:pt>
                <c:pt idx="1">
                  <c:v>1029.8</c:v>
                </c:pt>
                <c:pt idx="2">
                  <c:v>1326.2</c:v>
                </c:pt>
                <c:pt idx="3">
                  <c:v>1046.7</c:v>
                </c:pt>
                <c:pt idx="4">
                  <c:v>1602.9</c:v>
                </c:pt>
                <c:pt idx="5">
                  <c:v>2000.3</c:v>
                </c:pt>
                <c:pt idx="6">
                  <c:v>1529.6</c:v>
                </c:pt>
                <c:pt idx="7">
                  <c:v>1520.6</c:v>
                </c:pt>
                <c:pt idx="8">
                  <c:v>752.6</c:v>
                </c:pt>
                <c:pt idx="9">
                  <c:v>1274</c:v>
                </c:pt>
                <c:pt idx="10">
                  <c:v>1780</c:v>
                </c:pt>
                <c:pt idx="11">
                  <c:v>1493.9</c:v>
                </c:pt>
                <c:pt idx="12">
                  <c:v>1527</c:v>
                </c:pt>
                <c:pt idx="13">
                  <c:v>1076.5</c:v>
                </c:pt>
                <c:pt idx="14">
                  <c:v>1651.3</c:v>
                </c:pt>
                <c:pt idx="15">
                  <c:v>902.1</c:v>
                </c:pt>
                <c:pt idx="16">
                  <c:v>1089.5999999999999</c:v>
                </c:pt>
                <c:pt idx="17">
                  <c:v>1378.3</c:v>
                </c:pt>
                <c:pt idx="18">
                  <c:v>2014.7</c:v>
                </c:pt>
                <c:pt idx="19">
                  <c:v>1545.8</c:v>
                </c:pt>
                <c:pt idx="20">
                  <c:v>1236.3</c:v>
                </c:pt>
                <c:pt idx="21">
                  <c:v>1142.0999999999999</c:v>
                </c:pt>
                <c:pt idx="22">
                  <c:v>848.8</c:v>
                </c:pt>
                <c:pt idx="23">
                  <c:v>1129.3</c:v>
                </c:pt>
                <c:pt idx="24">
                  <c:v>1112</c:v>
                </c:pt>
                <c:pt idx="25">
                  <c:v>1457.9</c:v>
                </c:pt>
                <c:pt idx="26">
                  <c:v>992</c:v>
                </c:pt>
                <c:pt idx="27">
                  <c:v>1624.8</c:v>
                </c:pt>
                <c:pt idx="28">
                  <c:v>1123.4000000000001</c:v>
                </c:pt>
                <c:pt idx="29">
                  <c:v>1301.0999999999999</c:v>
                </c:pt>
                <c:pt idx="30">
                  <c:v>1327.5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24.6</c:v>
                </c:pt>
                <c:pt idx="1">
                  <c:v>39.1</c:v>
                </c:pt>
                <c:pt idx="2">
                  <c:v>51.5</c:v>
                </c:pt>
                <c:pt idx="3">
                  <c:v>88.3</c:v>
                </c:pt>
                <c:pt idx="4">
                  <c:v>84.1</c:v>
                </c:pt>
                <c:pt idx="5">
                  <c:v>97.9</c:v>
                </c:pt>
                <c:pt idx="6">
                  <c:v>254.7</c:v>
                </c:pt>
                <c:pt idx="7">
                  <c:v>238.4</c:v>
                </c:pt>
                <c:pt idx="8">
                  <c:v>136.80000000000001</c:v>
                </c:pt>
                <c:pt idx="9">
                  <c:v>85.4</c:v>
                </c:pt>
                <c:pt idx="10">
                  <c:v>62.3</c:v>
                </c:pt>
                <c:pt idx="11">
                  <c:v>33.6</c:v>
                </c:pt>
                <c:pt idx="12">
                  <c:v>99.7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19050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95250</xdr:rowOff>
        </xdr:from>
        <xdr:to>
          <xdr:col>17</xdr:col>
          <xdr:colOff>895350</xdr:colOff>
          <xdr:row>5</xdr:row>
          <xdr:rowOff>266700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6"/>
    <tableColumn id="4" xr3:uid="{A159A792-4362-4232-A339-98865F69E10C}" name="name" dataDxfId="35"/>
    <tableColumn id="3" xr3:uid="{D860024D-2094-46D7-86C1-B6469010E080}" name="Code" dataDxfId="34"/>
    <tableColumn id="2" xr3:uid="{4BB3E9D7-1743-4D5D-A7F4-B99255E51FAE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2"/>
    <tableColumn id="4" xr3:uid="{001C58BE-2463-4AF1-8FCB-052AD956C5DF}" name="name" dataDxfId="31"/>
    <tableColumn id="3" xr3:uid="{FA931E84-E3F2-469C-B60D-0CF7D178E729}" name="Code" dataDxfId="30"/>
    <tableColumn id="2" xr3:uid="{35E1CE4C-A747-4F0E-B074-97480A9CD475}" name="Switch" dataDxfId="2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28"/>
    <tableColumn id="4" xr3:uid="{517209EF-C9BD-4592-B395-4D2235AE16BB}" name="name" dataDxfId="27"/>
    <tableColumn id="3" xr3:uid="{78E04352-3518-4DFD-B652-A47C6F31D74B}" name="Code" dataDxfId="26"/>
    <tableColumn id="2" xr3:uid="{74873089-EAD8-4FE8-8E20-1BFFACCF2069}" name="Switch" dataDxfId="2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4"/>
    <tableColumn id="4" xr3:uid="{B1BB02E8-B0A0-4A4A-8DD5-C9F289105532}" name="name" dataDxfId="23"/>
    <tableColumn id="3" xr3:uid="{D1A00EF1-9FEC-46D0-A856-5F5101BFC8F1}" name="Code" dataDxfId="22"/>
    <tableColumn id="2" xr3:uid="{135FB3C9-F45F-4346-BE97-41B58C3136D0}" name="Switch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0"/>
    <tableColumn id="4" xr3:uid="{1D63DCAF-E317-43A6-A73B-C11AF0779C9A}" name="name" dataDxfId="19"/>
    <tableColumn id="3" xr3:uid="{54BEF3D7-ADA9-40B1-8194-838F3823F4C8}" name="Code" dataDxfId="18"/>
    <tableColumn id="2" xr3:uid="{FC8C8C57-BF5E-4BE6-BB30-9743F13F04CC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6"/>
    <tableColumn id="4" xr3:uid="{801ECC71-7AD8-4263-800F-007CC3A81A1D}" name="name" dataDxfId="15"/>
    <tableColumn id="3" xr3:uid="{242ED5AB-9679-4620-B614-62743482E355}" name="Code" dataDxfId="14"/>
    <tableColumn id="2" xr3:uid="{DA377432-0CC5-402F-A02D-19E0F3C1B32D}" name="Switch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2"/>
    <tableColumn id="3" xr3:uid="{DE52D9CB-5A3B-4CB4-9D06-60D58FB17256}" name="Code" dataDxfId="1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0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O35" sqref="O35"/>
    </sheetView>
  </sheetViews>
  <sheetFormatPr defaultRowHeight="16.5"/>
  <cols>
    <col min="1" max="1" width="11.5546875" style="541" customWidth="1"/>
    <col min="2" max="2" width="16.5546875" style="541" customWidth="1"/>
    <col min="3" max="3" width="7.5546875" style="541" customWidth="1"/>
    <col min="4" max="4" width="7.33203125" style="541" bestFit="1" customWidth="1"/>
    <col min="5" max="5" width="3.21875" style="541" customWidth="1"/>
    <col min="6" max="6" width="8.88671875" style="541"/>
    <col min="7" max="7" width="15.77734375" style="541" customWidth="1"/>
    <col min="8" max="9" width="6.77734375" style="541" customWidth="1"/>
    <col min="10" max="10" width="3.44140625" style="541" customWidth="1"/>
    <col min="11" max="11" width="8.88671875" style="541"/>
    <col min="12" max="12" width="18.77734375" style="541" customWidth="1"/>
    <col min="13" max="14" width="6" style="541" customWidth="1"/>
    <col min="15" max="15" width="3.21875" style="541" customWidth="1"/>
    <col min="16" max="16" width="10.5546875" style="541" customWidth="1"/>
    <col min="17" max="17" width="10.44140625" style="541" customWidth="1"/>
    <col min="18" max="18" width="6.88671875" style="541" customWidth="1"/>
    <col min="19" max="19" width="3.6640625" style="541" customWidth="1"/>
    <col min="20" max="21" width="8.88671875" style="541"/>
    <col min="22" max="22" width="6.44140625" style="541" customWidth="1"/>
    <col min="23" max="23" width="6.5546875" style="541" customWidth="1"/>
    <col min="24" max="24" width="4.21875" style="541" customWidth="1"/>
    <col min="25" max="26" width="8.88671875" style="541"/>
    <col min="27" max="27" width="6.33203125" style="541" customWidth="1"/>
    <col min="28" max="28" width="6.21875" style="541" customWidth="1"/>
    <col min="29" max="29" width="4.77734375" style="541" customWidth="1"/>
    <col min="30" max="30" width="8.88671875" style="541"/>
    <col min="31" max="31" width="7.109375" style="541" customWidth="1"/>
    <col min="32" max="16384" width="8.88671875" style="541"/>
  </cols>
  <sheetData>
    <row r="1" spans="1:17">
      <c r="A1" s="541" t="s">
        <v>409</v>
      </c>
      <c r="B1" s="541" t="s">
        <v>199</v>
      </c>
      <c r="C1" s="541" t="s">
        <v>548</v>
      </c>
      <c r="D1" s="541" t="s">
        <v>547</v>
      </c>
      <c r="F1" s="541" t="s">
        <v>409</v>
      </c>
      <c r="G1" s="541" t="s">
        <v>199</v>
      </c>
      <c r="H1" s="541" t="s">
        <v>548</v>
      </c>
      <c r="I1" s="541" t="s">
        <v>547</v>
      </c>
      <c r="K1" s="541" t="s">
        <v>409</v>
      </c>
      <c r="L1" s="541" t="s">
        <v>199</v>
      </c>
      <c r="M1" s="541" t="s">
        <v>548</v>
      </c>
      <c r="N1" s="541" t="s">
        <v>547</v>
      </c>
      <c r="P1" s="541" t="s">
        <v>409</v>
      </c>
      <c r="Q1" s="541" t="s">
        <v>548</v>
      </c>
    </row>
    <row r="2" spans="1:17">
      <c r="A2" s="541" t="s">
        <v>636</v>
      </c>
      <c r="B2" s="541" t="s">
        <v>635</v>
      </c>
      <c r="C2" s="541">
        <v>116</v>
      </c>
      <c r="D2" s="541">
        <v>14</v>
      </c>
      <c r="F2" s="541" t="s">
        <v>634</v>
      </c>
      <c r="G2" s="541" t="s">
        <v>633</v>
      </c>
      <c r="H2" s="541">
        <v>105</v>
      </c>
      <c r="I2" s="541">
        <v>38</v>
      </c>
      <c r="K2" s="541" t="s">
        <v>632</v>
      </c>
      <c r="L2" s="541" t="s">
        <v>631</v>
      </c>
      <c r="M2" s="541">
        <v>226</v>
      </c>
      <c r="N2" s="541">
        <v>54</v>
      </c>
      <c r="P2" s="541" t="s">
        <v>630</v>
      </c>
      <c r="Q2" s="541" t="s">
        <v>629</v>
      </c>
    </row>
    <row r="3" spans="1:17">
      <c r="A3" s="541" t="s">
        <v>628</v>
      </c>
      <c r="B3" s="541" t="s">
        <v>627</v>
      </c>
      <c r="C3" s="541">
        <v>108</v>
      </c>
      <c r="D3" s="541">
        <v>14</v>
      </c>
      <c r="F3" s="541" t="s">
        <v>626</v>
      </c>
      <c r="G3" s="541" t="s">
        <v>625</v>
      </c>
      <c r="H3" s="541">
        <v>100</v>
      </c>
      <c r="I3" s="541">
        <v>38</v>
      </c>
      <c r="K3" s="541" t="s">
        <v>624</v>
      </c>
      <c r="L3" s="541" t="s">
        <v>623</v>
      </c>
      <c r="M3" s="541">
        <v>221</v>
      </c>
      <c r="N3" s="541">
        <v>54</v>
      </c>
      <c r="P3" s="541" t="s">
        <v>622</v>
      </c>
      <c r="Q3" s="541" t="s">
        <v>621</v>
      </c>
    </row>
    <row r="4" spans="1:17">
      <c r="A4" s="541" t="s">
        <v>620</v>
      </c>
      <c r="B4" s="541" t="s">
        <v>619</v>
      </c>
      <c r="C4" s="541">
        <v>201</v>
      </c>
      <c r="D4" s="541">
        <v>22</v>
      </c>
      <c r="F4" s="541" t="s">
        <v>618</v>
      </c>
      <c r="G4" s="541" t="s">
        <v>617</v>
      </c>
      <c r="H4" s="541">
        <v>106</v>
      </c>
      <c r="I4" s="541">
        <v>38</v>
      </c>
      <c r="K4" s="541" t="s">
        <v>616</v>
      </c>
      <c r="L4" s="541" t="s">
        <v>615</v>
      </c>
      <c r="M4" s="541">
        <v>131</v>
      </c>
      <c r="N4" s="541">
        <v>54</v>
      </c>
      <c r="P4" s="541" t="s">
        <v>614</v>
      </c>
      <c r="Q4" s="541" t="s">
        <v>613</v>
      </c>
    </row>
    <row r="5" spans="1:17">
      <c r="A5" s="541" t="s">
        <v>612</v>
      </c>
      <c r="B5" s="541" t="s">
        <v>611</v>
      </c>
      <c r="C5" s="541">
        <v>102</v>
      </c>
      <c r="D5" s="541">
        <v>22</v>
      </c>
      <c r="F5" s="541" t="s">
        <v>610</v>
      </c>
      <c r="G5" s="541" t="s">
        <v>609</v>
      </c>
      <c r="H5" s="541">
        <v>104</v>
      </c>
      <c r="I5" s="541">
        <v>38</v>
      </c>
      <c r="K5" s="541" t="s">
        <v>608</v>
      </c>
      <c r="L5" s="541" t="s">
        <v>607</v>
      </c>
      <c r="M5" s="541">
        <v>135</v>
      </c>
      <c r="N5" s="541">
        <v>54</v>
      </c>
      <c r="P5" s="541" t="s">
        <v>606</v>
      </c>
      <c r="Q5" s="541" t="s">
        <v>605</v>
      </c>
    </row>
    <row r="6" spans="1:17">
      <c r="A6" s="541" t="s">
        <v>604</v>
      </c>
      <c r="B6" s="541" t="s">
        <v>603</v>
      </c>
      <c r="C6" s="541">
        <v>112</v>
      </c>
      <c r="D6" s="541">
        <v>22</v>
      </c>
      <c r="F6" s="541" t="s">
        <v>602</v>
      </c>
      <c r="G6" s="541" t="s">
        <v>601</v>
      </c>
      <c r="H6" s="541">
        <v>93</v>
      </c>
      <c r="I6" s="541">
        <v>38</v>
      </c>
      <c r="K6" s="541" t="s">
        <v>600</v>
      </c>
      <c r="L6" s="541" t="s">
        <v>599</v>
      </c>
      <c r="M6" s="541">
        <v>127</v>
      </c>
      <c r="N6" s="541">
        <v>54</v>
      </c>
      <c r="P6" s="541" t="s">
        <v>598</v>
      </c>
      <c r="Q6" s="541" t="s">
        <v>597</v>
      </c>
    </row>
    <row r="7" spans="1:17">
      <c r="A7" s="541" t="s">
        <v>596</v>
      </c>
      <c r="B7" s="541" t="s">
        <v>595</v>
      </c>
      <c r="C7" s="541">
        <v>98</v>
      </c>
      <c r="D7" s="541">
        <v>32</v>
      </c>
      <c r="F7" s="541" t="s">
        <v>594</v>
      </c>
      <c r="G7" s="541" t="s">
        <v>593</v>
      </c>
      <c r="H7" s="541">
        <v>214</v>
      </c>
      <c r="I7" s="541">
        <v>38</v>
      </c>
      <c r="K7" s="541" t="s">
        <v>592</v>
      </c>
      <c r="L7" s="541" t="s">
        <v>591</v>
      </c>
      <c r="M7" s="541">
        <v>133</v>
      </c>
      <c r="N7" s="541">
        <v>28</v>
      </c>
      <c r="P7" s="541" t="s">
        <v>590</v>
      </c>
      <c r="Q7" s="541" t="s">
        <v>589</v>
      </c>
    </row>
    <row r="8" spans="1:17">
      <c r="A8" s="541" t="s">
        <v>588</v>
      </c>
      <c r="B8" s="541" t="s">
        <v>587</v>
      </c>
      <c r="C8" s="541">
        <v>119</v>
      </c>
      <c r="D8" s="541">
        <v>32</v>
      </c>
      <c r="F8" s="541" t="s">
        <v>586</v>
      </c>
      <c r="G8" s="541" t="s">
        <v>585</v>
      </c>
      <c r="H8" s="541">
        <v>90</v>
      </c>
      <c r="I8" s="541">
        <v>38</v>
      </c>
      <c r="K8" s="541" t="s">
        <v>584</v>
      </c>
      <c r="L8" s="541" t="s">
        <v>583</v>
      </c>
      <c r="M8" s="541">
        <v>239</v>
      </c>
      <c r="N8" s="541">
        <v>132</v>
      </c>
    </row>
    <row r="9" spans="1:17">
      <c r="A9" s="541" t="s">
        <v>582</v>
      </c>
      <c r="B9" s="541" t="s">
        <v>581</v>
      </c>
      <c r="C9" s="541">
        <v>202</v>
      </c>
      <c r="D9" s="541">
        <v>32</v>
      </c>
      <c r="F9" s="541" t="s">
        <v>580</v>
      </c>
      <c r="G9" s="541" t="s">
        <v>579</v>
      </c>
      <c r="H9" s="541">
        <v>121</v>
      </c>
      <c r="I9" s="541">
        <v>38</v>
      </c>
      <c r="K9" s="541" t="s">
        <v>578</v>
      </c>
      <c r="L9" s="541" t="s">
        <v>577</v>
      </c>
      <c r="M9" s="541">
        <v>238</v>
      </c>
      <c r="N9" s="541">
        <v>60</v>
      </c>
    </row>
    <row r="10" spans="1:17">
      <c r="A10" s="541" t="s">
        <v>576</v>
      </c>
      <c r="B10" s="541" t="s">
        <v>575</v>
      </c>
      <c r="C10" s="541">
        <v>203</v>
      </c>
      <c r="D10" s="541">
        <v>32</v>
      </c>
      <c r="F10" s="541" t="s">
        <v>574</v>
      </c>
      <c r="G10" s="541" t="s">
        <v>573</v>
      </c>
      <c r="H10" s="541">
        <v>114</v>
      </c>
      <c r="I10" s="541">
        <v>38</v>
      </c>
      <c r="K10" s="541" t="s">
        <v>572</v>
      </c>
      <c r="L10" s="541" t="s">
        <v>571</v>
      </c>
      <c r="M10" s="541">
        <v>235</v>
      </c>
      <c r="N10" s="541">
        <v>60</v>
      </c>
    </row>
    <row r="11" spans="1:17">
      <c r="A11" s="541" t="s">
        <v>570</v>
      </c>
      <c r="B11" s="541" t="s">
        <v>569</v>
      </c>
      <c r="C11" s="541">
        <v>99</v>
      </c>
      <c r="D11" s="541">
        <v>32</v>
      </c>
      <c r="F11" s="541" t="s">
        <v>568</v>
      </c>
      <c r="G11" s="541" t="s">
        <v>567</v>
      </c>
      <c r="H11" s="541">
        <v>211</v>
      </c>
      <c r="I11" s="541">
        <v>38</v>
      </c>
      <c r="K11" s="541" t="s">
        <v>566</v>
      </c>
      <c r="L11" s="541" t="s">
        <v>565</v>
      </c>
      <c r="M11" s="541">
        <v>236</v>
      </c>
      <c r="N11" s="541">
        <v>60</v>
      </c>
    </row>
    <row r="12" spans="1:17">
      <c r="F12" s="541" t="s">
        <v>564</v>
      </c>
      <c r="G12" s="541" t="s">
        <v>563</v>
      </c>
      <c r="H12" s="541">
        <v>217</v>
      </c>
      <c r="I12" s="541">
        <v>38</v>
      </c>
      <c r="K12" s="541" t="s">
        <v>562</v>
      </c>
      <c r="L12" s="541" t="s">
        <v>561</v>
      </c>
      <c r="M12" s="541">
        <v>129</v>
      </c>
      <c r="N12" s="541">
        <v>60</v>
      </c>
    </row>
    <row r="13" spans="1:17">
      <c r="F13" s="541" t="s">
        <v>560</v>
      </c>
      <c r="G13" s="541" t="s">
        <v>559</v>
      </c>
      <c r="H13" s="541">
        <v>95</v>
      </c>
      <c r="I13" s="541">
        <v>38</v>
      </c>
      <c r="K13" s="541" t="s">
        <v>558</v>
      </c>
      <c r="L13" s="541" t="s">
        <v>557</v>
      </c>
      <c r="M13" s="541">
        <v>232</v>
      </c>
      <c r="N13" s="541">
        <v>60</v>
      </c>
    </row>
    <row r="14" spans="1:17">
      <c r="F14" s="541" t="s">
        <v>556</v>
      </c>
      <c r="G14" s="541" t="s">
        <v>555</v>
      </c>
      <c r="H14" s="541">
        <v>101</v>
      </c>
      <c r="I14" s="541">
        <v>38</v>
      </c>
      <c r="K14" s="541" t="s">
        <v>554</v>
      </c>
      <c r="L14" s="541" t="s">
        <v>553</v>
      </c>
      <c r="M14" s="541">
        <v>177</v>
      </c>
      <c r="N14" s="541">
        <v>60</v>
      </c>
    </row>
    <row r="15" spans="1:17">
      <c r="F15" s="541" t="s">
        <v>552</v>
      </c>
      <c r="G15" s="541" t="s">
        <v>551</v>
      </c>
      <c r="H15" s="541">
        <v>216</v>
      </c>
      <c r="I15" s="541">
        <v>38</v>
      </c>
    </row>
    <row r="16" spans="1:17">
      <c r="F16" s="541" t="s">
        <v>550</v>
      </c>
      <c r="G16" s="541" t="s">
        <v>549</v>
      </c>
      <c r="H16" s="541">
        <v>212</v>
      </c>
      <c r="I16" s="541">
        <v>38</v>
      </c>
    </row>
    <row r="22" spans="1:14">
      <c r="A22" s="541" t="s">
        <v>409</v>
      </c>
      <c r="B22" s="541" t="s">
        <v>199</v>
      </c>
      <c r="C22" s="541" t="s">
        <v>548</v>
      </c>
      <c r="D22" s="541" t="s">
        <v>547</v>
      </c>
      <c r="F22" s="541" t="s">
        <v>409</v>
      </c>
      <c r="G22" s="541" t="s">
        <v>199</v>
      </c>
      <c r="H22" s="541" t="s">
        <v>548</v>
      </c>
      <c r="I22" s="541" t="s">
        <v>547</v>
      </c>
      <c r="K22" s="541" t="s">
        <v>409</v>
      </c>
      <c r="L22" s="541" t="s">
        <v>199</v>
      </c>
      <c r="M22" s="541" t="s">
        <v>548</v>
      </c>
      <c r="N22" s="541" t="s">
        <v>547</v>
      </c>
    </row>
    <row r="23" spans="1:14">
      <c r="A23" s="541" t="s">
        <v>546</v>
      </c>
      <c r="B23" s="541" t="s">
        <v>545</v>
      </c>
      <c r="C23" s="541">
        <v>156</v>
      </c>
      <c r="D23" s="541">
        <v>26</v>
      </c>
      <c r="F23" s="541" t="s">
        <v>544</v>
      </c>
      <c r="G23" s="541" t="s">
        <v>543</v>
      </c>
      <c r="H23" s="541">
        <v>143</v>
      </c>
      <c r="I23" s="541">
        <v>19</v>
      </c>
      <c r="K23" s="541" t="s">
        <v>542</v>
      </c>
      <c r="L23" s="541" t="s">
        <v>541</v>
      </c>
      <c r="M23" s="541">
        <v>185</v>
      </c>
      <c r="N23" s="541">
        <v>125</v>
      </c>
    </row>
    <row r="24" spans="1:14">
      <c r="A24" s="541" t="s">
        <v>540</v>
      </c>
      <c r="B24" s="541" t="s">
        <v>539</v>
      </c>
      <c r="C24" s="541">
        <v>172</v>
      </c>
      <c r="D24" s="541">
        <v>67</v>
      </c>
      <c r="F24" s="541" t="s">
        <v>538</v>
      </c>
      <c r="G24" s="541" t="s">
        <v>537</v>
      </c>
      <c r="H24" s="541">
        <v>176</v>
      </c>
      <c r="I24" s="541">
        <v>19</v>
      </c>
      <c r="K24" s="541" t="s">
        <v>536</v>
      </c>
      <c r="L24" s="541" t="s">
        <v>535</v>
      </c>
      <c r="M24" s="541">
        <v>189</v>
      </c>
      <c r="N24" s="541">
        <v>125</v>
      </c>
    </row>
    <row r="25" spans="1:14">
      <c r="A25" s="541" t="s">
        <v>534</v>
      </c>
      <c r="B25" s="541" t="s">
        <v>533</v>
      </c>
      <c r="C25" s="541">
        <v>251</v>
      </c>
      <c r="D25" s="541">
        <v>67</v>
      </c>
      <c r="F25" s="541" t="s">
        <v>532</v>
      </c>
      <c r="G25" s="541" t="s">
        <v>531</v>
      </c>
      <c r="H25" s="541">
        <v>152</v>
      </c>
      <c r="I25" s="541">
        <v>30</v>
      </c>
      <c r="K25" s="541" t="s">
        <v>525</v>
      </c>
      <c r="L25" s="541" t="s">
        <v>530</v>
      </c>
      <c r="M25" s="541">
        <v>188</v>
      </c>
      <c r="N25" s="541">
        <v>125</v>
      </c>
    </row>
    <row r="26" spans="1:14">
      <c r="A26" s="541" t="s">
        <v>529</v>
      </c>
      <c r="B26" s="541" t="s">
        <v>528</v>
      </c>
      <c r="C26" s="541">
        <v>140</v>
      </c>
      <c r="D26" s="541">
        <v>67</v>
      </c>
      <c r="F26" s="541" t="s">
        <v>527</v>
      </c>
      <c r="G26" s="541" t="s">
        <v>526</v>
      </c>
      <c r="H26" s="541">
        <v>159</v>
      </c>
      <c r="I26" s="541">
        <v>17</v>
      </c>
      <c r="K26" s="541" t="s">
        <v>525</v>
      </c>
      <c r="L26" s="541" t="s">
        <v>524</v>
      </c>
      <c r="M26" s="541">
        <v>187</v>
      </c>
      <c r="N26" s="541">
        <v>125</v>
      </c>
    </row>
    <row r="27" spans="1:14">
      <c r="A27" s="541" t="s">
        <v>523</v>
      </c>
      <c r="B27" s="541" t="s">
        <v>522</v>
      </c>
      <c r="C27" s="541">
        <v>247</v>
      </c>
      <c r="D27" s="541">
        <v>67</v>
      </c>
      <c r="F27" s="541" t="s">
        <v>521</v>
      </c>
      <c r="G27" s="541" t="s">
        <v>520</v>
      </c>
      <c r="H27" s="541">
        <v>283</v>
      </c>
      <c r="I27" s="541">
        <v>95</v>
      </c>
      <c r="K27" s="541" t="s">
        <v>519</v>
      </c>
      <c r="L27" s="541" t="s">
        <v>518</v>
      </c>
      <c r="M27" s="541">
        <v>265</v>
      </c>
      <c r="N27" s="541">
        <v>125</v>
      </c>
    </row>
    <row r="28" spans="1:14">
      <c r="A28" s="541" t="s">
        <v>517</v>
      </c>
      <c r="B28" s="541" t="s">
        <v>516</v>
      </c>
      <c r="C28" s="541">
        <v>243</v>
      </c>
      <c r="D28" s="541">
        <v>67</v>
      </c>
      <c r="F28" s="541" t="s">
        <v>515</v>
      </c>
      <c r="G28" s="541" t="s">
        <v>514</v>
      </c>
      <c r="H28" s="541">
        <v>279</v>
      </c>
      <c r="I28" s="541">
        <v>95</v>
      </c>
      <c r="K28" s="541" t="s">
        <v>513</v>
      </c>
      <c r="L28" s="541" t="s">
        <v>512</v>
      </c>
      <c r="M28" s="541">
        <v>184</v>
      </c>
      <c r="N28" s="541">
        <v>125</v>
      </c>
    </row>
    <row r="29" spans="1:14">
      <c r="A29" s="541" t="s">
        <v>511</v>
      </c>
      <c r="B29" s="541" t="s">
        <v>510</v>
      </c>
      <c r="C29" s="541">
        <v>254</v>
      </c>
      <c r="D29" s="541">
        <v>67</v>
      </c>
      <c r="F29" s="541" t="s">
        <v>509</v>
      </c>
      <c r="G29" s="541" t="s">
        <v>508</v>
      </c>
      <c r="H29" s="541">
        <v>273</v>
      </c>
      <c r="I29" s="541">
        <v>95</v>
      </c>
    </row>
    <row r="30" spans="1:14">
      <c r="A30" s="541" t="s">
        <v>507</v>
      </c>
      <c r="B30" s="541" t="s">
        <v>506</v>
      </c>
      <c r="C30" s="541">
        <v>244</v>
      </c>
      <c r="D30" s="541">
        <v>67</v>
      </c>
      <c r="F30" s="541" t="s">
        <v>505</v>
      </c>
      <c r="G30" s="541" t="s">
        <v>504</v>
      </c>
      <c r="H30" s="541">
        <v>271</v>
      </c>
      <c r="I30" s="541">
        <v>95</v>
      </c>
    </row>
    <row r="31" spans="1:14">
      <c r="A31" s="541" t="s">
        <v>503</v>
      </c>
      <c r="B31" s="541" t="s">
        <v>502</v>
      </c>
      <c r="C31" s="541">
        <v>248</v>
      </c>
      <c r="D31" s="541">
        <v>67</v>
      </c>
      <c r="F31" s="541" t="s">
        <v>501</v>
      </c>
      <c r="G31" s="541" t="s">
        <v>500</v>
      </c>
      <c r="H31" s="541">
        <v>137</v>
      </c>
      <c r="I31" s="541">
        <v>95</v>
      </c>
    </row>
    <row r="32" spans="1:14">
      <c r="A32" s="541" t="s">
        <v>499</v>
      </c>
      <c r="B32" s="541" t="s">
        <v>498</v>
      </c>
      <c r="C32" s="541">
        <v>146</v>
      </c>
      <c r="D32" s="541">
        <v>67</v>
      </c>
      <c r="F32" s="541" t="s">
        <v>497</v>
      </c>
      <c r="G32" s="541" t="s">
        <v>496</v>
      </c>
      <c r="H32" s="541">
        <v>136</v>
      </c>
      <c r="I32" s="541">
        <v>95</v>
      </c>
    </row>
    <row r="33" spans="1:9">
      <c r="A33" s="541" t="s">
        <v>495</v>
      </c>
      <c r="B33" s="541" t="s">
        <v>494</v>
      </c>
      <c r="C33" s="541">
        <v>245</v>
      </c>
      <c r="D33" s="541">
        <v>67</v>
      </c>
      <c r="F33" s="541" t="s">
        <v>493</v>
      </c>
      <c r="G33" s="541" t="s">
        <v>492</v>
      </c>
      <c r="H33" s="541">
        <v>277</v>
      </c>
      <c r="I33" s="541">
        <v>95</v>
      </c>
    </row>
    <row r="34" spans="1:9">
      <c r="A34" s="541" t="s">
        <v>491</v>
      </c>
      <c r="B34" s="541" t="s">
        <v>490</v>
      </c>
      <c r="C34" s="541">
        <v>259</v>
      </c>
      <c r="D34" s="541">
        <v>78</v>
      </c>
      <c r="F34" s="541" t="s">
        <v>489</v>
      </c>
      <c r="G34" s="541" t="s">
        <v>488</v>
      </c>
      <c r="H34" s="541">
        <v>272</v>
      </c>
      <c r="I34" s="541">
        <v>95</v>
      </c>
    </row>
    <row r="35" spans="1:9">
      <c r="A35" s="541" t="s">
        <v>487</v>
      </c>
      <c r="B35" s="541" t="s">
        <v>486</v>
      </c>
      <c r="C35" s="541">
        <v>262</v>
      </c>
      <c r="D35" s="541">
        <v>78</v>
      </c>
      <c r="F35" s="541" t="s">
        <v>485</v>
      </c>
      <c r="G35" s="541" t="s">
        <v>484</v>
      </c>
      <c r="H35" s="541">
        <v>281</v>
      </c>
      <c r="I35" s="541">
        <v>95</v>
      </c>
    </row>
    <row r="36" spans="1:9">
      <c r="A36" s="541" t="s">
        <v>483</v>
      </c>
      <c r="B36" s="541" t="s">
        <v>482</v>
      </c>
      <c r="C36" s="541">
        <v>266</v>
      </c>
      <c r="D36" s="541">
        <v>78</v>
      </c>
      <c r="F36" s="541" t="s">
        <v>481</v>
      </c>
      <c r="G36" s="541" t="s">
        <v>480</v>
      </c>
      <c r="H36" s="541">
        <v>115</v>
      </c>
      <c r="I36" s="541">
        <v>95</v>
      </c>
    </row>
    <row r="37" spans="1:9">
      <c r="A37" s="541" t="s">
        <v>479</v>
      </c>
      <c r="B37" s="541" t="s">
        <v>478</v>
      </c>
      <c r="C37" s="541">
        <v>165</v>
      </c>
      <c r="D37" s="541">
        <v>78</v>
      </c>
      <c r="F37" s="541" t="s">
        <v>477</v>
      </c>
      <c r="G37" s="541" t="s">
        <v>476</v>
      </c>
      <c r="H37" s="541">
        <v>130</v>
      </c>
      <c r="I37" s="541">
        <v>95</v>
      </c>
    </row>
    <row r="38" spans="1:9">
      <c r="A38" s="541" t="s">
        <v>475</v>
      </c>
      <c r="B38" s="541" t="s">
        <v>474</v>
      </c>
      <c r="C38" s="541">
        <v>164</v>
      </c>
      <c r="D38" s="541">
        <v>78</v>
      </c>
      <c r="F38" s="541" t="s">
        <v>473</v>
      </c>
      <c r="G38" s="541" t="s">
        <v>472</v>
      </c>
      <c r="H38" s="541">
        <v>278</v>
      </c>
      <c r="I38" s="541">
        <v>95</v>
      </c>
    </row>
    <row r="39" spans="1:9">
      <c r="A39" s="541" t="s">
        <v>471</v>
      </c>
      <c r="B39" s="541" t="s">
        <v>470</v>
      </c>
      <c r="C39" s="541">
        <v>258</v>
      </c>
      <c r="D39" s="541">
        <v>78</v>
      </c>
      <c r="F39" s="541" t="s">
        <v>469</v>
      </c>
      <c r="G39" s="541" t="s">
        <v>468</v>
      </c>
      <c r="H39" s="541">
        <v>276</v>
      </c>
      <c r="I39" s="541">
        <v>95</v>
      </c>
    </row>
    <row r="40" spans="1:9">
      <c r="A40" s="541" t="s">
        <v>467</v>
      </c>
      <c r="B40" s="541" t="s">
        <v>466</v>
      </c>
      <c r="C40" s="541">
        <v>174</v>
      </c>
      <c r="D40" s="541">
        <v>78</v>
      </c>
      <c r="F40" s="541" t="s">
        <v>465</v>
      </c>
      <c r="G40" s="541" t="s">
        <v>464</v>
      </c>
      <c r="H40" s="541">
        <v>138</v>
      </c>
      <c r="I40" s="541">
        <v>95</v>
      </c>
    </row>
    <row r="41" spans="1:9">
      <c r="A41" s="541" t="s">
        <v>463</v>
      </c>
      <c r="B41" s="541" t="s">
        <v>462</v>
      </c>
      <c r="C41" s="541">
        <v>168</v>
      </c>
      <c r="D41" s="541">
        <v>78</v>
      </c>
      <c r="F41" s="541" t="s">
        <v>461</v>
      </c>
      <c r="G41" s="541" t="s">
        <v>460</v>
      </c>
      <c r="H41" s="541">
        <v>294</v>
      </c>
      <c r="I41" s="541">
        <v>110</v>
      </c>
    </row>
    <row r="42" spans="1:9">
      <c r="A42" s="541" t="s">
        <v>459</v>
      </c>
      <c r="B42" s="541" t="s">
        <v>458</v>
      </c>
      <c r="C42" s="541">
        <v>252</v>
      </c>
      <c r="D42" s="541">
        <v>78</v>
      </c>
      <c r="F42" s="541" t="s">
        <v>457</v>
      </c>
      <c r="G42" s="541" t="s">
        <v>456</v>
      </c>
      <c r="H42" s="541">
        <v>284</v>
      </c>
      <c r="I42" s="541">
        <v>110</v>
      </c>
    </row>
    <row r="43" spans="1:9">
      <c r="A43" s="541" t="s">
        <v>455</v>
      </c>
      <c r="B43" s="541" t="s">
        <v>454</v>
      </c>
      <c r="C43" s="541">
        <v>170</v>
      </c>
      <c r="D43" s="541">
        <v>78</v>
      </c>
      <c r="F43" s="541" t="s">
        <v>453</v>
      </c>
      <c r="G43" s="541" t="s">
        <v>452</v>
      </c>
      <c r="H43" s="541">
        <v>253</v>
      </c>
      <c r="I43" s="541">
        <v>110</v>
      </c>
    </row>
    <row r="44" spans="1:9">
      <c r="A44" s="541" t="s">
        <v>451</v>
      </c>
      <c r="B44" s="541" t="s">
        <v>450</v>
      </c>
      <c r="C44" s="541">
        <v>260</v>
      </c>
      <c r="D44" s="541">
        <v>78</v>
      </c>
      <c r="F44" s="541" t="s">
        <v>449</v>
      </c>
      <c r="G44" s="541" t="s">
        <v>448</v>
      </c>
      <c r="H44" s="541">
        <v>295</v>
      </c>
      <c r="I44" s="541">
        <v>110</v>
      </c>
    </row>
    <row r="45" spans="1:9">
      <c r="A45" s="541" t="s">
        <v>447</v>
      </c>
      <c r="B45" s="541" t="s">
        <v>446</v>
      </c>
      <c r="C45" s="541">
        <v>256</v>
      </c>
      <c r="D45" s="541">
        <v>78</v>
      </c>
      <c r="F45" s="541" t="s">
        <v>445</v>
      </c>
      <c r="G45" s="541" t="s">
        <v>444</v>
      </c>
      <c r="H45" s="541">
        <v>288</v>
      </c>
      <c r="I45" s="541">
        <v>110</v>
      </c>
    </row>
    <row r="46" spans="1:9">
      <c r="A46" s="541" t="s">
        <v>443</v>
      </c>
      <c r="B46" s="541" t="s">
        <v>442</v>
      </c>
      <c r="C46" s="541">
        <v>175</v>
      </c>
      <c r="D46" s="541">
        <v>78</v>
      </c>
      <c r="F46" s="541" t="s">
        <v>441</v>
      </c>
      <c r="G46" s="541" t="s">
        <v>440</v>
      </c>
      <c r="H46" s="541">
        <v>255</v>
      </c>
      <c r="I46" s="541">
        <v>110</v>
      </c>
    </row>
    <row r="47" spans="1:9">
      <c r="A47" s="541" t="s">
        <v>439</v>
      </c>
      <c r="B47" s="541" t="s">
        <v>438</v>
      </c>
      <c r="C47" s="541">
        <v>268</v>
      </c>
      <c r="D47" s="541">
        <v>78</v>
      </c>
      <c r="F47" s="541" t="s">
        <v>437</v>
      </c>
      <c r="G47" s="541" t="s">
        <v>436</v>
      </c>
      <c r="H47" s="541">
        <v>289</v>
      </c>
      <c r="I47" s="541">
        <v>110</v>
      </c>
    </row>
    <row r="48" spans="1:9">
      <c r="A48" s="541" t="s">
        <v>435</v>
      </c>
      <c r="B48" s="541" t="s">
        <v>434</v>
      </c>
      <c r="C48" s="541">
        <v>261</v>
      </c>
      <c r="D48" s="541">
        <v>78</v>
      </c>
      <c r="F48" s="541" t="s">
        <v>433</v>
      </c>
      <c r="G48" s="541" t="s">
        <v>432</v>
      </c>
      <c r="H48" s="541">
        <v>257</v>
      </c>
      <c r="I48" s="541">
        <v>110</v>
      </c>
    </row>
    <row r="49" spans="1:9">
      <c r="A49" s="541" t="s">
        <v>431</v>
      </c>
      <c r="B49" s="541" t="s">
        <v>430</v>
      </c>
      <c r="C49" s="541">
        <v>169</v>
      </c>
      <c r="D49" s="541">
        <v>78</v>
      </c>
      <c r="F49" s="541" t="s">
        <v>429</v>
      </c>
      <c r="G49" s="541" t="s">
        <v>428</v>
      </c>
      <c r="H49" s="541">
        <v>263</v>
      </c>
      <c r="I49" s="541">
        <v>110</v>
      </c>
    </row>
    <row r="50" spans="1:9">
      <c r="F50" s="541" t="s">
        <v>427</v>
      </c>
      <c r="G50" s="541" t="s">
        <v>426</v>
      </c>
      <c r="H50" s="541">
        <v>192</v>
      </c>
      <c r="I50" s="541">
        <v>110</v>
      </c>
    </row>
    <row r="51" spans="1:9">
      <c r="F51" s="541" t="s">
        <v>425</v>
      </c>
      <c r="G51" s="541" t="s">
        <v>424</v>
      </c>
      <c r="H51" s="541">
        <v>155</v>
      </c>
      <c r="I51" s="541">
        <v>110</v>
      </c>
    </row>
    <row r="52" spans="1:9">
      <c r="F52" s="541" t="s">
        <v>423</v>
      </c>
      <c r="G52" s="541" t="s">
        <v>422</v>
      </c>
      <c r="H52" s="541">
        <v>162</v>
      </c>
      <c r="I52" s="541">
        <v>110</v>
      </c>
    </row>
    <row r="53" spans="1:9">
      <c r="F53" s="541" t="s">
        <v>421</v>
      </c>
      <c r="G53" s="541" t="s">
        <v>420</v>
      </c>
      <c r="H53" s="541">
        <v>264</v>
      </c>
      <c r="I53" s="541">
        <v>110</v>
      </c>
    </row>
    <row r="54" spans="1:9">
      <c r="F54" s="541" t="s">
        <v>419</v>
      </c>
      <c r="G54" s="541" t="s">
        <v>418</v>
      </c>
      <c r="H54" s="541">
        <v>285</v>
      </c>
      <c r="I54" s="541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21" sqref="T2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3" style="31" customWidth="1"/>
    <col min="19" max="19" width="21.109375" style="31" customWidth="1"/>
    <col min="20" max="20" width="22.88671875" style="31" customWidth="1"/>
    <col min="21" max="21" width="21.88671875" style="31" customWidth="1"/>
    <col min="22" max="16384" width="8.88671875" style="31"/>
  </cols>
  <sheetData>
    <row r="2" spans="2:23" ht="26.25" customHeight="1">
      <c r="B2" s="551" t="s">
        <v>403</v>
      </c>
      <c r="C2" s="551"/>
      <c r="D2" s="551"/>
      <c r="E2" s="551"/>
      <c r="F2" s="551"/>
      <c r="G2" s="551"/>
      <c r="H2" s="506"/>
      <c r="I2" s="506"/>
      <c r="J2" s="506"/>
      <c r="K2" s="506"/>
      <c r="L2" s="506"/>
      <c r="S2" s="546" t="s">
        <v>640</v>
      </c>
      <c r="T2" s="189" t="s">
        <v>417</v>
      </c>
    </row>
    <row r="3" spans="2:23" ht="17.25" thickBot="1">
      <c r="I3"/>
      <c r="J3"/>
      <c r="K3"/>
    </row>
    <row r="4" spans="2:23" s="67" customFormat="1" ht="35.2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  <c r="S4" s="549" t="s">
        <v>637</v>
      </c>
      <c r="T4" s="550" t="s">
        <v>638</v>
      </c>
    </row>
    <row r="5" spans="2:23" ht="22.5" customHeight="1">
      <c r="B5" s="528">
        <v>1993</v>
      </c>
      <c r="C5" s="529">
        <v>4.8</v>
      </c>
      <c r="D5" s="529">
        <v>73</v>
      </c>
      <c r="E5" s="529">
        <v>25.5</v>
      </c>
      <c r="F5" s="529">
        <v>34.5</v>
      </c>
      <c r="G5" s="529">
        <v>116</v>
      </c>
      <c r="H5" s="529">
        <v>260</v>
      </c>
      <c r="I5" s="529">
        <v>273.5</v>
      </c>
      <c r="J5" s="530">
        <v>284</v>
      </c>
      <c r="K5" s="529">
        <v>98.5</v>
      </c>
      <c r="L5" s="529">
        <v>34</v>
      </c>
      <c r="M5" s="529">
        <v>89.5</v>
      </c>
      <c r="N5" s="531">
        <v>21.9</v>
      </c>
      <c r="O5" s="181">
        <f>ROUND(SUM(C5:N5),1)</f>
        <v>1315.2</v>
      </c>
      <c r="P5" s="141">
        <f>ROUND(O5/12,1)</f>
        <v>109.6</v>
      </c>
      <c r="Q5" s="68"/>
      <c r="R5" s="133"/>
      <c r="S5" s="542" t="s">
        <v>639</v>
      </c>
      <c r="T5" s="543" t="s">
        <v>641</v>
      </c>
      <c r="V5" s="133"/>
      <c r="W5" s="132"/>
    </row>
    <row r="6" spans="2:23" ht="22.5" customHeight="1" thickBot="1">
      <c r="B6" s="532">
        <v>1994</v>
      </c>
      <c r="C6" s="533">
        <v>18.5</v>
      </c>
      <c r="D6" s="533">
        <v>14.4</v>
      </c>
      <c r="E6" s="533">
        <v>54.4</v>
      </c>
      <c r="F6" s="533">
        <v>41</v>
      </c>
      <c r="G6" s="533">
        <v>137</v>
      </c>
      <c r="H6" s="533">
        <v>137.5</v>
      </c>
      <c r="I6" s="533">
        <v>96.5</v>
      </c>
      <c r="J6" s="534">
        <v>286.5</v>
      </c>
      <c r="K6" s="533">
        <v>34</v>
      </c>
      <c r="L6" s="533">
        <v>162</v>
      </c>
      <c r="M6" s="533">
        <v>23</v>
      </c>
      <c r="N6" s="535">
        <v>25</v>
      </c>
      <c r="O6" s="182">
        <f t="shared" ref="O6:O34" si="0">ROUND(SUM(C6:N6),1)</f>
        <v>1029.8</v>
      </c>
      <c r="P6" s="142">
        <f t="shared" ref="P6:P34" si="1">ROUND(O6/12,1)</f>
        <v>85.8</v>
      </c>
      <c r="Q6" s="68"/>
      <c r="R6" s="133"/>
      <c r="S6" s="548" t="str">
        <f>VLOOKUP(S5, tblLocation[], 2, FALSE)</f>
        <v>Table3</v>
      </c>
      <c r="T6" s="544">
        <f ca="1">VLOOKUP(T5, INDIRECT(S6), 3,0)</f>
        <v>236</v>
      </c>
      <c r="V6" s="133"/>
      <c r="W6" s="132"/>
    </row>
    <row r="7" spans="2:23" ht="22.5" customHeight="1" thickBot="1">
      <c r="B7" s="532">
        <v>1995</v>
      </c>
      <c r="C7" s="533">
        <v>22.6</v>
      </c>
      <c r="D7" s="533">
        <v>23.5</v>
      </c>
      <c r="E7" s="533">
        <v>24.4</v>
      </c>
      <c r="F7" s="533">
        <v>62</v>
      </c>
      <c r="G7" s="533">
        <v>59.5</v>
      </c>
      <c r="H7" s="533">
        <v>34.5</v>
      </c>
      <c r="I7" s="533">
        <v>171.5</v>
      </c>
      <c r="J7" s="533">
        <v>839</v>
      </c>
      <c r="K7" s="533">
        <v>46.5</v>
      </c>
      <c r="L7" s="533">
        <v>22</v>
      </c>
      <c r="M7" s="533">
        <v>15</v>
      </c>
      <c r="N7" s="535">
        <v>5.7</v>
      </c>
      <c r="O7" s="182">
        <f t="shared" si="0"/>
        <v>1326.2</v>
      </c>
      <c r="P7" s="142">
        <f t="shared" si="1"/>
        <v>110.5</v>
      </c>
      <c r="Q7" s="68"/>
      <c r="R7" s="133"/>
      <c r="T7" s="545">
        <f ca="1">VLOOKUP(T5, INDIRECT(S6), 4,0)</f>
        <v>60</v>
      </c>
      <c r="V7" s="133"/>
      <c r="W7" s="132"/>
    </row>
    <row r="8" spans="2:23" ht="22.5" customHeight="1" thickBot="1">
      <c r="B8" s="532">
        <v>1996</v>
      </c>
      <c r="C8" s="533">
        <v>26.4</v>
      </c>
      <c r="D8" s="533">
        <v>2.8</v>
      </c>
      <c r="E8" s="533">
        <v>131</v>
      </c>
      <c r="F8" s="533">
        <v>45</v>
      </c>
      <c r="G8" s="533">
        <v>33</v>
      </c>
      <c r="H8" s="533">
        <v>289</v>
      </c>
      <c r="I8" s="533">
        <v>235</v>
      </c>
      <c r="J8" s="533">
        <v>67</v>
      </c>
      <c r="K8" s="533">
        <v>16</v>
      </c>
      <c r="L8" s="533">
        <v>90.5</v>
      </c>
      <c r="M8" s="533">
        <v>76</v>
      </c>
      <c r="N8" s="535">
        <v>35</v>
      </c>
      <c r="O8" s="182">
        <f t="shared" si="0"/>
        <v>1046.7</v>
      </c>
      <c r="P8" s="142">
        <f t="shared" si="1"/>
        <v>87.2</v>
      </c>
      <c r="Q8" s="68"/>
      <c r="T8" s="547" t="str" cm="1">
        <f t="array" aca="1" ref="T8" ca="1">UppercaseString(VLOOKUP(T5, INDIRECT(S6), 2,0))</f>
        <v>BUYEO</v>
      </c>
      <c r="V8" s="133"/>
      <c r="W8" s="132"/>
    </row>
    <row r="9" spans="2:23" ht="22.5" customHeight="1">
      <c r="B9" s="532">
        <v>1997</v>
      </c>
      <c r="C9" s="533">
        <v>9</v>
      </c>
      <c r="D9" s="533">
        <v>54.9</v>
      </c>
      <c r="E9" s="533">
        <v>44</v>
      </c>
      <c r="F9" s="533">
        <v>70</v>
      </c>
      <c r="G9" s="533">
        <v>229.5</v>
      </c>
      <c r="H9" s="533">
        <v>236.5</v>
      </c>
      <c r="I9" s="533">
        <v>404.5</v>
      </c>
      <c r="J9" s="533">
        <v>263</v>
      </c>
      <c r="K9" s="533">
        <v>24.5</v>
      </c>
      <c r="L9" s="533">
        <v>8</v>
      </c>
      <c r="M9" s="533">
        <v>219.5</v>
      </c>
      <c r="N9" s="535">
        <v>39.5</v>
      </c>
      <c r="O9" s="182">
        <f t="shared" si="0"/>
        <v>1602.9</v>
      </c>
      <c r="P9" s="142">
        <f t="shared" si="1"/>
        <v>133.6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32">
        <v>1998</v>
      </c>
      <c r="C10" s="533">
        <v>40.6</v>
      </c>
      <c r="D10" s="533">
        <v>47</v>
      </c>
      <c r="E10" s="533">
        <v>45</v>
      </c>
      <c r="F10" s="533">
        <v>200.5</v>
      </c>
      <c r="G10" s="533">
        <v>130.5</v>
      </c>
      <c r="H10" s="533">
        <v>324</v>
      </c>
      <c r="I10" s="533">
        <v>323</v>
      </c>
      <c r="J10" s="533">
        <v>451.3</v>
      </c>
      <c r="K10" s="533">
        <v>313.10000000000002</v>
      </c>
      <c r="L10" s="533">
        <v>75.5</v>
      </c>
      <c r="M10" s="533">
        <v>46.3</v>
      </c>
      <c r="N10" s="535">
        <v>3.5</v>
      </c>
      <c r="O10" s="182">
        <f t="shared" si="0"/>
        <v>2000.3</v>
      </c>
      <c r="P10" s="142">
        <f t="shared" si="1"/>
        <v>166.7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32">
        <v>1999</v>
      </c>
      <c r="C11" s="533">
        <v>3.5</v>
      </c>
      <c r="D11" s="533">
        <v>10</v>
      </c>
      <c r="E11" s="533">
        <v>75.7</v>
      </c>
      <c r="F11" s="533">
        <v>92.5</v>
      </c>
      <c r="G11" s="533">
        <v>127.5</v>
      </c>
      <c r="H11" s="533">
        <v>203</v>
      </c>
      <c r="I11" s="533">
        <v>149</v>
      </c>
      <c r="J11" s="533">
        <v>119.5</v>
      </c>
      <c r="K11" s="533">
        <v>426</v>
      </c>
      <c r="L11" s="533">
        <v>290</v>
      </c>
      <c r="M11" s="533">
        <v>15.5</v>
      </c>
      <c r="N11" s="535">
        <v>17.399999999999999</v>
      </c>
      <c r="O11" s="182">
        <f t="shared" si="0"/>
        <v>1529.6</v>
      </c>
      <c r="P11" s="142">
        <f t="shared" si="1"/>
        <v>127.5</v>
      </c>
      <c r="R11" s="133"/>
      <c r="S11" s="132"/>
      <c r="T11" s="133"/>
      <c r="U11" s="132"/>
      <c r="V11" s="133"/>
      <c r="W11" s="132"/>
    </row>
    <row r="12" spans="2:23" ht="22.5" customHeight="1">
      <c r="B12" s="532">
        <v>2000</v>
      </c>
      <c r="C12" s="533">
        <v>41.4</v>
      </c>
      <c r="D12" s="533">
        <v>2.2999999999999998</v>
      </c>
      <c r="E12" s="533">
        <v>14.1</v>
      </c>
      <c r="F12" s="533">
        <v>62</v>
      </c>
      <c r="G12" s="533">
        <v>40</v>
      </c>
      <c r="H12" s="533">
        <v>248.5</v>
      </c>
      <c r="I12" s="533">
        <v>248.5</v>
      </c>
      <c r="J12" s="533">
        <v>543</v>
      </c>
      <c r="K12" s="533">
        <v>238.5</v>
      </c>
      <c r="L12" s="533">
        <v>39</v>
      </c>
      <c r="M12" s="533">
        <v>29.5</v>
      </c>
      <c r="N12" s="535">
        <v>13.8</v>
      </c>
      <c r="O12" s="182">
        <f t="shared" si="0"/>
        <v>1520.6</v>
      </c>
      <c r="P12" s="142">
        <f t="shared" si="1"/>
        <v>126.7</v>
      </c>
      <c r="R12" s="133"/>
      <c r="S12" s="132"/>
      <c r="T12" s="133"/>
      <c r="U12" s="132"/>
      <c r="V12" s="133"/>
      <c r="W12" s="132"/>
    </row>
    <row r="13" spans="2:23" ht="22.5" customHeight="1">
      <c r="B13" s="532">
        <v>2001</v>
      </c>
      <c r="C13" s="533">
        <v>65</v>
      </c>
      <c r="D13" s="533">
        <v>69.5</v>
      </c>
      <c r="E13" s="533">
        <v>9.8000000000000007</v>
      </c>
      <c r="F13" s="533">
        <v>25</v>
      </c>
      <c r="G13" s="533">
        <v>23.5</v>
      </c>
      <c r="H13" s="533">
        <v>132</v>
      </c>
      <c r="I13" s="533">
        <v>216</v>
      </c>
      <c r="J13" s="533">
        <v>98</v>
      </c>
      <c r="K13" s="533">
        <v>10.5</v>
      </c>
      <c r="L13" s="533">
        <v>76.5</v>
      </c>
      <c r="M13" s="533">
        <v>10.5</v>
      </c>
      <c r="N13" s="535">
        <v>16.3</v>
      </c>
      <c r="O13" s="182">
        <f t="shared" si="0"/>
        <v>752.6</v>
      </c>
      <c r="P13" s="142">
        <f t="shared" si="1"/>
        <v>62.7</v>
      </c>
      <c r="R13" s="133"/>
      <c r="S13" s="132"/>
      <c r="T13" s="133"/>
      <c r="U13" s="132"/>
      <c r="V13" s="133"/>
      <c r="W13" s="132"/>
    </row>
    <row r="14" spans="2:23" ht="22.5" customHeight="1">
      <c r="B14" s="532">
        <v>2002</v>
      </c>
      <c r="C14" s="533">
        <v>72.3</v>
      </c>
      <c r="D14" s="533">
        <v>6</v>
      </c>
      <c r="E14" s="533">
        <v>32.5</v>
      </c>
      <c r="F14" s="533">
        <v>142.5</v>
      </c>
      <c r="G14" s="533">
        <v>159</v>
      </c>
      <c r="H14" s="533">
        <v>70.5</v>
      </c>
      <c r="I14" s="533">
        <v>208</v>
      </c>
      <c r="J14" s="533">
        <v>358.5</v>
      </c>
      <c r="K14" s="533">
        <v>57.5</v>
      </c>
      <c r="L14" s="533">
        <v>78.5</v>
      </c>
      <c r="M14" s="533">
        <v>31.5</v>
      </c>
      <c r="N14" s="535">
        <v>57.2</v>
      </c>
      <c r="O14" s="182">
        <f t="shared" si="0"/>
        <v>1274</v>
      </c>
      <c r="P14" s="142">
        <f t="shared" si="1"/>
        <v>106.2</v>
      </c>
      <c r="R14" s="133"/>
      <c r="S14" s="132"/>
      <c r="T14" s="133"/>
      <c r="U14" s="132"/>
      <c r="V14" s="133"/>
      <c r="W14" s="132"/>
    </row>
    <row r="15" spans="2:23" ht="22.5" customHeight="1">
      <c r="B15" s="532">
        <v>2003</v>
      </c>
      <c r="C15" s="533">
        <v>24.2</v>
      </c>
      <c r="D15" s="533">
        <v>59</v>
      </c>
      <c r="E15" s="533">
        <v>52</v>
      </c>
      <c r="F15" s="533">
        <v>208.5</v>
      </c>
      <c r="G15" s="533">
        <v>144.5</v>
      </c>
      <c r="H15" s="533">
        <v>228</v>
      </c>
      <c r="I15" s="533">
        <v>626.5</v>
      </c>
      <c r="J15" s="533">
        <v>202</v>
      </c>
      <c r="K15" s="533">
        <v>167.5</v>
      </c>
      <c r="L15" s="533">
        <v>24.5</v>
      </c>
      <c r="M15" s="533">
        <v>29.5</v>
      </c>
      <c r="N15" s="535">
        <v>13.8</v>
      </c>
      <c r="O15" s="182">
        <f t="shared" si="0"/>
        <v>1780</v>
      </c>
      <c r="P15" s="142">
        <f t="shared" si="1"/>
        <v>148.30000000000001</v>
      </c>
    </row>
    <row r="16" spans="2:23" ht="22.5" customHeight="1">
      <c r="B16" s="532">
        <v>2004</v>
      </c>
      <c r="C16" s="533">
        <v>18.100000000000001</v>
      </c>
      <c r="D16" s="533">
        <v>26.2</v>
      </c>
      <c r="E16" s="533">
        <v>63.1</v>
      </c>
      <c r="F16" s="533">
        <v>73.5</v>
      </c>
      <c r="G16" s="533">
        <v>109</v>
      </c>
      <c r="H16" s="533">
        <v>388</v>
      </c>
      <c r="I16" s="533">
        <v>296</v>
      </c>
      <c r="J16" s="533">
        <v>249</v>
      </c>
      <c r="K16" s="533">
        <v>176.5</v>
      </c>
      <c r="L16" s="533">
        <v>1</v>
      </c>
      <c r="M16" s="533">
        <v>50.5</v>
      </c>
      <c r="N16" s="535">
        <v>43</v>
      </c>
      <c r="O16" s="182">
        <f t="shared" si="0"/>
        <v>1493.9</v>
      </c>
      <c r="P16" s="142">
        <f t="shared" si="1"/>
        <v>124.5</v>
      </c>
    </row>
    <row r="17" spans="2:16" ht="22.5" customHeight="1">
      <c r="B17" s="532">
        <v>2005</v>
      </c>
      <c r="C17" s="533">
        <v>6</v>
      </c>
      <c r="D17" s="533">
        <v>39</v>
      </c>
      <c r="E17" s="533">
        <v>26.5</v>
      </c>
      <c r="F17" s="533">
        <v>75</v>
      </c>
      <c r="G17" s="533">
        <v>65.5</v>
      </c>
      <c r="H17" s="533">
        <v>186</v>
      </c>
      <c r="I17" s="533">
        <v>448.5</v>
      </c>
      <c r="J17" s="533">
        <v>381.5</v>
      </c>
      <c r="K17" s="533">
        <v>225.5</v>
      </c>
      <c r="L17" s="533">
        <v>30.5</v>
      </c>
      <c r="M17" s="533">
        <v>21</v>
      </c>
      <c r="N17" s="535">
        <v>22</v>
      </c>
      <c r="O17" s="182">
        <f t="shared" si="0"/>
        <v>1527</v>
      </c>
      <c r="P17" s="142">
        <f t="shared" si="1"/>
        <v>127.3</v>
      </c>
    </row>
    <row r="18" spans="2:16" ht="22.5" customHeight="1">
      <c r="B18" s="532">
        <v>2006</v>
      </c>
      <c r="C18" s="533">
        <v>30.2</v>
      </c>
      <c r="D18" s="533">
        <v>29.5</v>
      </c>
      <c r="E18" s="533">
        <v>7.8</v>
      </c>
      <c r="F18" s="533">
        <v>99</v>
      </c>
      <c r="G18" s="533">
        <v>81.5</v>
      </c>
      <c r="H18" s="533">
        <v>111</v>
      </c>
      <c r="I18" s="533">
        <v>503</v>
      </c>
      <c r="J18" s="533">
        <v>83.5</v>
      </c>
      <c r="K18" s="533">
        <v>37.5</v>
      </c>
      <c r="L18" s="533">
        <v>15</v>
      </c>
      <c r="M18" s="533">
        <v>51</v>
      </c>
      <c r="N18" s="535">
        <v>27.5</v>
      </c>
      <c r="O18" s="182">
        <f t="shared" si="0"/>
        <v>1076.5</v>
      </c>
      <c r="P18" s="142">
        <f t="shared" si="1"/>
        <v>89.7</v>
      </c>
    </row>
    <row r="19" spans="2:16" ht="22.5" customHeight="1">
      <c r="B19" s="532">
        <v>2007</v>
      </c>
      <c r="C19" s="533">
        <v>21.8</v>
      </c>
      <c r="D19" s="533">
        <v>47.8</v>
      </c>
      <c r="E19" s="533">
        <v>159</v>
      </c>
      <c r="F19" s="533">
        <v>28</v>
      </c>
      <c r="G19" s="533">
        <v>104</v>
      </c>
      <c r="H19" s="533">
        <v>101</v>
      </c>
      <c r="I19" s="533">
        <v>286</v>
      </c>
      <c r="J19" s="533">
        <v>319.5</v>
      </c>
      <c r="K19" s="533">
        <v>502.5</v>
      </c>
      <c r="L19" s="533">
        <v>37</v>
      </c>
      <c r="M19" s="533">
        <v>13</v>
      </c>
      <c r="N19" s="535">
        <v>31.7</v>
      </c>
      <c r="O19" s="182">
        <f t="shared" si="0"/>
        <v>1651.3</v>
      </c>
      <c r="P19" s="142">
        <f t="shared" si="1"/>
        <v>137.6</v>
      </c>
    </row>
    <row r="20" spans="2:16" ht="22.5" customHeight="1">
      <c r="B20" s="532">
        <v>2008</v>
      </c>
      <c r="C20" s="533">
        <v>39.6</v>
      </c>
      <c r="D20" s="533">
        <v>11.2</v>
      </c>
      <c r="E20" s="533">
        <v>42.2</v>
      </c>
      <c r="F20" s="533">
        <v>38.799999999999997</v>
      </c>
      <c r="G20" s="533">
        <v>51.6</v>
      </c>
      <c r="H20" s="533">
        <v>260</v>
      </c>
      <c r="I20" s="533">
        <v>194.3</v>
      </c>
      <c r="J20" s="533">
        <v>154</v>
      </c>
      <c r="K20" s="533">
        <v>48.8</v>
      </c>
      <c r="L20" s="533">
        <v>24.1</v>
      </c>
      <c r="M20" s="533">
        <v>14.1</v>
      </c>
      <c r="N20" s="535">
        <v>23.4</v>
      </c>
      <c r="O20" s="182">
        <f t="shared" si="0"/>
        <v>902.1</v>
      </c>
      <c r="P20" s="142">
        <f t="shared" si="1"/>
        <v>75.2</v>
      </c>
    </row>
    <row r="21" spans="2:16" ht="22.5" customHeight="1">
      <c r="B21" s="532">
        <v>2009</v>
      </c>
      <c r="C21" s="533">
        <v>10.6</v>
      </c>
      <c r="D21" s="533">
        <v>23.6</v>
      </c>
      <c r="E21" s="533">
        <v>63.9</v>
      </c>
      <c r="F21" s="533">
        <v>51</v>
      </c>
      <c r="G21" s="533">
        <v>135.5</v>
      </c>
      <c r="H21" s="533">
        <v>113.2</v>
      </c>
      <c r="I21" s="533">
        <v>408</v>
      </c>
      <c r="J21" s="533">
        <v>140.19999999999999</v>
      </c>
      <c r="K21" s="533">
        <v>30.5</v>
      </c>
      <c r="L21" s="533">
        <v>23.7</v>
      </c>
      <c r="M21" s="533">
        <v>54.5</v>
      </c>
      <c r="N21" s="535">
        <v>34.9</v>
      </c>
      <c r="O21" s="182">
        <f t="shared" si="0"/>
        <v>1089.5999999999999</v>
      </c>
      <c r="P21" s="142">
        <f t="shared" si="1"/>
        <v>90.8</v>
      </c>
    </row>
    <row r="22" spans="2:16" ht="22.5" customHeight="1">
      <c r="B22" s="532">
        <v>2010</v>
      </c>
      <c r="C22" s="533">
        <v>37.1</v>
      </c>
      <c r="D22" s="533">
        <v>89.5</v>
      </c>
      <c r="E22" s="533">
        <v>94.9</v>
      </c>
      <c r="F22" s="533">
        <v>69.599999999999994</v>
      </c>
      <c r="G22" s="533">
        <v>140.69999999999999</v>
      </c>
      <c r="H22" s="533">
        <v>36.1</v>
      </c>
      <c r="I22" s="533">
        <v>262.10000000000002</v>
      </c>
      <c r="J22" s="533">
        <v>431.1</v>
      </c>
      <c r="K22" s="533">
        <v>149.80000000000001</v>
      </c>
      <c r="L22" s="533">
        <v>17.8</v>
      </c>
      <c r="M22" s="533">
        <v>18.600000000000001</v>
      </c>
      <c r="N22" s="535">
        <v>31</v>
      </c>
      <c r="O22" s="182">
        <f t="shared" si="0"/>
        <v>1378.3</v>
      </c>
      <c r="P22" s="142">
        <f t="shared" si="1"/>
        <v>114.9</v>
      </c>
    </row>
    <row r="23" spans="2:16" ht="22.5" customHeight="1">
      <c r="B23" s="532">
        <v>2011</v>
      </c>
      <c r="C23" s="533">
        <v>3.7</v>
      </c>
      <c r="D23" s="533">
        <v>60.7</v>
      </c>
      <c r="E23" s="533">
        <v>16</v>
      </c>
      <c r="F23" s="533">
        <v>70</v>
      </c>
      <c r="G23" s="533">
        <v>111.2</v>
      </c>
      <c r="H23" s="533">
        <v>316</v>
      </c>
      <c r="I23" s="533">
        <v>599.6</v>
      </c>
      <c r="J23" s="533">
        <v>618.1</v>
      </c>
      <c r="K23" s="533">
        <v>104.2</v>
      </c>
      <c r="L23" s="533">
        <v>26.6</v>
      </c>
      <c r="M23" s="533">
        <v>81.599999999999994</v>
      </c>
      <c r="N23" s="535">
        <v>7</v>
      </c>
      <c r="O23" s="182">
        <f t="shared" si="0"/>
        <v>2014.7</v>
      </c>
      <c r="P23" s="142">
        <f t="shared" si="1"/>
        <v>167.9</v>
      </c>
    </row>
    <row r="24" spans="2:16" ht="22.5" customHeight="1">
      <c r="B24" s="532">
        <v>2012</v>
      </c>
      <c r="C24" s="533">
        <v>16</v>
      </c>
      <c r="D24" s="533">
        <v>3.2</v>
      </c>
      <c r="E24" s="533">
        <v>60.2</v>
      </c>
      <c r="F24" s="533">
        <v>109.3</v>
      </c>
      <c r="G24" s="533">
        <v>19.5</v>
      </c>
      <c r="H24" s="533">
        <v>71.3</v>
      </c>
      <c r="I24" s="533">
        <v>302.89999999999998</v>
      </c>
      <c r="J24" s="533">
        <v>573.29999999999995</v>
      </c>
      <c r="K24" s="533">
        <v>186.2</v>
      </c>
      <c r="L24" s="533">
        <v>83</v>
      </c>
      <c r="M24" s="533">
        <v>60.7</v>
      </c>
      <c r="N24" s="535">
        <v>60.2</v>
      </c>
      <c r="O24" s="182">
        <f t="shared" si="0"/>
        <v>1545.8</v>
      </c>
      <c r="P24" s="142">
        <f t="shared" si="1"/>
        <v>128.80000000000001</v>
      </c>
    </row>
    <row r="25" spans="2:16" ht="22.5" customHeight="1">
      <c r="B25" s="532">
        <v>2013</v>
      </c>
      <c r="C25" s="533">
        <v>45.4</v>
      </c>
      <c r="D25" s="533">
        <v>58.7</v>
      </c>
      <c r="E25" s="533">
        <v>50.3</v>
      </c>
      <c r="F25" s="533">
        <v>93.7</v>
      </c>
      <c r="G25" s="533">
        <v>159</v>
      </c>
      <c r="H25" s="533">
        <v>151.69999999999999</v>
      </c>
      <c r="I25" s="533">
        <v>240.4</v>
      </c>
      <c r="J25" s="533">
        <v>119.5</v>
      </c>
      <c r="K25" s="533">
        <v>184.8</v>
      </c>
      <c r="L25" s="533">
        <v>17.5</v>
      </c>
      <c r="M25" s="533">
        <v>79.400000000000006</v>
      </c>
      <c r="N25" s="535">
        <v>35.9</v>
      </c>
      <c r="O25" s="182">
        <f t="shared" si="0"/>
        <v>1236.3</v>
      </c>
      <c r="P25" s="142">
        <f t="shared" si="1"/>
        <v>103</v>
      </c>
    </row>
    <row r="26" spans="2:16" ht="22.5" customHeight="1">
      <c r="B26" s="532">
        <v>2014</v>
      </c>
      <c r="C26" s="533">
        <v>2.2000000000000002</v>
      </c>
      <c r="D26" s="533">
        <v>15.3</v>
      </c>
      <c r="E26" s="533">
        <v>69.3</v>
      </c>
      <c r="F26" s="533">
        <v>94.1</v>
      </c>
      <c r="G26" s="533">
        <v>61.5</v>
      </c>
      <c r="H26" s="533">
        <v>77.8</v>
      </c>
      <c r="I26" s="533">
        <v>174.7</v>
      </c>
      <c r="J26" s="533">
        <v>225.1</v>
      </c>
      <c r="K26" s="533">
        <v>157.5</v>
      </c>
      <c r="L26" s="533">
        <v>170.5</v>
      </c>
      <c r="M26" s="533">
        <v>42.4</v>
      </c>
      <c r="N26" s="535">
        <v>51.7</v>
      </c>
      <c r="O26" s="182">
        <f t="shared" si="0"/>
        <v>1142.0999999999999</v>
      </c>
      <c r="P26" s="142">
        <f t="shared" si="1"/>
        <v>95.2</v>
      </c>
    </row>
    <row r="27" spans="2:16" ht="22.5" customHeight="1">
      <c r="B27" s="532">
        <v>2015</v>
      </c>
      <c r="C27" s="533">
        <v>35.4</v>
      </c>
      <c r="D27" s="533">
        <v>35.6</v>
      </c>
      <c r="E27" s="533">
        <v>42.4</v>
      </c>
      <c r="F27" s="533">
        <v>99.5</v>
      </c>
      <c r="G27" s="533">
        <v>53.5</v>
      </c>
      <c r="H27" s="533">
        <v>92.7</v>
      </c>
      <c r="I27" s="533">
        <v>119.9</v>
      </c>
      <c r="J27" s="533">
        <v>56.9</v>
      </c>
      <c r="K27" s="533">
        <v>22</v>
      </c>
      <c r="L27" s="533">
        <v>104</v>
      </c>
      <c r="M27" s="533">
        <v>130</v>
      </c>
      <c r="N27" s="535">
        <v>56.9</v>
      </c>
      <c r="O27" s="182">
        <f t="shared" si="0"/>
        <v>848.8</v>
      </c>
      <c r="P27" s="142">
        <f t="shared" si="1"/>
        <v>70.7</v>
      </c>
    </row>
    <row r="28" spans="2:16" ht="22.5" customHeight="1">
      <c r="B28" s="532">
        <v>2016</v>
      </c>
      <c r="C28" s="533">
        <v>6.6</v>
      </c>
      <c r="D28" s="533">
        <v>59.6</v>
      </c>
      <c r="E28" s="533">
        <v>19</v>
      </c>
      <c r="F28" s="533">
        <v>164.6</v>
      </c>
      <c r="G28" s="533">
        <v>121.6</v>
      </c>
      <c r="H28" s="533">
        <v>49.4</v>
      </c>
      <c r="I28" s="533">
        <v>341.1</v>
      </c>
      <c r="J28" s="533">
        <v>33.4</v>
      </c>
      <c r="K28" s="533">
        <v>133.69999999999999</v>
      </c>
      <c r="L28" s="533">
        <v>120.1</v>
      </c>
      <c r="M28" s="533">
        <v>17.100000000000001</v>
      </c>
      <c r="N28" s="535">
        <v>63.1</v>
      </c>
      <c r="O28" s="182">
        <f t="shared" si="0"/>
        <v>1129.3</v>
      </c>
      <c r="P28" s="142">
        <f t="shared" si="1"/>
        <v>94.1</v>
      </c>
    </row>
    <row r="29" spans="2:16" ht="22.5" customHeight="1">
      <c r="B29" s="532">
        <v>2017</v>
      </c>
      <c r="C29" s="533">
        <v>16</v>
      </c>
      <c r="D29" s="533">
        <v>28.5</v>
      </c>
      <c r="E29" s="533">
        <v>8.8000000000000007</v>
      </c>
      <c r="F29" s="533">
        <v>78.400000000000006</v>
      </c>
      <c r="G29" s="533">
        <v>35.799999999999997</v>
      </c>
      <c r="H29" s="533">
        <v>51.4</v>
      </c>
      <c r="I29" s="533">
        <v>326.7</v>
      </c>
      <c r="J29" s="533">
        <v>358.5</v>
      </c>
      <c r="K29" s="533">
        <v>97.1</v>
      </c>
      <c r="L29" s="533">
        <v>51.9</v>
      </c>
      <c r="M29" s="533">
        <v>22.8</v>
      </c>
      <c r="N29" s="535">
        <v>36.1</v>
      </c>
      <c r="O29" s="182">
        <f t="shared" si="0"/>
        <v>1112</v>
      </c>
      <c r="P29" s="142">
        <f t="shared" si="1"/>
        <v>92.7</v>
      </c>
    </row>
    <row r="30" spans="2:16" ht="22.5" customHeight="1">
      <c r="B30" s="532">
        <v>2018</v>
      </c>
      <c r="C30" s="533">
        <v>25</v>
      </c>
      <c r="D30" s="533">
        <v>43.1</v>
      </c>
      <c r="E30" s="533">
        <v>99.3</v>
      </c>
      <c r="F30" s="533">
        <v>156.5</v>
      </c>
      <c r="G30" s="533">
        <v>116.1</v>
      </c>
      <c r="H30" s="533">
        <v>107.1</v>
      </c>
      <c r="I30" s="533">
        <v>278.8</v>
      </c>
      <c r="J30" s="533">
        <v>277</v>
      </c>
      <c r="K30" s="533">
        <v>98.3</v>
      </c>
      <c r="L30" s="533">
        <v>159.19999999999999</v>
      </c>
      <c r="M30" s="533">
        <v>66</v>
      </c>
      <c r="N30" s="535">
        <v>31.5</v>
      </c>
      <c r="O30" s="182">
        <f t="shared" si="0"/>
        <v>1457.9</v>
      </c>
      <c r="P30" s="142">
        <f t="shared" si="1"/>
        <v>121.5</v>
      </c>
    </row>
    <row r="31" spans="2:16" ht="22.5" customHeight="1">
      <c r="B31" s="532">
        <v>2019</v>
      </c>
      <c r="C31" s="533">
        <v>0.5</v>
      </c>
      <c r="D31" s="533">
        <v>37.6</v>
      </c>
      <c r="E31" s="533">
        <v>35</v>
      </c>
      <c r="F31" s="533">
        <v>73.7</v>
      </c>
      <c r="G31" s="533">
        <v>44.3</v>
      </c>
      <c r="H31" s="533">
        <v>59.9</v>
      </c>
      <c r="I31" s="533">
        <v>216.7</v>
      </c>
      <c r="J31" s="533">
        <v>102.1</v>
      </c>
      <c r="K31" s="533">
        <v>191.9</v>
      </c>
      <c r="L31" s="533">
        <v>85.6</v>
      </c>
      <c r="M31" s="533">
        <v>113.5</v>
      </c>
      <c r="N31" s="535">
        <v>31.2</v>
      </c>
      <c r="O31" s="182">
        <f t="shared" si="0"/>
        <v>992</v>
      </c>
      <c r="P31" s="142">
        <f t="shared" si="1"/>
        <v>82.7</v>
      </c>
    </row>
    <row r="32" spans="2:16" ht="22.5" customHeight="1">
      <c r="B32" s="532">
        <v>2020</v>
      </c>
      <c r="C32" s="533">
        <v>79.599999999999994</v>
      </c>
      <c r="D32" s="533">
        <v>92.4</v>
      </c>
      <c r="E32" s="533">
        <v>19.3</v>
      </c>
      <c r="F32" s="533">
        <v>17.7</v>
      </c>
      <c r="G32" s="533">
        <v>108.5</v>
      </c>
      <c r="H32" s="533">
        <v>188.4</v>
      </c>
      <c r="I32" s="533">
        <v>492.6</v>
      </c>
      <c r="J32" s="533">
        <v>367.8</v>
      </c>
      <c r="K32" s="533">
        <v>208.9</v>
      </c>
      <c r="L32" s="533">
        <v>4.4000000000000004</v>
      </c>
      <c r="M32" s="533">
        <v>41.8</v>
      </c>
      <c r="N32" s="535">
        <v>3.4</v>
      </c>
      <c r="O32" s="182">
        <f t="shared" si="0"/>
        <v>1624.8</v>
      </c>
      <c r="P32" s="142">
        <f t="shared" si="1"/>
        <v>135.4</v>
      </c>
    </row>
    <row r="33" spans="2:16" ht="22.5" customHeight="1">
      <c r="B33" s="532">
        <v>2021</v>
      </c>
      <c r="C33" s="533">
        <v>32.1</v>
      </c>
      <c r="D33" s="533">
        <v>18.100000000000001</v>
      </c>
      <c r="E33" s="533">
        <v>95.7</v>
      </c>
      <c r="F33" s="533">
        <v>42.3</v>
      </c>
      <c r="G33" s="533">
        <v>136.9</v>
      </c>
      <c r="H33" s="533">
        <v>76.900000000000006</v>
      </c>
      <c r="I33" s="533">
        <v>187.7</v>
      </c>
      <c r="J33" s="533">
        <v>227.6</v>
      </c>
      <c r="K33" s="533">
        <v>187.1</v>
      </c>
      <c r="L33" s="533">
        <v>36.9</v>
      </c>
      <c r="M33" s="533">
        <v>73.400000000000006</v>
      </c>
      <c r="N33" s="535">
        <v>8.6999999999999993</v>
      </c>
      <c r="O33" s="182">
        <f t="shared" si="0"/>
        <v>1123.4000000000001</v>
      </c>
      <c r="P33" s="142">
        <f t="shared" si="1"/>
        <v>93.6</v>
      </c>
    </row>
    <row r="34" spans="2:16" ht="22.5" customHeight="1" thickBot="1">
      <c r="B34" s="536">
        <v>2022</v>
      </c>
      <c r="C34" s="537">
        <v>3.5</v>
      </c>
      <c r="D34" s="537">
        <v>2.5</v>
      </c>
      <c r="E34" s="537">
        <v>76.099999999999994</v>
      </c>
      <c r="F34" s="537">
        <v>62.6</v>
      </c>
      <c r="G34" s="537">
        <v>4</v>
      </c>
      <c r="H34" s="537">
        <v>123.4</v>
      </c>
      <c r="I34" s="537">
        <v>168.5</v>
      </c>
      <c r="J34" s="537">
        <v>615.6</v>
      </c>
      <c r="K34" s="537">
        <v>87</v>
      </c>
      <c r="L34" s="537">
        <v>103.7</v>
      </c>
      <c r="M34" s="537">
        <v>36.4</v>
      </c>
      <c r="N34" s="538">
        <v>17.8</v>
      </c>
      <c r="O34" s="183">
        <f t="shared" si="0"/>
        <v>1301.0999999999999</v>
      </c>
      <c r="P34" s="143">
        <f t="shared" si="1"/>
        <v>108.4</v>
      </c>
    </row>
    <row r="35" spans="2:16" ht="22.5" customHeight="1">
      <c r="B35" s="144" t="s">
        <v>36</v>
      </c>
      <c r="C35" s="145">
        <f>MAX(C5:C34)</f>
        <v>79.599999999999994</v>
      </c>
      <c r="D35" s="145">
        <f t="shared" ref="D35:N35" si="2">MAX(D5:D34)</f>
        <v>92.4</v>
      </c>
      <c r="E35" s="145">
        <f t="shared" si="2"/>
        <v>159</v>
      </c>
      <c r="F35" s="145">
        <f t="shared" si="2"/>
        <v>208.5</v>
      </c>
      <c r="G35" s="145">
        <f t="shared" si="2"/>
        <v>229.5</v>
      </c>
      <c r="H35" s="145">
        <f t="shared" si="2"/>
        <v>388</v>
      </c>
      <c r="I35" s="145">
        <f t="shared" si="2"/>
        <v>626.5</v>
      </c>
      <c r="J35" s="145">
        <f t="shared" si="2"/>
        <v>839</v>
      </c>
      <c r="K35" s="145">
        <f t="shared" si="2"/>
        <v>502.5</v>
      </c>
      <c r="L35" s="145">
        <f t="shared" si="2"/>
        <v>290</v>
      </c>
      <c r="M35" s="145">
        <f t="shared" si="2"/>
        <v>219.5</v>
      </c>
      <c r="N35" s="146">
        <f t="shared" si="2"/>
        <v>63.1</v>
      </c>
      <c r="O35" s="184">
        <f t="shared" ref="O35" si="3">MAX(O5:O34)</f>
        <v>2014.7</v>
      </c>
      <c r="P35" s="146">
        <f>MAX(P5:P34)</f>
        <v>167.9</v>
      </c>
    </row>
    <row r="36" spans="2:16" ht="22.5" customHeight="1">
      <c r="B36" s="147" t="s">
        <v>37</v>
      </c>
      <c r="C36" s="148">
        <f>ROUND(MIN(C5:C34),1)</f>
        <v>0.5</v>
      </c>
      <c r="D36" s="148">
        <f t="shared" ref="D36:N36" si="4">ROUND(MIN(D5:D34),1)</f>
        <v>2.2999999999999998</v>
      </c>
      <c r="E36" s="148">
        <f t="shared" si="4"/>
        <v>7.8</v>
      </c>
      <c r="F36" s="148">
        <f t="shared" si="4"/>
        <v>17.7</v>
      </c>
      <c r="G36" s="148">
        <f t="shared" si="4"/>
        <v>4</v>
      </c>
      <c r="H36" s="148">
        <f t="shared" si="4"/>
        <v>34.5</v>
      </c>
      <c r="I36" s="148">
        <f t="shared" si="4"/>
        <v>96.5</v>
      </c>
      <c r="J36" s="148">
        <f t="shared" si="4"/>
        <v>33.4</v>
      </c>
      <c r="K36" s="148">
        <f t="shared" si="4"/>
        <v>10.5</v>
      </c>
      <c r="L36" s="148">
        <f t="shared" si="4"/>
        <v>1</v>
      </c>
      <c r="M36" s="148">
        <f t="shared" si="4"/>
        <v>10.5</v>
      </c>
      <c r="N36" s="149">
        <f t="shared" si="4"/>
        <v>3.4</v>
      </c>
      <c r="O36" s="162">
        <f>ROUND(MIN(O5:O34),1)</f>
        <v>752.6</v>
      </c>
      <c r="P36" s="150">
        <f>ROUND(MIN(P5:P34),1)</f>
        <v>62.7</v>
      </c>
    </row>
    <row r="37" spans="2:16" ht="22.5" customHeight="1" thickBot="1">
      <c r="B37" s="151" t="s">
        <v>45</v>
      </c>
      <c r="C37" s="152">
        <f>ROUND(AVERAGE(C5:C34),1)</f>
        <v>25.3</v>
      </c>
      <c r="D37" s="152">
        <f t="shared" ref="D37:N37" si="5">ROUND(AVERAGE(D5:D34),1)</f>
        <v>36.200000000000003</v>
      </c>
      <c r="E37" s="152">
        <f t="shared" si="5"/>
        <v>51.9</v>
      </c>
      <c r="F37" s="152">
        <f t="shared" si="5"/>
        <v>82.7</v>
      </c>
      <c r="G37" s="152">
        <f t="shared" si="5"/>
        <v>95.3</v>
      </c>
      <c r="H37" s="152">
        <f t="shared" si="5"/>
        <v>157.5</v>
      </c>
      <c r="I37" s="152">
        <f t="shared" si="5"/>
        <v>293.3</v>
      </c>
      <c r="J37" s="152">
        <f t="shared" si="5"/>
        <v>294.89999999999998</v>
      </c>
      <c r="K37" s="152">
        <f t="shared" si="5"/>
        <v>142.1</v>
      </c>
      <c r="L37" s="152">
        <f t="shared" si="5"/>
        <v>67.099999999999994</v>
      </c>
      <c r="M37" s="152">
        <f t="shared" si="5"/>
        <v>52.5</v>
      </c>
      <c r="N37" s="153">
        <f t="shared" si="5"/>
        <v>28.9</v>
      </c>
      <c r="O37" s="166">
        <f>ROUND(AVERAGE(O5:O34),1)</f>
        <v>1327.5</v>
      </c>
      <c r="P37" s="154">
        <f>ROUND(AVERAGE(P5:P34),1)</f>
        <v>110.6</v>
      </c>
    </row>
    <row r="38" spans="2:16" ht="21.95" customHeight="1"/>
    <row r="39" spans="2:16" ht="21.95" customHeight="1" thickBot="1"/>
    <row r="40" spans="2:16" ht="34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45.4</v>
      </c>
      <c r="D41" s="155">
        <f t="shared" si="6"/>
        <v>58.7</v>
      </c>
      <c r="E41" s="155">
        <f t="shared" si="6"/>
        <v>50.3</v>
      </c>
      <c r="F41" s="155">
        <f t="shared" si="6"/>
        <v>93.7</v>
      </c>
      <c r="G41" s="155">
        <f t="shared" si="6"/>
        <v>159</v>
      </c>
      <c r="H41" s="155">
        <f t="shared" si="6"/>
        <v>151.69999999999999</v>
      </c>
      <c r="I41" s="155">
        <f t="shared" si="6"/>
        <v>240.4</v>
      </c>
      <c r="J41" s="155">
        <f t="shared" si="6"/>
        <v>119.5</v>
      </c>
      <c r="K41" s="155">
        <f t="shared" si="6"/>
        <v>184.8</v>
      </c>
      <c r="L41" s="155">
        <f t="shared" si="6"/>
        <v>17.5</v>
      </c>
      <c r="M41" s="155">
        <f t="shared" si="6"/>
        <v>79.400000000000006</v>
      </c>
      <c r="N41" s="161">
        <f t="shared" si="6"/>
        <v>35.9</v>
      </c>
      <c r="O41" s="162">
        <f>ROUND(SUM(C41:N41),1)</f>
        <v>1236.3</v>
      </c>
      <c r="P41" s="150">
        <f>ROUND(O41/12,1)</f>
        <v>103</v>
      </c>
    </row>
    <row r="42" spans="2:16" ht="22.5" customHeight="1">
      <c r="B42" s="160">
        <f t="shared" ref="B42:N42" si="7">B26</f>
        <v>2014</v>
      </c>
      <c r="C42" s="155">
        <f t="shared" si="7"/>
        <v>2.2000000000000002</v>
      </c>
      <c r="D42" s="155">
        <f t="shared" si="7"/>
        <v>15.3</v>
      </c>
      <c r="E42" s="155">
        <f t="shared" si="7"/>
        <v>69.3</v>
      </c>
      <c r="F42" s="155">
        <f t="shared" si="7"/>
        <v>94.1</v>
      </c>
      <c r="G42" s="155">
        <f t="shared" si="7"/>
        <v>61.5</v>
      </c>
      <c r="H42" s="155">
        <f t="shared" si="7"/>
        <v>77.8</v>
      </c>
      <c r="I42" s="155">
        <f t="shared" si="7"/>
        <v>174.7</v>
      </c>
      <c r="J42" s="155">
        <f t="shared" si="7"/>
        <v>225.1</v>
      </c>
      <c r="K42" s="155">
        <f t="shared" si="7"/>
        <v>157.5</v>
      </c>
      <c r="L42" s="155">
        <f t="shared" si="7"/>
        <v>170.5</v>
      </c>
      <c r="M42" s="155">
        <f t="shared" si="7"/>
        <v>42.4</v>
      </c>
      <c r="N42" s="161">
        <f t="shared" si="7"/>
        <v>51.7</v>
      </c>
      <c r="O42" s="162">
        <f t="shared" ref="O42:O50" si="8">ROUND(SUM(C42:N42),1)</f>
        <v>1142.0999999999999</v>
      </c>
      <c r="P42" s="150">
        <f t="shared" ref="P42:P50" si="9">ROUND(O42/12,1)</f>
        <v>95.2</v>
      </c>
    </row>
    <row r="43" spans="2:16" ht="22.5" customHeight="1">
      <c r="B43" s="160">
        <f t="shared" ref="B43:N43" si="10">B27</f>
        <v>2015</v>
      </c>
      <c r="C43" s="155">
        <f t="shared" si="10"/>
        <v>35.4</v>
      </c>
      <c r="D43" s="155">
        <f t="shared" si="10"/>
        <v>35.6</v>
      </c>
      <c r="E43" s="155">
        <f t="shared" si="10"/>
        <v>42.4</v>
      </c>
      <c r="F43" s="155">
        <f t="shared" si="10"/>
        <v>99.5</v>
      </c>
      <c r="G43" s="155">
        <f t="shared" si="10"/>
        <v>53.5</v>
      </c>
      <c r="H43" s="155">
        <f t="shared" si="10"/>
        <v>92.7</v>
      </c>
      <c r="I43" s="155">
        <f t="shared" si="10"/>
        <v>119.9</v>
      </c>
      <c r="J43" s="155">
        <f t="shared" si="10"/>
        <v>56.9</v>
      </c>
      <c r="K43" s="155">
        <f t="shared" si="10"/>
        <v>22</v>
      </c>
      <c r="L43" s="155">
        <f t="shared" si="10"/>
        <v>104</v>
      </c>
      <c r="M43" s="155">
        <f t="shared" si="10"/>
        <v>130</v>
      </c>
      <c r="N43" s="161">
        <f t="shared" si="10"/>
        <v>56.9</v>
      </c>
      <c r="O43" s="162">
        <f t="shared" si="8"/>
        <v>848.8</v>
      </c>
      <c r="P43" s="150">
        <f t="shared" si="9"/>
        <v>70.7</v>
      </c>
    </row>
    <row r="44" spans="2:16" ht="22.5" customHeight="1">
      <c r="B44" s="160">
        <f t="shared" ref="B44:N44" si="11">B28</f>
        <v>2016</v>
      </c>
      <c r="C44" s="155">
        <f t="shared" si="11"/>
        <v>6.6</v>
      </c>
      <c r="D44" s="155">
        <f t="shared" si="11"/>
        <v>59.6</v>
      </c>
      <c r="E44" s="155">
        <f t="shared" si="11"/>
        <v>19</v>
      </c>
      <c r="F44" s="155">
        <f t="shared" si="11"/>
        <v>164.6</v>
      </c>
      <c r="G44" s="155">
        <f t="shared" si="11"/>
        <v>121.6</v>
      </c>
      <c r="H44" s="155">
        <f t="shared" si="11"/>
        <v>49.4</v>
      </c>
      <c r="I44" s="155">
        <f t="shared" si="11"/>
        <v>341.1</v>
      </c>
      <c r="J44" s="155">
        <f t="shared" si="11"/>
        <v>33.4</v>
      </c>
      <c r="K44" s="155">
        <f t="shared" si="11"/>
        <v>133.69999999999999</v>
      </c>
      <c r="L44" s="155">
        <f t="shared" si="11"/>
        <v>120.1</v>
      </c>
      <c r="M44" s="155">
        <f t="shared" si="11"/>
        <v>17.100000000000001</v>
      </c>
      <c r="N44" s="161">
        <f t="shared" si="11"/>
        <v>63.1</v>
      </c>
      <c r="O44" s="162">
        <f t="shared" si="8"/>
        <v>1129.3</v>
      </c>
      <c r="P44" s="150">
        <f t="shared" si="9"/>
        <v>94.1</v>
      </c>
    </row>
    <row r="45" spans="2:16" ht="22.5" customHeight="1">
      <c r="B45" s="160">
        <f t="shared" ref="B45:N45" si="12">B29</f>
        <v>2017</v>
      </c>
      <c r="C45" s="155">
        <f t="shared" si="12"/>
        <v>16</v>
      </c>
      <c r="D45" s="155">
        <f t="shared" si="12"/>
        <v>28.5</v>
      </c>
      <c r="E45" s="155">
        <f t="shared" si="12"/>
        <v>8.8000000000000007</v>
      </c>
      <c r="F45" s="155">
        <f t="shared" si="12"/>
        <v>78.400000000000006</v>
      </c>
      <c r="G45" s="155">
        <f t="shared" si="12"/>
        <v>35.799999999999997</v>
      </c>
      <c r="H45" s="155">
        <f t="shared" si="12"/>
        <v>51.4</v>
      </c>
      <c r="I45" s="155">
        <f t="shared" si="12"/>
        <v>326.7</v>
      </c>
      <c r="J45" s="155">
        <f t="shared" si="12"/>
        <v>358.5</v>
      </c>
      <c r="K45" s="155">
        <f t="shared" si="12"/>
        <v>97.1</v>
      </c>
      <c r="L45" s="155">
        <f t="shared" si="12"/>
        <v>51.9</v>
      </c>
      <c r="M45" s="155">
        <f t="shared" si="12"/>
        <v>22.8</v>
      </c>
      <c r="N45" s="161">
        <f t="shared" si="12"/>
        <v>36.1</v>
      </c>
      <c r="O45" s="162">
        <f t="shared" si="8"/>
        <v>1112</v>
      </c>
      <c r="P45" s="150">
        <f t="shared" si="9"/>
        <v>92.7</v>
      </c>
    </row>
    <row r="46" spans="2:16" ht="22.5" customHeight="1">
      <c r="B46" s="160">
        <f t="shared" ref="B46:N46" si="13">B30</f>
        <v>2018</v>
      </c>
      <c r="C46" s="155">
        <f t="shared" si="13"/>
        <v>25</v>
      </c>
      <c r="D46" s="155">
        <f t="shared" si="13"/>
        <v>43.1</v>
      </c>
      <c r="E46" s="155">
        <f t="shared" si="13"/>
        <v>99.3</v>
      </c>
      <c r="F46" s="155">
        <f t="shared" si="13"/>
        <v>156.5</v>
      </c>
      <c r="G46" s="155">
        <f t="shared" si="13"/>
        <v>116.1</v>
      </c>
      <c r="H46" s="155">
        <f t="shared" si="13"/>
        <v>107.1</v>
      </c>
      <c r="I46" s="155">
        <f t="shared" si="13"/>
        <v>278.8</v>
      </c>
      <c r="J46" s="155">
        <f t="shared" si="13"/>
        <v>277</v>
      </c>
      <c r="K46" s="155">
        <f t="shared" si="13"/>
        <v>98.3</v>
      </c>
      <c r="L46" s="155">
        <f t="shared" si="13"/>
        <v>159.19999999999999</v>
      </c>
      <c r="M46" s="155">
        <f t="shared" si="13"/>
        <v>66</v>
      </c>
      <c r="N46" s="161">
        <f t="shared" si="13"/>
        <v>31.5</v>
      </c>
      <c r="O46" s="162">
        <f t="shared" si="8"/>
        <v>1457.9</v>
      </c>
      <c r="P46" s="150">
        <f t="shared" si="9"/>
        <v>121.5</v>
      </c>
    </row>
    <row r="47" spans="2:16" ht="22.5" customHeight="1">
      <c r="B47" s="160">
        <f t="shared" ref="B47:N47" si="14">B31</f>
        <v>2019</v>
      </c>
      <c r="C47" s="155">
        <f t="shared" si="14"/>
        <v>0.5</v>
      </c>
      <c r="D47" s="155">
        <f t="shared" si="14"/>
        <v>37.6</v>
      </c>
      <c r="E47" s="155">
        <f t="shared" si="14"/>
        <v>35</v>
      </c>
      <c r="F47" s="155">
        <f t="shared" si="14"/>
        <v>73.7</v>
      </c>
      <c r="G47" s="155">
        <f t="shared" si="14"/>
        <v>44.3</v>
      </c>
      <c r="H47" s="155">
        <f t="shared" si="14"/>
        <v>59.9</v>
      </c>
      <c r="I47" s="155">
        <f t="shared" si="14"/>
        <v>216.7</v>
      </c>
      <c r="J47" s="155">
        <f t="shared" si="14"/>
        <v>102.1</v>
      </c>
      <c r="K47" s="155">
        <f t="shared" si="14"/>
        <v>191.9</v>
      </c>
      <c r="L47" s="155">
        <f t="shared" si="14"/>
        <v>85.6</v>
      </c>
      <c r="M47" s="155">
        <f t="shared" si="14"/>
        <v>113.5</v>
      </c>
      <c r="N47" s="161">
        <f t="shared" si="14"/>
        <v>31.2</v>
      </c>
      <c r="O47" s="162">
        <f t="shared" si="8"/>
        <v>992</v>
      </c>
      <c r="P47" s="150">
        <f t="shared" si="9"/>
        <v>82.7</v>
      </c>
    </row>
    <row r="48" spans="2:16" ht="22.5" customHeight="1">
      <c r="B48" s="160">
        <f t="shared" ref="B48:N48" si="15">B32</f>
        <v>2020</v>
      </c>
      <c r="C48" s="155">
        <f t="shared" si="15"/>
        <v>79.599999999999994</v>
      </c>
      <c r="D48" s="155">
        <f t="shared" si="15"/>
        <v>92.4</v>
      </c>
      <c r="E48" s="155">
        <f t="shared" si="15"/>
        <v>19.3</v>
      </c>
      <c r="F48" s="155">
        <f t="shared" si="15"/>
        <v>17.7</v>
      </c>
      <c r="G48" s="155">
        <f t="shared" si="15"/>
        <v>108.5</v>
      </c>
      <c r="H48" s="155">
        <f t="shared" si="15"/>
        <v>188.4</v>
      </c>
      <c r="I48" s="155">
        <f t="shared" si="15"/>
        <v>492.6</v>
      </c>
      <c r="J48" s="155">
        <f t="shared" si="15"/>
        <v>367.8</v>
      </c>
      <c r="K48" s="155">
        <f t="shared" si="15"/>
        <v>208.9</v>
      </c>
      <c r="L48" s="155">
        <f t="shared" si="15"/>
        <v>4.4000000000000004</v>
      </c>
      <c r="M48" s="155">
        <f t="shared" si="15"/>
        <v>41.8</v>
      </c>
      <c r="N48" s="161">
        <f t="shared" si="15"/>
        <v>3.4</v>
      </c>
      <c r="O48" s="162">
        <f t="shared" si="8"/>
        <v>1624.8</v>
      </c>
      <c r="P48" s="150">
        <f t="shared" si="9"/>
        <v>135.4</v>
      </c>
    </row>
    <row r="49" spans="2:16" ht="22.5" customHeight="1">
      <c r="B49" s="160">
        <f t="shared" ref="B49:N49" si="16">B33</f>
        <v>2021</v>
      </c>
      <c r="C49" s="155">
        <f t="shared" si="16"/>
        <v>32.1</v>
      </c>
      <c r="D49" s="155">
        <f t="shared" si="16"/>
        <v>18.100000000000001</v>
      </c>
      <c r="E49" s="155">
        <f t="shared" si="16"/>
        <v>95.7</v>
      </c>
      <c r="F49" s="155">
        <f t="shared" si="16"/>
        <v>42.3</v>
      </c>
      <c r="G49" s="155">
        <f t="shared" si="16"/>
        <v>136.9</v>
      </c>
      <c r="H49" s="155">
        <f t="shared" si="16"/>
        <v>76.900000000000006</v>
      </c>
      <c r="I49" s="155">
        <f t="shared" si="16"/>
        <v>187.7</v>
      </c>
      <c r="J49" s="155">
        <f t="shared" si="16"/>
        <v>227.6</v>
      </c>
      <c r="K49" s="155">
        <f t="shared" si="16"/>
        <v>187.1</v>
      </c>
      <c r="L49" s="155">
        <f t="shared" si="16"/>
        <v>36.9</v>
      </c>
      <c r="M49" s="155">
        <f t="shared" si="16"/>
        <v>73.400000000000006</v>
      </c>
      <c r="N49" s="161">
        <f t="shared" si="16"/>
        <v>8.6999999999999993</v>
      </c>
      <c r="O49" s="162">
        <f t="shared" si="8"/>
        <v>1123.4000000000001</v>
      </c>
      <c r="P49" s="150">
        <f t="shared" si="9"/>
        <v>93.6</v>
      </c>
    </row>
    <row r="50" spans="2:16" ht="22.5" customHeight="1" thickBot="1">
      <c r="B50" s="163">
        <f t="shared" ref="B50:N50" si="17">B34</f>
        <v>2022</v>
      </c>
      <c r="C50" s="164">
        <f t="shared" si="17"/>
        <v>3.5</v>
      </c>
      <c r="D50" s="164">
        <f t="shared" si="17"/>
        <v>2.5</v>
      </c>
      <c r="E50" s="164">
        <f>E34</f>
        <v>76.099999999999994</v>
      </c>
      <c r="F50" s="164">
        <f t="shared" si="17"/>
        <v>62.6</v>
      </c>
      <c r="G50" s="164">
        <f t="shared" si="17"/>
        <v>4</v>
      </c>
      <c r="H50" s="164">
        <f t="shared" si="17"/>
        <v>123.4</v>
      </c>
      <c r="I50" s="164">
        <f t="shared" si="17"/>
        <v>168.5</v>
      </c>
      <c r="J50" s="164">
        <f t="shared" si="17"/>
        <v>615.6</v>
      </c>
      <c r="K50" s="164">
        <f t="shared" si="17"/>
        <v>87</v>
      </c>
      <c r="L50" s="164">
        <f t="shared" si="17"/>
        <v>103.7</v>
      </c>
      <c r="M50" s="164">
        <f t="shared" si="17"/>
        <v>36.4</v>
      </c>
      <c r="N50" s="165">
        <f t="shared" si="17"/>
        <v>17.8</v>
      </c>
      <c r="O50" s="166">
        <f t="shared" si="8"/>
        <v>1301.0999999999999</v>
      </c>
      <c r="P50" s="154">
        <f t="shared" si="9"/>
        <v>108.4</v>
      </c>
    </row>
    <row r="51" spans="2:16" ht="22.5" customHeight="1">
      <c r="B51" s="167" t="s">
        <v>46</v>
      </c>
      <c r="C51" s="168">
        <f>MAX(C41:C50)</f>
        <v>79.599999999999994</v>
      </c>
      <c r="D51" s="168">
        <f t="shared" ref="D51:P51" si="18">MAX(D41:D50)</f>
        <v>92.4</v>
      </c>
      <c r="E51" s="168">
        <f t="shared" si="18"/>
        <v>99.3</v>
      </c>
      <c r="F51" s="168">
        <f t="shared" si="18"/>
        <v>164.6</v>
      </c>
      <c r="G51" s="168">
        <f t="shared" si="18"/>
        <v>159</v>
      </c>
      <c r="H51" s="168">
        <f t="shared" si="18"/>
        <v>188.4</v>
      </c>
      <c r="I51" s="168">
        <f t="shared" si="18"/>
        <v>492.6</v>
      </c>
      <c r="J51" s="168">
        <f t="shared" si="18"/>
        <v>615.6</v>
      </c>
      <c r="K51" s="168">
        <f t="shared" si="18"/>
        <v>208.9</v>
      </c>
      <c r="L51" s="168">
        <f t="shared" si="18"/>
        <v>170.5</v>
      </c>
      <c r="M51" s="168">
        <f t="shared" si="18"/>
        <v>130</v>
      </c>
      <c r="N51" s="169">
        <f t="shared" si="18"/>
        <v>63.1</v>
      </c>
      <c r="O51" s="170">
        <f t="shared" si="18"/>
        <v>1624.8</v>
      </c>
      <c r="P51" s="171">
        <f t="shared" si="18"/>
        <v>135.4</v>
      </c>
    </row>
    <row r="52" spans="2:16" ht="22.5" customHeight="1">
      <c r="B52" s="172" t="s">
        <v>47</v>
      </c>
      <c r="C52" s="173">
        <f>MIN(C41:C50)</f>
        <v>0.5</v>
      </c>
      <c r="D52" s="173">
        <f t="shared" ref="D52:P52" si="19">MIN(D41:D50)</f>
        <v>2.5</v>
      </c>
      <c r="E52" s="173">
        <f t="shared" si="19"/>
        <v>8.8000000000000007</v>
      </c>
      <c r="F52" s="173">
        <f t="shared" si="19"/>
        <v>17.7</v>
      </c>
      <c r="G52" s="173">
        <f t="shared" si="19"/>
        <v>4</v>
      </c>
      <c r="H52" s="173">
        <f t="shared" si="19"/>
        <v>49.4</v>
      </c>
      <c r="I52" s="173">
        <f t="shared" si="19"/>
        <v>119.9</v>
      </c>
      <c r="J52" s="173">
        <f t="shared" si="19"/>
        <v>33.4</v>
      </c>
      <c r="K52" s="173">
        <f t="shared" si="19"/>
        <v>22</v>
      </c>
      <c r="L52" s="173">
        <f t="shared" si="19"/>
        <v>4.4000000000000004</v>
      </c>
      <c r="M52" s="173">
        <f t="shared" si="19"/>
        <v>17.100000000000001</v>
      </c>
      <c r="N52" s="174">
        <f t="shared" si="19"/>
        <v>3.4</v>
      </c>
      <c r="O52" s="162">
        <f>MIN(O41:O50)</f>
        <v>848.8</v>
      </c>
      <c r="P52" s="150">
        <f t="shared" si="19"/>
        <v>70.7</v>
      </c>
    </row>
    <row r="53" spans="2:16" ht="22.5" customHeight="1" thickBot="1">
      <c r="B53" s="175" t="s">
        <v>30</v>
      </c>
      <c r="C53" s="176">
        <f>ROUND(AVERAGE(C41:C50),1)</f>
        <v>24.6</v>
      </c>
      <c r="D53" s="176">
        <f t="shared" ref="D53:N53" si="20">ROUND(AVERAGE(D41:D50),1)</f>
        <v>39.1</v>
      </c>
      <c r="E53" s="176">
        <f t="shared" si="20"/>
        <v>51.5</v>
      </c>
      <c r="F53" s="176">
        <f t="shared" si="20"/>
        <v>88.3</v>
      </c>
      <c r="G53" s="176">
        <f t="shared" si="20"/>
        <v>84.1</v>
      </c>
      <c r="H53" s="176">
        <f t="shared" si="20"/>
        <v>97.9</v>
      </c>
      <c r="I53" s="176">
        <f t="shared" si="20"/>
        <v>254.7</v>
      </c>
      <c r="J53" s="176">
        <f t="shared" si="20"/>
        <v>238.4</v>
      </c>
      <c r="K53" s="176">
        <f t="shared" si="20"/>
        <v>136.80000000000001</v>
      </c>
      <c r="L53" s="176">
        <f t="shared" si="20"/>
        <v>85.4</v>
      </c>
      <c r="M53" s="176">
        <f t="shared" si="20"/>
        <v>62.3</v>
      </c>
      <c r="N53" s="177">
        <f t="shared" si="20"/>
        <v>33.6</v>
      </c>
      <c r="O53" s="166">
        <f>ROUND(AVERAGE(O41:O50),1)</f>
        <v>1196.8</v>
      </c>
      <c r="P53" s="154">
        <f>ROUND(AVERAGE(P41:P50),1)</f>
        <v>99.7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95250</xdr:rowOff>
              </from>
              <to>
                <xdr:col>17</xdr:col>
                <xdr:colOff>895350</xdr:colOff>
                <xdr:row>5</xdr:row>
                <xdr:rowOff>266700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19050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4.8</v>
      </c>
      <c r="D3" s="75">
        <f>All!D5</f>
        <v>73</v>
      </c>
      <c r="E3" s="75">
        <f>All!E5</f>
        <v>25.5</v>
      </c>
      <c r="F3" s="75">
        <f>All!F5</f>
        <v>34.5</v>
      </c>
      <c r="G3" s="75">
        <f>All!G5</f>
        <v>116</v>
      </c>
      <c r="H3" s="75">
        <f>All!H5</f>
        <v>260</v>
      </c>
      <c r="I3" s="75">
        <f>All!I5</f>
        <v>273.5</v>
      </c>
      <c r="J3" s="75">
        <f>All!J5</f>
        <v>284</v>
      </c>
      <c r="K3" s="75">
        <f>All!K5</f>
        <v>98.5</v>
      </c>
      <c r="L3" s="75">
        <f>All!L5</f>
        <v>34</v>
      </c>
      <c r="M3" s="75">
        <f>All!M5</f>
        <v>89.5</v>
      </c>
      <c r="N3" s="75">
        <f>All!N5</f>
        <v>21.9</v>
      </c>
      <c r="O3" s="75">
        <f>All!O5</f>
        <v>1315.2</v>
      </c>
      <c r="P3" s="76">
        <f>All!P5</f>
        <v>109.6</v>
      </c>
    </row>
    <row r="4" spans="2:16">
      <c r="B4" s="74">
        <f>All!B6</f>
        <v>1994</v>
      </c>
      <c r="C4" s="75">
        <f>All!C6</f>
        <v>18.5</v>
      </c>
      <c r="D4" s="75">
        <f>All!D6</f>
        <v>14.4</v>
      </c>
      <c r="E4" s="75">
        <f>All!E6</f>
        <v>54.4</v>
      </c>
      <c r="F4" s="75">
        <f>All!F6</f>
        <v>41</v>
      </c>
      <c r="G4" s="75">
        <f>All!G6</f>
        <v>137</v>
      </c>
      <c r="H4" s="75">
        <f>All!H6</f>
        <v>137.5</v>
      </c>
      <c r="I4" s="75">
        <f>All!I6</f>
        <v>96.5</v>
      </c>
      <c r="J4" s="75">
        <f>All!J6</f>
        <v>286.5</v>
      </c>
      <c r="K4" s="75">
        <f>All!K6</f>
        <v>34</v>
      </c>
      <c r="L4" s="75">
        <f>All!L6</f>
        <v>162</v>
      </c>
      <c r="M4" s="75">
        <f>All!M6</f>
        <v>23</v>
      </c>
      <c r="N4" s="75">
        <f>All!N6</f>
        <v>25</v>
      </c>
      <c r="O4" s="75">
        <f>All!O6</f>
        <v>1029.8</v>
      </c>
      <c r="P4" s="76">
        <f>All!P6</f>
        <v>85.8</v>
      </c>
    </row>
    <row r="5" spans="2:16">
      <c r="B5" s="74">
        <f>All!B7</f>
        <v>1995</v>
      </c>
      <c r="C5" s="75">
        <f>All!C7</f>
        <v>22.6</v>
      </c>
      <c r="D5" s="75">
        <f>All!D7</f>
        <v>23.5</v>
      </c>
      <c r="E5" s="75">
        <f>All!E7</f>
        <v>24.4</v>
      </c>
      <c r="F5" s="75">
        <f>All!F7</f>
        <v>62</v>
      </c>
      <c r="G5" s="75">
        <f>All!G7</f>
        <v>59.5</v>
      </c>
      <c r="H5" s="75">
        <f>All!H7</f>
        <v>34.5</v>
      </c>
      <c r="I5" s="75">
        <f>All!I7</f>
        <v>171.5</v>
      </c>
      <c r="J5" s="75">
        <f>All!J7</f>
        <v>839</v>
      </c>
      <c r="K5" s="75">
        <f>All!K7</f>
        <v>46.5</v>
      </c>
      <c r="L5" s="75">
        <f>All!L7</f>
        <v>22</v>
      </c>
      <c r="M5" s="75">
        <f>All!M7</f>
        <v>15</v>
      </c>
      <c r="N5" s="75">
        <f>All!N7</f>
        <v>5.7</v>
      </c>
      <c r="O5" s="75">
        <f>All!O7</f>
        <v>1326.2</v>
      </c>
      <c r="P5" s="76">
        <f>All!P7</f>
        <v>110.5</v>
      </c>
    </row>
    <row r="6" spans="2:16">
      <c r="B6" s="74">
        <f>All!B8</f>
        <v>1996</v>
      </c>
      <c r="C6" s="75">
        <f>All!C8</f>
        <v>26.4</v>
      </c>
      <c r="D6" s="75">
        <f>All!D8</f>
        <v>2.8</v>
      </c>
      <c r="E6" s="75">
        <f>All!E8</f>
        <v>131</v>
      </c>
      <c r="F6" s="75">
        <f>All!F8</f>
        <v>45</v>
      </c>
      <c r="G6" s="75">
        <f>All!G8</f>
        <v>33</v>
      </c>
      <c r="H6" s="75">
        <f>All!H8</f>
        <v>289</v>
      </c>
      <c r="I6" s="75">
        <f>All!I8</f>
        <v>235</v>
      </c>
      <c r="J6" s="75">
        <f>All!J8</f>
        <v>67</v>
      </c>
      <c r="K6" s="75">
        <f>All!K8</f>
        <v>16</v>
      </c>
      <c r="L6" s="75">
        <f>All!L8</f>
        <v>90.5</v>
      </c>
      <c r="M6" s="75">
        <f>All!M8</f>
        <v>76</v>
      </c>
      <c r="N6" s="75">
        <f>All!N8</f>
        <v>35</v>
      </c>
      <c r="O6" s="75">
        <f>All!O8</f>
        <v>1046.7</v>
      </c>
      <c r="P6" s="76">
        <f>All!P8</f>
        <v>87.2</v>
      </c>
    </row>
    <row r="7" spans="2:16">
      <c r="B7" s="74">
        <f>All!B9</f>
        <v>1997</v>
      </c>
      <c r="C7" s="75">
        <f>All!C9</f>
        <v>9</v>
      </c>
      <c r="D7" s="75">
        <f>All!D9</f>
        <v>54.9</v>
      </c>
      <c r="E7" s="75">
        <f>All!E9</f>
        <v>44</v>
      </c>
      <c r="F7" s="75">
        <f>All!F9</f>
        <v>70</v>
      </c>
      <c r="G7" s="75">
        <f>All!G9</f>
        <v>229.5</v>
      </c>
      <c r="H7" s="75">
        <f>All!H9</f>
        <v>236.5</v>
      </c>
      <c r="I7" s="75">
        <f>All!I9</f>
        <v>404.5</v>
      </c>
      <c r="J7" s="75">
        <f>All!J9</f>
        <v>263</v>
      </c>
      <c r="K7" s="75">
        <f>All!K9</f>
        <v>24.5</v>
      </c>
      <c r="L7" s="75">
        <f>All!L9</f>
        <v>8</v>
      </c>
      <c r="M7" s="75">
        <f>All!M9</f>
        <v>219.5</v>
      </c>
      <c r="N7" s="75">
        <f>All!N9</f>
        <v>39.5</v>
      </c>
      <c r="O7" s="75">
        <f>All!O9</f>
        <v>1602.9</v>
      </c>
      <c r="P7" s="76">
        <f>All!P9</f>
        <v>133.6</v>
      </c>
    </row>
    <row r="8" spans="2:16">
      <c r="B8" s="74">
        <f>All!B10</f>
        <v>1998</v>
      </c>
      <c r="C8" s="75">
        <f>All!C10</f>
        <v>40.6</v>
      </c>
      <c r="D8" s="75">
        <f>All!D10</f>
        <v>47</v>
      </c>
      <c r="E8" s="75">
        <f>All!E10</f>
        <v>45</v>
      </c>
      <c r="F8" s="75">
        <f>All!F10</f>
        <v>200.5</v>
      </c>
      <c r="G8" s="75">
        <f>All!G10</f>
        <v>130.5</v>
      </c>
      <c r="H8" s="75">
        <f>All!H10</f>
        <v>324</v>
      </c>
      <c r="I8" s="75">
        <f>All!I10</f>
        <v>323</v>
      </c>
      <c r="J8" s="75">
        <f>All!J10</f>
        <v>451.3</v>
      </c>
      <c r="K8" s="75">
        <f>All!K10</f>
        <v>313.10000000000002</v>
      </c>
      <c r="L8" s="75">
        <f>All!L10</f>
        <v>75.5</v>
      </c>
      <c r="M8" s="75">
        <f>All!M10</f>
        <v>46.3</v>
      </c>
      <c r="N8" s="75">
        <f>All!N10</f>
        <v>3.5</v>
      </c>
      <c r="O8" s="75">
        <f>All!O10</f>
        <v>2000.3</v>
      </c>
      <c r="P8" s="76">
        <f>All!P10</f>
        <v>166.7</v>
      </c>
    </row>
    <row r="9" spans="2:16">
      <c r="B9" s="74">
        <f>All!B11</f>
        <v>1999</v>
      </c>
      <c r="C9" s="75">
        <f>All!C11</f>
        <v>3.5</v>
      </c>
      <c r="D9" s="75">
        <f>All!D11</f>
        <v>10</v>
      </c>
      <c r="E9" s="75">
        <f>All!E11</f>
        <v>75.7</v>
      </c>
      <c r="F9" s="75">
        <f>All!F11</f>
        <v>92.5</v>
      </c>
      <c r="G9" s="75">
        <f>All!G11</f>
        <v>127.5</v>
      </c>
      <c r="H9" s="75">
        <f>All!H11</f>
        <v>203</v>
      </c>
      <c r="I9" s="75">
        <f>All!I11</f>
        <v>149</v>
      </c>
      <c r="J9" s="75">
        <f>All!J11</f>
        <v>119.5</v>
      </c>
      <c r="K9" s="75">
        <f>All!K11</f>
        <v>426</v>
      </c>
      <c r="L9" s="75">
        <f>All!L11</f>
        <v>290</v>
      </c>
      <c r="M9" s="75">
        <f>All!M11</f>
        <v>15.5</v>
      </c>
      <c r="N9" s="75">
        <f>All!N11</f>
        <v>17.399999999999999</v>
      </c>
      <c r="O9" s="75">
        <f>All!O11</f>
        <v>1529.6</v>
      </c>
      <c r="P9" s="76">
        <f>All!P11</f>
        <v>127.5</v>
      </c>
    </row>
    <row r="10" spans="2:16">
      <c r="B10" s="74">
        <f>All!B12</f>
        <v>2000</v>
      </c>
      <c r="C10" s="75">
        <f>All!C12</f>
        <v>41.4</v>
      </c>
      <c r="D10" s="75">
        <f>All!D12</f>
        <v>2.2999999999999998</v>
      </c>
      <c r="E10" s="75">
        <f>All!E12</f>
        <v>14.1</v>
      </c>
      <c r="F10" s="75">
        <f>All!F12</f>
        <v>62</v>
      </c>
      <c r="G10" s="75">
        <f>All!G12</f>
        <v>40</v>
      </c>
      <c r="H10" s="75">
        <f>All!H12</f>
        <v>248.5</v>
      </c>
      <c r="I10" s="75">
        <f>All!I12</f>
        <v>248.5</v>
      </c>
      <c r="J10" s="75">
        <f>All!J12</f>
        <v>543</v>
      </c>
      <c r="K10" s="75">
        <f>All!K12</f>
        <v>238.5</v>
      </c>
      <c r="L10" s="75">
        <f>All!L12</f>
        <v>39</v>
      </c>
      <c r="M10" s="75">
        <f>All!M12</f>
        <v>29.5</v>
      </c>
      <c r="N10" s="75">
        <f>All!N12</f>
        <v>13.8</v>
      </c>
      <c r="O10" s="75">
        <f>All!O12</f>
        <v>1520.6</v>
      </c>
      <c r="P10" s="76">
        <f>All!P12</f>
        <v>126.7</v>
      </c>
    </row>
    <row r="11" spans="2:16">
      <c r="B11" s="74">
        <f>All!B13</f>
        <v>2001</v>
      </c>
      <c r="C11" s="75">
        <f>All!C13</f>
        <v>65</v>
      </c>
      <c r="D11" s="75">
        <f>All!D13</f>
        <v>69.5</v>
      </c>
      <c r="E11" s="75">
        <f>All!E13</f>
        <v>9.8000000000000007</v>
      </c>
      <c r="F11" s="75">
        <f>All!F13</f>
        <v>25</v>
      </c>
      <c r="G11" s="75">
        <f>All!G13</f>
        <v>23.5</v>
      </c>
      <c r="H11" s="75">
        <f>All!H13</f>
        <v>132</v>
      </c>
      <c r="I11" s="75">
        <f>All!I13</f>
        <v>216</v>
      </c>
      <c r="J11" s="75">
        <f>All!J13</f>
        <v>98</v>
      </c>
      <c r="K11" s="75">
        <f>All!K13</f>
        <v>10.5</v>
      </c>
      <c r="L11" s="75">
        <f>All!L13</f>
        <v>76.5</v>
      </c>
      <c r="M11" s="75">
        <f>All!M13</f>
        <v>10.5</v>
      </c>
      <c r="N11" s="75">
        <f>All!N13</f>
        <v>16.3</v>
      </c>
      <c r="O11" s="75">
        <f>All!O13</f>
        <v>752.6</v>
      </c>
      <c r="P11" s="76">
        <f>All!P13</f>
        <v>62.7</v>
      </c>
    </row>
    <row r="12" spans="2:16">
      <c r="B12" s="74">
        <f>All!B14</f>
        <v>2002</v>
      </c>
      <c r="C12" s="75">
        <f>All!C14</f>
        <v>72.3</v>
      </c>
      <c r="D12" s="75">
        <f>All!D14</f>
        <v>6</v>
      </c>
      <c r="E12" s="75">
        <f>All!E14</f>
        <v>32.5</v>
      </c>
      <c r="F12" s="75">
        <f>All!F14</f>
        <v>142.5</v>
      </c>
      <c r="G12" s="75">
        <f>All!G14</f>
        <v>159</v>
      </c>
      <c r="H12" s="75">
        <f>All!H14</f>
        <v>70.5</v>
      </c>
      <c r="I12" s="75">
        <f>All!I14</f>
        <v>208</v>
      </c>
      <c r="J12" s="75">
        <f>All!J14</f>
        <v>358.5</v>
      </c>
      <c r="K12" s="75">
        <f>All!K14</f>
        <v>57.5</v>
      </c>
      <c r="L12" s="75">
        <f>All!L14</f>
        <v>78.5</v>
      </c>
      <c r="M12" s="75">
        <f>All!M14</f>
        <v>31.5</v>
      </c>
      <c r="N12" s="75">
        <f>All!N14</f>
        <v>57.2</v>
      </c>
      <c r="O12" s="75">
        <f>All!O14</f>
        <v>1274</v>
      </c>
      <c r="P12" s="76">
        <f>All!P14</f>
        <v>106.2</v>
      </c>
    </row>
    <row r="13" spans="2:16">
      <c r="B13" s="74">
        <f>All!B15</f>
        <v>2003</v>
      </c>
      <c r="C13" s="75">
        <f>All!C15</f>
        <v>24.2</v>
      </c>
      <c r="D13" s="75">
        <f>All!D15</f>
        <v>59</v>
      </c>
      <c r="E13" s="75">
        <f>All!E15</f>
        <v>52</v>
      </c>
      <c r="F13" s="75">
        <f>All!F15</f>
        <v>208.5</v>
      </c>
      <c r="G13" s="75">
        <f>All!G15</f>
        <v>144.5</v>
      </c>
      <c r="H13" s="75">
        <f>All!H15</f>
        <v>228</v>
      </c>
      <c r="I13" s="75">
        <f>All!I15</f>
        <v>626.5</v>
      </c>
      <c r="J13" s="75">
        <f>All!J15</f>
        <v>202</v>
      </c>
      <c r="K13" s="75">
        <f>All!K15</f>
        <v>167.5</v>
      </c>
      <c r="L13" s="75">
        <f>All!L15</f>
        <v>24.5</v>
      </c>
      <c r="M13" s="75">
        <f>All!M15</f>
        <v>29.5</v>
      </c>
      <c r="N13" s="75">
        <f>All!N15</f>
        <v>13.8</v>
      </c>
      <c r="O13" s="75">
        <f>All!O15</f>
        <v>1780</v>
      </c>
      <c r="P13" s="76">
        <f>All!P15</f>
        <v>148.30000000000001</v>
      </c>
    </row>
    <row r="14" spans="2:16">
      <c r="B14" s="74">
        <f>All!B16</f>
        <v>2004</v>
      </c>
      <c r="C14" s="75">
        <f>All!C16</f>
        <v>18.100000000000001</v>
      </c>
      <c r="D14" s="75">
        <f>All!D16</f>
        <v>26.2</v>
      </c>
      <c r="E14" s="75">
        <f>All!E16</f>
        <v>63.1</v>
      </c>
      <c r="F14" s="75">
        <f>All!F16</f>
        <v>73.5</v>
      </c>
      <c r="G14" s="75">
        <f>All!G16</f>
        <v>109</v>
      </c>
      <c r="H14" s="75">
        <f>All!H16</f>
        <v>388</v>
      </c>
      <c r="I14" s="75">
        <f>All!I16</f>
        <v>296</v>
      </c>
      <c r="J14" s="75">
        <f>All!J16</f>
        <v>249</v>
      </c>
      <c r="K14" s="75">
        <f>All!K16</f>
        <v>176.5</v>
      </c>
      <c r="L14" s="75">
        <f>All!L16</f>
        <v>1</v>
      </c>
      <c r="M14" s="75">
        <f>All!M16</f>
        <v>50.5</v>
      </c>
      <c r="N14" s="75">
        <f>All!N16</f>
        <v>43</v>
      </c>
      <c r="O14" s="75">
        <f>All!O16</f>
        <v>1493.9</v>
      </c>
      <c r="P14" s="76">
        <f>All!P16</f>
        <v>124.5</v>
      </c>
    </row>
    <row r="15" spans="2:16">
      <c r="B15" s="74">
        <f>All!B17</f>
        <v>2005</v>
      </c>
      <c r="C15" s="75">
        <f>All!C17</f>
        <v>6</v>
      </c>
      <c r="D15" s="75">
        <f>All!D17</f>
        <v>39</v>
      </c>
      <c r="E15" s="75">
        <f>All!E17</f>
        <v>26.5</v>
      </c>
      <c r="F15" s="75">
        <f>All!F17</f>
        <v>75</v>
      </c>
      <c r="G15" s="75">
        <f>All!G17</f>
        <v>65.5</v>
      </c>
      <c r="H15" s="75">
        <f>All!H17</f>
        <v>186</v>
      </c>
      <c r="I15" s="75">
        <f>All!I17</f>
        <v>448.5</v>
      </c>
      <c r="J15" s="75">
        <f>All!J17</f>
        <v>381.5</v>
      </c>
      <c r="K15" s="75">
        <f>All!K17</f>
        <v>225.5</v>
      </c>
      <c r="L15" s="75">
        <f>All!L17</f>
        <v>30.5</v>
      </c>
      <c r="M15" s="75">
        <f>All!M17</f>
        <v>21</v>
      </c>
      <c r="N15" s="75">
        <f>All!N17</f>
        <v>22</v>
      </c>
      <c r="O15" s="75">
        <f>All!O17</f>
        <v>1527</v>
      </c>
      <c r="P15" s="76">
        <f>All!P17</f>
        <v>127.3</v>
      </c>
    </row>
    <row r="16" spans="2:16">
      <c r="B16" s="74">
        <f>All!B18</f>
        <v>2006</v>
      </c>
      <c r="C16" s="75">
        <f>All!C18</f>
        <v>30.2</v>
      </c>
      <c r="D16" s="75">
        <f>All!D18</f>
        <v>29.5</v>
      </c>
      <c r="E16" s="75">
        <f>All!E18</f>
        <v>7.8</v>
      </c>
      <c r="F16" s="75">
        <f>All!F18</f>
        <v>99</v>
      </c>
      <c r="G16" s="75">
        <f>All!G18</f>
        <v>81.5</v>
      </c>
      <c r="H16" s="75">
        <f>All!H18</f>
        <v>111</v>
      </c>
      <c r="I16" s="75">
        <f>All!I18</f>
        <v>503</v>
      </c>
      <c r="J16" s="75">
        <f>All!J18</f>
        <v>83.5</v>
      </c>
      <c r="K16" s="75">
        <f>All!K18</f>
        <v>37.5</v>
      </c>
      <c r="L16" s="75">
        <f>All!L18</f>
        <v>15</v>
      </c>
      <c r="M16" s="75">
        <f>All!M18</f>
        <v>51</v>
      </c>
      <c r="N16" s="75">
        <f>All!N18</f>
        <v>27.5</v>
      </c>
      <c r="O16" s="75">
        <f>All!O18</f>
        <v>1076.5</v>
      </c>
      <c r="P16" s="76">
        <f>All!P18</f>
        <v>89.7</v>
      </c>
    </row>
    <row r="17" spans="2:16">
      <c r="B17" s="74">
        <f>All!B19</f>
        <v>2007</v>
      </c>
      <c r="C17" s="75">
        <f>All!C19</f>
        <v>21.8</v>
      </c>
      <c r="D17" s="75">
        <f>All!D19</f>
        <v>47.8</v>
      </c>
      <c r="E17" s="75">
        <f>All!E19</f>
        <v>159</v>
      </c>
      <c r="F17" s="75">
        <f>All!F19</f>
        <v>28</v>
      </c>
      <c r="G17" s="75">
        <f>All!G19</f>
        <v>104</v>
      </c>
      <c r="H17" s="75">
        <f>All!H19</f>
        <v>101</v>
      </c>
      <c r="I17" s="75">
        <f>All!I19</f>
        <v>286</v>
      </c>
      <c r="J17" s="75">
        <f>All!J19</f>
        <v>319.5</v>
      </c>
      <c r="K17" s="75">
        <f>All!K19</f>
        <v>502.5</v>
      </c>
      <c r="L17" s="75">
        <f>All!L19</f>
        <v>37</v>
      </c>
      <c r="M17" s="75">
        <f>All!M19</f>
        <v>13</v>
      </c>
      <c r="N17" s="75">
        <f>All!N19</f>
        <v>31.7</v>
      </c>
      <c r="O17" s="75">
        <f>All!O19</f>
        <v>1651.3</v>
      </c>
      <c r="P17" s="76">
        <f>All!P19</f>
        <v>137.6</v>
      </c>
    </row>
    <row r="18" spans="2:16">
      <c r="B18" s="74">
        <f>All!B20</f>
        <v>2008</v>
      </c>
      <c r="C18" s="75">
        <f>All!C20</f>
        <v>39.6</v>
      </c>
      <c r="D18" s="75">
        <f>All!D20</f>
        <v>11.2</v>
      </c>
      <c r="E18" s="75">
        <f>All!E20</f>
        <v>42.2</v>
      </c>
      <c r="F18" s="75">
        <f>All!F20</f>
        <v>38.799999999999997</v>
      </c>
      <c r="G18" s="75">
        <f>All!G20</f>
        <v>51.6</v>
      </c>
      <c r="H18" s="75">
        <f>All!H20</f>
        <v>260</v>
      </c>
      <c r="I18" s="75">
        <f>All!I20</f>
        <v>194.3</v>
      </c>
      <c r="J18" s="75">
        <f>All!J20</f>
        <v>154</v>
      </c>
      <c r="K18" s="75">
        <f>All!K20</f>
        <v>48.8</v>
      </c>
      <c r="L18" s="75">
        <f>All!L20</f>
        <v>24.1</v>
      </c>
      <c r="M18" s="75">
        <f>All!M20</f>
        <v>14.1</v>
      </c>
      <c r="N18" s="75">
        <f>All!N20</f>
        <v>23.4</v>
      </c>
      <c r="O18" s="75">
        <f>All!O20</f>
        <v>902.1</v>
      </c>
      <c r="P18" s="76">
        <f>All!P20</f>
        <v>75.2</v>
      </c>
    </row>
    <row r="19" spans="2:16">
      <c r="B19" s="74">
        <f>All!B21</f>
        <v>2009</v>
      </c>
      <c r="C19" s="75">
        <f>All!C21</f>
        <v>10.6</v>
      </c>
      <c r="D19" s="75">
        <f>All!D21</f>
        <v>23.6</v>
      </c>
      <c r="E19" s="75">
        <f>All!E21</f>
        <v>63.9</v>
      </c>
      <c r="F19" s="75">
        <f>All!F21</f>
        <v>51</v>
      </c>
      <c r="G19" s="75">
        <f>All!G21</f>
        <v>135.5</v>
      </c>
      <c r="H19" s="75">
        <f>All!H21</f>
        <v>113.2</v>
      </c>
      <c r="I19" s="75">
        <f>All!I21</f>
        <v>408</v>
      </c>
      <c r="J19" s="75">
        <f>All!J21</f>
        <v>140.19999999999999</v>
      </c>
      <c r="K19" s="75">
        <f>All!K21</f>
        <v>30.5</v>
      </c>
      <c r="L19" s="75">
        <f>All!L21</f>
        <v>23.7</v>
      </c>
      <c r="M19" s="75">
        <f>All!M21</f>
        <v>54.5</v>
      </c>
      <c r="N19" s="75">
        <f>All!N21</f>
        <v>34.9</v>
      </c>
      <c r="O19" s="75">
        <f>All!O21</f>
        <v>1089.5999999999999</v>
      </c>
      <c r="P19" s="76">
        <f>All!P21</f>
        <v>90.8</v>
      </c>
    </row>
    <row r="20" spans="2:16">
      <c r="B20" s="74">
        <f>All!B22</f>
        <v>2010</v>
      </c>
      <c r="C20" s="75">
        <f>All!C22</f>
        <v>37.1</v>
      </c>
      <c r="D20" s="75">
        <f>All!D22</f>
        <v>89.5</v>
      </c>
      <c r="E20" s="75">
        <f>All!E22</f>
        <v>94.9</v>
      </c>
      <c r="F20" s="75">
        <f>All!F22</f>
        <v>69.599999999999994</v>
      </c>
      <c r="G20" s="75">
        <f>All!G22</f>
        <v>140.69999999999999</v>
      </c>
      <c r="H20" s="75">
        <f>All!H22</f>
        <v>36.1</v>
      </c>
      <c r="I20" s="75">
        <f>All!I22</f>
        <v>262.10000000000002</v>
      </c>
      <c r="J20" s="75">
        <f>All!J22</f>
        <v>431.1</v>
      </c>
      <c r="K20" s="75">
        <f>All!K22</f>
        <v>149.80000000000001</v>
      </c>
      <c r="L20" s="75">
        <f>All!L22</f>
        <v>17.8</v>
      </c>
      <c r="M20" s="75">
        <f>All!M22</f>
        <v>18.600000000000001</v>
      </c>
      <c r="N20" s="75">
        <f>All!N22</f>
        <v>31</v>
      </c>
      <c r="O20" s="75">
        <f>All!O22</f>
        <v>1378.3</v>
      </c>
      <c r="P20" s="76">
        <f>All!P22</f>
        <v>114.9</v>
      </c>
    </row>
    <row r="21" spans="2:16">
      <c r="B21" s="74">
        <f>All!B23</f>
        <v>2011</v>
      </c>
      <c r="C21" s="75">
        <f>All!C23</f>
        <v>3.7</v>
      </c>
      <c r="D21" s="75">
        <f>All!D23</f>
        <v>60.7</v>
      </c>
      <c r="E21" s="75">
        <f>All!E23</f>
        <v>16</v>
      </c>
      <c r="F21" s="75">
        <f>All!F23</f>
        <v>70</v>
      </c>
      <c r="G21" s="75">
        <f>All!G23</f>
        <v>111.2</v>
      </c>
      <c r="H21" s="75">
        <f>All!H23</f>
        <v>316</v>
      </c>
      <c r="I21" s="75">
        <f>All!I23</f>
        <v>599.6</v>
      </c>
      <c r="J21" s="75">
        <f>All!J23</f>
        <v>618.1</v>
      </c>
      <c r="K21" s="75">
        <f>All!K23</f>
        <v>104.2</v>
      </c>
      <c r="L21" s="75">
        <f>All!L23</f>
        <v>26.6</v>
      </c>
      <c r="M21" s="75">
        <f>All!M23</f>
        <v>81.599999999999994</v>
      </c>
      <c r="N21" s="75">
        <f>All!N23</f>
        <v>7</v>
      </c>
      <c r="O21" s="75">
        <f>All!O23</f>
        <v>2014.7</v>
      </c>
      <c r="P21" s="76">
        <f>All!P23</f>
        <v>167.9</v>
      </c>
    </row>
    <row r="22" spans="2:16">
      <c r="B22" s="74">
        <f>All!B24</f>
        <v>2012</v>
      </c>
      <c r="C22" s="75">
        <f>All!C24</f>
        <v>16</v>
      </c>
      <c r="D22" s="75">
        <f>All!D24</f>
        <v>3.2</v>
      </c>
      <c r="E22" s="75">
        <f>All!E24</f>
        <v>60.2</v>
      </c>
      <c r="F22" s="75">
        <f>All!F24</f>
        <v>109.3</v>
      </c>
      <c r="G22" s="75">
        <f>All!G24</f>
        <v>19.5</v>
      </c>
      <c r="H22" s="75">
        <f>All!H24</f>
        <v>71.3</v>
      </c>
      <c r="I22" s="75">
        <f>All!I24</f>
        <v>302.89999999999998</v>
      </c>
      <c r="J22" s="75">
        <f>All!J24</f>
        <v>573.29999999999995</v>
      </c>
      <c r="K22" s="75">
        <f>All!K24</f>
        <v>186.2</v>
      </c>
      <c r="L22" s="75">
        <f>All!L24</f>
        <v>83</v>
      </c>
      <c r="M22" s="75">
        <f>All!M24</f>
        <v>60.7</v>
      </c>
      <c r="N22" s="75">
        <f>All!N24</f>
        <v>60.2</v>
      </c>
      <c r="O22" s="75">
        <f>All!O24</f>
        <v>1545.8</v>
      </c>
      <c r="P22" s="76">
        <f>All!P24</f>
        <v>128.80000000000001</v>
      </c>
    </row>
    <row r="23" spans="2:16" s="432" customFormat="1">
      <c r="B23" s="429">
        <f>All!B25</f>
        <v>2013</v>
      </c>
      <c r="C23" s="430">
        <f>All!C25</f>
        <v>45.4</v>
      </c>
      <c r="D23" s="430">
        <f>All!D25</f>
        <v>58.7</v>
      </c>
      <c r="E23" s="430">
        <f>All!E25</f>
        <v>50.3</v>
      </c>
      <c r="F23" s="430">
        <f>All!F25</f>
        <v>93.7</v>
      </c>
      <c r="G23" s="430">
        <f>All!G25</f>
        <v>159</v>
      </c>
      <c r="H23" s="430">
        <f>All!H25</f>
        <v>151.69999999999999</v>
      </c>
      <c r="I23" s="430">
        <f>All!I25</f>
        <v>240.4</v>
      </c>
      <c r="J23" s="430">
        <f>All!J25</f>
        <v>119.5</v>
      </c>
      <c r="K23" s="430">
        <f>All!K25</f>
        <v>184.8</v>
      </c>
      <c r="L23" s="430">
        <f>All!L25</f>
        <v>17.5</v>
      </c>
      <c r="M23" s="430">
        <f>All!M25</f>
        <v>79.400000000000006</v>
      </c>
      <c r="N23" s="430">
        <f>All!N25</f>
        <v>35.9</v>
      </c>
      <c r="O23" s="430">
        <f>All!O25</f>
        <v>1236.3</v>
      </c>
      <c r="P23" s="431">
        <f>All!P25</f>
        <v>103</v>
      </c>
    </row>
    <row r="24" spans="2:16">
      <c r="B24" s="74">
        <f>All!B26</f>
        <v>2014</v>
      </c>
      <c r="C24" s="75">
        <f>All!C26</f>
        <v>2.2000000000000002</v>
      </c>
      <c r="D24" s="75">
        <f>All!D26</f>
        <v>15.3</v>
      </c>
      <c r="E24" s="75">
        <f>All!E26</f>
        <v>69.3</v>
      </c>
      <c r="F24" s="75">
        <f>All!F26</f>
        <v>94.1</v>
      </c>
      <c r="G24" s="75">
        <f>All!G26</f>
        <v>61.5</v>
      </c>
      <c r="H24" s="75">
        <f>All!H26</f>
        <v>77.8</v>
      </c>
      <c r="I24" s="75">
        <f>All!I26</f>
        <v>174.7</v>
      </c>
      <c r="J24" s="75">
        <f>All!J26</f>
        <v>225.1</v>
      </c>
      <c r="K24" s="75">
        <f>All!K26</f>
        <v>157.5</v>
      </c>
      <c r="L24" s="75">
        <f>All!L26</f>
        <v>170.5</v>
      </c>
      <c r="M24" s="75">
        <f>All!M26</f>
        <v>42.4</v>
      </c>
      <c r="N24" s="75">
        <f>All!N26</f>
        <v>51.7</v>
      </c>
      <c r="O24" s="75">
        <f>All!O26</f>
        <v>1142.0999999999999</v>
      </c>
      <c r="P24" s="76">
        <f>All!P26</f>
        <v>95.2</v>
      </c>
    </row>
    <row r="25" spans="2:16">
      <c r="B25" s="74">
        <f>All!B27</f>
        <v>2015</v>
      </c>
      <c r="C25" s="75">
        <f>All!C27</f>
        <v>35.4</v>
      </c>
      <c r="D25" s="75">
        <f>All!D27</f>
        <v>35.6</v>
      </c>
      <c r="E25" s="75">
        <f>All!E27</f>
        <v>42.4</v>
      </c>
      <c r="F25" s="75">
        <f>All!F27</f>
        <v>99.5</v>
      </c>
      <c r="G25" s="75">
        <f>All!G27</f>
        <v>53.5</v>
      </c>
      <c r="H25" s="75">
        <f>All!H27</f>
        <v>92.7</v>
      </c>
      <c r="I25" s="75">
        <f>All!I27</f>
        <v>119.9</v>
      </c>
      <c r="J25" s="75">
        <f>All!J27</f>
        <v>56.9</v>
      </c>
      <c r="K25" s="75">
        <f>All!K27</f>
        <v>22</v>
      </c>
      <c r="L25" s="75">
        <f>All!L27</f>
        <v>104</v>
      </c>
      <c r="M25" s="75">
        <f>All!M27</f>
        <v>130</v>
      </c>
      <c r="N25" s="75">
        <f>All!N27</f>
        <v>56.9</v>
      </c>
      <c r="O25" s="75">
        <f>All!O27</f>
        <v>848.8</v>
      </c>
      <c r="P25" s="76">
        <f>All!P27</f>
        <v>70.7</v>
      </c>
    </row>
    <row r="26" spans="2:16">
      <c r="B26" s="74">
        <f>All!B28</f>
        <v>2016</v>
      </c>
      <c r="C26" s="75">
        <f>All!C28</f>
        <v>6.6</v>
      </c>
      <c r="D26" s="75">
        <f>All!D28</f>
        <v>59.6</v>
      </c>
      <c r="E26" s="75">
        <f>All!E28</f>
        <v>19</v>
      </c>
      <c r="F26" s="75">
        <f>All!F28</f>
        <v>164.6</v>
      </c>
      <c r="G26" s="75">
        <f>All!G28</f>
        <v>121.6</v>
      </c>
      <c r="H26" s="75">
        <f>All!H28</f>
        <v>49.4</v>
      </c>
      <c r="I26" s="75">
        <f>All!I28</f>
        <v>341.1</v>
      </c>
      <c r="J26" s="75">
        <f>All!J28</f>
        <v>33.4</v>
      </c>
      <c r="K26" s="75">
        <f>All!K28</f>
        <v>133.69999999999999</v>
      </c>
      <c r="L26" s="75">
        <f>All!L28</f>
        <v>120.1</v>
      </c>
      <c r="M26" s="75">
        <f>All!M28</f>
        <v>17.100000000000001</v>
      </c>
      <c r="N26" s="75">
        <f>All!N28</f>
        <v>63.1</v>
      </c>
      <c r="O26" s="75">
        <f>All!O28</f>
        <v>1129.3</v>
      </c>
      <c r="P26" s="76">
        <f>All!P28</f>
        <v>94.1</v>
      </c>
    </row>
    <row r="27" spans="2:16">
      <c r="B27" s="74">
        <f>All!B29</f>
        <v>2017</v>
      </c>
      <c r="C27" s="75">
        <f>All!C29</f>
        <v>16</v>
      </c>
      <c r="D27" s="75">
        <f>All!D29</f>
        <v>28.5</v>
      </c>
      <c r="E27" s="75">
        <f>All!E29</f>
        <v>8.8000000000000007</v>
      </c>
      <c r="F27" s="75">
        <f>All!F29</f>
        <v>78.400000000000006</v>
      </c>
      <c r="G27" s="75">
        <f>All!G29</f>
        <v>35.799999999999997</v>
      </c>
      <c r="H27" s="75">
        <f>All!H29</f>
        <v>51.4</v>
      </c>
      <c r="I27" s="75">
        <f>All!I29</f>
        <v>326.7</v>
      </c>
      <c r="J27" s="75">
        <f>All!J29</f>
        <v>358.5</v>
      </c>
      <c r="K27" s="75">
        <f>All!K29</f>
        <v>97.1</v>
      </c>
      <c r="L27" s="75">
        <f>All!L29</f>
        <v>51.9</v>
      </c>
      <c r="M27" s="75">
        <f>All!M29</f>
        <v>22.8</v>
      </c>
      <c r="N27" s="75">
        <f>All!N29</f>
        <v>36.1</v>
      </c>
      <c r="O27" s="75">
        <f>All!O29</f>
        <v>1112</v>
      </c>
      <c r="P27" s="76">
        <f>All!P29</f>
        <v>92.7</v>
      </c>
    </row>
    <row r="28" spans="2:16">
      <c r="B28" s="74">
        <f>All!B30</f>
        <v>2018</v>
      </c>
      <c r="C28" s="75">
        <f>All!C30</f>
        <v>25</v>
      </c>
      <c r="D28" s="75">
        <f>All!D30</f>
        <v>43.1</v>
      </c>
      <c r="E28" s="75">
        <f>All!E30</f>
        <v>99.3</v>
      </c>
      <c r="F28" s="75">
        <f>All!F30</f>
        <v>156.5</v>
      </c>
      <c r="G28" s="75">
        <f>All!G30</f>
        <v>116.1</v>
      </c>
      <c r="H28" s="75">
        <f>All!H30</f>
        <v>107.1</v>
      </c>
      <c r="I28" s="75">
        <f>All!I30</f>
        <v>278.8</v>
      </c>
      <c r="J28" s="75">
        <f>All!J30</f>
        <v>277</v>
      </c>
      <c r="K28" s="75">
        <f>All!K30</f>
        <v>98.3</v>
      </c>
      <c r="L28" s="75">
        <f>All!L30</f>
        <v>159.19999999999999</v>
      </c>
      <c r="M28" s="75">
        <f>All!M30</f>
        <v>66</v>
      </c>
      <c r="N28" s="75">
        <f>All!N30</f>
        <v>31.5</v>
      </c>
      <c r="O28" s="75">
        <f>All!O30</f>
        <v>1457.9</v>
      </c>
      <c r="P28" s="76">
        <f>All!P30</f>
        <v>121.5</v>
      </c>
    </row>
    <row r="29" spans="2:16">
      <c r="B29" s="74">
        <f>All!B31</f>
        <v>2019</v>
      </c>
      <c r="C29" s="75">
        <f>All!C31</f>
        <v>0.5</v>
      </c>
      <c r="D29" s="75">
        <f>All!D31</f>
        <v>37.6</v>
      </c>
      <c r="E29" s="75">
        <f>All!E31</f>
        <v>35</v>
      </c>
      <c r="F29" s="75">
        <f>All!F31</f>
        <v>73.7</v>
      </c>
      <c r="G29" s="75">
        <f>All!G31</f>
        <v>44.3</v>
      </c>
      <c r="H29" s="75">
        <f>All!H31</f>
        <v>59.9</v>
      </c>
      <c r="I29" s="75">
        <f>All!I31</f>
        <v>216.7</v>
      </c>
      <c r="J29" s="75">
        <f>All!J31</f>
        <v>102.1</v>
      </c>
      <c r="K29" s="75">
        <f>All!K31</f>
        <v>191.9</v>
      </c>
      <c r="L29" s="75">
        <f>All!L31</f>
        <v>85.6</v>
      </c>
      <c r="M29" s="75">
        <f>All!M31</f>
        <v>113.5</v>
      </c>
      <c r="N29" s="75">
        <f>All!N31</f>
        <v>31.2</v>
      </c>
      <c r="O29" s="75">
        <f>All!O31</f>
        <v>992</v>
      </c>
      <c r="P29" s="76">
        <f>All!P31</f>
        <v>82.7</v>
      </c>
    </row>
    <row r="30" spans="2:16">
      <c r="B30" s="74">
        <f>All!B32</f>
        <v>2020</v>
      </c>
      <c r="C30" s="75">
        <f>All!C32</f>
        <v>79.599999999999994</v>
      </c>
      <c r="D30" s="75">
        <f>All!D32</f>
        <v>92.4</v>
      </c>
      <c r="E30" s="75">
        <f>All!E32</f>
        <v>19.3</v>
      </c>
      <c r="F30" s="75">
        <f>All!F32</f>
        <v>17.7</v>
      </c>
      <c r="G30" s="75">
        <f>All!G32</f>
        <v>108.5</v>
      </c>
      <c r="H30" s="75">
        <f>All!H32</f>
        <v>188.4</v>
      </c>
      <c r="I30" s="75">
        <f>All!I32</f>
        <v>492.6</v>
      </c>
      <c r="J30" s="75">
        <f>All!J32</f>
        <v>367.8</v>
      </c>
      <c r="K30" s="75">
        <f>All!K32</f>
        <v>208.9</v>
      </c>
      <c r="L30" s="75">
        <f>All!L32</f>
        <v>4.4000000000000004</v>
      </c>
      <c r="M30" s="75">
        <f>All!M32</f>
        <v>41.8</v>
      </c>
      <c r="N30" s="75">
        <f>All!N32</f>
        <v>3.4</v>
      </c>
      <c r="O30" s="75">
        <f>All!O32</f>
        <v>1624.8</v>
      </c>
      <c r="P30" s="76">
        <f>All!P32</f>
        <v>135.4</v>
      </c>
    </row>
    <row r="31" spans="2:16">
      <c r="B31" s="74">
        <f>All!B33</f>
        <v>2021</v>
      </c>
      <c r="C31" s="75">
        <f>All!C33</f>
        <v>32.1</v>
      </c>
      <c r="D31" s="75">
        <f>All!D33</f>
        <v>18.100000000000001</v>
      </c>
      <c r="E31" s="75">
        <f>All!E33</f>
        <v>95.7</v>
      </c>
      <c r="F31" s="75">
        <f>All!F33</f>
        <v>42.3</v>
      </c>
      <c r="G31" s="75">
        <f>All!G33</f>
        <v>136.9</v>
      </c>
      <c r="H31" s="75">
        <f>All!H33</f>
        <v>76.900000000000006</v>
      </c>
      <c r="I31" s="75">
        <f>All!I33</f>
        <v>187.7</v>
      </c>
      <c r="J31" s="75">
        <f>All!J33</f>
        <v>227.6</v>
      </c>
      <c r="K31" s="75">
        <f>All!K33</f>
        <v>187.1</v>
      </c>
      <c r="L31" s="75">
        <f>All!L33</f>
        <v>36.9</v>
      </c>
      <c r="M31" s="75">
        <f>All!M33</f>
        <v>73.400000000000006</v>
      </c>
      <c r="N31" s="75">
        <f>All!N33</f>
        <v>8.6999999999999993</v>
      </c>
      <c r="O31" s="75">
        <f>All!O33</f>
        <v>1123.4000000000001</v>
      </c>
      <c r="P31" s="76">
        <f>All!P33</f>
        <v>93.6</v>
      </c>
    </row>
    <row r="32" spans="2:16">
      <c r="B32" s="74">
        <f>All!B34</f>
        <v>2022</v>
      </c>
      <c r="C32" s="75">
        <f>All!C34</f>
        <v>3.5</v>
      </c>
      <c r="D32" s="75">
        <f>All!D34</f>
        <v>2.5</v>
      </c>
      <c r="E32" s="75">
        <f>All!E34</f>
        <v>76.099999999999994</v>
      </c>
      <c r="F32" s="75">
        <f>All!F34</f>
        <v>62.6</v>
      </c>
      <c r="G32" s="75">
        <f>All!G34</f>
        <v>4</v>
      </c>
      <c r="H32" s="75">
        <f>All!H34</f>
        <v>123.4</v>
      </c>
      <c r="I32" s="75">
        <f>All!I34</f>
        <v>168.5</v>
      </c>
      <c r="J32" s="75">
        <f>All!J34</f>
        <v>615.6</v>
      </c>
      <c r="K32" s="75">
        <f>All!K34</f>
        <v>87</v>
      </c>
      <c r="L32" s="75">
        <f>All!L34</f>
        <v>103.7</v>
      </c>
      <c r="M32" s="75">
        <f>All!M34</f>
        <v>36.4</v>
      </c>
      <c r="N32" s="75">
        <f>All!N34</f>
        <v>17.8</v>
      </c>
      <c r="O32" s="75">
        <f>All!O34</f>
        <v>1301.0999999999999</v>
      </c>
      <c r="P32" s="76">
        <f>All!P34</f>
        <v>108.4</v>
      </c>
    </row>
    <row r="33" spans="2:17">
      <c r="B33" s="77" t="s">
        <v>174</v>
      </c>
      <c r="C33" s="78">
        <f>ROUND(SUM(C23:C32)/10,1)</f>
        <v>24.6</v>
      </c>
      <c r="D33" s="78">
        <f t="shared" ref="D33:P33" si="0">ROUND(SUM(D23:D32)/10,1)</f>
        <v>39.1</v>
      </c>
      <c r="E33" s="78">
        <f t="shared" si="0"/>
        <v>51.5</v>
      </c>
      <c r="F33" s="78">
        <f t="shared" si="0"/>
        <v>88.3</v>
      </c>
      <c r="G33" s="78">
        <f t="shared" si="0"/>
        <v>84.1</v>
      </c>
      <c r="H33" s="78">
        <f t="shared" si="0"/>
        <v>97.9</v>
      </c>
      <c r="I33" s="78">
        <f t="shared" si="0"/>
        <v>254.7</v>
      </c>
      <c r="J33" s="78">
        <f t="shared" si="0"/>
        <v>238.4</v>
      </c>
      <c r="K33" s="78">
        <f t="shared" si="0"/>
        <v>136.80000000000001</v>
      </c>
      <c r="L33" s="78">
        <f t="shared" si="0"/>
        <v>85.4</v>
      </c>
      <c r="M33" s="78">
        <f t="shared" si="0"/>
        <v>62.3</v>
      </c>
      <c r="N33" s="78">
        <f t="shared" si="0"/>
        <v>33.6</v>
      </c>
      <c r="O33" s="78">
        <f t="shared" si="0"/>
        <v>1196.8</v>
      </c>
      <c r="P33" s="79">
        <f t="shared" si="0"/>
        <v>99.7</v>
      </c>
    </row>
    <row r="34" spans="2:17" ht="17.25" thickBot="1">
      <c r="B34" s="116" t="s">
        <v>173</v>
      </c>
      <c r="C34" s="80">
        <f>All!C37</f>
        <v>25.3</v>
      </c>
      <c r="D34" s="80">
        <f>All!D37</f>
        <v>36.200000000000003</v>
      </c>
      <c r="E34" s="80">
        <f>All!E37</f>
        <v>51.9</v>
      </c>
      <c r="F34" s="80">
        <f>All!F37</f>
        <v>82.7</v>
      </c>
      <c r="G34" s="80">
        <f>All!G37</f>
        <v>95.3</v>
      </c>
      <c r="H34" s="80">
        <f>All!H37</f>
        <v>157.5</v>
      </c>
      <c r="I34" s="80">
        <f>All!I37</f>
        <v>293.3</v>
      </c>
      <c r="J34" s="80">
        <f>All!J37</f>
        <v>294.89999999999998</v>
      </c>
      <c r="K34" s="80">
        <f>All!K37</f>
        <v>142.1</v>
      </c>
      <c r="L34" s="80">
        <f>All!L37</f>
        <v>67.099999999999994</v>
      </c>
      <c r="M34" s="80">
        <f>All!M37</f>
        <v>52.5</v>
      </c>
      <c r="N34" s="80">
        <f>All!N37</f>
        <v>28.9</v>
      </c>
      <c r="O34" s="80">
        <f>All!O37</f>
        <v>1327.5</v>
      </c>
      <c r="P34" s="81">
        <f>All!P37</f>
        <v>110.6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1236.3</v>
      </c>
      <c r="D38" s="88" t="s">
        <v>30</v>
      </c>
      <c r="E38" s="89">
        <f>All!C53</f>
        <v>24.6</v>
      </c>
      <c r="F38" s="89">
        <f>All!D53</f>
        <v>39.1</v>
      </c>
      <c r="G38" s="89">
        <f>All!E53</f>
        <v>51.5</v>
      </c>
      <c r="H38" s="89">
        <f>All!F53</f>
        <v>88.3</v>
      </c>
      <c r="I38" s="89">
        <f>All!G53</f>
        <v>84.1</v>
      </c>
      <c r="J38" s="89">
        <f>All!H53</f>
        <v>97.9</v>
      </c>
      <c r="K38" s="89">
        <f>All!I53</f>
        <v>254.7</v>
      </c>
      <c r="L38" s="89">
        <f>All!J53</f>
        <v>238.4</v>
      </c>
      <c r="M38" s="89">
        <f>All!K53</f>
        <v>136.80000000000001</v>
      </c>
      <c r="N38" s="89">
        <f>All!L53</f>
        <v>85.4</v>
      </c>
      <c r="O38" s="89">
        <f>All!M53</f>
        <v>62.3</v>
      </c>
      <c r="P38" s="89">
        <f>All!N53</f>
        <v>33.6</v>
      </c>
      <c r="Q38" s="185">
        <f>All!P53</f>
        <v>99.7</v>
      </c>
    </row>
    <row r="39" spans="2:17">
      <c r="B39" s="74">
        <f t="shared" ref="B39:B48" si="1">B24</f>
        <v>2014</v>
      </c>
      <c r="C39" s="76">
        <f t="shared" ref="C39:C48" si="2">O24</f>
        <v>1142.0999999999999</v>
      </c>
    </row>
    <row r="40" spans="2:17">
      <c r="B40" s="74">
        <f t="shared" si="1"/>
        <v>2015</v>
      </c>
      <c r="C40" s="76">
        <f t="shared" si="2"/>
        <v>848.8</v>
      </c>
    </row>
    <row r="41" spans="2:17">
      <c r="B41" s="74">
        <f t="shared" si="1"/>
        <v>2016</v>
      </c>
      <c r="C41" s="76">
        <f t="shared" si="2"/>
        <v>1129.3</v>
      </c>
    </row>
    <row r="42" spans="2:17">
      <c r="B42" s="74">
        <f t="shared" si="1"/>
        <v>2017</v>
      </c>
      <c r="C42" s="76">
        <f t="shared" si="2"/>
        <v>1112</v>
      </c>
    </row>
    <row r="43" spans="2:17">
      <c r="B43" s="74">
        <f t="shared" si="1"/>
        <v>2018</v>
      </c>
      <c r="C43" s="76">
        <f t="shared" si="2"/>
        <v>1457.9</v>
      </c>
    </row>
    <row r="44" spans="2:17">
      <c r="B44" s="74">
        <f t="shared" si="1"/>
        <v>2019</v>
      </c>
      <c r="C44" s="76">
        <f t="shared" si="2"/>
        <v>992</v>
      </c>
    </row>
    <row r="45" spans="2:17">
      <c r="B45" s="74">
        <f t="shared" si="1"/>
        <v>2020</v>
      </c>
      <c r="C45" s="76">
        <f t="shared" si="2"/>
        <v>1624.8</v>
      </c>
    </row>
    <row r="46" spans="2:17">
      <c r="B46" s="74">
        <f t="shared" si="1"/>
        <v>2021</v>
      </c>
      <c r="C46" s="76">
        <f t="shared" si="2"/>
        <v>1123.4000000000001</v>
      </c>
    </row>
    <row r="47" spans="2:17">
      <c r="B47" s="74">
        <f t="shared" si="1"/>
        <v>2022</v>
      </c>
      <c r="C47" s="76">
        <f t="shared" si="2"/>
        <v>1301.0999999999999</v>
      </c>
    </row>
    <row r="48" spans="2:17" ht="17.25" thickBot="1">
      <c r="B48" s="82" t="str">
        <f t="shared" si="1"/>
        <v>10년평균</v>
      </c>
      <c r="C48" s="83">
        <f t="shared" si="2"/>
        <v>1196.8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1315.2</v>
      </c>
    </row>
    <row r="53" spans="2:3">
      <c r="B53" s="111">
        <f t="shared" ref="B53:B81" si="3">B4</f>
        <v>1994</v>
      </c>
      <c r="C53" s="112">
        <f t="shared" ref="C53:C81" si="4">O4</f>
        <v>1029.8</v>
      </c>
    </row>
    <row r="54" spans="2:3">
      <c r="B54" s="111">
        <f t="shared" si="3"/>
        <v>1995</v>
      </c>
      <c r="C54" s="112">
        <f t="shared" si="4"/>
        <v>1326.2</v>
      </c>
    </row>
    <row r="55" spans="2:3">
      <c r="B55" s="111">
        <f t="shared" si="3"/>
        <v>1996</v>
      </c>
      <c r="C55" s="112">
        <f t="shared" si="4"/>
        <v>1046.7</v>
      </c>
    </row>
    <row r="56" spans="2:3">
      <c r="B56" s="111">
        <f t="shared" si="3"/>
        <v>1997</v>
      </c>
      <c r="C56" s="112">
        <f t="shared" si="4"/>
        <v>1602.9</v>
      </c>
    </row>
    <row r="57" spans="2:3">
      <c r="B57" s="111">
        <f t="shared" si="3"/>
        <v>1998</v>
      </c>
      <c r="C57" s="112">
        <f t="shared" si="4"/>
        <v>2000.3</v>
      </c>
    </row>
    <row r="58" spans="2:3">
      <c r="B58" s="111">
        <f t="shared" si="3"/>
        <v>1999</v>
      </c>
      <c r="C58" s="112">
        <f t="shared" si="4"/>
        <v>1529.6</v>
      </c>
    </row>
    <row r="59" spans="2:3">
      <c r="B59" s="111">
        <f t="shared" si="3"/>
        <v>2000</v>
      </c>
      <c r="C59" s="112">
        <f t="shared" si="4"/>
        <v>1520.6</v>
      </c>
    </row>
    <row r="60" spans="2:3">
      <c r="B60" s="111">
        <f t="shared" si="3"/>
        <v>2001</v>
      </c>
      <c r="C60" s="112">
        <f t="shared" si="4"/>
        <v>752.6</v>
      </c>
    </row>
    <row r="61" spans="2:3">
      <c r="B61" s="111">
        <f t="shared" si="3"/>
        <v>2002</v>
      </c>
      <c r="C61" s="112">
        <f t="shared" si="4"/>
        <v>1274</v>
      </c>
    </row>
    <row r="62" spans="2:3">
      <c r="B62" s="111">
        <f t="shared" si="3"/>
        <v>2003</v>
      </c>
      <c r="C62" s="112">
        <f t="shared" si="4"/>
        <v>1780</v>
      </c>
    </row>
    <row r="63" spans="2:3">
      <c r="B63" s="111">
        <f t="shared" si="3"/>
        <v>2004</v>
      </c>
      <c r="C63" s="112">
        <f t="shared" si="4"/>
        <v>1493.9</v>
      </c>
    </row>
    <row r="64" spans="2:3">
      <c r="B64" s="111">
        <f t="shared" si="3"/>
        <v>2005</v>
      </c>
      <c r="C64" s="112">
        <f t="shared" si="4"/>
        <v>1527</v>
      </c>
    </row>
    <row r="65" spans="2:3">
      <c r="B65" s="111">
        <f t="shared" si="3"/>
        <v>2006</v>
      </c>
      <c r="C65" s="112">
        <f t="shared" si="4"/>
        <v>1076.5</v>
      </c>
    </row>
    <row r="66" spans="2:3">
      <c r="B66" s="111">
        <f t="shared" si="3"/>
        <v>2007</v>
      </c>
      <c r="C66" s="112">
        <f t="shared" si="4"/>
        <v>1651.3</v>
      </c>
    </row>
    <row r="67" spans="2:3">
      <c r="B67" s="111">
        <f t="shared" si="3"/>
        <v>2008</v>
      </c>
      <c r="C67" s="112">
        <f t="shared" si="4"/>
        <v>902.1</v>
      </c>
    </row>
    <row r="68" spans="2:3">
      <c r="B68" s="111">
        <f t="shared" si="3"/>
        <v>2009</v>
      </c>
      <c r="C68" s="112">
        <f t="shared" si="4"/>
        <v>1089.5999999999999</v>
      </c>
    </row>
    <row r="69" spans="2:3">
      <c r="B69" s="111">
        <f t="shared" si="3"/>
        <v>2010</v>
      </c>
      <c r="C69" s="112">
        <f t="shared" si="4"/>
        <v>1378.3</v>
      </c>
    </row>
    <row r="70" spans="2:3">
      <c r="B70" s="111">
        <f t="shared" si="3"/>
        <v>2011</v>
      </c>
      <c r="C70" s="112">
        <f t="shared" si="4"/>
        <v>2014.7</v>
      </c>
    </row>
    <row r="71" spans="2:3">
      <c r="B71" s="111">
        <f t="shared" si="3"/>
        <v>2012</v>
      </c>
      <c r="C71" s="112">
        <f t="shared" si="4"/>
        <v>1545.8</v>
      </c>
    </row>
    <row r="72" spans="2:3">
      <c r="B72" s="111">
        <f t="shared" si="3"/>
        <v>2013</v>
      </c>
      <c r="C72" s="112">
        <f t="shared" si="4"/>
        <v>1236.3</v>
      </c>
    </row>
    <row r="73" spans="2:3">
      <c r="B73" s="111">
        <f t="shared" si="3"/>
        <v>2014</v>
      </c>
      <c r="C73" s="112">
        <f t="shared" si="4"/>
        <v>1142.0999999999999</v>
      </c>
    </row>
    <row r="74" spans="2:3">
      <c r="B74" s="111">
        <f t="shared" si="3"/>
        <v>2015</v>
      </c>
      <c r="C74" s="112">
        <f t="shared" si="4"/>
        <v>848.8</v>
      </c>
    </row>
    <row r="75" spans="2:3">
      <c r="B75" s="111">
        <f t="shared" si="3"/>
        <v>2016</v>
      </c>
      <c r="C75" s="112">
        <f t="shared" si="4"/>
        <v>1129.3</v>
      </c>
    </row>
    <row r="76" spans="2:3">
      <c r="B76" s="111">
        <f t="shared" si="3"/>
        <v>2017</v>
      </c>
      <c r="C76" s="112">
        <f t="shared" si="4"/>
        <v>1112</v>
      </c>
    </row>
    <row r="77" spans="2:3">
      <c r="B77" s="111">
        <f t="shared" si="3"/>
        <v>2018</v>
      </c>
      <c r="C77" s="112">
        <f t="shared" si="4"/>
        <v>1457.9</v>
      </c>
    </row>
    <row r="78" spans="2:3">
      <c r="B78" s="111">
        <f>B29</f>
        <v>2019</v>
      </c>
      <c r="C78" s="112">
        <f t="shared" si="4"/>
        <v>992</v>
      </c>
    </row>
    <row r="79" spans="2:3">
      <c r="B79" s="111">
        <f t="shared" si="3"/>
        <v>2020</v>
      </c>
      <c r="C79" s="112">
        <f t="shared" si="4"/>
        <v>1624.8</v>
      </c>
    </row>
    <row r="80" spans="2:3">
      <c r="B80" s="111">
        <f t="shared" si="3"/>
        <v>2021</v>
      </c>
      <c r="C80" s="112">
        <f t="shared" si="4"/>
        <v>1123.4000000000001</v>
      </c>
    </row>
    <row r="81" spans="2:3">
      <c r="B81" s="111">
        <f t="shared" si="3"/>
        <v>2022</v>
      </c>
      <c r="C81" s="112">
        <f t="shared" si="4"/>
        <v>1301.0999999999999</v>
      </c>
    </row>
    <row r="82" spans="2:3" ht="17.25" thickBot="1">
      <c r="B82" s="88" t="str">
        <f>B34</f>
        <v>30년평균</v>
      </c>
      <c r="C82" s="113">
        <f>O34</f>
        <v>1327.5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zoomScaleNormal="100" workbookViewId="0">
      <selection activeCell="Q27" sqref="Q27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2">
        <f>All!B41</f>
        <v>2013</v>
      </c>
      <c r="C5" s="411">
        <f>All!C41</f>
        <v>45.4</v>
      </c>
      <c r="D5" s="398">
        <f>All!D41</f>
        <v>58.7</v>
      </c>
      <c r="E5" s="398">
        <f>All!E41</f>
        <v>50.3</v>
      </c>
      <c r="F5" s="398">
        <f>All!F41</f>
        <v>93.7</v>
      </c>
      <c r="G5" s="398">
        <f>All!G41</f>
        <v>159</v>
      </c>
      <c r="H5" s="398">
        <f>All!H41</f>
        <v>151.69999999999999</v>
      </c>
      <c r="I5" s="398">
        <f>All!I41</f>
        <v>240.4</v>
      </c>
      <c r="J5" s="398">
        <f>All!J41</f>
        <v>119.5</v>
      </c>
      <c r="K5" s="398">
        <f>All!K41</f>
        <v>184.8</v>
      </c>
      <c r="L5" s="398">
        <f>All!L41</f>
        <v>17.5</v>
      </c>
      <c r="M5" s="398">
        <f>All!M41</f>
        <v>79.400000000000006</v>
      </c>
      <c r="N5" s="399">
        <f>All!N41</f>
        <v>35.9</v>
      </c>
      <c r="O5" s="412">
        <f>All!O41</f>
        <v>1236.3</v>
      </c>
      <c r="P5" s="399">
        <f>All!P41</f>
        <v>103</v>
      </c>
    </row>
    <row r="6" spans="2:16" ht="22.15" customHeight="1">
      <c r="B6" s="421">
        <f>All!B42</f>
        <v>2014</v>
      </c>
      <c r="C6" s="411">
        <f>All!C42</f>
        <v>2.2000000000000002</v>
      </c>
      <c r="D6" s="398">
        <f>All!D42</f>
        <v>15.3</v>
      </c>
      <c r="E6" s="398">
        <f>All!E42</f>
        <v>69.3</v>
      </c>
      <c r="F6" s="398">
        <f>All!F42</f>
        <v>94.1</v>
      </c>
      <c r="G6" s="398">
        <f>All!G42</f>
        <v>61.5</v>
      </c>
      <c r="H6" s="398">
        <f>All!H42</f>
        <v>77.8</v>
      </c>
      <c r="I6" s="398">
        <f>All!I42</f>
        <v>174.7</v>
      </c>
      <c r="J6" s="398">
        <f>All!J42</f>
        <v>225.1</v>
      </c>
      <c r="K6" s="398">
        <f>All!K42</f>
        <v>157.5</v>
      </c>
      <c r="L6" s="398">
        <f>All!L42</f>
        <v>170.5</v>
      </c>
      <c r="M6" s="398">
        <f>All!M42</f>
        <v>42.4</v>
      </c>
      <c r="N6" s="399">
        <f>All!N42</f>
        <v>51.7</v>
      </c>
      <c r="O6" s="411">
        <f>All!O42</f>
        <v>1142.0999999999999</v>
      </c>
      <c r="P6" s="399">
        <f>All!P42</f>
        <v>95.2</v>
      </c>
    </row>
    <row r="7" spans="2:16" ht="22.15" customHeight="1">
      <c r="B7" s="422">
        <f>All!B43</f>
        <v>2015</v>
      </c>
      <c r="C7" s="411">
        <f>All!C43</f>
        <v>35.4</v>
      </c>
      <c r="D7" s="398">
        <f>All!D43</f>
        <v>35.6</v>
      </c>
      <c r="E7" s="398">
        <f>All!E43</f>
        <v>42.4</v>
      </c>
      <c r="F7" s="398">
        <f>All!F43</f>
        <v>99.5</v>
      </c>
      <c r="G7" s="398">
        <f>All!G43</f>
        <v>53.5</v>
      </c>
      <c r="H7" s="398">
        <f>All!H43</f>
        <v>92.7</v>
      </c>
      <c r="I7" s="398">
        <f>All!I43</f>
        <v>119.9</v>
      </c>
      <c r="J7" s="398">
        <f>All!J43</f>
        <v>56.9</v>
      </c>
      <c r="K7" s="398">
        <f>All!K43</f>
        <v>22</v>
      </c>
      <c r="L7" s="398">
        <f>All!L43</f>
        <v>104</v>
      </c>
      <c r="M7" s="398">
        <f>All!M43</f>
        <v>130</v>
      </c>
      <c r="N7" s="399">
        <f>All!N43</f>
        <v>56.9</v>
      </c>
      <c r="O7" s="412">
        <f>All!O43</f>
        <v>848.8</v>
      </c>
      <c r="P7" s="399">
        <f>All!P43</f>
        <v>70.7</v>
      </c>
    </row>
    <row r="8" spans="2:16" ht="22.15" customHeight="1">
      <c r="B8" s="421">
        <f>All!B44</f>
        <v>2016</v>
      </c>
      <c r="C8" s="411">
        <f>All!C44</f>
        <v>6.6</v>
      </c>
      <c r="D8" s="398">
        <f>All!D44</f>
        <v>59.6</v>
      </c>
      <c r="E8" s="398">
        <f>All!E44</f>
        <v>19</v>
      </c>
      <c r="F8" s="398">
        <f>All!F44</f>
        <v>164.6</v>
      </c>
      <c r="G8" s="398">
        <f>All!G44</f>
        <v>121.6</v>
      </c>
      <c r="H8" s="398">
        <f>All!H44</f>
        <v>49.4</v>
      </c>
      <c r="I8" s="398">
        <f>All!I44</f>
        <v>341.1</v>
      </c>
      <c r="J8" s="398">
        <f>All!J44</f>
        <v>33.4</v>
      </c>
      <c r="K8" s="398">
        <f>All!K44</f>
        <v>133.69999999999999</v>
      </c>
      <c r="L8" s="398">
        <f>All!L44</f>
        <v>120.1</v>
      </c>
      <c r="M8" s="398">
        <f>All!M44</f>
        <v>17.100000000000001</v>
      </c>
      <c r="N8" s="399">
        <f>All!N44</f>
        <v>63.1</v>
      </c>
      <c r="O8" s="411">
        <f>All!O44</f>
        <v>1129.3</v>
      </c>
      <c r="P8" s="399">
        <f>All!P44</f>
        <v>94.1</v>
      </c>
    </row>
    <row r="9" spans="2:16" ht="22.15" customHeight="1">
      <c r="B9" s="421">
        <f>All!B45</f>
        <v>2017</v>
      </c>
      <c r="C9" s="411">
        <f>All!C45</f>
        <v>16</v>
      </c>
      <c r="D9" s="398">
        <f>All!D45</f>
        <v>28.5</v>
      </c>
      <c r="E9" s="398">
        <f>All!E45</f>
        <v>8.8000000000000007</v>
      </c>
      <c r="F9" s="398">
        <f>All!F45</f>
        <v>78.400000000000006</v>
      </c>
      <c r="G9" s="398">
        <f>All!G45</f>
        <v>35.799999999999997</v>
      </c>
      <c r="H9" s="398">
        <f>All!H45</f>
        <v>51.4</v>
      </c>
      <c r="I9" s="398">
        <f>All!I45</f>
        <v>326.7</v>
      </c>
      <c r="J9" s="398">
        <f>All!J45</f>
        <v>358.5</v>
      </c>
      <c r="K9" s="398">
        <f>All!K45</f>
        <v>97.1</v>
      </c>
      <c r="L9" s="398">
        <f>All!L45</f>
        <v>51.9</v>
      </c>
      <c r="M9" s="398">
        <f>All!M45</f>
        <v>22.8</v>
      </c>
      <c r="N9" s="399">
        <f>All!N45</f>
        <v>36.1</v>
      </c>
      <c r="O9" s="411">
        <f>All!O45</f>
        <v>1112</v>
      </c>
      <c r="P9" s="399">
        <f>All!P45</f>
        <v>92.7</v>
      </c>
    </row>
    <row r="10" spans="2:16" ht="22.15" customHeight="1">
      <c r="B10" s="421">
        <f>All!B46</f>
        <v>2018</v>
      </c>
      <c r="C10" s="411">
        <f>All!C46</f>
        <v>25</v>
      </c>
      <c r="D10" s="398">
        <f>All!D46</f>
        <v>43.1</v>
      </c>
      <c r="E10" s="398">
        <f>All!E46</f>
        <v>99.3</v>
      </c>
      <c r="F10" s="398">
        <f>All!F46</f>
        <v>156.5</v>
      </c>
      <c r="G10" s="398">
        <f>All!G46</f>
        <v>116.1</v>
      </c>
      <c r="H10" s="398">
        <f>All!H46</f>
        <v>107.1</v>
      </c>
      <c r="I10" s="398">
        <f>All!I46</f>
        <v>278.8</v>
      </c>
      <c r="J10" s="398">
        <f>All!J46</f>
        <v>277</v>
      </c>
      <c r="K10" s="398">
        <f>All!K46</f>
        <v>98.3</v>
      </c>
      <c r="L10" s="398">
        <f>All!L46</f>
        <v>159.19999999999999</v>
      </c>
      <c r="M10" s="398">
        <f>All!M46</f>
        <v>66</v>
      </c>
      <c r="N10" s="399">
        <f>All!N46</f>
        <v>31.5</v>
      </c>
      <c r="O10" s="411">
        <f>All!O46</f>
        <v>1457.9</v>
      </c>
      <c r="P10" s="399">
        <f>All!P46</f>
        <v>121.5</v>
      </c>
    </row>
    <row r="11" spans="2:16" ht="22.15" customHeight="1">
      <c r="B11" s="421">
        <f>All!B47</f>
        <v>2019</v>
      </c>
      <c r="C11" s="411">
        <f>All!C47</f>
        <v>0.5</v>
      </c>
      <c r="D11" s="398">
        <f>All!D47</f>
        <v>37.6</v>
      </c>
      <c r="E11" s="398">
        <f>All!E47</f>
        <v>35</v>
      </c>
      <c r="F11" s="398">
        <f>All!F47</f>
        <v>73.7</v>
      </c>
      <c r="G11" s="398">
        <f>All!G47</f>
        <v>44.3</v>
      </c>
      <c r="H11" s="398">
        <f>All!H47</f>
        <v>59.9</v>
      </c>
      <c r="I11" s="398">
        <f>All!I47</f>
        <v>216.7</v>
      </c>
      <c r="J11" s="398">
        <f>All!J47</f>
        <v>102.1</v>
      </c>
      <c r="K11" s="398">
        <f>All!K47</f>
        <v>191.9</v>
      </c>
      <c r="L11" s="398">
        <f>All!L47</f>
        <v>85.6</v>
      </c>
      <c r="M11" s="398">
        <f>All!M47</f>
        <v>113.5</v>
      </c>
      <c r="N11" s="399">
        <f>All!N47</f>
        <v>31.2</v>
      </c>
      <c r="O11" s="411">
        <f>All!O47</f>
        <v>992</v>
      </c>
      <c r="P11" s="399">
        <f>All!P47</f>
        <v>82.7</v>
      </c>
    </row>
    <row r="12" spans="2:16" ht="22.15" customHeight="1">
      <c r="B12" s="421">
        <f>All!B48</f>
        <v>2020</v>
      </c>
      <c r="C12" s="411">
        <f>All!C48</f>
        <v>79.599999999999994</v>
      </c>
      <c r="D12" s="398">
        <f>All!D48</f>
        <v>92.4</v>
      </c>
      <c r="E12" s="398">
        <f>All!E48</f>
        <v>19.3</v>
      </c>
      <c r="F12" s="398">
        <f>All!F48</f>
        <v>17.7</v>
      </c>
      <c r="G12" s="398">
        <f>All!G48</f>
        <v>108.5</v>
      </c>
      <c r="H12" s="398">
        <f>All!H48</f>
        <v>188.4</v>
      </c>
      <c r="I12" s="398">
        <f>All!I48</f>
        <v>492.6</v>
      </c>
      <c r="J12" s="398">
        <f>All!J48</f>
        <v>367.8</v>
      </c>
      <c r="K12" s="398">
        <f>All!K48</f>
        <v>208.9</v>
      </c>
      <c r="L12" s="398">
        <f>All!L48</f>
        <v>4.4000000000000004</v>
      </c>
      <c r="M12" s="398">
        <f>All!M48</f>
        <v>41.8</v>
      </c>
      <c r="N12" s="399">
        <f>All!N48</f>
        <v>3.4</v>
      </c>
      <c r="O12" s="411">
        <f>All!O48</f>
        <v>1624.8</v>
      </c>
      <c r="P12" s="399">
        <f>All!P48</f>
        <v>135.4</v>
      </c>
    </row>
    <row r="13" spans="2:16" ht="22.15" customHeight="1">
      <c r="B13" s="421">
        <f>All!B49</f>
        <v>2021</v>
      </c>
      <c r="C13" s="411">
        <f>All!C49</f>
        <v>32.1</v>
      </c>
      <c r="D13" s="398">
        <f>All!D49</f>
        <v>18.100000000000001</v>
      </c>
      <c r="E13" s="398">
        <f>All!E49</f>
        <v>95.7</v>
      </c>
      <c r="F13" s="398">
        <f>All!F49</f>
        <v>42.3</v>
      </c>
      <c r="G13" s="398">
        <f>All!G49</f>
        <v>136.9</v>
      </c>
      <c r="H13" s="398">
        <f>All!H49</f>
        <v>76.900000000000006</v>
      </c>
      <c r="I13" s="398">
        <f>All!I49</f>
        <v>187.7</v>
      </c>
      <c r="J13" s="398">
        <f>All!J49</f>
        <v>227.6</v>
      </c>
      <c r="K13" s="398">
        <f>All!K49</f>
        <v>187.1</v>
      </c>
      <c r="L13" s="398">
        <f>All!L49</f>
        <v>36.9</v>
      </c>
      <c r="M13" s="398">
        <f>All!M49</f>
        <v>73.400000000000006</v>
      </c>
      <c r="N13" s="399">
        <f>All!N49</f>
        <v>8.6999999999999993</v>
      </c>
      <c r="O13" s="411">
        <f>All!O49</f>
        <v>1123.4000000000001</v>
      </c>
      <c r="P13" s="399">
        <f>All!P49</f>
        <v>93.6</v>
      </c>
    </row>
    <row r="14" spans="2:16" ht="22.15" customHeight="1" thickBot="1">
      <c r="B14" s="423">
        <f>All!B50</f>
        <v>2022</v>
      </c>
      <c r="C14" s="413">
        <f>All!C50</f>
        <v>3.5</v>
      </c>
      <c r="D14" s="400">
        <f>All!D50</f>
        <v>2.5</v>
      </c>
      <c r="E14" s="400">
        <f>All!E50</f>
        <v>76.099999999999994</v>
      </c>
      <c r="F14" s="400">
        <f>All!F50</f>
        <v>62.6</v>
      </c>
      <c r="G14" s="400">
        <f>All!G50</f>
        <v>4</v>
      </c>
      <c r="H14" s="400">
        <f>All!H50</f>
        <v>123.4</v>
      </c>
      <c r="I14" s="400">
        <f>All!I50</f>
        <v>168.5</v>
      </c>
      <c r="J14" s="400">
        <f>All!J50</f>
        <v>615.6</v>
      </c>
      <c r="K14" s="400">
        <f>All!K50</f>
        <v>87</v>
      </c>
      <c r="L14" s="400">
        <f>All!L50</f>
        <v>103.7</v>
      </c>
      <c r="M14" s="400">
        <f>All!M50</f>
        <v>36.4</v>
      </c>
      <c r="N14" s="401">
        <f>All!N50</f>
        <v>17.8</v>
      </c>
      <c r="O14" s="413">
        <f>All!O50</f>
        <v>1301.0999999999999</v>
      </c>
      <c r="P14" s="401">
        <f>All!P50</f>
        <v>108.4</v>
      </c>
    </row>
    <row r="15" spans="2:16" ht="22.15" customHeight="1">
      <c r="B15" s="424" t="s">
        <v>21</v>
      </c>
      <c r="C15" s="418">
        <f>All!C51</f>
        <v>79.599999999999994</v>
      </c>
      <c r="D15" s="402">
        <f>All!D51</f>
        <v>92.4</v>
      </c>
      <c r="E15" s="402">
        <f>All!E51</f>
        <v>99.3</v>
      </c>
      <c r="F15" s="402">
        <f>All!F51</f>
        <v>164.6</v>
      </c>
      <c r="G15" s="402">
        <f>All!G51</f>
        <v>159</v>
      </c>
      <c r="H15" s="402">
        <f>All!H51</f>
        <v>188.4</v>
      </c>
      <c r="I15" s="402">
        <f>All!I51</f>
        <v>492.6</v>
      </c>
      <c r="J15" s="402">
        <f>All!J51</f>
        <v>615.6</v>
      </c>
      <c r="K15" s="402">
        <f>All!K51</f>
        <v>208.9</v>
      </c>
      <c r="L15" s="402">
        <f>All!L51</f>
        <v>170.5</v>
      </c>
      <c r="M15" s="402">
        <f>All!M51</f>
        <v>130</v>
      </c>
      <c r="N15" s="403">
        <f>All!N51</f>
        <v>63.1</v>
      </c>
      <c r="O15" s="414">
        <f>All!O51</f>
        <v>1624.8</v>
      </c>
      <c r="P15" s="403">
        <f>All!P51</f>
        <v>135.4</v>
      </c>
    </row>
    <row r="16" spans="2:16" ht="22.15" customHeight="1">
      <c r="B16" s="421" t="s">
        <v>22</v>
      </c>
      <c r="C16" s="411">
        <f>All!C52</f>
        <v>0.5</v>
      </c>
      <c r="D16" s="398">
        <f>All!D52</f>
        <v>2.5</v>
      </c>
      <c r="E16" s="398">
        <f>All!E52</f>
        <v>8.8000000000000007</v>
      </c>
      <c r="F16" s="398">
        <f>All!F52</f>
        <v>17.7</v>
      </c>
      <c r="G16" s="398">
        <f>All!G52</f>
        <v>4</v>
      </c>
      <c r="H16" s="398">
        <f>All!H52</f>
        <v>49.4</v>
      </c>
      <c r="I16" s="398">
        <f>All!I52</f>
        <v>119.9</v>
      </c>
      <c r="J16" s="398">
        <f>All!J52</f>
        <v>33.4</v>
      </c>
      <c r="K16" s="398">
        <f>All!K52</f>
        <v>22</v>
      </c>
      <c r="L16" s="398">
        <f>All!L52</f>
        <v>4.4000000000000004</v>
      </c>
      <c r="M16" s="398">
        <f>All!M52</f>
        <v>17.100000000000001</v>
      </c>
      <c r="N16" s="399">
        <f>All!N52</f>
        <v>3.4</v>
      </c>
      <c r="O16" s="415">
        <f>All!O52</f>
        <v>848.8</v>
      </c>
      <c r="P16" s="399">
        <f>All!P52</f>
        <v>70.7</v>
      </c>
    </row>
    <row r="17" spans="1:16" ht="22.15" customHeight="1" thickBot="1">
      <c r="B17" s="423" t="s">
        <v>20</v>
      </c>
      <c r="C17" s="413">
        <f>All!C53</f>
        <v>24.6</v>
      </c>
      <c r="D17" s="400">
        <f>All!D53</f>
        <v>39.1</v>
      </c>
      <c r="E17" s="407">
        <f>All!E53</f>
        <v>51.5</v>
      </c>
      <c r="F17" s="400">
        <f>All!F53</f>
        <v>88.3</v>
      </c>
      <c r="G17" s="408">
        <f>All!G53</f>
        <v>84.1</v>
      </c>
      <c r="H17" s="408">
        <f>All!H53</f>
        <v>97.9</v>
      </c>
      <c r="I17" s="408">
        <f>All!I53</f>
        <v>254.7</v>
      </c>
      <c r="J17" s="408">
        <f>All!J53</f>
        <v>238.4</v>
      </c>
      <c r="K17" s="408">
        <f>All!K53</f>
        <v>136.80000000000001</v>
      </c>
      <c r="L17" s="400">
        <f>All!L53</f>
        <v>85.4</v>
      </c>
      <c r="M17" s="400">
        <f>All!M53</f>
        <v>62.3</v>
      </c>
      <c r="N17" s="401">
        <f>All!N53</f>
        <v>33.6</v>
      </c>
      <c r="O17" s="416">
        <f>All!O53</f>
        <v>1196.8</v>
      </c>
      <c r="P17" s="409">
        <f>All!P53</f>
        <v>99.7</v>
      </c>
    </row>
    <row r="18" spans="1:16" ht="29.25" customHeight="1" thickBot="1">
      <c r="B18" s="91" t="s">
        <v>23</v>
      </c>
      <c r="C18" s="419">
        <f>All!C37</f>
        <v>25.3</v>
      </c>
      <c r="D18" s="404">
        <f>All!D37</f>
        <v>36.200000000000003</v>
      </c>
      <c r="E18" s="404">
        <f>All!E37</f>
        <v>51.9</v>
      </c>
      <c r="F18" s="404">
        <f>All!F37</f>
        <v>82.7</v>
      </c>
      <c r="G18" s="404">
        <f>All!G37</f>
        <v>95.3</v>
      </c>
      <c r="H18" s="404">
        <f>All!H37</f>
        <v>157.5</v>
      </c>
      <c r="I18" s="405">
        <f>All!I37</f>
        <v>293.3</v>
      </c>
      <c r="J18" s="405">
        <f>All!J37</f>
        <v>294.89999999999998</v>
      </c>
      <c r="K18" s="405">
        <f>All!K37</f>
        <v>142.1</v>
      </c>
      <c r="L18" s="405">
        <f>All!L37</f>
        <v>67.099999999999994</v>
      </c>
      <c r="M18" s="405">
        <f>All!M37</f>
        <v>52.5</v>
      </c>
      <c r="N18" s="406">
        <f>All!N37</f>
        <v>28.9</v>
      </c>
      <c r="O18" s="417">
        <f>All!O37</f>
        <v>1327.5</v>
      </c>
      <c r="P18" s="406">
        <f>All!P37</f>
        <v>110.6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811.90000000000009</v>
      </c>
      <c r="F20" s="92"/>
    </row>
    <row r="21" spans="1:16">
      <c r="B21" s="426" t="s">
        <v>166</v>
      </c>
      <c r="D21" s="129">
        <f>O17</f>
        <v>1196.8</v>
      </c>
    </row>
    <row r="22" spans="1:16" ht="17.25" thickBot="1">
      <c r="B22" s="126"/>
      <c r="C22" s="127"/>
      <c r="D22" s="130">
        <f>D20/D21</f>
        <v>0.67839237967914445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848.8</v>
      </c>
      <c r="D24" s="450"/>
      <c r="E24" s="451"/>
      <c r="H24" s="428" t="s">
        <v>184</v>
      </c>
      <c r="I24" s="554" t="s">
        <v>412</v>
      </c>
      <c r="J24" s="555"/>
      <c r="K24" s="332">
        <f>INDEX(Location[recharge], MATCH(I24,Location[name],0))</f>
        <v>0.16300000000000001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1327.5</v>
      </c>
      <c r="D25" s="453"/>
      <c r="E25" s="454"/>
      <c r="H25" s="428" t="s">
        <v>185</v>
      </c>
      <c r="I25" s="556" t="s">
        <v>194</v>
      </c>
      <c r="J25" s="557"/>
      <c r="K25" s="552">
        <f>INDEX(Location[recharge], MATCH(I25,Location[name],0))</f>
        <v>0.16600000000000001</v>
      </c>
      <c r="L25" s="553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58" t="s">
        <v>258</v>
      </c>
      <c r="J26" s="559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1688110</v>
      </c>
      <c r="D27" s="453"/>
      <c r="E27" s="459"/>
    </row>
    <row r="28" spans="1:16" ht="21.95" customHeight="1" thickBot="1">
      <c r="B28" s="394" t="s">
        <v>27</v>
      </c>
      <c r="C28" s="460">
        <f>K24</f>
        <v>0.16300000000000001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21.638250000000003</v>
      </c>
      <c r="D30" s="123">
        <f>max*rf_2/10</f>
        <v>22.0365</v>
      </c>
      <c r="E30" s="124">
        <f>max*rf_3/10</f>
        <v>16.859249999999999</v>
      </c>
    </row>
    <row r="31" spans="1:16" ht="22.15" customHeight="1">
      <c r="E31" s="93"/>
      <c r="J31" s="499" t="s">
        <v>379</v>
      </c>
    </row>
    <row r="32" spans="1:16" ht="17.25" customHeight="1">
      <c r="A32" s="427" t="s">
        <v>168</v>
      </c>
      <c r="B32" s="331"/>
      <c r="C32" s="331"/>
      <c r="D32" s="331"/>
    </row>
    <row r="33" spans="1:6" ht="17.25" customHeight="1">
      <c r="A33" s="427" t="s">
        <v>169</v>
      </c>
    </row>
    <row r="34" spans="1:6" ht="17.25" customHeight="1">
      <c r="C34" s="331"/>
      <c r="D34" s="331"/>
    </row>
    <row r="35" spans="1:6" ht="17.25" customHeight="1"/>
    <row r="4689" s="498" customFormat="1" ht="17.25"/>
    <row r="4975" spans="2430:2430">
      <c r="COL4975" s="334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5" t="s">
        <v>381</v>
      </c>
    </row>
    <row r="3" spans="1:11">
      <c r="A3" s="35" t="s">
        <v>122</v>
      </c>
      <c r="I3"/>
      <c r="J3" s="505" t="s">
        <v>382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5" t="s">
        <v>383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5" t="s">
        <v>384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5" t="s">
        <v>385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5" t="s">
        <v>386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5" t="s">
        <v>387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5" t="s">
        <v>388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5" t="s">
        <v>389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5" t="s">
        <v>390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5" t="s">
        <v>391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5" t="s">
        <v>392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409</v>
      </c>
    </row>
    <row r="20" spans="1:1">
      <c r="A20" s="30" t="s">
        <v>402</v>
      </c>
    </row>
    <row r="21" spans="1:1">
      <c r="A21" s="30" t="s">
        <v>403</v>
      </c>
    </row>
    <row r="22" spans="1:1">
      <c r="A22" s="30" t="s">
        <v>404</v>
      </c>
    </row>
    <row r="23" spans="1:1">
      <c r="A23" s="30" t="s">
        <v>405</v>
      </c>
    </row>
    <row r="24" spans="1:1">
      <c r="A24" s="30" t="s">
        <v>406</v>
      </c>
    </row>
    <row r="25" spans="1:1">
      <c r="A25" s="30" t="s">
        <v>407</v>
      </c>
    </row>
    <row r="26" spans="1:1">
      <c r="A26" s="30" t="s">
        <v>408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E10" sqref="E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2.4</v>
      </c>
      <c r="C5" s="270">
        <v>40.799999999999997</v>
      </c>
      <c r="D5" s="316">
        <v>4.4742745786732963</v>
      </c>
      <c r="E5" s="316">
        <v>36.325725421326702</v>
      </c>
      <c r="F5" s="316">
        <v>38.4</v>
      </c>
      <c r="G5" s="270">
        <v>250</v>
      </c>
      <c r="H5" s="270">
        <v>0.125</v>
      </c>
      <c r="I5" s="270">
        <v>66</v>
      </c>
      <c r="J5" s="270">
        <v>12</v>
      </c>
      <c r="K5" s="270">
        <v>160</v>
      </c>
      <c r="L5" s="316">
        <v>3.0396616256985305</v>
      </c>
      <c r="M5" s="270">
        <v>3</v>
      </c>
      <c r="N5" s="270">
        <v>54</v>
      </c>
      <c r="O5" s="314">
        <v>2.7669999999999999</v>
      </c>
      <c r="P5" s="314">
        <v>2.2709999999999999</v>
      </c>
      <c r="Q5" s="314">
        <v>2.5190000000000001</v>
      </c>
      <c r="R5" s="270">
        <v>0.10680000000000001</v>
      </c>
      <c r="S5" s="317">
        <v>3.7609999999999998E-4</v>
      </c>
      <c r="T5" s="314">
        <v>4.6640000000000001E-2</v>
      </c>
      <c r="U5" s="270">
        <v>0.70830000000000004</v>
      </c>
      <c r="V5" s="315">
        <v>142.30000000000001</v>
      </c>
      <c r="W5" s="315">
        <v>174.2</v>
      </c>
      <c r="X5" s="315">
        <v>103.3</v>
      </c>
      <c r="Y5" s="270">
        <v>-2.8241999999999998</v>
      </c>
      <c r="Z5" s="314">
        <v>2.1059999999999999</v>
      </c>
      <c r="AA5" s="270">
        <v>183</v>
      </c>
      <c r="AB5" s="270">
        <v>165.36</v>
      </c>
      <c r="AC5" s="270">
        <v>100</v>
      </c>
      <c r="AD5" s="270">
        <v>16.07</v>
      </c>
      <c r="AE5" s="270">
        <v>34.17</v>
      </c>
      <c r="AF5" s="270">
        <v>3.1490000000000001E-4</v>
      </c>
      <c r="AG5" s="270">
        <v>0.1282326</v>
      </c>
      <c r="AH5" s="319">
        <v>0.90163934426229508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88"/>
    </row>
    <row r="5" spans="1:12" ht="20.100000000000001" customHeight="1" thickBot="1"/>
    <row r="6" spans="1:12" ht="20.100000000000001" customHeight="1">
      <c r="D6" s="479" t="s">
        <v>280</v>
      </c>
      <c r="E6" s="480" t="s">
        <v>367</v>
      </c>
      <c r="F6" s="480"/>
      <c r="G6" s="480" t="s">
        <v>368</v>
      </c>
      <c r="H6" s="480"/>
      <c r="I6" s="480" t="s">
        <v>369</v>
      </c>
      <c r="J6" s="480"/>
      <c r="K6" s="480" t="s">
        <v>370</v>
      </c>
      <c r="L6" s="481"/>
    </row>
    <row r="7" spans="1:12" ht="20.100000000000001" customHeight="1">
      <c r="D7" s="482" t="s">
        <v>371</v>
      </c>
      <c r="E7" s="483">
        <v>20</v>
      </c>
      <c r="F7" s="483">
        <v>102.04999999999998</v>
      </c>
      <c r="G7" s="483">
        <v>3</v>
      </c>
      <c r="H7" s="483">
        <v>20.46</v>
      </c>
      <c r="I7" s="483">
        <v>17</v>
      </c>
      <c r="J7" s="483">
        <v>81.589999999999989</v>
      </c>
      <c r="K7" s="483">
        <v>0</v>
      </c>
      <c r="L7" s="484">
        <v>0</v>
      </c>
    </row>
    <row r="8" spans="1:12" ht="20.100000000000001" customHeight="1" thickBot="1">
      <c r="D8" s="485" t="s">
        <v>372</v>
      </c>
      <c r="E8" s="486">
        <v>0</v>
      </c>
      <c r="F8" s="486">
        <v>0</v>
      </c>
      <c r="G8" s="486">
        <v>0</v>
      </c>
      <c r="H8" s="486">
        <v>0</v>
      </c>
      <c r="I8" s="486">
        <v>0</v>
      </c>
      <c r="J8" s="486">
        <v>0</v>
      </c>
      <c r="K8" s="486">
        <v>0</v>
      </c>
      <c r="L8" s="487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F10" sqref="F1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415</v>
      </c>
      <c r="F1" s="32"/>
      <c r="J1" s="60"/>
    </row>
    <row r="2" spans="1:18" s="67" customFormat="1" ht="23.1" customHeight="1">
      <c r="A2" s="560" t="s">
        <v>0</v>
      </c>
      <c r="B2" s="562" t="s">
        <v>39</v>
      </c>
      <c r="C2" s="562" t="s">
        <v>6</v>
      </c>
      <c r="D2" s="562" t="s">
        <v>38</v>
      </c>
      <c r="E2" s="562" t="s">
        <v>204</v>
      </c>
      <c r="F2" s="562" t="s">
        <v>203</v>
      </c>
      <c r="G2" s="566" t="s">
        <v>1</v>
      </c>
      <c r="H2" s="566" t="s">
        <v>2</v>
      </c>
      <c r="I2" s="566" t="s">
        <v>172</v>
      </c>
      <c r="J2" s="570" t="s">
        <v>274</v>
      </c>
      <c r="K2" s="566" t="s">
        <v>273</v>
      </c>
      <c r="L2" s="566" t="s">
        <v>3</v>
      </c>
      <c r="M2" s="566" t="s">
        <v>4</v>
      </c>
      <c r="N2" s="566" t="s">
        <v>5</v>
      </c>
      <c r="O2" s="566" t="s">
        <v>272</v>
      </c>
      <c r="P2" s="568" t="s">
        <v>271</v>
      </c>
      <c r="Q2" s="562" t="s">
        <v>159</v>
      </c>
      <c r="R2" s="564" t="s">
        <v>92</v>
      </c>
    </row>
    <row r="3" spans="1:18" s="67" customFormat="1" ht="27" customHeight="1">
      <c r="A3" s="561"/>
      <c r="B3" s="563"/>
      <c r="C3" s="563"/>
      <c r="D3" s="563"/>
      <c r="E3" s="563"/>
      <c r="F3" s="563"/>
      <c r="G3" s="567"/>
      <c r="H3" s="567"/>
      <c r="I3" s="567"/>
      <c r="J3" s="571"/>
      <c r="K3" s="567"/>
      <c r="L3" s="567"/>
      <c r="M3" s="567"/>
      <c r="N3" s="567"/>
      <c r="O3" s="567"/>
      <c r="P3" s="569"/>
      <c r="Q3" s="563"/>
      <c r="R3" s="565"/>
    </row>
    <row r="4" spans="1:18" ht="23.1" customHeight="1" thickBot="1">
      <c r="A4" s="520" t="s">
        <v>361</v>
      </c>
      <c r="B4" s="521" t="s">
        <v>389</v>
      </c>
      <c r="C4" s="522"/>
      <c r="D4" s="521" t="s">
        <v>416</v>
      </c>
      <c r="E4" s="521" t="str">
        <f>Recharge!$I$24</f>
        <v>금강/금강공주</v>
      </c>
      <c r="F4" s="521" t="str">
        <f>All!$B$2</f>
        <v>부여기상청</v>
      </c>
      <c r="G4" s="521">
        <v>250</v>
      </c>
      <c r="H4" s="521">
        <v>80</v>
      </c>
      <c r="I4" s="521">
        <v>150</v>
      </c>
      <c r="J4" s="521">
        <v>160</v>
      </c>
      <c r="K4" s="521">
        <v>160</v>
      </c>
      <c r="L4" s="521">
        <v>3</v>
      </c>
      <c r="M4" s="521">
        <v>60</v>
      </c>
      <c r="N4" s="523">
        <v>50</v>
      </c>
      <c r="O4" s="524">
        <f>ROUND(water!F7, 1)</f>
        <v>102.1</v>
      </c>
      <c r="P4" s="525">
        <v>1688110</v>
      </c>
      <c r="Q4" s="521"/>
      <c r="R4" s="526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12" sqref="C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183</v>
      </c>
      <c r="I3" s="277">
        <v>165.36</v>
      </c>
      <c r="J3" s="243">
        <v>160</v>
      </c>
      <c r="K3" s="278">
        <v>0.90163934426229508</v>
      </c>
      <c r="M3" s="281" t="s">
        <v>208</v>
      </c>
      <c r="N3" s="282">
        <v>0.90163934426229508</v>
      </c>
      <c r="O3" s="283">
        <v>0.90163934426229508</v>
      </c>
      <c r="Q3" s="289" t="s">
        <v>229</v>
      </c>
      <c r="R3" s="290">
        <v>3.1490000000000001E-4</v>
      </c>
      <c r="S3" s="291">
        <v>0.1282326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165.36</v>
      </c>
      <c r="O4" s="285">
        <v>165.36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160</v>
      </c>
      <c r="O5" s="288">
        <v>160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80" t="s">
        <v>229</v>
      </c>
      <c r="G27" s="578">
        <v>183</v>
      </c>
      <c r="H27" s="321">
        <v>34.17</v>
      </c>
      <c r="I27" s="579">
        <v>165.36</v>
      </c>
    </row>
    <row r="28" spans="6:19" ht="15.95" customHeight="1">
      <c r="F28" s="572"/>
      <c r="G28" s="573"/>
      <c r="H28" s="243">
        <v>16.07</v>
      </c>
      <c r="I28" s="574"/>
      <c r="K28" s="30"/>
    </row>
    <row r="29" spans="6:19" ht="15.95" customHeight="1">
      <c r="F29" s="572"/>
      <c r="G29" s="573"/>
      <c r="H29" s="243"/>
      <c r="I29" s="574"/>
    </row>
    <row r="30" spans="6:19" ht="15.95" customHeight="1">
      <c r="F30" s="572"/>
      <c r="G30" s="573"/>
      <c r="H30" s="243"/>
      <c r="I30" s="574"/>
    </row>
    <row r="31" spans="6:19" ht="15.95" customHeight="1">
      <c r="F31" s="572"/>
      <c r="G31" s="573"/>
      <c r="H31" s="243"/>
      <c r="I31" s="574"/>
    </row>
    <row r="32" spans="6:19" ht="15.95" customHeight="1">
      <c r="F32" s="572"/>
      <c r="G32" s="573"/>
      <c r="H32" s="243"/>
      <c r="I32" s="574"/>
    </row>
    <row r="33" spans="6:9" ht="15.95" customHeight="1">
      <c r="F33" s="572"/>
      <c r="G33" s="573"/>
      <c r="H33" s="243"/>
      <c r="I33" s="574"/>
    </row>
    <row r="34" spans="6:9" ht="15.95" customHeight="1">
      <c r="F34" s="572"/>
      <c r="G34" s="573"/>
      <c r="H34" s="243"/>
      <c r="I34" s="574"/>
    </row>
    <row r="35" spans="6:9" ht="15.95" customHeight="1">
      <c r="F35" s="572"/>
      <c r="G35" s="573"/>
      <c r="H35" s="243"/>
      <c r="I35" s="574"/>
    </row>
    <row r="36" spans="6:9" ht="15.95" customHeight="1">
      <c r="F36" s="572"/>
      <c r="G36" s="573"/>
      <c r="H36" s="243"/>
      <c r="I36" s="574"/>
    </row>
    <row r="37" spans="6:9" ht="15.95" customHeight="1">
      <c r="F37" s="572"/>
      <c r="G37" s="573"/>
      <c r="H37" s="243"/>
      <c r="I37" s="574"/>
    </row>
    <row r="38" spans="6:9" ht="15.95" customHeight="1">
      <c r="F38" s="572"/>
      <c r="G38" s="573"/>
      <c r="H38" s="243"/>
      <c r="I38" s="574"/>
    </row>
    <row r="39" spans="6:9" ht="15.95" customHeight="1">
      <c r="F39" s="572"/>
      <c r="G39" s="573"/>
      <c r="H39" s="243"/>
      <c r="I39" s="574"/>
    </row>
    <row r="40" spans="6:9" ht="15.95" customHeight="1">
      <c r="F40" s="572"/>
      <c r="G40" s="573"/>
      <c r="H40" s="243"/>
      <c r="I40" s="574"/>
    </row>
    <row r="41" spans="6:9" ht="15.95" customHeight="1">
      <c r="F41" s="572"/>
      <c r="G41" s="573"/>
      <c r="H41" s="243"/>
      <c r="I41" s="574"/>
    </row>
    <row r="42" spans="6:9" ht="15.95" customHeight="1">
      <c r="F42" s="572"/>
      <c r="G42" s="573"/>
      <c r="H42" s="243"/>
      <c r="I42" s="574"/>
    </row>
    <row r="43" spans="6:9" ht="15.95" customHeight="1">
      <c r="F43" s="572"/>
      <c r="G43" s="573"/>
      <c r="H43" s="243"/>
      <c r="I43" s="574"/>
    </row>
    <row r="44" spans="6:9" ht="15.95" customHeight="1">
      <c r="F44" s="572"/>
      <c r="G44" s="573"/>
      <c r="H44" s="243"/>
      <c r="I44" s="574"/>
    </row>
    <row r="45" spans="6:9" ht="15.95" customHeight="1">
      <c r="F45" s="572"/>
      <c r="G45" s="573"/>
      <c r="H45" s="243"/>
      <c r="I45" s="574"/>
    </row>
    <row r="46" spans="6:9" ht="15.95" customHeight="1">
      <c r="F46" s="572"/>
      <c r="G46" s="573"/>
      <c r="H46" s="243"/>
      <c r="I46" s="574"/>
    </row>
    <row r="47" spans="6:9" ht="15.95" customHeight="1">
      <c r="F47" s="572"/>
      <c r="G47" s="573"/>
      <c r="H47" s="243"/>
      <c r="I47" s="574"/>
    </row>
    <row r="48" spans="6:9" ht="15.95" customHeight="1">
      <c r="F48" s="572"/>
      <c r="G48" s="573"/>
      <c r="H48" s="243"/>
      <c r="I48" s="574"/>
    </row>
    <row r="49" spans="6:9" ht="15.95" customHeight="1">
      <c r="F49" s="572"/>
      <c r="G49" s="573"/>
      <c r="H49" s="243"/>
      <c r="I49" s="574"/>
    </row>
    <row r="50" spans="6:9" ht="15.95" customHeight="1" thickBot="1">
      <c r="F50" s="575"/>
      <c r="G50" s="576"/>
      <c r="H50" s="235"/>
      <c r="I50" s="577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160</v>
      </c>
      <c r="F3" s="243">
        <v>2.4</v>
      </c>
      <c r="G3" s="243">
        <v>40.799999999999997</v>
      </c>
      <c r="H3" s="243">
        <v>38.4</v>
      </c>
      <c r="I3" s="243">
        <v>0.125</v>
      </c>
      <c r="J3" s="256">
        <v>3.0396616256985305</v>
      </c>
      <c r="K3" s="30"/>
      <c r="L3" s="255">
        <v>160</v>
      </c>
      <c r="M3" s="243">
        <v>0.125</v>
      </c>
      <c r="N3" s="243">
        <v>0.125</v>
      </c>
      <c r="O3" s="243">
        <v>54</v>
      </c>
      <c r="P3" s="243">
        <v>2.7669999999999999</v>
      </c>
      <c r="Q3" s="244">
        <v>0.10680000000000001</v>
      </c>
      <c r="S3" s="259">
        <v>40.799999999999997</v>
      </c>
      <c r="T3" s="260">
        <v>4.4742745786732963</v>
      </c>
      <c r="U3" s="256">
        <v>36.325725421326702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2.5190000000000001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4.6640000000000001E-2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3.7609999999999998E-4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0.70830000000000004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38.4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54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410</v>
      </c>
      <c r="I30" s="194"/>
      <c r="J30" s="195"/>
      <c r="K30" s="30"/>
      <c r="L30" s="30"/>
      <c r="M30" s="30"/>
      <c r="N30" s="30"/>
      <c r="P30" s="45" t="s">
        <v>411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27" t="s">
        <v>287</v>
      </c>
      <c r="Q31" s="241" t="s">
        <v>288</v>
      </c>
      <c r="R31" s="242" t="s">
        <v>289</v>
      </c>
    </row>
    <row r="32" spans="3:21" ht="20.100000000000001" customHeight="1">
      <c r="C32" s="581" t="s">
        <v>229</v>
      </c>
      <c r="D32" s="270" t="s">
        <v>266</v>
      </c>
      <c r="E32" s="250">
        <v>2.7669999999999999</v>
      </c>
      <c r="F32" s="244">
        <v>3.7609999999999998E-4</v>
      </c>
      <c r="G32" s="30"/>
      <c r="H32" s="215" t="s">
        <v>229</v>
      </c>
      <c r="I32" s="277">
        <v>142.30000000000001</v>
      </c>
      <c r="J32" s="277">
        <v>174.2</v>
      </c>
      <c r="K32" s="277">
        <v>103.3</v>
      </c>
      <c r="L32" s="243">
        <v>139.9</v>
      </c>
      <c r="M32" s="243">
        <v>174.2</v>
      </c>
      <c r="N32" s="295">
        <v>103.3</v>
      </c>
      <c r="P32" s="215" t="s">
        <v>229</v>
      </c>
      <c r="Q32" s="250">
        <v>-2.8241999999999998</v>
      </c>
      <c r="R32" s="251">
        <v>2.1059999999999999</v>
      </c>
    </row>
    <row r="33" spans="3:18" ht="20.100000000000001" customHeight="1">
      <c r="C33" s="581"/>
      <c r="D33" s="270" t="s">
        <v>267</v>
      </c>
      <c r="E33" s="250">
        <v>2.2709999999999999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81"/>
      <c r="D34" s="270" t="s">
        <v>268</v>
      </c>
      <c r="E34" s="330">
        <v>2.5190000000000001</v>
      </c>
      <c r="F34" s="338">
        <v>3.7609999999999998E-4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81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81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81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81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81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81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81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81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81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81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81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81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1"/>
      <c r="D47" s="270"/>
      <c r="E47" s="250"/>
      <c r="F47" s="244"/>
    </row>
    <row r="48" spans="3:18" ht="20.100000000000001" customHeight="1">
      <c r="C48" s="581"/>
      <c r="D48" s="270"/>
      <c r="E48" s="250"/>
      <c r="F48" s="244"/>
    </row>
    <row r="49" spans="3:6" ht="20.100000000000001" customHeight="1">
      <c r="C49" s="581"/>
      <c r="D49" s="270"/>
      <c r="E49" s="330"/>
      <c r="F49" s="338"/>
    </row>
    <row r="50" spans="3:6" ht="20.100000000000001" customHeight="1">
      <c r="C50" s="581"/>
      <c r="D50" s="270"/>
      <c r="E50" s="243"/>
      <c r="F50" s="244"/>
    </row>
    <row r="51" spans="3:6" ht="20.100000000000001" customHeight="1">
      <c r="C51" s="581"/>
      <c r="D51" s="270"/>
      <c r="E51" s="243"/>
      <c r="F51" s="244"/>
    </row>
    <row r="52" spans="3:6" ht="20.100000000000001" customHeight="1">
      <c r="C52" s="581"/>
      <c r="D52" s="270"/>
      <c r="E52" s="243"/>
      <c r="F52" s="244"/>
    </row>
    <row r="53" spans="3:6" ht="20.100000000000001" customHeight="1">
      <c r="C53" s="581"/>
      <c r="D53" s="270"/>
      <c r="E53" s="243"/>
      <c r="F53" s="244"/>
    </row>
    <row r="54" spans="3:6" ht="20.100000000000001" customHeight="1">
      <c r="C54" s="581"/>
      <c r="D54" s="270"/>
      <c r="E54" s="243"/>
      <c r="F54" s="244"/>
    </row>
    <row r="55" spans="3:6" ht="20.100000000000001" customHeight="1">
      <c r="C55" s="581"/>
      <c r="D55" s="270"/>
      <c r="E55" s="243"/>
      <c r="F55" s="244"/>
    </row>
    <row r="56" spans="3:6" ht="20.100000000000001" customHeight="1">
      <c r="C56" s="581"/>
      <c r="D56" s="270"/>
      <c r="E56" s="243"/>
      <c r="F56" s="244"/>
    </row>
    <row r="57" spans="3:6" ht="20.100000000000001" customHeight="1">
      <c r="C57" s="581"/>
      <c r="D57" s="270"/>
      <c r="E57" s="243"/>
      <c r="F57" s="244"/>
    </row>
    <row r="58" spans="3:6" ht="20.100000000000001" customHeight="1">
      <c r="C58" s="581"/>
      <c r="D58" s="270"/>
      <c r="E58" s="243"/>
      <c r="F58" s="244"/>
    </row>
    <row r="59" spans="3:6" ht="20.100000000000001" customHeight="1">
      <c r="C59" s="581"/>
      <c r="D59" s="270"/>
      <c r="E59" s="243"/>
      <c r="F59" s="244"/>
    </row>
    <row r="60" spans="3:6" ht="20.100000000000001" customHeight="1">
      <c r="C60" s="581"/>
      <c r="D60" s="270"/>
      <c r="E60" s="243"/>
      <c r="F60" s="244"/>
    </row>
    <row r="61" spans="3:6" ht="20.100000000000001" customHeight="1">
      <c r="C61" s="581"/>
      <c r="D61" s="270"/>
      <c r="E61" s="243"/>
      <c r="F61" s="244"/>
    </row>
    <row r="62" spans="3:6" ht="20.100000000000001" customHeight="1">
      <c r="C62" s="581"/>
      <c r="D62" s="270"/>
      <c r="E62" s="243"/>
      <c r="F62" s="244"/>
    </row>
    <row r="63" spans="3:6" ht="20.100000000000001" customHeight="1">
      <c r="C63" s="581"/>
      <c r="D63" s="270"/>
      <c r="E63" s="243"/>
      <c r="F63" s="244"/>
    </row>
    <row r="64" spans="3:6" ht="20.100000000000001" customHeight="1">
      <c r="C64" s="581"/>
      <c r="D64" s="270"/>
      <c r="E64" s="243"/>
      <c r="F64" s="244"/>
    </row>
    <row r="65" spans="3:6" ht="20.100000000000001" customHeight="1">
      <c r="C65" s="581"/>
      <c r="D65" s="270"/>
      <c r="E65" s="243"/>
      <c r="F65" s="244"/>
    </row>
    <row r="66" spans="3:6" ht="20.100000000000001" customHeight="1">
      <c r="C66" s="581"/>
      <c r="D66" s="270"/>
      <c r="E66" s="243"/>
      <c r="F66" s="244"/>
    </row>
    <row r="67" spans="3:6" ht="20.100000000000001" customHeight="1" thickBot="1">
      <c r="C67" s="582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160</v>
      </c>
      <c r="F4" s="246">
        <v>2.8959999999999999</v>
      </c>
      <c r="G4" s="378">
        <v>2.8959999999999999</v>
      </c>
      <c r="H4" s="246">
        <v>0.03</v>
      </c>
      <c r="I4" s="246">
        <v>93</v>
      </c>
      <c r="J4" s="379">
        <v>93</v>
      </c>
      <c r="K4" s="246">
        <v>140</v>
      </c>
      <c r="L4" s="379">
        <v>140</v>
      </c>
      <c r="M4" s="246">
        <v>1.7999999999999999E-2</v>
      </c>
      <c r="N4" s="378">
        <v>1.7999999999999999E-2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0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0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0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0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0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0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0"/>
    </row>
    <row r="17" spans="3:15" ht="20.100000000000001" customHeight="1" thickBot="1">
      <c r="C17" s="239"/>
      <c r="D17" s="491"/>
      <c r="E17" s="240"/>
      <c r="F17" s="240"/>
      <c r="G17" s="491"/>
      <c r="H17" s="491"/>
      <c r="I17" s="240"/>
      <c r="J17" s="491"/>
      <c r="K17" s="240"/>
      <c r="L17" s="491"/>
      <c r="M17" s="240"/>
      <c r="N17" s="491"/>
      <c r="O17" s="49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397</v>
      </c>
      <c r="F28" s="246" t="s">
        <v>398</v>
      </c>
      <c r="G28" s="247" t="s">
        <v>399</v>
      </c>
      <c r="I28" s="245" t="s">
        <v>229</v>
      </c>
      <c r="J28" s="246">
        <v>96</v>
      </c>
      <c r="K28" s="247">
        <v>121</v>
      </c>
      <c r="M28" s="503">
        <f>MIN(J28:J40)</f>
        <v>96</v>
      </c>
      <c r="N28" s="504" t="s">
        <v>394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395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380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393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396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400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401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33" sqref="D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89" t="str">
        <f>Well!D4</f>
        <v>04_충남 부여군 규암면 수목리 603-6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07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8">
        <f>Well!Q4</f>
        <v>0</v>
      </c>
      <c r="D5" s="7" t="s">
        <v>53</v>
      </c>
      <c r="E5" s="380">
        <v>2.7669999999999999</v>
      </c>
      <c r="F5" s="28">
        <f>$E$5/$C$14</f>
        <v>4.0691176470588231E-2</v>
      </c>
      <c r="G5" s="10">
        <v>3.7609999999999998E-4</v>
      </c>
      <c r="H5"/>
      <c r="I5"/>
      <c r="J5" s="476" t="s">
        <v>366</v>
      </c>
      <c r="K5"/>
      <c r="L5"/>
      <c r="M5"/>
    </row>
    <row r="6" spans="1:13" ht="20.100000000000001" customHeight="1" thickBot="1">
      <c r="B6" s="6" t="s">
        <v>54</v>
      </c>
      <c r="C6" s="509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47">
        <v>2.1059999999999999</v>
      </c>
      <c r="I6"/>
      <c r="J6" s="477" t="s">
        <v>364</v>
      </c>
      <c r="K6" s="474">
        <v>246</v>
      </c>
      <c r="L6"/>
      <c r="M6"/>
    </row>
    <row r="7" spans="1:13" ht="20.100000000000001" customHeight="1" thickBot="1">
      <c r="B7" s="6" t="s">
        <v>55</v>
      </c>
      <c r="C7" s="510">
        <f>Well!H4</f>
        <v>80</v>
      </c>
      <c r="D7" s="187" t="s">
        <v>59</v>
      </c>
      <c r="E7" s="179">
        <f>ROUND((E5+E6)/2,4)</f>
        <v>2.5190000000000001</v>
      </c>
      <c r="F7" s="29">
        <f>$E$7/$C$14</f>
        <v>3.7044117647058825E-2</v>
      </c>
      <c r="G7" s="448">
        <f>G5</f>
        <v>3.7609999999999998E-4</v>
      </c>
      <c r="H7" s="443">
        <v>0.10680000000000001</v>
      </c>
      <c r="I7"/>
      <c r="J7" s="478" t="s">
        <v>365</v>
      </c>
      <c r="K7" s="475">
        <v>236</v>
      </c>
      <c r="L7"/>
      <c r="M7"/>
    </row>
    <row r="8" spans="1:13" ht="20.100000000000001" customHeight="1" thickBot="1">
      <c r="B8" s="6" t="s">
        <v>58</v>
      </c>
      <c r="C8" s="511">
        <f>Well!G4</f>
        <v>250</v>
      </c>
    </row>
    <row r="9" spans="1:13" ht="20.100000000000001" customHeight="1" thickBot="1">
      <c r="B9" s="6" t="s">
        <v>60</v>
      </c>
      <c r="C9" s="512">
        <f>C10+C11</f>
        <v>12</v>
      </c>
      <c r="D9" s="11"/>
      <c r="E9" s="444" t="s">
        <v>109</v>
      </c>
      <c r="F9" s="445" t="s">
        <v>110</v>
      </c>
      <c r="G9" s="467" t="s">
        <v>111</v>
      </c>
      <c r="H9" s="500">
        <f>MAX(E10,F10,G10)</f>
        <v>174.2</v>
      </c>
    </row>
    <row r="10" spans="1:13" ht="20.100000000000001" customHeight="1" thickBot="1">
      <c r="B10" s="6" t="s">
        <v>61</v>
      </c>
      <c r="C10" s="513">
        <v>5</v>
      </c>
      <c r="D10" s="446" t="s">
        <v>62</v>
      </c>
      <c r="E10" s="119">
        <v>142.30000000000001</v>
      </c>
      <c r="F10" s="120">
        <v>174.2</v>
      </c>
      <c r="G10" s="468">
        <v>103.3</v>
      </c>
      <c r="H10" s="501">
        <f>MIN(E10,F10,G10)</f>
        <v>103.3</v>
      </c>
      <c r="I10" s="12"/>
    </row>
    <row r="11" spans="1:13" ht="20.100000000000001" customHeight="1" thickBot="1">
      <c r="B11" s="6" t="s">
        <v>63</v>
      </c>
      <c r="C11" s="513">
        <v>7</v>
      </c>
      <c r="D11" s="188" t="s">
        <v>64</v>
      </c>
      <c r="E11" s="121">
        <f>ROUND(AVERAGE(E10:G10),1)</f>
        <v>139.9</v>
      </c>
      <c r="F11" s="442">
        <f>ROUND((E10+F10)/2,1)</f>
        <v>158.30000000000001</v>
      </c>
      <c r="H11" s="502">
        <f>ROUND(AVERAGE(E10:G10),1)</f>
        <v>139.9</v>
      </c>
      <c r="I11" s="12"/>
      <c r="J11" s="587" t="s">
        <v>117</v>
      </c>
      <c r="K11" s="588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4">
        <f>C7-C9</f>
        <v>68</v>
      </c>
      <c r="H12" s="14"/>
      <c r="J12" s="465" t="s">
        <v>119</v>
      </c>
      <c r="K12" s="540">
        <v>124</v>
      </c>
      <c r="L12" s="539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14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65" t="s">
        <v>112</v>
      </c>
      <c r="K13" s="472">
        <v>1034</v>
      </c>
      <c r="L13" s="469"/>
    </row>
    <row r="14" spans="1:13" ht="20.100000000000001" customHeight="1">
      <c r="B14" s="6" t="s">
        <v>67</v>
      </c>
      <c r="C14" s="512">
        <f>C7-IF(C20&gt;C9,C20,C9)</f>
        <v>68</v>
      </c>
      <c r="G14" s="122">
        <f>max</f>
        <v>1327.5</v>
      </c>
      <c r="H14" s="15"/>
      <c r="J14" s="465" t="s">
        <v>113</v>
      </c>
      <c r="K14" s="472">
        <v>13</v>
      </c>
      <c r="L14" s="469"/>
    </row>
    <row r="15" spans="1:13" ht="20.100000000000001" customHeight="1" thickBot="1">
      <c r="B15" s="6" t="s">
        <v>68</v>
      </c>
      <c r="C15" s="510">
        <f>Well!I4</f>
        <v>150</v>
      </c>
      <c r="E15" s="34">
        <v>1</v>
      </c>
      <c r="J15" s="465" t="s">
        <v>114</v>
      </c>
      <c r="K15" s="472">
        <v>8</v>
      </c>
      <c r="L15" s="469"/>
    </row>
    <row r="16" spans="1:13" ht="20.100000000000001" customHeight="1">
      <c r="B16" s="6" t="s">
        <v>69</v>
      </c>
      <c r="C16" s="515">
        <f>Well!J4</f>
        <v>160</v>
      </c>
      <c r="E16" s="108" t="s">
        <v>275</v>
      </c>
      <c r="F16" s="109" t="s">
        <v>96</v>
      </c>
      <c r="G16" s="110" t="s">
        <v>95</v>
      </c>
      <c r="H16" s="15"/>
      <c r="J16" s="465" t="s">
        <v>120</v>
      </c>
      <c r="K16" s="473">
        <f>K14-C20</f>
        <v>10.6</v>
      </c>
      <c r="L16" s="469"/>
    </row>
    <row r="17" spans="2:12" ht="20.100000000000001" customHeight="1" thickBot="1">
      <c r="B17" s="6" t="s">
        <v>70</v>
      </c>
      <c r="C17" s="510">
        <f>Well!L4</f>
        <v>3</v>
      </c>
      <c r="E17" s="381">
        <f>Well!P4</f>
        <v>1688110</v>
      </c>
      <c r="F17" s="137">
        <f>(max*rf_1*E17/1000)</f>
        <v>365277.46207500005</v>
      </c>
      <c r="G17" s="136">
        <f>F17*allow_ratio</f>
        <v>244735.89959025005</v>
      </c>
      <c r="J17" s="465" t="s">
        <v>115</v>
      </c>
      <c r="K17" s="473">
        <f>K16-K15</f>
        <v>2.5999999999999996</v>
      </c>
      <c r="L17" s="469"/>
    </row>
    <row r="18" spans="2:12" ht="20.100000000000001" customHeight="1" thickBot="1">
      <c r="B18" s="6" t="s">
        <v>71</v>
      </c>
      <c r="C18" s="510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6" t="s">
        <v>116</v>
      </c>
      <c r="K18" s="470">
        <f>(K17/K13)</f>
        <v>2.5145067698259184E-3</v>
      </c>
      <c r="L18" s="471">
        <f>K18*100</f>
        <v>0.25145067698259183</v>
      </c>
    </row>
    <row r="19" spans="2:12" ht="20.100000000000001" customHeight="1" thickBot="1">
      <c r="B19" s="17" t="s">
        <v>75</v>
      </c>
      <c r="C19" s="516">
        <f>Well!N4</f>
        <v>50</v>
      </c>
      <c r="E19" s="381">
        <f>E17</f>
        <v>1688110</v>
      </c>
      <c r="F19" s="134">
        <f>(max*rf_1*E19/1000)/365</f>
        <v>1000.7601700684933</v>
      </c>
      <c r="G19" s="135">
        <f>F19*allow_ratio</f>
        <v>670.50931394589054</v>
      </c>
      <c r="H19" s="118">
        <f>G19-F21</f>
        <v>568.40931394589052</v>
      </c>
    </row>
    <row r="20" spans="2:12" ht="20.100000000000001" customHeight="1">
      <c r="B20" s="18" t="s">
        <v>76</v>
      </c>
      <c r="C20" s="517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8">
        <v>40.799999999999997</v>
      </c>
      <c r="D21" s="13"/>
      <c r="E21" s="382">
        <f>Well!$I$6</f>
        <v>150</v>
      </c>
      <c r="F21" s="383">
        <f>Well!O4</f>
        <v>102.1</v>
      </c>
      <c r="G21" s="136">
        <f>G19-E21-F21</f>
        <v>418.40931394589052</v>
      </c>
    </row>
    <row r="22" spans="2:12" ht="20.100000000000001" customHeight="1" thickBot="1">
      <c r="B22" s="27" t="s">
        <v>164</v>
      </c>
      <c r="C22" s="519">
        <f>C21-C20</f>
        <v>38.4</v>
      </c>
      <c r="E22" s="589">
        <f>E21+F21</f>
        <v>252.1</v>
      </c>
      <c r="F22" s="590"/>
      <c r="G22" s="16"/>
      <c r="I22" s="15"/>
    </row>
    <row r="23" spans="2:12" ht="20.100000000000001" customHeight="1" thickBot="1">
      <c r="B23" s="303" t="s">
        <v>232</v>
      </c>
      <c r="C23" s="304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83" t="s">
        <v>97</v>
      </c>
      <c r="C25" s="584"/>
      <c r="D25" s="493" t="s">
        <v>106</v>
      </c>
      <c r="E25" s="493" t="s">
        <v>107</v>
      </c>
      <c r="F25" s="493" t="s">
        <v>98</v>
      </c>
      <c r="G25" s="493" t="s">
        <v>99</v>
      </c>
      <c r="H25" s="493" t="s">
        <v>121</v>
      </c>
      <c r="I25" s="493" t="s">
        <v>100</v>
      </c>
      <c r="J25" s="384" t="s">
        <v>101</v>
      </c>
      <c r="K25" s="494" t="s">
        <v>102</v>
      </c>
    </row>
    <row r="26" spans="2:12" ht="25.5" customHeight="1">
      <c r="B26" s="585" t="s">
        <v>103</v>
      </c>
      <c r="C26" s="495" t="s">
        <v>104</v>
      </c>
      <c r="D26" s="437">
        <f>C20</f>
        <v>2.4</v>
      </c>
      <c r="E26" s="438">
        <f>Recharge!C30</f>
        <v>21.638250000000003</v>
      </c>
      <c r="F26" s="439" t="s">
        <v>183</v>
      </c>
      <c r="G26" s="437" t="s">
        <v>414</v>
      </c>
      <c r="H26" s="440">
        <f>L18</f>
        <v>0.25145067698259183</v>
      </c>
      <c r="I26" s="437" t="s">
        <v>183</v>
      </c>
      <c r="J26" s="441">
        <f>(E7/C14)/864</f>
        <v>4.2875136165577341E-5</v>
      </c>
      <c r="K26" s="436" t="s">
        <v>395</v>
      </c>
    </row>
    <row r="27" spans="2:12" ht="25.5" customHeight="1">
      <c r="B27" s="585"/>
      <c r="C27" s="385" t="s">
        <v>105</v>
      </c>
      <c r="D27" s="385">
        <v>9</v>
      </c>
      <c r="E27" s="385">
        <v>8</v>
      </c>
      <c r="F27" s="385">
        <v>3</v>
      </c>
      <c r="G27" s="385">
        <v>3</v>
      </c>
      <c r="H27" s="385">
        <v>10</v>
      </c>
      <c r="I27" s="385">
        <v>4</v>
      </c>
      <c r="J27" s="385">
        <v>2</v>
      </c>
      <c r="K27" s="436" t="s">
        <v>413</v>
      </c>
    </row>
    <row r="28" spans="2:12" ht="25.5" customHeight="1">
      <c r="B28" s="585"/>
      <c r="C28" s="496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85"/>
      <c r="C29" s="496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85"/>
      <c r="C30" s="495" t="s">
        <v>178</v>
      </c>
      <c r="D30" s="386">
        <f>D27*D28</f>
        <v>45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6</v>
      </c>
      <c r="H30" s="386">
        <f t="shared" si="0"/>
        <v>10</v>
      </c>
      <c r="I30" s="386">
        <f t="shared" si="0"/>
        <v>20</v>
      </c>
      <c r="J30" s="386">
        <f t="shared" si="0"/>
        <v>6</v>
      </c>
      <c r="K30" s="387">
        <f>SUM(D30:J30)</f>
        <v>128</v>
      </c>
    </row>
    <row r="31" spans="2:12" ht="25.5" customHeight="1" thickBot="1">
      <c r="B31" s="586"/>
      <c r="C31" s="497" t="s">
        <v>179</v>
      </c>
      <c r="D31" s="388">
        <f t="shared" ref="D31:J31" si="1">D27*D29</f>
        <v>45</v>
      </c>
      <c r="E31" s="388">
        <f t="shared" si="1"/>
        <v>32</v>
      </c>
      <c r="F31" s="388">
        <f t="shared" si="1"/>
        <v>9</v>
      </c>
      <c r="G31" s="388">
        <f t="shared" si="1"/>
        <v>15</v>
      </c>
      <c r="H31" s="388">
        <f t="shared" si="1"/>
        <v>30</v>
      </c>
      <c r="I31" s="388">
        <f t="shared" si="1"/>
        <v>16</v>
      </c>
      <c r="J31" s="388">
        <f t="shared" si="1"/>
        <v>4</v>
      </c>
      <c r="K31" s="389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93" t="s">
        <v>85</v>
      </c>
      <c r="C12" s="594"/>
      <c r="D12" s="595" t="s">
        <v>86</v>
      </c>
      <c r="E12" s="596"/>
      <c r="F12" s="594"/>
      <c r="H12" s="593" t="s">
        <v>86</v>
      </c>
      <c r="I12" s="596"/>
      <c r="J12" s="594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97" t="s">
        <v>36</v>
      </c>
      <c r="C24" s="598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597" t="s">
        <v>37</v>
      </c>
      <c r="C25" s="598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591" t="s">
        <v>91</v>
      </c>
      <c r="C26" s="592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93" t="s">
        <v>85</v>
      </c>
      <c r="C12" s="594"/>
      <c r="D12" s="593" t="s">
        <v>86</v>
      </c>
      <c r="E12" s="596"/>
      <c r="F12" s="594"/>
      <c r="G12" s="599" t="s">
        <v>157</v>
      </c>
      <c r="H12" s="600"/>
      <c r="I12" s="601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597" t="s">
        <v>36</v>
      </c>
      <c r="C24" s="598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597" t="s">
        <v>37</v>
      </c>
      <c r="C25" s="598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591" t="s">
        <v>91</v>
      </c>
      <c r="C26" s="592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93" t="s">
        <v>86</v>
      </c>
      <c r="E29" s="596"/>
      <c r="F29" s="594"/>
      <c r="H29" s="593" t="s">
        <v>157</v>
      </c>
      <c r="I29" s="596"/>
      <c r="J29" s="594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93" t="s">
        <v>85</v>
      </c>
      <c r="C12" s="594"/>
      <c r="D12" s="599" t="s">
        <v>86</v>
      </c>
      <c r="E12" s="600"/>
      <c r="F12" s="601"/>
      <c r="G12" s="599" t="s">
        <v>157</v>
      </c>
      <c r="H12" s="600"/>
      <c r="I12" s="601"/>
      <c r="J12" s="599" t="s">
        <v>158</v>
      </c>
      <c r="K12" s="600"/>
      <c r="L12" s="601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597" t="s">
        <v>36</v>
      </c>
      <c r="C24" s="598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597" t="s">
        <v>37</v>
      </c>
      <c r="C25" s="598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591" t="s">
        <v>91</v>
      </c>
      <c r="C26" s="592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93" t="s">
        <v>86</v>
      </c>
      <c r="E29" s="596"/>
      <c r="F29" s="594"/>
      <c r="H29" s="593" t="s">
        <v>157</v>
      </c>
      <c r="I29" s="596"/>
      <c r="J29" s="594"/>
      <c r="L29" s="593" t="s">
        <v>158</v>
      </c>
      <c r="M29" s="596"/>
      <c r="N29" s="594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2023-09-19T06:43:33Z</dcterms:modified>
</cp:coreProperties>
</file>