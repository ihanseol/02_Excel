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1B64F4B-1A93-4A87-B94B-7D92DBA54138}" xr6:coauthVersionLast="47" xr6:coauthVersionMax="47" xr10:uidLastSave="{00000000-0000-0000-0000-000000000000}"/>
  <bookViews>
    <workbookView xWindow="1755" yWindow="240" windowWidth="29340" windowHeight="19680" tabRatio="598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55" l="1"/>
  <c r="H10" i="55"/>
  <c r="H9" i="55"/>
  <c r="S4" i="175"/>
  <c r="R4" i="175"/>
  <c r="Q4" i="175"/>
  <c r="P4" i="175"/>
  <c r="O4" i="175"/>
  <c r="N4" i="175"/>
  <c r="M4" i="17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<sst xmlns="http://schemas.openxmlformats.org/spreadsheetml/2006/main" count="569" uniqueCount="399">
  <si>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</si>
  <si>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</si>
  <si>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</si>
  <si>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</si>
  <si>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</si>
  <si>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</si>
  <si>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</si>
  <si>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</si>
  <si>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</si>
  <si>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</si>
  <si>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</si>
  <si>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</si>
  <si>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</si>
  <si>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</si>
  <si>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</si>
  <si>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</si>
  <si>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</si>
  <si>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</si>
  <si>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</si>
  <si>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</si>
  <si>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</si>
  <si>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</si>
  <si>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</si>
  <si>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</si>
  <si>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</si>
  <si>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</si>
  <si>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</si>
  <si>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</si>
  <si>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</si>
  <si>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</si>
  <si>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</si>
  <si>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</si>
  <si>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</si>
  <si>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</si>
  <si>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</si>
  <si>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</si>
  <si>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</si>
  <si>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</si>
  <si>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</si>
  <si>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</si>
  <si>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</si>
  <si>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</si>
  <si>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</si>
  <si>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</si>
  <si>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</si>
  <si>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</si>
  <si>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</si>
  <si>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</si>
  <si>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</si>
  <si>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</si>
  <si>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</si>
  <si>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</si>
  <si>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</si>
  <si>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</si>
  <si>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</si>
  <si>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</si>
  <si>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</si>
  <si>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</si>
  <si>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</si>
  <si>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</si>
  <si>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</si>
  <si>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</si>
  <si>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</si>
  <si>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</si>
  <si>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</si>
  <si>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</si>
  <si>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</si>
  <si>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</si>
  <si>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</si>
  <si>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</si>
  <si>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</si>
  <si>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</si>
  <si>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</si>
  <si>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</si>
  <si>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</si>
  <si>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</si>
  <si>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</si>
  <si>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</si>
  <si>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</si>
  <si>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</si>
  <si>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</si>
  <si>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</si>
  <si>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</si>
  <si>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</si>
  <si>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</si>
  <si>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</si>
  <si>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</si>
  <si>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</si>
  <si>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</si>
  <si>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</si>
  <si>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</si>
  <si>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</si>
  <si>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</si>
  <si>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</si>
  <si>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</si>
  <si>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</si>
  <si>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</si>
  <si>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</si>
  <si>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</si>
  <si>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</si>
  <si>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</si>
  <si>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</si>
  <si>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</si>
  <si>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</si>
  <si>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</si>
  <si>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</si>
  <si>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</si>
  <si>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</si>
  <si>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</si>
  <si>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</si>
  <si>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</si>
  <si>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</si>
  <si>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</si>
  <si>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</si>
  <si>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</si>
  <si>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</si>
  <si>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</si>
  <si>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</si>
  <si>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</si>
  <si>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</si>
  <si>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</si>
  <si>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</si>
  <si>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</si>
  <si>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</si>
  <si>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</si>
  <si>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</si>
  <si>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</si>
  <si>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</si>
  <si>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</si>
  <si>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</si>
  <si>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</si>
  <si>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</si>
  <si>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</si>
  <si>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</si>
  <si>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</si>
  <si>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</si>
  <si>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</si>
  <si>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</si>
  <si>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</si>
  <si>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</si>
  <si>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</si>
  <si>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</si>
  <si>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</si>
  <si>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</si>
  <si>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</si>
  <si>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</si>
  <si>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</si>
  <si>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</si>
  <si>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</si>
  <si>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</si>
  <si>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</si>
  <si>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</si>
  <si>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</si>
  <si>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</si>
  <si>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</si>
  <si>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</si>
  <si>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</si>
  <si>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</si>
  <si>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</si>
  <si>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</si>
  <si>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</si>
  <si>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</si>
  <si>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</si>
  <si>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</si>
  <si>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</si>
  <si>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</si>
  <si>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</si>
  <si>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</si>
  <si>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</si>
  <si>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</si>
  <si>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</si>
  <si>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</si>
  <si>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</si>
  <si>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</si>
  <si>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</si>
  <si>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</si>
  <si>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</si>
  <si>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</si>
  <si>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</si>
  <si>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</si>
  <si>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</si>
  <si>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</si>
  <si>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</si>
  <si>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</si>
  <si>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</si>
  <si>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</si>
  <si>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</si>
  <si>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</si>
  <si>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</si>
  <si>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</si>
  <si>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</si>
  <si>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</si>
  <si>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</si>
  <si>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</si>
  <si>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</si>
  <si>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</si>
  <si>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</si>
  <si>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</si>
  <si>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</si>
  <si>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</si>
  <si>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</si>
  <si>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</si>
  <si>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</si>
  <si>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</si>
  <si>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</si>
  <si>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</si>
  <si>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</si>
  <si>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</si>
  <si>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</si>
  <si>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</si>
  <si>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</si>
  <si>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</si>
  <si>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</si>
  <si>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</si>
  <si>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</si>
  <si>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</si>
  <si>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</si>
  <si>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</si>
  <si>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</si>
  <si>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</si>
  <si>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</si>
  <si>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</si>
  <si>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</si>
  <si>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</si>
  <si>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</si>
  <si>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</si>
  <si>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</si>
  <si>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</si>
  <si>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</si>
  <si>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</si>
  <si>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</si>
  <si>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</si>
  <si>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</si>
  <si>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</si>
  <si>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</si>
  <si>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</si>
  <si>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</si>
  <si>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</si>
  <si>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</si>
  <si>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</si>
  <si>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</si>
  <si>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</si>
  <si>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</si>
  <si>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</si>
  <si>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</si>
  <si>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</si>
  <si>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</si>
  <si>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</si>
  <si>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</si>
  <si>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</si>
  <si>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</si>
  <si>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</si>
  <si>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</si>
  <si>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</si>
  <si>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</si>
  <si>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</si>
  <si>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</si>
  <si>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</si>
  <si>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</si>
  <si>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</si>
  <si>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</si>
  <si>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</si>
  <si>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</si>
  <si>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</si>
  <si>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</si>
  <si>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</si>
  <si>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</si>
  <si>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</si>
  <si>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</si>
  <si>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</si>
  <si>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</si>
  <si>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</si>
  <si>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</si>
  <si>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</si>
  <si>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</si>
  <si>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</si>
  <si>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</si>
  <si>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</si>
  <si>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</si>
  <si>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</si>
  <si>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</si>
  <si>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</si>
  <si>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</si>
  <si>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</si>
  <si>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</si>
  <si>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</si>
  <si>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</si>
  <si>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</si>
  <si>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</si>
  <si>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</si>
  <si>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</si>
  <si>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</si>
  <si>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</si>
  <si>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</si>
  <si>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</si>
  <si>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</si>
  <si>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</si>
  <si>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</si>
  <si>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</si>
  <si>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</si>
  <si>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</si>
  <si>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</si>
  <si>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</si>
  <si>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</si>
  <si>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</si>
  <si>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</si>
  <si>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</si>
  <si>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</si>
  <si>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</si>
  <si>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</si>
  <si>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</si>
  <si>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</si>
  <si>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</si>
  <si>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</si>
  <si>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</si>
  <si>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</si>
  <si>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</si>
  <si>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</si>
  <si>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</si>
  <si>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</si>
  <si>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</si>
  <si>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</si>
  <si>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</si>
  <si>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</si>
  <si>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</si>
  <si>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</si>
  <si>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</si>
  <si>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</si>
  <si>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</si>
  <si>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</si>
  <si>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</si>
  <si>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</si>
  <si>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</si>
  <si>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</si>
  <si>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</si>
  <si>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</si>
  <si>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</si>
  <si>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</si>
  <si>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</si>
  <si>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</si>
  <si>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</si>
  <si>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</si>
  <si>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</si>
  <si>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</si>
  <si>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</si>
  <si>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</si>
  <si>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</si>
  <si>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</si>
  <si>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</si>
  <si>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</si>
  <si>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</si>
  <si>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</si>
  <si>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</si>
  <si>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</si>
  <si>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</si>
  <si>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</si>
  <si>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</si>
  <si>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</si>
  <si>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</si>
  <si>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</si>
  <si>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</si>
  <si>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</si>
  <si>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</si>
  <si>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</si>
  <si>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</si>
  <si>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</si>
  <si>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</si>
  <si>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</si>
  <si>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</si>
  <si>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</si>
  <si>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</si>
  <si>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</si>
  <si>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</si>
  <si>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</si>
  <si>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</si>
  <si>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</si>
  <si>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</si>
  <si>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</si>
  <si>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</si>
  <si>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</si>
  <si>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</si>
  <si>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</si>
  <si>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</si>
  <si>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</si>
  <si>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</si>
  <si>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</si>
  <si>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</si>
  <si>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</si>
  <si>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</si>
  <si>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</si>
  <si>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</si>
  <si>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</si>
  <si>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</si>
  <si>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</si>
  <si>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</si>
  <si>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</si>
  <si>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</si>
  <si>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243 m</t>
  </si>
  <si>
    <t>170 m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</si>
</sst>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85" fontId="37" fillId="26" borderId="27" xfId="18" applyNumberFormat="1" applyFont="1" applyFill="1" applyBorder="1" applyAlignment="1">
      <alignment horizontal="center" vertical="center"/>
    </xf>
    <xf numFmtId="185" fontId="37" fillId="26" borderId="30" xfId="18" applyNumberFormat="1" applyFont="1" applyFill="1" applyBorder="1" applyAlignment="1">
      <alignment horizontal="center" vertical="center"/>
    </xf>
    <xf numFmtId="185" fontId="37" fillId="26" borderId="38" xfId="18" applyNumberFormat="1" applyFont="1" applyFill="1" applyBorder="1" applyAlignment="1">
      <alignment horizontal="center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24.emf"/><Relationship Id="rId3" Type="http://schemas.openxmlformats.org/officeDocument/2006/relationships/image" Target="../media/image32.emf"/><Relationship Id="rId7" Type="http://schemas.openxmlformats.org/officeDocument/2006/relationships/image" Target="../media/image35.emf"/><Relationship Id="rId12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29.emf"/><Relationship Id="rId11" Type="http://schemas.openxmlformats.org/officeDocument/2006/relationships/image" Target="../media/image25.emf"/><Relationship Id="rId5" Type="http://schemas.openxmlformats.org/officeDocument/2006/relationships/image" Target="../media/image34.emf"/><Relationship Id="rId10" Type="http://schemas.openxmlformats.org/officeDocument/2006/relationships/image" Target="../media/image26.emf"/><Relationship Id="rId4" Type="http://schemas.openxmlformats.org/officeDocument/2006/relationships/image" Target="../media/image33.emf"/><Relationship Id="rId9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4" Type="http://schemas.openxmlformats.org/officeDocument/2006/relationships/image" Target="../media/image5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2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8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5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7.emf"/><Relationship Id="rId24" Type="http://schemas.openxmlformats.org/officeDocument/2006/relationships/control" Target="../activeX/activeX31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1.emf"/><Relationship Id="rId4" Type="http://schemas.openxmlformats.org/officeDocument/2006/relationships/control" Target="../activeX/activeX21.xml"/><Relationship Id="rId9" Type="http://schemas.openxmlformats.org/officeDocument/2006/relationships/image" Target="../media/image26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5.emf"/><Relationship Id="rId30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9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8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34" t="s">
        <v>366</v>
      </c>
      <c r="C2" s="534"/>
      <c r="D2" s="534"/>
      <c r="E2" s="534"/>
      <c r="F2" s="534"/>
      <c r="G2" s="534"/>
      <c r="H2" s="534"/>
      <c r="I2" s="534"/>
      <c r="J2" s="534"/>
      <c r="K2" s="534"/>
      <c r="L2" s="534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1992</v>
      </c>
      <c r="C5" s="143">
        <v>13.2</v>
      </c>
      <c r="D5" s="143">
        <v>18.7</v>
      </c>
      <c r="E5" s="143">
        <v>46.1</v>
      </c>
      <c r="F5" s="143">
        <v>102.9</v>
      </c>
      <c r="G5" s="143">
        <v>109.1</v>
      </c>
      <c r="H5" s="143">
        <v>46.7</v>
      </c>
      <c r="I5" s="143">
        <v>161.5</v>
      </c>
      <c r="J5" s="143">
        <v>415.4</v>
      </c>
      <c r="K5" s="143">
        <v>179</v>
      </c>
      <c r="L5" s="143">
        <v>15.5</v>
      </c>
      <c r="M5" s="143">
        <v>60</v>
      </c>
      <c r="N5" s="144">
        <v>54.5</v>
      </c>
      <c r="O5" s="190">
        <f>ROUND(SUM(C5:N5),1)</f>
        <v>1222.5999999999999</v>
      </c>
      <c r="P5" s="145">
        <f>ROUND(O5/12,1)</f>
        <v>101.9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1993</v>
      </c>
      <c r="C6" s="139">
        <v>4.8</v>
      </c>
      <c r="D6" s="139">
        <v>73</v>
      </c>
      <c r="E6" s="139">
        <v>25.5</v>
      </c>
      <c r="F6" s="139">
        <v>34.5</v>
      </c>
      <c r="G6" s="139">
        <v>116</v>
      </c>
      <c r="H6" s="139">
        <v>260</v>
      </c>
      <c r="I6" s="139">
        <v>273.5</v>
      </c>
      <c r="J6" s="139">
        <v>284</v>
      </c>
      <c r="K6" s="139">
        <v>98.5</v>
      </c>
      <c r="L6" s="139">
        <v>34</v>
      </c>
      <c r="M6" s="139">
        <v>89.5</v>
      </c>
      <c r="N6" s="147">
        <v>21.9</v>
      </c>
      <c r="O6" s="191">
        <f t="shared" ref="O6:O34" si="0">ROUND(SUM(C6:N6),1)</f>
        <v>1315.2</v>
      </c>
      <c r="P6" s="148">
        <f t="shared" ref="P6:P34" si="1">ROUND(O6/12,1)</f>
        <v>109.6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1994</v>
      </c>
      <c r="C7" s="139">
        <v>18.5</v>
      </c>
      <c r="D7" s="139">
        <v>14.4</v>
      </c>
      <c r="E7" s="139">
        <v>54.4</v>
      </c>
      <c r="F7" s="139">
        <v>41</v>
      </c>
      <c r="G7" s="139">
        <v>137</v>
      </c>
      <c r="H7" s="139">
        <v>137.5</v>
      </c>
      <c r="I7" s="139">
        <v>96.5</v>
      </c>
      <c r="J7" s="139">
        <v>286.5</v>
      </c>
      <c r="K7" s="139">
        <v>34</v>
      </c>
      <c r="L7" s="139">
        <v>162</v>
      </c>
      <c r="M7" s="139">
        <v>23</v>
      </c>
      <c r="N7" s="147">
        <v>25</v>
      </c>
      <c r="O7" s="191">
        <f t="shared" si="0"/>
        <v>1029.8</v>
      </c>
      <c r="P7" s="148">
        <f t="shared" si="1"/>
        <v>85.8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1995</v>
      </c>
      <c r="C8" s="139">
        <v>22.6</v>
      </c>
      <c r="D8" s="139">
        <v>23.5</v>
      </c>
      <c r="E8" s="139">
        <v>24.4</v>
      </c>
      <c r="F8" s="139">
        <v>62</v>
      </c>
      <c r="G8" s="139">
        <v>59.5</v>
      </c>
      <c r="H8" s="139">
        <v>34.5</v>
      </c>
      <c r="I8" s="139">
        <v>171.5</v>
      </c>
      <c r="J8" s="139">
        <v>839</v>
      </c>
      <c r="K8" s="139">
        <v>46.5</v>
      </c>
      <c r="L8" s="139">
        <v>22</v>
      </c>
      <c r="M8" s="139">
        <v>15</v>
      </c>
      <c r="N8" s="147">
        <v>5.7</v>
      </c>
      <c r="O8" s="191">
        <f t="shared" si="0"/>
        <v>1326.2</v>
      </c>
      <c r="P8" s="148">
        <f t="shared" si="1"/>
        <v>110.5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1996</v>
      </c>
      <c r="C9" s="139">
        <v>26.4</v>
      </c>
      <c r="D9" s="139">
        <v>2.8</v>
      </c>
      <c r="E9" s="139">
        <v>131</v>
      </c>
      <c r="F9" s="139">
        <v>45</v>
      </c>
      <c r="G9" s="139">
        <v>33</v>
      </c>
      <c r="H9" s="139">
        <v>289</v>
      </c>
      <c r="I9" s="139">
        <v>235</v>
      </c>
      <c r="J9" s="139">
        <v>67</v>
      </c>
      <c r="K9" s="139">
        <v>16</v>
      </c>
      <c r="L9" s="139">
        <v>90.5</v>
      </c>
      <c r="M9" s="139">
        <v>76</v>
      </c>
      <c r="N9" s="147">
        <v>35</v>
      </c>
      <c r="O9" s="191">
        <f t="shared" si="0"/>
        <v>1046.7</v>
      </c>
      <c r="P9" s="148">
        <f t="shared" si="1"/>
        <v>87.2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1997</v>
      </c>
      <c r="C10" s="139">
        <v>9</v>
      </c>
      <c r="D10" s="139">
        <v>54.9</v>
      </c>
      <c r="E10" s="139">
        <v>44</v>
      </c>
      <c r="F10" s="139">
        <v>70</v>
      </c>
      <c r="G10" s="139">
        <v>229.5</v>
      </c>
      <c r="H10" s="139">
        <v>236.5</v>
      </c>
      <c r="I10" s="139">
        <v>404.5</v>
      </c>
      <c r="J10" s="139">
        <v>263</v>
      </c>
      <c r="K10" s="139">
        <v>24.5</v>
      </c>
      <c r="L10" s="139">
        <v>8</v>
      </c>
      <c r="M10" s="139">
        <v>219.5</v>
      </c>
      <c r="N10" s="147">
        <v>39.5</v>
      </c>
      <c r="O10" s="191">
        <f t="shared" si="0"/>
        <v>1602.9</v>
      </c>
      <c r="P10" s="148">
        <f t="shared" si="1"/>
        <v>133.6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1998</v>
      </c>
      <c r="C11" s="139">
        <v>40.6</v>
      </c>
      <c r="D11" s="139">
        <v>47</v>
      </c>
      <c r="E11" s="139">
        <v>45</v>
      </c>
      <c r="F11" s="139">
        <v>200.5</v>
      </c>
      <c r="G11" s="139">
        <v>130.5</v>
      </c>
      <c r="H11" s="139">
        <v>324</v>
      </c>
      <c r="I11" s="139">
        <v>323</v>
      </c>
      <c r="J11" s="139">
        <v>451.3</v>
      </c>
      <c r="K11" s="139">
        <v>313.10000000000002</v>
      </c>
      <c r="L11" s="139">
        <v>75.5</v>
      </c>
      <c r="M11" s="139">
        <v>46.3</v>
      </c>
      <c r="N11" s="147">
        <v>3.5</v>
      </c>
      <c r="O11" s="191">
        <f t="shared" si="0"/>
        <v>2000.3</v>
      </c>
      <c r="P11" s="148">
        <f t="shared" si="1"/>
        <v>166.7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1999</v>
      </c>
      <c r="C12" s="139">
        <v>3.5</v>
      </c>
      <c r="D12" s="139">
        <v>10</v>
      </c>
      <c r="E12" s="139">
        <v>75.7</v>
      </c>
      <c r="F12" s="139">
        <v>92.5</v>
      </c>
      <c r="G12" s="139">
        <v>127.5</v>
      </c>
      <c r="H12" s="139">
        <v>203</v>
      </c>
      <c r="I12" s="139">
        <v>149</v>
      </c>
      <c r="J12" s="139">
        <v>119.5</v>
      </c>
      <c r="K12" s="139">
        <v>426</v>
      </c>
      <c r="L12" s="139">
        <v>290</v>
      </c>
      <c r="M12" s="139">
        <v>15.5</v>
      </c>
      <c r="N12" s="147">
        <v>17.399999999999999</v>
      </c>
      <c r="O12" s="191">
        <f t="shared" si="0"/>
        <v>1529.6</v>
      </c>
      <c r="P12" s="148">
        <f t="shared" si="1"/>
        <v>127.5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2000</v>
      </c>
      <c r="C13" s="139">
        <v>41.4</v>
      </c>
      <c r="D13" s="139">
        <v>2.2999999999999998</v>
      </c>
      <c r="E13" s="139">
        <v>14.1</v>
      </c>
      <c r="F13" s="139">
        <v>62</v>
      </c>
      <c r="G13" s="139">
        <v>40</v>
      </c>
      <c r="H13" s="139">
        <v>248.5</v>
      </c>
      <c r="I13" s="139">
        <v>248.5</v>
      </c>
      <c r="J13" s="139">
        <v>543</v>
      </c>
      <c r="K13" s="139">
        <v>238.5</v>
      </c>
      <c r="L13" s="139">
        <v>39</v>
      </c>
      <c r="M13" s="139">
        <v>29.5</v>
      </c>
      <c r="N13" s="147">
        <v>13.8</v>
      </c>
      <c r="O13" s="191">
        <f t="shared" si="0"/>
        <v>1520.6</v>
      </c>
      <c r="P13" s="148">
        <f t="shared" si="1"/>
        <v>126.7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2001</v>
      </c>
      <c r="C14" s="139">
        <v>65</v>
      </c>
      <c r="D14" s="139">
        <v>69.5</v>
      </c>
      <c r="E14" s="139">
        <v>9.8000000000000007</v>
      </c>
      <c r="F14" s="139">
        <v>25</v>
      </c>
      <c r="G14" s="139">
        <v>23.5</v>
      </c>
      <c r="H14" s="139">
        <v>132</v>
      </c>
      <c r="I14" s="139">
        <v>216</v>
      </c>
      <c r="J14" s="139">
        <v>98</v>
      </c>
      <c r="K14" s="139">
        <v>10.5</v>
      </c>
      <c r="L14" s="139">
        <v>76.5</v>
      </c>
      <c r="M14" s="139">
        <v>10.5</v>
      </c>
      <c r="N14" s="147">
        <v>16.3</v>
      </c>
      <c r="O14" s="191">
        <f t="shared" si="0"/>
        <v>752.6</v>
      </c>
      <c r="P14" s="148">
        <f t="shared" si="1"/>
        <v>62.7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2002</v>
      </c>
      <c r="C15" s="139">
        <v>72.3</v>
      </c>
      <c r="D15" s="139">
        <v>6</v>
      </c>
      <c r="E15" s="139">
        <v>32.5</v>
      </c>
      <c r="F15" s="139">
        <v>142.5</v>
      </c>
      <c r="G15" s="139">
        <v>159</v>
      </c>
      <c r="H15" s="139">
        <v>70.5</v>
      </c>
      <c r="I15" s="139">
        <v>208</v>
      </c>
      <c r="J15" s="139">
        <v>358.5</v>
      </c>
      <c r="K15" s="139">
        <v>57.5</v>
      </c>
      <c r="L15" s="139">
        <v>78.5</v>
      </c>
      <c r="M15" s="139">
        <v>31.5</v>
      </c>
      <c r="N15" s="147">
        <v>57.2</v>
      </c>
      <c r="O15" s="191">
        <f t="shared" si="0"/>
        <v>1274</v>
      </c>
      <c r="P15" s="148">
        <f t="shared" si="1"/>
        <v>106.2</v>
      </c>
    </row>
    <row r="16" spans="2:23" ht="22.5" customHeight="1">
      <c r="B16" s="146">
        <v>2003</v>
      </c>
      <c r="C16" s="139">
        <v>24.2</v>
      </c>
      <c r="D16" s="139">
        <v>59</v>
      </c>
      <c r="E16" s="139">
        <v>52</v>
      </c>
      <c r="F16" s="139">
        <v>208.5</v>
      </c>
      <c r="G16" s="139">
        <v>144.5</v>
      </c>
      <c r="H16" s="139">
        <v>228</v>
      </c>
      <c r="I16" s="139">
        <v>626.5</v>
      </c>
      <c r="J16" s="139">
        <v>202</v>
      </c>
      <c r="K16" s="139">
        <v>167.5</v>
      </c>
      <c r="L16" s="139">
        <v>24.5</v>
      </c>
      <c r="M16" s="139">
        <v>29.5</v>
      </c>
      <c r="N16" s="147">
        <v>13.8</v>
      </c>
      <c r="O16" s="191">
        <f t="shared" si="0"/>
        <v>1780</v>
      </c>
      <c r="P16" s="148">
        <f t="shared" si="1"/>
        <v>148.30000000000001</v>
      </c>
    </row>
    <row r="17" spans="2:16" ht="22.5" customHeight="1">
      <c r="B17" s="146">
        <v>2004</v>
      </c>
      <c r="C17" s="139">
        <v>18.100000000000001</v>
      </c>
      <c r="D17" s="139">
        <v>26.2</v>
      </c>
      <c r="E17" s="139">
        <v>63.1</v>
      </c>
      <c r="F17" s="139">
        <v>73.5</v>
      </c>
      <c r="G17" s="139">
        <v>109</v>
      </c>
      <c r="H17" s="139">
        <v>388</v>
      </c>
      <c r="I17" s="139">
        <v>296</v>
      </c>
      <c r="J17" s="139">
        <v>249</v>
      </c>
      <c r="K17" s="139">
        <v>176.5</v>
      </c>
      <c r="L17" s="139">
        <v>1</v>
      </c>
      <c r="M17" s="139">
        <v>50.5</v>
      </c>
      <c r="N17" s="147">
        <v>43</v>
      </c>
      <c r="O17" s="191">
        <f t="shared" si="0"/>
        <v>1493.9</v>
      </c>
      <c r="P17" s="148">
        <f t="shared" si="1"/>
        <v>124.5</v>
      </c>
    </row>
    <row r="18" spans="2:16" ht="22.5" customHeight="1">
      <c r="B18" s="146">
        <v>2005</v>
      </c>
      <c r="C18" s="139">
        <v>6</v>
      </c>
      <c r="D18" s="139">
        <v>39</v>
      </c>
      <c r="E18" s="139">
        <v>26.5</v>
      </c>
      <c r="F18" s="139">
        <v>75</v>
      </c>
      <c r="G18" s="139">
        <v>65.5</v>
      </c>
      <c r="H18" s="139">
        <v>186</v>
      </c>
      <c r="I18" s="139">
        <v>448.5</v>
      </c>
      <c r="J18" s="139">
        <v>381.5</v>
      </c>
      <c r="K18" s="139">
        <v>225.5</v>
      </c>
      <c r="L18" s="139">
        <v>30.5</v>
      </c>
      <c r="M18" s="139">
        <v>21</v>
      </c>
      <c r="N18" s="147">
        <v>22</v>
      </c>
      <c r="O18" s="191">
        <f t="shared" si="0"/>
        <v>1527</v>
      </c>
      <c r="P18" s="148">
        <f t="shared" si="1"/>
        <v>127.3</v>
      </c>
    </row>
    <row r="19" spans="2:16" ht="22.5" customHeight="1">
      <c r="B19" s="146">
        <v>2006</v>
      </c>
      <c r="C19" s="139">
        <v>30.2</v>
      </c>
      <c r="D19" s="139">
        <v>29.5</v>
      </c>
      <c r="E19" s="139">
        <v>7.8</v>
      </c>
      <c r="F19" s="139">
        <v>99</v>
      </c>
      <c r="G19" s="139">
        <v>81.5</v>
      </c>
      <c r="H19" s="139">
        <v>111</v>
      </c>
      <c r="I19" s="139">
        <v>503</v>
      </c>
      <c r="J19" s="139">
        <v>83.5</v>
      </c>
      <c r="K19" s="139">
        <v>37.5</v>
      </c>
      <c r="L19" s="139">
        <v>15</v>
      </c>
      <c r="M19" s="139">
        <v>51</v>
      </c>
      <c r="N19" s="147">
        <v>27.5</v>
      </c>
      <c r="O19" s="191">
        <f t="shared" si="0"/>
        <v>1076.5</v>
      </c>
      <c r="P19" s="148">
        <f t="shared" si="1"/>
        <v>89.7</v>
      </c>
    </row>
    <row r="20" spans="2:16" ht="22.5" customHeight="1">
      <c r="B20" s="146">
        <v>2007</v>
      </c>
      <c r="C20" s="139">
        <v>21.8</v>
      </c>
      <c r="D20" s="139">
        <v>47.8</v>
      </c>
      <c r="E20" s="139">
        <v>159</v>
      </c>
      <c r="F20" s="139">
        <v>28</v>
      </c>
      <c r="G20" s="139">
        <v>104</v>
      </c>
      <c r="H20" s="139">
        <v>101</v>
      </c>
      <c r="I20" s="139">
        <v>286</v>
      </c>
      <c r="J20" s="139">
        <v>319.5</v>
      </c>
      <c r="K20" s="139">
        <v>502.5</v>
      </c>
      <c r="L20" s="139">
        <v>37</v>
      </c>
      <c r="M20" s="139">
        <v>13</v>
      </c>
      <c r="N20" s="147">
        <v>31.7</v>
      </c>
      <c r="O20" s="191">
        <f t="shared" si="0"/>
        <v>1651.3</v>
      </c>
      <c r="P20" s="148">
        <f t="shared" si="1"/>
        <v>137.6</v>
      </c>
    </row>
    <row r="21" spans="2:16" ht="22.5" customHeight="1">
      <c r="B21" s="146">
        <v>2008</v>
      </c>
      <c r="C21" s="139">
        <v>39.6</v>
      </c>
      <c r="D21" s="139">
        <v>11.2</v>
      </c>
      <c r="E21" s="139">
        <v>42.2</v>
      </c>
      <c r="F21" s="139">
        <v>38.799999999999997</v>
      </c>
      <c r="G21" s="139">
        <v>51.6</v>
      </c>
      <c r="H21" s="139">
        <v>260</v>
      </c>
      <c r="I21" s="139">
        <v>194.3</v>
      </c>
      <c r="J21" s="139">
        <v>154</v>
      </c>
      <c r="K21" s="139">
        <v>48.8</v>
      </c>
      <c r="L21" s="139">
        <v>24.1</v>
      </c>
      <c r="M21" s="139">
        <v>14.1</v>
      </c>
      <c r="N21" s="147">
        <v>23.4</v>
      </c>
      <c r="O21" s="191">
        <f t="shared" si="0"/>
        <v>902.1</v>
      </c>
      <c r="P21" s="148">
        <f t="shared" si="1"/>
        <v>75.2</v>
      </c>
    </row>
    <row r="22" spans="2:16" ht="22.5" customHeight="1">
      <c r="B22" s="146">
        <v>2009</v>
      </c>
      <c r="C22" s="139">
        <v>10.6</v>
      </c>
      <c r="D22" s="139">
        <v>23.6</v>
      </c>
      <c r="E22" s="139">
        <v>63.9</v>
      </c>
      <c r="F22" s="139">
        <v>51</v>
      </c>
      <c r="G22" s="139">
        <v>135.5</v>
      </c>
      <c r="H22" s="139">
        <v>113.2</v>
      </c>
      <c r="I22" s="139">
        <v>408</v>
      </c>
      <c r="J22" s="139">
        <v>140.19999999999999</v>
      </c>
      <c r="K22" s="139">
        <v>30.5</v>
      </c>
      <c r="L22" s="139">
        <v>23.7</v>
      </c>
      <c r="M22" s="139">
        <v>54.5</v>
      </c>
      <c r="N22" s="147">
        <v>34.9</v>
      </c>
      <c r="O22" s="191">
        <f t="shared" si="0"/>
        <v>1089.5999999999999</v>
      </c>
      <c r="P22" s="148">
        <f t="shared" si="1"/>
        <v>90.8</v>
      </c>
    </row>
    <row r="23" spans="2:16" ht="22.5" customHeight="1">
      <c r="B23" s="146">
        <v>2010</v>
      </c>
      <c r="C23" s="139">
        <v>37.1</v>
      </c>
      <c r="D23" s="139">
        <v>89.5</v>
      </c>
      <c r="E23" s="139">
        <v>94.9</v>
      </c>
      <c r="F23" s="139">
        <v>69.599999999999994</v>
      </c>
      <c r="G23" s="139">
        <v>140.69999999999999</v>
      </c>
      <c r="H23" s="139">
        <v>36.1</v>
      </c>
      <c r="I23" s="139">
        <v>262.10000000000002</v>
      </c>
      <c r="J23" s="139">
        <v>431.1</v>
      </c>
      <c r="K23" s="139">
        <v>149.80000000000001</v>
      </c>
      <c r="L23" s="139">
        <v>17.8</v>
      </c>
      <c r="M23" s="139">
        <v>18.600000000000001</v>
      </c>
      <c r="N23" s="147">
        <v>31</v>
      </c>
      <c r="O23" s="191">
        <f t="shared" si="0"/>
        <v>1378.3</v>
      </c>
      <c r="P23" s="148">
        <f t="shared" si="1"/>
        <v>114.9</v>
      </c>
    </row>
    <row r="24" spans="2:16" ht="22.5" customHeight="1">
      <c r="B24" s="146">
        <v>2011</v>
      </c>
      <c r="C24" s="139">
        <v>3.7</v>
      </c>
      <c r="D24" s="139">
        <v>60.7</v>
      </c>
      <c r="E24" s="139">
        <v>16</v>
      </c>
      <c r="F24" s="139">
        <v>70</v>
      </c>
      <c r="G24" s="139">
        <v>111.2</v>
      </c>
      <c r="H24" s="139">
        <v>316</v>
      </c>
      <c r="I24" s="139">
        <v>599.6</v>
      </c>
      <c r="J24" s="139">
        <v>618.1</v>
      </c>
      <c r="K24" s="139">
        <v>104.2</v>
      </c>
      <c r="L24" s="139">
        <v>26.6</v>
      </c>
      <c r="M24" s="139">
        <v>81.599999999999994</v>
      </c>
      <c r="N24" s="147">
        <v>7</v>
      </c>
      <c r="O24" s="191">
        <f t="shared" si="0"/>
        <v>2014.7</v>
      </c>
      <c r="P24" s="148">
        <f t="shared" si="1"/>
        <v>167.9</v>
      </c>
    </row>
    <row r="25" spans="2:16" ht="22.5" customHeight="1">
      <c r="B25" s="146">
        <v>2012</v>
      </c>
      <c r="C25" s="139">
        <v>16</v>
      </c>
      <c r="D25" s="139">
        <v>3.2</v>
      </c>
      <c r="E25" s="139">
        <v>60.2</v>
      </c>
      <c r="F25" s="139">
        <v>109.3</v>
      </c>
      <c r="G25" s="139">
        <v>19.5</v>
      </c>
      <c r="H25" s="139">
        <v>71.3</v>
      </c>
      <c r="I25" s="139">
        <v>302.89999999999998</v>
      </c>
      <c r="J25" s="139">
        <v>573.29999999999995</v>
      </c>
      <c r="K25" s="139">
        <v>186.2</v>
      </c>
      <c r="L25" s="139">
        <v>83</v>
      </c>
      <c r="M25" s="139">
        <v>60.7</v>
      </c>
      <c r="N25" s="147">
        <v>60.2</v>
      </c>
      <c r="O25" s="191">
        <f t="shared" si="0"/>
        <v>1545.8</v>
      </c>
      <c r="P25" s="148">
        <f t="shared" si="1"/>
        <v>128.80000000000001</v>
      </c>
    </row>
    <row r="26" spans="2:16" ht="22.5" customHeight="1">
      <c r="B26" s="146">
        <v>2013</v>
      </c>
      <c r="C26" s="139">
        <v>45.4</v>
      </c>
      <c r="D26" s="139">
        <v>58.7</v>
      </c>
      <c r="E26" s="139">
        <v>50.3</v>
      </c>
      <c r="F26" s="139">
        <v>93.7</v>
      </c>
      <c r="G26" s="139">
        <v>159</v>
      </c>
      <c r="H26" s="139">
        <v>151.69999999999999</v>
      </c>
      <c r="I26" s="139">
        <v>240.4</v>
      </c>
      <c r="J26" s="139">
        <v>119.5</v>
      </c>
      <c r="K26" s="139">
        <v>184.8</v>
      </c>
      <c r="L26" s="139">
        <v>17.5</v>
      </c>
      <c r="M26" s="139">
        <v>79.400000000000006</v>
      </c>
      <c r="N26" s="147">
        <v>35.9</v>
      </c>
      <c r="O26" s="191">
        <f t="shared" si="0"/>
        <v>1236.3</v>
      </c>
      <c r="P26" s="148">
        <f t="shared" si="1"/>
        <v>103</v>
      </c>
    </row>
    <row r="27" spans="2:16" ht="22.5" customHeight="1">
      <c r="B27" s="146">
        <v>2014</v>
      </c>
      <c r="C27" s="139">
        <v>2.2000000000000002</v>
      </c>
      <c r="D27" s="139">
        <v>15.3</v>
      </c>
      <c r="E27" s="139">
        <v>69.3</v>
      </c>
      <c r="F27" s="139">
        <v>94.1</v>
      </c>
      <c r="G27" s="139">
        <v>61.5</v>
      </c>
      <c r="H27" s="139">
        <v>77.8</v>
      </c>
      <c r="I27" s="139">
        <v>174.7</v>
      </c>
      <c r="J27" s="139">
        <v>225.1</v>
      </c>
      <c r="K27" s="139">
        <v>157.5</v>
      </c>
      <c r="L27" s="139">
        <v>170.5</v>
      </c>
      <c r="M27" s="139">
        <v>42.4</v>
      </c>
      <c r="N27" s="147">
        <v>51.7</v>
      </c>
      <c r="O27" s="191">
        <f t="shared" si="0"/>
        <v>1142.0999999999999</v>
      </c>
      <c r="P27" s="148">
        <f t="shared" si="1"/>
        <v>95.2</v>
      </c>
    </row>
    <row r="28" spans="2:16" ht="22.5" customHeight="1">
      <c r="B28" s="146">
        <v>2015</v>
      </c>
      <c r="C28" s="139">
        <v>35.4</v>
      </c>
      <c r="D28" s="139">
        <v>35.6</v>
      </c>
      <c r="E28" s="139">
        <v>42.4</v>
      </c>
      <c r="F28" s="139">
        <v>99.5</v>
      </c>
      <c r="G28" s="139">
        <v>53.5</v>
      </c>
      <c r="H28" s="139">
        <v>92.7</v>
      </c>
      <c r="I28" s="139">
        <v>119.9</v>
      </c>
      <c r="J28" s="139">
        <v>56.9</v>
      </c>
      <c r="K28" s="139">
        <v>22</v>
      </c>
      <c r="L28" s="139">
        <v>104</v>
      </c>
      <c r="M28" s="139">
        <v>130</v>
      </c>
      <c r="N28" s="147">
        <v>56.9</v>
      </c>
      <c r="O28" s="191">
        <f t="shared" si="0"/>
        <v>848.8</v>
      </c>
      <c r="P28" s="148">
        <f t="shared" si="1"/>
        <v>70.7</v>
      </c>
    </row>
    <row r="29" spans="2:16" ht="22.5" customHeight="1">
      <c r="B29" s="146">
        <v>2016</v>
      </c>
      <c r="C29" s="139">
        <v>6.6</v>
      </c>
      <c r="D29" s="139">
        <v>59.6</v>
      </c>
      <c r="E29" s="139">
        <v>19</v>
      </c>
      <c r="F29" s="139">
        <v>164.6</v>
      </c>
      <c r="G29" s="139">
        <v>121.6</v>
      </c>
      <c r="H29" s="139">
        <v>49.4</v>
      </c>
      <c r="I29" s="139">
        <v>341.1</v>
      </c>
      <c r="J29" s="139">
        <v>33.4</v>
      </c>
      <c r="K29" s="139">
        <v>133.69999999999999</v>
      </c>
      <c r="L29" s="139">
        <v>120.1</v>
      </c>
      <c r="M29" s="139">
        <v>17.100000000000001</v>
      </c>
      <c r="N29" s="147">
        <v>63.1</v>
      </c>
      <c r="O29" s="191">
        <f t="shared" si="0"/>
        <v>1129.3</v>
      </c>
      <c r="P29" s="148">
        <f t="shared" si="1"/>
        <v>94.1</v>
      </c>
    </row>
    <row r="30" spans="2:16" ht="22.5" customHeight="1">
      <c r="B30" s="146">
        <v>2017</v>
      </c>
      <c r="C30" s="139">
        <v>16</v>
      </c>
      <c r="D30" s="139">
        <v>28.5</v>
      </c>
      <c r="E30" s="139">
        <v>8.8000000000000007</v>
      </c>
      <c r="F30" s="139">
        <v>78.400000000000006</v>
      </c>
      <c r="G30" s="139">
        <v>35.799999999999997</v>
      </c>
      <c r="H30" s="139">
        <v>51.4</v>
      </c>
      <c r="I30" s="139">
        <v>326.7</v>
      </c>
      <c r="J30" s="139">
        <v>358.5</v>
      </c>
      <c r="K30" s="139">
        <v>97.1</v>
      </c>
      <c r="L30" s="139">
        <v>51.9</v>
      </c>
      <c r="M30" s="139">
        <v>22.8</v>
      </c>
      <c r="N30" s="147">
        <v>36.1</v>
      </c>
      <c r="O30" s="191">
        <f t="shared" si="0"/>
        <v>1112</v>
      </c>
      <c r="P30" s="148">
        <f t="shared" si="1"/>
        <v>92.7</v>
      </c>
    </row>
    <row r="31" spans="2:16" ht="22.5" customHeight="1">
      <c r="B31" s="146">
        <v>2018</v>
      </c>
      <c r="C31" s="139">
        <v>25</v>
      </c>
      <c r="D31" s="139">
        <v>43.1</v>
      </c>
      <c r="E31" s="139">
        <v>99.3</v>
      </c>
      <c r="F31" s="139">
        <v>156.5</v>
      </c>
      <c r="G31" s="139">
        <v>116.1</v>
      </c>
      <c r="H31" s="139">
        <v>107.1</v>
      </c>
      <c r="I31" s="139">
        <v>278.8</v>
      </c>
      <c r="J31" s="139">
        <v>277</v>
      </c>
      <c r="K31" s="139">
        <v>98.3</v>
      </c>
      <c r="L31" s="139">
        <v>159.19999999999999</v>
      </c>
      <c r="M31" s="139">
        <v>66</v>
      </c>
      <c r="N31" s="147">
        <v>31.5</v>
      </c>
      <c r="O31" s="191">
        <f t="shared" si="0"/>
        <v>1457.9</v>
      </c>
      <c r="P31" s="148">
        <f t="shared" si="1"/>
        <v>121.5</v>
      </c>
    </row>
    <row r="32" spans="2:16" ht="22.5" customHeight="1">
      <c r="B32" s="146">
        <v>2019</v>
      </c>
      <c r="C32" s="139">
        <v>0.5</v>
      </c>
      <c r="D32" s="139">
        <v>37.6</v>
      </c>
      <c r="E32" s="139">
        <v>35</v>
      </c>
      <c r="F32" s="139">
        <v>73.7</v>
      </c>
      <c r="G32" s="139">
        <v>44.3</v>
      </c>
      <c r="H32" s="139">
        <v>59.9</v>
      </c>
      <c r="I32" s="139">
        <v>216.7</v>
      </c>
      <c r="J32" s="139">
        <v>102.1</v>
      </c>
      <c r="K32" s="139">
        <v>191.9</v>
      </c>
      <c r="L32" s="139">
        <v>85.6</v>
      </c>
      <c r="M32" s="139">
        <v>113.5</v>
      </c>
      <c r="N32" s="147">
        <v>31.2</v>
      </c>
      <c r="O32" s="191">
        <f t="shared" si="0"/>
        <v>992</v>
      </c>
      <c r="P32" s="148">
        <f t="shared" si="1"/>
        <v>82.7</v>
      </c>
    </row>
    <row r="33" spans="2:16" ht="22.5" customHeight="1">
      <c r="B33" s="146">
        <v>2020</v>
      </c>
      <c r="C33" s="139">
        <v>79.599999999999994</v>
      </c>
      <c r="D33" s="139">
        <v>92.4</v>
      </c>
      <c r="E33" s="139">
        <v>19.3</v>
      </c>
      <c r="F33" s="139">
        <v>17.7</v>
      </c>
      <c r="G33" s="139">
        <v>108.5</v>
      </c>
      <c r="H33" s="139">
        <v>188.4</v>
      </c>
      <c r="I33" s="139">
        <v>492.6</v>
      </c>
      <c r="J33" s="139">
        <v>367.8</v>
      </c>
      <c r="K33" s="139">
        <v>208.9</v>
      </c>
      <c r="L33" s="139">
        <v>4.4000000000000004</v>
      </c>
      <c r="M33" s="139">
        <v>41.8</v>
      </c>
      <c r="N33" s="147">
        <v>3.4</v>
      </c>
      <c r="O33" s="191">
        <f t="shared" si="0"/>
        <v>1624.8</v>
      </c>
      <c r="P33" s="148">
        <f t="shared" si="1"/>
        <v>135.4</v>
      </c>
    </row>
    <row r="34" spans="2:16" ht="22.5" customHeight="1" thickBot="1">
      <c r="B34" s="149">
        <v>2021</v>
      </c>
      <c r="C34" s="150">
        <v>32.1</v>
      </c>
      <c r="D34" s="150">
        <v>18.100000000000001</v>
      </c>
      <c r="E34" s="150">
        <v>95.7</v>
      </c>
      <c r="F34" s="150">
        <v>42.3</v>
      </c>
      <c r="G34" s="150">
        <v>136.9</v>
      </c>
      <c r="H34" s="150">
        <v>76.900000000000006</v>
      </c>
      <c r="I34" s="150">
        <v>187.7</v>
      </c>
      <c r="J34" s="150">
        <v>227.6</v>
      </c>
      <c r="K34" s="150">
        <v>187.1</v>
      </c>
      <c r="L34" s="150">
        <v>36.9</v>
      </c>
      <c r="M34" s="150">
        <v>73.400000000000006</v>
      </c>
      <c r="N34" s="151">
        <v>8.6999999999999993</v>
      </c>
      <c r="O34" s="192">
        <f t="shared" si="0"/>
        <v>1123.4000000000001</v>
      </c>
      <c r="P34" s="152">
        <f t="shared" si="1"/>
        <v>93.6</v>
      </c>
    </row>
    <row r="35" spans="2:16" ht="22.5" customHeight="1">
      <c r="B35" s="153" t="s">
        <v>36</v>
      </c>
      <c r="C35" s="154">
        <f>MAX(C5:C34)</f>
        <v>79.599999999999994</v>
      </c>
      <c r="D35" s="154">
        <f t="shared" ref="D35:N35" si="2">MAX(D5:D34)</f>
        <v>92.4</v>
      </c>
      <c r="E35" s="154">
        <f t="shared" si="2"/>
        <v>159</v>
      </c>
      <c r="F35" s="154">
        <f t="shared" si="2"/>
        <v>208.5</v>
      </c>
      <c r="G35" s="154">
        <f t="shared" si="2"/>
        <v>229.5</v>
      </c>
      <c r="H35" s="154">
        <f t="shared" si="2"/>
        <v>388</v>
      </c>
      <c r="I35" s="154">
        <f t="shared" si="2"/>
        <v>626.5</v>
      </c>
      <c r="J35" s="154">
        <f t="shared" si="2"/>
        <v>839</v>
      </c>
      <c r="K35" s="154">
        <f t="shared" si="2"/>
        <v>502.5</v>
      </c>
      <c r="L35" s="154">
        <f t="shared" si="2"/>
        <v>290</v>
      </c>
      <c r="M35" s="154">
        <f t="shared" si="2"/>
        <v>219.5</v>
      </c>
      <c r="N35" s="155">
        <f t="shared" si="2"/>
        <v>63.1</v>
      </c>
      <c r="O35" s="193">
        <f t="shared" ref="O35" si="3">MAX(O5:O34)</f>
        <v>2014.7</v>
      </c>
      <c r="P35" s="155">
        <f>MAX(P5:P34)</f>
        <v>167.9</v>
      </c>
    </row>
    <row r="36" spans="2:16" ht="22.5" customHeight="1">
      <c r="B36" s="156" t="s">
        <v>37</v>
      </c>
      <c r="C36" s="157">
        <f>ROUND(MIN(C5:C34),1)</f>
        <v>0.5</v>
      </c>
      <c r="D36" s="157">
        <f t="shared" ref="D36:N36" si="4">ROUND(MIN(D5:D34),1)</f>
        <v>2.2999999999999998</v>
      </c>
      <c r="E36" s="157">
        <f t="shared" si="4"/>
        <v>7.8</v>
      </c>
      <c r="F36" s="157">
        <f t="shared" si="4"/>
        <v>17.7</v>
      </c>
      <c r="G36" s="157">
        <f t="shared" si="4"/>
        <v>19.5</v>
      </c>
      <c r="H36" s="157">
        <f t="shared" si="4"/>
        <v>34.5</v>
      </c>
      <c r="I36" s="157">
        <f t="shared" si="4"/>
        <v>96.5</v>
      </c>
      <c r="J36" s="157">
        <f t="shared" si="4"/>
        <v>33.4</v>
      </c>
      <c r="K36" s="157">
        <f t="shared" si="4"/>
        <v>10.5</v>
      </c>
      <c r="L36" s="157">
        <f t="shared" si="4"/>
        <v>1</v>
      </c>
      <c r="M36" s="157">
        <f t="shared" si="4"/>
        <v>10.5</v>
      </c>
      <c r="N36" s="158">
        <f t="shared" si="4"/>
        <v>3.4</v>
      </c>
      <c r="O36" s="171">
        <f>ROUND(MIN(O5:O34),1)</f>
        <v>752.6</v>
      </c>
      <c r="P36" s="159">
        <f>ROUND(MIN(P5:P34),1)</f>
        <v>62.7</v>
      </c>
    </row>
    <row r="37" spans="2:16" ht="22.5" customHeight="1" thickBot="1">
      <c r="B37" s="160" t="s">
        <v>45</v>
      </c>
      <c r="C37" s="161">
        <f>ROUND(AVERAGE(C5:C34),1)</f>
        <v>25.6</v>
      </c>
      <c r="D37" s="161">
        <f t="shared" ref="D37:N37" si="5">ROUND(AVERAGE(D5:D34),1)</f>
        <v>36.700000000000003</v>
      </c>
      <c r="E37" s="161">
        <f t="shared" si="5"/>
        <v>50.9</v>
      </c>
      <c r="F37" s="161">
        <f t="shared" si="5"/>
        <v>84</v>
      </c>
      <c r="G37" s="161">
        <f t="shared" si="5"/>
        <v>98.8</v>
      </c>
      <c r="H37" s="161">
        <f t="shared" si="5"/>
        <v>154.9</v>
      </c>
      <c r="I37" s="161">
        <f t="shared" si="5"/>
        <v>293.10000000000002</v>
      </c>
      <c r="J37" s="161">
        <f t="shared" si="5"/>
        <v>288.2</v>
      </c>
      <c r="K37" s="161">
        <f t="shared" si="5"/>
        <v>145.1</v>
      </c>
      <c r="L37" s="161">
        <f t="shared" si="5"/>
        <v>64.2</v>
      </c>
      <c r="M37" s="161">
        <f t="shared" si="5"/>
        <v>53.2</v>
      </c>
      <c r="N37" s="162">
        <f t="shared" si="5"/>
        <v>30.1</v>
      </c>
      <c r="O37" s="175">
        <f>ROUND(AVERAGE(O5:O34),1)</f>
        <v>1324.9</v>
      </c>
      <c r="P37" s="163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2012</v>
      </c>
      <c r="C41" s="164">
        <f t="shared" ref="C41:N41" si="6">C25</f>
        <v>16</v>
      </c>
      <c r="D41" s="164">
        <f t="shared" si="6"/>
        <v>3.2</v>
      </c>
      <c r="E41" s="164">
        <f t="shared" si="6"/>
        <v>60.2</v>
      </c>
      <c r="F41" s="164">
        <f t="shared" si="6"/>
        <v>109.3</v>
      </c>
      <c r="G41" s="164">
        <f t="shared" si="6"/>
        <v>19.5</v>
      </c>
      <c r="H41" s="164">
        <f t="shared" si="6"/>
        <v>71.3</v>
      </c>
      <c r="I41" s="164">
        <f t="shared" si="6"/>
        <v>302.89999999999998</v>
      </c>
      <c r="J41" s="164">
        <f t="shared" si="6"/>
        <v>573.29999999999995</v>
      </c>
      <c r="K41" s="164">
        <f t="shared" si="6"/>
        <v>186.2</v>
      </c>
      <c r="L41" s="164">
        <f t="shared" si="6"/>
        <v>83</v>
      </c>
      <c r="M41" s="164">
        <f t="shared" si="6"/>
        <v>60.7</v>
      </c>
      <c r="N41" s="170">
        <f t="shared" si="6"/>
        <v>60.2</v>
      </c>
      <c r="O41" s="171">
        <f>ROUND(SUM(C41:N41),1)</f>
        <v>1545.8</v>
      </c>
      <c r="P41" s="159">
        <f>ROUND(O41/12,1)</f>
        <v>128.80000000000001</v>
      </c>
    </row>
    <row r="42" spans="2:16" ht="22.5" customHeight="1">
      <c r="B42" s="169">
        <f t="shared" ref="B42:N42" si="7">B26</f>
        <v>2013</v>
      </c>
      <c r="C42" s="164">
        <f t="shared" si="7"/>
        <v>45.4</v>
      </c>
      <c r="D42" s="164">
        <f t="shared" si="7"/>
        <v>58.7</v>
      </c>
      <c r="E42" s="164">
        <f t="shared" si="7"/>
        <v>50.3</v>
      </c>
      <c r="F42" s="164">
        <f t="shared" si="7"/>
        <v>93.7</v>
      </c>
      <c r="G42" s="164">
        <f t="shared" si="7"/>
        <v>159</v>
      </c>
      <c r="H42" s="164">
        <f t="shared" si="7"/>
        <v>151.69999999999999</v>
      </c>
      <c r="I42" s="164">
        <f t="shared" si="7"/>
        <v>240.4</v>
      </c>
      <c r="J42" s="164">
        <f t="shared" si="7"/>
        <v>119.5</v>
      </c>
      <c r="K42" s="164">
        <f t="shared" si="7"/>
        <v>184.8</v>
      </c>
      <c r="L42" s="164">
        <f t="shared" si="7"/>
        <v>17.5</v>
      </c>
      <c r="M42" s="164">
        <f t="shared" si="7"/>
        <v>79.400000000000006</v>
      </c>
      <c r="N42" s="170">
        <f t="shared" si="7"/>
        <v>35.9</v>
      </c>
      <c r="O42" s="171">
        <f t="shared" ref="O42:O50" si="8">ROUND(SUM(C42:N42),1)</f>
        <v>1236.3</v>
      </c>
      <c r="P42" s="159">
        <f t="shared" ref="P42:P50" si="9">ROUND(O42/12,1)</f>
        <v>103</v>
      </c>
    </row>
    <row r="43" spans="2:16" ht="22.5" customHeight="1">
      <c r="B43" s="169">
        <f t="shared" ref="B43:N43" si="10">B27</f>
        <v>2014</v>
      </c>
      <c r="C43" s="164">
        <f t="shared" si="10"/>
        <v>2.2000000000000002</v>
      </c>
      <c r="D43" s="164">
        <f t="shared" si="10"/>
        <v>15.3</v>
      </c>
      <c r="E43" s="164">
        <f t="shared" si="10"/>
        <v>69.3</v>
      </c>
      <c r="F43" s="164">
        <f t="shared" si="10"/>
        <v>94.1</v>
      </c>
      <c r="G43" s="164">
        <f t="shared" si="10"/>
        <v>61.5</v>
      </c>
      <c r="H43" s="164">
        <f t="shared" si="10"/>
        <v>77.8</v>
      </c>
      <c r="I43" s="164">
        <f t="shared" si="10"/>
        <v>174.7</v>
      </c>
      <c r="J43" s="164">
        <f t="shared" si="10"/>
        <v>225.1</v>
      </c>
      <c r="K43" s="164">
        <f t="shared" si="10"/>
        <v>157.5</v>
      </c>
      <c r="L43" s="164">
        <f t="shared" si="10"/>
        <v>170.5</v>
      </c>
      <c r="M43" s="164">
        <f t="shared" si="10"/>
        <v>42.4</v>
      </c>
      <c r="N43" s="170">
        <f t="shared" si="10"/>
        <v>51.7</v>
      </c>
      <c r="O43" s="171">
        <f t="shared" si="8"/>
        <v>1142.0999999999999</v>
      </c>
      <c r="P43" s="159">
        <f t="shared" si="9"/>
        <v>95.2</v>
      </c>
    </row>
    <row r="44" spans="2:16" ht="22.5" customHeight="1">
      <c r="B44" s="169">
        <f t="shared" ref="B44:N44" si="11">B28</f>
        <v>2015</v>
      </c>
      <c r="C44" s="164">
        <f t="shared" si="11"/>
        <v>35.4</v>
      </c>
      <c r="D44" s="164">
        <f t="shared" si="11"/>
        <v>35.6</v>
      </c>
      <c r="E44" s="164">
        <f t="shared" si="11"/>
        <v>42.4</v>
      </c>
      <c r="F44" s="164">
        <f t="shared" si="11"/>
        <v>99.5</v>
      </c>
      <c r="G44" s="164">
        <f t="shared" si="11"/>
        <v>53.5</v>
      </c>
      <c r="H44" s="164">
        <f t="shared" si="11"/>
        <v>92.7</v>
      </c>
      <c r="I44" s="164">
        <f t="shared" si="11"/>
        <v>119.9</v>
      </c>
      <c r="J44" s="164">
        <f t="shared" si="11"/>
        <v>56.9</v>
      </c>
      <c r="K44" s="164">
        <f t="shared" si="11"/>
        <v>22</v>
      </c>
      <c r="L44" s="164">
        <f t="shared" si="11"/>
        <v>104</v>
      </c>
      <c r="M44" s="164">
        <f t="shared" si="11"/>
        <v>130</v>
      </c>
      <c r="N44" s="170">
        <f t="shared" si="11"/>
        <v>56.9</v>
      </c>
      <c r="O44" s="171">
        <f t="shared" si="8"/>
        <v>848.8</v>
      </c>
      <c r="P44" s="159">
        <f t="shared" si="9"/>
        <v>70.7</v>
      </c>
    </row>
    <row r="45" spans="2:16" ht="22.5" customHeight="1">
      <c r="B45" s="169">
        <f t="shared" ref="B45:N45" si="12">B29</f>
        <v>2016</v>
      </c>
      <c r="C45" s="164">
        <f t="shared" si="12"/>
        <v>6.6</v>
      </c>
      <c r="D45" s="164">
        <f t="shared" si="12"/>
        <v>59.6</v>
      </c>
      <c r="E45" s="164">
        <f t="shared" si="12"/>
        <v>19</v>
      </c>
      <c r="F45" s="164">
        <f t="shared" si="12"/>
        <v>164.6</v>
      </c>
      <c r="G45" s="164">
        <f t="shared" si="12"/>
        <v>121.6</v>
      </c>
      <c r="H45" s="164">
        <f t="shared" si="12"/>
        <v>49.4</v>
      </c>
      <c r="I45" s="164">
        <f t="shared" si="12"/>
        <v>341.1</v>
      </c>
      <c r="J45" s="164">
        <f t="shared" si="12"/>
        <v>33.4</v>
      </c>
      <c r="K45" s="164">
        <f t="shared" si="12"/>
        <v>133.69999999999999</v>
      </c>
      <c r="L45" s="164">
        <f t="shared" si="12"/>
        <v>120.1</v>
      </c>
      <c r="M45" s="164">
        <f t="shared" si="12"/>
        <v>17.100000000000001</v>
      </c>
      <c r="N45" s="170">
        <f t="shared" si="12"/>
        <v>63.1</v>
      </c>
      <c r="O45" s="171">
        <f t="shared" si="8"/>
        <v>1129.3</v>
      </c>
      <c r="P45" s="159">
        <f t="shared" si="9"/>
        <v>94.1</v>
      </c>
    </row>
    <row r="46" spans="2:16" ht="22.5" customHeight="1">
      <c r="B46" s="169">
        <f t="shared" ref="B46:N46" si="13">B30</f>
        <v>2017</v>
      </c>
      <c r="C46" s="164">
        <f t="shared" si="13"/>
        <v>16</v>
      </c>
      <c r="D46" s="164">
        <f t="shared" si="13"/>
        <v>28.5</v>
      </c>
      <c r="E46" s="164">
        <f t="shared" si="13"/>
        <v>8.8000000000000007</v>
      </c>
      <c r="F46" s="164">
        <f t="shared" si="13"/>
        <v>78.400000000000006</v>
      </c>
      <c r="G46" s="164">
        <f t="shared" si="13"/>
        <v>35.799999999999997</v>
      </c>
      <c r="H46" s="164">
        <f t="shared" si="13"/>
        <v>51.4</v>
      </c>
      <c r="I46" s="164">
        <f t="shared" si="13"/>
        <v>326.7</v>
      </c>
      <c r="J46" s="164">
        <f t="shared" si="13"/>
        <v>358.5</v>
      </c>
      <c r="K46" s="164">
        <f t="shared" si="13"/>
        <v>97.1</v>
      </c>
      <c r="L46" s="164">
        <f t="shared" si="13"/>
        <v>51.9</v>
      </c>
      <c r="M46" s="164">
        <f t="shared" si="13"/>
        <v>22.8</v>
      </c>
      <c r="N46" s="170">
        <f t="shared" si="13"/>
        <v>36.1</v>
      </c>
      <c r="O46" s="171">
        <f t="shared" si="8"/>
        <v>1112</v>
      </c>
      <c r="P46" s="159">
        <f t="shared" si="9"/>
        <v>92.7</v>
      </c>
    </row>
    <row r="47" spans="2:16" ht="22.5" customHeight="1">
      <c r="B47" s="169">
        <f t="shared" ref="B47:N47" si="14">B31</f>
        <v>2018</v>
      </c>
      <c r="C47" s="164">
        <f t="shared" si="14"/>
        <v>25</v>
      </c>
      <c r="D47" s="164">
        <f t="shared" si="14"/>
        <v>43.1</v>
      </c>
      <c r="E47" s="164">
        <f t="shared" si="14"/>
        <v>99.3</v>
      </c>
      <c r="F47" s="164">
        <f t="shared" si="14"/>
        <v>156.5</v>
      </c>
      <c r="G47" s="164">
        <f t="shared" si="14"/>
        <v>116.1</v>
      </c>
      <c r="H47" s="164">
        <f t="shared" si="14"/>
        <v>107.1</v>
      </c>
      <c r="I47" s="164">
        <f t="shared" si="14"/>
        <v>278.8</v>
      </c>
      <c r="J47" s="164">
        <f t="shared" si="14"/>
        <v>277</v>
      </c>
      <c r="K47" s="164">
        <f t="shared" si="14"/>
        <v>98.3</v>
      </c>
      <c r="L47" s="164">
        <f t="shared" si="14"/>
        <v>159.19999999999999</v>
      </c>
      <c r="M47" s="164">
        <f t="shared" si="14"/>
        <v>66</v>
      </c>
      <c r="N47" s="170">
        <f t="shared" si="14"/>
        <v>31.5</v>
      </c>
      <c r="O47" s="171">
        <f t="shared" si="8"/>
        <v>1457.9</v>
      </c>
      <c r="P47" s="159">
        <f t="shared" si="9"/>
        <v>121.5</v>
      </c>
    </row>
    <row r="48" spans="2:16" ht="22.5" customHeight="1">
      <c r="B48" s="169">
        <f t="shared" ref="B48:N48" si="15">B32</f>
        <v>2019</v>
      </c>
      <c r="C48" s="164">
        <f t="shared" si="15"/>
        <v>0.5</v>
      </c>
      <c r="D48" s="164">
        <f t="shared" si="15"/>
        <v>37.6</v>
      </c>
      <c r="E48" s="164">
        <f t="shared" si="15"/>
        <v>35</v>
      </c>
      <c r="F48" s="164">
        <f t="shared" si="15"/>
        <v>73.7</v>
      </c>
      <c r="G48" s="164">
        <f t="shared" si="15"/>
        <v>44.3</v>
      </c>
      <c r="H48" s="164">
        <f t="shared" si="15"/>
        <v>59.9</v>
      </c>
      <c r="I48" s="164">
        <f t="shared" si="15"/>
        <v>216.7</v>
      </c>
      <c r="J48" s="164">
        <f t="shared" si="15"/>
        <v>102.1</v>
      </c>
      <c r="K48" s="164">
        <f t="shared" si="15"/>
        <v>191.9</v>
      </c>
      <c r="L48" s="164">
        <f t="shared" si="15"/>
        <v>85.6</v>
      </c>
      <c r="M48" s="164">
        <f t="shared" si="15"/>
        <v>113.5</v>
      </c>
      <c r="N48" s="170">
        <f t="shared" si="15"/>
        <v>31.2</v>
      </c>
      <c r="O48" s="171">
        <f t="shared" si="8"/>
        <v>992</v>
      </c>
      <c r="P48" s="159">
        <f t="shared" si="9"/>
        <v>82.7</v>
      </c>
    </row>
    <row r="49" spans="2:16" ht="22.5" customHeight="1">
      <c r="B49" s="169">
        <f t="shared" ref="B49:N49" si="16">B33</f>
        <v>2020</v>
      </c>
      <c r="C49" s="164">
        <f t="shared" si="16"/>
        <v>79.599999999999994</v>
      </c>
      <c r="D49" s="164">
        <f t="shared" si="16"/>
        <v>92.4</v>
      </c>
      <c r="E49" s="164">
        <f t="shared" si="16"/>
        <v>19.3</v>
      </c>
      <c r="F49" s="164">
        <f t="shared" si="16"/>
        <v>17.7</v>
      </c>
      <c r="G49" s="164">
        <f t="shared" si="16"/>
        <v>108.5</v>
      </c>
      <c r="H49" s="164">
        <f t="shared" si="16"/>
        <v>188.4</v>
      </c>
      <c r="I49" s="164">
        <f t="shared" si="16"/>
        <v>492.6</v>
      </c>
      <c r="J49" s="164">
        <f t="shared" si="16"/>
        <v>367.8</v>
      </c>
      <c r="K49" s="164">
        <f t="shared" si="16"/>
        <v>208.9</v>
      </c>
      <c r="L49" s="164">
        <f t="shared" si="16"/>
        <v>4.4000000000000004</v>
      </c>
      <c r="M49" s="164">
        <f t="shared" si="16"/>
        <v>41.8</v>
      </c>
      <c r="N49" s="170">
        <f t="shared" si="16"/>
        <v>3.4</v>
      </c>
      <c r="O49" s="171">
        <f t="shared" si="8"/>
        <v>1624.8</v>
      </c>
      <c r="P49" s="159">
        <f t="shared" si="9"/>
        <v>135.4</v>
      </c>
    </row>
    <row r="50" spans="2:16" ht="22.5" customHeight="1" thickBot="1">
      <c r="B50" s="172">
        <f t="shared" ref="B50:N50" si="17">B34</f>
        <v>2021</v>
      </c>
      <c r="C50" s="173">
        <f t="shared" si="17"/>
        <v>32.1</v>
      </c>
      <c r="D50" s="173">
        <f t="shared" si="17"/>
        <v>18.100000000000001</v>
      </c>
      <c r="E50" s="173">
        <f>E34</f>
        <v>95.7</v>
      </c>
      <c r="F50" s="173">
        <f t="shared" si="17"/>
        <v>42.3</v>
      </c>
      <c r="G50" s="173">
        <f t="shared" si="17"/>
        <v>136.9</v>
      </c>
      <c r="H50" s="173">
        <f t="shared" si="17"/>
        <v>76.900000000000006</v>
      </c>
      <c r="I50" s="173">
        <f t="shared" si="17"/>
        <v>187.7</v>
      </c>
      <c r="J50" s="173">
        <f t="shared" si="17"/>
        <v>227.6</v>
      </c>
      <c r="K50" s="173">
        <f t="shared" si="17"/>
        <v>187.1</v>
      </c>
      <c r="L50" s="173">
        <f t="shared" si="17"/>
        <v>36.9</v>
      </c>
      <c r="M50" s="173">
        <f t="shared" si="17"/>
        <v>73.400000000000006</v>
      </c>
      <c r="N50" s="174">
        <f t="shared" si="17"/>
        <v>8.6999999999999993</v>
      </c>
      <c r="O50" s="175">
        <f t="shared" si="8"/>
        <v>1123.4000000000001</v>
      </c>
      <c r="P50" s="163">
        <f t="shared" si="9"/>
        <v>93.6</v>
      </c>
    </row>
    <row r="51" spans="2:16" ht="22.5" customHeight="1">
      <c r="B51" s="176" t="s">
        <v>46</v>
      </c>
      <c r="C51" s="177">
        <f>MAX(C41:C50)</f>
        <v>79.599999999999994</v>
      </c>
      <c r="D51" s="177">
        <f t="shared" ref="D51:P51" si="18">MAX(D41:D50)</f>
        <v>92.4</v>
      </c>
      <c r="E51" s="177">
        <f t="shared" si="18"/>
        <v>99.3</v>
      </c>
      <c r="F51" s="177">
        <f t="shared" si="18"/>
        <v>164.6</v>
      </c>
      <c r="G51" s="177">
        <f t="shared" si="18"/>
        <v>159</v>
      </c>
      <c r="H51" s="177">
        <f t="shared" si="18"/>
        <v>188.4</v>
      </c>
      <c r="I51" s="177">
        <f t="shared" si="18"/>
        <v>492.6</v>
      </c>
      <c r="J51" s="177">
        <f t="shared" si="18"/>
        <v>573.29999999999995</v>
      </c>
      <c r="K51" s="177">
        <f t="shared" si="18"/>
        <v>208.9</v>
      </c>
      <c r="L51" s="177">
        <f t="shared" si="18"/>
        <v>170.5</v>
      </c>
      <c r="M51" s="177">
        <f t="shared" si="18"/>
        <v>130</v>
      </c>
      <c r="N51" s="178">
        <f t="shared" si="18"/>
        <v>63.1</v>
      </c>
      <c r="O51" s="179">
        <f t="shared" si="18"/>
        <v>1624.8</v>
      </c>
      <c r="P51" s="180">
        <f t="shared" si="18"/>
        <v>135.4</v>
      </c>
    </row>
    <row r="52" spans="2:16" ht="22.5" customHeight="1">
      <c r="B52" s="181" t="s">
        <v>47</v>
      </c>
      <c r="C52" s="182">
        <f>MIN(C41:C50)</f>
        <v>0.5</v>
      </c>
      <c r="D52" s="182">
        <f t="shared" ref="D52:P52" si="19">MIN(D41:D50)</f>
        <v>3.2</v>
      </c>
      <c r="E52" s="182">
        <f t="shared" si="19"/>
        <v>8.8000000000000007</v>
      </c>
      <c r="F52" s="182">
        <f t="shared" si="19"/>
        <v>17.7</v>
      </c>
      <c r="G52" s="182">
        <f t="shared" si="19"/>
        <v>19.5</v>
      </c>
      <c r="H52" s="182">
        <f t="shared" si="19"/>
        <v>49.4</v>
      </c>
      <c r="I52" s="182">
        <f t="shared" si="19"/>
        <v>119.9</v>
      </c>
      <c r="J52" s="182">
        <f t="shared" si="19"/>
        <v>33.4</v>
      </c>
      <c r="K52" s="182">
        <f t="shared" si="19"/>
        <v>22</v>
      </c>
      <c r="L52" s="182">
        <f t="shared" si="19"/>
        <v>4.4000000000000004</v>
      </c>
      <c r="M52" s="182">
        <f t="shared" si="19"/>
        <v>17.100000000000001</v>
      </c>
      <c r="N52" s="183">
        <f t="shared" si="19"/>
        <v>3.4</v>
      </c>
      <c r="O52" s="171">
        <f>MIN(O41:O50)</f>
        <v>848.8</v>
      </c>
      <c r="P52" s="159">
        <f t="shared" si="19"/>
        <v>70.7</v>
      </c>
    </row>
    <row r="53" spans="2:16" ht="22.5" customHeight="1" thickBot="1">
      <c r="B53" s="184" t="s">
        <v>30</v>
      </c>
      <c r="C53" s="185">
        <f>ROUND(AVERAGE(C41:C50),1)</f>
        <v>25.9</v>
      </c>
      <c r="D53" s="185">
        <f t="shared" ref="D53:N53" si="20">ROUND(AVERAGE(D41:D50),1)</f>
        <v>39.200000000000003</v>
      </c>
      <c r="E53" s="185">
        <f t="shared" si="20"/>
        <v>49.9</v>
      </c>
      <c r="F53" s="185">
        <f t="shared" si="20"/>
        <v>93</v>
      </c>
      <c r="G53" s="185">
        <f t="shared" si="20"/>
        <v>85.7</v>
      </c>
      <c r="H53" s="185">
        <f t="shared" si="20"/>
        <v>92.7</v>
      </c>
      <c r="I53" s="185">
        <f t="shared" si="20"/>
        <v>268.2</v>
      </c>
      <c r="J53" s="185">
        <f t="shared" si="20"/>
        <v>234.1</v>
      </c>
      <c r="K53" s="185">
        <f t="shared" si="20"/>
        <v>146.80000000000001</v>
      </c>
      <c r="L53" s="185">
        <f t="shared" si="20"/>
        <v>83.3</v>
      </c>
      <c r="M53" s="185">
        <f t="shared" si="20"/>
        <v>64.7</v>
      </c>
      <c r="N53" s="186">
        <f t="shared" si="20"/>
        <v>37.9</v>
      </c>
      <c r="O53" s="175">
        <f>ROUND(AVERAGE(O41:O50),1)</f>
        <v>1221.2</v>
      </c>
      <c r="P53" s="163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C10" sqref="C10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1992</v>
      </c>
      <c r="C3" s="75">
        <f>All!C5</f>
        <v>13.2</v>
      </c>
      <c r="D3" s="75">
        <f>All!D5</f>
        <v>18.7</v>
      </c>
      <c r="E3" s="75">
        <f>All!E5</f>
        <v>46.1</v>
      </c>
      <c r="F3" s="75">
        <f>All!F5</f>
        <v>102.9</v>
      </c>
      <c r="G3" s="75">
        <f>All!G5</f>
        <v>109.1</v>
      </c>
      <c r="H3" s="75">
        <f>All!H5</f>
        <v>46.7</v>
      </c>
      <c r="I3" s="75">
        <f>All!I5</f>
        <v>161.5</v>
      </c>
      <c r="J3" s="75">
        <f>All!J5</f>
        <v>415.4</v>
      </c>
      <c r="K3" s="75">
        <f>All!K5</f>
        <v>179</v>
      </c>
      <c r="L3" s="75">
        <f>All!L5</f>
        <v>15.5</v>
      </c>
      <c r="M3" s="75">
        <f>All!M5</f>
        <v>60</v>
      </c>
      <c r="N3" s="75">
        <f>All!N5</f>
        <v>54.5</v>
      </c>
      <c r="O3" s="75">
        <f>All!O5</f>
        <v>1222.5999999999999</v>
      </c>
      <c r="P3" s="76">
        <f>All!P5</f>
        <v>101.9</v>
      </c>
    </row>
    <row r="4" spans="2:16">
      <c r="B4" s="74">
        <f>All!B6</f>
        <v>1993</v>
      </c>
      <c r="C4" s="75">
        <f>All!C6</f>
        <v>4.8</v>
      </c>
      <c r="D4" s="75">
        <f>All!D6</f>
        <v>73</v>
      </c>
      <c r="E4" s="75">
        <f>All!E6</f>
        <v>25.5</v>
      </c>
      <c r="F4" s="75">
        <f>All!F6</f>
        <v>34.5</v>
      </c>
      <c r="G4" s="75">
        <f>All!G6</f>
        <v>116</v>
      </c>
      <c r="H4" s="75">
        <f>All!H6</f>
        <v>260</v>
      </c>
      <c r="I4" s="75">
        <f>All!I6</f>
        <v>273.5</v>
      </c>
      <c r="J4" s="75">
        <f>All!J6</f>
        <v>284</v>
      </c>
      <c r="K4" s="75">
        <f>All!K6</f>
        <v>98.5</v>
      </c>
      <c r="L4" s="75">
        <f>All!L6</f>
        <v>34</v>
      </c>
      <c r="M4" s="75">
        <f>All!M6</f>
        <v>89.5</v>
      </c>
      <c r="N4" s="75">
        <f>All!N6</f>
        <v>21.9</v>
      </c>
      <c r="O4" s="75">
        <f>All!O6</f>
        <v>1315.2</v>
      </c>
      <c r="P4" s="76">
        <f>All!P6</f>
        <v>109.6</v>
      </c>
    </row>
    <row r="5" spans="2:16">
      <c r="B5" s="74">
        <f>All!B7</f>
        <v>1994</v>
      </c>
      <c r="C5" s="75">
        <f>All!C7</f>
        <v>18.5</v>
      </c>
      <c r="D5" s="75">
        <f>All!D7</f>
        <v>14.4</v>
      </c>
      <c r="E5" s="75">
        <f>All!E7</f>
        <v>54.4</v>
      </c>
      <c r="F5" s="75">
        <f>All!F7</f>
        <v>41</v>
      </c>
      <c r="G5" s="75">
        <f>All!G7</f>
        <v>137</v>
      </c>
      <c r="H5" s="75">
        <f>All!H7</f>
        <v>137.5</v>
      </c>
      <c r="I5" s="75">
        <f>All!I7</f>
        <v>96.5</v>
      </c>
      <c r="J5" s="75">
        <f>All!J7</f>
        <v>286.5</v>
      </c>
      <c r="K5" s="75">
        <f>All!K7</f>
        <v>34</v>
      </c>
      <c r="L5" s="75">
        <f>All!L7</f>
        <v>162</v>
      </c>
      <c r="M5" s="75">
        <f>All!M7</f>
        <v>23</v>
      </c>
      <c r="N5" s="75">
        <f>All!N7</f>
        <v>25</v>
      </c>
      <c r="O5" s="75">
        <f>All!O7</f>
        <v>1029.8</v>
      </c>
      <c r="P5" s="76">
        <f>All!P7</f>
        <v>85.8</v>
      </c>
    </row>
    <row r="6" spans="2:16">
      <c r="B6" s="74">
        <f>All!B8</f>
        <v>1995</v>
      </c>
      <c r="C6" s="75">
        <f>All!C8</f>
        <v>22.6</v>
      </c>
      <c r="D6" s="75">
        <f>All!D8</f>
        <v>23.5</v>
      </c>
      <c r="E6" s="75">
        <f>All!E8</f>
        <v>24.4</v>
      </c>
      <c r="F6" s="75">
        <f>All!F8</f>
        <v>62</v>
      </c>
      <c r="G6" s="75">
        <f>All!G8</f>
        <v>59.5</v>
      </c>
      <c r="H6" s="75">
        <f>All!H8</f>
        <v>34.5</v>
      </c>
      <c r="I6" s="75">
        <f>All!I8</f>
        <v>171.5</v>
      </c>
      <c r="J6" s="75">
        <f>All!J8</f>
        <v>839</v>
      </c>
      <c r="K6" s="75">
        <f>All!K8</f>
        <v>46.5</v>
      </c>
      <c r="L6" s="75">
        <f>All!L8</f>
        <v>22</v>
      </c>
      <c r="M6" s="75">
        <f>All!M8</f>
        <v>15</v>
      </c>
      <c r="N6" s="75">
        <f>All!N8</f>
        <v>5.7</v>
      </c>
      <c r="O6" s="75">
        <f>All!O8</f>
        <v>1326.2</v>
      </c>
      <c r="P6" s="76">
        <f>All!P8</f>
        <v>110.5</v>
      </c>
    </row>
    <row r="7" spans="2:16">
      <c r="B7" s="74">
        <f>All!B9</f>
        <v>1996</v>
      </c>
      <c r="C7" s="75">
        <f>All!C9</f>
        <v>26.4</v>
      </c>
      <c r="D7" s="75">
        <f>All!D9</f>
        <v>2.8</v>
      </c>
      <c r="E7" s="75">
        <f>All!E9</f>
        <v>131</v>
      </c>
      <c r="F7" s="75">
        <f>All!F9</f>
        <v>45</v>
      </c>
      <c r="G7" s="75">
        <f>All!G9</f>
        <v>33</v>
      </c>
      <c r="H7" s="75">
        <f>All!H9</f>
        <v>289</v>
      </c>
      <c r="I7" s="75">
        <f>All!I9</f>
        <v>235</v>
      </c>
      <c r="J7" s="75">
        <f>All!J9</f>
        <v>67</v>
      </c>
      <c r="K7" s="75">
        <f>All!K9</f>
        <v>16</v>
      </c>
      <c r="L7" s="75">
        <f>All!L9</f>
        <v>90.5</v>
      </c>
      <c r="M7" s="75">
        <f>All!M9</f>
        <v>76</v>
      </c>
      <c r="N7" s="75">
        <f>All!N9</f>
        <v>35</v>
      </c>
      <c r="O7" s="75">
        <f>All!O9</f>
        <v>1046.7</v>
      </c>
      <c r="P7" s="76">
        <f>All!P9</f>
        <v>87.2</v>
      </c>
    </row>
    <row r="8" spans="2:16">
      <c r="B8" s="74">
        <f>All!B10</f>
        <v>1997</v>
      </c>
      <c r="C8" s="75">
        <f>All!C10</f>
        <v>9</v>
      </c>
      <c r="D8" s="75">
        <f>All!D10</f>
        <v>54.9</v>
      </c>
      <c r="E8" s="75">
        <f>All!E10</f>
        <v>44</v>
      </c>
      <c r="F8" s="75">
        <f>All!F10</f>
        <v>70</v>
      </c>
      <c r="G8" s="75">
        <f>All!G10</f>
        <v>229.5</v>
      </c>
      <c r="H8" s="75">
        <f>All!H10</f>
        <v>236.5</v>
      </c>
      <c r="I8" s="75">
        <f>All!I10</f>
        <v>404.5</v>
      </c>
      <c r="J8" s="75">
        <f>All!J10</f>
        <v>263</v>
      </c>
      <c r="K8" s="75">
        <f>All!K10</f>
        <v>24.5</v>
      </c>
      <c r="L8" s="75">
        <f>All!L10</f>
        <v>8</v>
      </c>
      <c r="M8" s="75">
        <f>All!M10</f>
        <v>219.5</v>
      </c>
      <c r="N8" s="75">
        <f>All!N10</f>
        <v>39.5</v>
      </c>
      <c r="O8" s="75">
        <f>All!O10</f>
        <v>1602.9</v>
      </c>
      <c r="P8" s="76">
        <f>All!P10</f>
        <v>133.6</v>
      </c>
    </row>
    <row r="9" spans="2:16">
      <c r="B9" s="74">
        <f>All!B11</f>
        <v>1998</v>
      </c>
      <c r="C9" s="75">
        <f>All!C11</f>
        <v>40.6</v>
      </c>
      <c r="D9" s="75">
        <f>All!D11</f>
        <v>47</v>
      </c>
      <c r="E9" s="75">
        <f>All!E11</f>
        <v>45</v>
      </c>
      <c r="F9" s="75">
        <f>All!F11</f>
        <v>200.5</v>
      </c>
      <c r="G9" s="75">
        <f>All!G11</f>
        <v>130.5</v>
      </c>
      <c r="H9" s="75">
        <f>All!H11</f>
        <v>324</v>
      </c>
      <c r="I9" s="75">
        <f>All!I11</f>
        <v>323</v>
      </c>
      <c r="J9" s="75">
        <f>All!J11</f>
        <v>451.3</v>
      </c>
      <c r="K9" s="75">
        <f>All!K11</f>
        <v>313.10000000000002</v>
      </c>
      <c r="L9" s="75">
        <f>All!L11</f>
        <v>75.5</v>
      </c>
      <c r="M9" s="75">
        <f>All!M11</f>
        <v>46.3</v>
      </c>
      <c r="N9" s="75">
        <f>All!N11</f>
        <v>3.5</v>
      </c>
      <c r="O9" s="75">
        <f>All!O11</f>
        <v>2000.3</v>
      </c>
      <c r="P9" s="76">
        <f>All!P11</f>
        <v>166.7</v>
      </c>
    </row>
    <row r="10" spans="2:16">
      <c r="B10" s="74">
        <f>All!B12</f>
        <v>1999</v>
      </c>
      <c r="C10" s="75">
        <f>All!C12</f>
        <v>3.5</v>
      </c>
      <c r="D10" s="75">
        <f>All!D12</f>
        <v>10</v>
      </c>
      <c r="E10" s="75">
        <f>All!E12</f>
        <v>75.7</v>
      </c>
      <c r="F10" s="75">
        <f>All!F12</f>
        <v>92.5</v>
      </c>
      <c r="G10" s="75">
        <f>All!G12</f>
        <v>127.5</v>
      </c>
      <c r="H10" s="75">
        <f>All!H12</f>
        <v>203</v>
      </c>
      <c r="I10" s="75">
        <f>All!I12</f>
        <v>149</v>
      </c>
      <c r="J10" s="75">
        <f>All!J12</f>
        <v>119.5</v>
      </c>
      <c r="K10" s="75">
        <f>All!K12</f>
        <v>426</v>
      </c>
      <c r="L10" s="75">
        <f>All!L12</f>
        <v>290</v>
      </c>
      <c r="M10" s="75">
        <f>All!M12</f>
        <v>15.5</v>
      </c>
      <c r="N10" s="75">
        <f>All!N12</f>
        <v>17.399999999999999</v>
      </c>
      <c r="O10" s="75">
        <f>All!O12</f>
        <v>1529.6</v>
      </c>
      <c r="P10" s="76">
        <f>All!P12</f>
        <v>127.5</v>
      </c>
    </row>
    <row r="11" spans="2:16">
      <c r="B11" s="74">
        <f>All!B13</f>
        <v>2000</v>
      </c>
      <c r="C11" s="75">
        <f>All!C13</f>
        <v>41.4</v>
      </c>
      <c r="D11" s="75">
        <f>All!D13</f>
        <v>2.2999999999999998</v>
      </c>
      <c r="E11" s="75">
        <f>All!E13</f>
        <v>14.1</v>
      </c>
      <c r="F11" s="75">
        <f>All!F13</f>
        <v>62</v>
      </c>
      <c r="G11" s="75">
        <f>All!G13</f>
        <v>40</v>
      </c>
      <c r="H11" s="75">
        <f>All!H13</f>
        <v>248.5</v>
      </c>
      <c r="I11" s="75">
        <f>All!I13</f>
        <v>248.5</v>
      </c>
      <c r="J11" s="75">
        <f>All!J13</f>
        <v>543</v>
      </c>
      <c r="K11" s="75">
        <f>All!K13</f>
        <v>238.5</v>
      </c>
      <c r="L11" s="75">
        <f>All!L13</f>
        <v>39</v>
      </c>
      <c r="M11" s="75">
        <f>All!M13</f>
        <v>29.5</v>
      </c>
      <c r="N11" s="75">
        <f>All!N13</f>
        <v>13.8</v>
      </c>
      <c r="O11" s="75">
        <f>All!O13</f>
        <v>1520.6</v>
      </c>
      <c r="P11" s="76">
        <f>All!P13</f>
        <v>126.7</v>
      </c>
    </row>
    <row r="12" spans="2:16">
      <c r="B12" s="74">
        <f>All!B14</f>
        <v>2001</v>
      </c>
      <c r="C12" s="75">
        <f>All!C14</f>
        <v>65</v>
      </c>
      <c r="D12" s="75">
        <f>All!D14</f>
        <v>69.5</v>
      </c>
      <c r="E12" s="75">
        <f>All!E14</f>
        <v>9.8000000000000007</v>
      </c>
      <c r="F12" s="75">
        <f>All!F14</f>
        <v>25</v>
      </c>
      <c r="G12" s="75">
        <f>All!G14</f>
        <v>23.5</v>
      </c>
      <c r="H12" s="75">
        <f>All!H14</f>
        <v>132</v>
      </c>
      <c r="I12" s="75">
        <f>All!I14</f>
        <v>216</v>
      </c>
      <c r="J12" s="75">
        <f>All!J14</f>
        <v>98</v>
      </c>
      <c r="K12" s="75">
        <f>All!K14</f>
        <v>10.5</v>
      </c>
      <c r="L12" s="75">
        <f>All!L14</f>
        <v>76.5</v>
      </c>
      <c r="M12" s="75">
        <f>All!M14</f>
        <v>10.5</v>
      </c>
      <c r="N12" s="75">
        <f>All!N14</f>
        <v>16.3</v>
      </c>
      <c r="O12" s="75">
        <f>All!O14</f>
        <v>752.6</v>
      </c>
      <c r="P12" s="76">
        <f>All!P14</f>
        <v>62.7</v>
      </c>
    </row>
    <row r="13" spans="2:16">
      <c r="B13" s="74">
        <f>All!B15</f>
        <v>2002</v>
      </c>
      <c r="C13" s="75">
        <f>All!C15</f>
        <v>72.3</v>
      </c>
      <c r="D13" s="75">
        <f>All!D15</f>
        <v>6</v>
      </c>
      <c r="E13" s="75">
        <f>All!E15</f>
        <v>32.5</v>
      </c>
      <c r="F13" s="75">
        <f>All!F15</f>
        <v>142.5</v>
      </c>
      <c r="G13" s="75">
        <f>All!G15</f>
        <v>159</v>
      </c>
      <c r="H13" s="75">
        <f>All!H15</f>
        <v>70.5</v>
      </c>
      <c r="I13" s="75">
        <f>All!I15</f>
        <v>208</v>
      </c>
      <c r="J13" s="75">
        <f>All!J15</f>
        <v>358.5</v>
      </c>
      <c r="K13" s="75">
        <f>All!K15</f>
        <v>57.5</v>
      </c>
      <c r="L13" s="75">
        <f>All!L15</f>
        <v>78.5</v>
      </c>
      <c r="M13" s="75">
        <f>All!M15</f>
        <v>31.5</v>
      </c>
      <c r="N13" s="75">
        <f>All!N15</f>
        <v>57.2</v>
      </c>
      <c r="O13" s="75">
        <f>All!O15</f>
        <v>1274</v>
      </c>
      <c r="P13" s="76">
        <f>All!P15</f>
        <v>106.2</v>
      </c>
    </row>
    <row r="14" spans="2:16">
      <c r="B14" s="74">
        <f>All!B16</f>
        <v>2003</v>
      </c>
      <c r="C14" s="75">
        <f>All!C16</f>
        <v>24.2</v>
      </c>
      <c r="D14" s="75">
        <f>All!D16</f>
        <v>59</v>
      </c>
      <c r="E14" s="75">
        <f>All!E16</f>
        <v>52</v>
      </c>
      <c r="F14" s="75">
        <f>All!F16</f>
        <v>208.5</v>
      </c>
      <c r="G14" s="75">
        <f>All!G16</f>
        <v>144.5</v>
      </c>
      <c r="H14" s="75">
        <f>All!H16</f>
        <v>228</v>
      </c>
      <c r="I14" s="75">
        <f>All!I16</f>
        <v>626.5</v>
      </c>
      <c r="J14" s="75">
        <f>All!J16</f>
        <v>202</v>
      </c>
      <c r="K14" s="75">
        <f>All!K16</f>
        <v>167.5</v>
      </c>
      <c r="L14" s="75">
        <f>All!L16</f>
        <v>24.5</v>
      </c>
      <c r="M14" s="75">
        <f>All!M16</f>
        <v>29.5</v>
      </c>
      <c r="N14" s="75">
        <f>All!N16</f>
        <v>13.8</v>
      </c>
      <c r="O14" s="75">
        <f>All!O16</f>
        <v>1780</v>
      </c>
      <c r="P14" s="76">
        <f>All!P16</f>
        <v>148.30000000000001</v>
      </c>
    </row>
    <row r="15" spans="2:16">
      <c r="B15" s="74">
        <f>All!B17</f>
        <v>2004</v>
      </c>
      <c r="C15" s="75">
        <f>All!C17</f>
        <v>18.100000000000001</v>
      </c>
      <c r="D15" s="75">
        <f>All!D17</f>
        <v>26.2</v>
      </c>
      <c r="E15" s="75">
        <f>All!E17</f>
        <v>63.1</v>
      </c>
      <c r="F15" s="75">
        <f>All!F17</f>
        <v>73.5</v>
      </c>
      <c r="G15" s="75">
        <f>All!G17</f>
        <v>109</v>
      </c>
      <c r="H15" s="75">
        <f>All!H17</f>
        <v>388</v>
      </c>
      <c r="I15" s="75">
        <f>All!I17</f>
        <v>296</v>
      </c>
      <c r="J15" s="75">
        <f>All!J17</f>
        <v>249</v>
      </c>
      <c r="K15" s="75">
        <f>All!K17</f>
        <v>176.5</v>
      </c>
      <c r="L15" s="75">
        <f>All!L17</f>
        <v>1</v>
      </c>
      <c r="M15" s="75">
        <f>All!M17</f>
        <v>50.5</v>
      </c>
      <c r="N15" s="75">
        <f>All!N17</f>
        <v>43</v>
      </c>
      <c r="O15" s="75">
        <f>All!O17</f>
        <v>1493.9</v>
      </c>
      <c r="P15" s="76">
        <f>All!P17</f>
        <v>124.5</v>
      </c>
    </row>
    <row r="16" spans="2:16">
      <c r="B16" s="74">
        <f>All!B18</f>
        <v>2005</v>
      </c>
      <c r="C16" s="75">
        <f>All!C18</f>
        <v>6</v>
      </c>
      <c r="D16" s="75">
        <f>All!D18</f>
        <v>39</v>
      </c>
      <c r="E16" s="75">
        <f>All!E18</f>
        <v>26.5</v>
      </c>
      <c r="F16" s="75">
        <f>All!F18</f>
        <v>75</v>
      </c>
      <c r="G16" s="75">
        <f>All!G18</f>
        <v>65.5</v>
      </c>
      <c r="H16" s="75">
        <f>All!H18</f>
        <v>186</v>
      </c>
      <c r="I16" s="75">
        <f>All!I18</f>
        <v>448.5</v>
      </c>
      <c r="J16" s="75">
        <f>All!J18</f>
        <v>381.5</v>
      </c>
      <c r="K16" s="75">
        <f>All!K18</f>
        <v>225.5</v>
      </c>
      <c r="L16" s="75">
        <f>All!L18</f>
        <v>30.5</v>
      </c>
      <c r="M16" s="75">
        <f>All!M18</f>
        <v>21</v>
      </c>
      <c r="N16" s="75">
        <f>All!N18</f>
        <v>22</v>
      </c>
      <c r="O16" s="75">
        <f>All!O18</f>
        <v>1527</v>
      </c>
      <c r="P16" s="76">
        <f>All!P18</f>
        <v>127.3</v>
      </c>
    </row>
    <row r="17" spans="2:16">
      <c r="B17" s="74">
        <f>All!B19</f>
        <v>2006</v>
      </c>
      <c r="C17" s="75">
        <f>All!C19</f>
        <v>30.2</v>
      </c>
      <c r="D17" s="75">
        <f>All!D19</f>
        <v>29.5</v>
      </c>
      <c r="E17" s="75">
        <f>All!E19</f>
        <v>7.8</v>
      </c>
      <c r="F17" s="75">
        <f>All!F19</f>
        <v>99</v>
      </c>
      <c r="G17" s="75">
        <f>All!G19</f>
        <v>81.5</v>
      </c>
      <c r="H17" s="75">
        <f>All!H19</f>
        <v>111</v>
      </c>
      <c r="I17" s="75">
        <f>All!I19</f>
        <v>503</v>
      </c>
      <c r="J17" s="75">
        <f>All!J19</f>
        <v>83.5</v>
      </c>
      <c r="K17" s="75">
        <f>All!K19</f>
        <v>37.5</v>
      </c>
      <c r="L17" s="75">
        <f>All!L19</f>
        <v>15</v>
      </c>
      <c r="M17" s="75">
        <f>All!M19</f>
        <v>51</v>
      </c>
      <c r="N17" s="75">
        <f>All!N19</f>
        <v>27.5</v>
      </c>
      <c r="O17" s="75">
        <f>All!O19</f>
        <v>1076.5</v>
      </c>
      <c r="P17" s="76">
        <f>All!P19</f>
        <v>89.7</v>
      </c>
    </row>
    <row r="18" spans="2:16">
      <c r="B18" s="74">
        <f>All!B20</f>
        <v>2007</v>
      </c>
      <c r="C18" s="75">
        <f>All!C20</f>
        <v>21.8</v>
      </c>
      <c r="D18" s="75">
        <f>All!D20</f>
        <v>47.8</v>
      </c>
      <c r="E18" s="75">
        <f>All!E20</f>
        <v>159</v>
      </c>
      <c r="F18" s="75">
        <f>All!F20</f>
        <v>28</v>
      </c>
      <c r="G18" s="75">
        <f>All!G20</f>
        <v>104</v>
      </c>
      <c r="H18" s="75">
        <f>All!H20</f>
        <v>101</v>
      </c>
      <c r="I18" s="75">
        <f>All!I20</f>
        <v>286</v>
      </c>
      <c r="J18" s="75">
        <f>All!J20</f>
        <v>319.5</v>
      </c>
      <c r="K18" s="75">
        <f>All!K20</f>
        <v>502.5</v>
      </c>
      <c r="L18" s="75">
        <f>All!L20</f>
        <v>37</v>
      </c>
      <c r="M18" s="75">
        <f>All!M20</f>
        <v>13</v>
      </c>
      <c r="N18" s="75">
        <f>All!N20</f>
        <v>31.7</v>
      </c>
      <c r="O18" s="75">
        <f>All!O20</f>
        <v>1651.3</v>
      </c>
      <c r="P18" s="76">
        <f>All!P20</f>
        <v>137.6</v>
      </c>
    </row>
    <row r="19" spans="2:16">
      <c r="B19" s="74">
        <f>All!B21</f>
        <v>2008</v>
      </c>
      <c r="C19" s="75">
        <f>All!C21</f>
        <v>39.6</v>
      </c>
      <c r="D19" s="75">
        <f>All!D21</f>
        <v>11.2</v>
      </c>
      <c r="E19" s="75">
        <f>All!E21</f>
        <v>42.2</v>
      </c>
      <c r="F19" s="75">
        <f>All!F21</f>
        <v>38.799999999999997</v>
      </c>
      <c r="G19" s="75">
        <f>All!G21</f>
        <v>51.6</v>
      </c>
      <c r="H19" s="75">
        <f>All!H21</f>
        <v>260</v>
      </c>
      <c r="I19" s="75">
        <f>All!I21</f>
        <v>194.3</v>
      </c>
      <c r="J19" s="75">
        <f>All!J21</f>
        <v>154</v>
      </c>
      <c r="K19" s="75">
        <f>All!K21</f>
        <v>48.8</v>
      </c>
      <c r="L19" s="75">
        <f>All!L21</f>
        <v>24.1</v>
      </c>
      <c r="M19" s="75">
        <f>All!M21</f>
        <v>14.1</v>
      </c>
      <c r="N19" s="75">
        <f>All!N21</f>
        <v>23.4</v>
      </c>
      <c r="O19" s="75">
        <f>All!O21</f>
        <v>902.1</v>
      </c>
      <c r="P19" s="76">
        <f>All!P21</f>
        <v>75.2</v>
      </c>
    </row>
    <row r="20" spans="2:16">
      <c r="B20" s="74">
        <f>All!B22</f>
        <v>2009</v>
      </c>
      <c r="C20" s="75">
        <f>All!C22</f>
        <v>10.6</v>
      </c>
      <c r="D20" s="75">
        <f>All!D22</f>
        <v>23.6</v>
      </c>
      <c r="E20" s="75">
        <f>All!E22</f>
        <v>63.9</v>
      </c>
      <c r="F20" s="75">
        <f>All!F22</f>
        <v>51</v>
      </c>
      <c r="G20" s="75">
        <f>All!G22</f>
        <v>135.5</v>
      </c>
      <c r="H20" s="75">
        <f>All!H22</f>
        <v>113.2</v>
      </c>
      <c r="I20" s="75">
        <f>All!I22</f>
        <v>408</v>
      </c>
      <c r="J20" s="75">
        <f>All!J22</f>
        <v>140.19999999999999</v>
      </c>
      <c r="K20" s="75">
        <f>All!K22</f>
        <v>30.5</v>
      </c>
      <c r="L20" s="75">
        <f>All!L22</f>
        <v>23.7</v>
      </c>
      <c r="M20" s="75">
        <f>All!M22</f>
        <v>54.5</v>
      </c>
      <c r="N20" s="75">
        <f>All!N22</f>
        <v>34.9</v>
      </c>
      <c r="O20" s="75">
        <f>All!O22</f>
        <v>1089.5999999999999</v>
      </c>
      <c r="P20" s="76">
        <f>All!P22</f>
        <v>90.8</v>
      </c>
    </row>
    <row r="21" spans="2:16">
      <c r="B21" s="74">
        <f>All!B23</f>
        <v>2010</v>
      </c>
      <c r="C21" s="75">
        <f>All!C23</f>
        <v>37.1</v>
      </c>
      <c r="D21" s="75">
        <f>All!D23</f>
        <v>89.5</v>
      </c>
      <c r="E21" s="75">
        <f>All!E23</f>
        <v>94.9</v>
      </c>
      <c r="F21" s="75">
        <f>All!F23</f>
        <v>69.599999999999994</v>
      </c>
      <c r="G21" s="75">
        <f>All!G23</f>
        <v>140.69999999999999</v>
      </c>
      <c r="H21" s="75">
        <f>All!H23</f>
        <v>36.1</v>
      </c>
      <c r="I21" s="75">
        <f>All!I23</f>
        <v>262.10000000000002</v>
      </c>
      <c r="J21" s="75">
        <f>All!J23</f>
        <v>431.1</v>
      </c>
      <c r="K21" s="75">
        <f>All!K23</f>
        <v>149.80000000000001</v>
      </c>
      <c r="L21" s="75">
        <f>All!L23</f>
        <v>17.8</v>
      </c>
      <c r="M21" s="75">
        <f>All!M23</f>
        <v>18.600000000000001</v>
      </c>
      <c r="N21" s="75">
        <f>All!N23</f>
        <v>31</v>
      </c>
      <c r="O21" s="75">
        <f>All!O23</f>
        <v>1378.3</v>
      </c>
      <c r="P21" s="76">
        <f>All!P23</f>
        <v>114.9</v>
      </c>
    </row>
    <row r="22" spans="2:16">
      <c r="B22" s="74">
        <f>All!B24</f>
        <v>2011</v>
      </c>
      <c r="C22" s="75">
        <f>All!C24</f>
        <v>3.7</v>
      </c>
      <c r="D22" s="75">
        <f>All!D24</f>
        <v>60.7</v>
      </c>
      <c r="E22" s="75">
        <f>All!E24</f>
        <v>16</v>
      </c>
      <c r="F22" s="75">
        <f>All!F24</f>
        <v>70</v>
      </c>
      <c r="G22" s="75">
        <f>All!G24</f>
        <v>111.2</v>
      </c>
      <c r="H22" s="75">
        <f>All!H24</f>
        <v>316</v>
      </c>
      <c r="I22" s="75">
        <f>All!I24</f>
        <v>599.6</v>
      </c>
      <c r="J22" s="75">
        <f>All!J24</f>
        <v>618.1</v>
      </c>
      <c r="K22" s="75">
        <f>All!K24</f>
        <v>104.2</v>
      </c>
      <c r="L22" s="75">
        <f>All!L24</f>
        <v>26.6</v>
      </c>
      <c r="M22" s="75">
        <f>All!M24</f>
        <v>81.599999999999994</v>
      </c>
      <c r="N22" s="75">
        <f>All!N24</f>
        <v>7</v>
      </c>
      <c r="O22" s="75">
        <f>All!O24</f>
        <v>2014.7</v>
      </c>
      <c r="P22" s="76">
        <f>All!P24</f>
        <v>167.9</v>
      </c>
    </row>
    <row r="23" spans="2:16" s="446" customFormat="1">
      <c r="B23" s="443">
        <f>All!B25</f>
        <v>2012</v>
      </c>
      <c r="C23" s="444">
        <f>All!C25</f>
        <v>16</v>
      </c>
      <c r="D23" s="444">
        <f>All!D25</f>
        <v>3.2</v>
      </c>
      <c r="E23" s="444">
        <f>All!E25</f>
        <v>60.2</v>
      </c>
      <c r="F23" s="444">
        <f>All!F25</f>
        <v>109.3</v>
      </c>
      <c r="G23" s="444">
        <f>All!G25</f>
        <v>19.5</v>
      </c>
      <c r="H23" s="444">
        <f>All!H25</f>
        <v>71.3</v>
      </c>
      <c r="I23" s="444">
        <f>All!I25</f>
        <v>302.89999999999998</v>
      </c>
      <c r="J23" s="444">
        <f>All!J25</f>
        <v>573.29999999999995</v>
      </c>
      <c r="K23" s="444">
        <f>All!K25</f>
        <v>186.2</v>
      </c>
      <c r="L23" s="444">
        <f>All!L25</f>
        <v>83</v>
      </c>
      <c r="M23" s="444">
        <f>All!M25</f>
        <v>60.7</v>
      </c>
      <c r="N23" s="444">
        <f>All!N25</f>
        <v>60.2</v>
      </c>
      <c r="O23" s="444">
        <f>All!O25</f>
        <v>1545.8</v>
      </c>
      <c r="P23" s="445">
        <f>All!P25</f>
        <v>128.80000000000001</v>
      </c>
    </row>
    <row r="24" spans="2:16">
      <c r="B24" s="74">
        <f>All!B26</f>
        <v>2013</v>
      </c>
      <c r="C24" s="75">
        <f>All!C26</f>
        <v>45.4</v>
      </c>
      <c r="D24" s="75">
        <f>All!D26</f>
        <v>58.7</v>
      </c>
      <c r="E24" s="75">
        <f>All!E26</f>
        <v>50.3</v>
      </c>
      <c r="F24" s="75">
        <f>All!F26</f>
        <v>93.7</v>
      </c>
      <c r="G24" s="75">
        <f>All!G26</f>
        <v>159</v>
      </c>
      <c r="H24" s="75">
        <f>All!H26</f>
        <v>151.69999999999999</v>
      </c>
      <c r="I24" s="75">
        <f>All!I26</f>
        <v>240.4</v>
      </c>
      <c r="J24" s="75">
        <f>All!J26</f>
        <v>119.5</v>
      </c>
      <c r="K24" s="75">
        <f>All!K26</f>
        <v>184.8</v>
      </c>
      <c r="L24" s="75">
        <f>All!L26</f>
        <v>17.5</v>
      </c>
      <c r="M24" s="75">
        <f>All!M26</f>
        <v>79.400000000000006</v>
      </c>
      <c r="N24" s="75">
        <f>All!N26</f>
        <v>35.9</v>
      </c>
      <c r="O24" s="75">
        <f>All!O26</f>
        <v>1236.3</v>
      </c>
      <c r="P24" s="76">
        <f>All!P26</f>
        <v>103</v>
      </c>
    </row>
    <row r="25" spans="2:16">
      <c r="B25" s="74">
        <f>All!B27</f>
        <v>2014</v>
      </c>
      <c r="C25" s="75">
        <f>All!C27</f>
        <v>2.2000000000000002</v>
      </c>
      <c r="D25" s="75">
        <f>All!D27</f>
        <v>15.3</v>
      </c>
      <c r="E25" s="75">
        <f>All!E27</f>
        <v>69.3</v>
      </c>
      <c r="F25" s="75">
        <f>All!F27</f>
        <v>94.1</v>
      </c>
      <c r="G25" s="75">
        <f>All!G27</f>
        <v>61.5</v>
      </c>
      <c r="H25" s="75">
        <f>All!H27</f>
        <v>77.8</v>
      </c>
      <c r="I25" s="75">
        <f>All!I27</f>
        <v>174.7</v>
      </c>
      <c r="J25" s="75">
        <f>All!J27</f>
        <v>225.1</v>
      </c>
      <c r="K25" s="75">
        <f>All!K27</f>
        <v>157.5</v>
      </c>
      <c r="L25" s="75">
        <f>All!L27</f>
        <v>170.5</v>
      </c>
      <c r="M25" s="75">
        <f>All!M27</f>
        <v>42.4</v>
      </c>
      <c r="N25" s="75">
        <f>All!N27</f>
        <v>51.7</v>
      </c>
      <c r="O25" s="75">
        <f>All!O27</f>
        <v>1142.0999999999999</v>
      </c>
      <c r="P25" s="76">
        <f>All!P27</f>
        <v>95.2</v>
      </c>
    </row>
    <row r="26" spans="2:16">
      <c r="B26" s="74">
        <f>All!B28</f>
        <v>2015</v>
      </c>
      <c r="C26" s="75">
        <f>All!C28</f>
        <v>35.4</v>
      </c>
      <c r="D26" s="75">
        <f>All!D28</f>
        <v>35.6</v>
      </c>
      <c r="E26" s="75">
        <f>All!E28</f>
        <v>42.4</v>
      </c>
      <c r="F26" s="75">
        <f>All!F28</f>
        <v>99.5</v>
      </c>
      <c r="G26" s="75">
        <f>All!G28</f>
        <v>53.5</v>
      </c>
      <c r="H26" s="75">
        <f>All!H28</f>
        <v>92.7</v>
      </c>
      <c r="I26" s="75">
        <f>All!I28</f>
        <v>119.9</v>
      </c>
      <c r="J26" s="75">
        <f>All!J28</f>
        <v>56.9</v>
      </c>
      <c r="K26" s="75">
        <f>All!K28</f>
        <v>22</v>
      </c>
      <c r="L26" s="75">
        <f>All!L28</f>
        <v>104</v>
      </c>
      <c r="M26" s="75">
        <f>All!M28</f>
        <v>130</v>
      </c>
      <c r="N26" s="75">
        <f>All!N28</f>
        <v>56.9</v>
      </c>
      <c r="O26" s="75">
        <f>All!O28</f>
        <v>848.8</v>
      </c>
      <c r="P26" s="76">
        <f>All!P28</f>
        <v>70.7</v>
      </c>
    </row>
    <row r="27" spans="2:16">
      <c r="B27" s="74">
        <f>All!B29</f>
        <v>2016</v>
      </c>
      <c r="C27" s="75">
        <f>All!C29</f>
        <v>6.6</v>
      </c>
      <c r="D27" s="75">
        <f>All!D29</f>
        <v>59.6</v>
      </c>
      <c r="E27" s="75">
        <f>All!E29</f>
        <v>19</v>
      </c>
      <c r="F27" s="75">
        <f>All!F29</f>
        <v>164.6</v>
      </c>
      <c r="G27" s="75">
        <f>All!G29</f>
        <v>121.6</v>
      </c>
      <c r="H27" s="75">
        <f>All!H29</f>
        <v>49.4</v>
      </c>
      <c r="I27" s="75">
        <f>All!I29</f>
        <v>341.1</v>
      </c>
      <c r="J27" s="75">
        <f>All!J29</f>
        <v>33.4</v>
      </c>
      <c r="K27" s="75">
        <f>All!K29</f>
        <v>133.69999999999999</v>
      </c>
      <c r="L27" s="75">
        <f>All!L29</f>
        <v>120.1</v>
      </c>
      <c r="M27" s="75">
        <f>All!M29</f>
        <v>17.100000000000001</v>
      </c>
      <c r="N27" s="75">
        <f>All!N29</f>
        <v>63.1</v>
      </c>
      <c r="O27" s="75">
        <f>All!O29</f>
        <v>1129.3</v>
      </c>
      <c r="P27" s="76">
        <f>All!P29</f>
        <v>94.1</v>
      </c>
    </row>
    <row r="28" spans="2:16">
      <c r="B28" s="74">
        <f>All!B30</f>
        <v>2017</v>
      </c>
      <c r="C28" s="75">
        <f>All!C30</f>
        <v>16</v>
      </c>
      <c r="D28" s="75">
        <f>All!D30</f>
        <v>28.5</v>
      </c>
      <c r="E28" s="75">
        <f>All!E30</f>
        <v>8.8000000000000007</v>
      </c>
      <c r="F28" s="75">
        <f>All!F30</f>
        <v>78.400000000000006</v>
      </c>
      <c r="G28" s="75">
        <f>All!G30</f>
        <v>35.799999999999997</v>
      </c>
      <c r="H28" s="75">
        <f>All!H30</f>
        <v>51.4</v>
      </c>
      <c r="I28" s="75">
        <f>All!I30</f>
        <v>326.7</v>
      </c>
      <c r="J28" s="75">
        <f>All!J30</f>
        <v>358.5</v>
      </c>
      <c r="K28" s="75">
        <f>All!K30</f>
        <v>97.1</v>
      </c>
      <c r="L28" s="75">
        <f>All!L30</f>
        <v>51.9</v>
      </c>
      <c r="M28" s="75">
        <f>All!M30</f>
        <v>22.8</v>
      </c>
      <c r="N28" s="75">
        <f>All!N30</f>
        <v>36.1</v>
      </c>
      <c r="O28" s="75">
        <f>All!O30</f>
        <v>1112</v>
      </c>
      <c r="P28" s="76">
        <f>All!P30</f>
        <v>92.7</v>
      </c>
    </row>
    <row r="29" spans="2:16">
      <c r="B29" s="74">
        <f>All!B31</f>
        <v>2018</v>
      </c>
      <c r="C29" s="75">
        <f>All!C31</f>
        <v>25</v>
      </c>
      <c r="D29" s="75">
        <f>All!D31</f>
        <v>43.1</v>
      </c>
      <c r="E29" s="75">
        <f>All!E31</f>
        <v>99.3</v>
      </c>
      <c r="F29" s="75">
        <f>All!F31</f>
        <v>156.5</v>
      </c>
      <c r="G29" s="75">
        <f>All!G31</f>
        <v>116.1</v>
      </c>
      <c r="H29" s="75">
        <f>All!H31</f>
        <v>107.1</v>
      </c>
      <c r="I29" s="75">
        <f>All!I31</f>
        <v>278.8</v>
      </c>
      <c r="J29" s="75">
        <f>All!J31</f>
        <v>277</v>
      </c>
      <c r="K29" s="75">
        <f>All!K31</f>
        <v>98.3</v>
      </c>
      <c r="L29" s="75">
        <f>All!L31</f>
        <v>159.19999999999999</v>
      </c>
      <c r="M29" s="75">
        <f>All!M31</f>
        <v>66</v>
      </c>
      <c r="N29" s="75">
        <f>All!N31</f>
        <v>31.5</v>
      </c>
      <c r="O29" s="75">
        <f>All!O31</f>
        <v>1457.9</v>
      </c>
      <c r="P29" s="76">
        <f>All!P31</f>
        <v>121.5</v>
      </c>
    </row>
    <row r="30" spans="2:16">
      <c r="B30" s="74">
        <f>All!B32</f>
        <v>2019</v>
      </c>
      <c r="C30" s="75">
        <f>All!C32</f>
        <v>0.5</v>
      </c>
      <c r="D30" s="75">
        <f>All!D32</f>
        <v>37.6</v>
      </c>
      <c r="E30" s="75">
        <f>All!E32</f>
        <v>35</v>
      </c>
      <c r="F30" s="75">
        <f>All!F32</f>
        <v>73.7</v>
      </c>
      <c r="G30" s="75">
        <f>All!G32</f>
        <v>44.3</v>
      </c>
      <c r="H30" s="75">
        <f>All!H32</f>
        <v>59.9</v>
      </c>
      <c r="I30" s="75">
        <f>All!I32</f>
        <v>216.7</v>
      </c>
      <c r="J30" s="75">
        <f>All!J32</f>
        <v>102.1</v>
      </c>
      <c r="K30" s="75">
        <f>All!K32</f>
        <v>191.9</v>
      </c>
      <c r="L30" s="75">
        <f>All!L32</f>
        <v>85.6</v>
      </c>
      <c r="M30" s="75">
        <f>All!M32</f>
        <v>113.5</v>
      </c>
      <c r="N30" s="75">
        <f>All!N32</f>
        <v>31.2</v>
      </c>
      <c r="O30" s="75">
        <f>All!O32</f>
        <v>992</v>
      </c>
      <c r="P30" s="76">
        <f>All!P32</f>
        <v>82.7</v>
      </c>
    </row>
    <row r="31" spans="2:16">
      <c r="B31" s="74">
        <f>All!B33</f>
        <v>2020</v>
      </c>
      <c r="C31" s="75">
        <f>All!C33</f>
        <v>79.599999999999994</v>
      </c>
      <c r="D31" s="75">
        <f>All!D33</f>
        <v>92.4</v>
      </c>
      <c r="E31" s="75">
        <f>All!E33</f>
        <v>19.3</v>
      </c>
      <c r="F31" s="75">
        <f>All!F33</f>
        <v>17.7</v>
      </c>
      <c r="G31" s="75">
        <f>All!G33</f>
        <v>108.5</v>
      </c>
      <c r="H31" s="75">
        <f>All!H33</f>
        <v>188.4</v>
      </c>
      <c r="I31" s="75">
        <f>All!I33</f>
        <v>492.6</v>
      </c>
      <c r="J31" s="75">
        <f>All!J33</f>
        <v>367.8</v>
      </c>
      <c r="K31" s="75">
        <f>All!K33</f>
        <v>208.9</v>
      </c>
      <c r="L31" s="75">
        <f>All!L33</f>
        <v>4.4000000000000004</v>
      </c>
      <c r="M31" s="75">
        <f>All!M33</f>
        <v>41.8</v>
      </c>
      <c r="N31" s="75">
        <f>All!N33</f>
        <v>3.4</v>
      </c>
      <c r="O31" s="75">
        <f>All!O33</f>
        <v>1624.8</v>
      </c>
      <c r="P31" s="76">
        <f>All!P33</f>
        <v>135.4</v>
      </c>
    </row>
    <row r="32" spans="2:16">
      <c r="B32" s="74">
        <f>All!B34</f>
        <v>2021</v>
      </c>
      <c r="C32" s="75">
        <f>All!C34</f>
        <v>32.1</v>
      </c>
      <c r="D32" s="75">
        <f>All!D34</f>
        <v>18.100000000000001</v>
      </c>
      <c r="E32" s="75">
        <f>All!E34</f>
        <v>95.7</v>
      </c>
      <c r="F32" s="75">
        <f>All!F34</f>
        <v>42.3</v>
      </c>
      <c r="G32" s="75">
        <f>All!G34</f>
        <v>136.9</v>
      </c>
      <c r="H32" s="75">
        <f>All!H34</f>
        <v>76.900000000000006</v>
      </c>
      <c r="I32" s="75">
        <f>All!I34</f>
        <v>187.7</v>
      </c>
      <c r="J32" s="75">
        <f>All!J34</f>
        <v>227.6</v>
      </c>
      <c r="K32" s="75">
        <f>All!K34</f>
        <v>187.1</v>
      </c>
      <c r="L32" s="75">
        <f>All!L34</f>
        <v>36.9</v>
      </c>
      <c r="M32" s="75">
        <f>All!M34</f>
        <v>73.400000000000006</v>
      </c>
      <c r="N32" s="75">
        <f>All!N34</f>
        <v>8.6999999999999993</v>
      </c>
      <c r="O32" s="75">
        <f>All!O34</f>
        <v>1123.4000000000001</v>
      </c>
      <c r="P32" s="76">
        <f>All!P34</f>
        <v>93.6</v>
      </c>
    </row>
    <row r="33" spans="2:17">
      <c r="B33" s="77" t="s">
        <v>174</v>
      </c>
      <c r="C33" s="78">
        <f>ROUND(SUM(C23:C32)/10,1)</f>
        <v>25.9</v>
      </c>
      <c r="D33" s="78">
        <f t="shared" ref="D33:P33" si="0">ROUND(SUM(D23:D32)/10,1)</f>
        <v>39.200000000000003</v>
      </c>
      <c r="E33" s="78">
        <f t="shared" si="0"/>
        <v>49.9</v>
      </c>
      <c r="F33" s="78">
        <f t="shared" si="0"/>
        <v>93</v>
      </c>
      <c r="G33" s="78">
        <f t="shared" si="0"/>
        <v>85.7</v>
      </c>
      <c r="H33" s="78">
        <f t="shared" si="0"/>
        <v>92.7</v>
      </c>
      <c r="I33" s="78">
        <f t="shared" si="0"/>
        <v>268.2</v>
      </c>
      <c r="J33" s="78">
        <f t="shared" si="0"/>
        <v>234.1</v>
      </c>
      <c r="K33" s="78">
        <f t="shared" si="0"/>
        <v>146.80000000000001</v>
      </c>
      <c r="L33" s="78">
        <f t="shared" si="0"/>
        <v>83.3</v>
      </c>
      <c r="M33" s="78">
        <f t="shared" si="0"/>
        <v>64.7</v>
      </c>
      <c r="N33" s="78">
        <f t="shared" si="0"/>
        <v>37.9</v>
      </c>
      <c r="O33" s="78">
        <f t="shared" si="0"/>
        <v>1221.2</v>
      </c>
      <c r="P33" s="79">
        <f t="shared" si="0"/>
        <v>101.8</v>
      </c>
    </row>
    <row r="34" spans="2:17" ht="17.25" thickBot="1">
      <c r="B34" s="116" t="s">
        <v>173</v>
      </c>
      <c r="C34" s="80">
        <f>All!C37</f>
        <v>25.6</v>
      </c>
      <c r="D34" s="80">
        <f>All!D37</f>
        <v>36.700000000000003</v>
      </c>
      <c r="E34" s="80">
        <f>All!E37</f>
        <v>50.9</v>
      </c>
      <c r="F34" s="80">
        <f>All!F37</f>
        <v>84</v>
      </c>
      <c r="G34" s="80">
        <f>All!G37</f>
        <v>98.8</v>
      </c>
      <c r="H34" s="80">
        <f>All!H37</f>
        <v>154.9</v>
      </c>
      <c r="I34" s="80">
        <f>All!I37</f>
        <v>293.10000000000002</v>
      </c>
      <c r="J34" s="80">
        <f>All!J37</f>
        <v>288.2</v>
      </c>
      <c r="K34" s="80">
        <f>All!K37</f>
        <v>145.1</v>
      </c>
      <c r="L34" s="80">
        <f>All!L37</f>
        <v>64.2</v>
      </c>
      <c r="M34" s="80">
        <f>All!M37</f>
        <v>53.2</v>
      </c>
      <c r="N34" s="80">
        <f>All!N37</f>
        <v>30.1</v>
      </c>
      <c r="O34" s="80">
        <f>All!O37</f>
        <v>1324.9</v>
      </c>
      <c r="P34" s="81">
        <f>All!P37</f>
        <v>110.4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2012</v>
      </c>
      <c r="C38" s="76">
        <f>O23</f>
        <v>1545.8</v>
      </c>
      <c r="D38" s="88" t="s">
        <v>30</v>
      </c>
      <c r="E38" s="89">
        <f>All!C53</f>
        <v>25.9</v>
      </c>
      <c r="F38" s="89">
        <f>All!D53</f>
        <v>39.200000000000003</v>
      </c>
      <c r="G38" s="89">
        <f>All!E53</f>
        <v>49.9</v>
      </c>
      <c r="H38" s="89">
        <f>All!F53</f>
        <v>93</v>
      </c>
      <c r="I38" s="89">
        <f>All!G53</f>
        <v>85.7</v>
      </c>
      <c r="J38" s="89">
        <f>All!H53</f>
        <v>92.7</v>
      </c>
      <c r="K38" s="89">
        <f>All!I53</f>
        <v>268.2</v>
      </c>
      <c r="L38" s="89">
        <f>All!J53</f>
        <v>234.1</v>
      </c>
      <c r="M38" s="89">
        <f>All!K53</f>
        <v>146.80000000000001</v>
      </c>
      <c r="N38" s="89">
        <f>All!L53</f>
        <v>83.3</v>
      </c>
      <c r="O38" s="89">
        <f>All!M53</f>
        <v>64.7</v>
      </c>
      <c r="P38" s="89">
        <f>All!N53</f>
        <v>37.9</v>
      </c>
      <c r="Q38" s="194">
        <f>All!P53</f>
        <v>101.8</v>
      </c>
    </row>
    <row r="39" spans="2:17">
      <c r="B39" s="74">
        <f t="shared" ref="B39:B48" si="1">B24</f>
        <v>2013</v>
      </c>
      <c r="C39" s="76">
        <f t="shared" ref="C39:C48" si="2">O24</f>
        <v>1236.3</v>
      </c>
    </row>
    <row r="40" spans="2:17">
      <c r="B40" s="74">
        <f t="shared" si="1"/>
        <v>2014</v>
      </c>
      <c r="C40" s="76">
        <f t="shared" si="2"/>
        <v>1142.0999999999999</v>
      </c>
    </row>
    <row r="41" spans="2:17">
      <c r="B41" s="74">
        <f t="shared" si="1"/>
        <v>2015</v>
      </c>
      <c r="C41" s="76">
        <f t="shared" si="2"/>
        <v>848.8</v>
      </c>
    </row>
    <row r="42" spans="2:17">
      <c r="B42" s="74">
        <f t="shared" si="1"/>
        <v>2016</v>
      </c>
      <c r="C42" s="76">
        <f t="shared" si="2"/>
        <v>1129.3</v>
      </c>
    </row>
    <row r="43" spans="2:17">
      <c r="B43" s="74">
        <f t="shared" si="1"/>
        <v>2017</v>
      </c>
      <c r="C43" s="76">
        <f t="shared" si="2"/>
        <v>1112</v>
      </c>
    </row>
    <row r="44" spans="2:17">
      <c r="B44" s="74">
        <f t="shared" si="1"/>
        <v>2018</v>
      </c>
      <c r="C44" s="76">
        <f t="shared" si="2"/>
        <v>1457.9</v>
      </c>
    </row>
    <row r="45" spans="2:17">
      <c r="B45" s="74">
        <f t="shared" si="1"/>
        <v>2019</v>
      </c>
      <c r="C45" s="76">
        <f t="shared" si="2"/>
        <v>992</v>
      </c>
    </row>
    <row r="46" spans="2:17">
      <c r="B46" s="74">
        <f t="shared" si="1"/>
        <v>2020</v>
      </c>
      <c r="C46" s="76">
        <f t="shared" si="2"/>
        <v>1624.8</v>
      </c>
    </row>
    <row r="47" spans="2:17">
      <c r="B47" s="74">
        <f t="shared" si="1"/>
        <v>2021</v>
      </c>
      <c r="C47" s="76">
        <f t="shared" si="2"/>
        <v>1123.4000000000001</v>
      </c>
    </row>
    <row r="48" spans="2:17" ht="17.25" thickBot="1">
      <c r="B48" s="82" t="str">
        <f t="shared" si="1"/>
        <v>10년평균</v>
      </c>
      <c r="C48" s="83">
        <f t="shared" si="2"/>
        <v>1221.2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1992</v>
      </c>
      <c r="C52" s="112">
        <f>O3</f>
        <v>1222.5999999999999</v>
      </c>
    </row>
    <row r="53" spans="2:3">
      <c r="B53" s="111">
        <f t="shared" ref="B53:B81" si="3">B4</f>
        <v>1993</v>
      </c>
      <c r="C53" s="112">
        <f t="shared" ref="C53:C81" si="4">O4</f>
        <v>1315.2</v>
      </c>
    </row>
    <row r="54" spans="2:3">
      <c r="B54" s="111">
        <f t="shared" si="3"/>
        <v>1994</v>
      </c>
      <c r="C54" s="112">
        <f t="shared" si="4"/>
        <v>1029.8</v>
      </c>
    </row>
    <row r="55" spans="2:3">
      <c r="B55" s="111">
        <f t="shared" si="3"/>
        <v>1995</v>
      </c>
      <c r="C55" s="112">
        <f t="shared" si="4"/>
        <v>1326.2</v>
      </c>
    </row>
    <row r="56" spans="2:3">
      <c r="B56" s="111">
        <f t="shared" si="3"/>
        <v>1996</v>
      </c>
      <c r="C56" s="112">
        <f t="shared" si="4"/>
        <v>1046.7</v>
      </c>
    </row>
    <row r="57" spans="2:3">
      <c r="B57" s="111">
        <f t="shared" si="3"/>
        <v>1997</v>
      </c>
      <c r="C57" s="112">
        <f t="shared" si="4"/>
        <v>1602.9</v>
      </c>
    </row>
    <row r="58" spans="2:3">
      <c r="B58" s="111">
        <f t="shared" si="3"/>
        <v>1998</v>
      </c>
      <c r="C58" s="112">
        <f t="shared" si="4"/>
        <v>2000.3</v>
      </c>
    </row>
    <row r="59" spans="2:3">
      <c r="B59" s="111">
        <f t="shared" si="3"/>
        <v>1999</v>
      </c>
      <c r="C59" s="112">
        <f t="shared" si="4"/>
        <v>1529.6</v>
      </c>
    </row>
    <row r="60" spans="2:3">
      <c r="B60" s="111">
        <f t="shared" si="3"/>
        <v>2000</v>
      </c>
      <c r="C60" s="112">
        <f t="shared" si="4"/>
        <v>1520.6</v>
      </c>
    </row>
    <row r="61" spans="2:3">
      <c r="B61" s="111">
        <f t="shared" si="3"/>
        <v>2001</v>
      </c>
      <c r="C61" s="112">
        <f t="shared" si="4"/>
        <v>752.6</v>
      </c>
    </row>
    <row r="62" spans="2:3">
      <c r="B62" s="111">
        <f t="shared" si="3"/>
        <v>2002</v>
      </c>
      <c r="C62" s="112">
        <f t="shared" si="4"/>
        <v>1274</v>
      </c>
    </row>
    <row r="63" spans="2:3">
      <c r="B63" s="111">
        <f t="shared" si="3"/>
        <v>2003</v>
      </c>
      <c r="C63" s="112">
        <f t="shared" si="4"/>
        <v>1780</v>
      </c>
    </row>
    <row r="64" spans="2:3">
      <c r="B64" s="111">
        <f t="shared" si="3"/>
        <v>2004</v>
      </c>
      <c r="C64" s="112">
        <f t="shared" si="4"/>
        <v>1493.9</v>
      </c>
    </row>
    <row r="65" spans="2:3">
      <c r="B65" s="111">
        <f t="shared" si="3"/>
        <v>2005</v>
      </c>
      <c r="C65" s="112">
        <f t="shared" si="4"/>
        <v>1527</v>
      </c>
    </row>
    <row r="66" spans="2:3">
      <c r="B66" s="111">
        <f t="shared" si="3"/>
        <v>2006</v>
      </c>
      <c r="C66" s="112">
        <f t="shared" si="4"/>
        <v>1076.5</v>
      </c>
    </row>
    <row r="67" spans="2:3">
      <c r="B67" s="111">
        <f t="shared" si="3"/>
        <v>2007</v>
      </c>
      <c r="C67" s="112">
        <f t="shared" si="4"/>
        <v>1651.3</v>
      </c>
    </row>
    <row r="68" spans="2:3">
      <c r="B68" s="111">
        <f t="shared" si="3"/>
        <v>2008</v>
      </c>
      <c r="C68" s="112">
        <f t="shared" si="4"/>
        <v>902.1</v>
      </c>
    </row>
    <row r="69" spans="2:3">
      <c r="B69" s="111">
        <f t="shared" si="3"/>
        <v>2009</v>
      </c>
      <c r="C69" s="112">
        <f t="shared" si="4"/>
        <v>1089.5999999999999</v>
      </c>
    </row>
    <row r="70" spans="2:3">
      <c r="B70" s="111">
        <f t="shared" si="3"/>
        <v>2010</v>
      </c>
      <c r="C70" s="112">
        <f t="shared" si="4"/>
        <v>1378.3</v>
      </c>
    </row>
    <row r="71" spans="2:3">
      <c r="B71" s="111">
        <f t="shared" si="3"/>
        <v>2011</v>
      </c>
      <c r="C71" s="112">
        <f t="shared" si="4"/>
        <v>2014.7</v>
      </c>
    </row>
    <row r="72" spans="2:3">
      <c r="B72" s="111">
        <f t="shared" si="3"/>
        <v>2012</v>
      </c>
      <c r="C72" s="112">
        <f t="shared" si="4"/>
        <v>1545.8</v>
      </c>
    </row>
    <row r="73" spans="2:3">
      <c r="B73" s="111">
        <f t="shared" si="3"/>
        <v>2013</v>
      </c>
      <c r="C73" s="112">
        <f t="shared" si="4"/>
        <v>1236.3</v>
      </c>
    </row>
    <row r="74" spans="2:3">
      <c r="B74" s="111">
        <f t="shared" si="3"/>
        <v>2014</v>
      </c>
      <c r="C74" s="112">
        <f t="shared" si="4"/>
        <v>1142.0999999999999</v>
      </c>
    </row>
    <row r="75" spans="2:3">
      <c r="B75" s="111">
        <f t="shared" si="3"/>
        <v>2015</v>
      </c>
      <c r="C75" s="112">
        <f t="shared" si="4"/>
        <v>848.8</v>
      </c>
    </row>
    <row r="76" spans="2:3">
      <c r="B76" s="111">
        <f t="shared" si="3"/>
        <v>2016</v>
      </c>
      <c r="C76" s="112">
        <f t="shared" si="4"/>
        <v>1129.3</v>
      </c>
    </row>
    <row r="77" spans="2:3">
      <c r="B77" s="111">
        <f t="shared" si="3"/>
        <v>2017</v>
      </c>
      <c r="C77" s="112">
        <f t="shared" si="4"/>
        <v>1112</v>
      </c>
    </row>
    <row r="78" spans="2:3">
      <c r="B78" s="111">
        <f>B29</f>
        <v>2018</v>
      </c>
      <c r="C78" s="112">
        <f t="shared" si="4"/>
        <v>1457.9</v>
      </c>
    </row>
    <row r="79" spans="2:3">
      <c r="B79" s="111">
        <f t="shared" si="3"/>
        <v>2019</v>
      </c>
      <c r="C79" s="112">
        <f t="shared" si="4"/>
        <v>992</v>
      </c>
    </row>
    <row r="80" spans="2:3">
      <c r="B80" s="111">
        <f t="shared" si="3"/>
        <v>2020</v>
      </c>
      <c r="C80" s="112">
        <f t="shared" si="4"/>
        <v>1624.8</v>
      </c>
    </row>
    <row r="81" spans="2:3">
      <c r="B81" s="111">
        <f t="shared" si="3"/>
        <v>2021</v>
      </c>
      <c r="C81" s="112">
        <f t="shared" si="4"/>
        <v>1123.4000000000001</v>
      </c>
    </row>
    <row r="82" spans="2:3" ht="17.25" thickBot="1">
      <c r="B82" s="88" t="str">
        <f>B34</f>
        <v>30년평균</v>
      </c>
      <c r="C82" s="113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9" zoomScaleNormal="100" workbookViewId="0">
      <selection activeCell="P23" sqref="P23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386</v>
      </c>
    </row>
    <row r="3" spans="2:16" ht="17.25" thickBot="1">
      <c r="I3" s="345"/>
      <c r="J3" s="345"/>
      <c r="K3" s="345"/>
    </row>
    <row r="4" spans="2:16" ht="29.25" customHeight="1">
      <c r="B4" s="434"/>
      <c r="C4" s="424" t="s">
        <v>7</v>
      </c>
      <c r="D4" s="410" t="s">
        <v>8</v>
      </c>
      <c r="E4" s="410" t="s">
        <v>9</v>
      </c>
      <c r="F4" s="410" t="s">
        <v>10</v>
      </c>
      <c r="G4" s="410" t="s">
        <v>11</v>
      </c>
      <c r="H4" s="410" t="s">
        <v>12</v>
      </c>
      <c r="I4" s="410" t="s">
        <v>13</v>
      </c>
      <c r="J4" s="410" t="s">
        <v>14</v>
      </c>
      <c r="K4" s="410" t="s">
        <v>15</v>
      </c>
      <c r="L4" s="410" t="s">
        <v>16</v>
      </c>
      <c r="M4" s="410" t="s">
        <v>17</v>
      </c>
      <c r="N4" s="411" t="s">
        <v>18</v>
      </c>
      <c r="O4" s="424" t="s">
        <v>19</v>
      </c>
      <c r="P4" s="411" t="s">
        <v>20</v>
      </c>
    </row>
    <row r="5" spans="2:16" ht="22.15" customHeight="1">
      <c r="B5" s="435">
        <f>All!B41</f>
        <v>2012</v>
      </c>
      <c r="C5" s="425">
        <f>All!C41</f>
        <v>16</v>
      </c>
      <c r="D5" s="412">
        <f>All!D41</f>
        <v>3.2</v>
      </c>
      <c r="E5" s="412">
        <f>All!E41</f>
        <v>60.2</v>
      </c>
      <c r="F5" s="412">
        <f>All!F41</f>
        <v>109.3</v>
      </c>
      <c r="G5" s="412">
        <f>All!G41</f>
        <v>19.5</v>
      </c>
      <c r="H5" s="412">
        <f>All!H41</f>
        <v>71.3</v>
      </c>
      <c r="I5" s="412">
        <f>All!I41</f>
        <v>302.89999999999998</v>
      </c>
      <c r="J5" s="412">
        <f>All!J41</f>
        <v>573.29999999999995</v>
      </c>
      <c r="K5" s="412">
        <f>All!K41</f>
        <v>186.2</v>
      </c>
      <c r="L5" s="412">
        <f>All!L41</f>
        <v>83</v>
      </c>
      <c r="M5" s="412">
        <f>All!M41</f>
        <v>60.7</v>
      </c>
      <c r="N5" s="413">
        <f>All!N41</f>
        <v>60.2</v>
      </c>
      <c r="O5" s="425">
        <f>All!O41</f>
        <v>1545.8</v>
      </c>
      <c r="P5" s="413">
        <f>All!P41</f>
        <v>128.80000000000001</v>
      </c>
    </row>
    <row r="6" spans="2:16" ht="22.15" customHeight="1">
      <c r="B6" s="435">
        <f>All!B42</f>
        <v>2013</v>
      </c>
      <c r="C6" s="425">
        <f>All!C42</f>
        <v>45.4</v>
      </c>
      <c r="D6" s="412">
        <f>All!D42</f>
        <v>58.7</v>
      </c>
      <c r="E6" s="412">
        <f>All!E42</f>
        <v>50.3</v>
      </c>
      <c r="F6" s="412">
        <f>All!F42</f>
        <v>93.7</v>
      </c>
      <c r="G6" s="412">
        <f>All!G42</f>
        <v>159</v>
      </c>
      <c r="H6" s="412">
        <f>All!H42</f>
        <v>151.69999999999999</v>
      </c>
      <c r="I6" s="412">
        <f>All!I42</f>
        <v>240.4</v>
      </c>
      <c r="J6" s="412">
        <f>All!J42</f>
        <v>119.5</v>
      </c>
      <c r="K6" s="412">
        <f>All!K42</f>
        <v>184.8</v>
      </c>
      <c r="L6" s="412">
        <f>All!L42</f>
        <v>17.5</v>
      </c>
      <c r="M6" s="412">
        <f>All!M42</f>
        <v>79.400000000000006</v>
      </c>
      <c r="N6" s="413">
        <f>All!N42</f>
        <v>35.9</v>
      </c>
      <c r="O6" s="425">
        <f>All!O42</f>
        <v>1236.3</v>
      </c>
      <c r="P6" s="413">
        <f>All!P42</f>
        <v>103</v>
      </c>
    </row>
    <row r="7" spans="2:16" ht="22.15" customHeight="1">
      <c r="B7" s="435">
        <f>All!B43</f>
        <v>2014</v>
      </c>
      <c r="C7" s="425">
        <f>All!C43</f>
        <v>2.2000000000000002</v>
      </c>
      <c r="D7" s="412">
        <f>All!D43</f>
        <v>15.3</v>
      </c>
      <c r="E7" s="412">
        <f>All!E43</f>
        <v>69.3</v>
      </c>
      <c r="F7" s="412">
        <f>All!F43</f>
        <v>94.1</v>
      </c>
      <c r="G7" s="412">
        <f>All!G43</f>
        <v>61.5</v>
      </c>
      <c r="H7" s="412">
        <f>All!H43</f>
        <v>77.8</v>
      </c>
      <c r="I7" s="412">
        <f>All!I43</f>
        <v>174.7</v>
      </c>
      <c r="J7" s="412">
        <f>All!J43</f>
        <v>225.1</v>
      </c>
      <c r="K7" s="412">
        <f>All!K43</f>
        <v>157.5</v>
      </c>
      <c r="L7" s="412">
        <f>All!L43</f>
        <v>170.5</v>
      </c>
      <c r="M7" s="412">
        <f>All!M43</f>
        <v>42.4</v>
      </c>
      <c r="N7" s="413">
        <f>All!N43</f>
        <v>51.7</v>
      </c>
      <c r="O7" s="425">
        <f>All!O43</f>
        <v>1142.0999999999999</v>
      </c>
      <c r="P7" s="413">
        <f>All!P43</f>
        <v>95.2</v>
      </c>
    </row>
    <row r="8" spans="2:16" ht="22.15" customHeight="1">
      <c r="B8" s="436">
        <f>All!B44</f>
        <v>2015</v>
      </c>
      <c r="C8" s="425">
        <f>All!C44</f>
        <v>35.4</v>
      </c>
      <c r="D8" s="412">
        <f>All!D44</f>
        <v>35.6</v>
      </c>
      <c r="E8" s="412">
        <f>All!E44</f>
        <v>42.4</v>
      </c>
      <c r="F8" s="412">
        <f>All!F44</f>
        <v>99.5</v>
      </c>
      <c r="G8" s="412">
        <f>All!G44</f>
        <v>53.5</v>
      </c>
      <c r="H8" s="412">
        <f>All!H44</f>
        <v>92.7</v>
      </c>
      <c r="I8" s="412">
        <f>All!I44</f>
        <v>119.9</v>
      </c>
      <c r="J8" s="412">
        <f>All!J44</f>
        <v>56.9</v>
      </c>
      <c r="K8" s="412">
        <f>All!K44</f>
        <v>22</v>
      </c>
      <c r="L8" s="412">
        <f>All!L44</f>
        <v>104</v>
      </c>
      <c r="M8" s="412">
        <f>All!M44</f>
        <v>130</v>
      </c>
      <c r="N8" s="413">
        <f>All!N44</f>
        <v>56.9</v>
      </c>
      <c r="O8" s="426">
        <f>All!O44</f>
        <v>848.8</v>
      </c>
      <c r="P8" s="413">
        <f>All!P44</f>
        <v>70.7</v>
      </c>
    </row>
    <row r="9" spans="2:16" ht="22.15" customHeight="1">
      <c r="B9" s="435">
        <f>All!B45</f>
        <v>2016</v>
      </c>
      <c r="C9" s="425">
        <f>All!C45</f>
        <v>6.6</v>
      </c>
      <c r="D9" s="412">
        <f>All!D45</f>
        <v>59.6</v>
      </c>
      <c r="E9" s="412">
        <f>All!E45</f>
        <v>19</v>
      </c>
      <c r="F9" s="412">
        <f>All!F45</f>
        <v>164.6</v>
      </c>
      <c r="G9" s="412">
        <f>All!G45</f>
        <v>121.6</v>
      </c>
      <c r="H9" s="412">
        <f>All!H45</f>
        <v>49.4</v>
      </c>
      <c r="I9" s="412">
        <f>All!I45</f>
        <v>341.1</v>
      </c>
      <c r="J9" s="412">
        <f>All!J45</f>
        <v>33.4</v>
      </c>
      <c r="K9" s="412">
        <f>All!K45</f>
        <v>133.69999999999999</v>
      </c>
      <c r="L9" s="412">
        <f>All!L45</f>
        <v>120.1</v>
      </c>
      <c r="M9" s="412">
        <f>All!M45</f>
        <v>17.100000000000001</v>
      </c>
      <c r="N9" s="413">
        <f>All!N45</f>
        <v>63.1</v>
      </c>
      <c r="O9" s="425">
        <f>All!O45</f>
        <v>1129.3</v>
      </c>
      <c r="P9" s="413">
        <f>All!P45</f>
        <v>94.1</v>
      </c>
    </row>
    <row r="10" spans="2:16" ht="22.15" customHeight="1">
      <c r="B10" s="435">
        <f>All!B46</f>
        <v>2017</v>
      </c>
      <c r="C10" s="425">
        <f>All!C46</f>
        <v>16</v>
      </c>
      <c r="D10" s="412">
        <f>All!D46</f>
        <v>28.5</v>
      </c>
      <c r="E10" s="412">
        <f>All!E46</f>
        <v>8.8000000000000007</v>
      </c>
      <c r="F10" s="412">
        <f>All!F46</f>
        <v>78.400000000000006</v>
      </c>
      <c r="G10" s="412">
        <f>All!G46</f>
        <v>35.799999999999997</v>
      </c>
      <c r="H10" s="412">
        <f>All!H46</f>
        <v>51.4</v>
      </c>
      <c r="I10" s="412">
        <f>All!I46</f>
        <v>326.7</v>
      </c>
      <c r="J10" s="412">
        <f>All!J46</f>
        <v>358.5</v>
      </c>
      <c r="K10" s="412">
        <f>All!K46</f>
        <v>97.1</v>
      </c>
      <c r="L10" s="412">
        <f>All!L46</f>
        <v>51.9</v>
      </c>
      <c r="M10" s="412">
        <f>All!M46</f>
        <v>22.8</v>
      </c>
      <c r="N10" s="413">
        <f>All!N46</f>
        <v>36.1</v>
      </c>
      <c r="O10" s="425">
        <f>All!O46</f>
        <v>1112</v>
      </c>
      <c r="P10" s="413">
        <f>All!P46</f>
        <v>92.7</v>
      </c>
    </row>
    <row r="11" spans="2:16" ht="22.15" customHeight="1">
      <c r="B11" s="435">
        <f>All!B47</f>
        <v>2018</v>
      </c>
      <c r="C11" s="425">
        <f>All!C47</f>
        <v>25</v>
      </c>
      <c r="D11" s="412">
        <f>All!D47</f>
        <v>43.1</v>
      </c>
      <c r="E11" s="412">
        <f>All!E47</f>
        <v>99.3</v>
      </c>
      <c r="F11" s="412">
        <f>All!F47</f>
        <v>156.5</v>
      </c>
      <c r="G11" s="412">
        <f>All!G47</f>
        <v>116.1</v>
      </c>
      <c r="H11" s="412">
        <f>All!H47</f>
        <v>107.1</v>
      </c>
      <c r="I11" s="412">
        <f>All!I47</f>
        <v>278.8</v>
      </c>
      <c r="J11" s="412">
        <f>All!J47</f>
        <v>277</v>
      </c>
      <c r="K11" s="412">
        <f>All!K47</f>
        <v>98.3</v>
      </c>
      <c r="L11" s="412">
        <f>All!L47</f>
        <v>159.19999999999999</v>
      </c>
      <c r="M11" s="412">
        <f>All!M47</f>
        <v>66</v>
      </c>
      <c r="N11" s="413">
        <f>All!N47</f>
        <v>31.5</v>
      </c>
      <c r="O11" s="425">
        <f>All!O47</f>
        <v>1457.9</v>
      </c>
      <c r="P11" s="413">
        <f>All!P47</f>
        <v>121.5</v>
      </c>
    </row>
    <row r="12" spans="2:16" ht="22.15" customHeight="1">
      <c r="B12" s="435">
        <f>All!B48</f>
        <v>2019</v>
      </c>
      <c r="C12" s="425">
        <f>All!C48</f>
        <v>0.5</v>
      </c>
      <c r="D12" s="412">
        <f>All!D48</f>
        <v>37.6</v>
      </c>
      <c r="E12" s="412">
        <f>All!E48</f>
        <v>35</v>
      </c>
      <c r="F12" s="412">
        <f>All!F48</f>
        <v>73.7</v>
      </c>
      <c r="G12" s="412">
        <f>All!G48</f>
        <v>44.3</v>
      </c>
      <c r="H12" s="412">
        <f>All!H48</f>
        <v>59.9</v>
      </c>
      <c r="I12" s="412">
        <f>All!I48</f>
        <v>216.7</v>
      </c>
      <c r="J12" s="412">
        <f>All!J48</f>
        <v>102.1</v>
      </c>
      <c r="K12" s="412">
        <f>All!K48</f>
        <v>191.9</v>
      </c>
      <c r="L12" s="412">
        <f>All!L48</f>
        <v>85.6</v>
      </c>
      <c r="M12" s="412">
        <f>All!M48</f>
        <v>113.5</v>
      </c>
      <c r="N12" s="413">
        <f>All!N48</f>
        <v>31.2</v>
      </c>
      <c r="O12" s="425">
        <f>All!O48</f>
        <v>992</v>
      </c>
      <c r="P12" s="413">
        <f>All!P48</f>
        <v>82.7</v>
      </c>
    </row>
    <row r="13" spans="2:16" ht="22.15" customHeight="1">
      <c r="B13" s="436">
        <f>All!B49</f>
        <v>2020</v>
      </c>
      <c r="C13" s="425">
        <f>All!C49</f>
        <v>79.599999999999994</v>
      </c>
      <c r="D13" s="412">
        <f>All!D49</f>
        <v>92.4</v>
      </c>
      <c r="E13" s="412">
        <f>All!E49</f>
        <v>19.3</v>
      </c>
      <c r="F13" s="412">
        <f>All!F49</f>
        <v>17.7</v>
      </c>
      <c r="G13" s="412">
        <f>All!G49</f>
        <v>108.5</v>
      </c>
      <c r="H13" s="412">
        <f>All!H49</f>
        <v>188.4</v>
      </c>
      <c r="I13" s="412">
        <f>All!I49</f>
        <v>492.6</v>
      </c>
      <c r="J13" s="412">
        <f>All!J49</f>
        <v>367.8</v>
      </c>
      <c r="K13" s="412">
        <f>All!K49</f>
        <v>208.9</v>
      </c>
      <c r="L13" s="412">
        <f>All!L49</f>
        <v>4.4000000000000004</v>
      </c>
      <c r="M13" s="412">
        <f>All!M49</f>
        <v>41.8</v>
      </c>
      <c r="N13" s="413">
        <f>All!N49</f>
        <v>3.4</v>
      </c>
      <c r="O13" s="426">
        <f>All!O49</f>
        <v>1624.8</v>
      </c>
      <c r="P13" s="413">
        <f>All!P49</f>
        <v>135.4</v>
      </c>
    </row>
    <row r="14" spans="2:16" ht="22.15" customHeight="1" thickBot="1">
      <c r="B14" s="437">
        <f>All!B50</f>
        <v>2021</v>
      </c>
      <c r="C14" s="427">
        <f>All!C50</f>
        <v>32.1</v>
      </c>
      <c r="D14" s="414">
        <f>All!D50</f>
        <v>18.100000000000001</v>
      </c>
      <c r="E14" s="414">
        <f>All!E50</f>
        <v>95.7</v>
      </c>
      <c r="F14" s="414">
        <f>All!F50</f>
        <v>42.3</v>
      </c>
      <c r="G14" s="414">
        <f>All!G50</f>
        <v>136.9</v>
      </c>
      <c r="H14" s="414">
        <f>All!H50</f>
        <v>76.900000000000006</v>
      </c>
      <c r="I14" s="414">
        <f>All!I50</f>
        <v>187.7</v>
      </c>
      <c r="J14" s="414">
        <f>All!J50</f>
        <v>227.6</v>
      </c>
      <c r="K14" s="414">
        <f>All!K50</f>
        <v>187.1</v>
      </c>
      <c r="L14" s="414">
        <f>All!L50</f>
        <v>36.9</v>
      </c>
      <c r="M14" s="414">
        <f>All!M50</f>
        <v>73.400000000000006</v>
      </c>
      <c r="N14" s="415">
        <f>All!N50</f>
        <v>8.6999999999999993</v>
      </c>
      <c r="O14" s="427">
        <f>All!O50</f>
        <v>1123.4000000000001</v>
      </c>
      <c r="P14" s="415">
        <f>All!P50</f>
        <v>93.6</v>
      </c>
    </row>
    <row r="15" spans="2:16" ht="22.15" customHeight="1">
      <c r="B15" s="438" t="s">
        <v>21</v>
      </c>
      <c r="C15" s="432">
        <f>All!C51</f>
        <v>79.599999999999994</v>
      </c>
      <c r="D15" s="416">
        <f>All!D51</f>
        <v>92.4</v>
      </c>
      <c r="E15" s="416">
        <f>All!E51</f>
        <v>99.3</v>
      </c>
      <c r="F15" s="416">
        <f>All!F51</f>
        <v>164.6</v>
      </c>
      <c r="G15" s="416">
        <f>All!G51</f>
        <v>159</v>
      </c>
      <c r="H15" s="416">
        <f>All!H51</f>
        <v>188.4</v>
      </c>
      <c r="I15" s="416">
        <f>All!I51</f>
        <v>492.6</v>
      </c>
      <c r="J15" s="416">
        <f>All!J51</f>
        <v>573.29999999999995</v>
      </c>
      <c r="K15" s="416">
        <f>All!K51</f>
        <v>208.9</v>
      </c>
      <c r="L15" s="416">
        <f>All!L51</f>
        <v>170.5</v>
      </c>
      <c r="M15" s="416">
        <f>All!M51</f>
        <v>130</v>
      </c>
      <c r="N15" s="417">
        <f>All!N51</f>
        <v>63.1</v>
      </c>
      <c r="O15" s="428">
        <f>All!O51</f>
        <v>1624.8</v>
      </c>
      <c r="P15" s="417">
        <f>All!P51</f>
        <v>135.4</v>
      </c>
    </row>
    <row r="16" spans="2:16" ht="22.15" customHeight="1">
      <c r="B16" s="435" t="s">
        <v>22</v>
      </c>
      <c r="C16" s="425">
        <f>All!C52</f>
        <v>0.5</v>
      </c>
      <c r="D16" s="412">
        <f>All!D52</f>
        <v>3.2</v>
      </c>
      <c r="E16" s="412">
        <f>All!E52</f>
        <v>8.8000000000000007</v>
      </c>
      <c r="F16" s="412">
        <f>All!F52</f>
        <v>17.7</v>
      </c>
      <c r="G16" s="412">
        <f>All!G52</f>
        <v>19.5</v>
      </c>
      <c r="H16" s="412">
        <f>All!H52</f>
        <v>49.4</v>
      </c>
      <c r="I16" s="412">
        <f>All!I52</f>
        <v>119.9</v>
      </c>
      <c r="J16" s="412">
        <f>All!J52</f>
        <v>33.4</v>
      </c>
      <c r="K16" s="412">
        <f>All!K52</f>
        <v>22</v>
      </c>
      <c r="L16" s="412">
        <f>All!L52</f>
        <v>4.4000000000000004</v>
      </c>
      <c r="M16" s="412">
        <f>All!M52</f>
        <v>17.100000000000001</v>
      </c>
      <c r="N16" s="413">
        <f>All!N52</f>
        <v>3.4</v>
      </c>
      <c r="O16" s="429">
        <f>All!O52</f>
        <v>848.8</v>
      </c>
      <c r="P16" s="413">
        <f>All!P52</f>
        <v>70.7</v>
      </c>
    </row>
    <row r="17" spans="1:16" ht="22.15" customHeight="1" thickBot="1">
      <c r="B17" s="437" t="s">
        <v>20</v>
      </c>
      <c r="C17" s="427">
        <f>All!C53</f>
        <v>25.9</v>
      </c>
      <c r="D17" s="414">
        <f>All!D53</f>
        <v>39.200000000000003</v>
      </c>
      <c r="E17" s="421">
        <f>All!E53</f>
        <v>49.9</v>
      </c>
      <c r="F17" s="414">
        <f>All!F53</f>
        <v>93</v>
      </c>
      <c r="G17" s="422">
        <f>All!G53</f>
        <v>85.7</v>
      </c>
      <c r="H17" s="422">
        <f>All!H53</f>
        <v>92.7</v>
      </c>
      <c r="I17" s="422">
        <f>All!I53</f>
        <v>268.2</v>
      </c>
      <c r="J17" s="422">
        <f>All!J53</f>
        <v>234.1</v>
      </c>
      <c r="K17" s="422">
        <f>All!K53</f>
        <v>146.80000000000001</v>
      </c>
      <c r="L17" s="414">
        <f>All!L53</f>
        <v>83.3</v>
      </c>
      <c r="M17" s="414">
        <f>All!M53</f>
        <v>64.7</v>
      </c>
      <c r="N17" s="415">
        <f>All!N53</f>
        <v>37.9</v>
      </c>
      <c r="O17" s="430">
        <f>All!O53</f>
        <v>1221.2</v>
      </c>
      <c r="P17" s="423">
        <f>All!P53</f>
        <v>101.8</v>
      </c>
    </row>
    <row r="18" spans="1:16" ht="29.25" customHeight="1" thickBot="1">
      <c r="B18" s="91" t="s">
        <v>23</v>
      </c>
      <c r="C18" s="433">
        <f>All!C37</f>
        <v>25.6</v>
      </c>
      <c r="D18" s="418">
        <f>All!D37</f>
        <v>36.700000000000003</v>
      </c>
      <c r="E18" s="418">
        <f>All!E37</f>
        <v>50.9</v>
      </c>
      <c r="F18" s="418">
        <f>All!F37</f>
        <v>84</v>
      </c>
      <c r="G18" s="418">
        <f>All!G37</f>
        <v>98.8</v>
      </c>
      <c r="H18" s="418">
        <f>All!H37</f>
        <v>154.9</v>
      </c>
      <c r="I18" s="419">
        <f>All!I37</f>
        <v>293.10000000000002</v>
      </c>
      <c r="J18" s="419">
        <f>All!J37</f>
        <v>288.2</v>
      </c>
      <c r="K18" s="419">
        <f>All!K37</f>
        <v>145.1</v>
      </c>
      <c r="L18" s="419">
        <f>All!L37</f>
        <v>64.2</v>
      </c>
      <c r="M18" s="419">
        <f>All!M37</f>
        <v>53.2</v>
      </c>
      <c r="N18" s="420">
        <f>All!N37</f>
        <v>30.1</v>
      </c>
      <c r="O18" s="431">
        <f>All!O37</f>
        <v>1324.9</v>
      </c>
      <c r="P18" s="420">
        <f>All!P37</f>
        <v>110.4</v>
      </c>
    </row>
    <row r="19" spans="1:16" ht="22.15" customHeight="1" thickBot="1"/>
    <row r="20" spans="1:16">
      <c r="B20" s="439" t="s">
        <v>24</v>
      </c>
      <c r="C20" s="125"/>
      <c r="D20" s="128">
        <f>SUM(G17:K17)</f>
        <v>827.5</v>
      </c>
      <c r="F20" s="92"/>
    </row>
    <row r="21" spans="1:16">
      <c r="B21" s="440" t="s">
        <v>166</v>
      </c>
      <c r="D21" s="129">
        <f>O17</f>
        <v>1221.2</v>
      </c>
    </row>
    <row r="22" spans="1:16" ht="17.25" thickBot="1">
      <c r="B22" s="126"/>
      <c r="C22" s="127"/>
      <c r="D22" s="130">
        <f>D20/D21</f>
        <v>0.6776121847363249</v>
      </c>
    </row>
    <row r="23" spans="1:16" ht="33.75" customHeight="1" thickBot="1">
      <c r="C23" s="404" t="s">
        <v>187</v>
      </c>
      <c r="D23" s="404" t="s">
        <v>188</v>
      </c>
      <c r="E23" s="404" t="s">
        <v>189</v>
      </c>
    </row>
    <row r="24" spans="1:16" ht="21.95" customHeight="1" thickBot="1">
      <c r="B24" s="405" t="s">
        <v>94</v>
      </c>
      <c r="C24" s="483">
        <f>O16</f>
        <v>848.8</v>
      </c>
      <c r="D24" s="484"/>
      <c r="E24" s="485"/>
      <c r="H24" s="442" t="s">
        <v>184</v>
      </c>
      <c r="I24" s="535" t="s">
        <v>367</v>
      </c>
      <c r="J24" s="536"/>
      <c r="K24" s="346">
        <f>INDEX(Location[recharge], MATCH(I24,Location[name],0))</f>
        <v>0.16300000000000001</v>
      </c>
      <c r="L24" s="347">
        <f>INDEX(Location[ratio], MATCH(I24,Location[name],0))</f>
        <v>0.67</v>
      </c>
    </row>
    <row r="25" spans="1:16" ht="21.95" customHeight="1" thickBot="1">
      <c r="B25" s="406" t="s">
        <v>25</v>
      </c>
      <c r="C25" s="486">
        <f>O18</f>
        <v>1324.9</v>
      </c>
      <c r="D25" s="487"/>
      <c r="E25" s="488"/>
      <c r="H25" s="442" t="s">
        <v>185</v>
      </c>
      <c r="I25" s="537" t="s">
        <v>194</v>
      </c>
      <c r="J25" s="538"/>
      <c r="K25" s="499">
        <f>INDEX(Location[recharge], MATCH(I25,Location[name],0))</f>
        <v>0.16600000000000001</v>
      </c>
      <c r="L25" s="500">
        <f>INDEX(Location[ratio], MATCH(I25,Location[name],0))</f>
        <v>0.64</v>
      </c>
    </row>
    <row r="26" spans="1:16" ht="21.95" customHeight="1" thickBot="1">
      <c r="B26" s="407" t="s">
        <v>165</v>
      </c>
      <c r="C26" s="489">
        <f>L24</f>
        <v>0.67</v>
      </c>
      <c r="D26" s="490">
        <f>L25</f>
        <v>0.64</v>
      </c>
      <c r="E26" s="491">
        <f>L26</f>
        <v>0.65</v>
      </c>
      <c r="H26" s="442" t="s">
        <v>186</v>
      </c>
      <c r="I26" s="539" t="s">
        <v>258</v>
      </c>
      <c r="J26" s="540"/>
      <c r="K26" s="497">
        <f>INDEX(Location[recharge], MATCH(I26,Location[name],0))</f>
        <v>0.127</v>
      </c>
      <c r="L26" s="498">
        <f>INDEX(Location[ratio], MATCH(I26,Location[name],0))</f>
        <v>0.65</v>
      </c>
    </row>
    <row r="27" spans="1:16" ht="21.95" customHeight="1">
      <c r="B27" s="406" t="s">
        <v>26</v>
      </c>
      <c r="C27" s="492">
        <f>Well!P4</f>
        <v>1202219</v>
      </c>
      <c r="D27" s="487"/>
      <c r="E27" s="493"/>
    </row>
    <row r="28" spans="1:16" ht="21.95" customHeight="1" thickBot="1">
      <c r="B28" s="408" t="s">
        <v>27</v>
      </c>
      <c r="C28" s="494">
        <f>K24</f>
        <v>0.16300000000000001</v>
      </c>
      <c r="D28" s="495">
        <f>K25</f>
        <v>0.16600000000000001</v>
      </c>
      <c r="E28" s="496">
        <f>K26</f>
        <v>0.127</v>
      </c>
    </row>
    <row r="29" spans="1:16" ht="17.25" thickBot="1">
      <c r="E29" s="93"/>
    </row>
    <row r="30" spans="1:16" ht="22.15" customHeight="1" thickBot="1">
      <c r="B30" s="409" t="s">
        <v>167</v>
      </c>
      <c r="C30" s="123">
        <f>max*rf_1/10</f>
        <v>21.595870000000001</v>
      </c>
      <c r="D30" s="123">
        <f>max*rf_2/10</f>
        <v>21.993340000000003</v>
      </c>
      <c r="E30" s="124">
        <f>max*rf_3/10</f>
        <v>16.826230000000002</v>
      </c>
    </row>
    <row r="31" spans="1:16" ht="22.15" customHeight="1">
      <c r="E31" s="93"/>
    </row>
    <row r="32" spans="1:16" ht="17.25" customHeight="1">
      <c r="A32" s="441" t="s">
        <v>168</v>
      </c>
      <c r="B32" s="345"/>
      <c r="C32" s="345"/>
      <c r="D32" s="345"/>
    </row>
    <row r="33" spans="1:6" ht="17.25" customHeight="1">
      <c r="A33" s="441" t="s">
        <v>169</v>
      </c>
    </row>
    <row r="34" spans="1:6" ht="17.25" customHeight="1">
      <c r="C34" s="345"/>
      <c r="D34" s="345"/>
    </row>
    <row r="35" spans="1:6" ht="17.25" customHeight="1"/>
    <row r="6836" spans="2430:2430">
      <c r="COL6836" s="348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363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375</v>
      </c>
      <c r="H5" s="307" t="s">
        <v>376</v>
      </c>
      <c r="I5" s="307" t="s">
        <v>377</v>
      </c>
      <c r="J5" s="307" t="s">
        <v>378</v>
      </c>
      <c r="K5" s="312" t="s">
        <v>379</v>
      </c>
    </row>
    <row r="6" spans="3:11" ht="97.5" customHeight="1">
      <c r="C6" s="224" t="s">
        <v>230</v>
      </c>
      <c r="D6" s="307"/>
      <c r="E6" s="307"/>
      <c r="F6" s="307"/>
      <c r="G6" s="307"/>
      <c r="H6" s="307"/>
      <c r="I6" s="307"/>
      <c r="J6" s="307"/>
      <c r="K6" s="312"/>
    </row>
    <row r="7" spans="3:11" ht="97.5" customHeight="1">
      <c r="C7" s="224" t="s">
        <v>231</v>
      </c>
      <c r="D7" s="307"/>
      <c r="E7" s="307"/>
      <c r="F7" s="307"/>
      <c r="G7" s="307"/>
      <c r="H7" s="307"/>
      <c r="I7" s="307"/>
      <c r="J7" s="307"/>
      <c r="K7" s="312"/>
    </row>
    <row r="8" spans="3:11" ht="97.5" customHeight="1">
      <c r="C8" s="224" t="s">
        <v>360</v>
      </c>
      <c r="D8" s="307"/>
      <c r="E8" s="307"/>
      <c r="F8" s="307"/>
      <c r="G8" s="307"/>
      <c r="H8" s="307"/>
      <c r="I8" s="307"/>
      <c r="J8" s="307"/>
      <c r="K8" s="312"/>
    </row>
    <row r="9" spans="3:11" ht="97.5" customHeight="1">
      <c r="C9" s="224" t="s">
        <v>361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362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329</v>
      </c>
      <c r="C4" s="316" t="s">
        <v>330</v>
      </c>
      <c r="D4" s="316" t="s">
        <v>339</v>
      </c>
      <c r="E4" s="316" t="s">
        <v>347</v>
      </c>
      <c r="F4" s="316" t="s">
        <v>346</v>
      </c>
      <c r="G4" s="316" t="s">
        <v>331</v>
      </c>
      <c r="H4" s="317" t="s">
        <v>321</v>
      </c>
      <c r="I4" s="316" t="s">
        <v>332</v>
      </c>
      <c r="J4" s="316" t="s">
        <v>333</v>
      </c>
      <c r="K4" s="316" t="s">
        <v>337</v>
      </c>
      <c r="L4" s="316" t="s">
        <v>336</v>
      </c>
      <c r="M4" s="316" t="s">
        <v>334</v>
      </c>
      <c r="N4" s="316" t="s">
        <v>327</v>
      </c>
      <c r="O4" s="317" t="s">
        <v>322</v>
      </c>
      <c r="P4" s="317" t="s">
        <v>323</v>
      </c>
      <c r="Q4" s="316" t="s">
        <v>335</v>
      </c>
      <c r="R4" s="316" t="s">
        <v>340</v>
      </c>
      <c r="S4" s="316" t="s">
        <v>341</v>
      </c>
      <c r="T4" s="317" t="s">
        <v>326</v>
      </c>
      <c r="U4" s="316" t="s">
        <v>338</v>
      </c>
      <c r="V4" s="317" t="s">
        <v>324</v>
      </c>
      <c r="W4" s="317" t="s">
        <v>325</v>
      </c>
      <c r="X4" s="317" t="s">
        <v>328</v>
      </c>
      <c r="Y4" s="316" t="s">
        <v>344</v>
      </c>
      <c r="Z4" s="316" t="s">
        <v>345</v>
      </c>
      <c r="AA4" s="316" t="s">
        <v>352</v>
      </c>
      <c r="AB4" s="316" t="s">
        <v>353</v>
      </c>
      <c r="AC4" s="316" t="s">
        <v>348</v>
      </c>
      <c r="AD4" s="316" t="s">
        <v>342</v>
      </c>
      <c r="AE4" s="316" t="s">
        <v>343</v>
      </c>
      <c r="AF4" s="316" t="s">
        <v>349</v>
      </c>
      <c r="AG4" s="317" t="s">
        <v>350</v>
      </c>
      <c r="AH4" s="328" t="s">
        <v>351</v>
      </c>
    </row>
    <row r="5" spans="1:34" ht="23.1" customHeight="1">
      <c r="A5" s="319"/>
      <c r="B5" s="280"/>
      <c r="C5" s="280"/>
      <c r="D5" s="326"/>
      <c r="E5" s="326"/>
      <c r="F5" s="326"/>
      <c r="G5" s="280"/>
      <c r="H5" s="280"/>
      <c r="I5" s="280"/>
      <c r="J5" s="280"/>
      <c r="K5" s="280"/>
      <c r="L5" s="326"/>
      <c r="M5" s="280"/>
      <c r="N5" s="280"/>
      <c r="O5" s="324"/>
      <c r="P5" s="324"/>
      <c r="Q5" s="324"/>
      <c r="R5" s="280"/>
      <c r="S5" s="327"/>
      <c r="T5" s="324"/>
      <c r="U5" s="280"/>
      <c r="V5" s="325"/>
      <c r="W5" s="325"/>
      <c r="X5" s="325"/>
      <c r="Y5" s="280"/>
      <c r="Z5" s="324"/>
      <c r="AA5" s="280"/>
      <c r="AB5" s="280"/>
      <c r="AC5" s="280"/>
      <c r="AD5" s="280"/>
      <c r="AE5" s="280"/>
      <c r="AF5" s="280"/>
      <c r="AG5" s="280"/>
      <c r="AH5" s="329"/>
    </row>
    <row r="6" spans="1:34" ht="23.1" customHeight="1">
      <c r="A6" s="319"/>
      <c r="B6" s="280"/>
      <c r="C6" s="280"/>
      <c r="D6" s="326"/>
      <c r="E6" s="326"/>
      <c r="F6" s="326"/>
      <c r="G6" s="280"/>
      <c r="H6" s="280"/>
      <c r="I6" s="280"/>
      <c r="J6" s="280"/>
      <c r="K6" s="280"/>
      <c r="L6" s="326"/>
      <c r="M6" s="280"/>
      <c r="N6" s="280"/>
      <c r="O6" s="324"/>
      <c r="P6" s="324"/>
      <c r="Q6" s="324"/>
      <c r="R6" s="280"/>
      <c r="S6" s="327"/>
      <c r="T6" s="324"/>
      <c r="U6" s="280"/>
      <c r="V6" s="325"/>
      <c r="W6" s="325"/>
      <c r="X6" s="325"/>
      <c r="Y6" s="280"/>
      <c r="Z6" s="324"/>
      <c r="AA6" s="280"/>
      <c r="AB6" s="280"/>
      <c r="AC6" s="280"/>
      <c r="AD6" s="280"/>
      <c r="AE6" s="280"/>
      <c r="AF6" s="280"/>
      <c r="AG6" s="280"/>
      <c r="AH6" s="329"/>
    </row>
    <row r="7" spans="1:34" ht="23.1" customHeight="1">
      <c r="A7" s="319"/>
      <c r="B7" s="280"/>
      <c r="C7" s="280"/>
      <c r="D7" s="326"/>
      <c r="E7" s="326"/>
      <c r="F7" s="326"/>
      <c r="G7" s="280"/>
      <c r="H7" s="280"/>
      <c r="I7" s="280"/>
      <c r="J7" s="280"/>
      <c r="K7" s="280"/>
      <c r="L7" s="326"/>
      <c r="M7" s="280"/>
      <c r="N7" s="280"/>
      <c r="O7" s="324"/>
      <c r="P7" s="324"/>
      <c r="Q7" s="324"/>
      <c r="R7" s="280"/>
      <c r="S7" s="327"/>
      <c r="T7" s="324"/>
      <c r="U7" s="280"/>
      <c r="V7" s="325"/>
      <c r="W7" s="325"/>
      <c r="X7" s="325"/>
      <c r="Y7" s="280"/>
      <c r="Z7" s="324"/>
      <c r="AA7" s="280"/>
      <c r="AB7" s="280"/>
      <c r="AC7" s="280"/>
      <c r="AD7" s="280"/>
      <c r="AE7" s="280"/>
      <c r="AF7" s="280"/>
      <c r="AG7" s="280"/>
      <c r="AH7" s="329"/>
    </row>
    <row r="8" spans="1:34" ht="23.1" customHeight="1">
      <c r="A8" s="319"/>
      <c r="B8" s="280"/>
      <c r="C8" s="280"/>
      <c r="D8" s="326"/>
      <c r="E8" s="326"/>
      <c r="F8" s="326"/>
      <c r="G8" s="280"/>
      <c r="H8" s="280"/>
      <c r="I8" s="280"/>
      <c r="J8" s="280"/>
      <c r="K8" s="280"/>
      <c r="L8" s="326"/>
      <c r="M8" s="280"/>
      <c r="N8" s="280"/>
      <c r="O8" s="324"/>
      <c r="P8" s="324"/>
      <c r="Q8" s="324"/>
      <c r="R8" s="280"/>
      <c r="S8" s="327"/>
      <c r="T8" s="324"/>
      <c r="U8" s="280"/>
      <c r="V8" s="325"/>
      <c r="W8" s="325"/>
      <c r="X8" s="325"/>
      <c r="Y8" s="280"/>
      <c r="Z8" s="324"/>
      <c r="AA8" s="280"/>
      <c r="AB8" s="280"/>
      <c r="AC8" s="280"/>
      <c r="AD8" s="280"/>
      <c r="AE8" s="280"/>
      <c r="AF8" s="280"/>
      <c r="AG8" s="280"/>
      <c r="AH8" s="329"/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C14" sqref="C14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32"/>
    </row>
    <row r="5" spans="1:12" ht="20.100000000000001" customHeight="1" thickBot="1"/>
    <row r="6" spans="1:12" ht="20.100000000000001" customHeight="1">
      <c r="D6" s="523" t="s">
        <v>280</v>
      </c>
      <c r="E6" s="524" t="s">
        <v>391</v>
      </c>
      <c r="F6" s="524"/>
      <c r="G6" s="524" t="s">
        <v>392</v>
      </c>
      <c r="H6" s="524"/>
      <c r="I6" s="524" t="s">
        <v>393</v>
      </c>
      <c r="J6" s="524"/>
      <c r="K6" s="524" t="s">
        <v>394</v>
      </c>
      <c r="L6" s="525"/>
    </row>
    <row r="7" spans="1:12" ht="20.100000000000001" customHeight="1">
      <c r="D7" s="526" t="s">
        <v>395</v>
      </c>
      <c r="E7" s="527">
        <v>57</v>
      </c>
      <c r="F7" s="527">
        <v>297.36000000000007</v>
      </c>
      <c r="G7" s="527">
        <v>15</v>
      </c>
      <c r="H7" s="527">
        <v>54.11</v>
      </c>
      <c r="I7" s="527">
        <v>40</v>
      </c>
      <c r="J7" s="527">
        <v>229.25000000000009</v>
      </c>
      <c r="K7" s="527">
        <v>2</v>
      </c>
      <c r="L7" s="528">
        <v>14</v>
      </c>
    </row>
    <row r="8" spans="1:12" ht="20.100000000000001" customHeight="1" thickBot="1">
      <c r="D8" s="529" t="s">
        <v>396</v>
      </c>
      <c r="E8" s="530">
        <v>0</v>
      </c>
      <c r="F8" s="530">
        <v>0</v>
      </c>
      <c r="G8" s="530">
        <v>0</v>
      </c>
      <c r="H8" s="530">
        <v>0</v>
      </c>
      <c r="I8" s="530">
        <v>0</v>
      </c>
      <c r="J8" s="530">
        <v>0</v>
      </c>
      <c r="K8" s="530">
        <v>0</v>
      </c>
      <c r="L8" s="5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S16" sqref="S16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372</v>
      </c>
      <c r="F1" s="32"/>
      <c r="J1" s="60"/>
    </row>
    <row r="2" spans="1:18" s="67" customFormat="1" ht="23.1" customHeight="1">
      <c r="A2" s="541" t="s">
        <v>0</v>
      </c>
      <c r="B2" s="543" t="s">
        <v>39</v>
      </c>
      <c r="C2" s="543" t="s">
        <v>6</v>
      </c>
      <c r="D2" s="543" t="s">
        <v>38</v>
      </c>
      <c r="E2" s="543" t="s">
        <v>204</v>
      </c>
      <c r="F2" s="543" t="s">
        <v>203</v>
      </c>
      <c r="G2" s="547" t="s">
        <v>1</v>
      </c>
      <c r="H2" s="547" t="s">
        <v>2</v>
      </c>
      <c r="I2" s="547" t="s">
        <v>172</v>
      </c>
      <c r="J2" s="551" t="s">
        <v>274</v>
      </c>
      <c r="K2" s="547" t="s">
        <v>273</v>
      </c>
      <c r="L2" s="547" t="s">
        <v>3</v>
      </c>
      <c r="M2" s="547" t="s">
        <v>4</v>
      </c>
      <c r="N2" s="547" t="s">
        <v>5</v>
      </c>
      <c r="O2" s="547" t="s">
        <v>272</v>
      </c>
      <c r="P2" s="549" t="s">
        <v>271</v>
      </c>
      <c r="Q2" s="543" t="s">
        <v>159</v>
      </c>
      <c r="R2" s="545" t="s">
        <v>92</v>
      </c>
    </row>
    <row r="3" spans="1:18" s="67" customFormat="1" ht="27" customHeight="1">
      <c r="A3" s="542"/>
      <c r="B3" s="544"/>
      <c r="C3" s="544"/>
      <c r="D3" s="544"/>
      <c r="E3" s="544"/>
      <c r="F3" s="544"/>
      <c r="G3" s="548"/>
      <c r="H3" s="548"/>
      <c r="I3" s="548"/>
      <c r="J3" s="552"/>
      <c r="K3" s="548"/>
      <c r="L3" s="548"/>
      <c r="M3" s="548"/>
      <c r="N3" s="548"/>
      <c r="O3" s="548"/>
      <c r="P3" s="550"/>
      <c r="Q3" s="544"/>
      <c r="R3" s="546"/>
    </row>
    <row r="4" spans="1:18" ht="23.1" customHeight="1" thickBot="1">
      <c r="A4" s="458" t="s">
        <v>385</v>
      </c>
      <c r="B4" s="459" t="s">
        <v>368</v>
      </c>
      <c r="C4" s="460"/>
      <c r="D4" s="459" t="s">
        <v>369</v>
      </c>
      <c r="E4" s="459" t="s">
        <v>370</v>
      </c>
      <c r="F4" s="459" t="s">
        <v>371</v>
      </c>
      <c r="G4" s="459">
        <v>250</v>
      </c>
      <c r="H4" s="459">
        <v>80</v>
      </c>
      <c r="I4" s="459">
        <v>178</v>
      </c>
      <c r="J4" s="459">
        <v>178</v>
      </c>
      <c r="K4" s="459">
        <v>250</v>
      </c>
      <c r="L4" s="459">
        <v>5</v>
      </c>
      <c r="M4" s="459">
        <v>60</v>
      </c>
      <c r="N4" s="461">
        <v>50</v>
      </c>
      <c r="O4" s="462">
        <v>179.3</v>
      </c>
      <c r="P4" s="463">
        <v>1202219</v>
      </c>
      <c r="Q4" s="459"/>
      <c r="R4" s="464"/>
    </row>
    <row r="5" spans="1:18" ht="23.25" customHeight="1" thickBot="1">
      <c r="A5" s="195"/>
      <c r="J5" s="226"/>
      <c r="P5" s="227"/>
    </row>
    <row r="6" spans="1:18" ht="23.25" customHeight="1" thickBot="1">
      <c r="I6" s="247">
        <f>SUM(I4:I5)</f>
        <v>178</v>
      </c>
    </row>
    <row r="10" spans="1:18">
      <c r="Q10" s="30" t="s">
        <v>319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204</v>
      </c>
      <c r="I3" s="287">
        <v>185.34</v>
      </c>
      <c r="J3" s="253">
        <v>178</v>
      </c>
      <c r="K3" s="288">
        <v>0.90686274509803921</v>
      </c>
      <c r="M3" s="291" t="s">
        <v>208</v>
      </c>
      <c r="N3" s="292">
        <v>0.90686274509803921</v>
      </c>
      <c r="O3" s="293">
        <v>0.90686274509803921</v>
      </c>
      <c r="Q3" s="299" t="s">
        <v>229</v>
      </c>
      <c r="R3" s="300">
        <v>2.6400000000000001E-5</v>
      </c>
      <c r="S3" s="301">
        <v>1.15499E-2</v>
      </c>
    </row>
    <row r="4" spans="7:19" ht="20.100000000000001" customHeight="1">
      <c r="G4" s="265"/>
      <c r="H4" s="253"/>
      <c r="I4" s="287"/>
      <c r="J4" s="253"/>
      <c r="K4" s="288"/>
      <c r="M4" s="291" t="s">
        <v>215</v>
      </c>
      <c r="N4" s="294">
        <v>185.34</v>
      </c>
      <c r="O4" s="295">
        <v>185.34</v>
      </c>
      <c r="Q4" s="299"/>
      <c r="R4" s="300"/>
      <c r="S4" s="301"/>
    </row>
    <row r="5" spans="7:19" ht="20.100000000000001" customHeight="1" thickBot="1">
      <c r="G5" s="265"/>
      <c r="H5" s="253"/>
      <c r="I5" s="287"/>
      <c r="J5" s="253"/>
      <c r="K5" s="288"/>
      <c r="M5" s="296" t="s">
        <v>216</v>
      </c>
      <c r="N5" s="297">
        <v>178</v>
      </c>
      <c r="O5" s="298">
        <v>178</v>
      </c>
      <c r="Q5" s="299"/>
      <c r="R5" s="300"/>
      <c r="S5" s="301"/>
    </row>
    <row r="6" spans="7:19" ht="20.100000000000001" customHeight="1">
      <c r="G6" s="265"/>
      <c r="H6" s="253"/>
      <c r="I6" s="253"/>
      <c r="J6" s="253"/>
      <c r="K6" s="254"/>
      <c r="Q6" s="299"/>
      <c r="R6" s="300"/>
      <c r="S6" s="301"/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5"/>
      <c r="Q23" s="336"/>
      <c r="R23" s="201"/>
      <c r="S23" s="201"/>
    </row>
    <row r="24" spans="6:19" ht="20.100000000000001" customHeight="1">
      <c r="M24" s="253"/>
      <c r="N24" s="253"/>
      <c r="O24" s="253"/>
      <c r="P24" s="337"/>
      <c r="Q24" s="338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561" t="s">
        <v>229</v>
      </c>
      <c r="G27" s="559">
        <v>204</v>
      </c>
      <c r="H27" s="331">
        <v>3.47</v>
      </c>
      <c r="I27" s="560">
        <v>185.34</v>
      </c>
    </row>
    <row r="28" spans="6:19" ht="15.95" customHeight="1">
      <c r="F28" s="553"/>
      <c r="G28" s="554"/>
      <c r="H28" s="253">
        <v>1.63</v>
      </c>
      <c r="I28" s="555"/>
      <c r="K28" s="30"/>
    </row>
    <row r="29" spans="6:19" ht="15.95" customHeight="1">
      <c r="F29" s="553"/>
      <c r="G29" s="554"/>
      <c r="H29" s="253"/>
      <c r="I29" s="555"/>
    </row>
    <row r="30" spans="6:19" ht="15.95" customHeight="1">
      <c r="F30" s="553"/>
      <c r="G30" s="554"/>
      <c r="H30" s="253"/>
      <c r="I30" s="555"/>
    </row>
    <row r="31" spans="6:19" ht="15.95" customHeight="1">
      <c r="F31" s="553"/>
      <c r="G31" s="554"/>
      <c r="H31" s="253"/>
      <c r="I31" s="555"/>
    </row>
    <row r="32" spans="6:19" ht="15.95" customHeight="1">
      <c r="F32" s="553"/>
      <c r="G32" s="554"/>
      <c r="H32" s="253"/>
      <c r="I32" s="555"/>
    </row>
    <row r="33" spans="6:9" ht="15.95" customHeight="1">
      <c r="F33" s="553"/>
      <c r="G33" s="554"/>
      <c r="H33" s="253"/>
      <c r="I33" s="555"/>
    </row>
    <row r="34" spans="6:9" ht="15.95" customHeight="1">
      <c r="F34" s="553"/>
      <c r="G34" s="554"/>
      <c r="H34" s="253"/>
      <c r="I34" s="555"/>
    </row>
    <row r="35" spans="6:9" ht="15.95" customHeight="1">
      <c r="F35" s="553"/>
      <c r="G35" s="554"/>
      <c r="H35" s="253"/>
      <c r="I35" s="555"/>
    </row>
    <row r="36" spans="6:9" ht="15.95" customHeight="1">
      <c r="F36" s="553"/>
      <c r="G36" s="554"/>
      <c r="H36" s="253"/>
      <c r="I36" s="555"/>
    </row>
    <row r="37" spans="6:9" ht="15.95" customHeight="1">
      <c r="F37" s="553"/>
      <c r="G37" s="554"/>
      <c r="H37" s="253"/>
      <c r="I37" s="555"/>
    </row>
    <row r="38" spans="6:9" ht="15.95" customHeight="1">
      <c r="F38" s="553"/>
      <c r="G38" s="554"/>
      <c r="H38" s="253"/>
      <c r="I38" s="555"/>
    </row>
    <row r="39" spans="6:9" ht="15.95" customHeight="1">
      <c r="F39" s="553"/>
      <c r="G39" s="554"/>
      <c r="H39" s="253"/>
      <c r="I39" s="555"/>
    </row>
    <row r="40" spans="6:9" ht="15.95" customHeight="1">
      <c r="F40" s="553"/>
      <c r="G40" s="554"/>
      <c r="H40" s="253"/>
      <c r="I40" s="555"/>
    </row>
    <row r="41" spans="6:9" ht="15.95" customHeight="1">
      <c r="F41" s="553"/>
      <c r="G41" s="554"/>
      <c r="H41" s="253"/>
      <c r="I41" s="555"/>
    </row>
    <row r="42" spans="6:9" ht="15.95" customHeight="1">
      <c r="F42" s="553"/>
      <c r="G42" s="554"/>
      <c r="H42" s="253"/>
      <c r="I42" s="555"/>
    </row>
    <row r="43" spans="6:9" ht="15.95" customHeight="1">
      <c r="F43" s="553"/>
      <c r="G43" s="554"/>
      <c r="H43" s="253"/>
      <c r="I43" s="555"/>
    </row>
    <row r="44" spans="6:9" ht="15.95" customHeight="1">
      <c r="F44" s="553"/>
      <c r="G44" s="554"/>
      <c r="H44" s="253"/>
      <c r="I44" s="555"/>
    </row>
    <row r="45" spans="6:9" ht="15.95" customHeight="1">
      <c r="F45" s="553"/>
      <c r="G45" s="554"/>
      <c r="H45" s="253"/>
      <c r="I45" s="555"/>
    </row>
    <row r="46" spans="6:9" ht="15.95" customHeight="1">
      <c r="F46" s="553"/>
      <c r="G46" s="554"/>
      <c r="H46" s="253"/>
      <c r="I46" s="555"/>
    </row>
    <row r="47" spans="6:9" ht="15.95" customHeight="1">
      <c r="F47" s="553"/>
      <c r="G47" s="554"/>
      <c r="H47" s="253"/>
      <c r="I47" s="555"/>
    </row>
    <row r="48" spans="6:9" ht="15.95" customHeight="1">
      <c r="F48" s="553"/>
      <c r="G48" s="554"/>
      <c r="H48" s="253"/>
      <c r="I48" s="555"/>
    </row>
    <row r="49" spans="6:9" ht="15.95" customHeight="1">
      <c r="F49" s="553"/>
      <c r="G49" s="554"/>
      <c r="H49" s="253"/>
      <c r="I49" s="555"/>
    </row>
    <row r="50" spans="6:9" ht="15.95" customHeight="1" thickBot="1">
      <c r="F50" s="556"/>
      <c r="G50" s="557"/>
      <c r="H50" s="244"/>
      <c r="I50" s="558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320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178</v>
      </c>
      <c r="F3" s="253">
        <v>2.33</v>
      </c>
      <c r="G3" s="253">
        <v>6.24</v>
      </c>
      <c r="H3" s="253">
        <v>3.91</v>
      </c>
      <c r="I3" s="253">
        <v>0.1</v>
      </c>
      <c r="J3" s="266">
        <v>1.435958718904685</v>
      </c>
      <c r="K3" s="30"/>
      <c r="L3" s="265">
        <v>178</v>
      </c>
      <c r="M3" s="253">
        <v>0.1</v>
      </c>
      <c r="N3" s="253">
        <v>0.1</v>
      </c>
      <c r="O3" s="253">
        <v>56</v>
      </c>
      <c r="P3" s="253">
        <v>27.5</v>
      </c>
      <c r="Q3" s="254">
        <v>0.50749999999999995</v>
      </c>
      <c r="S3" s="269">
        <v>6.24</v>
      </c>
      <c r="T3" s="270">
        <v>3.6435159521025189</v>
      </c>
      <c r="U3" s="266">
        <v>2.5964840478974813</v>
      </c>
    </row>
    <row r="4" spans="4:21" ht="20.100000000000001" customHeight="1">
      <c r="D4" s="265"/>
      <c r="E4" s="253"/>
      <c r="F4" s="253"/>
      <c r="G4" s="253"/>
      <c r="H4" s="253"/>
      <c r="I4" s="253"/>
      <c r="J4" s="266"/>
      <c r="K4" s="30"/>
      <c r="L4" s="265"/>
      <c r="M4" s="253"/>
      <c r="N4" s="253"/>
      <c r="O4" s="253"/>
      <c r="P4" s="253"/>
      <c r="Q4" s="254"/>
      <c r="S4" s="269"/>
      <c r="T4" s="270"/>
      <c r="U4" s="266"/>
    </row>
    <row r="5" spans="4:21" ht="20.100000000000001" customHeight="1">
      <c r="D5" s="265"/>
      <c r="E5" s="253"/>
      <c r="F5" s="253"/>
      <c r="G5" s="253"/>
      <c r="H5" s="253"/>
      <c r="I5" s="253"/>
      <c r="J5" s="266"/>
      <c r="K5" s="30"/>
      <c r="L5" s="265"/>
      <c r="M5" s="253"/>
      <c r="N5" s="253"/>
      <c r="O5" s="253"/>
      <c r="P5" s="253"/>
      <c r="Q5" s="254"/>
      <c r="S5" s="269"/>
      <c r="T5" s="270"/>
      <c r="U5" s="266"/>
    </row>
    <row r="6" spans="4:21" ht="20.100000000000001" customHeight="1">
      <c r="D6" s="265"/>
      <c r="E6" s="253"/>
      <c r="F6" s="253"/>
      <c r="G6" s="253"/>
      <c r="H6" s="253"/>
      <c r="I6" s="253"/>
      <c r="J6" s="266"/>
      <c r="K6" s="30"/>
      <c r="L6" s="265"/>
      <c r="M6" s="253"/>
      <c r="N6" s="253"/>
      <c r="O6" s="253"/>
      <c r="P6" s="253"/>
      <c r="Q6" s="254"/>
      <c r="S6" s="269"/>
      <c r="T6" s="270"/>
      <c r="U6" s="266"/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/>
      <c r="G21" s="273"/>
      <c r="H21" s="275"/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19.98</v>
      </c>
      <c r="F22" s="260"/>
      <c r="G22" s="260"/>
      <c r="H22" s="260"/>
      <c r="I22" s="260"/>
      <c r="J22" s="339"/>
      <c r="K22" s="340"/>
      <c r="L22" s="340"/>
      <c r="M22" s="340"/>
      <c r="N22" s="340"/>
      <c r="O22" s="340"/>
      <c r="P22" s="341"/>
      <c r="T22" s="204"/>
      <c r="U22" s="204"/>
    </row>
    <row r="23" spans="3:21" s="30" customFormat="1" ht="23.1" customHeight="1">
      <c r="D23" s="302" t="s">
        <v>234</v>
      </c>
      <c r="E23" s="260">
        <v>0.35677999999999999</v>
      </c>
      <c r="F23" s="260"/>
      <c r="G23" s="260"/>
      <c r="H23" s="260"/>
      <c r="I23" s="260"/>
      <c r="J23" s="339"/>
      <c r="K23" s="340"/>
      <c r="L23" s="340"/>
      <c r="M23" s="340"/>
      <c r="N23" s="340"/>
      <c r="O23" s="340"/>
      <c r="P23" s="341"/>
      <c r="T23" s="204"/>
      <c r="U23" s="204"/>
    </row>
    <row r="24" spans="3:21" s="30" customFormat="1" ht="23.1" customHeight="1">
      <c r="D24" s="302" t="s">
        <v>235</v>
      </c>
      <c r="E24" s="253">
        <v>8.3819999999999999E-4</v>
      </c>
      <c r="F24" s="253"/>
      <c r="G24" s="253"/>
      <c r="H24" s="253"/>
      <c r="I24" s="253"/>
      <c r="J24" s="340"/>
      <c r="K24" s="340"/>
      <c r="L24" s="340"/>
      <c r="M24" s="340"/>
      <c r="N24" s="340"/>
      <c r="O24" s="340"/>
      <c r="P24" s="341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/>
      <c r="G25" s="253"/>
      <c r="H25" s="253"/>
      <c r="I25" s="253"/>
      <c r="J25" s="340"/>
      <c r="K25" s="340"/>
      <c r="L25" s="340"/>
      <c r="M25" s="340"/>
      <c r="N25" s="340"/>
      <c r="O25" s="340"/>
      <c r="P25" s="341"/>
      <c r="T25" s="204"/>
      <c r="U25" s="204"/>
    </row>
    <row r="26" spans="3:21" s="30" customFormat="1" ht="23.1" customHeight="1">
      <c r="D26" s="302" t="s">
        <v>255</v>
      </c>
      <c r="E26" s="253">
        <v>3.91</v>
      </c>
      <c r="F26" s="253"/>
      <c r="G26" s="253"/>
      <c r="H26" s="253"/>
      <c r="I26" s="253"/>
      <c r="J26" s="340"/>
      <c r="K26" s="340"/>
      <c r="L26" s="340"/>
      <c r="M26" s="340"/>
      <c r="N26" s="340"/>
      <c r="O26" s="340"/>
      <c r="P26" s="341"/>
      <c r="T26" s="204"/>
      <c r="U26" s="204"/>
    </row>
    <row r="27" spans="3:21" s="30" customFormat="1" ht="23.1" customHeight="1" thickBot="1">
      <c r="D27" s="303" t="s">
        <v>254</v>
      </c>
      <c r="E27" s="244">
        <v>56</v>
      </c>
      <c r="F27" s="244"/>
      <c r="G27" s="244"/>
      <c r="H27" s="244"/>
      <c r="I27" s="244"/>
      <c r="J27" s="342"/>
      <c r="K27" s="342"/>
      <c r="L27" s="342"/>
      <c r="M27" s="342"/>
      <c r="N27" s="342"/>
      <c r="O27" s="342"/>
      <c r="P27" s="343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354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62" t="s">
        <v>229</v>
      </c>
      <c r="D32" s="280" t="s">
        <v>266</v>
      </c>
      <c r="E32" s="260">
        <v>27.5</v>
      </c>
      <c r="F32" s="254">
        <v>8.3819999999999999E-4</v>
      </c>
      <c r="G32" s="30"/>
      <c r="H32" s="224" t="s">
        <v>229</v>
      </c>
      <c r="I32" s="287">
        <v>84.1</v>
      </c>
      <c r="J32" s="287">
        <v>103</v>
      </c>
      <c r="K32" s="287">
        <v>194.9</v>
      </c>
      <c r="L32" s="253">
        <v>127.3</v>
      </c>
      <c r="M32" s="254">
        <v>194.9</v>
      </c>
      <c r="N32" s="30"/>
      <c r="O32" s="224" t="s">
        <v>229</v>
      </c>
      <c r="P32" s="260">
        <v>-3.1303999999999998</v>
      </c>
      <c r="Q32" s="261">
        <v>2.2879999999999998</v>
      </c>
    </row>
    <row r="33" spans="3:17" ht="20.100000000000001" customHeight="1">
      <c r="C33" s="562"/>
      <c r="D33" s="280" t="s">
        <v>267</v>
      </c>
      <c r="E33" s="260">
        <v>12.46</v>
      </c>
      <c r="F33" s="254"/>
      <c r="G33" s="30"/>
      <c r="H33" s="224"/>
      <c r="I33" s="287"/>
      <c r="J33" s="287"/>
      <c r="K33" s="287"/>
      <c r="L33" s="253"/>
      <c r="M33" s="254"/>
      <c r="N33" s="30"/>
      <c r="O33" s="224"/>
      <c r="P33" s="260"/>
      <c r="Q33" s="261"/>
    </row>
    <row r="34" spans="3:17" ht="20.100000000000001" customHeight="1">
      <c r="C34" s="562"/>
      <c r="D34" s="280" t="s">
        <v>268</v>
      </c>
      <c r="E34" s="344">
        <v>19.98</v>
      </c>
      <c r="F34" s="352">
        <v>8.3819999999999999E-4</v>
      </c>
      <c r="G34" s="30"/>
      <c r="H34" s="224"/>
      <c r="I34" s="287"/>
      <c r="J34" s="287"/>
      <c r="K34" s="287"/>
      <c r="L34" s="253"/>
      <c r="M34" s="254"/>
      <c r="N34" s="30"/>
      <c r="O34" s="224"/>
      <c r="P34" s="260"/>
      <c r="Q34" s="261"/>
    </row>
    <row r="35" spans="3:17" ht="20.100000000000001" customHeight="1">
      <c r="C35" s="562"/>
      <c r="D35" s="280"/>
      <c r="E35" s="260"/>
      <c r="F35" s="254"/>
      <c r="G35" s="30"/>
      <c r="H35" s="224"/>
      <c r="I35" s="287"/>
      <c r="J35" s="287"/>
      <c r="K35" s="287"/>
      <c r="L35" s="253"/>
      <c r="M35" s="254"/>
      <c r="N35" s="30"/>
      <c r="O35" s="224"/>
      <c r="P35" s="260"/>
      <c r="Q35" s="261"/>
    </row>
    <row r="36" spans="3:17" ht="20.100000000000001" customHeight="1">
      <c r="C36" s="562"/>
      <c r="D36" s="280"/>
      <c r="E36" s="260"/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62"/>
      <c r="D37" s="280"/>
      <c r="E37" s="344"/>
      <c r="F37" s="352"/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62"/>
      <c r="D38" s="280"/>
      <c r="E38" s="260"/>
      <c r="F38" s="254"/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62"/>
      <c r="D39" s="280"/>
      <c r="E39" s="260"/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62"/>
      <c r="D40" s="280"/>
      <c r="E40" s="344"/>
      <c r="F40" s="352"/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62"/>
      <c r="D41" s="280"/>
      <c r="E41" s="260"/>
      <c r="F41" s="254"/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62"/>
      <c r="D42" s="280"/>
      <c r="E42" s="260"/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62"/>
      <c r="D43" s="280"/>
      <c r="E43" s="344"/>
      <c r="F43" s="352"/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62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62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62"/>
      <c r="D46" s="280"/>
      <c r="E46" s="344"/>
      <c r="F46" s="35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62"/>
      <c r="D47" s="280"/>
      <c r="E47" s="260"/>
      <c r="F47" s="254"/>
    </row>
    <row r="48" spans="3:17" ht="20.100000000000001" customHeight="1">
      <c r="C48" s="562"/>
      <c r="D48" s="280"/>
      <c r="E48" s="260"/>
      <c r="F48" s="254"/>
    </row>
    <row r="49" spans="3:6" ht="20.100000000000001" customHeight="1">
      <c r="C49" s="562"/>
      <c r="D49" s="280"/>
      <c r="E49" s="344"/>
      <c r="F49" s="352"/>
    </row>
    <row r="50" spans="3:6" ht="20.100000000000001" customHeight="1">
      <c r="C50" s="562"/>
      <c r="D50" s="280"/>
      <c r="E50" s="253"/>
      <c r="F50" s="254"/>
    </row>
    <row r="51" spans="3:6" ht="20.100000000000001" customHeight="1">
      <c r="C51" s="562"/>
      <c r="D51" s="280"/>
      <c r="E51" s="253"/>
      <c r="F51" s="254"/>
    </row>
    <row r="52" spans="3:6" ht="20.100000000000001" customHeight="1">
      <c r="C52" s="562"/>
      <c r="D52" s="280"/>
      <c r="E52" s="253"/>
      <c r="F52" s="254"/>
    </row>
    <row r="53" spans="3:6" ht="20.100000000000001" customHeight="1">
      <c r="C53" s="562"/>
      <c r="D53" s="280"/>
      <c r="E53" s="253"/>
      <c r="F53" s="254"/>
    </row>
    <row r="54" spans="3:6" ht="20.100000000000001" customHeight="1">
      <c r="C54" s="562"/>
      <c r="D54" s="280"/>
      <c r="E54" s="253"/>
      <c r="F54" s="254"/>
    </row>
    <row r="55" spans="3:6" ht="20.100000000000001" customHeight="1">
      <c r="C55" s="562"/>
      <c r="D55" s="280"/>
      <c r="E55" s="253"/>
      <c r="F55" s="254"/>
    </row>
    <row r="56" spans="3:6" ht="20.100000000000001" customHeight="1">
      <c r="C56" s="562"/>
      <c r="D56" s="280"/>
      <c r="E56" s="253"/>
      <c r="F56" s="254"/>
    </row>
    <row r="57" spans="3:6" ht="20.100000000000001" customHeight="1">
      <c r="C57" s="562"/>
      <c r="D57" s="280"/>
      <c r="E57" s="253"/>
      <c r="F57" s="254"/>
    </row>
    <row r="58" spans="3:6" ht="20.100000000000001" customHeight="1">
      <c r="C58" s="562"/>
      <c r="D58" s="280"/>
      <c r="E58" s="253"/>
      <c r="F58" s="254"/>
    </row>
    <row r="59" spans="3:6" ht="20.100000000000001" customHeight="1">
      <c r="C59" s="562"/>
      <c r="D59" s="280"/>
      <c r="E59" s="253"/>
      <c r="F59" s="254"/>
    </row>
    <row r="60" spans="3:6" ht="20.100000000000001" customHeight="1">
      <c r="C60" s="562"/>
      <c r="D60" s="280"/>
      <c r="E60" s="253"/>
      <c r="F60" s="254"/>
    </row>
    <row r="61" spans="3:6" ht="20.100000000000001" customHeight="1">
      <c r="C61" s="562"/>
      <c r="D61" s="280"/>
      <c r="E61" s="253"/>
      <c r="F61" s="254"/>
    </row>
    <row r="62" spans="3:6" ht="20.100000000000001" customHeight="1">
      <c r="C62" s="562"/>
      <c r="D62" s="280"/>
      <c r="E62" s="253"/>
      <c r="F62" s="254"/>
    </row>
    <row r="63" spans="3:6" ht="20.100000000000001" customHeight="1">
      <c r="C63" s="562"/>
      <c r="D63" s="280"/>
      <c r="E63" s="253"/>
      <c r="F63" s="254"/>
    </row>
    <row r="64" spans="3:6" ht="20.100000000000001" customHeight="1">
      <c r="C64" s="562"/>
      <c r="D64" s="280"/>
      <c r="E64" s="253"/>
      <c r="F64" s="254"/>
    </row>
    <row r="65" spans="3:6" ht="20.100000000000001" customHeight="1">
      <c r="C65" s="562"/>
      <c r="D65" s="280"/>
      <c r="E65" s="253"/>
      <c r="F65" s="254"/>
    </row>
    <row r="66" spans="3:6" ht="20.100000000000001" customHeight="1">
      <c r="C66" s="562"/>
      <c r="D66" s="280"/>
      <c r="E66" s="253"/>
      <c r="F66" s="254"/>
    </row>
    <row r="67" spans="3:6" ht="20.100000000000001" customHeight="1" thickBot="1">
      <c r="C67" s="563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M23" sqref="M2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9" t="s">
        <v>219</v>
      </c>
      <c r="D3" s="390" t="s">
        <v>242</v>
      </c>
      <c r="E3" s="390" t="s">
        <v>216</v>
      </c>
      <c r="F3" s="390" t="s">
        <v>243</v>
      </c>
      <c r="G3" s="390" t="s">
        <v>247</v>
      </c>
      <c r="H3" s="390" t="s">
        <v>249</v>
      </c>
      <c r="I3" s="390" t="s">
        <v>222</v>
      </c>
      <c r="J3" s="390" t="s">
        <v>250</v>
      </c>
      <c r="K3" s="390" t="s">
        <v>119</v>
      </c>
      <c r="L3" s="390" t="s">
        <v>248</v>
      </c>
      <c r="M3" s="390" t="s">
        <v>244</v>
      </c>
      <c r="N3" s="390" t="s">
        <v>245</v>
      </c>
      <c r="O3" s="391" t="s">
        <v>246</v>
      </c>
    </row>
    <row r="4" spans="3:15" ht="20.100000000000001" customHeight="1">
      <c r="C4" s="255" t="s">
        <v>229</v>
      </c>
      <c r="D4" s="256" t="s">
        <v>284</v>
      </c>
      <c r="E4" s="256">
        <v>178</v>
      </c>
      <c r="F4" s="256">
        <v>19.98</v>
      </c>
      <c r="G4" s="392">
        <v>19.98</v>
      </c>
      <c r="H4" s="256">
        <v>0.03</v>
      </c>
      <c r="I4" s="256">
        <v>56</v>
      </c>
      <c r="J4" s="393">
        <v>56</v>
      </c>
      <c r="K4" s="256">
        <v>33</v>
      </c>
      <c r="L4" s="393">
        <v>33</v>
      </c>
      <c r="M4" s="256">
        <v>7.3000000000000001E-3</v>
      </c>
      <c r="N4" s="392">
        <v>7.3000000000000001E-3</v>
      </c>
      <c r="O4" s="257" t="s">
        <v>251</v>
      </c>
    </row>
    <row r="5" spans="3:15" ht="20.100000000000001" customHeight="1">
      <c r="C5" s="255"/>
      <c r="D5" s="256"/>
      <c r="E5" s="256"/>
      <c r="F5" s="256"/>
      <c r="G5" s="392"/>
      <c r="H5" s="256"/>
      <c r="I5" s="256"/>
      <c r="J5" s="393"/>
      <c r="K5" s="256"/>
      <c r="L5" s="393"/>
      <c r="M5" s="256"/>
      <c r="N5" s="392"/>
      <c r="O5" s="257"/>
    </row>
    <row r="6" spans="3:15" ht="20.100000000000001" customHeight="1">
      <c r="C6" s="255"/>
      <c r="D6" s="256"/>
      <c r="E6" s="256"/>
      <c r="F6" s="256"/>
      <c r="G6" s="392"/>
      <c r="H6" s="256"/>
      <c r="I6" s="256"/>
      <c r="J6" s="393"/>
      <c r="K6" s="256"/>
      <c r="L6" s="393"/>
      <c r="M6" s="256"/>
      <c r="N6" s="392"/>
      <c r="O6" s="257"/>
    </row>
    <row r="7" spans="3:15" ht="20.100000000000001" customHeight="1">
      <c r="C7" s="255"/>
      <c r="D7" s="256"/>
      <c r="E7" s="256"/>
      <c r="F7" s="256"/>
      <c r="G7" s="392"/>
      <c r="H7" s="256"/>
      <c r="I7" s="256"/>
      <c r="J7" s="393"/>
      <c r="K7" s="256"/>
      <c r="L7" s="393"/>
      <c r="M7" s="256"/>
      <c r="N7" s="392"/>
      <c r="O7" s="257"/>
    </row>
    <row r="8" spans="3:15" ht="20.100000000000001" customHeight="1">
      <c r="C8" s="255"/>
      <c r="D8" s="256"/>
      <c r="E8" s="256"/>
      <c r="F8" s="256"/>
      <c r="G8" s="392"/>
      <c r="H8" s="256"/>
      <c r="I8" s="256"/>
      <c r="J8" s="393"/>
      <c r="K8" s="256"/>
      <c r="L8" s="393"/>
      <c r="M8" s="256"/>
      <c r="N8" s="392"/>
      <c r="O8" s="257"/>
    </row>
    <row r="9" spans="3:15" ht="20.100000000000001" customHeight="1">
      <c r="C9" s="255"/>
      <c r="D9" s="256"/>
      <c r="E9" s="256"/>
      <c r="F9" s="256"/>
      <c r="G9" s="392"/>
      <c r="H9" s="256"/>
      <c r="I9" s="256"/>
      <c r="J9" s="393"/>
      <c r="K9" s="256"/>
      <c r="L9" s="393"/>
      <c r="M9" s="256"/>
      <c r="N9" s="392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86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86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86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86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86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86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86"/>
    </row>
    <row r="17" spans="3:15" ht="20.100000000000001" customHeight="1" thickBot="1">
      <c r="C17" s="248"/>
      <c r="D17" s="587"/>
      <c r="E17" s="249"/>
      <c r="F17" s="249"/>
      <c r="G17" s="587"/>
      <c r="H17" s="587"/>
      <c r="I17" s="249"/>
      <c r="J17" s="587"/>
      <c r="K17" s="249"/>
      <c r="L17" s="587"/>
      <c r="M17" s="249"/>
      <c r="N17" s="587"/>
      <c r="O17" s="5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O11" sqref="O11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2" customWidth="1"/>
    <col min="14" max="16" width="12.33203125" customWidth="1"/>
    <col min="18" max="18" width="13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1202219</v>
      </c>
      <c r="E4" s="218">
        <v>1324.9</v>
      </c>
      <c r="F4" s="218">
        <v>711.31411604191794</v>
      </c>
      <c r="G4" s="219">
        <v>0.67</v>
      </c>
      <c r="H4" s="218">
        <v>476.58045774808505</v>
      </c>
      <c r="I4" s="220">
        <v>179.3</v>
      </c>
      <c r="J4" s="218">
        <v>178</v>
      </c>
      <c r="K4" s="221">
        <v>119.28045774808504</v>
      </c>
      <c r="M4" s="217">
        <f>D4</f>
        <v>1202219</v>
      </c>
      <c r="N4" s="218">
        <f>E4</f>
        <v>1324.9</v>
      </c>
      <c r="O4" s="218">
        <f>F4</f>
        <v>711.31411604191794</v>
      </c>
      <c r="P4" s="218">
        <f>H4</f>
        <v>476.58045774808505</v>
      </c>
      <c r="Q4" s="220">
        <f>I4</f>
        <v>179.3</v>
      </c>
      <c r="R4" s="218">
        <f>J4</f>
        <v>178</v>
      </c>
      <c r="S4" s="221">
        <f>K4</f>
        <v>119.28045774808504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1202219</v>
      </c>
      <c r="E8" s="218">
        <v>1324.9</v>
      </c>
      <c r="F8" s="218">
        <v>711.31411604191794</v>
      </c>
      <c r="G8" s="219">
        <v>0.67</v>
      </c>
      <c r="H8" s="218">
        <v>476.58045774808505</v>
      </c>
      <c r="I8" s="220">
        <v>179.3</v>
      </c>
      <c r="J8" s="218">
        <v>297.28045774808504</v>
      </c>
      <c r="K8" s="221">
        <v>178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</row>
    <row r="12" spans="4:19" s="30" customFormat="1" ht="20.100000000000001" customHeight="1">
      <c r="D12" s="255" t="s">
        <v>229</v>
      </c>
      <c r="E12" s="256">
        <v>80</v>
      </c>
      <c r="F12" s="256">
        <v>178</v>
      </c>
      <c r="G12" s="256">
        <v>2.33</v>
      </c>
      <c r="H12" s="256">
        <v>6.24</v>
      </c>
      <c r="I12" s="256">
        <v>19.98</v>
      </c>
      <c r="J12" s="257">
        <v>8.3819999999999999E-4</v>
      </c>
    </row>
    <row r="13" spans="4:19" s="30" customFormat="1" ht="20.100000000000001" customHeight="1">
      <c r="D13" s="349"/>
      <c r="E13" s="350"/>
      <c r="F13" s="350"/>
      <c r="G13" s="350"/>
      <c r="H13" s="350"/>
      <c r="I13" s="350"/>
      <c r="J13" s="351"/>
    </row>
    <row r="14" spans="4:19" s="30" customFormat="1" ht="20.100000000000001" customHeight="1">
      <c r="D14" s="255"/>
      <c r="E14" s="256"/>
      <c r="F14" s="256"/>
      <c r="G14" s="256"/>
      <c r="H14" s="256"/>
      <c r="I14" s="256"/>
      <c r="J14" s="257"/>
    </row>
    <row r="15" spans="4:19" s="30" customFormat="1" ht="20.100000000000001" customHeight="1">
      <c r="D15" s="349"/>
      <c r="E15" s="350"/>
      <c r="F15" s="350"/>
      <c r="G15" s="350"/>
      <c r="H15" s="350"/>
      <c r="I15" s="350"/>
      <c r="J15" s="351"/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</row>
    <row r="17" spans="4:11" s="30" customFormat="1" ht="20.100000000000001" customHeight="1">
      <c r="D17" s="349"/>
      <c r="E17" s="350"/>
      <c r="F17" s="350"/>
      <c r="G17" s="350"/>
      <c r="H17" s="350"/>
      <c r="I17" s="350"/>
      <c r="J17" s="351"/>
    </row>
    <row r="18" spans="4:11" s="30" customFormat="1" ht="20.100000000000001" customHeight="1">
      <c r="D18" s="255"/>
      <c r="E18" s="256"/>
      <c r="F18" s="256"/>
      <c r="G18" s="256"/>
      <c r="H18" s="256"/>
      <c r="I18" s="256"/>
      <c r="J18" s="257"/>
    </row>
    <row r="19" spans="4:11" s="30" customFormat="1" ht="20.100000000000001" customHeight="1">
      <c r="D19" s="255"/>
      <c r="E19" s="256"/>
      <c r="F19" s="256"/>
      <c r="G19" s="256"/>
      <c r="H19" s="256"/>
      <c r="I19" s="256"/>
      <c r="J19" s="257"/>
    </row>
    <row r="20" spans="4:11" s="30" customFormat="1" ht="20.100000000000001" customHeight="1">
      <c r="D20" s="255"/>
      <c r="E20" s="256"/>
      <c r="F20" s="256"/>
      <c r="G20" s="256"/>
      <c r="H20" s="256"/>
      <c r="I20" s="256"/>
      <c r="J20" s="257"/>
    </row>
    <row r="21" spans="4:11" s="30" customFormat="1" ht="20.100000000000001" customHeight="1">
      <c r="D21" s="255"/>
      <c r="E21" s="256"/>
      <c r="F21" s="256"/>
      <c r="G21" s="256"/>
      <c r="H21" s="256"/>
      <c r="I21" s="256"/>
      <c r="J21" s="257"/>
    </row>
    <row r="22" spans="4:11" s="30" customFormat="1" ht="20.100000000000001" customHeight="1">
      <c r="D22" s="255"/>
      <c r="E22" s="256"/>
      <c r="F22" s="256"/>
      <c r="G22" s="256"/>
      <c r="H22" s="256"/>
      <c r="I22" s="256"/>
      <c r="J22" s="257"/>
    </row>
    <row r="23" spans="4:11" s="30" customFormat="1" ht="20.100000000000001" customHeight="1">
      <c r="D23" s="255"/>
      <c r="E23" s="256"/>
      <c r="F23" s="256"/>
      <c r="G23" s="256"/>
      <c r="H23" s="256"/>
      <c r="I23" s="256"/>
      <c r="J23" s="257"/>
    </row>
    <row r="24" spans="4:11" s="30" customFormat="1" ht="20.100000000000001" customHeight="1" thickBot="1">
      <c r="D24" s="248"/>
      <c r="E24" s="249"/>
      <c r="F24" s="249"/>
      <c r="G24" s="249"/>
      <c r="H24" s="249"/>
      <c r="I24" s="249"/>
      <c r="J24" s="258"/>
    </row>
    <row r="25" spans="4:11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1" ht="20.100000000000001" customHeight="1" thickBot="1"/>
    <row r="27" spans="4:11" ht="31.5" customHeight="1">
      <c r="D27" s="214" t="s">
        <v>280</v>
      </c>
      <c r="E27" s="222" t="s">
        <v>278</v>
      </c>
      <c r="F27" s="222" t="s">
        <v>279</v>
      </c>
      <c r="G27" s="223" t="s">
        <v>389</v>
      </c>
      <c r="I27" s="214" t="s">
        <v>280</v>
      </c>
      <c r="J27" s="222" t="s">
        <v>306</v>
      </c>
      <c r="K27" s="223" t="s">
        <v>307</v>
      </c>
    </row>
    <row r="28" spans="4:11" s="30" customFormat="1" ht="20.100000000000001" customHeight="1">
      <c r="D28" s="255" t="s">
        <v>229</v>
      </c>
      <c r="E28" s="256" t="s">
        <v>380</v>
      </c>
      <c r="F28" s="256" t="s">
        <v>397</v>
      </c>
      <c r="G28" s="257" t="s">
        <v>398</v>
      </c>
      <c r="I28" s="255" t="s">
        <v>229</v>
      </c>
      <c r="J28" s="256">
        <v>140</v>
      </c>
      <c r="K28" s="257">
        <v>159</v>
      </c>
    </row>
    <row r="29" spans="4:11" s="30" customFormat="1" ht="20.100000000000001" customHeight="1">
      <c r="D29" s="255"/>
      <c r="E29" s="256"/>
      <c r="F29" s="256"/>
      <c r="G29" s="257"/>
      <c r="I29" s="255"/>
      <c r="J29" s="256"/>
      <c r="K29" s="257"/>
    </row>
    <row r="30" spans="4:11" s="30" customFormat="1" ht="20.100000000000001" customHeight="1">
      <c r="D30" s="255"/>
      <c r="E30" s="256"/>
      <c r="F30" s="256"/>
      <c r="G30" s="257"/>
      <c r="I30" s="255"/>
      <c r="J30" s="256"/>
      <c r="K30" s="257"/>
    </row>
    <row r="31" spans="4:11" s="30" customFormat="1" ht="20.100000000000001" customHeight="1">
      <c r="D31" s="255"/>
      <c r="E31" s="256"/>
      <c r="F31" s="256"/>
      <c r="G31" s="257"/>
      <c r="I31" s="255"/>
      <c r="J31" s="256"/>
      <c r="K31" s="257"/>
    </row>
    <row r="32" spans="4:11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355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</row>
    <row r="45" spans="4:15" s="246" customFormat="1" ht="30" customHeight="1" thickBot="1">
      <c r="D45" s="248" t="s">
        <v>381</v>
      </c>
      <c r="E45" s="249"/>
      <c r="F45" s="249"/>
      <c r="G45" s="244"/>
      <c r="H45" s="244"/>
      <c r="I45" s="244"/>
      <c r="J45" s="244"/>
      <c r="K45" s="244"/>
      <c r="L45" s="244"/>
      <c r="M45" s="244"/>
      <c r="N45" s="244"/>
      <c r="O45" s="244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</row>
    <row r="50" spans="4:15" s="246" customFormat="1" ht="30" customHeight="1" thickBot="1">
      <c r="D50" s="248" t="s">
        <v>382</v>
      </c>
      <c r="E50" s="249"/>
      <c r="F50" s="249"/>
      <c r="G50" s="244"/>
      <c r="H50" s="244"/>
      <c r="I50" s="244"/>
      <c r="J50" s="244"/>
      <c r="K50" s="244"/>
      <c r="L50" s="244"/>
      <c r="M50" s="244"/>
      <c r="N50" s="244"/>
      <c r="O50" s="244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</row>
    <row r="55" spans="4:15" s="246" customFormat="1" ht="30" customHeight="1" thickBot="1">
      <c r="D55" s="248" t="s">
        <v>364</v>
      </c>
      <c r="E55" s="249"/>
      <c r="F55" s="249"/>
      <c r="G55" s="244"/>
      <c r="H55" s="244"/>
      <c r="I55" s="244"/>
      <c r="J55" s="244"/>
      <c r="K55" s="244"/>
      <c r="L55" s="244"/>
      <c r="M55" s="244"/>
      <c r="N55" s="244"/>
      <c r="O55" s="244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</row>
    <row r="60" spans="4:15" ht="30" customHeight="1" thickBot="1">
      <c r="D60" s="248" t="s">
        <v>383</v>
      </c>
      <c r="E60" s="249"/>
      <c r="F60" s="249"/>
      <c r="G60" s="244"/>
      <c r="H60" s="244"/>
      <c r="I60" s="244"/>
      <c r="J60" s="244"/>
      <c r="K60" s="244"/>
      <c r="L60" s="244"/>
      <c r="M60" s="244"/>
      <c r="N60" s="244"/>
      <c r="O60" s="244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</row>
    <row r="65" spans="4:15" ht="30" customHeight="1" thickBot="1">
      <c r="D65" s="248" t="s">
        <v>384</v>
      </c>
      <c r="E65" s="249"/>
      <c r="F65" s="249"/>
      <c r="G65" s="244"/>
      <c r="H65" s="244"/>
      <c r="I65" s="244"/>
      <c r="J65" s="244"/>
      <c r="K65" s="244"/>
      <c r="L65" s="244"/>
      <c r="M65" s="244"/>
      <c r="N65" s="244"/>
      <c r="O65" s="24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4" sqref="K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33" t="str">
        <f>Well!D4</f>
        <v>논산시 광석면 오강리 116-3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447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8">
        <f>Well!Q4</f>
        <v>0</v>
      </c>
      <c r="D5" s="7" t="s">
        <v>53</v>
      </c>
      <c r="E5" s="394">
        <v>27.5</v>
      </c>
      <c r="F5" s="28">
        <f>$E$5/$C$14</f>
        <v>0.49107142857142855</v>
      </c>
      <c r="G5" s="10">
        <v>8.3819999999999999E-4</v>
      </c>
      <c r="H5"/>
      <c r="I5"/>
      <c r="J5" s="520" t="s">
        <v>390</v>
      </c>
      <c r="K5"/>
      <c r="L5"/>
      <c r="M5"/>
    </row>
    <row r="6" spans="1:13" ht="20.100000000000001" customHeight="1" thickBot="1">
      <c r="B6" s="6" t="s">
        <v>54</v>
      </c>
      <c r="C6" s="449" t="str">
        <f>Well!D4</f>
        <v>논산시 광석면 오강리 116-3</v>
      </c>
      <c r="D6" s="7" t="s">
        <v>56</v>
      </c>
      <c r="E6" s="8">
        <v>12.46</v>
      </c>
      <c r="F6" s="28">
        <f>$E$6/$C$14</f>
        <v>0.2225</v>
      </c>
      <c r="G6" s="10" t="s">
        <v>57</v>
      </c>
      <c r="H6" s="481">
        <v>2.2879999999999998</v>
      </c>
      <c r="I6"/>
      <c r="J6" s="521" t="s">
        <v>388</v>
      </c>
      <c r="K6" s="518">
        <v>243</v>
      </c>
      <c r="L6"/>
      <c r="M6"/>
    </row>
    <row r="7" spans="1:13" ht="20.100000000000001" customHeight="1" thickBot="1">
      <c r="B7" s="6" t="s">
        <v>55</v>
      </c>
      <c r="C7" s="450">
        <f>Well!H4</f>
        <v>80</v>
      </c>
      <c r="D7" s="196" t="s">
        <v>59</v>
      </c>
      <c r="E7" s="188">
        <f>(E5+E6)/2</f>
        <v>19.98</v>
      </c>
      <c r="F7" s="29">
        <f>$E$7/$C$14</f>
        <v>0.35678571428571432</v>
      </c>
      <c r="G7" s="482">
        <f>G5</f>
        <v>8.3819999999999999E-4</v>
      </c>
      <c r="H7" s="475">
        <v>0.50749999999999995</v>
      </c>
      <c r="I7"/>
      <c r="J7" s="522" t="s">
        <v>389</v>
      </c>
      <c r="K7" s="519">
        <v>170</v>
      </c>
      <c r="L7"/>
      <c r="M7"/>
    </row>
    <row r="8" spans="1:13" ht="20.100000000000001" customHeight="1" thickBot="1">
      <c r="B8" s="6" t="s">
        <v>58</v>
      </c>
      <c r="C8" s="477">
        <f>Well!G4</f>
        <v>250</v>
      </c>
    </row>
    <row r="9" spans="1:13" ht="20.100000000000001" customHeight="1" thickBot="1">
      <c r="B9" s="6" t="s">
        <v>60</v>
      </c>
      <c r="C9" s="451">
        <f>C10+C11</f>
        <v>24</v>
      </c>
      <c r="D9" s="11"/>
      <c r="E9" s="478" t="s">
        <v>109</v>
      </c>
      <c r="F9" s="479" t="s">
        <v>110</v>
      </c>
      <c r="G9" s="509" t="s">
        <v>111</v>
      </c>
      <c r="H9" s="583">
        <f>MAX(E10,F10,G10)</f>
        <v>194.9</v>
      </c>
    </row>
    <row r="10" spans="1:13" ht="20.100000000000001" customHeight="1" thickBot="1">
      <c r="B10" s="6" t="s">
        <v>61</v>
      </c>
      <c r="C10" s="452">
        <v>5</v>
      </c>
      <c r="D10" s="480" t="s">
        <v>62</v>
      </c>
      <c r="E10" s="119">
        <v>84.1</v>
      </c>
      <c r="F10" s="120">
        <v>103</v>
      </c>
      <c r="G10" s="510">
        <v>194.9</v>
      </c>
      <c r="H10" s="584">
        <f>MIN(E10,F10,G10)</f>
        <v>84.1</v>
      </c>
      <c r="I10" s="12"/>
    </row>
    <row r="11" spans="1:13" ht="20.100000000000001" customHeight="1" thickBot="1">
      <c r="B11" s="6" t="s">
        <v>63</v>
      </c>
      <c r="C11" s="452">
        <v>19</v>
      </c>
      <c r="D11" s="197" t="s">
        <v>64</v>
      </c>
      <c r="E11" s="121">
        <f>ROUND(AVERAGE(E10:G10),1)</f>
        <v>127.3</v>
      </c>
      <c r="F11" s="474">
        <f>ROUND((E10+F10)/2,1)</f>
        <v>93.6</v>
      </c>
      <c r="H11" s="585">
        <f>ROUND(AVERAGE(E10:G10),1)</f>
        <v>127.3</v>
      </c>
      <c r="I11" s="12"/>
      <c r="J11" s="568" t="s">
        <v>117</v>
      </c>
      <c r="K11" s="56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53">
        <f>C7-C9</f>
        <v>56</v>
      </c>
      <c r="H12" s="14"/>
      <c r="J12" s="501" t="s">
        <v>119</v>
      </c>
      <c r="K12" s="516">
        <v>33</v>
      </c>
      <c r="L12" s="517">
        <f>K12+180</f>
        <v>213</v>
      </c>
    </row>
    <row r="13" spans="1:13" ht="20.100000000000001" customHeight="1">
      <c r="A13" s="13">
        <f>C10+C11+C12+C13</f>
        <v>80</v>
      </c>
      <c r="B13" s="6" t="s">
        <v>66</v>
      </c>
      <c r="C13" s="453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501" t="s">
        <v>112</v>
      </c>
      <c r="K13" s="514">
        <v>500</v>
      </c>
      <c r="L13" s="511"/>
    </row>
    <row r="14" spans="1:13" ht="20.100000000000001" customHeight="1">
      <c r="B14" s="6" t="s">
        <v>67</v>
      </c>
      <c r="C14" s="451">
        <f>C7-IF(C20&gt;C9,C20,C9)</f>
        <v>56</v>
      </c>
      <c r="G14" s="122">
        <f>max</f>
        <v>1324.9</v>
      </c>
      <c r="H14" s="15"/>
      <c r="J14" s="501" t="s">
        <v>113</v>
      </c>
      <c r="K14" s="514">
        <v>10</v>
      </c>
      <c r="L14" s="511"/>
    </row>
    <row r="15" spans="1:13" ht="20.100000000000001" customHeight="1" thickBot="1">
      <c r="B15" s="6" t="s">
        <v>68</v>
      </c>
      <c r="C15" s="450">
        <f>Well!I4</f>
        <v>178</v>
      </c>
      <c r="E15" s="34">
        <v>1</v>
      </c>
      <c r="J15" s="501" t="s">
        <v>114</v>
      </c>
      <c r="K15" s="514">
        <v>4</v>
      </c>
      <c r="L15" s="511"/>
    </row>
    <row r="16" spans="1:13" ht="20.100000000000001" customHeight="1">
      <c r="B16" s="6" t="s">
        <v>69</v>
      </c>
      <c r="C16" s="476">
        <f>Well!J4</f>
        <v>178</v>
      </c>
      <c r="E16" s="108" t="s">
        <v>275</v>
      </c>
      <c r="F16" s="109" t="s">
        <v>96</v>
      </c>
      <c r="G16" s="110" t="s">
        <v>95</v>
      </c>
      <c r="H16" s="15"/>
      <c r="J16" s="501" t="s">
        <v>120</v>
      </c>
      <c r="K16" s="515">
        <f>K14-C20</f>
        <v>7.67</v>
      </c>
      <c r="L16" s="511"/>
    </row>
    <row r="17" spans="2:12" ht="20.100000000000001" customHeight="1" thickBot="1">
      <c r="B17" s="6" t="s">
        <v>70</v>
      </c>
      <c r="C17" s="450">
        <f>Well!L4</f>
        <v>5</v>
      </c>
      <c r="E17" s="395">
        <f>Well!P4</f>
        <v>1202219</v>
      </c>
      <c r="F17" s="137">
        <f>(max*rf_1*E17/1000)</f>
        <v>259629.65235530003</v>
      </c>
      <c r="G17" s="136">
        <f>F17*allow_ratio</f>
        <v>173951.86707805103</v>
      </c>
      <c r="J17" s="501" t="s">
        <v>115</v>
      </c>
      <c r="K17" s="515">
        <f>K16-K15</f>
        <v>3.67</v>
      </c>
      <c r="L17" s="511"/>
    </row>
    <row r="18" spans="2:12" ht="20.100000000000001" customHeight="1" thickBot="1">
      <c r="B18" s="6" t="s">
        <v>71</v>
      </c>
      <c r="C18" s="450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502" t="s">
        <v>116</v>
      </c>
      <c r="K18" s="512">
        <f>(K17/K13)</f>
        <v>7.3400000000000002E-3</v>
      </c>
      <c r="L18" s="513">
        <f>K18*100</f>
        <v>0.73399999999999999</v>
      </c>
    </row>
    <row r="19" spans="2:12" ht="20.100000000000001" customHeight="1" thickBot="1">
      <c r="B19" s="17" t="s">
        <v>75</v>
      </c>
      <c r="C19" s="454">
        <f>Well!N4</f>
        <v>50</v>
      </c>
      <c r="E19" s="395">
        <f>E17</f>
        <v>1202219</v>
      </c>
      <c r="F19" s="134">
        <f>(max*rf_1*E19/1000)/365</f>
        <v>711.31411604191794</v>
      </c>
      <c r="G19" s="135">
        <f>F19*allow_ratio</f>
        <v>476.58045774808505</v>
      </c>
      <c r="H19" s="118">
        <f>G19-F21</f>
        <v>297.28045774808504</v>
      </c>
    </row>
    <row r="20" spans="2:12" ht="20.100000000000001" customHeight="1">
      <c r="B20" s="18" t="s">
        <v>76</v>
      </c>
      <c r="C20" s="455">
        <v>2.33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56">
        <v>6.24</v>
      </c>
      <c r="D21" s="13"/>
      <c r="E21" s="396">
        <f>Well!$I$6</f>
        <v>178</v>
      </c>
      <c r="F21" s="397">
        <f>Well!O4</f>
        <v>179.3</v>
      </c>
      <c r="G21" s="136">
        <f>G19-E21-F21</f>
        <v>119.28045774808504</v>
      </c>
    </row>
    <row r="22" spans="2:12" ht="20.100000000000001" customHeight="1" thickBot="1">
      <c r="B22" s="27" t="s">
        <v>164</v>
      </c>
      <c r="C22" s="457">
        <f>C21-C20</f>
        <v>3.91</v>
      </c>
      <c r="E22" s="570">
        <f>E21+F21</f>
        <v>357.3</v>
      </c>
      <c r="F22" s="571"/>
      <c r="G22" s="16"/>
      <c r="I22" s="15"/>
    </row>
    <row r="23" spans="2:12" ht="20.100000000000001" customHeight="1" thickBot="1">
      <c r="B23" s="313" t="s">
        <v>232</v>
      </c>
      <c r="C23" s="314">
        <v>1.44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4" t="s">
        <v>97</v>
      </c>
      <c r="C25" s="565"/>
      <c r="D25" s="398" t="s">
        <v>106</v>
      </c>
      <c r="E25" s="398" t="s">
        <v>107</v>
      </c>
      <c r="F25" s="398" t="s">
        <v>98</v>
      </c>
      <c r="G25" s="398" t="s">
        <v>99</v>
      </c>
      <c r="H25" s="398" t="s">
        <v>121</v>
      </c>
      <c r="I25" s="398" t="s">
        <v>100</v>
      </c>
      <c r="J25" s="398" t="s">
        <v>101</v>
      </c>
      <c r="K25" s="507" t="s">
        <v>102</v>
      </c>
    </row>
    <row r="26" spans="2:12" ht="25.5" customHeight="1">
      <c r="B26" s="566" t="s">
        <v>103</v>
      </c>
      <c r="C26" s="503" t="s">
        <v>104</v>
      </c>
      <c r="D26" s="469">
        <f>C20</f>
        <v>2.33</v>
      </c>
      <c r="E26" s="470">
        <f>Recharge!C30</f>
        <v>21.595870000000001</v>
      </c>
      <c r="F26" s="471" t="s">
        <v>183</v>
      </c>
      <c r="G26" s="469" t="s">
        <v>373</v>
      </c>
      <c r="H26" s="472">
        <f>L18</f>
        <v>0.73399999999999999</v>
      </c>
      <c r="I26" s="508" t="s">
        <v>183</v>
      </c>
      <c r="J26" s="473">
        <f>(E7/C14)/864</f>
        <v>4.1294642857142859E-4</v>
      </c>
      <c r="K26" s="468" t="s">
        <v>374</v>
      </c>
    </row>
    <row r="27" spans="2:12" ht="25.5" customHeight="1">
      <c r="B27" s="566"/>
      <c r="C27" s="504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10</v>
      </c>
      <c r="I27" s="399">
        <v>4</v>
      </c>
      <c r="J27" s="399">
        <v>6</v>
      </c>
      <c r="K27" s="468" t="s">
        <v>365</v>
      </c>
    </row>
    <row r="28" spans="2:12" ht="25.5" customHeight="1">
      <c r="B28" s="566"/>
      <c r="C28" s="505" t="s">
        <v>176</v>
      </c>
      <c r="D28" s="465">
        <v>5</v>
      </c>
      <c r="E28" s="465">
        <v>4</v>
      </c>
      <c r="F28" s="465">
        <v>3</v>
      </c>
      <c r="G28" s="465">
        <v>2</v>
      </c>
      <c r="H28" s="465">
        <v>1</v>
      </c>
      <c r="I28" s="465">
        <v>5</v>
      </c>
      <c r="J28" s="465">
        <v>3</v>
      </c>
      <c r="K28" s="466"/>
    </row>
    <row r="29" spans="2:12" ht="25.5" customHeight="1">
      <c r="B29" s="566"/>
      <c r="C29" s="505" t="s">
        <v>177</v>
      </c>
      <c r="D29" s="467">
        <v>5</v>
      </c>
      <c r="E29" s="467">
        <v>4</v>
      </c>
      <c r="F29" s="467">
        <v>3</v>
      </c>
      <c r="G29" s="467">
        <v>5</v>
      </c>
      <c r="H29" s="467">
        <v>3</v>
      </c>
      <c r="I29" s="467">
        <v>4</v>
      </c>
      <c r="J29" s="467">
        <v>2</v>
      </c>
      <c r="K29" s="466"/>
    </row>
    <row r="30" spans="2:12" ht="25.5" customHeight="1">
      <c r="B30" s="566"/>
      <c r="C30" s="503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10</v>
      </c>
      <c r="I30" s="400">
        <f t="shared" si="0"/>
        <v>20</v>
      </c>
      <c r="J30" s="400">
        <f t="shared" si="0"/>
        <v>18</v>
      </c>
      <c r="K30" s="401">
        <f>SUM(D30:J30)</f>
        <v>140</v>
      </c>
    </row>
    <row r="31" spans="2:12" ht="25.5" customHeight="1" thickBot="1">
      <c r="B31" s="567"/>
      <c r="C31" s="506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30</v>
      </c>
      <c r="I31" s="402">
        <f t="shared" si="1"/>
        <v>16</v>
      </c>
      <c r="J31" s="402">
        <f t="shared" si="1"/>
        <v>12</v>
      </c>
      <c r="K31" s="403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357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4" t="s">
        <v>85</v>
      </c>
      <c r="C12" s="575"/>
      <c r="D12" s="576" t="s">
        <v>86</v>
      </c>
      <c r="E12" s="577"/>
      <c r="F12" s="575"/>
      <c r="H12" s="574" t="s">
        <v>86</v>
      </c>
      <c r="I12" s="577"/>
      <c r="J12" s="575"/>
      <c r="L12"/>
      <c r="M12"/>
      <c r="N12"/>
    </row>
    <row r="13" spans="2:14" s="30" customFormat="1" ht="26.1" customHeight="1">
      <c r="B13" s="353" t="s">
        <v>81</v>
      </c>
      <c r="C13" s="354" t="s">
        <v>87</v>
      </c>
      <c r="D13" s="376" t="s">
        <v>88</v>
      </c>
      <c r="E13" s="377" t="s">
        <v>89</v>
      </c>
      <c r="F13" s="35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8">
        <f>$C$6+C14/1440</f>
        <v>44753.864583333328</v>
      </c>
      <c r="C14" s="359">
        <v>5</v>
      </c>
      <c r="D14" s="379">
        <f t="shared" ref="D14:D20" si="0">baseTemp+H14</f>
        <v>14.799999999999999</v>
      </c>
      <c r="E14" s="380">
        <f>$C$8+I14</f>
        <v>208</v>
      </c>
      <c r="F14" s="38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2">
        <f t="shared" ref="B15:B23" si="1">$C$6+C15/1440</f>
        <v>44753.881944444445</v>
      </c>
      <c r="C15" s="365">
        <v>30</v>
      </c>
      <c r="D15" s="383">
        <f t="shared" si="0"/>
        <v>14.4</v>
      </c>
      <c r="E15" s="384">
        <f t="shared" ref="E15:E20" si="2">$C$8+I15</f>
        <v>214</v>
      </c>
      <c r="F15" s="38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2">
        <f t="shared" si="1"/>
        <v>44753.902777777774</v>
      </c>
      <c r="C16" s="365">
        <v>60</v>
      </c>
      <c r="D16" s="383">
        <f t="shared" si="0"/>
        <v>14.4</v>
      </c>
      <c r="E16" s="384">
        <f t="shared" si="2"/>
        <v>213</v>
      </c>
      <c r="F16" s="38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2">
        <f t="shared" si="1"/>
        <v>44753.944444444445</v>
      </c>
      <c r="C17" s="365">
        <v>120</v>
      </c>
      <c r="D17" s="383">
        <f t="shared" si="0"/>
        <v>14.9</v>
      </c>
      <c r="E17" s="384">
        <f t="shared" si="2"/>
        <v>209</v>
      </c>
      <c r="F17" s="38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2">
        <f t="shared" si="1"/>
        <v>44754.027777777774</v>
      </c>
      <c r="C18" s="365">
        <v>240</v>
      </c>
      <c r="D18" s="383">
        <f t="shared" si="0"/>
        <v>14.299999999999999</v>
      </c>
      <c r="E18" s="384">
        <f t="shared" si="2"/>
        <v>210</v>
      </c>
      <c r="F18" s="38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2">
        <f t="shared" si="1"/>
        <v>44754.194444444445</v>
      </c>
      <c r="C19" s="365">
        <v>480</v>
      </c>
      <c r="D19" s="386">
        <f t="shared" si="0"/>
        <v>14.799999999999999</v>
      </c>
      <c r="E19" s="384">
        <f t="shared" si="2"/>
        <v>213</v>
      </c>
      <c r="F19" s="38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2">
        <f t="shared" si="1"/>
        <v>44754.861111111109</v>
      </c>
      <c r="C20" s="365">
        <v>1440</v>
      </c>
      <c r="D20" s="383">
        <f t="shared" si="0"/>
        <v>14.799999999999999</v>
      </c>
      <c r="E20" s="384">
        <f t="shared" si="2"/>
        <v>208</v>
      </c>
      <c r="F20" s="38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2">
        <f t="shared" si="1"/>
        <v>44755.027777777774</v>
      </c>
      <c r="C21" s="365">
        <v>1680</v>
      </c>
      <c r="D21" s="383">
        <f>$D$20</f>
        <v>14.799999999999999</v>
      </c>
      <c r="E21" s="384">
        <f>$E$20</f>
        <v>208</v>
      </c>
      <c r="F21" s="38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2">
        <f t="shared" si="1"/>
        <v>44755.194444444445</v>
      </c>
      <c r="C22" s="365">
        <v>1920</v>
      </c>
      <c r="D22" s="383">
        <f t="shared" ref="D22:D23" si="4">$D$20</f>
        <v>14.799999999999999</v>
      </c>
      <c r="E22" s="384">
        <f t="shared" ref="E22:E23" si="5">$E$20</f>
        <v>208</v>
      </c>
      <c r="F22" s="38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2">
        <f t="shared" si="1"/>
        <v>44755.861111111109</v>
      </c>
      <c r="C23" s="365">
        <v>2880</v>
      </c>
      <c r="D23" s="383">
        <f t="shared" si="4"/>
        <v>14.799999999999999</v>
      </c>
      <c r="E23" s="384">
        <f t="shared" si="5"/>
        <v>208</v>
      </c>
      <c r="F23" s="38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78" t="s">
        <v>36</v>
      </c>
      <c r="C24" s="579"/>
      <c r="D24" s="376">
        <f>MAX(D14:D23)</f>
        <v>14.9</v>
      </c>
      <c r="E24" s="377">
        <f t="shared" ref="E24:F24" si="7">MAX(E14:E23)</f>
        <v>214</v>
      </c>
      <c r="F24" s="354">
        <f t="shared" si="7"/>
        <v>6.8</v>
      </c>
      <c r="H24" s="30"/>
      <c r="I24" s="30"/>
      <c r="J24" s="30"/>
    </row>
    <row r="25" spans="2:14" s="31" customFormat="1" ht="26.1" customHeight="1">
      <c r="B25" s="578" t="s">
        <v>37</v>
      </c>
      <c r="C25" s="579"/>
      <c r="D25" s="376">
        <f>MIN(D14:D23)</f>
        <v>14.299999999999999</v>
      </c>
      <c r="E25" s="377">
        <f t="shared" ref="E25:F25" si="8">MIN(E14:E23)</f>
        <v>208</v>
      </c>
      <c r="F25" s="354">
        <f t="shared" si="8"/>
        <v>6.58</v>
      </c>
      <c r="H25" s="30"/>
      <c r="I25" s="30"/>
      <c r="J25" s="30"/>
    </row>
    <row r="26" spans="2:14" s="31" customFormat="1" ht="26.1" customHeight="1" thickBot="1">
      <c r="B26" s="572" t="s">
        <v>91</v>
      </c>
      <c r="C26" s="573"/>
      <c r="D26" s="387">
        <f>D24-D25</f>
        <v>0.60000000000000142</v>
      </c>
      <c r="E26" s="388">
        <f t="shared" ref="E26:F26" si="9">E24-E25</f>
        <v>6</v>
      </c>
      <c r="F26" s="36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358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74" t="s">
        <v>85</v>
      </c>
      <c r="C12" s="575"/>
      <c r="D12" s="574" t="s">
        <v>86</v>
      </c>
      <c r="E12" s="577"/>
      <c r="F12" s="575"/>
      <c r="G12" s="580" t="s">
        <v>157</v>
      </c>
      <c r="H12" s="581"/>
      <c r="I12" s="582"/>
    </row>
    <row r="13" spans="2:9" s="30" customFormat="1" ht="26.1" customHeight="1">
      <c r="B13" s="353" t="s">
        <v>81</v>
      </c>
      <c r="C13" s="354" t="s">
        <v>87</v>
      </c>
      <c r="D13" s="372" t="s">
        <v>88</v>
      </c>
      <c r="E13" s="373" t="s">
        <v>89</v>
      </c>
      <c r="F13" s="374" t="s">
        <v>90</v>
      </c>
      <c r="G13" s="355" t="s">
        <v>88</v>
      </c>
      <c r="H13" s="356" t="s">
        <v>89</v>
      </c>
      <c r="I13" s="357" t="s">
        <v>90</v>
      </c>
    </row>
    <row r="14" spans="2:9" s="30" customFormat="1" ht="26.1" customHeight="1">
      <c r="B14" s="358">
        <f>$C$6+C14/1440</f>
        <v>44753.864583333328</v>
      </c>
      <c r="C14" s="359">
        <v>5</v>
      </c>
      <c r="D14" s="363">
        <f t="shared" ref="D14:D23" si="0">baseTemp+D31</f>
        <v>14</v>
      </c>
      <c r="E14" s="361">
        <f t="shared" ref="E14:E20" si="1">$C$8+E31</f>
        <v>223</v>
      </c>
      <c r="F14" s="362">
        <f t="shared" ref="F14:F20" si="2">$C$9+F31</f>
        <v>7.83</v>
      </c>
      <c r="G14" s="363">
        <f t="shared" ref="G14:G20" si="3">baseTemp+H31</f>
        <v>14</v>
      </c>
      <c r="H14" s="361">
        <f>$D$8+I31</f>
        <v>232</v>
      </c>
      <c r="I14" s="362">
        <f>$D$9+J31</f>
        <v>7.89</v>
      </c>
    </row>
    <row r="15" spans="2:9" s="30" customFormat="1" ht="26.1" customHeight="1">
      <c r="B15" s="364">
        <f t="shared" ref="B15:B23" si="4">$C$6+C15/1440</f>
        <v>44753.881944444445</v>
      </c>
      <c r="C15" s="365">
        <v>30</v>
      </c>
      <c r="D15" s="363">
        <f t="shared" si="0"/>
        <v>14.1</v>
      </c>
      <c r="E15" s="361">
        <f t="shared" si="1"/>
        <v>224</v>
      </c>
      <c r="F15" s="362">
        <f t="shared" si="2"/>
        <v>7.82</v>
      </c>
      <c r="G15" s="363">
        <f t="shared" si="3"/>
        <v>14</v>
      </c>
      <c r="H15" s="361">
        <f t="shared" ref="H15:H20" si="5">$D$8+I32</f>
        <v>226</v>
      </c>
      <c r="I15" s="362">
        <f t="shared" ref="I15:I20" si="6">$D$9+J32</f>
        <v>7.71</v>
      </c>
    </row>
    <row r="16" spans="2:9" s="30" customFormat="1" ht="26.1" customHeight="1">
      <c r="B16" s="364">
        <f t="shared" si="4"/>
        <v>44753.902777777774</v>
      </c>
      <c r="C16" s="365">
        <v>60</v>
      </c>
      <c r="D16" s="363">
        <f t="shared" si="0"/>
        <v>14</v>
      </c>
      <c r="E16" s="361">
        <f t="shared" si="1"/>
        <v>228</v>
      </c>
      <c r="F16" s="362">
        <f t="shared" si="2"/>
        <v>8.01</v>
      </c>
      <c r="G16" s="363">
        <f t="shared" si="3"/>
        <v>13.9</v>
      </c>
      <c r="H16" s="361">
        <f t="shared" si="5"/>
        <v>232</v>
      </c>
      <c r="I16" s="362">
        <f t="shared" si="6"/>
        <v>7.7</v>
      </c>
    </row>
    <row r="17" spans="2:10" s="30" customFormat="1" ht="26.1" customHeight="1">
      <c r="B17" s="364">
        <f t="shared" si="4"/>
        <v>44753.944444444445</v>
      </c>
      <c r="C17" s="365">
        <v>120</v>
      </c>
      <c r="D17" s="363">
        <f t="shared" si="0"/>
        <v>14</v>
      </c>
      <c r="E17" s="361">
        <f t="shared" si="1"/>
        <v>228</v>
      </c>
      <c r="F17" s="362">
        <f t="shared" si="2"/>
        <v>8.01</v>
      </c>
      <c r="G17" s="363">
        <f t="shared" si="3"/>
        <v>13.9</v>
      </c>
      <c r="H17" s="361">
        <f t="shared" si="5"/>
        <v>228</v>
      </c>
      <c r="I17" s="362">
        <f t="shared" si="6"/>
        <v>7.7</v>
      </c>
    </row>
    <row r="18" spans="2:10" s="30" customFormat="1" ht="26.1" customHeight="1">
      <c r="B18" s="364">
        <f t="shared" si="4"/>
        <v>44754.027777777774</v>
      </c>
      <c r="C18" s="365">
        <v>240</v>
      </c>
      <c r="D18" s="363">
        <f t="shared" si="0"/>
        <v>14.1</v>
      </c>
      <c r="E18" s="361">
        <f t="shared" si="1"/>
        <v>227</v>
      </c>
      <c r="F18" s="362">
        <f t="shared" si="2"/>
        <v>8.01</v>
      </c>
      <c r="G18" s="363">
        <f t="shared" si="3"/>
        <v>13.9</v>
      </c>
      <c r="H18" s="361">
        <f t="shared" si="5"/>
        <v>230</v>
      </c>
      <c r="I18" s="362">
        <f t="shared" si="6"/>
        <v>7.7</v>
      </c>
    </row>
    <row r="19" spans="2:10" s="30" customFormat="1" ht="26.1" customHeight="1">
      <c r="B19" s="364">
        <f t="shared" si="4"/>
        <v>44754.194444444445</v>
      </c>
      <c r="C19" s="365">
        <v>480</v>
      </c>
      <c r="D19" s="363">
        <f t="shared" si="0"/>
        <v>14</v>
      </c>
      <c r="E19" s="361">
        <f t="shared" si="1"/>
        <v>225</v>
      </c>
      <c r="F19" s="362">
        <f t="shared" si="2"/>
        <v>7.78</v>
      </c>
      <c r="G19" s="363">
        <f t="shared" si="3"/>
        <v>13.9</v>
      </c>
      <c r="H19" s="361">
        <f t="shared" si="5"/>
        <v>228</v>
      </c>
      <c r="I19" s="362">
        <f t="shared" si="6"/>
        <v>7.92</v>
      </c>
    </row>
    <row r="20" spans="2:10" s="31" customFormat="1" ht="26.1" customHeight="1">
      <c r="B20" s="364">
        <f t="shared" si="4"/>
        <v>44754.861111111109</v>
      </c>
      <c r="C20" s="365">
        <v>1440</v>
      </c>
      <c r="D20" s="363">
        <f t="shared" si="0"/>
        <v>14.1</v>
      </c>
      <c r="E20" s="361">
        <f t="shared" si="1"/>
        <v>227</v>
      </c>
      <c r="F20" s="362">
        <f t="shared" si="2"/>
        <v>7.9700000000000006</v>
      </c>
      <c r="G20" s="363">
        <f t="shared" si="3"/>
        <v>13.9</v>
      </c>
      <c r="H20" s="361">
        <f t="shared" si="5"/>
        <v>227</v>
      </c>
      <c r="I20" s="362">
        <f t="shared" si="6"/>
        <v>7.7299999999999995</v>
      </c>
    </row>
    <row r="21" spans="2:10" s="31" customFormat="1" ht="26.1" customHeight="1">
      <c r="B21" s="364">
        <f t="shared" si="4"/>
        <v>44755.027777777774</v>
      </c>
      <c r="C21" s="365">
        <v>1680</v>
      </c>
      <c r="D21" s="363">
        <f t="shared" si="0"/>
        <v>14</v>
      </c>
      <c r="E21" s="361">
        <f>$E$20</f>
        <v>227</v>
      </c>
      <c r="F21" s="362">
        <f>$F$20</f>
        <v>7.9700000000000006</v>
      </c>
      <c r="G21" s="363">
        <f>$G$20</f>
        <v>13.9</v>
      </c>
      <c r="H21" s="361">
        <f>$H$20</f>
        <v>227</v>
      </c>
      <c r="I21" s="362">
        <f>$I$20</f>
        <v>7.7299999999999995</v>
      </c>
    </row>
    <row r="22" spans="2:10" s="31" customFormat="1" ht="26.1" customHeight="1">
      <c r="B22" s="364">
        <f t="shared" si="4"/>
        <v>44755.194444444445</v>
      </c>
      <c r="C22" s="365">
        <v>1920</v>
      </c>
      <c r="D22" s="363">
        <f t="shared" si="0"/>
        <v>14</v>
      </c>
      <c r="E22" s="361">
        <f t="shared" ref="E22:E23" si="7">$E$20</f>
        <v>227</v>
      </c>
      <c r="F22" s="362">
        <f t="shared" ref="F22:F23" si="8">$F$20</f>
        <v>7.9700000000000006</v>
      </c>
      <c r="G22" s="363">
        <f t="shared" ref="G22:G23" si="9">$G$20</f>
        <v>13.9</v>
      </c>
      <c r="H22" s="361">
        <f t="shared" ref="H22:H23" si="10">$H$20</f>
        <v>227</v>
      </c>
      <c r="I22" s="362">
        <f t="shared" ref="I22:I23" si="11">$I$20</f>
        <v>7.7299999999999995</v>
      </c>
    </row>
    <row r="23" spans="2:10" s="31" customFormat="1" ht="26.1" customHeight="1">
      <c r="B23" s="366">
        <f t="shared" si="4"/>
        <v>44755.861111111109</v>
      </c>
      <c r="C23" s="367">
        <v>2880</v>
      </c>
      <c r="D23" s="363">
        <f t="shared" si="0"/>
        <v>14</v>
      </c>
      <c r="E23" s="361">
        <f t="shared" si="7"/>
        <v>227</v>
      </c>
      <c r="F23" s="362">
        <f t="shared" si="8"/>
        <v>7.9700000000000006</v>
      </c>
      <c r="G23" s="363">
        <f t="shared" si="9"/>
        <v>13.9</v>
      </c>
      <c r="H23" s="361">
        <f t="shared" si="10"/>
        <v>227</v>
      </c>
      <c r="I23" s="362">
        <f t="shared" si="11"/>
        <v>7.7299999999999995</v>
      </c>
    </row>
    <row r="24" spans="2:10" s="31" customFormat="1" ht="26.1" customHeight="1">
      <c r="B24" s="578" t="s">
        <v>36</v>
      </c>
      <c r="C24" s="579"/>
      <c r="D24" s="355">
        <f>MAX(D14:D23)</f>
        <v>14.1</v>
      </c>
      <c r="E24" s="356">
        <f t="shared" ref="E24:F24" si="12">MAX(E14:E23)</f>
        <v>228</v>
      </c>
      <c r="F24" s="357">
        <f t="shared" si="12"/>
        <v>8.01</v>
      </c>
      <c r="G24" s="355">
        <f>MAX(G14:G23)</f>
        <v>14</v>
      </c>
      <c r="H24" s="356">
        <f t="shared" ref="H24:I24" si="13">MAX(H14:H23)</f>
        <v>232</v>
      </c>
      <c r="I24" s="357">
        <f t="shared" si="13"/>
        <v>7.92</v>
      </c>
      <c r="J24" s="30"/>
    </row>
    <row r="25" spans="2:10" s="31" customFormat="1" ht="26.1" customHeight="1">
      <c r="B25" s="578" t="s">
        <v>37</v>
      </c>
      <c r="C25" s="579"/>
      <c r="D25" s="355">
        <f>MIN(D14:D23)</f>
        <v>14</v>
      </c>
      <c r="E25" s="356">
        <f t="shared" ref="E25:F25" si="14">MIN(E14:E23)</f>
        <v>223</v>
      </c>
      <c r="F25" s="375">
        <f t="shared" si="14"/>
        <v>7.78</v>
      </c>
      <c r="G25" s="355">
        <f>MIN(G14:G23)</f>
        <v>13.9</v>
      </c>
      <c r="H25" s="356">
        <f t="shared" ref="H25:I25" si="15">MIN(H14:H23)</f>
        <v>226</v>
      </c>
      <c r="I25" s="357">
        <f t="shared" si="15"/>
        <v>7.7</v>
      </c>
      <c r="J25" s="30"/>
    </row>
    <row r="26" spans="2:10" s="31" customFormat="1" ht="26.1" customHeight="1" thickBot="1">
      <c r="B26" s="572" t="s">
        <v>91</v>
      </c>
      <c r="C26" s="573"/>
      <c r="D26" s="369">
        <f>D24-D25</f>
        <v>9.9999999999999645E-2</v>
      </c>
      <c r="E26" s="370">
        <f t="shared" ref="E26:F26" si="16">E24-E25</f>
        <v>5</v>
      </c>
      <c r="F26" s="371">
        <f t="shared" si="16"/>
        <v>0.22999999999999954</v>
      </c>
      <c r="G26" s="369">
        <f>G24-G25</f>
        <v>9.9999999999999645E-2</v>
      </c>
      <c r="H26" s="370">
        <f t="shared" ref="H26:I26" si="17">H24-H25</f>
        <v>6</v>
      </c>
      <c r="I26" s="37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4" t="s">
        <v>86</v>
      </c>
      <c r="E29" s="577"/>
      <c r="F29" s="575"/>
      <c r="H29" s="574" t="s">
        <v>157</v>
      </c>
      <c r="I29" s="577"/>
      <c r="J29" s="57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359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4" t="s">
        <v>85</v>
      </c>
      <c r="C12" s="575"/>
      <c r="D12" s="580" t="s">
        <v>86</v>
      </c>
      <c r="E12" s="581"/>
      <c r="F12" s="582"/>
      <c r="G12" s="580" t="s">
        <v>157</v>
      </c>
      <c r="H12" s="581"/>
      <c r="I12" s="582"/>
      <c r="J12" s="580" t="s">
        <v>158</v>
      </c>
      <c r="K12" s="581"/>
      <c r="L12" s="582"/>
    </row>
    <row r="13" spans="2:12" s="30" customFormat="1" ht="26.1" customHeight="1">
      <c r="B13" s="353" t="s">
        <v>81</v>
      </c>
      <c r="C13" s="354" t="s">
        <v>87</v>
      </c>
      <c r="D13" s="355" t="s">
        <v>161</v>
      </c>
      <c r="E13" s="356" t="s">
        <v>170</v>
      </c>
      <c r="F13" s="357" t="s">
        <v>90</v>
      </c>
      <c r="G13" s="355" t="s">
        <v>161</v>
      </c>
      <c r="H13" s="356" t="s">
        <v>170</v>
      </c>
      <c r="I13" s="357" t="s">
        <v>90</v>
      </c>
      <c r="J13" s="355" t="s">
        <v>161</v>
      </c>
      <c r="K13" s="356" t="s">
        <v>170</v>
      </c>
      <c r="L13" s="357" t="s">
        <v>90</v>
      </c>
    </row>
    <row r="14" spans="2:12" s="30" customFormat="1" ht="26.1" customHeight="1">
      <c r="B14" s="358">
        <f>$C$6+C14/1440</f>
        <v>44717.434027777774</v>
      </c>
      <c r="C14" s="359">
        <v>5</v>
      </c>
      <c r="D14" s="360">
        <f t="shared" ref="D14:D20" si="0">baseTemp+D31</f>
        <v>14.7</v>
      </c>
      <c r="E14" s="361">
        <f t="shared" ref="E14:E20" si="1">$C$8+E31</f>
        <v>194</v>
      </c>
      <c r="F14" s="362">
        <f t="shared" ref="F14:F20" si="2">$C$9+F31</f>
        <v>8.33</v>
      </c>
      <c r="G14" s="363">
        <f t="shared" ref="G14:G20" si="3">baseTemp+H31</f>
        <v>14.7</v>
      </c>
      <c r="H14" s="361">
        <f>$D$8+I31</f>
        <v>200</v>
      </c>
      <c r="I14" s="362">
        <f>$D$9+J31</f>
        <v>8.39</v>
      </c>
      <c r="J14" s="363">
        <f t="shared" ref="J14:J20" si="4">baseTemp+L31</f>
        <v>14.7</v>
      </c>
      <c r="K14" s="361">
        <f>$E$8+M31</f>
        <v>195</v>
      </c>
      <c r="L14" s="362">
        <f>$E$9+N31</f>
        <v>8.2800000000000011</v>
      </c>
    </row>
    <row r="15" spans="2:12" s="30" customFormat="1" ht="26.1" customHeight="1">
      <c r="B15" s="364">
        <f t="shared" ref="B15:B23" si="5">$C$6+C15/1440</f>
        <v>44717.451388888891</v>
      </c>
      <c r="C15" s="365">
        <v>30</v>
      </c>
      <c r="D15" s="360">
        <f t="shared" si="0"/>
        <v>14.799999999999999</v>
      </c>
      <c r="E15" s="361">
        <f t="shared" si="1"/>
        <v>195</v>
      </c>
      <c r="F15" s="362">
        <f t="shared" si="2"/>
        <v>8.32</v>
      </c>
      <c r="G15" s="363">
        <f t="shared" si="3"/>
        <v>14.7</v>
      </c>
      <c r="H15" s="361">
        <f t="shared" ref="H15:H20" si="6">$D$8+I32</f>
        <v>194</v>
      </c>
      <c r="I15" s="362">
        <f t="shared" ref="I15:I20" si="7">$D$9+J32</f>
        <v>8.2100000000000009</v>
      </c>
      <c r="J15" s="363">
        <f t="shared" si="4"/>
        <v>14.7</v>
      </c>
      <c r="K15" s="361">
        <f t="shared" ref="K15:K20" si="8">$E$8+M32</f>
        <v>192</v>
      </c>
      <c r="L15" s="362">
        <f t="shared" ref="L15:L20" si="9">$E$9+N32</f>
        <v>8.49</v>
      </c>
    </row>
    <row r="16" spans="2:12" s="30" customFormat="1" ht="26.1" customHeight="1">
      <c r="B16" s="364">
        <f t="shared" si="5"/>
        <v>44717.472222222219</v>
      </c>
      <c r="C16" s="365">
        <v>60</v>
      </c>
      <c r="D16" s="360">
        <f t="shared" si="0"/>
        <v>14.7</v>
      </c>
      <c r="E16" s="361">
        <f t="shared" si="1"/>
        <v>199</v>
      </c>
      <c r="F16" s="362">
        <f t="shared" si="2"/>
        <v>8.51</v>
      </c>
      <c r="G16" s="363">
        <f t="shared" si="3"/>
        <v>14.6</v>
      </c>
      <c r="H16" s="361">
        <f t="shared" si="6"/>
        <v>200</v>
      </c>
      <c r="I16" s="362">
        <f t="shared" si="7"/>
        <v>8.2000000000000011</v>
      </c>
      <c r="J16" s="363">
        <f t="shared" si="4"/>
        <v>14.799999999999999</v>
      </c>
      <c r="K16" s="361">
        <f t="shared" si="8"/>
        <v>193</v>
      </c>
      <c r="L16" s="362">
        <f t="shared" si="9"/>
        <v>8.51</v>
      </c>
    </row>
    <row r="17" spans="2:14" s="30" customFormat="1" ht="26.1" customHeight="1">
      <c r="B17" s="364">
        <f t="shared" si="5"/>
        <v>44717.513888888891</v>
      </c>
      <c r="C17" s="365">
        <v>120</v>
      </c>
      <c r="D17" s="360">
        <f t="shared" si="0"/>
        <v>14.7</v>
      </c>
      <c r="E17" s="361">
        <f t="shared" si="1"/>
        <v>199</v>
      </c>
      <c r="F17" s="362">
        <f t="shared" si="2"/>
        <v>8.51</v>
      </c>
      <c r="G17" s="363">
        <f t="shared" si="3"/>
        <v>14.6</v>
      </c>
      <c r="H17" s="361">
        <f t="shared" si="6"/>
        <v>196</v>
      </c>
      <c r="I17" s="362">
        <f t="shared" si="7"/>
        <v>8.2000000000000011</v>
      </c>
      <c r="J17" s="363">
        <f t="shared" si="4"/>
        <v>14.799999999999999</v>
      </c>
      <c r="K17" s="361">
        <f t="shared" si="8"/>
        <v>196</v>
      </c>
      <c r="L17" s="362">
        <f t="shared" si="9"/>
        <v>8.3000000000000007</v>
      </c>
    </row>
    <row r="18" spans="2:14" s="30" customFormat="1" ht="26.1" customHeight="1">
      <c r="B18" s="364">
        <f t="shared" si="5"/>
        <v>44717.597222222219</v>
      </c>
      <c r="C18" s="365">
        <v>240</v>
      </c>
      <c r="D18" s="360">
        <f t="shared" si="0"/>
        <v>14.799999999999999</v>
      </c>
      <c r="E18" s="361">
        <f t="shared" si="1"/>
        <v>198</v>
      </c>
      <c r="F18" s="362">
        <f t="shared" si="2"/>
        <v>8.51</v>
      </c>
      <c r="G18" s="363">
        <f t="shared" si="3"/>
        <v>14.6</v>
      </c>
      <c r="H18" s="361">
        <f t="shared" si="6"/>
        <v>198</v>
      </c>
      <c r="I18" s="362">
        <f t="shared" si="7"/>
        <v>8.2000000000000011</v>
      </c>
      <c r="J18" s="363">
        <f t="shared" si="4"/>
        <v>14.6</v>
      </c>
      <c r="K18" s="361">
        <f t="shared" si="8"/>
        <v>196</v>
      </c>
      <c r="L18" s="362">
        <f t="shared" si="9"/>
        <v>8.52</v>
      </c>
    </row>
    <row r="19" spans="2:14" s="30" customFormat="1" ht="26.1" customHeight="1">
      <c r="B19" s="364">
        <f t="shared" si="5"/>
        <v>44717.763888888891</v>
      </c>
      <c r="C19" s="365">
        <v>480</v>
      </c>
      <c r="D19" s="360">
        <f t="shared" si="0"/>
        <v>14.7</v>
      </c>
      <c r="E19" s="361">
        <f t="shared" si="1"/>
        <v>196</v>
      </c>
      <c r="F19" s="362">
        <f t="shared" si="2"/>
        <v>8.2800000000000011</v>
      </c>
      <c r="G19" s="363">
        <f t="shared" si="3"/>
        <v>14.6</v>
      </c>
      <c r="H19" s="361">
        <f t="shared" si="6"/>
        <v>196</v>
      </c>
      <c r="I19" s="362">
        <f t="shared" si="7"/>
        <v>8.42</v>
      </c>
      <c r="J19" s="363">
        <f t="shared" si="4"/>
        <v>14.799999999999999</v>
      </c>
      <c r="K19" s="361">
        <f t="shared" si="8"/>
        <v>191</v>
      </c>
      <c r="L19" s="362">
        <f t="shared" si="9"/>
        <v>8.2800000000000011</v>
      </c>
    </row>
    <row r="20" spans="2:14" s="31" customFormat="1" ht="26.1" customHeight="1">
      <c r="B20" s="364">
        <f t="shared" si="5"/>
        <v>44718.430555555555</v>
      </c>
      <c r="C20" s="365">
        <v>1440</v>
      </c>
      <c r="D20" s="360">
        <f t="shared" si="0"/>
        <v>14.799999999999999</v>
      </c>
      <c r="E20" s="361">
        <f t="shared" si="1"/>
        <v>198</v>
      </c>
      <c r="F20" s="362">
        <f t="shared" si="2"/>
        <v>8.4700000000000006</v>
      </c>
      <c r="G20" s="363">
        <f t="shared" si="3"/>
        <v>14.6</v>
      </c>
      <c r="H20" s="361">
        <f t="shared" si="6"/>
        <v>195</v>
      </c>
      <c r="I20" s="362">
        <f t="shared" si="7"/>
        <v>8.23</v>
      </c>
      <c r="J20" s="363">
        <f t="shared" si="4"/>
        <v>14.6</v>
      </c>
      <c r="K20" s="361">
        <f t="shared" si="8"/>
        <v>191</v>
      </c>
      <c r="L20" s="362">
        <f t="shared" si="9"/>
        <v>8.33</v>
      </c>
    </row>
    <row r="21" spans="2:14" s="31" customFormat="1" ht="26.1" customHeight="1">
      <c r="B21" s="364">
        <f t="shared" si="5"/>
        <v>44718.597222222219</v>
      </c>
      <c r="C21" s="365">
        <v>1680</v>
      </c>
      <c r="D21" s="360">
        <f>$D$20</f>
        <v>14.799999999999999</v>
      </c>
      <c r="E21" s="361">
        <f>$E$20</f>
        <v>198</v>
      </c>
      <c r="F21" s="362">
        <f>$F$20</f>
        <v>8.4700000000000006</v>
      </c>
      <c r="G21" s="363">
        <f>$G$20</f>
        <v>14.6</v>
      </c>
      <c r="H21" s="361">
        <f>$H$20</f>
        <v>195</v>
      </c>
      <c r="I21" s="362">
        <f>$I$20</f>
        <v>8.23</v>
      </c>
      <c r="J21" s="363">
        <f>$J$20</f>
        <v>14.6</v>
      </c>
      <c r="K21" s="361">
        <f>$K$20</f>
        <v>191</v>
      </c>
      <c r="L21" s="362">
        <f>$L$20</f>
        <v>8.33</v>
      </c>
    </row>
    <row r="22" spans="2:14" s="31" customFormat="1" ht="26.1" customHeight="1">
      <c r="B22" s="364">
        <f t="shared" si="5"/>
        <v>44718.763888888891</v>
      </c>
      <c r="C22" s="365">
        <v>1920</v>
      </c>
      <c r="D22" s="360">
        <f t="shared" ref="D22:D23" si="10">$D$20</f>
        <v>14.799999999999999</v>
      </c>
      <c r="E22" s="361">
        <f t="shared" ref="E22:E23" si="11">$E$20</f>
        <v>198</v>
      </c>
      <c r="F22" s="362">
        <f t="shared" ref="F22:F23" si="12">$F$20</f>
        <v>8.4700000000000006</v>
      </c>
      <c r="G22" s="363">
        <f t="shared" ref="G22:G23" si="13">$G$20</f>
        <v>14.6</v>
      </c>
      <c r="H22" s="361">
        <f t="shared" ref="H22:H23" si="14">$H$20</f>
        <v>195</v>
      </c>
      <c r="I22" s="362">
        <f t="shared" ref="I22:I23" si="15">$I$20</f>
        <v>8.23</v>
      </c>
      <c r="J22" s="363">
        <f t="shared" ref="J22:J23" si="16">$J$20</f>
        <v>14.6</v>
      </c>
      <c r="K22" s="361">
        <f t="shared" ref="K22:K23" si="17">$K$20</f>
        <v>191</v>
      </c>
      <c r="L22" s="362">
        <f t="shared" ref="L22:L23" si="18">$L$20</f>
        <v>8.33</v>
      </c>
    </row>
    <row r="23" spans="2:14" s="31" customFormat="1" ht="26.1" customHeight="1">
      <c r="B23" s="366">
        <f t="shared" si="5"/>
        <v>44719.430555555555</v>
      </c>
      <c r="C23" s="367">
        <v>2880</v>
      </c>
      <c r="D23" s="360">
        <f t="shared" si="10"/>
        <v>14.799999999999999</v>
      </c>
      <c r="E23" s="361">
        <f t="shared" si="11"/>
        <v>198</v>
      </c>
      <c r="F23" s="362">
        <f t="shared" si="12"/>
        <v>8.4700000000000006</v>
      </c>
      <c r="G23" s="363">
        <f t="shared" si="13"/>
        <v>14.6</v>
      </c>
      <c r="H23" s="361">
        <f t="shared" si="14"/>
        <v>195</v>
      </c>
      <c r="I23" s="362">
        <f t="shared" si="15"/>
        <v>8.23</v>
      </c>
      <c r="J23" s="363">
        <f t="shared" si="16"/>
        <v>14.6</v>
      </c>
      <c r="K23" s="361">
        <f t="shared" si="17"/>
        <v>191</v>
      </c>
      <c r="L23" s="362">
        <f t="shared" si="18"/>
        <v>8.33</v>
      </c>
    </row>
    <row r="24" spans="2:14" s="31" customFormat="1" ht="26.1" customHeight="1">
      <c r="B24" s="578" t="s">
        <v>36</v>
      </c>
      <c r="C24" s="579"/>
      <c r="D24" s="355">
        <f>MAX(D14:D23)</f>
        <v>14.799999999999999</v>
      </c>
      <c r="E24" s="356">
        <f t="shared" ref="E24:F24" si="19">MAX(E14:E23)</f>
        <v>199</v>
      </c>
      <c r="F24" s="357">
        <f t="shared" si="19"/>
        <v>8.51</v>
      </c>
      <c r="G24" s="355">
        <f>MAX(G14:G23)</f>
        <v>14.7</v>
      </c>
      <c r="H24" s="356">
        <f t="shared" ref="H24:I24" si="20">MAX(H14:H23)</f>
        <v>200</v>
      </c>
      <c r="I24" s="357">
        <f t="shared" si="20"/>
        <v>8.42</v>
      </c>
      <c r="J24" s="355">
        <f>MAX(J14:J23)</f>
        <v>14.799999999999999</v>
      </c>
      <c r="K24" s="356">
        <f t="shared" ref="K24:L24" si="21">MAX(K14:K23)</f>
        <v>196</v>
      </c>
      <c r="L24" s="357">
        <f t="shared" si="21"/>
        <v>8.52</v>
      </c>
    </row>
    <row r="25" spans="2:14" s="31" customFormat="1" ht="26.1" customHeight="1">
      <c r="B25" s="578" t="s">
        <v>37</v>
      </c>
      <c r="C25" s="579"/>
      <c r="D25" s="355">
        <f>MIN(D14:D23)</f>
        <v>14.7</v>
      </c>
      <c r="E25" s="356">
        <f t="shared" ref="E25:F25" si="22">MIN(E14:E23)</f>
        <v>194</v>
      </c>
      <c r="F25" s="357">
        <f t="shared" si="22"/>
        <v>8.2800000000000011</v>
      </c>
      <c r="G25" s="355">
        <f>MIN(G14:G23)</f>
        <v>14.6</v>
      </c>
      <c r="H25" s="356">
        <f t="shared" ref="H25:I25" si="23">MIN(H14:H23)</f>
        <v>194</v>
      </c>
      <c r="I25" s="357">
        <f t="shared" si="23"/>
        <v>8.2000000000000011</v>
      </c>
      <c r="J25" s="355">
        <f>MIN(J14:J23)</f>
        <v>14.6</v>
      </c>
      <c r="K25" s="356">
        <f t="shared" ref="K25:L25" si="24">MIN(K14:K23)</f>
        <v>191</v>
      </c>
      <c r="L25" s="357">
        <f t="shared" si="24"/>
        <v>8.2800000000000011</v>
      </c>
    </row>
    <row r="26" spans="2:14" s="31" customFormat="1" ht="26.1" customHeight="1" thickBot="1">
      <c r="B26" s="572" t="s">
        <v>91</v>
      </c>
      <c r="C26" s="573"/>
      <c r="D26" s="369">
        <f>D24-D25</f>
        <v>9.9999999999999645E-2</v>
      </c>
      <c r="E26" s="370">
        <f t="shared" ref="E26:F26" si="25">E24-E25</f>
        <v>5</v>
      </c>
      <c r="F26" s="371">
        <f t="shared" si="25"/>
        <v>0.22999999999999865</v>
      </c>
      <c r="G26" s="369">
        <f>G24-G25</f>
        <v>9.9999999999999645E-2</v>
      </c>
      <c r="H26" s="370">
        <f t="shared" ref="H26:I26" si="26">H24-H25</f>
        <v>6</v>
      </c>
      <c r="I26" s="371">
        <f t="shared" si="26"/>
        <v>0.21999999999999886</v>
      </c>
      <c r="J26" s="369">
        <f>J24-J25</f>
        <v>0.19999999999999929</v>
      </c>
      <c r="K26" s="370">
        <f t="shared" ref="K26:L26" si="27">K24-K25</f>
        <v>5</v>
      </c>
      <c r="L26" s="37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4" t="s">
        <v>86</v>
      </c>
      <c r="E29" s="577"/>
      <c r="F29" s="575"/>
      <c r="H29" s="574" t="s">
        <v>157</v>
      </c>
      <c r="I29" s="577"/>
      <c r="J29" s="575"/>
      <c r="L29" s="574" t="s">
        <v>158</v>
      </c>
      <c r="M29" s="577"/>
      <c r="N29" s="575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2023-05-18T01:32:32Z</dcterms:modified>
</cp:coreProperties>
</file>