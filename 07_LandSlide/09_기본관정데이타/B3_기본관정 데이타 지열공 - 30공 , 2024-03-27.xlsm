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DF76560-2523-4F62-AAED-9386CFDB0481}" xr6:coauthVersionLast="47" xr6:coauthVersionMax="47" xr10:uidLastSave="{00000000-0000-0000-0000-000000000000}"/>
  <bookViews>
    <workbookView xWindow="3225" yWindow="765" windowWidth="31710" windowHeight="19995" tabRatio="690" firstSheet="1" activeTab="8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234"/>
  <c r="E17" i="234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F21" i="233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F21" i="232"/>
  <c r="E17" i="232"/>
  <c r="C19" i="232"/>
  <c r="C18" i="232"/>
  <c r="C17" i="232"/>
  <c r="C16" i="232"/>
  <c r="C15" i="232"/>
  <c r="C8" i="232"/>
  <c r="C7" i="232"/>
  <c r="C12" i="232" s="1"/>
  <c r="A13" i="232" s="1"/>
  <c r="A12" i="232" s="1"/>
  <c r="C6" i="232"/>
  <c r="C5" i="232"/>
  <c r="C4" i="232"/>
  <c r="C3" i="232"/>
  <c r="C2" i="232"/>
  <c r="F21" i="231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234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O6" i="52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5" i="52"/>
  <c r="E5" i="52"/>
  <c r="O5" i="148"/>
  <c r="N5" i="148"/>
  <c r="O4" i="148"/>
  <c r="N4" i="148"/>
  <c r="O3" i="148"/>
  <c r="N3" i="148"/>
  <c r="C12" i="234" l="1"/>
  <c r="A13" i="234" s="1"/>
  <c r="A12" i="234" s="1"/>
  <c r="K30" i="232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F92" i="175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<sst xmlns="http://schemas.openxmlformats.org/spreadsheetml/2006/main" count="1679" uniqueCount="727">
  <si>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</si>
  <si>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</si>
  <si>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</si>
  <si>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</si>
  <si>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</si>
  <si>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</si>
  <si>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</si>
  <si>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</si>
  <si>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</si>
  <si>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</si>
  <si>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</si>
  <si>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</si>
  <si>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</si>
  <si>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</si>
  <si>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</si>
  <si>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</si>
  <si>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</si>
  <si>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</si>
  <si>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</si>
  <si>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</si>
  <si>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</si>
  <si>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</si>
  <si>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</si>
  <si>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</si>
  <si>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</si>
  <si>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</si>
  <si>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</si>
  <si>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</si>
  <si>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</si>
  <si>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</si>
  <si>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</si>
  <si>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</si>
  <si>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</si>
  <si>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</si>
  <si>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</si>
  <si>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</si>
  <si>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</si>
  <si>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</si>
  <si>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</si>
  <si>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</si>
  <si>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</si>
  <si>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</si>
  <si>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</si>
  <si>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</si>
  <si>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</si>
  <si>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</si>
  <si>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</si>
  <si>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</si>
  <si>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</si>
  <si>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</si>
  <si>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</si>
  <si>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</si>
  <si>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</si>
  <si>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</si>
  <si>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</si>
  <si>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</si>
  <si>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</si>
  <si>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</si>
  <si>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</si>
  <si>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</si>
  <si>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</si>
  <si>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</si>
  <si>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</si>
  <si>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</si>
  <si>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</si>
  <si>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</si>
  <si>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</si>
  <si>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</si>
  <si>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</si>
  <si>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</si>
  <si>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</si>
  <si>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</si>
  <si>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</si>
  <si>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</si>
  <si>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</si>
  <si>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</si>
  <si>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</si>
  <si>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</si>
  <si>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</si>
  <si>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</si>
  <si>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</si>
  <si>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</si>
  <si>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</si>
  <si>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</si>
  <si>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</si>
  <si>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</si>
  <si>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</si>
  <si>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</si>
  <si>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</si>
  <si>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</si>
  <si>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</si>
  <si>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</si>
  <si>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</si>
  <si>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</si>
  <si>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</si>
  <si>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</si>
  <si>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</si>
  <si>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</si>
  <si>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</si>
  <si>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</si>
  <si>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</si>
  <si>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</si>
  <si>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</si>
  <si>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</si>
  <si>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</si>
  <si>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</si>
  <si>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</si>
  <si>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</si>
  <si>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</si>
  <si>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</si>
  <si>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</si>
  <si>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</si>
  <si>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</si>
  <si>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</si>
  <si>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</si>
  <si>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</si>
  <si>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</si>
  <si>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</si>
  <si>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</si>
  <si>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</si>
  <si>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</si>
  <si>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</si>
  <si>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</si>
  <si>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</si>
  <si>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</si>
  <si>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</si>
  <si>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</si>
  <si>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</si>
  <si>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</si>
  <si>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</si>
  <si>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</si>
  <si>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</si>
  <si>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</si>
  <si>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</si>
  <si>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</si>
  <si>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</si>
  <si>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</si>
  <si>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</si>
  <si>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</si>
  <si>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</si>
  <si>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</si>
  <si>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</si>
  <si>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</si>
  <si>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</si>
  <si>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</si>
  <si>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</si>
  <si>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</si>
  <si>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</si>
  <si>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</si>
  <si>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</si>
  <si>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</si>
  <si>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</si>
  <si>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</si>
  <si>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</si>
  <si>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</si>
  <si>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</si>
  <si>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</si>
  <si>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</si>
  <si>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</si>
  <si>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</si>
  <si>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</si>
  <si>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</si>
  <si>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</si>
  <si>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</si>
  <si>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</si>
  <si>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</si>
  <si>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</si>
  <si>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</si>
  <si>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</si>
  <si>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</si>
  <si>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</si>
  <si>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</si>
  <si>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</si>
  <si>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</si>
  <si>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</si>
  <si>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</si>
  <si>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</si>
  <si>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</si>
  <si>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</si>
  <si>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</si>
  <si>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</si>
  <si>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</si>
  <si>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</si>
  <si>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</si>
  <si>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</si>
  <si>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</si>
  <si>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</si>
  <si>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</si>
  <si>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</si>
  <si>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</si>
  <si>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</si>
  <si>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</si>
  <si>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</si>
  <si>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</si>
  <si>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</si>
  <si>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</si>
  <si>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</si>
  <si>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</si>
  <si>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</si>
  <si>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</si>
  <si>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</si>
  <si>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</si>
  <si>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</si>
  <si>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</si>
  <si>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</si>
  <si>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</si>
  <si>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</si>
  <si>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</si>
  <si>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</si>
  <si>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</si>
  <si>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</si>
  <si>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</si>
  <si>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</si>
  <si>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</si>
  <si>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</si>
  <si>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</si>
  <si>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</si>
  <si>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</si>
  <si>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</si>
  <si>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</si>
  <si>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</si>
  <si>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</si>
  <si>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</si>
  <si>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</si>
  <si>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</si>
  <si>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</si>
  <si>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</si>
  <si>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</si>
  <si>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</si>
  <si>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</si>
  <si>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</si>
  <si>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</si>
  <si>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</si>
  <si>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</si>
  <si>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</si>
  <si>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</si>
  <si>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</si>
  <si>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</si>
  <si>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</si>
  <si>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</si>
  <si>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</si>
  <si>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</si>
  <si>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</si>
  <si>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</si>
  <si>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</si>
  <si>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</si>
  <si>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</si>
  <si>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</si>
  <si>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</si>
  <si>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</si>
  <si>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</si>
  <si>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</si>
  <si>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</si>
  <si>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</si>
  <si>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</si>
  <si>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</si>
  <si>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</si>
  <si>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</si>
  <si>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</si>
  <si>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</si>
  <si>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</si>
  <si>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</si>
  <si>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</si>
  <si>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</si>
  <si>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</si>
  <si>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</si>
  <si>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</si>
  <si>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</si>
  <si>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</si>
  <si>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</si>
  <si>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</si>
  <si>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</si>
  <si>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</si>
  <si>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</si>
  <si>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</si>
  <si>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</si>
  <si>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</si>
  <si>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</si>
  <si>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</si>
  <si>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</si>
  <si>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</si>
  <si>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</si>
  <si>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</si>
  <si>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</si>
  <si>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</si>
  <si>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</si>
  <si>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</si>
  <si>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</si>
  <si>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</si>
  <si>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</si>
  <si>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</si>
  <si>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</si>
  <si>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</si>
  <si>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</si>
  <si>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</si>
  <si>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</si>
  <si>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</si>
  <si>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</si>
  <si>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</si>
  <si>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</si>
  <si>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</si>
  <si>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</si>
  <si>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</si>
  <si>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</si>
  <si>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</si>
  <si>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</si>
  <si>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</si>
  <si>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</si>
  <si>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</si>
  <si>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</si>
  <si>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</si>
  <si>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</si>
  <si>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</si>
  <si>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</si>
  <si>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</si>
  <si>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</si>
  <si>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</si>
  <si>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</si>
  <si>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</si>
  <si>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</si>
  <si>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</si>
  <si>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</si>
  <si>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</si>
  <si>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</si>
  <si>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</si>
  <si>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</si>
  <si>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</si>
  <si>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</si>
  <si>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</si>
  <si>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</si>
  <si>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</si>
  <si>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</si>
  <si>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</si>
  <si>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</si>
  <si>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</si>
  <si>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</si>
  <si>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</si>
  <si>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</si>
  <si>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</si>
  <si>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</si>
  <si>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</si>
  <si>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</si>
  <si>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</si>
  <si>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</si>
  <si>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</si>
  <si>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</si>
  <si>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</si>
  <si>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</si>
  <si>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</si>
  <si>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</si>
  <si>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</si>
  <si>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</si>
  <si>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</si>
  <si>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</si>
  <si>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</si>
  <si>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</si>
  <si>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</si>
  <si>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</si>
  <si>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</si>
  <si>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</si>
  <si>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</si>
  <si>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</si>
  <si>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</si>
  <si>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</si>
  <si>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</si>
  <si>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</si>
  <si>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</si>
  <si>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</si>
  <si>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</si>
  <si>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</si>
  <si>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</si>
  <si>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</si>
  <si>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</si>
  <si>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</si>
  <si>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</si>
  <si>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</si>
  <si>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</si>
  <si>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</si>
  <si>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</si>
  <si>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</si>
  <si>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</si>
  <si>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</si>
  <si>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</si>
  <si>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</si>
  <si>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</si>
  <si>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</si>
  <si>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</si>
  <si>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</si>
  <si>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</si>
  <si>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</si>
  <si>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</si>
  <si>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</si>
  <si>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</si>
  <si>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</si>
  <si>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</si>
  <si>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</si>
  <si>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</si>
  <si>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</si>
  <si>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</si>
  <si>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</si>
  <si>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</si>
  <si>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</si>
  <si>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</si>
  <si>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</si>
  <si>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</si>
  <si>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</si>
  <si>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</si>
  <si>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</si>
  <si>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</si>
  <si>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</si>
  <si>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</si>
  <si>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</si>
  <si>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</si>
  <si>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</si>
  <si>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</si>
  <si>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</si>
  <si>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</si>
  <si>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</si>
  <si>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</si>
  <si>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</si>
  <si>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</si>
  <si>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</si>
  <si>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</si>
  <si>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</si>
  <si>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</si>
  <si>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</si>
  <si>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</si>
  <si>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</si>
  <si>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</si>
  <si>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</si>
  <si>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</si>
  <si>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</si>
  <si>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</si>
  <si>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</si>
  <si>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</si>
  <si>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</si>
  <si>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</si>
  <si>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</si>
  <si>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</si>
  <si>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</si>
  <si>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</si>
  <si>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</si>
  <si>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</si>
  <si>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</si>
  <si>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</si>
  <si>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</si>
  <si>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</si>
  <si>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</si>
  <si>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</si>
  <si>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</si>
  <si>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</si>
  <si>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</si>
  <si>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</si>
  <si>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</si>
  <si>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</si>
  <si>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</si>
  <si>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</si>
  <si>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</si>
  <si>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</si>
  <si>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</si>
  <si>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</si>
  <si>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</si>
  <si>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</si>
  <si>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</si>
  <si>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</si>
  <si>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</si>
  <si>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</si>
  <si>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</si>
  <si>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</si>
  <si>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</si>
  <si>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</si>
  <si>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</si>
  <si>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</si>
  <si>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</si>
  <si>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</si>
  <si>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</si>
  <si>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</si>
  <si>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</si>
  <si>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</si>
  <si>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</si>
  <si>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</si>
  <si>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</si>
  <si>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</si>
  <si>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</si>
  <si>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</si>
  <si>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</si>
  <si>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</si>
  <si>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</si>
  <si>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</si>
  <si>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</si>
  <si>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</si>
  <si>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</si>
  <si>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</si>
  <si>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</si>
  <si>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</si>
  <si>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</si>
  <si>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</si>
  <si>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</si>
  <si>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</si>
  <si>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</si>
  <si>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</si>
  <si>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</si>
  <si>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</si>
  <si>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</si>
  <si>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</si>
  <si>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</si>
  <si>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</si>
  <si>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</si>
  <si>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</si>
  <si>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</si>
  <si>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</si>
  <si>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</si>
  <si>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</si>
  <si>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</si>
  <si>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</si>
  <si>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</si>
  <si>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</si>
  <si>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</si>
  <si>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</si>
  <si>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</si>
  <si>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</si>
  <si>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</si>
  <si>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</si>
  <si>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</si>
  <si>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</si>
  <si>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</si>
  <si>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</si>
  <si>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</si>
  <si>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</si>
  <si>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</si>
  <si>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</si>
  <si>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</si>
  <si>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</si>
  <si>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</si>
  <si>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</si>
  <si>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</si>
  <si>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</si>
  <si>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</si>
  <si>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</si>
  <si>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</si>
  <si>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</si>
  <si>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</si>
  <si>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</si>
  <si>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</si>
  <si>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</si>
  <si>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</si>
  <si>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</si>
  <si>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</si>
  <si>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</si>
  <si>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</si>
  <si>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</si>
  <si>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</si>
  <si>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</si>
  <si>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</si>
  <si>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</si>
  <si>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</si>
  <si>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</si>
  <si>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</si>
  <si>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</si>
  <si>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</si>
  <si>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</si>
  <si>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</si>
  <si>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</si>
  <si>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</si>
  <si>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</si>
  <si>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</si>
  <si>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</si>
  <si>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</si>
  <si>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</si>
  <si>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</si>
  <si>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</si>
  <si>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</si>
  <si>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</si>
  <si>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</si>
  <si>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</si>
  <si>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</si>
  <si>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</si>
  <si>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</si>
  <si>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</si>
  <si>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</si>
  <si>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</si>
  <si>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</si>
  <si>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</si>
  <si>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</si>
  <si>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</si>
  <si>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</si>
  <si>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</si>
  <si>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</si>
  <si>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</si>
  <si>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</si>
  <si>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</si>
  <si>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</si>
  <si>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</si>
  <si>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</si>
  <si>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</si>
  <si>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</si>
  <si>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</si>
  <si>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</si>
  <si>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</si>
  <si>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</si>
  <si>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</si>
  <si>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</si>
  <si>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</si>
  <si>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</si>
  <si>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</si>
  <si>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</si>
  <si>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</si>
  <si>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</si>
  <si>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</si>
  <si>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</si>
  <si>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</si>
  <si>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</si>
  <si>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</si>
  <si>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</si>
  <si>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</si>
  <si>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</si>
  <si>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</si>
  <si>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</si>
  <si>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</si>
  <si>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</si>
  <si>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</si>
  <si>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</si>
  <si>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</si>
  <si>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</si>
  <si>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</si>
  <si>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</si>
  <si>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</si>
  <si>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</si>
  <si>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</si>
  <si>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</si>
  <si>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</si>
  <si>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</si>
  <si>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</si>
  <si>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</si>
  <si>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</si>
  <si>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</si>
  <si>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</si>
  <si>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</si>
  <si>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</si>
  <si>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</si>
  <si>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</si>
  <si>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</si>
  <si>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</si>
  <si>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</si>
  <si>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</si>
  <si>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</si>
  <si>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</si>
  <si>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</si>
  <si>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</si>
  <si>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</si>
  <si>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</si>
  <si>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</si>
  <si>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</si>
  <si>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</si>
  <si>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</si>
  <si>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</si>
  <si>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</si>
  <si>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</si>
  <si>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</si>
  <si>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</si>
  <si>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</si>
  <si>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</si>
  <si>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</si>
  <si>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</si>
  <si>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</si>
  <si>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</si>
  <si>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</si>
  <si>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</si>
  <si>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</si>
  <si>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</si>
  <si>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</si>
  <si>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</si>
  <si>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</si>
  <si>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</si>
  <si>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</si>
  <si>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</si>
  <si>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</si>
  <si>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</si>
  <si>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</si>
  <si>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</si>
  <si>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</si>
  <si>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</si>
  <si>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</si>
  <si>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</si>
  <si>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</si>
  <si>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</si>
  <si>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</si>
  <si>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</si>
  <si>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</si>
  <si>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</si>
  <si>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</si>
  <si>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</si>
  <si>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</si>
  <si>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</si>
  <si>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</si>
  <si>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</si>
  <si>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</si>
  <si>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</si>
  <si>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</si>
  <si>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</si>
  <si>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</si>
  <si>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</si>
  <si>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</si>
  <si>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</si>
  <si>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</si>
  <si>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</si>
  <si>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</si>
  <si>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</si>
  <si>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</si>
  <si>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</si>
  <si>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</si>
  <si>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</si>
  <si>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서울경기</t>
  </si>
  <si>
    <t>서울</t>
  </si>
  <si>
    <t>서울기상청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</si>
  <si>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</si>
  <si>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</si>
  <si>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</si>
  <si>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</si>
  <si>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</si>
  <si>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</si>
  <si>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</si>
  <si>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</si>
  <si>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W-2</t>
    <phoneticPr fontId="14" type="noConversion"/>
  </si>
  <si>
    <t>W-3</t>
    <phoneticPr fontId="14" type="noConversion"/>
  </si>
  <si>
    <t>W-4</t>
    <phoneticPr fontId="14" type="noConversion"/>
  </si>
  <si>
    <t>W-5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</si>
</sst>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4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6" xfId="0" applyFont="1" applyFill="1" applyBorder="1" applyAlignment="1">
      <alignment horizontal="center" vertical="center"/>
    </xf>
    <xf numFmtId="0" fontId="28" fillId="10" borderId="105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3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3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0" fontId="25" fillId="0" borderId="116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2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4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1.emf"/><Relationship Id="rId5" Type="http://schemas.openxmlformats.org/officeDocument/2006/relationships/image" Target="../media/image42.emf"/><Relationship Id="rId10" Type="http://schemas.openxmlformats.org/officeDocument/2006/relationships/image" Target="../media/image50.emf"/><Relationship Id="rId4" Type="http://schemas.openxmlformats.org/officeDocument/2006/relationships/image" Target="../media/image43.emf"/><Relationship Id="rId9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9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4" customWidth="1"/>
    <col min="2" max="2" width="16.5546875" style="344" customWidth="1"/>
    <col min="3" max="3" width="7.5546875" style="344" customWidth="1"/>
    <col min="4" max="4" width="7.33203125" style="344" bestFit="1" customWidth="1"/>
    <col min="5" max="5" width="3.21875" style="344" customWidth="1"/>
    <col min="6" max="6" width="8.88671875" style="344"/>
    <col min="7" max="7" width="15.77734375" style="344" customWidth="1"/>
    <col min="8" max="9" width="6.77734375" style="344" customWidth="1"/>
    <col min="10" max="10" width="3.44140625" style="344" customWidth="1"/>
    <col min="11" max="11" width="8.88671875" style="344"/>
    <col min="12" max="12" width="18.77734375" style="344" customWidth="1"/>
    <col min="13" max="14" width="6" style="344" customWidth="1"/>
    <col min="15" max="15" width="3.21875" style="344" customWidth="1"/>
    <col min="16" max="16" width="10.5546875" style="344" customWidth="1"/>
    <col min="17" max="17" width="10.44140625" style="344" customWidth="1"/>
    <col min="18" max="18" width="6.88671875" style="344" customWidth="1"/>
    <col min="19" max="19" width="3.6640625" style="344" customWidth="1"/>
    <col min="20" max="21" width="8.88671875" style="344"/>
    <col min="22" max="22" width="6.44140625" style="344" customWidth="1"/>
    <col min="23" max="23" width="6.5546875" style="344" customWidth="1"/>
    <col min="24" max="24" width="4.21875" style="344" customWidth="1"/>
    <col min="25" max="26" width="8.88671875" style="344"/>
    <col min="27" max="27" width="6.33203125" style="344" customWidth="1"/>
    <col min="28" max="28" width="6.21875" style="344" customWidth="1"/>
    <col min="29" max="29" width="4.77734375" style="344" customWidth="1"/>
    <col min="30" max="30" width="8.88671875" style="344"/>
    <col min="31" max="31" width="7.109375" style="344" customWidth="1"/>
    <col min="32" max="16384" width="8.88671875" style="344"/>
  </cols>
  <sheetData>
    <row r="1" spans="1:17">
      <c r="A1" s="344" t="s">
        <v>369</v>
      </c>
      <c r="B1" s="344" t="s">
        <v>196</v>
      </c>
      <c r="C1" s="344" t="s">
        <v>501</v>
      </c>
      <c r="D1" s="344" t="s">
        <v>500</v>
      </c>
      <c r="F1" s="344" t="s">
        <v>369</v>
      </c>
      <c r="G1" s="344" t="s">
        <v>196</v>
      </c>
      <c r="H1" s="344" t="s">
        <v>501</v>
      </c>
      <c r="I1" s="344" t="s">
        <v>500</v>
      </c>
      <c r="K1" s="344" t="s">
        <v>369</v>
      </c>
      <c r="L1" s="344" t="s">
        <v>196</v>
      </c>
      <c r="M1" s="344" t="s">
        <v>501</v>
      </c>
      <c r="N1" s="344" t="s">
        <v>500</v>
      </c>
      <c r="P1" s="344" t="s">
        <v>369</v>
      </c>
      <c r="Q1" s="344" t="s">
        <v>501</v>
      </c>
    </row>
    <row r="2" spans="1:17">
      <c r="A2" s="344" t="s">
        <v>589</v>
      </c>
      <c r="B2" s="344" t="s">
        <v>588</v>
      </c>
      <c r="C2" s="344">
        <v>116</v>
      </c>
      <c r="D2" s="344">
        <v>14</v>
      </c>
      <c r="F2" s="344" t="s">
        <v>587</v>
      </c>
      <c r="G2" s="344" t="s">
        <v>586</v>
      </c>
      <c r="H2" s="344">
        <v>105</v>
      </c>
      <c r="I2" s="344">
        <v>38</v>
      </c>
      <c r="K2" s="344" t="s">
        <v>585</v>
      </c>
      <c r="L2" s="344" t="s">
        <v>584</v>
      </c>
      <c r="M2" s="344">
        <v>226</v>
      </c>
      <c r="N2" s="344">
        <v>54</v>
      </c>
      <c r="P2" s="344" t="s">
        <v>583</v>
      </c>
      <c r="Q2" s="344" t="s">
        <v>582</v>
      </c>
    </row>
    <row r="3" spans="1:17">
      <c r="A3" s="344" t="s">
        <v>581</v>
      </c>
      <c r="B3" s="344" t="s">
        <v>580</v>
      </c>
      <c r="C3" s="344">
        <v>108</v>
      </c>
      <c r="D3" s="344">
        <v>14</v>
      </c>
      <c r="F3" s="344" t="s">
        <v>579</v>
      </c>
      <c r="G3" s="344" t="s">
        <v>578</v>
      </c>
      <c r="H3" s="344">
        <v>100</v>
      </c>
      <c r="I3" s="344">
        <v>38</v>
      </c>
      <c r="K3" s="344" t="s">
        <v>577</v>
      </c>
      <c r="L3" s="344" t="s">
        <v>576</v>
      </c>
      <c r="M3" s="344">
        <v>221</v>
      </c>
      <c r="N3" s="344">
        <v>54</v>
      </c>
      <c r="P3" s="344" t="s">
        <v>575</v>
      </c>
      <c r="Q3" s="344" t="s">
        <v>574</v>
      </c>
    </row>
    <row r="4" spans="1:17">
      <c r="A4" s="344" t="s">
        <v>573</v>
      </c>
      <c r="B4" s="344" t="s">
        <v>572</v>
      </c>
      <c r="C4" s="344">
        <v>201</v>
      </c>
      <c r="D4" s="344">
        <v>22</v>
      </c>
      <c r="F4" s="344" t="s">
        <v>571</v>
      </c>
      <c r="G4" s="344" t="s">
        <v>570</v>
      </c>
      <c r="H4" s="344">
        <v>106</v>
      </c>
      <c r="I4" s="344">
        <v>38</v>
      </c>
      <c r="K4" s="344" t="s">
        <v>569</v>
      </c>
      <c r="L4" s="344" t="s">
        <v>568</v>
      </c>
      <c r="M4" s="344">
        <v>131</v>
      </c>
      <c r="N4" s="344">
        <v>54</v>
      </c>
      <c r="P4" s="344" t="s">
        <v>567</v>
      </c>
      <c r="Q4" s="344" t="s">
        <v>566</v>
      </c>
    </row>
    <row r="5" spans="1:17">
      <c r="A5" s="344" t="s">
        <v>565</v>
      </c>
      <c r="B5" s="344" t="s">
        <v>564</v>
      </c>
      <c r="C5" s="344">
        <v>102</v>
      </c>
      <c r="D5" s="344">
        <v>22</v>
      </c>
      <c r="F5" s="344" t="s">
        <v>563</v>
      </c>
      <c r="G5" s="344" t="s">
        <v>562</v>
      </c>
      <c r="H5" s="344">
        <v>104</v>
      </c>
      <c r="I5" s="344">
        <v>38</v>
      </c>
      <c r="K5" s="344" t="s">
        <v>561</v>
      </c>
      <c r="L5" s="344" t="s">
        <v>560</v>
      </c>
      <c r="M5" s="344">
        <v>135</v>
      </c>
      <c r="N5" s="344">
        <v>54</v>
      </c>
      <c r="P5" s="344" t="s">
        <v>559</v>
      </c>
      <c r="Q5" s="344" t="s">
        <v>558</v>
      </c>
    </row>
    <row r="6" spans="1:17">
      <c r="A6" s="344" t="s">
        <v>557</v>
      </c>
      <c r="B6" s="344" t="s">
        <v>556</v>
      </c>
      <c r="C6" s="344">
        <v>112</v>
      </c>
      <c r="D6" s="344">
        <v>22</v>
      </c>
      <c r="F6" s="344" t="s">
        <v>555</v>
      </c>
      <c r="G6" s="344" t="s">
        <v>554</v>
      </c>
      <c r="H6" s="344">
        <v>93</v>
      </c>
      <c r="I6" s="344">
        <v>38</v>
      </c>
      <c r="K6" s="344" t="s">
        <v>553</v>
      </c>
      <c r="L6" s="344" t="s">
        <v>552</v>
      </c>
      <c r="M6" s="344">
        <v>127</v>
      </c>
      <c r="N6" s="344">
        <v>54</v>
      </c>
      <c r="P6" s="344" t="s">
        <v>551</v>
      </c>
      <c r="Q6" s="344" t="s">
        <v>550</v>
      </c>
    </row>
    <row r="7" spans="1:17">
      <c r="A7" s="344" t="s">
        <v>549</v>
      </c>
      <c r="B7" s="344" t="s">
        <v>548</v>
      </c>
      <c r="C7" s="344">
        <v>98</v>
      </c>
      <c r="D7" s="344">
        <v>32</v>
      </c>
      <c r="F7" s="344" t="s">
        <v>547</v>
      </c>
      <c r="G7" s="344" t="s">
        <v>546</v>
      </c>
      <c r="H7" s="344">
        <v>214</v>
      </c>
      <c r="I7" s="344">
        <v>38</v>
      </c>
      <c r="K7" s="344" t="s">
        <v>545</v>
      </c>
      <c r="L7" s="344" t="s">
        <v>544</v>
      </c>
      <c r="M7" s="344">
        <v>133</v>
      </c>
      <c r="N7" s="344">
        <v>28</v>
      </c>
      <c r="P7" s="344" t="s">
        <v>543</v>
      </c>
      <c r="Q7" s="344" t="s">
        <v>542</v>
      </c>
    </row>
    <row r="8" spans="1:17">
      <c r="A8" s="344" t="s">
        <v>541</v>
      </c>
      <c r="B8" s="344" t="s">
        <v>540</v>
      </c>
      <c r="C8" s="344">
        <v>119</v>
      </c>
      <c r="D8" s="344">
        <v>32</v>
      </c>
      <c r="F8" s="344" t="s">
        <v>539</v>
      </c>
      <c r="G8" s="344" t="s">
        <v>538</v>
      </c>
      <c r="H8" s="344">
        <v>90</v>
      </c>
      <c r="I8" s="344">
        <v>38</v>
      </c>
      <c r="K8" s="344" t="s">
        <v>537</v>
      </c>
      <c r="L8" s="344" t="s">
        <v>536</v>
      </c>
      <c r="M8" s="344">
        <v>239</v>
      </c>
      <c r="N8" s="344">
        <v>132</v>
      </c>
    </row>
    <row r="9" spans="1:17">
      <c r="A9" s="344" t="s">
        <v>535</v>
      </c>
      <c r="B9" s="344" t="s">
        <v>534</v>
      </c>
      <c r="C9" s="344">
        <v>202</v>
      </c>
      <c r="D9" s="344">
        <v>32</v>
      </c>
      <c r="F9" s="344" t="s">
        <v>533</v>
      </c>
      <c r="G9" s="344" t="s">
        <v>532</v>
      </c>
      <c r="H9" s="344">
        <v>121</v>
      </c>
      <c r="I9" s="344">
        <v>38</v>
      </c>
      <c r="K9" s="344" t="s">
        <v>531</v>
      </c>
      <c r="L9" s="344" t="s">
        <v>530</v>
      </c>
      <c r="M9" s="344">
        <v>238</v>
      </c>
      <c r="N9" s="344">
        <v>60</v>
      </c>
    </row>
    <row r="10" spans="1:17">
      <c r="A10" s="344" t="s">
        <v>529</v>
      </c>
      <c r="B10" s="344" t="s">
        <v>528</v>
      </c>
      <c r="C10" s="344">
        <v>203</v>
      </c>
      <c r="D10" s="344">
        <v>32</v>
      </c>
      <c r="F10" s="344" t="s">
        <v>527</v>
      </c>
      <c r="G10" s="344" t="s">
        <v>526</v>
      </c>
      <c r="H10" s="344">
        <v>114</v>
      </c>
      <c r="I10" s="344">
        <v>38</v>
      </c>
      <c r="K10" s="344" t="s">
        <v>525</v>
      </c>
      <c r="L10" s="344" t="s">
        <v>524</v>
      </c>
      <c r="M10" s="344">
        <v>235</v>
      </c>
      <c r="N10" s="344">
        <v>60</v>
      </c>
    </row>
    <row r="11" spans="1:17">
      <c r="A11" s="344" t="s">
        <v>523</v>
      </c>
      <c r="B11" s="344" t="s">
        <v>522</v>
      </c>
      <c r="C11" s="344">
        <v>99</v>
      </c>
      <c r="D11" s="344">
        <v>32</v>
      </c>
      <c r="F11" s="344" t="s">
        <v>521</v>
      </c>
      <c r="G11" s="344" t="s">
        <v>520</v>
      </c>
      <c r="H11" s="344">
        <v>211</v>
      </c>
      <c r="I11" s="344">
        <v>38</v>
      </c>
      <c r="K11" s="344" t="s">
        <v>519</v>
      </c>
      <c r="L11" s="344" t="s">
        <v>518</v>
      </c>
      <c r="M11" s="344">
        <v>236</v>
      </c>
      <c r="N11" s="344">
        <v>60</v>
      </c>
    </row>
    <row r="12" spans="1:17">
      <c r="F12" s="344" t="s">
        <v>517</v>
      </c>
      <c r="G12" s="344" t="s">
        <v>516</v>
      </c>
      <c r="H12" s="344">
        <v>217</v>
      </c>
      <c r="I12" s="344">
        <v>38</v>
      </c>
      <c r="K12" s="344" t="s">
        <v>515</v>
      </c>
      <c r="L12" s="344" t="s">
        <v>514</v>
      </c>
      <c r="M12" s="344">
        <v>129</v>
      </c>
      <c r="N12" s="344">
        <v>60</v>
      </c>
    </row>
    <row r="13" spans="1:17">
      <c r="F13" s="344" t="s">
        <v>513</v>
      </c>
      <c r="G13" s="344" t="s">
        <v>512</v>
      </c>
      <c r="H13" s="344">
        <v>95</v>
      </c>
      <c r="I13" s="344">
        <v>38</v>
      </c>
      <c r="K13" s="344" t="s">
        <v>511</v>
      </c>
      <c r="L13" s="344" t="s">
        <v>510</v>
      </c>
      <c r="M13" s="344">
        <v>232</v>
      </c>
      <c r="N13" s="344">
        <v>60</v>
      </c>
    </row>
    <row r="14" spans="1:17">
      <c r="F14" s="344" t="s">
        <v>509</v>
      </c>
      <c r="G14" s="344" t="s">
        <v>508</v>
      </c>
      <c r="H14" s="344">
        <v>101</v>
      </c>
      <c r="I14" s="344">
        <v>38</v>
      </c>
      <c r="K14" s="344" t="s">
        <v>507</v>
      </c>
      <c r="L14" s="344" t="s">
        <v>506</v>
      </c>
      <c r="M14" s="344">
        <v>177</v>
      </c>
      <c r="N14" s="344">
        <v>60</v>
      </c>
    </row>
    <row r="15" spans="1:17">
      <c r="F15" s="344" t="s">
        <v>505</v>
      </c>
      <c r="G15" s="344" t="s">
        <v>504</v>
      </c>
      <c r="H15" s="344">
        <v>216</v>
      </c>
      <c r="I15" s="344">
        <v>38</v>
      </c>
    </row>
    <row r="16" spans="1:17">
      <c r="F16" s="344" t="s">
        <v>503</v>
      </c>
      <c r="G16" s="344" t="s">
        <v>502</v>
      </c>
      <c r="H16" s="344">
        <v>212</v>
      </c>
      <c r="I16" s="344">
        <v>38</v>
      </c>
    </row>
    <row r="22" spans="1:14">
      <c r="A22" s="344" t="s">
        <v>369</v>
      </c>
      <c r="B22" s="344" t="s">
        <v>196</v>
      </c>
      <c r="C22" s="344" t="s">
        <v>501</v>
      </c>
      <c r="D22" s="344" t="s">
        <v>500</v>
      </c>
      <c r="F22" s="344" t="s">
        <v>369</v>
      </c>
      <c r="G22" s="344" t="s">
        <v>196</v>
      </c>
      <c r="H22" s="344" t="s">
        <v>501</v>
      </c>
      <c r="I22" s="344" t="s">
        <v>500</v>
      </c>
      <c r="K22" s="344" t="s">
        <v>369</v>
      </c>
      <c r="L22" s="344" t="s">
        <v>196</v>
      </c>
      <c r="M22" s="344" t="s">
        <v>501</v>
      </c>
      <c r="N22" s="344" t="s">
        <v>500</v>
      </c>
    </row>
    <row r="23" spans="1:14">
      <c r="A23" s="344" t="s">
        <v>499</v>
      </c>
      <c r="B23" s="344" t="s">
        <v>498</v>
      </c>
      <c r="C23" s="344">
        <v>156</v>
      </c>
      <c r="D23" s="344">
        <v>26</v>
      </c>
      <c r="F23" s="344" t="s">
        <v>497</v>
      </c>
      <c r="G23" s="344" t="s">
        <v>496</v>
      </c>
      <c r="H23" s="344">
        <v>143</v>
      </c>
      <c r="I23" s="344">
        <v>19</v>
      </c>
      <c r="K23" s="344" t="s">
        <v>495</v>
      </c>
      <c r="L23" s="344" t="s">
        <v>494</v>
      </c>
      <c r="M23" s="344">
        <v>185</v>
      </c>
      <c r="N23" s="344">
        <v>125</v>
      </c>
    </row>
    <row r="24" spans="1:14">
      <c r="A24" s="344" t="s">
        <v>493</v>
      </c>
      <c r="B24" s="344" t="s">
        <v>492</v>
      </c>
      <c r="C24" s="344">
        <v>172</v>
      </c>
      <c r="D24" s="344">
        <v>67</v>
      </c>
      <c r="F24" s="344" t="s">
        <v>491</v>
      </c>
      <c r="G24" s="344" t="s">
        <v>490</v>
      </c>
      <c r="H24" s="344">
        <v>176</v>
      </c>
      <c r="I24" s="344">
        <v>19</v>
      </c>
      <c r="K24" s="344" t="s">
        <v>489</v>
      </c>
      <c r="L24" s="344" t="s">
        <v>488</v>
      </c>
      <c r="M24" s="344">
        <v>189</v>
      </c>
      <c r="N24" s="344">
        <v>125</v>
      </c>
    </row>
    <row r="25" spans="1:14">
      <c r="A25" s="344" t="s">
        <v>487</v>
      </c>
      <c r="B25" s="344" t="s">
        <v>486</v>
      </c>
      <c r="C25" s="344">
        <v>251</v>
      </c>
      <c r="D25" s="344">
        <v>67</v>
      </c>
      <c r="F25" s="344" t="s">
        <v>485</v>
      </c>
      <c r="G25" s="344" t="s">
        <v>484</v>
      </c>
      <c r="H25" s="344">
        <v>152</v>
      </c>
      <c r="I25" s="344">
        <v>30</v>
      </c>
      <c r="K25" s="344" t="s">
        <v>478</v>
      </c>
      <c r="L25" s="344" t="s">
        <v>483</v>
      </c>
      <c r="M25" s="344">
        <v>188</v>
      </c>
      <c r="N25" s="344">
        <v>125</v>
      </c>
    </row>
    <row r="26" spans="1:14">
      <c r="A26" s="344" t="s">
        <v>482</v>
      </c>
      <c r="B26" s="344" t="s">
        <v>481</v>
      </c>
      <c r="C26" s="344">
        <v>140</v>
      </c>
      <c r="D26" s="344">
        <v>67</v>
      </c>
      <c r="F26" s="344" t="s">
        <v>480</v>
      </c>
      <c r="G26" s="344" t="s">
        <v>479</v>
      </c>
      <c r="H26" s="344">
        <v>159</v>
      </c>
      <c r="I26" s="344">
        <v>17</v>
      </c>
      <c r="K26" s="344" t="s">
        <v>611</v>
      </c>
      <c r="L26" s="344" t="s">
        <v>477</v>
      </c>
      <c r="M26" s="344">
        <v>187</v>
      </c>
      <c r="N26" s="344">
        <v>125</v>
      </c>
    </row>
    <row r="27" spans="1:14">
      <c r="A27" s="344" t="s">
        <v>476</v>
      </c>
      <c r="B27" s="344" t="s">
        <v>475</v>
      </c>
      <c r="C27" s="344">
        <v>247</v>
      </c>
      <c r="D27" s="344">
        <v>67</v>
      </c>
      <c r="F27" s="344" t="s">
        <v>474</v>
      </c>
      <c r="G27" s="344" t="s">
        <v>473</v>
      </c>
      <c r="H27" s="344">
        <v>283</v>
      </c>
      <c r="I27" s="344">
        <v>95</v>
      </c>
      <c r="K27" s="344" t="s">
        <v>472</v>
      </c>
      <c r="L27" s="344" t="s">
        <v>471</v>
      </c>
      <c r="M27" s="344">
        <v>265</v>
      </c>
      <c r="N27" s="344">
        <v>125</v>
      </c>
    </row>
    <row r="28" spans="1:14">
      <c r="A28" s="344" t="s">
        <v>470</v>
      </c>
      <c r="B28" s="344" t="s">
        <v>469</v>
      </c>
      <c r="C28" s="344">
        <v>243</v>
      </c>
      <c r="D28" s="344">
        <v>67</v>
      </c>
      <c r="F28" s="344" t="s">
        <v>468</v>
      </c>
      <c r="G28" s="344" t="s">
        <v>467</v>
      </c>
      <c r="H28" s="344">
        <v>279</v>
      </c>
      <c r="I28" s="344">
        <v>95</v>
      </c>
      <c r="K28" s="344" t="s">
        <v>466</v>
      </c>
      <c r="L28" s="344" t="s">
        <v>465</v>
      </c>
      <c r="M28" s="344">
        <v>184</v>
      </c>
      <c r="N28" s="344">
        <v>125</v>
      </c>
    </row>
    <row r="29" spans="1:14">
      <c r="A29" s="344" t="s">
        <v>464</v>
      </c>
      <c r="B29" s="344" t="s">
        <v>463</v>
      </c>
      <c r="C29" s="344">
        <v>254</v>
      </c>
      <c r="D29" s="344">
        <v>67</v>
      </c>
      <c r="F29" s="344" t="s">
        <v>462</v>
      </c>
      <c r="G29" s="344" t="s">
        <v>461</v>
      </c>
      <c r="H29" s="344">
        <v>273</v>
      </c>
      <c r="I29" s="344">
        <v>95</v>
      </c>
    </row>
    <row r="30" spans="1:14">
      <c r="A30" s="344" t="s">
        <v>460</v>
      </c>
      <c r="B30" s="344" t="s">
        <v>459</v>
      </c>
      <c r="C30" s="344">
        <v>244</v>
      </c>
      <c r="D30" s="344">
        <v>67</v>
      </c>
      <c r="F30" s="344" t="s">
        <v>458</v>
      </c>
      <c r="G30" s="344" t="s">
        <v>457</v>
      </c>
      <c r="H30" s="344">
        <v>271</v>
      </c>
      <c r="I30" s="344">
        <v>95</v>
      </c>
    </row>
    <row r="31" spans="1:14">
      <c r="A31" s="344" t="s">
        <v>456</v>
      </c>
      <c r="B31" s="344" t="s">
        <v>455</v>
      </c>
      <c r="C31" s="344">
        <v>248</v>
      </c>
      <c r="D31" s="344">
        <v>67</v>
      </c>
      <c r="F31" s="344" t="s">
        <v>454</v>
      </c>
      <c r="G31" s="344" t="s">
        <v>453</v>
      </c>
      <c r="H31" s="344">
        <v>137</v>
      </c>
      <c r="I31" s="344">
        <v>95</v>
      </c>
    </row>
    <row r="32" spans="1:14">
      <c r="A32" s="344" t="s">
        <v>452</v>
      </c>
      <c r="B32" s="344" t="s">
        <v>451</v>
      </c>
      <c r="C32" s="344">
        <v>146</v>
      </c>
      <c r="D32" s="344">
        <v>67</v>
      </c>
      <c r="F32" s="344" t="s">
        <v>450</v>
      </c>
      <c r="G32" s="344" t="s">
        <v>449</v>
      </c>
      <c r="H32" s="344">
        <v>136</v>
      </c>
      <c r="I32" s="344">
        <v>95</v>
      </c>
    </row>
    <row r="33" spans="1:9">
      <c r="A33" s="344" t="s">
        <v>448</v>
      </c>
      <c r="B33" s="344" t="s">
        <v>447</v>
      </c>
      <c r="C33" s="344">
        <v>245</v>
      </c>
      <c r="D33" s="344">
        <v>67</v>
      </c>
      <c r="F33" s="344" t="s">
        <v>446</v>
      </c>
      <c r="G33" s="344" t="s">
        <v>445</v>
      </c>
      <c r="H33" s="344">
        <v>277</v>
      </c>
      <c r="I33" s="344">
        <v>95</v>
      </c>
    </row>
    <row r="34" spans="1:9">
      <c r="A34" s="344" t="s">
        <v>444</v>
      </c>
      <c r="B34" s="344" t="s">
        <v>443</v>
      </c>
      <c r="C34" s="344">
        <v>259</v>
      </c>
      <c r="D34" s="344">
        <v>78</v>
      </c>
      <c r="F34" s="344" t="s">
        <v>442</v>
      </c>
      <c r="G34" s="344" t="s">
        <v>441</v>
      </c>
      <c r="H34" s="344">
        <v>272</v>
      </c>
      <c r="I34" s="344">
        <v>95</v>
      </c>
    </row>
    <row r="35" spans="1:9">
      <c r="A35" s="344" t="s">
        <v>440</v>
      </c>
      <c r="B35" s="344" t="s">
        <v>439</v>
      </c>
      <c r="C35" s="344">
        <v>262</v>
      </c>
      <c r="D35" s="344">
        <v>78</v>
      </c>
      <c r="F35" s="344" t="s">
        <v>438</v>
      </c>
      <c r="G35" s="344" t="s">
        <v>437</v>
      </c>
      <c r="H35" s="344">
        <v>281</v>
      </c>
      <c r="I35" s="344">
        <v>95</v>
      </c>
    </row>
    <row r="36" spans="1:9">
      <c r="A36" s="344" t="s">
        <v>436</v>
      </c>
      <c r="B36" s="344" t="s">
        <v>435</v>
      </c>
      <c r="C36" s="344">
        <v>266</v>
      </c>
      <c r="D36" s="344">
        <v>78</v>
      </c>
      <c r="F36" s="344" t="s">
        <v>434</v>
      </c>
      <c r="G36" s="344" t="s">
        <v>433</v>
      </c>
      <c r="H36" s="344">
        <v>115</v>
      </c>
      <c r="I36" s="344">
        <v>95</v>
      </c>
    </row>
    <row r="37" spans="1:9">
      <c r="A37" s="344" t="s">
        <v>432</v>
      </c>
      <c r="B37" s="344" t="s">
        <v>431</v>
      </c>
      <c r="C37" s="344">
        <v>165</v>
      </c>
      <c r="D37" s="344">
        <v>78</v>
      </c>
      <c r="F37" s="344" t="s">
        <v>430</v>
      </c>
      <c r="G37" s="344" t="s">
        <v>429</v>
      </c>
      <c r="H37" s="344">
        <v>130</v>
      </c>
      <c r="I37" s="344">
        <v>95</v>
      </c>
    </row>
    <row r="38" spans="1:9">
      <c r="A38" s="344" t="s">
        <v>428</v>
      </c>
      <c r="B38" s="344" t="s">
        <v>427</v>
      </c>
      <c r="C38" s="344">
        <v>164</v>
      </c>
      <c r="D38" s="344">
        <v>78</v>
      </c>
      <c r="F38" s="344" t="s">
        <v>426</v>
      </c>
      <c r="G38" s="344" t="s">
        <v>425</v>
      </c>
      <c r="H38" s="344">
        <v>278</v>
      </c>
      <c r="I38" s="344">
        <v>95</v>
      </c>
    </row>
    <row r="39" spans="1:9">
      <c r="A39" s="344" t="s">
        <v>424</v>
      </c>
      <c r="B39" s="344" t="s">
        <v>423</v>
      </c>
      <c r="C39" s="344">
        <v>258</v>
      </c>
      <c r="D39" s="344">
        <v>78</v>
      </c>
      <c r="F39" s="344" t="s">
        <v>422</v>
      </c>
      <c r="G39" s="344" t="s">
        <v>421</v>
      </c>
      <c r="H39" s="344">
        <v>276</v>
      </c>
      <c r="I39" s="344">
        <v>95</v>
      </c>
    </row>
    <row r="40" spans="1:9">
      <c r="A40" s="344" t="s">
        <v>420</v>
      </c>
      <c r="B40" s="344" t="s">
        <v>419</v>
      </c>
      <c r="C40" s="344">
        <v>174</v>
      </c>
      <c r="D40" s="344">
        <v>78</v>
      </c>
      <c r="F40" s="344" t="s">
        <v>418</v>
      </c>
      <c r="G40" s="344" t="s">
        <v>417</v>
      </c>
      <c r="H40" s="344">
        <v>138</v>
      </c>
      <c r="I40" s="344">
        <v>95</v>
      </c>
    </row>
    <row r="41" spans="1:9">
      <c r="A41" s="344" t="s">
        <v>416</v>
      </c>
      <c r="B41" s="344" t="s">
        <v>415</v>
      </c>
      <c r="C41" s="344">
        <v>168</v>
      </c>
      <c r="D41" s="344">
        <v>78</v>
      </c>
      <c r="F41" s="344" t="s">
        <v>414</v>
      </c>
      <c r="G41" s="344" t="s">
        <v>413</v>
      </c>
      <c r="H41" s="344">
        <v>294</v>
      </c>
      <c r="I41" s="344">
        <v>110</v>
      </c>
    </row>
    <row r="42" spans="1:9">
      <c r="A42" s="344" t="s">
        <v>412</v>
      </c>
      <c r="B42" s="344" t="s">
        <v>411</v>
      </c>
      <c r="C42" s="344">
        <v>252</v>
      </c>
      <c r="D42" s="344">
        <v>78</v>
      </c>
      <c r="F42" s="344" t="s">
        <v>410</v>
      </c>
      <c r="G42" s="344" t="s">
        <v>409</v>
      </c>
      <c r="H42" s="344">
        <v>284</v>
      </c>
      <c r="I42" s="344">
        <v>110</v>
      </c>
    </row>
    <row r="43" spans="1:9">
      <c r="A43" s="344" t="s">
        <v>408</v>
      </c>
      <c r="B43" s="344" t="s">
        <v>407</v>
      </c>
      <c r="C43" s="344">
        <v>170</v>
      </c>
      <c r="D43" s="344">
        <v>78</v>
      </c>
      <c r="F43" s="344" t="s">
        <v>406</v>
      </c>
      <c r="G43" s="344" t="s">
        <v>405</v>
      </c>
      <c r="H43" s="344">
        <v>253</v>
      </c>
      <c r="I43" s="344">
        <v>110</v>
      </c>
    </row>
    <row r="44" spans="1:9">
      <c r="A44" s="344" t="s">
        <v>404</v>
      </c>
      <c r="B44" s="344" t="s">
        <v>403</v>
      </c>
      <c r="C44" s="344">
        <v>260</v>
      </c>
      <c r="D44" s="344">
        <v>78</v>
      </c>
      <c r="F44" s="344" t="s">
        <v>402</v>
      </c>
      <c r="G44" s="344" t="s">
        <v>401</v>
      </c>
      <c r="H44" s="344">
        <v>295</v>
      </c>
      <c r="I44" s="344">
        <v>110</v>
      </c>
    </row>
    <row r="45" spans="1:9">
      <c r="A45" s="344" t="s">
        <v>400</v>
      </c>
      <c r="B45" s="344" t="s">
        <v>399</v>
      </c>
      <c r="C45" s="344">
        <v>256</v>
      </c>
      <c r="D45" s="344">
        <v>78</v>
      </c>
      <c r="F45" s="344" t="s">
        <v>398</v>
      </c>
      <c r="G45" s="344" t="s">
        <v>397</v>
      </c>
      <c r="H45" s="344">
        <v>288</v>
      </c>
      <c r="I45" s="344">
        <v>110</v>
      </c>
    </row>
    <row r="46" spans="1:9">
      <c r="A46" s="344" t="s">
        <v>396</v>
      </c>
      <c r="B46" s="344" t="s">
        <v>395</v>
      </c>
      <c r="C46" s="344">
        <v>175</v>
      </c>
      <c r="D46" s="344">
        <v>78</v>
      </c>
      <c r="F46" s="344" t="s">
        <v>394</v>
      </c>
      <c r="G46" s="344" t="s">
        <v>393</v>
      </c>
      <c r="H46" s="344">
        <v>255</v>
      </c>
      <c r="I46" s="344">
        <v>110</v>
      </c>
    </row>
    <row r="47" spans="1:9">
      <c r="A47" s="344" t="s">
        <v>392</v>
      </c>
      <c r="B47" s="344" t="s">
        <v>391</v>
      </c>
      <c r="C47" s="344">
        <v>268</v>
      </c>
      <c r="D47" s="344">
        <v>78</v>
      </c>
      <c r="F47" s="344" t="s">
        <v>390</v>
      </c>
      <c r="G47" s="344" t="s">
        <v>389</v>
      </c>
      <c r="H47" s="344">
        <v>289</v>
      </c>
      <c r="I47" s="344">
        <v>110</v>
      </c>
    </row>
    <row r="48" spans="1:9">
      <c r="A48" s="344" t="s">
        <v>388</v>
      </c>
      <c r="B48" s="344" t="s">
        <v>387</v>
      </c>
      <c r="C48" s="344">
        <v>261</v>
      </c>
      <c r="D48" s="344">
        <v>78</v>
      </c>
      <c r="F48" s="344" t="s">
        <v>386</v>
      </c>
      <c r="G48" s="344" t="s">
        <v>385</v>
      </c>
      <c r="H48" s="344">
        <v>257</v>
      </c>
      <c r="I48" s="344">
        <v>110</v>
      </c>
    </row>
    <row r="49" spans="1:9">
      <c r="A49" s="344" t="s">
        <v>384</v>
      </c>
      <c r="B49" s="344" t="s">
        <v>383</v>
      </c>
      <c r="C49" s="344">
        <v>169</v>
      </c>
      <c r="D49" s="344">
        <v>78</v>
      </c>
      <c r="F49" s="344" t="s">
        <v>382</v>
      </c>
      <c r="G49" s="344" t="s">
        <v>381</v>
      </c>
      <c r="H49" s="344">
        <v>263</v>
      </c>
      <c r="I49" s="344">
        <v>110</v>
      </c>
    </row>
    <row r="50" spans="1:9">
      <c r="F50" s="344" t="s">
        <v>380</v>
      </c>
      <c r="G50" s="344" t="s">
        <v>379</v>
      </c>
      <c r="H50" s="344">
        <v>192</v>
      </c>
      <c r="I50" s="344">
        <v>110</v>
      </c>
    </row>
    <row r="51" spans="1:9">
      <c r="F51" s="344" t="s">
        <v>378</v>
      </c>
      <c r="G51" s="344" t="s">
        <v>377</v>
      </c>
      <c r="H51" s="344">
        <v>155</v>
      </c>
      <c r="I51" s="344">
        <v>110</v>
      </c>
    </row>
    <row r="52" spans="1:9">
      <c r="F52" s="344" t="s">
        <v>376</v>
      </c>
      <c r="G52" s="344" t="s">
        <v>375</v>
      </c>
      <c r="H52" s="344">
        <v>162</v>
      </c>
      <c r="I52" s="344">
        <v>110</v>
      </c>
    </row>
    <row r="53" spans="1:9">
      <c r="F53" s="344" t="s">
        <v>374</v>
      </c>
      <c r="G53" s="344" t="s">
        <v>373</v>
      </c>
      <c r="H53" s="344">
        <v>264</v>
      </c>
      <c r="I53" s="344">
        <v>110</v>
      </c>
    </row>
    <row r="54" spans="1:9">
      <c r="F54" s="344" t="s">
        <v>372</v>
      </c>
      <c r="G54" s="344" t="s">
        <v>371</v>
      </c>
      <c r="H54" s="344">
        <v>285</v>
      </c>
      <c r="I54" s="34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B1" zoomScaleNormal="100" workbookViewId="0">
      <selection activeCell="S14" sqref="S14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6" t="s">
        <v>714</v>
      </c>
      <c r="C2" s="361"/>
      <c r="D2" s="361"/>
      <c r="E2" s="361"/>
      <c r="F2" s="361"/>
      <c r="G2" s="361"/>
      <c r="H2" s="362"/>
      <c r="I2" s="362"/>
      <c r="J2" s="362"/>
      <c r="K2" s="362"/>
      <c r="L2" s="362"/>
      <c r="S2" s="104" t="s">
        <v>616</v>
      </c>
      <c r="T2" s="425" t="s">
        <v>711</v>
      </c>
    </row>
    <row r="3" spans="2:23" ht="17.25" thickBot="1">
      <c r="I3" s="148"/>
      <c r="J3" s="148"/>
      <c r="K3" s="148"/>
    </row>
    <row r="4" spans="2:23" s="67" customFormat="1" ht="30.75" customHeight="1">
      <c r="B4" s="417" t="s">
        <v>41</v>
      </c>
      <c r="C4" s="418" t="s">
        <v>42</v>
      </c>
      <c r="D4" s="418" t="s">
        <v>594</v>
      </c>
      <c r="E4" s="418" t="s">
        <v>595</v>
      </c>
      <c r="F4" s="418" t="s">
        <v>596</v>
      </c>
      <c r="G4" s="418" t="s">
        <v>597</v>
      </c>
      <c r="H4" s="418" t="s">
        <v>598</v>
      </c>
      <c r="I4" s="418" t="s">
        <v>599</v>
      </c>
      <c r="J4" s="418" t="s">
        <v>600</v>
      </c>
      <c r="K4" s="418" t="s">
        <v>601</v>
      </c>
      <c r="L4" s="418" t="s">
        <v>602</v>
      </c>
      <c r="M4" s="418" t="s">
        <v>603</v>
      </c>
      <c r="N4" s="419" t="s">
        <v>604</v>
      </c>
      <c r="O4" s="420" t="s">
        <v>44</v>
      </c>
      <c r="P4" s="419" t="s">
        <v>45</v>
      </c>
      <c r="S4" s="426" t="s">
        <v>590</v>
      </c>
      <c r="T4" s="427" t="s">
        <v>591</v>
      </c>
    </row>
    <row r="5" spans="2:23" ht="22.5" customHeight="1">
      <c r="B5" s="363">
        <v>1994</v>
      </c>
      <c r="C5" s="364">
        <v>6.5</v>
      </c>
      <c r="D5" s="364">
        <v>14.8</v>
      </c>
      <c r="E5" s="364">
        <v>31.7</v>
      </c>
      <c r="F5" s="364">
        <v>44.9</v>
      </c>
      <c r="G5" s="364">
        <v>152.4</v>
      </c>
      <c r="H5" s="364">
        <v>85</v>
      </c>
      <c r="I5" s="364">
        <v>139.5</v>
      </c>
      <c r="J5" s="365">
        <v>232.7</v>
      </c>
      <c r="K5" s="364">
        <v>60.7</v>
      </c>
      <c r="L5" s="364">
        <v>214.5</v>
      </c>
      <c r="M5" s="364">
        <v>49.6</v>
      </c>
      <c r="N5" s="366">
        <v>23.5</v>
      </c>
      <c r="O5" s="347">
        <f>ROUND(SUM(C5:N5),1)</f>
        <v>1055.8</v>
      </c>
      <c r="P5" s="348">
        <f>ROUND(O5/12,1)</f>
        <v>88</v>
      </c>
      <c r="Q5" s="68"/>
      <c r="R5" s="133"/>
      <c r="S5" s="345" t="s">
        <v>712</v>
      </c>
      <c r="T5" s="346" t="s">
        <v>713</v>
      </c>
      <c r="V5" s="133"/>
      <c r="W5" s="132"/>
    </row>
    <row r="6" spans="2:23" ht="22.5" customHeight="1" thickBot="1">
      <c r="B6" s="61">
        <v>1995</v>
      </c>
      <c r="C6" s="367">
        <v>11.6</v>
      </c>
      <c r="D6" s="367">
        <v>5.2</v>
      </c>
      <c r="E6" s="367">
        <v>60.6</v>
      </c>
      <c r="F6" s="367">
        <v>44.4</v>
      </c>
      <c r="G6" s="367">
        <v>60.6</v>
      </c>
      <c r="H6" s="367">
        <v>70.7</v>
      </c>
      <c r="I6" s="367">
        <v>436.1</v>
      </c>
      <c r="J6" s="368">
        <v>786.6</v>
      </c>
      <c r="K6" s="367">
        <v>47.2</v>
      </c>
      <c r="L6" s="367">
        <v>39.299999999999997</v>
      </c>
      <c r="M6" s="367">
        <v>32.9</v>
      </c>
      <c r="N6" s="369">
        <v>3.4</v>
      </c>
      <c r="O6" s="349">
        <f t="shared" ref="O6:O34" si="0">ROUND(SUM(C6:N6),1)</f>
        <v>1598.6</v>
      </c>
      <c r="P6" s="350">
        <f t="shared" ref="P6:P34" si="1">ROUND(O6/12,1)</f>
        <v>133.19999999999999</v>
      </c>
      <c r="Q6" s="68"/>
      <c r="R6" s="133"/>
      <c r="S6" s="664" t="str">
        <f>VLOOKUP(S5, tblLocation[], 2, FALSE)</f>
        <v>Table1</v>
      </c>
      <c r="T6" s="400" t="str">
        <f ca="1">IFERROR(UPPER(VLOOKUP(T5,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367">
        <v>16.3</v>
      </c>
      <c r="D7" s="367">
        <v>1</v>
      </c>
      <c r="E7" s="367">
        <v>77.900000000000006</v>
      </c>
      <c r="F7" s="367">
        <v>62</v>
      </c>
      <c r="G7" s="367">
        <v>29.3</v>
      </c>
      <c r="H7" s="367">
        <v>249.7</v>
      </c>
      <c r="I7" s="367">
        <v>512.79999999999995</v>
      </c>
      <c r="J7" s="367">
        <v>132.4</v>
      </c>
      <c r="K7" s="367">
        <v>11</v>
      </c>
      <c r="L7" s="367">
        <v>90.3</v>
      </c>
      <c r="M7" s="367">
        <v>62.9</v>
      </c>
      <c r="N7" s="369">
        <v>11</v>
      </c>
      <c r="O7" s="349">
        <f t="shared" si="0"/>
        <v>1256.5999999999999</v>
      </c>
      <c r="P7" s="350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7">
        <v>16.8</v>
      </c>
      <c r="D8" s="367">
        <v>39.6</v>
      </c>
      <c r="E8" s="367">
        <v>25.3</v>
      </c>
      <c r="F8" s="367">
        <v>56.1</v>
      </c>
      <c r="G8" s="367">
        <v>291.3</v>
      </c>
      <c r="H8" s="367">
        <v>110</v>
      </c>
      <c r="I8" s="367">
        <v>299.60000000000002</v>
      </c>
      <c r="J8" s="367">
        <v>117.2</v>
      </c>
      <c r="K8" s="367">
        <v>76.900000000000006</v>
      </c>
      <c r="L8" s="367">
        <v>45.5</v>
      </c>
      <c r="M8" s="367">
        <v>93.8</v>
      </c>
      <c r="N8" s="369">
        <v>38.1</v>
      </c>
      <c r="O8" s="349">
        <f t="shared" si="0"/>
        <v>1210.2</v>
      </c>
      <c r="P8" s="350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367">
        <v>10.4</v>
      </c>
      <c r="D9" s="367">
        <v>32.299999999999997</v>
      </c>
      <c r="E9" s="367">
        <v>45.1</v>
      </c>
      <c r="F9" s="367">
        <v>120.2</v>
      </c>
      <c r="G9" s="367">
        <v>121.5</v>
      </c>
      <c r="H9" s="367">
        <v>234.1</v>
      </c>
      <c r="I9" s="367">
        <v>311.8</v>
      </c>
      <c r="J9" s="367">
        <v>1237.8</v>
      </c>
      <c r="K9" s="367">
        <v>177.9</v>
      </c>
      <c r="L9" s="367">
        <v>27.4</v>
      </c>
      <c r="M9" s="367">
        <v>26.9</v>
      </c>
      <c r="N9" s="369">
        <v>3.7</v>
      </c>
      <c r="O9" s="349">
        <f t="shared" si="0"/>
        <v>2349.1</v>
      </c>
      <c r="P9" s="350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7">
        <v>10.199999999999999</v>
      </c>
      <c r="D10" s="367">
        <v>2.9</v>
      </c>
      <c r="E10" s="367">
        <v>55</v>
      </c>
      <c r="F10" s="367">
        <v>97.2</v>
      </c>
      <c r="G10" s="367">
        <v>109.7</v>
      </c>
      <c r="H10" s="367">
        <v>131.80000000000001</v>
      </c>
      <c r="I10" s="367">
        <v>230.4</v>
      </c>
      <c r="J10" s="367">
        <v>600.5</v>
      </c>
      <c r="K10" s="367">
        <v>377.3</v>
      </c>
      <c r="L10" s="367">
        <v>81.599999999999994</v>
      </c>
      <c r="M10" s="367">
        <v>19.5</v>
      </c>
      <c r="N10" s="369">
        <v>17</v>
      </c>
      <c r="O10" s="349">
        <f t="shared" si="0"/>
        <v>1733.1</v>
      </c>
      <c r="P10" s="350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7">
        <v>42.8</v>
      </c>
      <c r="D11" s="367">
        <v>2.1</v>
      </c>
      <c r="E11" s="367">
        <v>3.1</v>
      </c>
      <c r="F11" s="367">
        <v>30.7</v>
      </c>
      <c r="G11" s="367">
        <v>75.2</v>
      </c>
      <c r="H11" s="367">
        <v>68.099999999999994</v>
      </c>
      <c r="I11" s="367">
        <v>114.7</v>
      </c>
      <c r="J11" s="367">
        <v>599.4</v>
      </c>
      <c r="K11" s="367">
        <v>178.5</v>
      </c>
      <c r="L11" s="367">
        <v>18.100000000000001</v>
      </c>
      <c r="M11" s="367">
        <v>27.1</v>
      </c>
      <c r="N11" s="369">
        <v>27</v>
      </c>
      <c r="O11" s="349">
        <f t="shared" si="0"/>
        <v>1186.8</v>
      </c>
      <c r="P11" s="350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7">
        <v>39.4</v>
      </c>
      <c r="D12" s="367">
        <v>45.7</v>
      </c>
      <c r="E12" s="367">
        <v>18.100000000000001</v>
      </c>
      <c r="F12" s="367">
        <v>12.3</v>
      </c>
      <c r="G12" s="367">
        <v>16.5</v>
      </c>
      <c r="H12" s="367">
        <v>157.4</v>
      </c>
      <c r="I12" s="367">
        <v>698.4</v>
      </c>
      <c r="J12" s="367">
        <v>252</v>
      </c>
      <c r="K12" s="367">
        <v>49.3</v>
      </c>
      <c r="L12" s="367">
        <v>68.2</v>
      </c>
      <c r="M12" s="367">
        <v>13</v>
      </c>
      <c r="N12" s="369">
        <v>15.7</v>
      </c>
      <c r="O12" s="349">
        <f t="shared" si="0"/>
        <v>1386</v>
      </c>
      <c r="P12" s="350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7">
        <v>37.4</v>
      </c>
      <c r="D13" s="367">
        <v>2.4</v>
      </c>
      <c r="E13" s="367">
        <v>31.5</v>
      </c>
      <c r="F13" s="367">
        <v>155.1</v>
      </c>
      <c r="G13" s="367">
        <v>58</v>
      </c>
      <c r="H13" s="367">
        <v>61.4</v>
      </c>
      <c r="I13" s="367">
        <v>220.6</v>
      </c>
      <c r="J13" s="367">
        <v>688</v>
      </c>
      <c r="K13" s="367">
        <v>61.1</v>
      </c>
      <c r="L13" s="367">
        <v>45</v>
      </c>
      <c r="M13" s="367">
        <v>12.5</v>
      </c>
      <c r="N13" s="369">
        <v>15</v>
      </c>
      <c r="O13" s="349">
        <f t="shared" si="0"/>
        <v>1388</v>
      </c>
      <c r="P13" s="350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7">
        <v>14.1</v>
      </c>
      <c r="D14" s="367">
        <v>39.6</v>
      </c>
      <c r="E14" s="367">
        <v>26.8</v>
      </c>
      <c r="F14" s="367">
        <v>139.6</v>
      </c>
      <c r="G14" s="367">
        <v>106</v>
      </c>
      <c r="H14" s="367">
        <v>156</v>
      </c>
      <c r="I14" s="367">
        <v>469.8</v>
      </c>
      <c r="J14" s="367">
        <v>684.2</v>
      </c>
      <c r="K14" s="367">
        <v>258.2</v>
      </c>
      <c r="L14" s="367">
        <v>41.5</v>
      </c>
      <c r="M14" s="367">
        <v>69.3</v>
      </c>
      <c r="N14" s="369">
        <v>6.9</v>
      </c>
      <c r="O14" s="349">
        <f t="shared" si="0"/>
        <v>2012</v>
      </c>
      <c r="P14" s="350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7">
        <v>19.8</v>
      </c>
      <c r="D15" s="367">
        <v>54.6</v>
      </c>
      <c r="E15" s="367">
        <v>27.6</v>
      </c>
      <c r="F15" s="367">
        <v>74.099999999999994</v>
      </c>
      <c r="G15" s="367">
        <v>168.5</v>
      </c>
      <c r="H15" s="367">
        <v>138.1</v>
      </c>
      <c r="I15" s="367">
        <v>510.7</v>
      </c>
      <c r="J15" s="367">
        <v>193.3</v>
      </c>
      <c r="K15" s="367">
        <v>198.7</v>
      </c>
      <c r="L15" s="367">
        <v>6.5</v>
      </c>
      <c r="M15" s="367">
        <v>80</v>
      </c>
      <c r="N15" s="369">
        <v>27.2</v>
      </c>
      <c r="O15" s="349">
        <f t="shared" si="0"/>
        <v>1499.1</v>
      </c>
      <c r="P15" s="350">
        <f t="shared" si="1"/>
        <v>124.9</v>
      </c>
    </row>
    <row r="16" spans="2:23" ht="22.5" customHeight="1">
      <c r="B16" s="61">
        <v>2005</v>
      </c>
      <c r="C16" s="367">
        <v>4.5</v>
      </c>
      <c r="D16" s="367">
        <v>17.2</v>
      </c>
      <c r="E16" s="367">
        <v>12.5</v>
      </c>
      <c r="F16" s="367">
        <v>94.7</v>
      </c>
      <c r="G16" s="367">
        <v>85.8</v>
      </c>
      <c r="H16" s="367">
        <v>168.5</v>
      </c>
      <c r="I16" s="367">
        <v>269.39999999999998</v>
      </c>
      <c r="J16" s="367">
        <v>285</v>
      </c>
      <c r="K16" s="367">
        <v>313.3</v>
      </c>
      <c r="L16" s="367">
        <v>52.6</v>
      </c>
      <c r="M16" s="367">
        <v>44.6</v>
      </c>
      <c r="N16" s="369">
        <v>10.3</v>
      </c>
      <c r="O16" s="349">
        <f t="shared" si="0"/>
        <v>1358.4</v>
      </c>
      <c r="P16" s="350">
        <f t="shared" si="1"/>
        <v>113.2</v>
      </c>
    </row>
    <row r="17" spans="2:16" ht="22.5" customHeight="1">
      <c r="B17" s="61">
        <v>2006</v>
      </c>
      <c r="C17" s="367">
        <v>34.299999999999997</v>
      </c>
      <c r="D17" s="367">
        <v>15.7</v>
      </c>
      <c r="E17" s="367">
        <v>14</v>
      </c>
      <c r="F17" s="367">
        <v>51.8</v>
      </c>
      <c r="G17" s="367">
        <v>156.19999999999999</v>
      </c>
      <c r="H17" s="367">
        <v>168.5</v>
      </c>
      <c r="I17" s="367">
        <v>1014</v>
      </c>
      <c r="J17" s="367">
        <v>121.2</v>
      </c>
      <c r="K17" s="367">
        <v>11.1</v>
      </c>
      <c r="L17" s="367">
        <v>30.2</v>
      </c>
      <c r="M17" s="367">
        <v>47.6</v>
      </c>
      <c r="N17" s="369">
        <v>17.3</v>
      </c>
      <c r="O17" s="349">
        <f t="shared" si="0"/>
        <v>1681.9</v>
      </c>
      <c r="P17" s="350">
        <f t="shared" si="1"/>
        <v>140.19999999999999</v>
      </c>
    </row>
    <row r="18" spans="2:16" ht="22.5" customHeight="1">
      <c r="B18" s="61">
        <v>2007</v>
      </c>
      <c r="C18" s="367">
        <v>10.8</v>
      </c>
      <c r="D18" s="367">
        <v>12.6</v>
      </c>
      <c r="E18" s="367">
        <v>123.5</v>
      </c>
      <c r="F18" s="367">
        <v>41.1</v>
      </c>
      <c r="G18" s="367">
        <v>137.6</v>
      </c>
      <c r="H18" s="367">
        <v>54.5</v>
      </c>
      <c r="I18" s="367">
        <v>274.10000000000002</v>
      </c>
      <c r="J18" s="367">
        <v>237.6</v>
      </c>
      <c r="K18" s="367">
        <v>241.9</v>
      </c>
      <c r="L18" s="367">
        <v>39.5</v>
      </c>
      <c r="M18" s="367">
        <v>26.4</v>
      </c>
      <c r="N18" s="369">
        <v>12.7</v>
      </c>
      <c r="O18" s="349">
        <f t="shared" si="0"/>
        <v>1212.3</v>
      </c>
      <c r="P18" s="350">
        <f t="shared" si="1"/>
        <v>101</v>
      </c>
    </row>
    <row r="19" spans="2:16" ht="22.5" customHeight="1">
      <c r="B19" s="61">
        <v>2008</v>
      </c>
      <c r="C19" s="367">
        <v>17.7</v>
      </c>
      <c r="D19" s="367">
        <v>15</v>
      </c>
      <c r="E19" s="367">
        <v>53.9</v>
      </c>
      <c r="F19" s="367">
        <v>38.5</v>
      </c>
      <c r="G19" s="367">
        <v>97.7</v>
      </c>
      <c r="H19" s="367">
        <v>165</v>
      </c>
      <c r="I19" s="367">
        <v>530.79999999999995</v>
      </c>
      <c r="J19" s="367">
        <v>251.2</v>
      </c>
      <c r="K19" s="367">
        <v>99.2</v>
      </c>
      <c r="L19" s="367">
        <v>41.8</v>
      </c>
      <c r="M19" s="367">
        <v>19.600000000000001</v>
      </c>
      <c r="N19" s="369">
        <v>25.9</v>
      </c>
      <c r="O19" s="349">
        <f t="shared" si="0"/>
        <v>1356.3</v>
      </c>
      <c r="P19" s="350">
        <f t="shared" si="1"/>
        <v>113</v>
      </c>
    </row>
    <row r="20" spans="2:16" ht="22.5" customHeight="1">
      <c r="B20" s="61">
        <v>2009</v>
      </c>
      <c r="C20" s="367">
        <v>5.7</v>
      </c>
      <c r="D20" s="367">
        <v>36.9</v>
      </c>
      <c r="E20" s="367">
        <v>63.9</v>
      </c>
      <c r="F20" s="367">
        <v>66.5</v>
      </c>
      <c r="G20" s="367">
        <v>109</v>
      </c>
      <c r="H20" s="367">
        <v>132</v>
      </c>
      <c r="I20" s="367">
        <v>659.4</v>
      </c>
      <c r="J20" s="367">
        <v>285.3</v>
      </c>
      <c r="K20" s="367">
        <v>64.5</v>
      </c>
      <c r="L20" s="367">
        <v>66.900000000000006</v>
      </c>
      <c r="M20" s="367">
        <v>52.4</v>
      </c>
      <c r="N20" s="369">
        <v>21.5</v>
      </c>
      <c r="O20" s="349">
        <f t="shared" si="0"/>
        <v>1564</v>
      </c>
      <c r="P20" s="350">
        <f t="shared" si="1"/>
        <v>130.30000000000001</v>
      </c>
    </row>
    <row r="21" spans="2:16" ht="22.5" customHeight="1">
      <c r="B21" s="61">
        <v>2010</v>
      </c>
      <c r="C21" s="367">
        <v>29.3</v>
      </c>
      <c r="D21" s="367">
        <v>55.3</v>
      </c>
      <c r="E21" s="367">
        <v>82.5</v>
      </c>
      <c r="F21" s="367">
        <v>62.8</v>
      </c>
      <c r="G21" s="367">
        <v>124</v>
      </c>
      <c r="H21" s="367">
        <v>127.6</v>
      </c>
      <c r="I21" s="367">
        <v>239.2</v>
      </c>
      <c r="J21" s="367">
        <v>598.70000000000005</v>
      </c>
      <c r="K21" s="367">
        <v>671.5</v>
      </c>
      <c r="L21" s="367">
        <v>25.6</v>
      </c>
      <c r="M21" s="367">
        <v>10.9</v>
      </c>
      <c r="N21" s="369">
        <v>16.100000000000001</v>
      </c>
      <c r="O21" s="349">
        <f t="shared" si="0"/>
        <v>2043.5</v>
      </c>
      <c r="P21" s="350">
        <f t="shared" si="1"/>
        <v>170.3</v>
      </c>
    </row>
    <row r="22" spans="2:16" ht="22.5" customHeight="1">
      <c r="B22" s="61">
        <v>2011</v>
      </c>
      <c r="C22" s="367">
        <v>8.9</v>
      </c>
      <c r="D22" s="367">
        <v>29.1</v>
      </c>
      <c r="E22" s="367">
        <v>14.6</v>
      </c>
      <c r="F22" s="367">
        <v>110.1</v>
      </c>
      <c r="G22" s="367">
        <v>53.4</v>
      </c>
      <c r="H22" s="367">
        <v>404.5</v>
      </c>
      <c r="I22" s="367">
        <v>1131</v>
      </c>
      <c r="J22" s="367">
        <v>166.8</v>
      </c>
      <c r="K22" s="367">
        <v>25.6</v>
      </c>
      <c r="L22" s="367">
        <v>32</v>
      </c>
      <c r="M22" s="367">
        <v>56.2</v>
      </c>
      <c r="N22" s="369">
        <v>7.1</v>
      </c>
      <c r="O22" s="349">
        <f t="shared" si="0"/>
        <v>2039.3</v>
      </c>
      <c r="P22" s="350">
        <f t="shared" si="1"/>
        <v>169.9</v>
      </c>
    </row>
    <row r="23" spans="2:16" ht="22.5" customHeight="1">
      <c r="B23" s="61">
        <v>2012</v>
      </c>
      <c r="C23" s="367">
        <v>6.7</v>
      </c>
      <c r="D23" s="367">
        <v>0.8</v>
      </c>
      <c r="E23" s="367">
        <v>47.4</v>
      </c>
      <c r="F23" s="367">
        <v>157</v>
      </c>
      <c r="G23" s="367">
        <v>8.1999999999999993</v>
      </c>
      <c r="H23" s="367">
        <v>91.9</v>
      </c>
      <c r="I23" s="367">
        <v>448.9</v>
      </c>
      <c r="J23" s="367">
        <v>464.9</v>
      </c>
      <c r="K23" s="367">
        <v>212</v>
      </c>
      <c r="L23" s="367">
        <v>99.3</v>
      </c>
      <c r="M23" s="367">
        <v>67.8</v>
      </c>
      <c r="N23" s="369">
        <v>41.4</v>
      </c>
      <c r="O23" s="349">
        <f t="shared" si="0"/>
        <v>1646.3</v>
      </c>
      <c r="P23" s="350">
        <f t="shared" si="1"/>
        <v>137.19999999999999</v>
      </c>
    </row>
    <row r="24" spans="2:16" ht="22.5" customHeight="1">
      <c r="B24" s="61">
        <v>2013</v>
      </c>
      <c r="C24" s="367">
        <v>22.1</v>
      </c>
      <c r="D24" s="367">
        <v>74.099999999999994</v>
      </c>
      <c r="E24" s="367">
        <v>27.3</v>
      </c>
      <c r="F24" s="367">
        <v>71.7</v>
      </c>
      <c r="G24" s="367">
        <v>132</v>
      </c>
      <c r="H24" s="367">
        <v>28.3</v>
      </c>
      <c r="I24" s="367">
        <v>676.2</v>
      </c>
      <c r="J24" s="367">
        <v>148.6</v>
      </c>
      <c r="K24" s="367">
        <v>138.5</v>
      </c>
      <c r="L24" s="367">
        <v>13.5</v>
      </c>
      <c r="M24" s="367">
        <v>46.8</v>
      </c>
      <c r="N24" s="369">
        <v>24.7</v>
      </c>
      <c r="O24" s="349">
        <f t="shared" si="0"/>
        <v>1403.8</v>
      </c>
      <c r="P24" s="350">
        <f t="shared" si="1"/>
        <v>117</v>
      </c>
    </row>
    <row r="25" spans="2:16" ht="22.5" customHeight="1">
      <c r="B25" s="61">
        <v>2014</v>
      </c>
      <c r="C25" s="367">
        <v>13</v>
      </c>
      <c r="D25" s="367">
        <v>16.2</v>
      </c>
      <c r="E25" s="367">
        <v>7.2</v>
      </c>
      <c r="F25" s="367">
        <v>31</v>
      </c>
      <c r="G25" s="367">
        <v>63</v>
      </c>
      <c r="H25" s="367">
        <v>98.1</v>
      </c>
      <c r="I25" s="367">
        <v>207.9</v>
      </c>
      <c r="J25" s="367">
        <v>172.8</v>
      </c>
      <c r="K25" s="367">
        <v>88.1</v>
      </c>
      <c r="L25" s="367">
        <v>52.2</v>
      </c>
      <c r="M25" s="367">
        <v>41.5</v>
      </c>
      <c r="N25" s="369">
        <v>17.899999999999999</v>
      </c>
      <c r="O25" s="349">
        <f t="shared" si="0"/>
        <v>808.9</v>
      </c>
      <c r="P25" s="350">
        <f t="shared" si="1"/>
        <v>67.400000000000006</v>
      </c>
    </row>
    <row r="26" spans="2:16" ht="22.5" customHeight="1">
      <c r="B26" s="61">
        <v>2015</v>
      </c>
      <c r="C26" s="367">
        <v>11.3</v>
      </c>
      <c r="D26" s="367">
        <v>22.7</v>
      </c>
      <c r="E26" s="367">
        <v>9.6</v>
      </c>
      <c r="F26" s="367">
        <v>80.5</v>
      </c>
      <c r="G26" s="367">
        <v>28.9</v>
      </c>
      <c r="H26" s="367">
        <v>99</v>
      </c>
      <c r="I26" s="367">
        <v>226</v>
      </c>
      <c r="J26" s="367">
        <v>72.900000000000006</v>
      </c>
      <c r="K26" s="367">
        <v>26</v>
      </c>
      <c r="L26" s="367">
        <v>81.5</v>
      </c>
      <c r="M26" s="367">
        <v>104.6</v>
      </c>
      <c r="N26" s="369">
        <v>29.1</v>
      </c>
      <c r="O26" s="349">
        <f t="shared" si="0"/>
        <v>792.1</v>
      </c>
      <c r="P26" s="350">
        <f t="shared" si="1"/>
        <v>66</v>
      </c>
    </row>
    <row r="27" spans="2:16" ht="22.5" customHeight="1">
      <c r="B27" s="61">
        <v>2016</v>
      </c>
      <c r="C27" s="367">
        <v>1</v>
      </c>
      <c r="D27" s="367">
        <v>47.6</v>
      </c>
      <c r="E27" s="367">
        <v>40.5</v>
      </c>
      <c r="F27" s="367">
        <v>76.8</v>
      </c>
      <c r="G27" s="367">
        <v>160.5</v>
      </c>
      <c r="H27" s="367">
        <v>54.4</v>
      </c>
      <c r="I27" s="367">
        <v>358.2</v>
      </c>
      <c r="J27" s="367">
        <v>67.099999999999994</v>
      </c>
      <c r="K27" s="367">
        <v>33</v>
      </c>
      <c r="L27" s="367">
        <v>74.8</v>
      </c>
      <c r="M27" s="367">
        <v>16.7</v>
      </c>
      <c r="N27" s="369">
        <v>61.1</v>
      </c>
      <c r="O27" s="349">
        <f t="shared" si="0"/>
        <v>991.7</v>
      </c>
      <c r="P27" s="350">
        <f t="shared" si="1"/>
        <v>82.6</v>
      </c>
    </row>
    <row r="28" spans="2:16" ht="22.5" customHeight="1">
      <c r="B28" s="61">
        <v>2017</v>
      </c>
      <c r="C28" s="367">
        <v>14.9</v>
      </c>
      <c r="D28" s="367">
        <v>11.1</v>
      </c>
      <c r="E28" s="367">
        <v>7.9</v>
      </c>
      <c r="F28" s="367">
        <v>61.6</v>
      </c>
      <c r="G28" s="367">
        <v>16.100000000000001</v>
      </c>
      <c r="H28" s="367">
        <v>66.599999999999994</v>
      </c>
      <c r="I28" s="367">
        <v>621</v>
      </c>
      <c r="J28" s="367">
        <v>297</v>
      </c>
      <c r="K28" s="367">
        <v>35</v>
      </c>
      <c r="L28" s="367">
        <v>26.5</v>
      </c>
      <c r="M28" s="367">
        <v>40.700000000000003</v>
      </c>
      <c r="N28" s="369">
        <v>34.799999999999997</v>
      </c>
      <c r="O28" s="349">
        <f t="shared" si="0"/>
        <v>1233.2</v>
      </c>
      <c r="P28" s="350">
        <f t="shared" si="1"/>
        <v>102.8</v>
      </c>
    </row>
    <row r="29" spans="2:16" ht="22.5" customHeight="1">
      <c r="B29" s="61">
        <v>2018</v>
      </c>
      <c r="C29" s="367">
        <v>8.5</v>
      </c>
      <c r="D29" s="367">
        <v>29.6</v>
      </c>
      <c r="E29" s="367">
        <v>49.5</v>
      </c>
      <c r="F29" s="367">
        <v>130.30000000000001</v>
      </c>
      <c r="G29" s="367">
        <v>222</v>
      </c>
      <c r="H29" s="367">
        <v>171.5</v>
      </c>
      <c r="I29" s="367">
        <v>185.6</v>
      </c>
      <c r="J29" s="367">
        <v>202.6</v>
      </c>
      <c r="K29" s="367">
        <v>68.5</v>
      </c>
      <c r="L29" s="367">
        <v>120.5</v>
      </c>
      <c r="M29" s="367">
        <v>79.099999999999994</v>
      </c>
      <c r="N29" s="369">
        <v>16.399999999999999</v>
      </c>
      <c r="O29" s="349">
        <f t="shared" si="0"/>
        <v>1284.0999999999999</v>
      </c>
      <c r="P29" s="350">
        <f t="shared" si="1"/>
        <v>107</v>
      </c>
    </row>
    <row r="30" spans="2:16" ht="22.5" customHeight="1">
      <c r="B30" s="61">
        <v>2019</v>
      </c>
      <c r="C30" s="367">
        <v>0</v>
      </c>
      <c r="D30" s="367">
        <v>23.8</v>
      </c>
      <c r="E30" s="367">
        <v>26.8</v>
      </c>
      <c r="F30" s="367">
        <v>47.3</v>
      </c>
      <c r="G30" s="367">
        <v>37.799999999999997</v>
      </c>
      <c r="H30" s="367">
        <v>74</v>
      </c>
      <c r="I30" s="367">
        <v>194.4</v>
      </c>
      <c r="J30" s="367">
        <v>190.5</v>
      </c>
      <c r="K30" s="367">
        <v>139.80000000000001</v>
      </c>
      <c r="L30" s="367">
        <v>55.5</v>
      </c>
      <c r="M30" s="367">
        <v>78.8</v>
      </c>
      <c r="N30" s="369">
        <v>22.6</v>
      </c>
      <c r="O30" s="349">
        <f t="shared" si="0"/>
        <v>891.3</v>
      </c>
      <c r="P30" s="350">
        <f t="shared" si="1"/>
        <v>74.3</v>
      </c>
    </row>
    <row r="31" spans="2:16" ht="22.5" customHeight="1">
      <c r="B31" s="61">
        <v>2020</v>
      </c>
      <c r="C31" s="367">
        <v>60.5</v>
      </c>
      <c r="D31" s="367">
        <v>53.1</v>
      </c>
      <c r="E31" s="367">
        <v>16.3</v>
      </c>
      <c r="F31" s="367">
        <v>16.899999999999999</v>
      </c>
      <c r="G31" s="367">
        <v>112.4</v>
      </c>
      <c r="H31" s="367">
        <v>139.6</v>
      </c>
      <c r="I31" s="367">
        <v>270.39999999999998</v>
      </c>
      <c r="J31" s="367">
        <v>675.7</v>
      </c>
      <c r="K31" s="367">
        <v>181.5</v>
      </c>
      <c r="L31" s="367">
        <v>0</v>
      </c>
      <c r="M31" s="367">
        <v>120.1</v>
      </c>
      <c r="N31" s="369">
        <v>4.5999999999999996</v>
      </c>
      <c r="O31" s="349">
        <f t="shared" si="0"/>
        <v>1651.1</v>
      </c>
      <c r="P31" s="350">
        <f t="shared" si="1"/>
        <v>137.6</v>
      </c>
    </row>
    <row r="32" spans="2:16" ht="22.5" customHeight="1">
      <c r="B32" s="61">
        <v>2021</v>
      </c>
      <c r="C32" s="367">
        <v>18.899999999999999</v>
      </c>
      <c r="D32" s="367">
        <v>7.1</v>
      </c>
      <c r="E32" s="367">
        <v>110.9</v>
      </c>
      <c r="F32" s="367">
        <v>124.1</v>
      </c>
      <c r="G32" s="367">
        <v>183.1</v>
      </c>
      <c r="H32" s="367">
        <v>104.6</v>
      </c>
      <c r="I32" s="367">
        <v>168.3</v>
      </c>
      <c r="J32" s="367">
        <v>211.2</v>
      </c>
      <c r="K32" s="367">
        <v>131</v>
      </c>
      <c r="L32" s="367">
        <v>57</v>
      </c>
      <c r="M32" s="367">
        <v>62.4</v>
      </c>
      <c r="N32" s="369">
        <v>7.9</v>
      </c>
      <c r="O32" s="349">
        <f t="shared" si="0"/>
        <v>1186.5</v>
      </c>
      <c r="P32" s="350">
        <f t="shared" si="1"/>
        <v>98.9</v>
      </c>
    </row>
    <row r="33" spans="2:16" ht="22.5" customHeight="1">
      <c r="B33" s="61">
        <v>2022</v>
      </c>
      <c r="C33" s="367">
        <v>5.5</v>
      </c>
      <c r="D33" s="367">
        <v>4.7</v>
      </c>
      <c r="E33" s="367">
        <v>102.6</v>
      </c>
      <c r="F33" s="367">
        <v>20.399999999999999</v>
      </c>
      <c r="G33" s="367">
        <v>7.5</v>
      </c>
      <c r="H33" s="367">
        <v>393.8</v>
      </c>
      <c r="I33" s="367">
        <v>252.3</v>
      </c>
      <c r="J33" s="367">
        <v>564.79999999999995</v>
      </c>
      <c r="K33" s="367">
        <v>201.5</v>
      </c>
      <c r="L33" s="367">
        <v>124.1</v>
      </c>
      <c r="M33" s="367">
        <v>84.5</v>
      </c>
      <c r="N33" s="369">
        <v>13.6</v>
      </c>
      <c r="O33" s="349">
        <f t="shared" si="0"/>
        <v>1775.3</v>
      </c>
      <c r="P33" s="350">
        <f t="shared" si="1"/>
        <v>147.9</v>
      </c>
    </row>
    <row r="34" spans="2:16" ht="22.5" customHeight="1" thickBot="1">
      <c r="B34" s="370">
        <v>2023</v>
      </c>
      <c r="C34" s="371">
        <v>47.9</v>
      </c>
      <c r="D34" s="371">
        <v>1</v>
      </c>
      <c r="E34" s="371">
        <v>10.5</v>
      </c>
      <c r="F34" s="371">
        <v>96.9</v>
      </c>
      <c r="G34" s="371">
        <v>155.6</v>
      </c>
      <c r="H34" s="371">
        <v>195.6</v>
      </c>
      <c r="I34" s="371">
        <v>459.9</v>
      </c>
      <c r="J34" s="371">
        <v>298.10000000000002</v>
      </c>
      <c r="K34" s="371">
        <v>134.5</v>
      </c>
      <c r="L34" s="371">
        <v>31</v>
      </c>
      <c r="M34" s="371">
        <v>81.900000000000006</v>
      </c>
      <c r="N34" s="372">
        <v>85.9</v>
      </c>
      <c r="O34" s="351">
        <f t="shared" si="0"/>
        <v>1598.8</v>
      </c>
      <c r="P34" s="352">
        <f t="shared" si="1"/>
        <v>133.19999999999999</v>
      </c>
    </row>
    <row r="35" spans="2:16" ht="22.5" customHeight="1">
      <c r="B35" s="373" t="s">
        <v>36</v>
      </c>
      <c r="C35" s="374">
        <f>MAX(C5:C34)</f>
        <v>60.5</v>
      </c>
      <c r="D35" s="374">
        <f t="shared" ref="D35:N35" si="2">MAX(D5:D34)</f>
        <v>74.099999999999994</v>
      </c>
      <c r="E35" s="374">
        <f t="shared" si="2"/>
        <v>123.5</v>
      </c>
      <c r="F35" s="374">
        <f t="shared" si="2"/>
        <v>157</v>
      </c>
      <c r="G35" s="374">
        <f t="shared" si="2"/>
        <v>291.3</v>
      </c>
      <c r="H35" s="374">
        <f t="shared" si="2"/>
        <v>404.5</v>
      </c>
      <c r="I35" s="374">
        <f t="shared" si="2"/>
        <v>1131</v>
      </c>
      <c r="J35" s="374">
        <f t="shared" si="2"/>
        <v>1237.8</v>
      </c>
      <c r="K35" s="374">
        <f t="shared" si="2"/>
        <v>671.5</v>
      </c>
      <c r="L35" s="374">
        <f t="shared" si="2"/>
        <v>214.5</v>
      </c>
      <c r="M35" s="374">
        <f t="shared" si="2"/>
        <v>120.1</v>
      </c>
      <c r="N35" s="354">
        <f t="shared" si="2"/>
        <v>85.9</v>
      </c>
      <c r="O35" s="353">
        <f t="shared" ref="O35" si="3">MAX(O5:O34)</f>
        <v>2349.1</v>
      </c>
      <c r="P35" s="354">
        <f>MAX(P5:P34)</f>
        <v>195.8</v>
      </c>
    </row>
    <row r="36" spans="2:16" ht="22.5" customHeight="1">
      <c r="B36" s="375" t="s">
        <v>37</v>
      </c>
      <c r="C36" s="376">
        <f>ROUND(MIN(C5:C34),1)</f>
        <v>0</v>
      </c>
      <c r="D36" s="376">
        <f t="shared" ref="D36:N36" si="4">ROUND(MIN(D5:D34),1)</f>
        <v>0.8</v>
      </c>
      <c r="E36" s="376">
        <f t="shared" si="4"/>
        <v>3.1</v>
      </c>
      <c r="F36" s="376">
        <f t="shared" si="4"/>
        <v>12.3</v>
      </c>
      <c r="G36" s="376">
        <f t="shared" si="4"/>
        <v>7.5</v>
      </c>
      <c r="H36" s="376">
        <f t="shared" si="4"/>
        <v>28.3</v>
      </c>
      <c r="I36" s="376">
        <f t="shared" si="4"/>
        <v>114.7</v>
      </c>
      <c r="J36" s="376">
        <f t="shared" si="4"/>
        <v>67.099999999999994</v>
      </c>
      <c r="K36" s="376">
        <f t="shared" si="4"/>
        <v>11</v>
      </c>
      <c r="L36" s="376">
        <f t="shared" si="4"/>
        <v>0</v>
      </c>
      <c r="M36" s="376">
        <f t="shared" si="4"/>
        <v>10.9</v>
      </c>
      <c r="N36" s="350">
        <f t="shared" si="4"/>
        <v>3.4</v>
      </c>
      <c r="O36" s="355">
        <f>ROUND(MIN(O5:O34),1)</f>
        <v>792.1</v>
      </c>
      <c r="P36" s="356">
        <f>ROUND(MIN(P5:P34),1)</f>
        <v>66</v>
      </c>
    </row>
    <row r="37" spans="2:16" ht="22.5" customHeight="1" thickBot="1">
      <c r="B37" s="377" t="s">
        <v>45</v>
      </c>
      <c r="C37" s="378">
        <f>ROUND(AVERAGE(C5:C34),1)</f>
        <v>18.2</v>
      </c>
      <c r="D37" s="378">
        <f t="shared" ref="D37:N37" si="5">ROUND(AVERAGE(D5:D34),1)</f>
        <v>23.8</v>
      </c>
      <c r="E37" s="378">
        <f t="shared" si="5"/>
        <v>40.799999999999997</v>
      </c>
      <c r="F37" s="378">
        <f t="shared" si="5"/>
        <v>73.900000000000006</v>
      </c>
      <c r="G37" s="378">
        <f t="shared" si="5"/>
        <v>102.7</v>
      </c>
      <c r="H37" s="378">
        <f t="shared" si="5"/>
        <v>140</v>
      </c>
      <c r="I37" s="378">
        <f t="shared" si="5"/>
        <v>404.4</v>
      </c>
      <c r="J37" s="378">
        <f t="shared" si="5"/>
        <v>361.2</v>
      </c>
      <c r="K37" s="378">
        <f t="shared" si="5"/>
        <v>143.80000000000001</v>
      </c>
      <c r="L37" s="378">
        <f t="shared" si="5"/>
        <v>56.7</v>
      </c>
      <c r="M37" s="378">
        <f t="shared" si="5"/>
        <v>52.3</v>
      </c>
      <c r="N37" s="379">
        <f t="shared" si="5"/>
        <v>22</v>
      </c>
      <c r="O37" s="430">
        <f>ROUND(AVERAGE(O5:O34),1)</f>
        <v>1439.8</v>
      </c>
      <c r="P37" s="358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21" t="s">
        <v>40</v>
      </c>
      <c r="C40" s="422" t="s">
        <v>31</v>
      </c>
      <c r="D40" s="422" t="s">
        <v>32</v>
      </c>
      <c r="E40" s="422" t="s">
        <v>33</v>
      </c>
      <c r="F40" s="422" t="s">
        <v>34</v>
      </c>
      <c r="G40" s="422" t="s">
        <v>35</v>
      </c>
      <c r="H40" s="422" t="s">
        <v>12</v>
      </c>
      <c r="I40" s="422" t="s">
        <v>13</v>
      </c>
      <c r="J40" s="422" t="s">
        <v>14</v>
      </c>
      <c r="K40" s="422" t="s">
        <v>15</v>
      </c>
      <c r="L40" s="422" t="s">
        <v>16</v>
      </c>
      <c r="M40" s="422" t="s">
        <v>17</v>
      </c>
      <c r="N40" s="423" t="s">
        <v>18</v>
      </c>
      <c r="O40" s="424" t="s">
        <v>43</v>
      </c>
      <c r="P40" s="423" t="s">
        <v>30</v>
      </c>
    </row>
    <row r="41" spans="2:16" ht="22.5" customHeight="1">
      <c r="B41" s="380">
        <f>B25</f>
        <v>2014</v>
      </c>
      <c r="C41" s="381">
        <f t="shared" ref="C41:N41" si="6">C25</f>
        <v>13</v>
      </c>
      <c r="D41" s="381">
        <f t="shared" si="6"/>
        <v>16.2</v>
      </c>
      <c r="E41" s="381">
        <f t="shared" si="6"/>
        <v>7.2</v>
      </c>
      <c r="F41" s="381">
        <f t="shared" si="6"/>
        <v>31</v>
      </c>
      <c r="G41" s="381">
        <f t="shared" si="6"/>
        <v>63</v>
      </c>
      <c r="H41" s="381">
        <f t="shared" si="6"/>
        <v>98.1</v>
      </c>
      <c r="I41" s="381">
        <f t="shared" si="6"/>
        <v>207.9</v>
      </c>
      <c r="J41" s="381">
        <f t="shared" si="6"/>
        <v>172.8</v>
      </c>
      <c r="K41" s="381">
        <f t="shared" si="6"/>
        <v>88.1</v>
      </c>
      <c r="L41" s="381">
        <f t="shared" si="6"/>
        <v>52.2</v>
      </c>
      <c r="M41" s="381">
        <f t="shared" si="6"/>
        <v>41.5</v>
      </c>
      <c r="N41" s="356">
        <f t="shared" si="6"/>
        <v>17.899999999999999</v>
      </c>
      <c r="O41" s="355">
        <f>ROUND(SUM(C41:N41),1)</f>
        <v>808.9</v>
      </c>
      <c r="P41" s="356">
        <f>ROUND(O41/12,1)</f>
        <v>67.400000000000006</v>
      </c>
    </row>
    <row r="42" spans="2:16" ht="22.5" customHeight="1">
      <c r="B42" s="380">
        <f t="shared" ref="B42:N42" si="7">B26</f>
        <v>2015</v>
      </c>
      <c r="C42" s="381">
        <f t="shared" si="7"/>
        <v>11.3</v>
      </c>
      <c r="D42" s="381">
        <f t="shared" si="7"/>
        <v>22.7</v>
      </c>
      <c r="E42" s="381">
        <f t="shared" si="7"/>
        <v>9.6</v>
      </c>
      <c r="F42" s="381">
        <f t="shared" si="7"/>
        <v>80.5</v>
      </c>
      <c r="G42" s="381">
        <f t="shared" si="7"/>
        <v>28.9</v>
      </c>
      <c r="H42" s="381">
        <f t="shared" si="7"/>
        <v>99</v>
      </c>
      <c r="I42" s="381">
        <f t="shared" si="7"/>
        <v>226</v>
      </c>
      <c r="J42" s="381">
        <f t="shared" si="7"/>
        <v>72.900000000000006</v>
      </c>
      <c r="K42" s="381">
        <f t="shared" si="7"/>
        <v>26</v>
      </c>
      <c r="L42" s="381">
        <f t="shared" si="7"/>
        <v>81.5</v>
      </c>
      <c r="M42" s="381">
        <f t="shared" si="7"/>
        <v>104.6</v>
      </c>
      <c r="N42" s="356">
        <f t="shared" si="7"/>
        <v>29.1</v>
      </c>
      <c r="O42" s="355">
        <f t="shared" ref="O42:O50" si="8">ROUND(SUM(C42:N42),1)</f>
        <v>792.1</v>
      </c>
      <c r="P42" s="356">
        <f t="shared" ref="P42:P50" si="9">ROUND(O42/12,1)</f>
        <v>66</v>
      </c>
    </row>
    <row r="43" spans="2:16" ht="22.5" customHeight="1">
      <c r="B43" s="380">
        <f t="shared" ref="B43:N43" si="10">B27</f>
        <v>2016</v>
      </c>
      <c r="C43" s="381">
        <f t="shared" si="10"/>
        <v>1</v>
      </c>
      <c r="D43" s="381">
        <f t="shared" si="10"/>
        <v>47.6</v>
      </c>
      <c r="E43" s="381">
        <f t="shared" si="10"/>
        <v>40.5</v>
      </c>
      <c r="F43" s="381">
        <f t="shared" si="10"/>
        <v>76.8</v>
      </c>
      <c r="G43" s="381">
        <f t="shared" si="10"/>
        <v>160.5</v>
      </c>
      <c r="H43" s="381">
        <f t="shared" si="10"/>
        <v>54.4</v>
      </c>
      <c r="I43" s="381">
        <f t="shared" si="10"/>
        <v>358.2</v>
      </c>
      <c r="J43" s="381">
        <f t="shared" si="10"/>
        <v>67.099999999999994</v>
      </c>
      <c r="K43" s="381">
        <f t="shared" si="10"/>
        <v>33</v>
      </c>
      <c r="L43" s="381">
        <f t="shared" si="10"/>
        <v>74.8</v>
      </c>
      <c r="M43" s="381">
        <f t="shared" si="10"/>
        <v>16.7</v>
      </c>
      <c r="N43" s="356">
        <f t="shared" si="10"/>
        <v>61.1</v>
      </c>
      <c r="O43" s="355">
        <f t="shared" si="8"/>
        <v>991.7</v>
      </c>
      <c r="P43" s="356">
        <f t="shared" si="9"/>
        <v>82.6</v>
      </c>
    </row>
    <row r="44" spans="2:16" ht="22.5" customHeight="1">
      <c r="B44" s="380">
        <f t="shared" ref="B44:N44" si="11">B28</f>
        <v>2017</v>
      </c>
      <c r="C44" s="381">
        <f t="shared" si="11"/>
        <v>14.9</v>
      </c>
      <c r="D44" s="381">
        <f t="shared" si="11"/>
        <v>11.1</v>
      </c>
      <c r="E44" s="381">
        <f t="shared" si="11"/>
        <v>7.9</v>
      </c>
      <c r="F44" s="381">
        <f t="shared" si="11"/>
        <v>61.6</v>
      </c>
      <c r="G44" s="381">
        <f t="shared" si="11"/>
        <v>16.100000000000001</v>
      </c>
      <c r="H44" s="381">
        <f t="shared" si="11"/>
        <v>66.599999999999994</v>
      </c>
      <c r="I44" s="381">
        <f t="shared" si="11"/>
        <v>621</v>
      </c>
      <c r="J44" s="381">
        <f t="shared" si="11"/>
        <v>297</v>
      </c>
      <c r="K44" s="381">
        <f t="shared" si="11"/>
        <v>35</v>
      </c>
      <c r="L44" s="381">
        <f t="shared" si="11"/>
        <v>26.5</v>
      </c>
      <c r="M44" s="381">
        <f t="shared" si="11"/>
        <v>40.700000000000003</v>
      </c>
      <c r="N44" s="356">
        <f t="shared" si="11"/>
        <v>34.799999999999997</v>
      </c>
      <c r="O44" s="355">
        <f t="shared" si="8"/>
        <v>1233.2</v>
      </c>
      <c r="P44" s="356">
        <f t="shared" si="9"/>
        <v>102.8</v>
      </c>
    </row>
    <row r="45" spans="2:16" ht="22.5" customHeight="1">
      <c r="B45" s="380">
        <f t="shared" ref="B45:N45" si="12">B29</f>
        <v>2018</v>
      </c>
      <c r="C45" s="381">
        <f t="shared" si="12"/>
        <v>8.5</v>
      </c>
      <c r="D45" s="381">
        <f t="shared" si="12"/>
        <v>29.6</v>
      </c>
      <c r="E45" s="381">
        <f t="shared" si="12"/>
        <v>49.5</v>
      </c>
      <c r="F45" s="381">
        <f t="shared" si="12"/>
        <v>130.30000000000001</v>
      </c>
      <c r="G45" s="381">
        <f t="shared" si="12"/>
        <v>222</v>
      </c>
      <c r="H45" s="381">
        <f t="shared" si="12"/>
        <v>171.5</v>
      </c>
      <c r="I45" s="381">
        <f t="shared" si="12"/>
        <v>185.6</v>
      </c>
      <c r="J45" s="381">
        <f t="shared" si="12"/>
        <v>202.6</v>
      </c>
      <c r="K45" s="381">
        <f t="shared" si="12"/>
        <v>68.5</v>
      </c>
      <c r="L45" s="381">
        <f t="shared" si="12"/>
        <v>120.5</v>
      </c>
      <c r="M45" s="381">
        <f t="shared" si="12"/>
        <v>79.099999999999994</v>
      </c>
      <c r="N45" s="356">
        <f t="shared" si="12"/>
        <v>16.399999999999999</v>
      </c>
      <c r="O45" s="355">
        <f t="shared" si="8"/>
        <v>1284.0999999999999</v>
      </c>
      <c r="P45" s="356">
        <f t="shared" si="9"/>
        <v>107</v>
      </c>
    </row>
    <row r="46" spans="2:16" ht="22.5" customHeight="1">
      <c r="B46" s="380">
        <f t="shared" ref="B46:N46" si="13">B30</f>
        <v>2019</v>
      </c>
      <c r="C46" s="381">
        <f t="shared" si="13"/>
        <v>0</v>
      </c>
      <c r="D46" s="381">
        <f t="shared" si="13"/>
        <v>23.8</v>
      </c>
      <c r="E46" s="381">
        <f t="shared" si="13"/>
        <v>26.8</v>
      </c>
      <c r="F46" s="381">
        <f t="shared" si="13"/>
        <v>47.3</v>
      </c>
      <c r="G46" s="381">
        <f t="shared" si="13"/>
        <v>37.799999999999997</v>
      </c>
      <c r="H46" s="381">
        <f t="shared" si="13"/>
        <v>74</v>
      </c>
      <c r="I46" s="381">
        <f t="shared" si="13"/>
        <v>194.4</v>
      </c>
      <c r="J46" s="381">
        <f t="shared" si="13"/>
        <v>190.5</v>
      </c>
      <c r="K46" s="381">
        <f t="shared" si="13"/>
        <v>139.80000000000001</v>
      </c>
      <c r="L46" s="381">
        <f t="shared" si="13"/>
        <v>55.5</v>
      </c>
      <c r="M46" s="381">
        <f t="shared" si="13"/>
        <v>78.8</v>
      </c>
      <c r="N46" s="356">
        <f t="shared" si="13"/>
        <v>22.6</v>
      </c>
      <c r="O46" s="355">
        <f t="shared" si="8"/>
        <v>891.3</v>
      </c>
      <c r="P46" s="356">
        <f t="shared" si="9"/>
        <v>74.3</v>
      </c>
    </row>
    <row r="47" spans="2:16" ht="22.5" customHeight="1">
      <c r="B47" s="380">
        <f t="shared" ref="B47:N47" si="14">B31</f>
        <v>2020</v>
      </c>
      <c r="C47" s="381">
        <f t="shared" si="14"/>
        <v>60.5</v>
      </c>
      <c r="D47" s="381">
        <f t="shared" si="14"/>
        <v>53.1</v>
      </c>
      <c r="E47" s="381">
        <f t="shared" si="14"/>
        <v>16.3</v>
      </c>
      <c r="F47" s="381">
        <f t="shared" si="14"/>
        <v>16.899999999999999</v>
      </c>
      <c r="G47" s="381">
        <f t="shared" si="14"/>
        <v>112.4</v>
      </c>
      <c r="H47" s="381">
        <f t="shared" si="14"/>
        <v>139.6</v>
      </c>
      <c r="I47" s="381">
        <f t="shared" si="14"/>
        <v>270.39999999999998</v>
      </c>
      <c r="J47" s="381">
        <f t="shared" si="14"/>
        <v>675.7</v>
      </c>
      <c r="K47" s="381">
        <f t="shared" si="14"/>
        <v>181.5</v>
      </c>
      <c r="L47" s="381">
        <f t="shared" si="14"/>
        <v>0</v>
      </c>
      <c r="M47" s="381">
        <f t="shared" si="14"/>
        <v>120.1</v>
      </c>
      <c r="N47" s="356">
        <f t="shared" si="14"/>
        <v>4.5999999999999996</v>
      </c>
      <c r="O47" s="355">
        <f t="shared" si="8"/>
        <v>1651.1</v>
      </c>
      <c r="P47" s="356">
        <f t="shared" si="9"/>
        <v>137.6</v>
      </c>
    </row>
    <row r="48" spans="2:16" ht="22.5" customHeight="1">
      <c r="B48" s="380">
        <f t="shared" ref="B48:N48" si="15">B32</f>
        <v>2021</v>
      </c>
      <c r="C48" s="381">
        <f t="shared" si="15"/>
        <v>18.899999999999999</v>
      </c>
      <c r="D48" s="381">
        <f t="shared" si="15"/>
        <v>7.1</v>
      </c>
      <c r="E48" s="381">
        <f t="shared" si="15"/>
        <v>110.9</v>
      </c>
      <c r="F48" s="381">
        <f t="shared" si="15"/>
        <v>124.1</v>
      </c>
      <c r="G48" s="381">
        <f t="shared" si="15"/>
        <v>183.1</v>
      </c>
      <c r="H48" s="381">
        <f t="shared" si="15"/>
        <v>104.6</v>
      </c>
      <c r="I48" s="381">
        <f t="shared" si="15"/>
        <v>168.3</v>
      </c>
      <c r="J48" s="381">
        <f t="shared" si="15"/>
        <v>211.2</v>
      </c>
      <c r="K48" s="381">
        <f t="shared" si="15"/>
        <v>131</v>
      </c>
      <c r="L48" s="381">
        <f t="shared" si="15"/>
        <v>57</v>
      </c>
      <c r="M48" s="381">
        <f t="shared" si="15"/>
        <v>62.4</v>
      </c>
      <c r="N48" s="356">
        <f t="shared" si="15"/>
        <v>7.9</v>
      </c>
      <c r="O48" s="355">
        <f t="shared" si="8"/>
        <v>1186.5</v>
      </c>
      <c r="P48" s="356">
        <f t="shared" si="9"/>
        <v>98.9</v>
      </c>
    </row>
    <row r="49" spans="2:16" ht="22.5" customHeight="1">
      <c r="B49" s="380">
        <f t="shared" ref="B49:N49" si="16">B33</f>
        <v>2022</v>
      </c>
      <c r="C49" s="381">
        <f t="shared" si="16"/>
        <v>5.5</v>
      </c>
      <c r="D49" s="381">
        <f t="shared" si="16"/>
        <v>4.7</v>
      </c>
      <c r="E49" s="381">
        <f t="shared" si="16"/>
        <v>102.6</v>
      </c>
      <c r="F49" s="381">
        <f t="shared" si="16"/>
        <v>20.399999999999999</v>
      </c>
      <c r="G49" s="381">
        <f t="shared" si="16"/>
        <v>7.5</v>
      </c>
      <c r="H49" s="381">
        <f t="shared" si="16"/>
        <v>393.8</v>
      </c>
      <c r="I49" s="381">
        <f t="shared" si="16"/>
        <v>252.3</v>
      </c>
      <c r="J49" s="381">
        <f t="shared" si="16"/>
        <v>564.79999999999995</v>
      </c>
      <c r="K49" s="381">
        <f t="shared" si="16"/>
        <v>201.5</v>
      </c>
      <c r="L49" s="381">
        <f t="shared" si="16"/>
        <v>124.1</v>
      </c>
      <c r="M49" s="381">
        <f t="shared" si="16"/>
        <v>84.5</v>
      </c>
      <c r="N49" s="356">
        <f t="shared" si="16"/>
        <v>13.6</v>
      </c>
      <c r="O49" s="355">
        <f t="shared" si="8"/>
        <v>1775.3</v>
      </c>
      <c r="P49" s="356">
        <f t="shared" si="9"/>
        <v>147.9</v>
      </c>
    </row>
    <row r="50" spans="2:16" ht="22.5" customHeight="1" thickBot="1">
      <c r="B50" s="382">
        <f t="shared" ref="B50:N50" si="17">B34</f>
        <v>2023</v>
      </c>
      <c r="C50" s="383">
        <f t="shared" si="17"/>
        <v>47.9</v>
      </c>
      <c r="D50" s="383">
        <f t="shared" si="17"/>
        <v>1</v>
      </c>
      <c r="E50" s="383">
        <f>E34</f>
        <v>10.5</v>
      </c>
      <c r="F50" s="383">
        <f t="shared" si="17"/>
        <v>96.9</v>
      </c>
      <c r="G50" s="383">
        <f t="shared" si="17"/>
        <v>155.6</v>
      </c>
      <c r="H50" s="383">
        <f t="shared" si="17"/>
        <v>195.6</v>
      </c>
      <c r="I50" s="383">
        <f t="shared" si="17"/>
        <v>459.9</v>
      </c>
      <c r="J50" s="383">
        <f t="shared" si="17"/>
        <v>298.10000000000002</v>
      </c>
      <c r="K50" s="383">
        <f t="shared" si="17"/>
        <v>134.5</v>
      </c>
      <c r="L50" s="383">
        <f t="shared" si="17"/>
        <v>31</v>
      </c>
      <c r="M50" s="383">
        <f t="shared" si="17"/>
        <v>81.900000000000006</v>
      </c>
      <c r="N50" s="358">
        <f t="shared" si="17"/>
        <v>85.9</v>
      </c>
      <c r="O50" s="357">
        <f t="shared" si="8"/>
        <v>1598.8</v>
      </c>
      <c r="P50" s="358">
        <f t="shared" si="9"/>
        <v>133.19999999999999</v>
      </c>
    </row>
    <row r="51" spans="2:16" ht="22.5" customHeight="1">
      <c r="B51" s="384" t="s">
        <v>46</v>
      </c>
      <c r="C51" s="385">
        <f>MAX(C41:C50)</f>
        <v>60.5</v>
      </c>
      <c r="D51" s="385">
        <f t="shared" ref="D51:P51" si="18">MAX(D41:D50)</f>
        <v>53.1</v>
      </c>
      <c r="E51" s="385">
        <f t="shared" si="18"/>
        <v>110.9</v>
      </c>
      <c r="F51" s="385">
        <f t="shared" si="18"/>
        <v>130.30000000000001</v>
      </c>
      <c r="G51" s="385">
        <f t="shared" si="18"/>
        <v>222</v>
      </c>
      <c r="H51" s="385">
        <f t="shared" si="18"/>
        <v>393.8</v>
      </c>
      <c r="I51" s="385">
        <f t="shared" si="18"/>
        <v>621</v>
      </c>
      <c r="J51" s="385">
        <f t="shared" si="18"/>
        <v>675.7</v>
      </c>
      <c r="K51" s="385">
        <f t="shared" si="18"/>
        <v>201.5</v>
      </c>
      <c r="L51" s="385">
        <f t="shared" si="18"/>
        <v>124.1</v>
      </c>
      <c r="M51" s="385">
        <f t="shared" si="18"/>
        <v>120.1</v>
      </c>
      <c r="N51" s="360">
        <f t="shared" si="18"/>
        <v>85.9</v>
      </c>
      <c r="O51" s="359">
        <f t="shared" si="18"/>
        <v>1775.3</v>
      </c>
      <c r="P51" s="360">
        <f t="shared" si="18"/>
        <v>147.9</v>
      </c>
    </row>
    <row r="52" spans="2:16" ht="22.5" customHeight="1">
      <c r="B52" s="380" t="s">
        <v>47</v>
      </c>
      <c r="C52" s="381">
        <f>MIN(C41:C50)</f>
        <v>0</v>
      </c>
      <c r="D52" s="381">
        <f t="shared" ref="D52:P52" si="19">MIN(D41:D50)</f>
        <v>1</v>
      </c>
      <c r="E52" s="381">
        <f t="shared" si="19"/>
        <v>7.2</v>
      </c>
      <c r="F52" s="381">
        <f t="shared" si="19"/>
        <v>16.899999999999999</v>
      </c>
      <c r="G52" s="381">
        <f t="shared" si="19"/>
        <v>7.5</v>
      </c>
      <c r="H52" s="381">
        <f t="shared" si="19"/>
        <v>54.4</v>
      </c>
      <c r="I52" s="381">
        <f t="shared" si="19"/>
        <v>168.3</v>
      </c>
      <c r="J52" s="381">
        <f t="shared" si="19"/>
        <v>67.099999999999994</v>
      </c>
      <c r="K52" s="381">
        <f t="shared" si="19"/>
        <v>26</v>
      </c>
      <c r="L52" s="381">
        <f t="shared" si="19"/>
        <v>0</v>
      </c>
      <c r="M52" s="381">
        <f t="shared" si="19"/>
        <v>16.7</v>
      </c>
      <c r="N52" s="356">
        <f t="shared" si="19"/>
        <v>4.5999999999999996</v>
      </c>
      <c r="O52" s="355">
        <f>MIN(O41:O50)</f>
        <v>792.1</v>
      </c>
      <c r="P52" s="356">
        <f t="shared" si="19"/>
        <v>66</v>
      </c>
    </row>
    <row r="53" spans="2:16" ht="22.5" customHeight="1" thickBot="1">
      <c r="B53" s="382" t="s">
        <v>30</v>
      </c>
      <c r="C53" s="383">
        <f>ROUND(AVERAGE(C41:C50),1)</f>
        <v>18.2</v>
      </c>
      <c r="D53" s="383">
        <f t="shared" ref="D53:N53" si="20">ROUND(AVERAGE(D41:D50),1)</f>
        <v>21.7</v>
      </c>
      <c r="E53" s="383">
        <f t="shared" si="20"/>
        <v>38.200000000000003</v>
      </c>
      <c r="F53" s="383">
        <f t="shared" si="20"/>
        <v>68.599999999999994</v>
      </c>
      <c r="G53" s="383">
        <f t="shared" si="20"/>
        <v>98.7</v>
      </c>
      <c r="H53" s="383">
        <f t="shared" si="20"/>
        <v>139.69999999999999</v>
      </c>
      <c r="I53" s="383">
        <f t="shared" si="20"/>
        <v>294.39999999999998</v>
      </c>
      <c r="J53" s="383">
        <f t="shared" si="20"/>
        <v>275.3</v>
      </c>
      <c r="K53" s="383">
        <f t="shared" si="20"/>
        <v>103.9</v>
      </c>
      <c r="L53" s="383">
        <f t="shared" si="20"/>
        <v>62.3</v>
      </c>
      <c r="M53" s="383">
        <f t="shared" si="20"/>
        <v>71</v>
      </c>
      <c r="N53" s="358">
        <f t="shared" si="20"/>
        <v>29.4</v>
      </c>
      <c r="O53" s="430">
        <f>ROUND(AVERAGE(O41:O50),1)</f>
        <v>1221.3</v>
      </c>
      <c r="P53" s="358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278" customFormat="1">
      <c r="B23" s="275">
        <f>All!B25</f>
        <v>2014</v>
      </c>
      <c r="C23" s="276">
        <f>All!C25</f>
        <v>13</v>
      </c>
      <c r="D23" s="276">
        <f>All!D25</f>
        <v>16.2</v>
      </c>
      <c r="E23" s="276">
        <f>All!E25</f>
        <v>7.2</v>
      </c>
      <c r="F23" s="276">
        <f>All!F25</f>
        <v>31</v>
      </c>
      <c r="G23" s="276">
        <f>All!G25</f>
        <v>63</v>
      </c>
      <c r="H23" s="276">
        <f>All!H25</f>
        <v>98.1</v>
      </c>
      <c r="I23" s="276">
        <f>All!I25</f>
        <v>207.9</v>
      </c>
      <c r="J23" s="276">
        <f>All!J25</f>
        <v>172.8</v>
      </c>
      <c r="K23" s="276">
        <f>All!K25</f>
        <v>88.1</v>
      </c>
      <c r="L23" s="276">
        <f>All!L25</f>
        <v>52.2</v>
      </c>
      <c r="M23" s="276">
        <f>All!M25</f>
        <v>41.5</v>
      </c>
      <c r="N23" s="276">
        <f>All!N25</f>
        <v>17.899999999999999</v>
      </c>
      <c r="O23" s="276">
        <f>All!O25</f>
        <v>808.9</v>
      </c>
      <c r="P23" s="277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171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170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zoomScaleNormal="100" workbookViewId="0">
      <selection activeCell="P32" sqref="P32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1" customWidth="1"/>
    <col min="16" max="16" width="8.77734375" style="69" customWidth="1"/>
    <col min="17" max="16384" width="8.88671875" style="69"/>
  </cols>
  <sheetData>
    <row r="2" spans="2:16" ht="20.25" customHeight="1">
      <c r="B2" s="387" t="str">
        <f>All!B2</f>
        <v>서울기상청</v>
      </c>
      <c r="C2" s="70" t="s">
        <v>337</v>
      </c>
    </row>
    <row r="3" spans="2:16" ht="17.25" thickBot="1">
      <c r="I3" s="197"/>
      <c r="J3" s="197"/>
      <c r="K3" s="197"/>
    </row>
    <row r="4" spans="2:16" ht="29.25" customHeight="1">
      <c r="B4" s="266"/>
      <c r="C4" s="388" t="s">
        <v>7</v>
      </c>
      <c r="D4" s="389" t="s">
        <v>8</v>
      </c>
      <c r="E4" s="389" t="s">
        <v>9</v>
      </c>
      <c r="F4" s="389" t="s">
        <v>10</v>
      </c>
      <c r="G4" s="389" t="s">
        <v>11</v>
      </c>
      <c r="H4" s="389" t="s">
        <v>12</v>
      </c>
      <c r="I4" s="389" t="s">
        <v>13</v>
      </c>
      <c r="J4" s="389" t="s">
        <v>14</v>
      </c>
      <c r="K4" s="389" t="s">
        <v>15</v>
      </c>
      <c r="L4" s="389" t="s">
        <v>16</v>
      </c>
      <c r="M4" s="389" t="s">
        <v>17</v>
      </c>
      <c r="N4" s="390" t="s">
        <v>18</v>
      </c>
      <c r="O4" s="392" t="s">
        <v>19</v>
      </c>
      <c r="P4" s="390" t="s">
        <v>20</v>
      </c>
    </row>
    <row r="5" spans="2:16" ht="22.15" customHeight="1">
      <c r="B5" s="267">
        <f>All!B41</f>
        <v>2014</v>
      </c>
      <c r="C5" s="262">
        <f>All!C41</f>
        <v>13</v>
      </c>
      <c r="D5" s="250">
        <f>All!D41</f>
        <v>16.2</v>
      </c>
      <c r="E5" s="250">
        <f>All!E41</f>
        <v>7.2</v>
      </c>
      <c r="F5" s="250">
        <f>All!F41</f>
        <v>31</v>
      </c>
      <c r="G5" s="250">
        <f>All!G41</f>
        <v>63</v>
      </c>
      <c r="H5" s="250">
        <f>All!H41</f>
        <v>98.1</v>
      </c>
      <c r="I5" s="250">
        <f>All!I41</f>
        <v>207.9</v>
      </c>
      <c r="J5" s="250">
        <f>All!J41</f>
        <v>172.8</v>
      </c>
      <c r="K5" s="250">
        <f>All!K41</f>
        <v>88.1</v>
      </c>
      <c r="L5" s="250">
        <f>All!L41</f>
        <v>52.2</v>
      </c>
      <c r="M5" s="250">
        <f>All!M41</f>
        <v>41.5</v>
      </c>
      <c r="N5" s="251">
        <f>All!N41</f>
        <v>17.899999999999999</v>
      </c>
      <c r="O5" s="394">
        <f>All!O41</f>
        <v>808.9</v>
      </c>
      <c r="P5" s="251">
        <f>All!P41</f>
        <v>67.400000000000006</v>
      </c>
    </row>
    <row r="6" spans="2:16" ht="22.15" customHeight="1">
      <c r="B6" s="268">
        <f>All!B42</f>
        <v>2015</v>
      </c>
      <c r="C6" s="262">
        <f>All!C42</f>
        <v>11.3</v>
      </c>
      <c r="D6" s="250">
        <f>All!D42</f>
        <v>22.7</v>
      </c>
      <c r="E6" s="250">
        <f>All!E42</f>
        <v>9.6</v>
      </c>
      <c r="F6" s="250">
        <f>All!F42</f>
        <v>80.5</v>
      </c>
      <c r="G6" s="250">
        <f>All!G42</f>
        <v>28.9</v>
      </c>
      <c r="H6" s="250">
        <f>All!H42</f>
        <v>99</v>
      </c>
      <c r="I6" s="250">
        <f>All!I42</f>
        <v>226</v>
      </c>
      <c r="J6" s="250">
        <f>All!J42</f>
        <v>72.900000000000006</v>
      </c>
      <c r="K6" s="250">
        <f>All!K42</f>
        <v>26</v>
      </c>
      <c r="L6" s="250">
        <f>All!L42</f>
        <v>81.5</v>
      </c>
      <c r="M6" s="250">
        <f>All!M42</f>
        <v>104.6</v>
      </c>
      <c r="N6" s="251">
        <f>All!N42</f>
        <v>29.1</v>
      </c>
      <c r="O6" s="393">
        <f>All!O42</f>
        <v>792.1</v>
      </c>
      <c r="P6" s="251">
        <f>All!P42</f>
        <v>66</v>
      </c>
    </row>
    <row r="7" spans="2:16" ht="22.15" customHeight="1">
      <c r="B7" s="267">
        <f>All!B43</f>
        <v>2016</v>
      </c>
      <c r="C7" s="262">
        <f>All!C43</f>
        <v>1</v>
      </c>
      <c r="D7" s="250">
        <f>All!D43</f>
        <v>47.6</v>
      </c>
      <c r="E7" s="250">
        <f>All!E43</f>
        <v>40.5</v>
      </c>
      <c r="F7" s="250">
        <f>All!F43</f>
        <v>76.8</v>
      </c>
      <c r="G7" s="250">
        <f>All!G43</f>
        <v>160.5</v>
      </c>
      <c r="H7" s="250">
        <f>All!H43</f>
        <v>54.4</v>
      </c>
      <c r="I7" s="250">
        <f>All!I43</f>
        <v>358.2</v>
      </c>
      <c r="J7" s="250">
        <f>All!J43</f>
        <v>67.099999999999994</v>
      </c>
      <c r="K7" s="250">
        <f>All!K43</f>
        <v>33</v>
      </c>
      <c r="L7" s="250">
        <f>All!L43</f>
        <v>74.8</v>
      </c>
      <c r="M7" s="250">
        <f>All!M43</f>
        <v>16.7</v>
      </c>
      <c r="N7" s="251">
        <f>All!N43</f>
        <v>61.1</v>
      </c>
      <c r="O7" s="394">
        <f>All!O43</f>
        <v>991.7</v>
      </c>
      <c r="P7" s="251">
        <f>All!P43</f>
        <v>82.6</v>
      </c>
    </row>
    <row r="8" spans="2:16" ht="22.15" customHeight="1">
      <c r="B8" s="267">
        <f>All!B44</f>
        <v>2017</v>
      </c>
      <c r="C8" s="262">
        <f>All!C44</f>
        <v>14.9</v>
      </c>
      <c r="D8" s="250">
        <f>All!D44</f>
        <v>11.1</v>
      </c>
      <c r="E8" s="250">
        <f>All!E44</f>
        <v>7.9</v>
      </c>
      <c r="F8" s="250">
        <f>All!F44</f>
        <v>61.6</v>
      </c>
      <c r="G8" s="250">
        <f>All!G44</f>
        <v>16.100000000000001</v>
      </c>
      <c r="H8" s="250">
        <f>All!H44</f>
        <v>66.599999999999994</v>
      </c>
      <c r="I8" s="250">
        <f>All!I44</f>
        <v>621</v>
      </c>
      <c r="J8" s="250">
        <f>All!J44</f>
        <v>297</v>
      </c>
      <c r="K8" s="250">
        <f>All!K44</f>
        <v>35</v>
      </c>
      <c r="L8" s="250">
        <f>All!L44</f>
        <v>26.5</v>
      </c>
      <c r="M8" s="250">
        <f>All!M44</f>
        <v>40.700000000000003</v>
      </c>
      <c r="N8" s="251">
        <f>All!N44</f>
        <v>34.799999999999997</v>
      </c>
      <c r="O8" s="394">
        <f>All!O44</f>
        <v>1233.2</v>
      </c>
      <c r="P8" s="251">
        <f>All!P44</f>
        <v>102.8</v>
      </c>
    </row>
    <row r="9" spans="2:16" ht="22.15" customHeight="1">
      <c r="B9" s="267">
        <f>All!B45</f>
        <v>2018</v>
      </c>
      <c r="C9" s="262">
        <f>All!C45</f>
        <v>8.5</v>
      </c>
      <c r="D9" s="250">
        <f>All!D45</f>
        <v>29.6</v>
      </c>
      <c r="E9" s="250">
        <f>All!E45</f>
        <v>49.5</v>
      </c>
      <c r="F9" s="250">
        <f>All!F45</f>
        <v>130.30000000000001</v>
      </c>
      <c r="G9" s="250">
        <f>All!G45</f>
        <v>222</v>
      </c>
      <c r="H9" s="250">
        <f>All!H45</f>
        <v>171.5</v>
      </c>
      <c r="I9" s="250">
        <f>All!I45</f>
        <v>185.6</v>
      </c>
      <c r="J9" s="250">
        <f>All!J45</f>
        <v>202.6</v>
      </c>
      <c r="K9" s="250">
        <f>All!K45</f>
        <v>68.5</v>
      </c>
      <c r="L9" s="250">
        <f>All!L45</f>
        <v>120.5</v>
      </c>
      <c r="M9" s="250">
        <f>All!M45</f>
        <v>79.099999999999994</v>
      </c>
      <c r="N9" s="251">
        <f>All!N45</f>
        <v>16.399999999999999</v>
      </c>
      <c r="O9" s="394">
        <f>All!O45</f>
        <v>1284.0999999999999</v>
      </c>
      <c r="P9" s="251">
        <f>All!P45</f>
        <v>107</v>
      </c>
    </row>
    <row r="10" spans="2:16" ht="22.15" customHeight="1">
      <c r="B10" s="267">
        <f>All!B46</f>
        <v>2019</v>
      </c>
      <c r="C10" s="262">
        <f>All!C46</f>
        <v>0</v>
      </c>
      <c r="D10" s="250">
        <f>All!D46</f>
        <v>23.8</v>
      </c>
      <c r="E10" s="250">
        <f>All!E46</f>
        <v>26.8</v>
      </c>
      <c r="F10" s="250">
        <f>All!F46</f>
        <v>47.3</v>
      </c>
      <c r="G10" s="250">
        <f>All!G46</f>
        <v>37.799999999999997</v>
      </c>
      <c r="H10" s="250">
        <f>All!H46</f>
        <v>74</v>
      </c>
      <c r="I10" s="250">
        <f>All!I46</f>
        <v>194.4</v>
      </c>
      <c r="J10" s="250">
        <f>All!J46</f>
        <v>190.5</v>
      </c>
      <c r="K10" s="250">
        <f>All!K46</f>
        <v>139.80000000000001</v>
      </c>
      <c r="L10" s="250">
        <f>All!L46</f>
        <v>55.5</v>
      </c>
      <c r="M10" s="250">
        <f>All!M46</f>
        <v>78.8</v>
      </c>
      <c r="N10" s="251">
        <f>All!N46</f>
        <v>22.6</v>
      </c>
      <c r="O10" s="394">
        <f>All!O46</f>
        <v>891.3</v>
      </c>
      <c r="P10" s="251">
        <f>All!P46</f>
        <v>74.3</v>
      </c>
    </row>
    <row r="11" spans="2:16" ht="22.15" customHeight="1">
      <c r="B11" s="267">
        <f>All!B47</f>
        <v>2020</v>
      </c>
      <c r="C11" s="262">
        <f>All!C47</f>
        <v>60.5</v>
      </c>
      <c r="D11" s="250">
        <f>All!D47</f>
        <v>53.1</v>
      </c>
      <c r="E11" s="250">
        <f>All!E47</f>
        <v>16.3</v>
      </c>
      <c r="F11" s="250">
        <f>All!F47</f>
        <v>16.899999999999999</v>
      </c>
      <c r="G11" s="250">
        <f>All!G47</f>
        <v>112.4</v>
      </c>
      <c r="H11" s="250">
        <f>All!H47</f>
        <v>139.6</v>
      </c>
      <c r="I11" s="250">
        <f>All!I47</f>
        <v>270.39999999999998</v>
      </c>
      <c r="J11" s="250">
        <f>All!J47</f>
        <v>675.7</v>
      </c>
      <c r="K11" s="250">
        <f>All!K47</f>
        <v>181.5</v>
      </c>
      <c r="L11" s="250">
        <f>All!L47</f>
        <v>0</v>
      </c>
      <c r="M11" s="250">
        <f>All!M47</f>
        <v>120.1</v>
      </c>
      <c r="N11" s="251">
        <f>All!N47</f>
        <v>4.5999999999999996</v>
      </c>
      <c r="O11" s="394">
        <f>All!O47</f>
        <v>1651.1</v>
      </c>
      <c r="P11" s="251">
        <f>All!P47</f>
        <v>137.6</v>
      </c>
    </row>
    <row r="12" spans="2:16" ht="22.15" customHeight="1">
      <c r="B12" s="267">
        <f>All!B48</f>
        <v>2021</v>
      </c>
      <c r="C12" s="262">
        <f>All!C48</f>
        <v>18.899999999999999</v>
      </c>
      <c r="D12" s="250">
        <f>All!D48</f>
        <v>7.1</v>
      </c>
      <c r="E12" s="250">
        <f>All!E48</f>
        <v>110.9</v>
      </c>
      <c r="F12" s="250">
        <f>All!F48</f>
        <v>124.1</v>
      </c>
      <c r="G12" s="250">
        <f>All!G48</f>
        <v>183.1</v>
      </c>
      <c r="H12" s="250">
        <f>All!H48</f>
        <v>104.6</v>
      </c>
      <c r="I12" s="250">
        <f>All!I48</f>
        <v>168.3</v>
      </c>
      <c r="J12" s="250">
        <f>All!J48</f>
        <v>211.2</v>
      </c>
      <c r="K12" s="250">
        <f>All!K48</f>
        <v>131</v>
      </c>
      <c r="L12" s="250">
        <f>All!L48</f>
        <v>57</v>
      </c>
      <c r="M12" s="250">
        <f>All!M48</f>
        <v>62.4</v>
      </c>
      <c r="N12" s="251">
        <f>All!N48</f>
        <v>7.9</v>
      </c>
      <c r="O12" s="394">
        <f>All!O48</f>
        <v>1186.5</v>
      </c>
      <c r="P12" s="251">
        <f>All!P48</f>
        <v>98.9</v>
      </c>
    </row>
    <row r="13" spans="2:16" ht="22.15" customHeight="1">
      <c r="B13" s="267">
        <f>All!B49</f>
        <v>2022</v>
      </c>
      <c r="C13" s="262">
        <f>All!C49</f>
        <v>5.5</v>
      </c>
      <c r="D13" s="250">
        <f>All!D49</f>
        <v>4.7</v>
      </c>
      <c r="E13" s="250">
        <f>All!E49</f>
        <v>102.6</v>
      </c>
      <c r="F13" s="250">
        <f>All!F49</f>
        <v>20.399999999999999</v>
      </c>
      <c r="G13" s="250">
        <f>All!G49</f>
        <v>7.5</v>
      </c>
      <c r="H13" s="250">
        <f>All!H49</f>
        <v>393.8</v>
      </c>
      <c r="I13" s="250">
        <f>All!I49</f>
        <v>252.3</v>
      </c>
      <c r="J13" s="250">
        <f>All!J49</f>
        <v>564.79999999999995</v>
      </c>
      <c r="K13" s="250">
        <f>All!K49</f>
        <v>201.5</v>
      </c>
      <c r="L13" s="250">
        <f>All!L49</f>
        <v>124.1</v>
      </c>
      <c r="M13" s="250">
        <f>All!M49</f>
        <v>84.5</v>
      </c>
      <c r="N13" s="251">
        <f>All!N49</f>
        <v>13.6</v>
      </c>
      <c r="O13" s="394">
        <f>All!O49</f>
        <v>1775.3</v>
      </c>
      <c r="P13" s="251">
        <f>All!P49</f>
        <v>147.9</v>
      </c>
    </row>
    <row r="14" spans="2:16" ht="22.15" customHeight="1" thickBot="1">
      <c r="B14" s="466">
        <f>All!B50</f>
        <v>2023</v>
      </c>
      <c r="C14" s="263">
        <f>All!C50</f>
        <v>47.9</v>
      </c>
      <c r="D14" s="252">
        <f>All!D50</f>
        <v>1</v>
      </c>
      <c r="E14" s="252">
        <f>All!E50</f>
        <v>10.5</v>
      </c>
      <c r="F14" s="252">
        <f>All!F50</f>
        <v>96.9</v>
      </c>
      <c r="G14" s="252">
        <f>All!G50</f>
        <v>155.6</v>
      </c>
      <c r="H14" s="252">
        <f>All!H50</f>
        <v>195.6</v>
      </c>
      <c r="I14" s="252">
        <f>All!I50</f>
        <v>459.9</v>
      </c>
      <c r="J14" s="252">
        <f>All!J50</f>
        <v>298.10000000000002</v>
      </c>
      <c r="K14" s="252">
        <f>All!K50</f>
        <v>134.5</v>
      </c>
      <c r="L14" s="252">
        <f>All!L50</f>
        <v>31</v>
      </c>
      <c r="M14" s="252">
        <f>All!M50</f>
        <v>81.900000000000006</v>
      </c>
      <c r="N14" s="253">
        <f>All!N50</f>
        <v>85.9</v>
      </c>
      <c r="O14" s="397">
        <f>All!O50</f>
        <v>1598.8</v>
      </c>
      <c r="P14" s="253">
        <f>All!P50</f>
        <v>133.19999999999999</v>
      </c>
    </row>
    <row r="15" spans="2:16" ht="22.15" customHeight="1">
      <c r="B15" s="270" t="s">
        <v>21</v>
      </c>
      <c r="C15" s="264">
        <f>All!C51</f>
        <v>60.5</v>
      </c>
      <c r="D15" s="254">
        <f>All!D51</f>
        <v>53.1</v>
      </c>
      <c r="E15" s="254">
        <f>All!E51</f>
        <v>110.9</v>
      </c>
      <c r="F15" s="254">
        <f>All!F51</f>
        <v>130.30000000000001</v>
      </c>
      <c r="G15" s="254">
        <f>All!G51</f>
        <v>222</v>
      </c>
      <c r="H15" s="254">
        <f>All!H51</f>
        <v>393.8</v>
      </c>
      <c r="I15" s="254">
        <f>All!I51</f>
        <v>621</v>
      </c>
      <c r="J15" s="254">
        <f>All!J51</f>
        <v>675.7</v>
      </c>
      <c r="K15" s="254">
        <f>All!K51</f>
        <v>201.5</v>
      </c>
      <c r="L15" s="254">
        <f>All!L51</f>
        <v>124.1</v>
      </c>
      <c r="M15" s="254">
        <f>All!M51</f>
        <v>120.1</v>
      </c>
      <c r="N15" s="255">
        <f>All!N51</f>
        <v>85.9</v>
      </c>
      <c r="O15" s="395">
        <f>All!O51</f>
        <v>1775.3</v>
      </c>
      <c r="P15" s="255">
        <f>All!P51</f>
        <v>147.9</v>
      </c>
    </row>
    <row r="16" spans="2:16" ht="22.15" customHeight="1">
      <c r="B16" s="267" t="s">
        <v>22</v>
      </c>
      <c r="C16" s="262">
        <f>All!C52</f>
        <v>0</v>
      </c>
      <c r="D16" s="250">
        <f>All!D52</f>
        <v>1</v>
      </c>
      <c r="E16" s="250">
        <f>All!E52</f>
        <v>7.2</v>
      </c>
      <c r="F16" s="250">
        <f>All!F52</f>
        <v>16.899999999999999</v>
      </c>
      <c r="G16" s="250">
        <f>All!G52</f>
        <v>7.5</v>
      </c>
      <c r="H16" s="250">
        <f>All!H52</f>
        <v>54.4</v>
      </c>
      <c r="I16" s="250">
        <f>All!I52</f>
        <v>168.3</v>
      </c>
      <c r="J16" s="250">
        <f>All!J52</f>
        <v>67.099999999999994</v>
      </c>
      <c r="K16" s="250">
        <f>All!K52</f>
        <v>26</v>
      </c>
      <c r="L16" s="250">
        <f>All!L52</f>
        <v>0</v>
      </c>
      <c r="M16" s="250">
        <f>All!M52</f>
        <v>16.7</v>
      </c>
      <c r="N16" s="251">
        <f>All!N52</f>
        <v>4.5999999999999996</v>
      </c>
      <c r="O16" s="396">
        <f>All!O52</f>
        <v>792.1</v>
      </c>
      <c r="P16" s="251">
        <f>All!P52</f>
        <v>66</v>
      </c>
    </row>
    <row r="17" spans="1:16" ht="22.15" customHeight="1" thickBot="1">
      <c r="B17" s="269" t="s">
        <v>20</v>
      </c>
      <c r="C17" s="263">
        <f>All!C53</f>
        <v>18.2</v>
      </c>
      <c r="D17" s="252">
        <f>All!D53</f>
        <v>21.7</v>
      </c>
      <c r="E17" s="259">
        <f>All!E53</f>
        <v>38.200000000000003</v>
      </c>
      <c r="F17" s="252">
        <f>All!F53</f>
        <v>68.599999999999994</v>
      </c>
      <c r="G17" s="260">
        <f>All!G53</f>
        <v>98.7</v>
      </c>
      <c r="H17" s="260">
        <f>All!H53</f>
        <v>139.69999999999999</v>
      </c>
      <c r="I17" s="260">
        <f>All!I53</f>
        <v>294.39999999999998</v>
      </c>
      <c r="J17" s="260">
        <f>All!J53</f>
        <v>275.3</v>
      </c>
      <c r="K17" s="260">
        <f>All!K53</f>
        <v>103.9</v>
      </c>
      <c r="L17" s="252">
        <f>All!L53</f>
        <v>62.3</v>
      </c>
      <c r="M17" s="252">
        <f>All!M53</f>
        <v>71</v>
      </c>
      <c r="N17" s="253">
        <f>All!N53</f>
        <v>29.4</v>
      </c>
      <c r="O17" s="397">
        <f>All!O53</f>
        <v>1221.3</v>
      </c>
      <c r="P17" s="261">
        <f>All!P53</f>
        <v>101.8</v>
      </c>
    </row>
    <row r="18" spans="1:16" ht="29.25" customHeight="1" thickBot="1">
      <c r="B18" s="91" t="s">
        <v>23</v>
      </c>
      <c r="C18" s="265">
        <f>All!C37</f>
        <v>18.2</v>
      </c>
      <c r="D18" s="256">
        <f>All!D37</f>
        <v>23.8</v>
      </c>
      <c r="E18" s="256">
        <f>All!E37</f>
        <v>40.799999999999997</v>
      </c>
      <c r="F18" s="256">
        <f>All!F37</f>
        <v>73.900000000000006</v>
      </c>
      <c r="G18" s="256">
        <f>All!G37</f>
        <v>102.7</v>
      </c>
      <c r="H18" s="256">
        <f>All!H37</f>
        <v>140</v>
      </c>
      <c r="I18" s="257">
        <f>All!I37</f>
        <v>404.4</v>
      </c>
      <c r="J18" s="257">
        <f>All!J37</f>
        <v>361.2</v>
      </c>
      <c r="K18" s="257">
        <f>All!K37</f>
        <v>143.80000000000001</v>
      </c>
      <c r="L18" s="257">
        <f>All!L37</f>
        <v>56.7</v>
      </c>
      <c r="M18" s="257">
        <f>All!M37</f>
        <v>52.3</v>
      </c>
      <c r="N18" s="258">
        <f>All!N37</f>
        <v>22</v>
      </c>
      <c r="O18" s="399">
        <f>All!O37</f>
        <v>1439.8</v>
      </c>
      <c r="P18" s="258">
        <f>All!P37</f>
        <v>120</v>
      </c>
    </row>
    <row r="19" spans="1:16" ht="22.15" customHeight="1" thickBot="1"/>
    <row r="20" spans="1:16">
      <c r="B20" s="271" t="s">
        <v>24</v>
      </c>
      <c r="C20" s="125"/>
      <c r="D20" s="128">
        <f>SUM(G17:K17)</f>
        <v>911.99999999999989</v>
      </c>
      <c r="F20" s="92"/>
    </row>
    <row r="21" spans="1:16">
      <c r="B21" s="272" t="s">
        <v>163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244" t="s">
        <v>184</v>
      </c>
      <c r="D23" s="244" t="s">
        <v>185</v>
      </c>
      <c r="E23" s="244" t="s">
        <v>186</v>
      </c>
    </row>
    <row r="24" spans="1:16" ht="21.95" customHeight="1">
      <c r="B24" s="245" t="s">
        <v>93</v>
      </c>
      <c r="C24" s="295">
        <f>O16</f>
        <v>792.1</v>
      </c>
      <c r="D24" s="296"/>
      <c r="E24" s="297"/>
      <c r="H24" s="274" t="s">
        <v>181</v>
      </c>
      <c r="I24" s="691" t="s">
        <v>628</v>
      </c>
      <c r="J24" s="692"/>
      <c r="K24" s="403">
        <f>INDEX(Location[recharge], MATCH(I24,Location[name],0))</f>
        <v>0.155</v>
      </c>
      <c r="L24" s="404">
        <f>INDEX(Location[ratio], MATCH(I24,Location[name],0))</f>
        <v>0.69599999999999995</v>
      </c>
    </row>
    <row r="25" spans="1:16" ht="21.95" customHeight="1">
      <c r="B25" s="246" t="s">
        <v>25</v>
      </c>
      <c r="C25" s="298">
        <f>O18</f>
        <v>1439.8</v>
      </c>
      <c r="D25" s="299"/>
      <c r="E25" s="300"/>
      <c r="H25" s="274" t="s">
        <v>182</v>
      </c>
      <c r="I25" s="693" t="s">
        <v>191</v>
      </c>
      <c r="J25" s="694"/>
      <c r="K25" s="401">
        <f>INDEX(Location[recharge], MATCH(I25,Location[name],0))</f>
        <v>0.152</v>
      </c>
      <c r="L25" s="402">
        <f>INDEX(Location[ratio], MATCH(I25,Location[name],0))</f>
        <v>0.68100000000000005</v>
      </c>
    </row>
    <row r="26" spans="1:16" ht="21.95" customHeight="1" thickBot="1">
      <c r="B26" s="247" t="s">
        <v>162</v>
      </c>
      <c r="C26" s="301">
        <f>L24</f>
        <v>0.69599999999999995</v>
      </c>
      <c r="D26" s="302">
        <f>L25</f>
        <v>0.68100000000000005</v>
      </c>
      <c r="E26" s="303">
        <f>L26</f>
        <v>0.72</v>
      </c>
      <c r="H26" s="274" t="s">
        <v>183</v>
      </c>
      <c r="I26" s="695" t="s">
        <v>244</v>
      </c>
      <c r="J26" s="696"/>
      <c r="K26" s="405">
        <f>INDEX(Location[recharge], MATCH(I26,Location[name],0))</f>
        <v>0.17100000000000001</v>
      </c>
      <c r="L26" s="406">
        <f>INDEX(Location[ratio], MATCH(I26,Location[name],0))</f>
        <v>0.72</v>
      </c>
    </row>
    <row r="27" spans="1:16" ht="21.95" customHeight="1">
      <c r="B27" s="246" t="s">
        <v>26</v>
      </c>
      <c r="C27" s="304">
        <f>Well!P4</f>
        <v>3778182</v>
      </c>
      <c r="D27" s="299"/>
      <c r="E27" s="305"/>
    </row>
    <row r="28" spans="1:16" ht="21.95" customHeight="1" thickBot="1">
      <c r="B28" s="248" t="s">
        <v>27</v>
      </c>
      <c r="C28" s="306">
        <f>K24</f>
        <v>0.155</v>
      </c>
      <c r="D28" s="307">
        <f>K25</f>
        <v>0.152</v>
      </c>
      <c r="E28" s="308">
        <f>K26</f>
        <v>0.17100000000000001</v>
      </c>
    </row>
    <row r="29" spans="1:16" ht="17.25" thickBot="1">
      <c r="E29" s="93"/>
    </row>
    <row r="30" spans="1:16" ht="22.15" customHeight="1" thickBot="1">
      <c r="B30" s="249" t="s">
        <v>164</v>
      </c>
      <c r="C30" s="123">
        <f>max*rf_1/10</f>
        <v>22.316899999999997</v>
      </c>
      <c r="D30" s="123">
        <f>max*rf_2/10</f>
        <v>21.88496</v>
      </c>
      <c r="E30" s="124">
        <f>max*rf_3/10</f>
        <v>24.62058</v>
      </c>
    </row>
    <row r="31" spans="1:16" ht="22.15" customHeight="1">
      <c r="E31" s="93"/>
      <c r="I31" s="340" t="s">
        <v>348</v>
      </c>
    </row>
    <row r="32" spans="1:16" ht="17.25" customHeight="1">
      <c r="A32" s="273" t="s">
        <v>165</v>
      </c>
      <c r="B32" s="197"/>
      <c r="C32" s="197"/>
      <c r="D32" s="197"/>
    </row>
    <row r="33" spans="1:6" ht="17.25" customHeight="1">
      <c r="A33" s="273" t="s">
        <v>166</v>
      </c>
    </row>
    <row r="34" spans="1:6" ht="17.25" customHeight="1">
      <c r="C34" s="197"/>
      <c r="D34" s="197"/>
    </row>
    <row r="35" spans="1:6" ht="17.25" customHeight="1"/>
    <row r="3864" spans="15:15" s="339" customFormat="1" ht="17.25">
      <c r="O3864" s="398"/>
    </row>
    <row r="4150" spans="2430:2430">
      <c r="COL4150" s="19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6" t="s">
        <v>328</v>
      </c>
    </row>
    <row r="19" spans="1:7">
      <c r="A19" s="30" t="s">
        <v>369</v>
      </c>
      <c r="D19" s="30" t="s">
        <v>592</v>
      </c>
      <c r="G19" s="343" t="s">
        <v>350</v>
      </c>
    </row>
    <row r="20" spans="1:7">
      <c r="A20" s="30" t="s">
        <v>362</v>
      </c>
      <c r="D20" s="30">
        <v>150</v>
      </c>
      <c r="G20" s="343" t="s">
        <v>351</v>
      </c>
    </row>
    <row r="21" spans="1:7">
      <c r="A21" s="30" t="s">
        <v>363</v>
      </c>
      <c r="D21" s="30">
        <v>200</v>
      </c>
      <c r="G21" s="343" t="s">
        <v>352</v>
      </c>
    </row>
    <row r="22" spans="1:7">
      <c r="A22" s="30" t="s">
        <v>364</v>
      </c>
      <c r="D22" s="30">
        <v>250</v>
      </c>
      <c r="G22" s="343" t="s">
        <v>353</v>
      </c>
    </row>
    <row r="23" spans="1:7">
      <c r="A23" s="30" t="s">
        <v>365</v>
      </c>
      <c r="G23" s="343" t="s">
        <v>354</v>
      </c>
    </row>
    <row r="24" spans="1:7">
      <c r="A24" s="30" t="s">
        <v>366</v>
      </c>
      <c r="G24" s="343" t="s">
        <v>355</v>
      </c>
    </row>
    <row r="25" spans="1:7">
      <c r="A25" s="30" t="s">
        <v>367</v>
      </c>
      <c r="G25" s="343" t="s">
        <v>356</v>
      </c>
    </row>
    <row r="26" spans="1:7">
      <c r="A26" s="30" t="s">
        <v>368</v>
      </c>
      <c r="G26" s="343" t="s">
        <v>357</v>
      </c>
    </row>
    <row r="27" spans="1:7">
      <c r="G27" s="343" t="s">
        <v>358</v>
      </c>
    </row>
    <row r="28" spans="1:7">
      <c r="G28" s="343" t="s">
        <v>359</v>
      </c>
    </row>
    <row r="29" spans="1:7">
      <c r="G29" s="343" t="s">
        <v>360</v>
      </c>
    </row>
    <row r="30" spans="1:7">
      <c r="G30" s="343" t="s">
        <v>361</v>
      </c>
    </row>
    <row r="31" spans="1:7">
      <c r="G31" s="432" t="s">
        <v>613</v>
      </c>
    </row>
    <row r="32" spans="1:7">
      <c r="G32" s="343" t="s">
        <v>626</v>
      </c>
    </row>
    <row r="33" spans="7:7">
      <c r="G33" s="343" t="s">
        <v>630</v>
      </c>
    </row>
    <row r="34" spans="7:7">
      <c r="G34" s="343" t="s">
        <v>643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10" t="s">
        <v>283</v>
      </c>
      <c r="D4" s="411" t="s">
        <v>260</v>
      </c>
      <c r="E4" s="411" t="s">
        <v>284</v>
      </c>
      <c r="F4" s="412" t="s">
        <v>289</v>
      </c>
      <c r="G4" s="411" t="s">
        <v>275</v>
      </c>
      <c r="H4" s="411" t="s">
        <v>285</v>
      </c>
      <c r="I4" s="411" t="s">
        <v>286</v>
      </c>
      <c r="J4" s="411" t="s">
        <v>287</v>
      </c>
      <c r="K4" s="413" t="s">
        <v>288</v>
      </c>
    </row>
    <row r="5" spans="3:11" ht="97.5" customHeight="1">
      <c r="C5" s="157" t="s">
        <v>226</v>
      </c>
      <c r="D5" s="190" t="s">
        <v>291</v>
      </c>
      <c r="E5" s="190" t="s">
        <v>292</v>
      </c>
      <c r="F5" s="190" t="s">
        <v>293</v>
      </c>
      <c r="G5" s="190" t="s">
        <v>681</v>
      </c>
      <c r="H5" s="190" t="s">
        <v>682</v>
      </c>
      <c r="I5" s="190" t="s">
        <v>683</v>
      </c>
      <c r="J5" s="190" t="s">
        <v>684</v>
      </c>
      <c r="K5" s="191" t="s">
        <v>685</v>
      </c>
    </row>
    <row r="6" spans="3:11" ht="97.5" customHeight="1">
      <c r="C6" s="157" t="s">
        <v>227</v>
      </c>
      <c r="D6" s="190" t="s">
        <v>291</v>
      </c>
      <c r="E6" s="190" t="s">
        <v>292</v>
      </c>
      <c r="F6" s="190" t="s">
        <v>293</v>
      </c>
      <c r="G6" s="190" t="s">
        <v>681</v>
      </c>
      <c r="H6" s="190" t="s">
        <v>682</v>
      </c>
      <c r="I6" s="190" t="s">
        <v>683</v>
      </c>
      <c r="J6" s="190" t="s">
        <v>684</v>
      </c>
      <c r="K6" s="191" t="s">
        <v>685</v>
      </c>
    </row>
    <row r="7" spans="3:11" ht="97.5" customHeight="1">
      <c r="C7" s="157" t="s">
        <v>228</v>
      </c>
      <c r="D7" s="190" t="s">
        <v>291</v>
      </c>
      <c r="E7" s="190" t="s">
        <v>292</v>
      </c>
      <c r="F7" s="190" t="s">
        <v>293</v>
      </c>
      <c r="G7" s="190" t="s">
        <v>681</v>
      </c>
      <c r="H7" s="190" t="s">
        <v>682</v>
      </c>
      <c r="I7" s="190" t="s">
        <v>683</v>
      </c>
      <c r="J7" s="190" t="s">
        <v>684</v>
      </c>
      <c r="K7" s="191" t="s">
        <v>685</v>
      </c>
    </row>
    <row r="8" spans="3:11" ht="97.5" customHeight="1">
      <c r="C8" s="157" t="s">
        <v>332</v>
      </c>
      <c r="D8" s="190" t="s">
        <v>291</v>
      </c>
      <c r="E8" s="190" t="s">
        <v>292</v>
      </c>
      <c r="F8" s="190" t="s">
        <v>293</v>
      </c>
      <c r="G8" s="190" t="s">
        <v>681</v>
      </c>
      <c r="H8" s="190" t="s">
        <v>682</v>
      </c>
      <c r="I8" s="190" t="s">
        <v>683</v>
      </c>
      <c r="J8" s="190" t="s">
        <v>684</v>
      </c>
      <c r="K8" s="191" t="s">
        <v>685</v>
      </c>
    </row>
    <row r="9" spans="3:11" ht="97.5" customHeight="1">
      <c r="C9" s="157" t="s">
        <v>333</v>
      </c>
      <c r="D9" s="190" t="s">
        <v>291</v>
      </c>
      <c r="E9" s="190" t="s">
        <v>292</v>
      </c>
      <c r="F9" s="190" t="s">
        <v>293</v>
      </c>
      <c r="G9" s="190" t="s">
        <v>681</v>
      </c>
      <c r="H9" s="190" t="s">
        <v>682</v>
      </c>
      <c r="I9" s="190" t="s">
        <v>683</v>
      </c>
      <c r="J9" s="190" t="s">
        <v>684</v>
      </c>
      <c r="K9" s="191" t="s">
        <v>685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tabSelected="1" workbookViewId="0">
      <selection activeCell="S2" sqref="S2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264</v>
      </c>
      <c r="B4" s="429" t="s">
        <v>303</v>
      </c>
      <c r="C4" s="429" t="s">
        <v>304</v>
      </c>
      <c r="D4" s="429" t="s">
        <v>313</v>
      </c>
      <c r="E4" s="429" t="s">
        <v>321</v>
      </c>
      <c r="F4" s="429" t="s">
        <v>320</v>
      </c>
      <c r="G4" s="429" t="s">
        <v>305</v>
      </c>
      <c r="H4" s="171" t="s">
        <v>295</v>
      </c>
      <c r="I4" s="429" t="s">
        <v>306</v>
      </c>
      <c r="J4" s="429" t="s">
        <v>307</v>
      </c>
      <c r="K4" s="429" t="s">
        <v>311</v>
      </c>
      <c r="L4" s="429" t="s">
        <v>310</v>
      </c>
      <c r="M4" s="429" t="s">
        <v>308</v>
      </c>
      <c r="N4" s="429" t="s">
        <v>301</v>
      </c>
      <c r="O4" s="171" t="s">
        <v>296</v>
      </c>
      <c r="P4" s="171" t="s">
        <v>297</v>
      </c>
      <c r="Q4" s="429" t="s">
        <v>309</v>
      </c>
      <c r="R4" s="429" t="s">
        <v>314</v>
      </c>
      <c r="S4" s="429" t="s">
        <v>315</v>
      </c>
      <c r="T4" s="171" t="s">
        <v>300</v>
      </c>
      <c r="U4" s="429" t="s">
        <v>312</v>
      </c>
      <c r="V4" s="171" t="s">
        <v>298</v>
      </c>
      <c r="W4" s="171" t="s">
        <v>299</v>
      </c>
      <c r="X4" s="171" t="s">
        <v>302</v>
      </c>
      <c r="Y4" s="429" t="s">
        <v>318</v>
      </c>
      <c r="Z4" s="429" t="s">
        <v>319</v>
      </c>
      <c r="AA4" s="429" t="s">
        <v>326</v>
      </c>
      <c r="AB4" s="429" t="s">
        <v>327</v>
      </c>
      <c r="AC4" s="429" t="s">
        <v>322</v>
      </c>
      <c r="AD4" s="429" t="s">
        <v>316</v>
      </c>
      <c r="AE4" s="429" t="s">
        <v>317</v>
      </c>
      <c r="AF4" s="429" t="s">
        <v>323</v>
      </c>
      <c r="AG4" s="171" t="s">
        <v>324</v>
      </c>
      <c r="AH4" s="171" t="s">
        <v>325</v>
      </c>
      <c r="AI4" s="171" t="s">
        <v>606</v>
      </c>
      <c r="AJ4" s="171" t="s">
        <v>605</v>
      </c>
      <c r="AK4" s="171" t="s">
        <v>607</v>
      </c>
      <c r="AL4" s="171" t="s">
        <v>608</v>
      </c>
      <c r="AM4" s="171" t="s">
        <v>609</v>
      </c>
      <c r="AN4" s="163" t="s">
        <v>610</v>
      </c>
    </row>
    <row r="5" spans="1:40" ht="23.1" customHeight="1">
      <c r="A5" s="157" t="s">
        <v>85</v>
      </c>
      <c r="B5" s="186">
        <v>12.1</v>
      </c>
      <c r="C5" s="186">
        <v>21.89</v>
      </c>
      <c r="D5" s="194">
        <v>13.678180010966846</v>
      </c>
      <c r="E5" s="194">
        <v>8.2118199890331542</v>
      </c>
      <c r="F5" s="186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4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5">
        <v>6.0990000000000003E-4</v>
      </c>
      <c r="T5" s="186">
        <v>4.1279999999999997E-2</v>
      </c>
      <c r="U5" s="194">
        <v>0.375</v>
      </c>
      <c r="V5" s="194">
        <v>38.6</v>
      </c>
      <c r="W5" s="194">
        <v>47.3</v>
      </c>
      <c r="X5" s="194">
        <v>126.5</v>
      </c>
      <c r="Y5" s="193">
        <v>-2.7279330899366867</v>
      </c>
      <c r="Z5" s="193">
        <v>1.53</v>
      </c>
      <c r="AA5" s="663">
        <v>183</v>
      </c>
      <c r="AB5" s="194">
        <v>165.52486080186205</v>
      </c>
      <c r="AC5" s="194">
        <v>100</v>
      </c>
      <c r="AD5" s="194">
        <v>4.09</v>
      </c>
      <c r="AE5" s="194">
        <v>8.7100000000000009</v>
      </c>
      <c r="AF5" s="186">
        <v>8.0799999999999999E-5</v>
      </c>
      <c r="AG5" s="186">
        <v>3.2571299999999997E-2</v>
      </c>
      <c r="AH5" s="428">
        <v>0.90163934426229508</v>
      </c>
      <c r="AI5" s="193">
        <v>1.855</v>
      </c>
      <c r="AJ5" s="193">
        <v>5.0000000000000001E-4</v>
      </c>
      <c r="AK5" s="186" t="s">
        <v>265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154</v>
      </c>
      <c r="B6" s="186">
        <v>4.3600000000000003</v>
      </c>
      <c r="C6" s="186">
        <v>15.63</v>
      </c>
      <c r="D6" s="194">
        <v>5.9832476514898936</v>
      </c>
      <c r="E6" s="194">
        <v>9.6467523485101072</v>
      </c>
      <c r="F6" s="186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4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5">
        <v>6.0990000000000003E-4</v>
      </c>
      <c r="T6" s="186">
        <v>4.9860000000000002E-2</v>
      </c>
      <c r="U6" s="194">
        <v>0.54159999999999997</v>
      </c>
      <c r="V6" s="194">
        <v>54.7</v>
      </c>
      <c r="W6" s="194">
        <v>67</v>
      </c>
      <c r="X6" s="194">
        <v>167</v>
      </c>
      <c r="Y6" s="193">
        <v>-2.2735958369803471</v>
      </c>
      <c r="Z6" s="193">
        <v>0.97099999999999997</v>
      </c>
      <c r="AA6" s="663">
        <v>264</v>
      </c>
      <c r="AB6" s="194">
        <v>240.00558767518783</v>
      </c>
      <c r="AC6" s="194">
        <v>145</v>
      </c>
      <c r="AD6" s="194">
        <v>4.71</v>
      </c>
      <c r="AE6" s="194">
        <v>10.029999999999999</v>
      </c>
      <c r="AF6" s="186">
        <v>4.6E-5</v>
      </c>
      <c r="AG6" s="186">
        <v>2.5753600000000001E-2</v>
      </c>
      <c r="AH6" s="428">
        <v>0.90909090909090906</v>
      </c>
      <c r="AI6" s="193">
        <v>1.855</v>
      </c>
      <c r="AJ6" s="193">
        <v>5.0000000000000001E-4</v>
      </c>
      <c r="AK6" s="186" t="s">
        <v>265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155</v>
      </c>
      <c r="B7" s="186">
        <v>5.62</v>
      </c>
      <c r="C7" s="186">
        <v>23.54</v>
      </c>
      <c r="D7" s="194">
        <v>7.4010150979604576</v>
      </c>
      <c r="E7" s="194">
        <v>16.138984902039542</v>
      </c>
      <c r="F7" s="186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4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5">
        <v>6.0990000000000003E-4</v>
      </c>
      <c r="T7" s="186">
        <v>4.5870000000000001E-2</v>
      </c>
      <c r="U7" s="194">
        <v>0.54159999999999997</v>
      </c>
      <c r="V7" s="194">
        <v>66.2</v>
      </c>
      <c r="W7" s="194">
        <v>81.099999999999994</v>
      </c>
      <c r="X7" s="194">
        <v>144.19999999999999</v>
      </c>
      <c r="Y7" s="193">
        <v>-2.895423120336063</v>
      </c>
      <c r="Z7" s="193">
        <v>1.8089999999999999</v>
      </c>
      <c r="AA7" s="663">
        <v>264</v>
      </c>
      <c r="AB7" s="194">
        <v>239.90483558434025</v>
      </c>
      <c r="AC7" s="194">
        <v>145</v>
      </c>
      <c r="AD7" s="194">
        <v>7.49</v>
      </c>
      <c r="AE7" s="194">
        <v>15.94</v>
      </c>
      <c r="AF7" s="186">
        <v>7.2799999999999994E-5</v>
      </c>
      <c r="AG7" s="186">
        <v>4.0971100000000003E-2</v>
      </c>
      <c r="AH7" s="428">
        <v>0.90530303030303028</v>
      </c>
      <c r="AI7" s="193">
        <v>1.855</v>
      </c>
      <c r="AJ7" s="193">
        <v>5.0000000000000001E-4</v>
      </c>
      <c r="AK7" s="186" t="s">
        <v>265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652</v>
      </c>
      <c r="B8" s="186">
        <v>4.3600000000000003</v>
      </c>
      <c r="C8" s="186">
        <v>25.64</v>
      </c>
      <c r="D8" s="194">
        <v>6.2032927915584759</v>
      </c>
      <c r="E8" s="194">
        <v>19.436707208441526</v>
      </c>
      <c r="F8" s="186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4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5">
        <v>6.0990000000000003E-4</v>
      </c>
      <c r="T8" s="186">
        <v>5.3870000000000001E-2</v>
      </c>
      <c r="U8" s="194">
        <v>0.5</v>
      </c>
      <c r="V8" s="194">
        <v>75.099999999999994</v>
      </c>
      <c r="W8" s="194">
        <v>92</v>
      </c>
      <c r="X8" s="194">
        <v>133.69999999999999</v>
      </c>
      <c r="Y8" s="193">
        <v>-2.9717121228183792</v>
      </c>
      <c r="Z8" s="193">
        <v>1.9530000000000001</v>
      </c>
      <c r="AA8" s="663">
        <v>264</v>
      </c>
      <c r="AB8" s="194">
        <v>239.81429861700073</v>
      </c>
      <c r="AC8" s="194">
        <v>145</v>
      </c>
      <c r="AD8" s="194">
        <v>8.9</v>
      </c>
      <c r="AE8" s="194">
        <v>18.93</v>
      </c>
      <c r="AF8" s="186">
        <v>8.6199999999999995E-5</v>
      </c>
      <c r="AG8" s="186">
        <v>4.87333E-2</v>
      </c>
      <c r="AH8" s="428">
        <v>0.90530303030303028</v>
      </c>
      <c r="AI8" s="193">
        <v>1.855</v>
      </c>
      <c r="AJ8" s="193">
        <v>5.0000000000000001E-4</v>
      </c>
      <c r="AK8" s="186" t="s">
        <v>265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654</v>
      </c>
      <c r="B9" s="186">
        <v>6.5</v>
      </c>
      <c r="C9" s="186">
        <v>23.54</v>
      </c>
      <c r="D9" s="194">
        <v>8.2631689050146093</v>
      </c>
      <c r="E9" s="194">
        <v>15.27683109498539</v>
      </c>
      <c r="F9" s="186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4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5">
        <v>6.0990000000000003E-4</v>
      </c>
      <c r="T9" s="186">
        <v>4.4260000000000001E-2</v>
      </c>
      <c r="U9" s="194">
        <v>0.5</v>
      </c>
      <c r="V9" s="194">
        <v>60.9</v>
      </c>
      <c r="W9" s="194">
        <v>74.599999999999994</v>
      </c>
      <c r="X9" s="194">
        <v>138.5</v>
      </c>
      <c r="Y9" s="193">
        <v>-2.8962290126663195</v>
      </c>
      <c r="Z9" s="193">
        <v>1.8109999999999999</v>
      </c>
      <c r="AA9" s="663">
        <v>252</v>
      </c>
      <c r="AB9" s="194">
        <v>228.18418132598978</v>
      </c>
      <c r="AC9" s="194">
        <v>138</v>
      </c>
      <c r="AD9" s="194">
        <v>7.13</v>
      </c>
      <c r="AE9" s="194">
        <v>15.16</v>
      </c>
      <c r="AF9" s="186">
        <v>7.4599999999999997E-5</v>
      </c>
      <c r="AG9" s="186">
        <v>4.1117500000000001E-2</v>
      </c>
      <c r="AH9" s="428">
        <v>0.90476190476190477</v>
      </c>
      <c r="AI9" s="193">
        <v>1.855</v>
      </c>
      <c r="AJ9" s="193">
        <v>5.0000000000000001E-4</v>
      </c>
      <c r="AK9" s="186" t="s">
        <v>265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2"/>
    </row>
    <row r="5" spans="1:12" ht="20.100000000000001" customHeight="1" thickBot="1"/>
    <row r="6" spans="1:12" ht="20.100000000000001" customHeight="1">
      <c r="D6" s="323" t="s">
        <v>260</v>
      </c>
      <c r="E6" s="324" t="s">
        <v>342</v>
      </c>
      <c r="F6" s="324"/>
      <c r="G6" s="324" t="s">
        <v>343</v>
      </c>
      <c r="H6" s="324"/>
      <c r="I6" s="324" t="s">
        <v>344</v>
      </c>
      <c r="J6" s="324"/>
      <c r="K6" s="324" t="s">
        <v>345</v>
      </c>
      <c r="L6" s="325"/>
    </row>
    <row r="7" spans="1:12" ht="20.100000000000001" customHeight="1">
      <c r="D7" s="326" t="s">
        <v>346</v>
      </c>
      <c r="E7" s="327">
        <v>20</v>
      </c>
      <c r="F7" s="327">
        <v>89.65</v>
      </c>
      <c r="G7" s="327">
        <v>12</v>
      </c>
      <c r="H7" s="327">
        <v>46.11</v>
      </c>
      <c r="I7" s="327">
        <v>8</v>
      </c>
      <c r="J7" s="327">
        <v>43.54</v>
      </c>
      <c r="K7" s="327">
        <v>0</v>
      </c>
      <c r="L7" s="328">
        <v>0</v>
      </c>
    </row>
    <row r="8" spans="1:12" ht="20.100000000000001" customHeight="1" thickBot="1">
      <c r="D8" s="329" t="s">
        <v>347</v>
      </c>
      <c r="E8" s="330">
        <v>0</v>
      </c>
      <c r="F8" s="330">
        <v>0</v>
      </c>
      <c r="G8" s="330">
        <v>0</v>
      </c>
      <c r="H8" s="330">
        <v>0</v>
      </c>
      <c r="I8" s="330">
        <v>0</v>
      </c>
      <c r="J8" s="330">
        <v>0</v>
      </c>
      <c r="K8" s="330">
        <v>0</v>
      </c>
      <c r="L8" s="33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F13" sqref="F13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629</v>
      </c>
      <c r="F1" s="32"/>
      <c r="J1" s="60"/>
    </row>
    <row r="2" spans="1:18" s="67" customFormat="1" ht="23.1" customHeight="1">
      <c r="A2" s="707" t="s">
        <v>0</v>
      </c>
      <c r="B2" s="697" t="s">
        <v>39</v>
      </c>
      <c r="C2" s="697" t="s">
        <v>6</v>
      </c>
      <c r="D2" s="697" t="s">
        <v>38</v>
      </c>
      <c r="E2" s="697" t="s">
        <v>201</v>
      </c>
      <c r="F2" s="697" t="s">
        <v>200</v>
      </c>
      <c r="G2" s="701" t="s">
        <v>1</v>
      </c>
      <c r="H2" s="701" t="s">
        <v>2</v>
      </c>
      <c r="I2" s="701" t="s">
        <v>169</v>
      </c>
      <c r="J2" s="705" t="s">
        <v>254</v>
      </c>
      <c r="K2" s="701" t="s">
        <v>253</v>
      </c>
      <c r="L2" s="701" t="s">
        <v>3</v>
      </c>
      <c r="M2" s="701" t="s">
        <v>4</v>
      </c>
      <c r="N2" s="701" t="s">
        <v>5</v>
      </c>
      <c r="O2" s="701" t="s">
        <v>252</v>
      </c>
      <c r="P2" s="703" t="s">
        <v>251</v>
      </c>
      <c r="Q2" s="697" t="s">
        <v>156</v>
      </c>
      <c r="R2" s="699" t="s">
        <v>91</v>
      </c>
    </row>
    <row r="3" spans="1:18" s="67" customFormat="1" ht="27" customHeight="1">
      <c r="A3" s="708"/>
      <c r="B3" s="698"/>
      <c r="C3" s="698"/>
      <c r="D3" s="698"/>
      <c r="E3" s="698"/>
      <c r="F3" s="698"/>
      <c r="G3" s="702"/>
      <c r="H3" s="702"/>
      <c r="I3" s="702"/>
      <c r="J3" s="706"/>
      <c r="K3" s="702"/>
      <c r="L3" s="702"/>
      <c r="M3" s="702"/>
      <c r="N3" s="702"/>
      <c r="O3" s="702"/>
      <c r="P3" s="704"/>
      <c r="Q3" s="698"/>
      <c r="R3" s="700"/>
    </row>
    <row r="4" spans="1:18" ht="23.1" customHeight="1">
      <c r="A4" s="635" t="s">
        <v>336</v>
      </c>
      <c r="B4" s="636" t="s">
        <v>352</v>
      </c>
      <c r="C4" s="637"/>
      <c r="D4" s="636" t="s">
        <v>627</v>
      </c>
      <c r="E4" s="636" t="str">
        <f>Recharge!$I$24</f>
        <v>금강서해/금강서해</v>
      </c>
      <c r="F4" s="636" t="str">
        <f>All!$B$2</f>
        <v>서울기상청</v>
      </c>
      <c r="G4" s="636">
        <v>200</v>
      </c>
      <c r="H4" s="636">
        <v>500</v>
      </c>
      <c r="I4" s="636">
        <v>15</v>
      </c>
      <c r="J4" s="636">
        <v>53</v>
      </c>
      <c r="K4" s="636">
        <v>372</v>
      </c>
      <c r="L4" s="636">
        <v>5</v>
      </c>
      <c r="M4" s="636">
        <v>50</v>
      </c>
      <c r="N4" s="638">
        <v>50</v>
      </c>
      <c r="O4" s="639">
        <f>ROUND(water!$F$7, 1)</f>
        <v>89.7</v>
      </c>
      <c r="P4" s="640">
        <v>3778182</v>
      </c>
      <c r="Q4" s="636"/>
      <c r="R4" s="641"/>
    </row>
    <row r="5" spans="1:18" ht="23.1" customHeight="1">
      <c r="A5" s="635" t="s">
        <v>638</v>
      </c>
      <c r="B5" s="636" t="s">
        <v>352</v>
      </c>
      <c r="C5" s="637"/>
      <c r="D5" s="636" t="s">
        <v>627</v>
      </c>
      <c r="E5" s="636" t="str">
        <f>Recharge!$I$24</f>
        <v>금강서해/금강서해</v>
      </c>
      <c r="F5" s="636" t="str">
        <f>All!$B$2</f>
        <v>서울기상청</v>
      </c>
      <c r="G5" s="636">
        <v>200</v>
      </c>
      <c r="H5" s="636">
        <v>500</v>
      </c>
      <c r="I5" s="636">
        <v>15</v>
      </c>
      <c r="J5" s="636">
        <v>53</v>
      </c>
      <c r="K5" s="636">
        <v>372</v>
      </c>
      <c r="L5" s="636">
        <v>5</v>
      </c>
      <c r="M5" s="636">
        <v>50</v>
      </c>
      <c r="N5" s="638">
        <v>50</v>
      </c>
      <c r="O5" s="639">
        <f>ROUND(water!$F$7, 1)</f>
        <v>89.7</v>
      </c>
      <c r="P5" s="640">
        <v>3778182</v>
      </c>
      <c r="Q5" s="636"/>
      <c r="R5" s="641"/>
    </row>
    <row r="6" spans="1:18" ht="23.1" customHeight="1">
      <c r="A6" s="635" t="s">
        <v>639</v>
      </c>
      <c r="B6" s="636" t="s">
        <v>352</v>
      </c>
      <c r="C6" s="637"/>
      <c r="D6" s="636" t="s">
        <v>627</v>
      </c>
      <c r="E6" s="636" t="str">
        <f>Recharge!$I$24</f>
        <v>금강서해/금강서해</v>
      </c>
      <c r="F6" s="636" t="str">
        <f>All!$B$2</f>
        <v>서울기상청</v>
      </c>
      <c r="G6" s="636">
        <v>200</v>
      </c>
      <c r="H6" s="636">
        <v>500</v>
      </c>
      <c r="I6" s="636">
        <v>15</v>
      </c>
      <c r="J6" s="636">
        <v>53</v>
      </c>
      <c r="K6" s="636">
        <v>372</v>
      </c>
      <c r="L6" s="636">
        <v>5</v>
      </c>
      <c r="M6" s="636">
        <v>50</v>
      </c>
      <c r="N6" s="638">
        <v>50</v>
      </c>
      <c r="O6" s="639">
        <f>ROUND(water!$F$7, 1)</f>
        <v>89.7</v>
      </c>
      <c r="P6" s="640">
        <v>3778182</v>
      </c>
      <c r="Q6" s="636"/>
      <c r="R6" s="641"/>
    </row>
    <row r="7" spans="1:18" ht="23.1" customHeight="1">
      <c r="A7" s="635" t="s">
        <v>677</v>
      </c>
      <c r="B7" s="636" t="s">
        <v>352</v>
      </c>
      <c r="C7" s="637"/>
      <c r="D7" s="636" t="s">
        <v>627</v>
      </c>
      <c r="E7" s="636" t="str">
        <f>Recharge!$I$24</f>
        <v>금강서해/금강서해</v>
      </c>
      <c r="F7" s="636" t="str">
        <f>All!$B$2</f>
        <v>서울기상청</v>
      </c>
      <c r="G7" s="636">
        <v>200</v>
      </c>
      <c r="H7" s="636">
        <v>500</v>
      </c>
      <c r="I7" s="636">
        <v>15</v>
      </c>
      <c r="J7" s="636">
        <v>53</v>
      </c>
      <c r="K7" s="636">
        <v>372</v>
      </c>
      <c r="L7" s="636">
        <v>5</v>
      </c>
      <c r="M7" s="636">
        <v>50</v>
      </c>
      <c r="N7" s="638">
        <v>50</v>
      </c>
      <c r="O7" s="639">
        <f>ROUND(water!$F$7, 1)</f>
        <v>89.7</v>
      </c>
      <c r="P7" s="640">
        <v>3778182</v>
      </c>
      <c r="Q7" s="636"/>
      <c r="R7" s="641"/>
    </row>
    <row r="8" spans="1:18" ht="23.1" customHeight="1" thickBot="1">
      <c r="A8" s="642" t="s">
        <v>678</v>
      </c>
      <c r="B8" s="643" t="s">
        <v>352</v>
      </c>
      <c r="C8" s="644"/>
      <c r="D8" s="643" t="s">
        <v>627</v>
      </c>
      <c r="E8" s="643" t="str">
        <f>Recharge!$I$24</f>
        <v>금강서해/금강서해</v>
      </c>
      <c r="F8" s="643" t="str">
        <f>All!$B$2</f>
        <v>서울기상청</v>
      </c>
      <c r="G8" s="643">
        <v>200</v>
      </c>
      <c r="H8" s="643">
        <v>500</v>
      </c>
      <c r="I8" s="643">
        <v>15</v>
      </c>
      <c r="J8" s="643">
        <v>53</v>
      </c>
      <c r="K8" s="643">
        <v>372</v>
      </c>
      <c r="L8" s="643">
        <v>5</v>
      </c>
      <c r="M8" s="643">
        <v>50</v>
      </c>
      <c r="N8" s="645">
        <v>50</v>
      </c>
      <c r="O8" s="646">
        <f>ROUND(water!$F$7, 1)</f>
        <v>89.7</v>
      </c>
      <c r="P8" s="647">
        <v>3778182</v>
      </c>
      <c r="Q8" s="643"/>
      <c r="R8" s="648"/>
    </row>
    <row r="9" spans="1:18" ht="23.25" customHeight="1" thickBot="1">
      <c r="A9" s="141"/>
      <c r="J9" s="159"/>
      <c r="P9" s="160"/>
    </row>
    <row r="10" spans="1:18" ht="23.25" customHeight="1" thickBot="1">
      <c r="I10" s="433">
        <f>SUM(I4:I9)</f>
        <v>75</v>
      </c>
    </row>
    <row r="14" spans="1:18">
      <c r="Q14" s="30" t="s">
        <v>119</v>
      </c>
    </row>
    <row r="19" spans="14:14">
      <c r="N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35" hidden="1" customWidth="1"/>
    <col min="2" max="3" width="8.88671875" style="535"/>
    <col min="4" max="5" width="0" style="535" hidden="1" customWidth="1"/>
    <col min="6" max="6" width="8.88671875" style="535"/>
    <col min="7" max="7" width="16.88671875" style="535" customWidth="1"/>
    <col min="8" max="8" width="11.77734375" style="535" customWidth="1"/>
    <col min="9" max="9" width="11.77734375" style="585" customWidth="1"/>
    <col min="10" max="10" width="11.77734375" style="535" customWidth="1"/>
    <col min="11" max="11" width="11.77734375" style="587" customWidth="1"/>
    <col min="12" max="17" width="11.77734375" style="535" customWidth="1"/>
    <col min="18" max="18" width="14" style="535" customWidth="1"/>
    <col min="19" max="19" width="15" style="535" customWidth="1"/>
    <col min="20" max="16384" width="8.88671875" style="535"/>
  </cols>
  <sheetData>
    <row r="1" spans="7:19" ht="36" customHeight="1" thickBot="1">
      <c r="G1" s="584" t="s">
        <v>230</v>
      </c>
      <c r="J1" s="586" t="s">
        <v>651</v>
      </c>
    </row>
    <row r="2" spans="7:19" ht="29.25" customHeight="1">
      <c r="G2" s="594" t="s">
        <v>206</v>
      </c>
      <c r="H2" s="595" t="s">
        <v>203</v>
      </c>
      <c r="I2" s="596" t="s">
        <v>212</v>
      </c>
      <c r="J2" s="595" t="s">
        <v>204</v>
      </c>
      <c r="K2" s="597" t="s">
        <v>205</v>
      </c>
      <c r="M2" s="598"/>
      <c r="N2" s="599" t="s">
        <v>210</v>
      </c>
      <c r="O2" s="597" t="s">
        <v>211</v>
      </c>
      <c r="Q2" s="594" t="s">
        <v>206</v>
      </c>
      <c r="R2" s="599" t="s">
        <v>214</v>
      </c>
      <c r="S2" s="597" t="s">
        <v>215</v>
      </c>
    </row>
    <row r="3" spans="7:19" ht="20.100000000000001" customHeight="1">
      <c r="G3" s="482" t="s">
        <v>226</v>
      </c>
      <c r="H3" s="483">
        <v>183</v>
      </c>
      <c r="I3" s="484">
        <v>165.52</v>
      </c>
      <c r="J3" s="483">
        <v>160</v>
      </c>
      <c r="K3" s="580">
        <v>0.90163934426229508</v>
      </c>
      <c r="M3" s="600" t="s">
        <v>205</v>
      </c>
      <c r="N3" s="588">
        <f>MIN(K3:K35)</f>
        <v>0.90163934426229508</v>
      </c>
      <c r="O3" s="589">
        <f>MAX(K3:K35)</f>
        <v>0.90909090909090906</v>
      </c>
      <c r="Q3" s="581" t="s">
        <v>226</v>
      </c>
      <c r="R3" s="582">
        <v>8.0799999999999999E-5</v>
      </c>
      <c r="S3" s="583">
        <v>3.2571299999999997E-2</v>
      </c>
    </row>
    <row r="4" spans="7:19" ht="20.100000000000001" customHeight="1">
      <c r="G4" s="437" t="s">
        <v>227</v>
      </c>
      <c r="H4" s="438">
        <v>264</v>
      </c>
      <c r="I4" s="454">
        <v>240.01</v>
      </c>
      <c r="J4" s="438">
        <v>230</v>
      </c>
      <c r="K4" s="458">
        <v>0.90909090909090906</v>
      </c>
      <c r="M4" s="600" t="s">
        <v>212</v>
      </c>
      <c r="N4" s="590">
        <f>MIN(I3:I35)</f>
        <v>165.52</v>
      </c>
      <c r="O4" s="591">
        <f>MAX(I3:I35)</f>
        <v>240.01</v>
      </c>
      <c r="Q4" s="460" t="s">
        <v>227</v>
      </c>
      <c r="R4" s="461">
        <v>4.6E-5</v>
      </c>
      <c r="S4" s="462">
        <v>2.5753600000000001E-2</v>
      </c>
    </row>
    <row r="5" spans="7:19" ht="20.100000000000001" customHeight="1" thickBot="1">
      <c r="G5" s="482" t="s">
        <v>228</v>
      </c>
      <c r="H5" s="483">
        <v>264</v>
      </c>
      <c r="I5" s="484">
        <v>239.9</v>
      </c>
      <c r="J5" s="483">
        <v>230</v>
      </c>
      <c r="K5" s="580">
        <v>0.90530303030303028</v>
      </c>
      <c r="M5" s="601" t="s">
        <v>213</v>
      </c>
      <c r="N5" s="592">
        <f>MIN(J3:J35)</f>
        <v>160</v>
      </c>
      <c r="O5" s="593">
        <f>MAX(J3:J35)</f>
        <v>230</v>
      </c>
      <c r="Q5" s="581" t="s">
        <v>228</v>
      </c>
      <c r="R5" s="582">
        <v>7.2799999999999994E-5</v>
      </c>
      <c r="S5" s="583">
        <v>4.0971100000000003E-2</v>
      </c>
    </row>
    <row r="6" spans="7:19" ht="20.100000000000001" customHeight="1">
      <c r="G6" s="437" t="s">
        <v>332</v>
      </c>
      <c r="H6" s="438">
        <v>264</v>
      </c>
      <c r="I6" s="454">
        <v>239.81</v>
      </c>
      <c r="J6" s="438">
        <v>230</v>
      </c>
      <c r="K6" s="459">
        <v>0.90530303030303028</v>
      </c>
      <c r="Q6" s="460" t="s">
        <v>332</v>
      </c>
      <c r="R6" s="461">
        <v>8.6199999999999995E-5</v>
      </c>
      <c r="S6" s="462">
        <v>4.87333E-2</v>
      </c>
    </row>
    <row r="7" spans="7:19" ht="20.100000000000001" customHeight="1">
      <c r="G7" s="482" t="s">
        <v>333</v>
      </c>
      <c r="H7" s="483">
        <v>252</v>
      </c>
      <c r="I7" s="484">
        <v>228.18</v>
      </c>
      <c r="J7" s="483">
        <v>220</v>
      </c>
      <c r="K7" s="485">
        <v>0.90476190476190477</v>
      </c>
      <c r="Q7" s="581" t="s">
        <v>333</v>
      </c>
      <c r="R7" s="582">
        <v>7.4599999999999997E-5</v>
      </c>
      <c r="S7" s="583">
        <v>4.1117500000000001E-2</v>
      </c>
    </row>
    <row r="8" spans="7:19" ht="20.100000000000001" customHeight="1">
      <c r="G8" s="437"/>
      <c r="H8" s="438"/>
      <c r="I8" s="454"/>
      <c r="J8" s="438"/>
      <c r="K8" s="459"/>
      <c r="Q8" s="437"/>
      <c r="R8" s="438"/>
      <c r="S8" s="441"/>
    </row>
    <row r="9" spans="7:19" ht="20.100000000000001" customHeight="1">
      <c r="G9" s="482"/>
      <c r="H9" s="483"/>
      <c r="I9" s="484"/>
      <c r="J9" s="483"/>
      <c r="K9" s="485"/>
      <c r="Q9" s="482"/>
      <c r="R9" s="483"/>
      <c r="S9" s="486"/>
    </row>
    <row r="10" spans="7:19" ht="20.100000000000001" customHeight="1">
      <c r="G10" s="437"/>
      <c r="H10" s="438"/>
      <c r="I10" s="454"/>
      <c r="J10" s="438"/>
      <c r="K10" s="459"/>
      <c r="Q10" s="437"/>
      <c r="R10" s="438"/>
      <c r="S10" s="441"/>
    </row>
    <row r="11" spans="7:19" ht="20.100000000000001" customHeight="1">
      <c r="G11" s="482"/>
      <c r="H11" s="483"/>
      <c r="I11" s="484"/>
      <c r="J11" s="483"/>
      <c r="K11" s="485"/>
      <c r="Q11" s="482"/>
      <c r="R11" s="483"/>
      <c r="S11" s="486"/>
    </row>
    <row r="12" spans="7:19" ht="20.100000000000001" customHeight="1">
      <c r="G12" s="437"/>
      <c r="H12" s="438"/>
      <c r="I12" s="454"/>
      <c r="J12" s="438"/>
      <c r="K12" s="459"/>
      <c r="Q12" s="437"/>
      <c r="R12" s="438"/>
      <c r="S12" s="441"/>
    </row>
    <row r="13" spans="7:19" ht="20.100000000000001" customHeight="1">
      <c r="G13" s="482"/>
      <c r="H13" s="483"/>
      <c r="I13" s="484"/>
      <c r="J13" s="483"/>
      <c r="K13" s="485"/>
      <c r="Q13" s="482"/>
      <c r="R13" s="483"/>
      <c r="S13" s="486"/>
    </row>
    <row r="14" spans="7:19" ht="20.100000000000001" customHeight="1">
      <c r="G14" s="437"/>
      <c r="H14" s="438"/>
      <c r="I14" s="454"/>
      <c r="J14" s="438"/>
      <c r="K14" s="459"/>
      <c r="Q14" s="437"/>
      <c r="R14" s="438"/>
      <c r="S14" s="441"/>
    </row>
    <row r="15" spans="7:19" ht="20.100000000000001" customHeight="1">
      <c r="G15" s="482"/>
      <c r="H15" s="483"/>
      <c r="I15" s="484"/>
      <c r="J15" s="483"/>
      <c r="K15" s="485"/>
      <c r="Q15" s="482"/>
      <c r="R15" s="483"/>
      <c r="S15" s="486"/>
    </row>
    <row r="16" spans="7:19" ht="20.100000000000001" customHeight="1">
      <c r="G16" s="437"/>
      <c r="H16" s="438"/>
      <c r="I16" s="454"/>
      <c r="J16" s="438"/>
      <c r="K16" s="459"/>
      <c r="Q16" s="437"/>
      <c r="R16" s="438"/>
      <c r="S16" s="441"/>
    </row>
    <row r="17" spans="7:19" ht="20.100000000000001" customHeight="1">
      <c r="G17" s="482"/>
      <c r="H17" s="483"/>
      <c r="I17" s="484"/>
      <c r="J17" s="483"/>
      <c r="K17" s="485"/>
      <c r="Q17" s="482"/>
      <c r="R17" s="483"/>
      <c r="S17" s="486"/>
    </row>
    <row r="18" spans="7:19" ht="20.100000000000001" customHeight="1">
      <c r="G18" s="437"/>
      <c r="H18" s="438"/>
      <c r="I18" s="454"/>
      <c r="J18" s="438"/>
      <c r="K18" s="459"/>
      <c r="Q18" s="437"/>
      <c r="R18" s="438"/>
      <c r="S18" s="441"/>
    </row>
    <row r="19" spans="7:19" ht="20.100000000000001" customHeight="1">
      <c r="G19" s="482"/>
      <c r="H19" s="483"/>
      <c r="I19" s="484"/>
      <c r="J19" s="483"/>
      <c r="K19" s="485"/>
      <c r="Q19" s="482"/>
      <c r="R19" s="483"/>
      <c r="S19" s="486"/>
    </row>
    <row r="20" spans="7:19" ht="20.100000000000001" customHeight="1">
      <c r="G20" s="437"/>
      <c r="H20" s="438"/>
      <c r="I20" s="454"/>
      <c r="J20" s="438"/>
      <c r="K20" s="459"/>
      <c r="Q20" s="437"/>
      <c r="R20" s="438"/>
      <c r="S20" s="441"/>
    </row>
    <row r="21" spans="7:19" ht="20.100000000000001" customHeight="1">
      <c r="G21" s="482"/>
      <c r="H21" s="483"/>
      <c r="I21" s="484"/>
      <c r="J21" s="483"/>
      <c r="K21" s="485"/>
      <c r="Q21" s="482"/>
      <c r="R21" s="483"/>
      <c r="S21" s="486"/>
    </row>
    <row r="22" spans="7:19" ht="20.100000000000001" customHeight="1">
      <c r="G22" s="437"/>
      <c r="H22" s="438"/>
      <c r="I22" s="454"/>
      <c r="J22" s="438"/>
      <c r="K22" s="459"/>
      <c r="Q22" s="437"/>
      <c r="R22" s="438"/>
      <c r="S22" s="441"/>
    </row>
    <row r="23" spans="7:19" ht="20.100000000000001" customHeight="1">
      <c r="G23" s="482"/>
      <c r="H23" s="483"/>
      <c r="I23" s="484"/>
      <c r="J23" s="483"/>
      <c r="K23" s="485"/>
      <c r="Q23" s="482"/>
      <c r="R23" s="483"/>
      <c r="S23" s="486"/>
    </row>
    <row r="24" spans="7:19" ht="20.100000000000001" customHeight="1">
      <c r="G24" s="437"/>
      <c r="H24" s="438"/>
      <c r="I24" s="454"/>
      <c r="J24" s="438"/>
      <c r="K24" s="459"/>
      <c r="Q24" s="437"/>
      <c r="R24" s="438"/>
      <c r="S24" s="441"/>
    </row>
    <row r="25" spans="7:19" ht="20.100000000000001" customHeight="1">
      <c r="G25" s="482"/>
      <c r="H25" s="483"/>
      <c r="I25" s="484"/>
      <c r="J25" s="483"/>
      <c r="K25" s="485"/>
      <c r="Q25" s="482"/>
      <c r="R25" s="483"/>
      <c r="S25" s="486"/>
    </row>
    <row r="26" spans="7:19" ht="20.100000000000001" customHeight="1">
      <c r="G26" s="437"/>
      <c r="H26" s="438"/>
      <c r="I26" s="454"/>
      <c r="J26" s="438"/>
      <c r="K26" s="459"/>
      <c r="Q26" s="437"/>
      <c r="R26" s="438"/>
      <c r="S26" s="441"/>
    </row>
    <row r="27" spans="7:19" ht="20.100000000000001" customHeight="1">
      <c r="G27" s="482"/>
      <c r="H27" s="483"/>
      <c r="I27" s="484"/>
      <c r="J27" s="483"/>
      <c r="K27" s="485"/>
      <c r="Q27" s="482"/>
      <c r="R27" s="483"/>
      <c r="S27" s="486"/>
    </row>
    <row r="28" spans="7:19" ht="20.100000000000001" customHeight="1">
      <c r="G28" s="437"/>
      <c r="H28" s="438"/>
      <c r="I28" s="454"/>
      <c r="J28" s="438"/>
      <c r="K28" s="459"/>
      <c r="Q28" s="506"/>
      <c r="R28" s="507"/>
      <c r="S28" s="508"/>
    </row>
    <row r="29" spans="7:19" ht="20.100000000000001" customHeight="1">
      <c r="G29" s="482"/>
      <c r="H29" s="483"/>
      <c r="I29" s="484"/>
      <c r="J29" s="483"/>
      <c r="K29" s="485"/>
      <c r="Q29" s="509"/>
      <c r="R29" s="510"/>
      <c r="S29" s="511"/>
    </row>
    <row r="30" spans="7:19" ht="20.100000000000001" customHeight="1">
      <c r="G30" s="437"/>
      <c r="H30" s="438"/>
      <c r="I30" s="454"/>
      <c r="J30" s="438"/>
      <c r="K30" s="459"/>
      <c r="Q30" s="506"/>
      <c r="R30" s="507"/>
      <c r="S30" s="508"/>
    </row>
    <row r="31" spans="7:19" ht="20.100000000000001" customHeight="1">
      <c r="G31" s="482"/>
      <c r="H31" s="483"/>
      <c r="I31" s="484"/>
      <c r="J31" s="483"/>
      <c r="K31" s="485"/>
      <c r="Q31" s="509"/>
      <c r="R31" s="510"/>
      <c r="S31" s="511"/>
    </row>
    <row r="32" spans="7:19" ht="20.100000000000001" customHeight="1">
      <c r="G32" s="437"/>
      <c r="H32" s="438"/>
      <c r="I32" s="438"/>
      <c r="J32" s="438"/>
      <c r="K32" s="512"/>
      <c r="Q32" s="506"/>
      <c r="R32" s="507"/>
      <c r="S32" s="508"/>
    </row>
    <row r="33" spans="6:19" ht="20.100000000000001" customHeight="1">
      <c r="G33" s="482"/>
      <c r="H33" s="483"/>
      <c r="I33" s="483"/>
      <c r="J33" s="483"/>
      <c r="K33" s="513"/>
      <c r="Q33" s="490"/>
      <c r="R33" s="489"/>
      <c r="S33" s="491"/>
    </row>
    <row r="34" spans="6:19" ht="20.100000000000001" customHeight="1">
      <c r="G34" s="482"/>
      <c r="H34" s="483"/>
      <c r="I34" s="483"/>
      <c r="J34" s="483"/>
      <c r="K34" s="513"/>
      <c r="Q34" s="490"/>
      <c r="R34" s="489"/>
      <c r="S34" s="491"/>
    </row>
    <row r="35" spans="6:19" ht="20.100000000000001" customHeight="1" thickBot="1">
      <c r="G35" s="487"/>
      <c r="H35" s="488"/>
      <c r="I35" s="488"/>
      <c r="J35" s="488"/>
      <c r="K35" s="514"/>
      <c r="Q35" s="487"/>
      <c r="R35" s="488"/>
      <c r="S35" s="559"/>
    </row>
    <row r="38" spans="6:19" ht="20.100000000000001" customHeight="1">
      <c r="M38" s="585"/>
      <c r="N38" s="585"/>
      <c r="O38" s="585"/>
      <c r="P38" s="585"/>
      <c r="Q38" s="585"/>
      <c r="R38" s="585"/>
      <c r="S38" s="585"/>
    </row>
    <row r="39" spans="6:19" ht="20.100000000000001" customHeight="1">
      <c r="M39" s="534"/>
      <c r="N39" s="534"/>
      <c r="O39" s="534"/>
      <c r="P39" s="534"/>
      <c r="Q39" s="534"/>
      <c r="R39" s="585"/>
      <c r="S39" s="585"/>
    </row>
    <row r="40" spans="6:19" ht="20.100000000000001" customHeight="1">
      <c r="M40" s="534"/>
      <c r="N40" s="534"/>
      <c r="O40" s="534"/>
      <c r="P40" s="534"/>
      <c r="Q40" s="534"/>
      <c r="R40" s="585"/>
      <c r="S40" s="585"/>
    </row>
    <row r="41" spans="6:19" ht="20.100000000000001" customHeight="1" thickBot="1">
      <c r="G41" s="584" t="s">
        <v>650</v>
      </c>
      <c r="M41" s="585"/>
      <c r="N41" s="585"/>
      <c r="O41" s="585"/>
      <c r="P41" s="585"/>
      <c r="Q41" s="585"/>
      <c r="R41" s="585"/>
      <c r="S41" s="585"/>
    </row>
    <row r="42" spans="6:19" ht="27" customHeight="1" thickBot="1">
      <c r="G42" s="602" t="s">
        <v>237</v>
      </c>
      <c r="H42" s="603"/>
      <c r="I42" s="604"/>
    </row>
    <row r="43" spans="6:19" ht="15.95" customHeight="1">
      <c r="F43" s="713" t="s">
        <v>226</v>
      </c>
      <c r="G43" s="709">
        <v>100</v>
      </c>
      <c r="H43" s="579">
        <v>8.7100000000000009</v>
      </c>
      <c r="I43" s="711">
        <v>165.52</v>
      </c>
    </row>
    <row r="44" spans="6:19" ht="15.95" customHeight="1">
      <c r="F44" s="714"/>
      <c r="G44" s="710"/>
      <c r="H44" s="483">
        <v>4.09</v>
      </c>
      <c r="I44" s="712"/>
      <c r="K44" s="535"/>
    </row>
    <row r="45" spans="6:19" ht="15.95" customHeight="1">
      <c r="F45" s="715" t="s">
        <v>227</v>
      </c>
      <c r="G45" s="716">
        <v>145</v>
      </c>
      <c r="H45" s="438">
        <v>10.029999999999999</v>
      </c>
      <c r="I45" s="717">
        <v>240.01</v>
      </c>
      <c r="K45" s="535"/>
    </row>
    <row r="46" spans="6:19" ht="15.95" customHeight="1">
      <c r="F46" s="715"/>
      <c r="G46" s="716"/>
      <c r="H46" s="438">
        <v>4.71</v>
      </c>
      <c r="I46" s="717"/>
      <c r="K46" s="535"/>
    </row>
    <row r="47" spans="6:19" ht="15.95" customHeight="1">
      <c r="F47" s="714" t="s">
        <v>228</v>
      </c>
      <c r="G47" s="710">
        <v>145</v>
      </c>
      <c r="H47" s="483">
        <v>15.94</v>
      </c>
      <c r="I47" s="712">
        <v>239.9</v>
      </c>
      <c r="K47" s="535"/>
    </row>
    <row r="48" spans="6:19" ht="15.95" customHeight="1">
      <c r="F48" s="714"/>
      <c r="G48" s="710"/>
      <c r="H48" s="483">
        <v>7.49</v>
      </c>
      <c r="I48" s="712"/>
      <c r="K48" s="535"/>
    </row>
    <row r="49" spans="6:11" ht="15.95" customHeight="1">
      <c r="F49" s="715" t="s">
        <v>332</v>
      </c>
      <c r="G49" s="716">
        <v>145</v>
      </c>
      <c r="H49" s="438">
        <v>18.93</v>
      </c>
      <c r="I49" s="717">
        <v>239.81</v>
      </c>
      <c r="K49" s="535"/>
    </row>
    <row r="50" spans="6:11" ht="15.95" customHeight="1">
      <c r="F50" s="715"/>
      <c r="G50" s="716"/>
      <c r="H50" s="438">
        <v>8.9</v>
      </c>
      <c r="I50" s="717"/>
      <c r="K50" s="535"/>
    </row>
    <row r="51" spans="6:11" ht="15.95" customHeight="1">
      <c r="F51" s="714" t="s">
        <v>333</v>
      </c>
      <c r="G51" s="710">
        <v>138</v>
      </c>
      <c r="H51" s="483">
        <v>15.16</v>
      </c>
      <c r="I51" s="712">
        <v>228.18</v>
      </c>
      <c r="K51" s="535"/>
    </row>
    <row r="52" spans="6:11" ht="15.95" customHeight="1">
      <c r="F52" s="714"/>
      <c r="G52" s="710"/>
      <c r="H52" s="483">
        <v>7.13</v>
      </c>
      <c r="I52" s="712"/>
      <c r="K52" s="535"/>
    </row>
    <row r="53" spans="6:11" ht="15.95" customHeight="1">
      <c r="F53" s="715"/>
      <c r="G53" s="716"/>
      <c r="H53" s="438"/>
      <c r="I53" s="717"/>
      <c r="K53" s="535"/>
    </row>
    <row r="54" spans="6:11" ht="15.95" customHeight="1">
      <c r="F54" s="715"/>
      <c r="G54" s="716"/>
      <c r="H54" s="438"/>
      <c r="I54" s="717"/>
      <c r="K54" s="535"/>
    </row>
    <row r="55" spans="6:11" ht="15.95" customHeight="1">
      <c r="F55" s="714"/>
      <c r="G55" s="710"/>
      <c r="H55" s="483"/>
      <c r="I55" s="712"/>
      <c r="K55" s="535"/>
    </row>
    <row r="56" spans="6:11" ht="15.95" customHeight="1">
      <c r="F56" s="714"/>
      <c r="G56" s="710"/>
      <c r="H56" s="483"/>
      <c r="I56" s="712"/>
      <c r="K56" s="535"/>
    </row>
    <row r="57" spans="6:11" ht="15.95" customHeight="1">
      <c r="F57" s="715"/>
      <c r="G57" s="716"/>
      <c r="H57" s="438"/>
      <c r="I57" s="717"/>
      <c r="K57" s="535"/>
    </row>
    <row r="58" spans="6:11" ht="15.95" customHeight="1">
      <c r="F58" s="715"/>
      <c r="G58" s="716"/>
      <c r="H58" s="438"/>
      <c r="I58" s="717"/>
      <c r="K58" s="535"/>
    </row>
    <row r="59" spans="6:11" ht="15.95" customHeight="1">
      <c r="F59" s="714"/>
      <c r="G59" s="710"/>
      <c r="H59" s="483"/>
      <c r="I59" s="712"/>
      <c r="K59" s="535"/>
    </row>
    <row r="60" spans="6:11" ht="15.95" customHeight="1">
      <c r="F60" s="714"/>
      <c r="G60" s="710"/>
      <c r="H60" s="483"/>
      <c r="I60" s="712"/>
      <c r="K60" s="535"/>
    </row>
    <row r="61" spans="6:11" ht="15.95" customHeight="1">
      <c r="F61" s="715"/>
      <c r="G61" s="716"/>
      <c r="H61" s="438"/>
      <c r="I61" s="717"/>
      <c r="K61" s="535"/>
    </row>
    <row r="62" spans="6:11" ht="15.95" customHeight="1">
      <c r="F62" s="715"/>
      <c r="G62" s="716"/>
      <c r="H62" s="438"/>
      <c r="I62" s="717"/>
      <c r="K62" s="535"/>
    </row>
    <row r="63" spans="6:11" ht="15.95" customHeight="1">
      <c r="F63" s="714"/>
      <c r="G63" s="710"/>
      <c r="H63" s="483"/>
      <c r="I63" s="712"/>
      <c r="K63" s="535"/>
    </row>
    <row r="64" spans="6:11" ht="15.95" customHeight="1">
      <c r="F64" s="714"/>
      <c r="G64" s="710"/>
      <c r="H64" s="483"/>
      <c r="I64" s="712"/>
      <c r="K64" s="535"/>
    </row>
    <row r="65" spans="6:11" ht="15.95" customHeight="1">
      <c r="F65" s="715"/>
      <c r="G65" s="716"/>
      <c r="H65" s="438"/>
      <c r="I65" s="717"/>
      <c r="K65" s="535"/>
    </row>
    <row r="66" spans="6:11" ht="15.95" customHeight="1">
      <c r="F66" s="715"/>
      <c r="G66" s="716"/>
      <c r="H66" s="438"/>
      <c r="I66" s="717"/>
      <c r="K66" s="535"/>
    </row>
    <row r="67" spans="6:11" ht="15.95" customHeight="1">
      <c r="F67" s="714"/>
      <c r="G67" s="710"/>
      <c r="H67" s="483"/>
      <c r="I67" s="712"/>
      <c r="K67" s="535"/>
    </row>
    <row r="68" spans="6:11" ht="15.95" customHeight="1">
      <c r="F68" s="714"/>
      <c r="G68" s="710"/>
      <c r="H68" s="483"/>
      <c r="I68" s="712"/>
      <c r="K68" s="535"/>
    </row>
    <row r="69" spans="6:11" ht="15.95" customHeight="1">
      <c r="F69" s="715"/>
      <c r="G69" s="716"/>
      <c r="H69" s="438"/>
      <c r="I69" s="717"/>
      <c r="K69" s="535"/>
    </row>
    <row r="70" spans="6:11" ht="15.95" customHeight="1">
      <c r="F70" s="715"/>
      <c r="G70" s="716"/>
      <c r="H70" s="438"/>
      <c r="I70" s="717"/>
      <c r="K70" s="535"/>
    </row>
    <row r="71" spans="6:11" ht="15.95" customHeight="1">
      <c r="F71" s="714"/>
      <c r="G71" s="710"/>
      <c r="H71" s="483"/>
      <c r="I71" s="712"/>
      <c r="K71" s="535"/>
    </row>
    <row r="72" spans="6:11" ht="15.95" customHeight="1">
      <c r="F72" s="714"/>
      <c r="G72" s="710"/>
      <c r="H72" s="483"/>
      <c r="I72" s="712"/>
      <c r="K72" s="535"/>
    </row>
    <row r="73" spans="6:11" ht="15.95" customHeight="1">
      <c r="F73" s="715"/>
      <c r="G73" s="716"/>
      <c r="H73" s="438"/>
      <c r="I73" s="717"/>
    </row>
    <row r="74" spans="6:11" ht="15.95" customHeight="1">
      <c r="F74" s="715"/>
      <c r="G74" s="716"/>
      <c r="H74" s="438"/>
      <c r="I74" s="717"/>
    </row>
    <row r="75" spans="6:11" ht="15.95" customHeight="1">
      <c r="F75" s="714"/>
      <c r="G75" s="710"/>
      <c r="H75" s="483"/>
      <c r="I75" s="712"/>
    </row>
    <row r="76" spans="6:11" ht="15.95" customHeight="1">
      <c r="F76" s="714"/>
      <c r="G76" s="710"/>
      <c r="H76" s="483"/>
      <c r="I76" s="712"/>
    </row>
    <row r="77" spans="6:11" ht="15.95" customHeight="1">
      <c r="F77" s="715"/>
      <c r="G77" s="716"/>
      <c r="H77" s="438"/>
      <c r="I77" s="717"/>
    </row>
    <row r="78" spans="6:11" ht="15.95" customHeight="1">
      <c r="F78" s="715"/>
      <c r="G78" s="716"/>
      <c r="H78" s="438"/>
      <c r="I78" s="717"/>
    </row>
    <row r="79" spans="6:11" ht="15.95" customHeight="1">
      <c r="F79" s="714"/>
      <c r="G79" s="710"/>
      <c r="H79" s="483"/>
      <c r="I79" s="712"/>
    </row>
    <row r="80" spans="6:11" ht="15.95" customHeight="1">
      <c r="F80" s="714"/>
      <c r="G80" s="710"/>
      <c r="H80" s="483"/>
      <c r="I80" s="712"/>
    </row>
    <row r="81" spans="6:9" ht="15.95" customHeight="1">
      <c r="F81" s="715"/>
      <c r="G81" s="716"/>
      <c r="H81" s="438"/>
      <c r="I81" s="717"/>
    </row>
    <row r="82" spans="6:9" ht="15.95" customHeight="1">
      <c r="F82" s="715"/>
      <c r="G82" s="716"/>
      <c r="H82" s="438"/>
      <c r="I82" s="717"/>
    </row>
    <row r="83" spans="6:9" ht="15.95" customHeight="1">
      <c r="F83" s="714"/>
      <c r="G83" s="710"/>
      <c r="H83" s="483"/>
      <c r="I83" s="712"/>
    </row>
    <row r="84" spans="6:9" ht="15.95" customHeight="1">
      <c r="F84" s="714"/>
      <c r="G84" s="710"/>
      <c r="H84" s="483"/>
      <c r="I84" s="712"/>
    </row>
    <row r="85" spans="6:9" ht="15.95" customHeight="1">
      <c r="F85" s="715"/>
      <c r="G85" s="716"/>
      <c r="H85" s="438"/>
      <c r="I85" s="717"/>
    </row>
    <row r="86" spans="6:9" ht="15.95" customHeight="1">
      <c r="F86" s="715"/>
      <c r="G86" s="716"/>
      <c r="H86" s="438"/>
      <c r="I86" s="717"/>
    </row>
    <row r="87" spans="6:9" ht="15.95" customHeight="1">
      <c r="F87" s="714"/>
      <c r="G87" s="710"/>
      <c r="H87" s="483"/>
      <c r="I87" s="712"/>
    </row>
    <row r="88" spans="6:9" ht="15.95" customHeight="1">
      <c r="F88" s="714"/>
      <c r="G88" s="710"/>
      <c r="H88" s="483"/>
      <c r="I88" s="712"/>
    </row>
    <row r="89" spans="6:9" ht="15.95" customHeight="1">
      <c r="F89" s="715"/>
      <c r="G89" s="716"/>
      <c r="H89" s="438"/>
      <c r="I89" s="717"/>
    </row>
    <row r="90" spans="6:9" ht="15.95" customHeight="1">
      <c r="F90" s="715"/>
      <c r="G90" s="716"/>
      <c r="H90" s="438"/>
      <c r="I90" s="717"/>
    </row>
    <row r="91" spans="6:9" ht="15.95" customHeight="1">
      <c r="F91" s="714"/>
      <c r="G91" s="710"/>
      <c r="H91" s="483"/>
      <c r="I91" s="712"/>
    </row>
    <row r="92" spans="6:9" ht="15.95" customHeight="1">
      <c r="F92" s="714"/>
      <c r="G92" s="710"/>
      <c r="H92" s="483"/>
      <c r="I92" s="712"/>
    </row>
    <row r="93" spans="6:9" ht="15.95" customHeight="1">
      <c r="F93" s="715"/>
      <c r="G93" s="716"/>
      <c r="H93" s="438"/>
      <c r="I93" s="717"/>
    </row>
    <row r="94" spans="6:9" ht="15.95" customHeight="1">
      <c r="F94" s="715"/>
      <c r="G94" s="716"/>
      <c r="H94" s="438"/>
      <c r="I94" s="717"/>
    </row>
    <row r="95" spans="6:9" ht="15.95" customHeight="1">
      <c r="F95" s="720"/>
      <c r="G95" s="718"/>
      <c r="H95" s="279"/>
      <c r="I95" s="719"/>
    </row>
    <row r="96" spans="6:9" ht="15.95" customHeight="1">
      <c r="F96" s="720"/>
      <c r="G96" s="718"/>
      <c r="H96" s="279"/>
      <c r="I96" s="719"/>
    </row>
    <row r="97" spans="6:9" ht="15.95" customHeight="1">
      <c r="F97" s="721"/>
      <c r="G97" s="723"/>
      <c r="H97" s="449"/>
      <c r="I97" s="725"/>
    </row>
    <row r="98" spans="6:9" ht="15.95" customHeight="1">
      <c r="F98" s="721"/>
      <c r="G98" s="723"/>
      <c r="H98" s="449"/>
      <c r="I98" s="725"/>
    </row>
    <row r="99" spans="6:9" ht="15.95" customHeight="1">
      <c r="F99" s="720"/>
      <c r="G99" s="718"/>
      <c r="H99" s="279"/>
      <c r="I99" s="719"/>
    </row>
    <row r="100" spans="6:9" ht="15.95" customHeight="1">
      <c r="F100" s="720"/>
      <c r="G100" s="718"/>
      <c r="H100" s="279"/>
      <c r="I100" s="719"/>
    </row>
    <row r="101" spans="6:9" ht="15.95" customHeight="1">
      <c r="F101" s="721"/>
      <c r="G101" s="723"/>
      <c r="H101" s="449"/>
      <c r="I101" s="725"/>
    </row>
    <row r="102" spans="6:9" ht="15.95" customHeight="1" thickBot="1">
      <c r="F102" s="722"/>
      <c r="G102" s="724"/>
      <c r="H102" s="570"/>
      <c r="I102" s="72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5" customWidth="1"/>
    <col min="2" max="2" width="15.33203125" style="605" customWidth="1"/>
    <col min="3" max="3" width="13.6640625" style="605" customWidth="1"/>
    <col min="4" max="4" width="15.88671875" style="605" customWidth="1"/>
    <col min="5" max="5" width="10.109375" style="605" customWidth="1"/>
    <col min="6" max="6" width="10.33203125" style="605" customWidth="1"/>
    <col min="7" max="7" width="10.109375" style="605" customWidth="1"/>
    <col min="8" max="8" width="10.21875" style="605" customWidth="1"/>
    <col min="9" max="9" width="11.109375" style="605" customWidth="1"/>
    <col min="10" max="10" width="11" style="605" customWidth="1"/>
    <col min="11" max="11" width="10.88671875" style="605" customWidth="1"/>
    <col min="12" max="12" width="10" style="605" customWidth="1"/>
    <col min="13" max="13" width="9.44140625" style="605" bestFit="1" customWidth="1"/>
    <col min="14" max="14" width="9.88671875" style="605" customWidth="1"/>
    <col min="15" max="15" width="9.44140625" style="605" customWidth="1"/>
    <col min="16" max="16" width="11.109375" style="605" customWidth="1"/>
    <col min="17" max="17" width="13" style="605" customWidth="1"/>
    <col min="18" max="18" width="12.33203125" style="605" customWidth="1"/>
    <col min="19" max="34" width="9.44140625" style="605" bestFit="1" customWidth="1"/>
    <col min="35" max="16384" width="8.88671875" style="605"/>
  </cols>
  <sheetData>
    <row r="1" spans="3:21" ht="20.100000000000001" customHeight="1" thickBot="1">
      <c r="C1" s="584" t="s">
        <v>294</v>
      </c>
      <c r="G1" s="584" t="s">
        <v>649</v>
      </c>
      <c r="L1" s="584" t="s">
        <v>233</v>
      </c>
      <c r="S1" s="584" t="s">
        <v>234</v>
      </c>
    </row>
    <row r="2" spans="3:21" ht="36.75" customHeight="1">
      <c r="C2" s="615" t="s">
        <v>216</v>
      </c>
      <c r="D2" s="616" t="s">
        <v>640</v>
      </c>
      <c r="E2" s="616" t="s">
        <v>213</v>
      </c>
      <c r="F2" s="616" t="s">
        <v>220</v>
      </c>
      <c r="G2" s="616" t="s">
        <v>221</v>
      </c>
      <c r="H2" s="616" t="s">
        <v>161</v>
      </c>
      <c r="I2" s="616" t="s">
        <v>222</v>
      </c>
      <c r="J2" s="617" t="s">
        <v>223</v>
      </c>
      <c r="L2" s="615" t="s">
        <v>213</v>
      </c>
      <c r="M2" s="616" t="s">
        <v>217</v>
      </c>
      <c r="N2" s="616" t="s">
        <v>218</v>
      </c>
      <c r="O2" s="616" t="s">
        <v>219</v>
      </c>
      <c r="P2" s="616" t="s">
        <v>235</v>
      </c>
      <c r="Q2" s="617" t="s">
        <v>236</v>
      </c>
      <c r="S2" s="615" t="s">
        <v>221</v>
      </c>
      <c r="T2" s="616" t="s">
        <v>224</v>
      </c>
      <c r="U2" s="617" t="s">
        <v>225</v>
      </c>
    </row>
    <row r="3" spans="3:21" ht="20.100000000000001" customHeight="1">
      <c r="C3" s="482" t="s">
        <v>226</v>
      </c>
      <c r="D3" s="483">
        <v>2880</v>
      </c>
      <c r="E3" s="483">
        <v>160</v>
      </c>
      <c r="F3" s="483">
        <v>12.1</v>
      </c>
      <c r="G3" s="483">
        <v>21.89</v>
      </c>
      <c r="H3" s="483">
        <v>9.7900000000000009</v>
      </c>
      <c r="I3" s="483">
        <v>0.1</v>
      </c>
      <c r="J3" s="542">
        <v>3.5296937503174091</v>
      </c>
      <c r="K3" s="535"/>
      <c r="L3" s="482">
        <v>160</v>
      </c>
      <c r="M3" s="483">
        <v>0.1</v>
      </c>
      <c r="N3" s="483">
        <v>0.1</v>
      </c>
      <c r="O3" s="483">
        <v>280</v>
      </c>
      <c r="P3" s="483">
        <v>8.8916000000000004</v>
      </c>
      <c r="Q3" s="486">
        <v>0.32969999999999999</v>
      </c>
      <c r="S3" s="547">
        <v>21.89</v>
      </c>
      <c r="T3" s="529">
        <v>13.678180010966846</v>
      </c>
      <c r="U3" s="542">
        <v>8.2118199890331542</v>
      </c>
    </row>
    <row r="4" spans="3:21" ht="20.100000000000001" customHeight="1">
      <c r="C4" s="437" t="s">
        <v>227</v>
      </c>
      <c r="D4" s="438">
        <v>2880</v>
      </c>
      <c r="E4" s="438">
        <v>230</v>
      </c>
      <c r="F4" s="438">
        <v>4.3600000000000003</v>
      </c>
      <c r="G4" s="438">
        <v>15.63</v>
      </c>
      <c r="H4" s="438">
        <v>11.27</v>
      </c>
      <c r="I4" s="438">
        <v>0.1</v>
      </c>
      <c r="J4" s="439">
        <v>5.0854691908599845</v>
      </c>
      <c r="K4" s="535"/>
      <c r="L4" s="437">
        <v>230</v>
      </c>
      <c r="M4" s="438">
        <v>0.1</v>
      </c>
      <c r="N4" s="438">
        <v>0.1</v>
      </c>
      <c r="O4" s="438">
        <v>280</v>
      </c>
      <c r="P4" s="438">
        <v>13.6944</v>
      </c>
      <c r="Q4" s="441">
        <v>0.32969999999999999</v>
      </c>
      <c r="S4" s="498">
        <v>15.63</v>
      </c>
      <c r="T4" s="444">
        <v>5.9832476514898936</v>
      </c>
      <c r="U4" s="439">
        <v>9.6467523485101072</v>
      </c>
    </row>
    <row r="5" spans="3:21" ht="20.100000000000001" customHeight="1">
      <c r="C5" s="482" t="s">
        <v>228</v>
      </c>
      <c r="D5" s="483">
        <v>2880</v>
      </c>
      <c r="E5" s="483">
        <v>230</v>
      </c>
      <c r="F5" s="483">
        <v>5.62</v>
      </c>
      <c r="G5" s="483">
        <v>23.54</v>
      </c>
      <c r="H5" s="483">
        <v>17.919999999999998</v>
      </c>
      <c r="I5" s="483">
        <v>0.1</v>
      </c>
      <c r="J5" s="542">
        <v>5.082119965730536</v>
      </c>
      <c r="K5" s="535"/>
      <c r="L5" s="482">
        <v>230</v>
      </c>
      <c r="M5" s="483">
        <v>0.1</v>
      </c>
      <c r="N5" s="483">
        <v>0.1</v>
      </c>
      <c r="O5" s="483">
        <v>227</v>
      </c>
      <c r="P5" s="483">
        <v>6.5972</v>
      </c>
      <c r="Q5" s="486">
        <v>0.32969999999999999</v>
      </c>
      <c r="S5" s="547">
        <v>23.54</v>
      </c>
      <c r="T5" s="529">
        <v>7.4010150979604576</v>
      </c>
      <c r="U5" s="542">
        <v>16.138984902039542</v>
      </c>
    </row>
    <row r="6" spans="3:21" ht="20.100000000000001" customHeight="1">
      <c r="C6" s="437" t="s">
        <v>332</v>
      </c>
      <c r="D6" s="438">
        <v>2880</v>
      </c>
      <c r="E6" s="438">
        <v>230</v>
      </c>
      <c r="F6" s="438">
        <v>4.3600000000000003</v>
      </c>
      <c r="G6" s="438">
        <v>25.64</v>
      </c>
      <c r="H6" s="438">
        <v>21.28</v>
      </c>
      <c r="I6" s="438">
        <v>0.1</v>
      </c>
      <c r="J6" s="439">
        <v>5.0839467451572453</v>
      </c>
      <c r="K6" s="535"/>
      <c r="L6" s="437">
        <v>230</v>
      </c>
      <c r="M6" s="438">
        <v>0.1</v>
      </c>
      <c r="N6" s="438">
        <v>0.1</v>
      </c>
      <c r="O6" s="438">
        <v>180</v>
      </c>
      <c r="P6" s="438">
        <v>5.1664000000000003</v>
      </c>
      <c r="Q6" s="441">
        <v>0.32969999999999999</v>
      </c>
      <c r="S6" s="498">
        <v>25.64</v>
      </c>
      <c r="T6" s="444">
        <v>6.2032927915584759</v>
      </c>
      <c r="U6" s="439">
        <v>19.436707208441526</v>
      </c>
    </row>
    <row r="7" spans="3:21" ht="20.100000000000001" customHeight="1">
      <c r="C7" s="482" t="s">
        <v>333</v>
      </c>
      <c r="D7" s="483">
        <v>2880</v>
      </c>
      <c r="E7" s="483">
        <v>220</v>
      </c>
      <c r="F7" s="483">
        <v>6.5</v>
      </c>
      <c r="G7" s="483">
        <v>23.54</v>
      </c>
      <c r="H7" s="483">
        <v>17.04</v>
      </c>
      <c r="I7" s="483">
        <v>0.1</v>
      </c>
      <c r="J7" s="542">
        <v>4.8647172346136962</v>
      </c>
      <c r="K7" s="535"/>
      <c r="L7" s="482">
        <v>220</v>
      </c>
      <c r="M7" s="483">
        <v>0.1</v>
      </c>
      <c r="N7" s="483">
        <v>0.1</v>
      </c>
      <c r="O7" s="483">
        <v>235</v>
      </c>
      <c r="P7" s="483">
        <v>6.5738000000000003</v>
      </c>
      <c r="Q7" s="486">
        <v>0.32969999999999999</v>
      </c>
      <c r="S7" s="547">
        <v>23.54</v>
      </c>
      <c r="T7" s="529">
        <v>8.2631689050146093</v>
      </c>
      <c r="U7" s="542">
        <v>15.27683109498539</v>
      </c>
    </row>
    <row r="8" spans="3:21" ht="20.100000000000001" customHeight="1">
      <c r="C8" s="437"/>
      <c r="D8" s="438"/>
      <c r="E8" s="438"/>
      <c r="F8" s="438"/>
      <c r="G8" s="438"/>
      <c r="H8" s="438"/>
      <c r="I8" s="438"/>
      <c r="J8" s="439"/>
      <c r="K8" s="535"/>
      <c r="L8" s="437"/>
      <c r="M8" s="438"/>
      <c r="N8" s="438"/>
      <c r="O8" s="438"/>
      <c r="P8" s="438"/>
      <c r="Q8" s="441"/>
      <c r="S8" s="437"/>
      <c r="T8" s="444"/>
      <c r="U8" s="439"/>
    </row>
    <row r="9" spans="3:21" ht="20.100000000000001" customHeight="1">
      <c r="C9" s="482"/>
      <c r="D9" s="483"/>
      <c r="E9" s="483"/>
      <c r="F9" s="483"/>
      <c r="G9" s="483"/>
      <c r="H9" s="483"/>
      <c r="I9" s="483"/>
      <c r="J9" s="542"/>
      <c r="K9" s="535"/>
      <c r="L9" s="482"/>
      <c r="M9" s="483"/>
      <c r="N9" s="483"/>
      <c r="O9" s="483"/>
      <c r="P9" s="483"/>
      <c r="Q9" s="486"/>
      <c r="S9" s="482"/>
      <c r="T9" s="529"/>
      <c r="U9" s="542"/>
    </row>
    <row r="10" spans="3:21" ht="20.100000000000001" customHeight="1">
      <c r="C10" s="437"/>
      <c r="D10" s="438"/>
      <c r="E10" s="438"/>
      <c r="F10" s="438"/>
      <c r="G10" s="438"/>
      <c r="H10" s="438"/>
      <c r="I10" s="438"/>
      <c r="J10" s="439"/>
      <c r="K10" s="535"/>
      <c r="L10" s="437"/>
      <c r="M10" s="438"/>
      <c r="N10" s="438"/>
      <c r="O10" s="438"/>
      <c r="P10" s="438"/>
      <c r="Q10" s="441"/>
      <c r="S10" s="437"/>
      <c r="T10" s="444"/>
      <c r="U10" s="439"/>
    </row>
    <row r="11" spans="3:21" ht="20.100000000000001" customHeight="1">
      <c r="C11" s="482"/>
      <c r="D11" s="483"/>
      <c r="E11" s="483"/>
      <c r="F11" s="483"/>
      <c r="G11" s="483"/>
      <c r="H11" s="483"/>
      <c r="I11" s="483"/>
      <c r="J11" s="542"/>
      <c r="K11" s="535"/>
      <c r="L11" s="482"/>
      <c r="M11" s="483"/>
      <c r="N11" s="483"/>
      <c r="O11" s="483"/>
      <c r="P11" s="483"/>
      <c r="Q11" s="486"/>
      <c r="S11" s="482"/>
      <c r="T11" s="529"/>
      <c r="U11" s="542"/>
    </row>
    <row r="12" spans="3:21" ht="20.100000000000001" customHeight="1">
      <c r="C12" s="437"/>
      <c r="D12" s="438"/>
      <c r="E12" s="438"/>
      <c r="F12" s="438"/>
      <c r="G12" s="438"/>
      <c r="H12" s="438"/>
      <c r="I12" s="438"/>
      <c r="J12" s="439"/>
      <c r="K12" s="535"/>
      <c r="L12" s="437"/>
      <c r="M12" s="438"/>
      <c r="N12" s="438"/>
      <c r="O12" s="438"/>
      <c r="P12" s="438"/>
      <c r="Q12" s="441"/>
      <c r="S12" s="437"/>
      <c r="T12" s="444"/>
      <c r="U12" s="439"/>
    </row>
    <row r="13" spans="3:21" ht="20.100000000000001" customHeight="1">
      <c r="C13" s="482"/>
      <c r="D13" s="483"/>
      <c r="E13" s="483"/>
      <c r="F13" s="483"/>
      <c r="G13" s="483"/>
      <c r="H13" s="483"/>
      <c r="I13" s="483"/>
      <c r="J13" s="542"/>
      <c r="K13" s="535"/>
      <c r="L13" s="482"/>
      <c r="M13" s="483"/>
      <c r="N13" s="483"/>
      <c r="O13" s="483"/>
      <c r="P13" s="483"/>
      <c r="Q13" s="486"/>
      <c r="S13" s="482"/>
      <c r="T13" s="529"/>
      <c r="U13" s="542"/>
    </row>
    <row r="14" spans="3:21" ht="20.100000000000001" customHeight="1">
      <c r="C14" s="437"/>
      <c r="D14" s="438"/>
      <c r="E14" s="438"/>
      <c r="F14" s="438"/>
      <c r="G14" s="438"/>
      <c r="H14" s="438"/>
      <c r="I14" s="438"/>
      <c r="J14" s="439"/>
      <c r="K14" s="535"/>
      <c r="L14" s="437"/>
      <c r="M14" s="438"/>
      <c r="N14" s="438"/>
      <c r="O14" s="438"/>
      <c r="P14" s="438"/>
      <c r="Q14" s="441"/>
      <c r="S14" s="437"/>
      <c r="T14" s="444"/>
      <c r="U14" s="439"/>
    </row>
    <row r="15" spans="3:21" ht="20.100000000000001" customHeight="1">
      <c r="C15" s="482"/>
      <c r="D15" s="483"/>
      <c r="E15" s="483"/>
      <c r="F15" s="483"/>
      <c r="G15" s="483"/>
      <c r="H15" s="483"/>
      <c r="I15" s="483"/>
      <c r="J15" s="542"/>
      <c r="K15" s="535"/>
      <c r="L15" s="482"/>
      <c r="M15" s="483"/>
      <c r="N15" s="483"/>
      <c r="O15" s="483"/>
      <c r="P15" s="483"/>
      <c r="Q15" s="486"/>
      <c r="S15" s="482"/>
      <c r="T15" s="529"/>
      <c r="U15" s="542"/>
    </row>
    <row r="16" spans="3:21" ht="20.100000000000001" customHeight="1">
      <c r="C16" s="437"/>
      <c r="D16" s="438"/>
      <c r="E16" s="438"/>
      <c r="F16" s="438"/>
      <c r="G16" s="438"/>
      <c r="H16" s="438"/>
      <c r="I16" s="438"/>
      <c r="J16" s="439"/>
      <c r="K16" s="535"/>
      <c r="L16" s="437"/>
      <c r="M16" s="438"/>
      <c r="N16" s="438"/>
      <c r="O16" s="438"/>
      <c r="P16" s="438"/>
      <c r="Q16" s="441"/>
      <c r="S16" s="437"/>
      <c r="T16" s="444"/>
      <c r="U16" s="439"/>
    </row>
    <row r="17" spans="3:21" ht="20.100000000000001" customHeight="1">
      <c r="C17" s="482"/>
      <c r="D17" s="483"/>
      <c r="E17" s="483"/>
      <c r="F17" s="483"/>
      <c r="G17" s="483"/>
      <c r="H17" s="483"/>
      <c r="I17" s="483"/>
      <c r="J17" s="542"/>
      <c r="K17" s="535"/>
      <c r="L17" s="482"/>
      <c r="M17" s="483"/>
      <c r="N17" s="483"/>
      <c r="O17" s="483"/>
      <c r="P17" s="483"/>
      <c r="Q17" s="486"/>
      <c r="S17" s="482"/>
      <c r="T17" s="529"/>
      <c r="U17" s="542"/>
    </row>
    <row r="18" spans="3:21" ht="20.100000000000001" customHeight="1">
      <c r="C18" s="437"/>
      <c r="D18" s="438"/>
      <c r="E18" s="438"/>
      <c r="F18" s="438"/>
      <c r="G18" s="438"/>
      <c r="H18" s="438"/>
      <c r="I18" s="438"/>
      <c r="J18" s="439"/>
      <c r="K18" s="535"/>
      <c r="L18" s="437"/>
      <c r="M18" s="438"/>
      <c r="N18" s="438"/>
      <c r="O18" s="438"/>
      <c r="P18" s="438"/>
      <c r="Q18" s="441"/>
      <c r="S18" s="437"/>
      <c r="T18" s="444"/>
      <c r="U18" s="439"/>
    </row>
    <row r="19" spans="3:21" ht="20.100000000000001" customHeight="1">
      <c r="C19" s="482"/>
      <c r="D19" s="483"/>
      <c r="E19" s="483"/>
      <c r="F19" s="483"/>
      <c r="G19" s="483"/>
      <c r="H19" s="483"/>
      <c r="I19" s="483"/>
      <c r="J19" s="542"/>
      <c r="K19" s="535"/>
      <c r="L19" s="482"/>
      <c r="M19" s="483"/>
      <c r="N19" s="483"/>
      <c r="O19" s="483"/>
      <c r="P19" s="483"/>
      <c r="Q19" s="486"/>
      <c r="S19" s="482"/>
      <c r="T19" s="529"/>
      <c r="U19" s="542"/>
    </row>
    <row r="20" spans="3:21" ht="20.100000000000001" customHeight="1">
      <c r="C20" s="437"/>
      <c r="D20" s="438"/>
      <c r="E20" s="438"/>
      <c r="F20" s="438"/>
      <c r="G20" s="438"/>
      <c r="H20" s="438"/>
      <c r="I20" s="438"/>
      <c r="J20" s="439"/>
      <c r="K20" s="535"/>
      <c r="L20" s="437"/>
      <c r="M20" s="438"/>
      <c r="N20" s="438"/>
      <c r="O20" s="438"/>
      <c r="P20" s="438"/>
      <c r="Q20" s="441"/>
      <c r="S20" s="437"/>
      <c r="T20" s="444"/>
      <c r="U20" s="439"/>
    </row>
    <row r="21" spans="3:21" ht="20.100000000000001" customHeight="1">
      <c r="C21" s="482"/>
      <c r="D21" s="483"/>
      <c r="E21" s="483"/>
      <c r="F21" s="483"/>
      <c r="G21" s="483"/>
      <c r="H21" s="483"/>
      <c r="I21" s="483"/>
      <c r="J21" s="542"/>
      <c r="K21" s="535"/>
      <c r="L21" s="482"/>
      <c r="M21" s="483"/>
      <c r="N21" s="483"/>
      <c r="O21" s="483"/>
      <c r="P21" s="483"/>
      <c r="Q21" s="486"/>
      <c r="S21" s="482"/>
      <c r="T21" s="529"/>
      <c r="U21" s="542"/>
    </row>
    <row r="22" spans="3:21" ht="20.100000000000001" customHeight="1">
      <c r="C22" s="437"/>
      <c r="D22" s="438"/>
      <c r="E22" s="438"/>
      <c r="F22" s="438"/>
      <c r="G22" s="438"/>
      <c r="H22" s="438"/>
      <c r="I22" s="438"/>
      <c r="J22" s="439"/>
      <c r="K22" s="535"/>
      <c r="L22" s="437"/>
      <c r="M22" s="438"/>
      <c r="N22" s="438"/>
      <c r="O22" s="438"/>
      <c r="P22" s="438"/>
      <c r="Q22" s="441"/>
      <c r="S22" s="437"/>
      <c r="T22" s="444"/>
      <c r="U22" s="439"/>
    </row>
    <row r="23" spans="3:21" ht="20.100000000000001" customHeight="1">
      <c r="C23" s="482"/>
      <c r="D23" s="483"/>
      <c r="E23" s="483"/>
      <c r="F23" s="483"/>
      <c r="G23" s="483"/>
      <c r="H23" s="483"/>
      <c r="I23" s="483"/>
      <c r="J23" s="542"/>
      <c r="K23" s="535"/>
      <c r="L23" s="482"/>
      <c r="M23" s="483"/>
      <c r="N23" s="483"/>
      <c r="O23" s="483"/>
      <c r="P23" s="483"/>
      <c r="Q23" s="486"/>
      <c r="S23" s="482"/>
      <c r="T23" s="529"/>
      <c r="U23" s="542"/>
    </row>
    <row r="24" spans="3:21" ht="20.100000000000001" customHeight="1">
      <c r="C24" s="437"/>
      <c r="D24" s="438"/>
      <c r="E24" s="438"/>
      <c r="F24" s="438"/>
      <c r="G24" s="438"/>
      <c r="H24" s="438"/>
      <c r="I24" s="438"/>
      <c r="J24" s="439"/>
      <c r="K24" s="535"/>
      <c r="L24" s="437"/>
      <c r="M24" s="438"/>
      <c r="N24" s="438"/>
      <c r="O24" s="438"/>
      <c r="P24" s="438"/>
      <c r="Q24" s="441"/>
      <c r="S24" s="437"/>
      <c r="T24" s="444"/>
      <c r="U24" s="439"/>
    </row>
    <row r="25" spans="3:21" ht="20.100000000000001" customHeight="1">
      <c r="C25" s="482"/>
      <c r="D25" s="483"/>
      <c r="E25" s="483"/>
      <c r="F25" s="483"/>
      <c r="G25" s="483"/>
      <c r="H25" s="483"/>
      <c r="I25" s="483"/>
      <c r="J25" s="542"/>
      <c r="K25" s="535"/>
      <c r="L25" s="482"/>
      <c r="M25" s="483"/>
      <c r="N25" s="483"/>
      <c r="O25" s="483"/>
      <c r="P25" s="483"/>
      <c r="Q25" s="486"/>
      <c r="S25" s="482"/>
      <c r="T25" s="529"/>
      <c r="U25" s="542"/>
    </row>
    <row r="26" spans="3:21" ht="20.100000000000001" customHeight="1">
      <c r="C26" s="437"/>
      <c r="D26" s="438"/>
      <c r="E26" s="438"/>
      <c r="F26" s="438"/>
      <c r="G26" s="438"/>
      <c r="H26" s="438"/>
      <c r="I26" s="438"/>
      <c r="J26" s="439"/>
      <c r="K26" s="535"/>
      <c r="L26" s="437"/>
      <c r="M26" s="438"/>
      <c r="N26" s="438"/>
      <c r="O26" s="438"/>
      <c r="P26" s="438"/>
      <c r="Q26" s="441"/>
      <c r="S26" s="437"/>
      <c r="T26" s="444"/>
      <c r="U26" s="439"/>
    </row>
    <row r="27" spans="3:21" ht="20.100000000000001" customHeight="1">
      <c r="C27" s="482"/>
      <c r="D27" s="483"/>
      <c r="E27" s="483"/>
      <c r="F27" s="483"/>
      <c r="G27" s="483"/>
      <c r="H27" s="483"/>
      <c r="I27" s="483"/>
      <c r="J27" s="542"/>
      <c r="K27" s="535"/>
      <c r="L27" s="482"/>
      <c r="M27" s="483"/>
      <c r="N27" s="483"/>
      <c r="O27" s="483"/>
      <c r="P27" s="483"/>
      <c r="Q27" s="486"/>
      <c r="S27" s="482"/>
      <c r="T27" s="529"/>
      <c r="U27" s="542"/>
    </row>
    <row r="28" spans="3:21" ht="20.100000000000001" customHeight="1">
      <c r="C28" s="437"/>
      <c r="D28" s="438"/>
      <c r="E28" s="438"/>
      <c r="F28" s="438"/>
      <c r="G28" s="438"/>
      <c r="H28" s="438"/>
      <c r="I28" s="438"/>
      <c r="J28" s="439"/>
      <c r="K28" s="535"/>
      <c r="L28" s="437"/>
      <c r="M28" s="438"/>
      <c r="N28" s="438"/>
      <c r="O28" s="438"/>
      <c r="P28" s="438"/>
      <c r="Q28" s="441"/>
      <c r="S28" s="437"/>
      <c r="T28" s="444"/>
      <c r="U28" s="439"/>
    </row>
    <row r="29" spans="3:21" ht="20.100000000000001" customHeight="1">
      <c r="C29" s="482"/>
      <c r="D29" s="483"/>
      <c r="E29" s="483"/>
      <c r="F29" s="483"/>
      <c r="G29" s="483"/>
      <c r="H29" s="483"/>
      <c r="I29" s="483"/>
      <c r="J29" s="542"/>
      <c r="K29" s="535"/>
      <c r="L29" s="482"/>
      <c r="M29" s="483"/>
      <c r="N29" s="483"/>
      <c r="O29" s="483"/>
      <c r="P29" s="483"/>
      <c r="Q29" s="486"/>
      <c r="S29" s="482"/>
      <c r="T29" s="529"/>
      <c r="U29" s="542"/>
    </row>
    <row r="30" spans="3:21" ht="20.100000000000001" customHeight="1">
      <c r="C30" s="437"/>
      <c r="D30" s="438"/>
      <c r="E30" s="438"/>
      <c r="F30" s="438"/>
      <c r="G30" s="438"/>
      <c r="H30" s="438"/>
      <c r="I30" s="438"/>
      <c r="J30" s="439"/>
      <c r="K30" s="535"/>
      <c r="L30" s="437"/>
      <c r="M30" s="438"/>
      <c r="N30" s="438"/>
      <c r="O30" s="438"/>
      <c r="P30" s="438"/>
      <c r="Q30" s="441"/>
      <c r="S30" s="437"/>
      <c r="T30" s="444"/>
      <c r="U30" s="439"/>
    </row>
    <row r="31" spans="3:21" ht="20.100000000000001" customHeight="1">
      <c r="C31" s="482"/>
      <c r="D31" s="483"/>
      <c r="E31" s="483"/>
      <c r="F31" s="483"/>
      <c r="G31" s="483"/>
      <c r="H31" s="483"/>
      <c r="I31" s="483"/>
      <c r="J31" s="542"/>
      <c r="K31" s="535"/>
      <c r="L31" s="482"/>
      <c r="M31" s="483"/>
      <c r="N31" s="483"/>
      <c r="O31" s="483"/>
      <c r="P31" s="483"/>
      <c r="Q31" s="486"/>
      <c r="S31" s="482"/>
      <c r="T31" s="529"/>
      <c r="U31" s="542"/>
    </row>
    <row r="32" spans="3:21" ht="20.100000000000001" customHeight="1">
      <c r="C32" s="437"/>
      <c r="D32" s="438"/>
      <c r="E32" s="438"/>
      <c r="F32" s="438"/>
      <c r="G32" s="438"/>
      <c r="H32" s="438"/>
      <c r="I32" s="438"/>
      <c r="J32" s="439"/>
      <c r="K32" s="535"/>
      <c r="L32" s="437"/>
      <c r="M32" s="438"/>
      <c r="N32" s="438"/>
      <c r="O32" s="438"/>
      <c r="P32" s="438"/>
      <c r="Q32" s="441"/>
      <c r="S32" s="437"/>
      <c r="T32" s="444"/>
      <c r="U32" s="439"/>
    </row>
    <row r="33" spans="3:36" ht="20.100000000000001" customHeight="1" thickBot="1">
      <c r="C33" s="487"/>
      <c r="D33" s="543"/>
      <c r="E33" s="543"/>
      <c r="F33" s="543"/>
      <c r="G33" s="543"/>
      <c r="H33" s="543"/>
      <c r="I33" s="543"/>
      <c r="J33" s="544"/>
      <c r="K33" s="535"/>
      <c r="L33" s="545"/>
      <c r="M33" s="543"/>
      <c r="N33" s="543"/>
      <c r="O33" s="543"/>
      <c r="P33" s="543"/>
      <c r="Q33" s="546"/>
      <c r="S33" s="545"/>
      <c r="T33" s="548"/>
      <c r="U33" s="544"/>
    </row>
    <row r="34" spans="3:36" ht="20.100000000000001" customHeight="1">
      <c r="D34" s="535"/>
      <c r="E34" s="535"/>
      <c r="F34" s="535"/>
      <c r="G34" s="535"/>
      <c r="H34" s="535"/>
      <c r="I34" s="535"/>
      <c r="J34" s="606"/>
      <c r="K34" s="535"/>
      <c r="L34" s="535"/>
      <c r="M34" s="535"/>
      <c r="N34" s="535"/>
      <c r="O34" s="535"/>
      <c r="P34" s="535"/>
      <c r="Q34" s="535"/>
      <c r="S34" s="535"/>
      <c r="T34" s="606"/>
      <c r="U34" s="606"/>
    </row>
    <row r="35" spans="3:36" ht="20.100000000000001" customHeight="1">
      <c r="H35" s="607"/>
      <c r="J35" s="608"/>
      <c r="K35" s="608"/>
      <c r="L35" s="608"/>
      <c r="M35" s="608"/>
      <c r="N35" s="608"/>
      <c r="O35" s="608"/>
      <c r="P35" s="608"/>
      <c r="S35" s="535"/>
      <c r="T35" s="606"/>
      <c r="U35" s="606"/>
    </row>
    <row r="36" spans="3:36" s="535" customFormat="1" ht="26.25" customHeight="1" thickBot="1">
      <c r="D36" s="584" t="s">
        <v>240</v>
      </c>
      <c r="F36" s="584" t="s">
        <v>648</v>
      </c>
      <c r="H36" s="587"/>
      <c r="T36" s="606"/>
      <c r="U36" s="606"/>
    </row>
    <row r="37" spans="3:36" s="609" customFormat="1" ht="36" customHeight="1">
      <c r="D37" s="618" t="s">
        <v>262</v>
      </c>
      <c r="E37" s="619" t="s">
        <v>226</v>
      </c>
      <c r="F37" s="619" t="s">
        <v>227</v>
      </c>
      <c r="G37" s="619" t="s">
        <v>228</v>
      </c>
      <c r="H37" s="634" t="s">
        <v>332</v>
      </c>
      <c r="I37" s="619" t="s">
        <v>333</v>
      </c>
      <c r="J37" s="619"/>
      <c r="K37" s="619"/>
      <c r="L37" s="619"/>
      <c r="M37" s="619"/>
      <c r="N37" s="619"/>
      <c r="O37" s="619"/>
      <c r="P37" s="619"/>
      <c r="Q37" s="619"/>
      <c r="R37" s="619"/>
      <c r="S37" s="619"/>
      <c r="T37" s="619"/>
      <c r="U37" s="619"/>
      <c r="V37" s="619"/>
      <c r="W37" s="619"/>
      <c r="X37" s="619"/>
      <c r="Y37" s="619"/>
      <c r="Z37" s="619"/>
      <c r="AA37" s="619"/>
      <c r="AB37" s="619"/>
      <c r="AC37" s="619"/>
      <c r="AD37" s="619"/>
      <c r="AE37" s="619"/>
      <c r="AF37" s="619"/>
      <c r="AG37" s="619"/>
      <c r="AH37" s="620"/>
      <c r="AI37" s="534"/>
      <c r="AJ37" s="535"/>
    </row>
    <row r="38" spans="3:36" s="535" customFormat="1" ht="23.1" customHeight="1">
      <c r="D38" s="549" t="s">
        <v>243</v>
      </c>
      <c r="E38" s="550">
        <v>11.5608</v>
      </c>
      <c r="F38" s="442">
        <v>13.962199999999999</v>
      </c>
      <c r="G38" s="550">
        <v>10.413600000000001</v>
      </c>
      <c r="H38" s="442">
        <v>9.6981999999999999</v>
      </c>
      <c r="I38" s="550">
        <v>10.401900000000001</v>
      </c>
      <c r="J38" s="445"/>
      <c r="K38" s="551"/>
      <c r="L38" s="445"/>
      <c r="M38" s="551"/>
      <c r="N38" s="445"/>
      <c r="O38" s="551"/>
      <c r="P38" s="445"/>
      <c r="Q38" s="550"/>
      <c r="R38" s="442"/>
      <c r="S38" s="550"/>
      <c r="T38" s="442"/>
      <c r="U38" s="550"/>
      <c r="V38" s="442"/>
      <c r="W38" s="550"/>
      <c r="X38" s="442"/>
      <c r="Y38" s="550"/>
      <c r="Z38" s="442"/>
      <c r="AA38" s="550"/>
      <c r="AB38" s="442"/>
      <c r="AC38" s="550"/>
      <c r="AD38" s="442"/>
      <c r="AE38" s="550"/>
      <c r="AF38" s="442"/>
      <c r="AG38" s="550"/>
      <c r="AH38" s="499"/>
    </row>
    <row r="39" spans="3:36" s="535" customFormat="1" ht="23.1" customHeight="1">
      <c r="D39" s="549" t="s">
        <v>231</v>
      </c>
      <c r="E39" s="550">
        <v>4.1279999999999997E-2</v>
      </c>
      <c r="F39" s="442">
        <v>4.9860000000000002E-2</v>
      </c>
      <c r="G39" s="550">
        <v>4.5870000000000001E-2</v>
      </c>
      <c r="H39" s="442">
        <v>5.3870000000000001E-2</v>
      </c>
      <c r="I39" s="550">
        <v>4.4260000000000001E-2</v>
      </c>
      <c r="J39" s="445"/>
      <c r="K39" s="551"/>
      <c r="L39" s="445"/>
      <c r="M39" s="551"/>
      <c r="N39" s="445"/>
      <c r="O39" s="551"/>
      <c r="P39" s="445"/>
      <c r="Q39" s="550"/>
      <c r="R39" s="442"/>
      <c r="S39" s="550"/>
      <c r="T39" s="442"/>
      <c r="U39" s="550"/>
      <c r="V39" s="442"/>
      <c r="W39" s="550"/>
      <c r="X39" s="442"/>
      <c r="Y39" s="550"/>
      <c r="Z39" s="442"/>
      <c r="AA39" s="550"/>
      <c r="AB39" s="442"/>
      <c r="AC39" s="550"/>
      <c r="AD39" s="442"/>
      <c r="AE39" s="550"/>
      <c r="AF39" s="442"/>
      <c r="AG39" s="550"/>
      <c r="AH39" s="499"/>
    </row>
    <row r="40" spans="3:36" s="535" customFormat="1" ht="23.1" customHeight="1">
      <c r="D40" s="549" t="s">
        <v>232</v>
      </c>
      <c r="E40" s="552">
        <v>6.0990000000000003E-4</v>
      </c>
      <c r="F40" s="443">
        <v>6.0990000000000003E-4</v>
      </c>
      <c r="G40" s="552">
        <v>6.0990000000000003E-4</v>
      </c>
      <c r="H40" s="443">
        <v>6.0990000000000003E-4</v>
      </c>
      <c r="I40" s="552">
        <v>6.0990000000000003E-4</v>
      </c>
      <c r="J40" s="446"/>
      <c r="K40" s="553"/>
      <c r="L40" s="446"/>
      <c r="M40" s="553"/>
      <c r="N40" s="446"/>
      <c r="O40" s="553"/>
      <c r="P40" s="446"/>
      <c r="Q40" s="552"/>
      <c r="R40" s="443"/>
      <c r="S40" s="552"/>
      <c r="T40" s="443"/>
      <c r="U40" s="552"/>
      <c r="V40" s="443"/>
      <c r="W40" s="552"/>
      <c r="X40" s="443"/>
      <c r="Y40" s="552"/>
      <c r="Z40" s="443"/>
      <c r="AA40" s="552"/>
      <c r="AB40" s="443"/>
      <c r="AC40" s="552"/>
      <c r="AD40" s="443"/>
      <c r="AE40" s="552"/>
      <c r="AF40" s="443"/>
      <c r="AG40" s="552"/>
      <c r="AH40" s="450"/>
    </row>
    <row r="41" spans="3:36" s="535" customFormat="1" ht="23.1" customHeight="1">
      <c r="D41" s="549" t="s">
        <v>641</v>
      </c>
      <c r="E41" s="550">
        <v>0.375</v>
      </c>
      <c r="F41" s="442">
        <v>0.54159999999999997</v>
      </c>
      <c r="G41" s="550">
        <v>0.54159999999999997</v>
      </c>
      <c r="H41" s="442">
        <v>0.5</v>
      </c>
      <c r="I41" s="550">
        <v>0.5</v>
      </c>
      <c r="J41" s="445"/>
      <c r="K41" s="551"/>
      <c r="L41" s="445"/>
      <c r="M41" s="551"/>
      <c r="N41" s="445"/>
      <c r="O41" s="551"/>
      <c r="P41" s="445"/>
      <c r="Q41" s="550"/>
      <c r="R41" s="442"/>
      <c r="S41" s="550"/>
      <c r="T41" s="442"/>
      <c r="U41" s="550"/>
      <c r="V41" s="442"/>
      <c r="W41" s="550"/>
      <c r="X41" s="442"/>
      <c r="Y41" s="550"/>
      <c r="Z41" s="442"/>
      <c r="AA41" s="550"/>
      <c r="AB41" s="442"/>
      <c r="AC41" s="550"/>
      <c r="AD41" s="442"/>
      <c r="AE41" s="550"/>
      <c r="AF41" s="442"/>
      <c r="AG41" s="550"/>
      <c r="AH41" s="499"/>
    </row>
    <row r="42" spans="3:36" s="535" customFormat="1" ht="23.1" customHeight="1">
      <c r="D42" s="549" t="s">
        <v>242</v>
      </c>
      <c r="E42" s="529">
        <v>9.7900000000000009</v>
      </c>
      <c r="F42" s="444">
        <v>11.27</v>
      </c>
      <c r="G42" s="529">
        <v>17.919999999999998</v>
      </c>
      <c r="H42" s="444">
        <v>21.28</v>
      </c>
      <c r="I42" s="529">
        <v>17.04</v>
      </c>
      <c r="J42" s="447"/>
      <c r="K42" s="555"/>
      <c r="L42" s="447"/>
      <c r="M42" s="555"/>
      <c r="N42" s="447"/>
      <c r="O42" s="555"/>
      <c r="P42" s="447"/>
      <c r="Q42" s="529"/>
      <c r="R42" s="444"/>
      <c r="S42" s="529"/>
      <c r="T42" s="444"/>
      <c r="U42" s="529"/>
      <c r="V42" s="444"/>
      <c r="W42" s="529"/>
      <c r="X42" s="444"/>
      <c r="Y42" s="529"/>
      <c r="Z42" s="444"/>
      <c r="AA42" s="529"/>
      <c r="AB42" s="444"/>
      <c r="AC42" s="529"/>
      <c r="AD42" s="444"/>
      <c r="AE42" s="529"/>
      <c r="AF42" s="444"/>
      <c r="AG42" s="529"/>
      <c r="AH42" s="439"/>
    </row>
    <row r="43" spans="3:36" s="535" customFormat="1" ht="23.1" customHeight="1" thickBot="1">
      <c r="D43" s="556" t="s">
        <v>241</v>
      </c>
      <c r="E43" s="488">
        <v>280</v>
      </c>
      <c r="F43" s="440">
        <v>280</v>
      </c>
      <c r="G43" s="488">
        <v>227</v>
      </c>
      <c r="H43" s="440">
        <v>180</v>
      </c>
      <c r="I43" s="488">
        <v>235</v>
      </c>
      <c r="J43" s="448"/>
      <c r="K43" s="557"/>
      <c r="L43" s="448"/>
      <c r="M43" s="557"/>
      <c r="N43" s="448"/>
      <c r="O43" s="557"/>
      <c r="P43" s="448"/>
      <c r="Q43" s="488"/>
      <c r="R43" s="440"/>
      <c r="S43" s="488"/>
      <c r="T43" s="500"/>
      <c r="U43" s="558"/>
      <c r="V43" s="440"/>
      <c r="W43" s="488"/>
      <c r="X43" s="440"/>
      <c r="Y43" s="488"/>
      <c r="Z43" s="440"/>
      <c r="AA43" s="488"/>
      <c r="AB43" s="440"/>
      <c r="AC43" s="488"/>
      <c r="AD43" s="440"/>
      <c r="AE43" s="488"/>
      <c r="AF43" s="440"/>
      <c r="AG43" s="488"/>
      <c r="AH43" s="501"/>
    </row>
    <row r="44" spans="3:36" ht="20.100000000000001" customHeight="1">
      <c r="D44" s="610"/>
      <c r="E44" s="610"/>
      <c r="F44" s="608"/>
      <c r="G44" s="610"/>
      <c r="H44" s="607"/>
      <c r="T44" s="611"/>
      <c r="U44" s="611"/>
    </row>
    <row r="45" spans="3:36" ht="20.100000000000001" customHeight="1">
      <c r="D45" s="535"/>
      <c r="E45" s="535"/>
      <c r="F45" s="535"/>
      <c r="G45" s="535"/>
      <c r="H45" s="535"/>
      <c r="I45" s="535"/>
      <c r="J45" s="606"/>
      <c r="K45" s="535"/>
      <c r="L45" s="535"/>
      <c r="M45" s="535"/>
      <c r="N45" s="535"/>
      <c r="O45" s="535"/>
      <c r="P45" s="535"/>
      <c r="Q45" s="535"/>
      <c r="T45" s="611"/>
      <c r="U45" s="611"/>
    </row>
    <row r="46" spans="3:36" ht="32.25" customHeight="1" thickBot="1">
      <c r="C46" s="584" t="s">
        <v>642</v>
      </c>
      <c r="D46" s="535"/>
      <c r="E46" s="535"/>
      <c r="F46" s="535"/>
      <c r="G46" s="535"/>
      <c r="H46" s="612"/>
      <c r="I46" s="584"/>
      <c r="J46" s="613"/>
      <c r="K46" s="535"/>
      <c r="L46" s="535"/>
      <c r="M46" s="535"/>
      <c r="N46" s="535"/>
      <c r="P46" s="612"/>
      <c r="Q46" s="535"/>
      <c r="R46" s="535"/>
    </row>
    <row r="47" spans="3:36" s="535" customFormat="1" ht="33.75" customHeight="1">
      <c r="C47" s="621" t="s">
        <v>283</v>
      </c>
      <c r="D47" s="622" t="s">
        <v>680</v>
      </c>
      <c r="E47" s="622" t="s">
        <v>715</v>
      </c>
      <c r="F47" s="623" t="s">
        <v>716</v>
      </c>
      <c r="H47" s="621" t="s">
        <v>206</v>
      </c>
      <c r="I47" s="622" t="s">
        <v>717</v>
      </c>
      <c r="J47" s="624" t="s">
        <v>107</v>
      </c>
      <c r="K47" s="622" t="s">
        <v>721</v>
      </c>
      <c r="L47" s="622" t="s">
        <v>718</v>
      </c>
      <c r="M47" s="622" t="s">
        <v>211</v>
      </c>
      <c r="N47" s="623" t="s">
        <v>210</v>
      </c>
      <c r="P47" s="621" t="s">
        <v>206</v>
      </c>
      <c r="Q47" s="622" t="s">
        <v>719</v>
      </c>
      <c r="R47" s="623" t="s">
        <v>720</v>
      </c>
    </row>
    <row r="48" spans="3:36" ht="20.100000000000001" customHeight="1">
      <c r="C48" s="727" t="s">
        <v>85</v>
      </c>
      <c r="D48" s="279" t="s">
        <v>686</v>
      </c>
      <c r="E48" s="550">
        <v>8.8916000000000004</v>
      </c>
      <c r="F48" s="554">
        <v>6.0990000000000003E-4</v>
      </c>
      <c r="G48" s="535"/>
      <c r="H48" s="573" t="s">
        <v>226</v>
      </c>
      <c r="I48" s="484">
        <v>38.6</v>
      </c>
      <c r="J48" s="484">
        <v>47.3</v>
      </c>
      <c r="K48" s="484">
        <v>126.5</v>
      </c>
      <c r="L48" s="484">
        <v>70.8</v>
      </c>
      <c r="M48" s="484">
        <v>126.5</v>
      </c>
      <c r="N48" s="574">
        <v>38.6</v>
      </c>
      <c r="P48" s="577" t="s">
        <v>226</v>
      </c>
      <c r="Q48" s="550">
        <v>-2.7279330899366867</v>
      </c>
      <c r="R48" s="578">
        <v>1.53</v>
      </c>
    </row>
    <row r="49" spans="3:18" ht="20.100000000000001" customHeight="1">
      <c r="C49" s="728"/>
      <c r="D49" s="279" t="s">
        <v>687</v>
      </c>
      <c r="E49" s="550">
        <v>14.23</v>
      </c>
      <c r="F49" s="486"/>
      <c r="G49" s="535"/>
      <c r="H49" s="453" t="s">
        <v>227</v>
      </c>
      <c r="I49" s="454">
        <v>54.7</v>
      </c>
      <c r="J49" s="454">
        <v>67</v>
      </c>
      <c r="K49" s="454">
        <v>167</v>
      </c>
      <c r="L49" s="454">
        <v>96.2</v>
      </c>
      <c r="M49" s="454">
        <v>167</v>
      </c>
      <c r="N49" s="455">
        <v>54.7</v>
      </c>
      <c r="P49" s="456" t="s">
        <v>227</v>
      </c>
      <c r="Q49" s="442">
        <v>-2.2735958369803471</v>
      </c>
      <c r="R49" s="457">
        <v>0.97099999999999997</v>
      </c>
    </row>
    <row r="50" spans="3:18" ht="20.100000000000001" customHeight="1">
      <c r="C50" s="729"/>
      <c r="D50" s="279" t="s">
        <v>688</v>
      </c>
      <c r="E50" s="480">
        <v>11.5608</v>
      </c>
      <c r="F50" s="481">
        <v>6.0990000000000003E-4</v>
      </c>
      <c r="G50" s="535"/>
      <c r="H50" s="573" t="s">
        <v>228</v>
      </c>
      <c r="I50" s="484">
        <v>66.2</v>
      </c>
      <c r="J50" s="484">
        <v>81.099999999999994</v>
      </c>
      <c r="K50" s="484">
        <v>144.19999999999999</v>
      </c>
      <c r="L50" s="484">
        <v>97.2</v>
      </c>
      <c r="M50" s="484">
        <v>144.19999999999999</v>
      </c>
      <c r="N50" s="574">
        <v>66.2</v>
      </c>
      <c r="P50" s="577" t="s">
        <v>228</v>
      </c>
      <c r="Q50" s="550">
        <v>-2.895423120336063</v>
      </c>
      <c r="R50" s="578">
        <v>1.8089999999999999</v>
      </c>
    </row>
    <row r="51" spans="3:18" ht="20.100000000000001" customHeight="1">
      <c r="C51" s="721" t="s">
        <v>154</v>
      </c>
      <c r="D51" s="449" t="s">
        <v>686</v>
      </c>
      <c r="E51" s="442">
        <v>13.6944</v>
      </c>
      <c r="F51" s="450">
        <v>6.0990000000000003E-4</v>
      </c>
      <c r="G51" s="535"/>
      <c r="H51" s="453" t="s">
        <v>332</v>
      </c>
      <c r="I51" s="454">
        <v>75.099999999999994</v>
      </c>
      <c r="J51" s="454">
        <v>92</v>
      </c>
      <c r="K51" s="454">
        <v>133.69999999999999</v>
      </c>
      <c r="L51" s="454">
        <v>100.3</v>
      </c>
      <c r="M51" s="454">
        <v>133.69999999999999</v>
      </c>
      <c r="N51" s="455">
        <v>75.099999999999994</v>
      </c>
      <c r="P51" s="456" t="s">
        <v>332</v>
      </c>
      <c r="Q51" s="442">
        <v>-2.9717121228183792</v>
      </c>
      <c r="R51" s="457">
        <v>1.9530000000000001</v>
      </c>
    </row>
    <row r="52" spans="3:18" ht="20.100000000000001" customHeight="1">
      <c r="C52" s="721"/>
      <c r="D52" s="449" t="s">
        <v>687</v>
      </c>
      <c r="E52" s="442">
        <v>14.23</v>
      </c>
      <c r="F52" s="441"/>
      <c r="G52" s="535"/>
      <c r="H52" s="573" t="s">
        <v>333</v>
      </c>
      <c r="I52" s="484">
        <v>60.9</v>
      </c>
      <c r="J52" s="484">
        <v>74.599999999999994</v>
      </c>
      <c r="K52" s="484">
        <v>138.5</v>
      </c>
      <c r="L52" s="484">
        <v>91.3</v>
      </c>
      <c r="M52" s="484">
        <v>138.5</v>
      </c>
      <c r="N52" s="574">
        <v>60.9</v>
      </c>
      <c r="P52" s="577" t="s">
        <v>333</v>
      </c>
      <c r="Q52" s="550">
        <v>-2.8962290126663195</v>
      </c>
      <c r="R52" s="578">
        <v>1.8109999999999999</v>
      </c>
    </row>
    <row r="53" spans="3:18" ht="20.100000000000001" customHeight="1">
      <c r="C53" s="721"/>
      <c r="D53" s="449" t="s">
        <v>688</v>
      </c>
      <c r="E53" s="451">
        <v>13.962199999999999</v>
      </c>
      <c r="F53" s="452">
        <v>6.0990000000000003E-4</v>
      </c>
      <c r="G53" s="535"/>
      <c r="H53" s="453"/>
      <c r="I53" s="454"/>
      <c r="J53" s="454"/>
      <c r="K53" s="454"/>
      <c r="L53" s="454"/>
      <c r="M53" s="454"/>
      <c r="N53" s="455"/>
      <c r="P53" s="456"/>
      <c r="Q53" s="442"/>
      <c r="R53" s="457"/>
    </row>
    <row r="54" spans="3:18" ht="20.100000000000001" customHeight="1">
      <c r="C54" s="720" t="s">
        <v>155</v>
      </c>
      <c r="D54" s="279" t="s">
        <v>686</v>
      </c>
      <c r="E54" s="550">
        <v>6.5972</v>
      </c>
      <c r="F54" s="554">
        <v>6.0990000000000003E-4</v>
      </c>
      <c r="G54" s="535"/>
      <c r="H54" s="573"/>
      <c r="I54" s="484"/>
      <c r="J54" s="484"/>
      <c r="K54" s="484"/>
      <c r="L54" s="484"/>
      <c r="M54" s="484"/>
      <c r="N54" s="574"/>
      <c r="P54" s="577"/>
      <c r="Q54" s="550"/>
      <c r="R54" s="578"/>
    </row>
    <row r="55" spans="3:18" ht="20.100000000000001" customHeight="1">
      <c r="C55" s="720"/>
      <c r="D55" s="279" t="s">
        <v>687</v>
      </c>
      <c r="E55" s="550">
        <v>14.23</v>
      </c>
      <c r="F55" s="486"/>
      <c r="G55" s="535"/>
      <c r="H55" s="453"/>
      <c r="I55" s="454"/>
      <c r="J55" s="454"/>
      <c r="K55" s="454"/>
      <c r="L55" s="454"/>
      <c r="M55" s="454"/>
      <c r="N55" s="455"/>
      <c r="P55" s="456"/>
      <c r="Q55" s="442"/>
      <c r="R55" s="457"/>
    </row>
    <row r="56" spans="3:18" ht="20.100000000000001" customHeight="1">
      <c r="C56" s="720"/>
      <c r="D56" s="279" t="s">
        <v>688</v>
      </c>
      <c r="E56" s="480">
        <v>10.413600000000001</v>
      </c>
      <c r="F56" s="481">
        <v>6.0990000000000003E-4</v>
      </c>
      <c r="G56" s="535"/>
      <c r="H56" s="573"/>
      <c r="I56" s="484"/>
      <c r="J56" s="484"/>
      <c r="K56" s="484"/>
      <c r="L56" s="484"/>
      <c r="M56" s="484"/>
      <c r="N56" s="574"/>
      <c r="P56" s="577"/>
      <c r="Q56" s="550"/>
      <c r="R56" s="578"/>
    </row>
    <row r="57" spans="3:18" ht="20.100000000000001" customHeight="1">
      <c r="C57" s="721" t="s">
        <v>652</v>
      </c>
      <c r="D57" s="449" t="s">
        <v>686</v>
      </c>
      <c r="E57" s="442">
        <v>5.1664000000000003</v>
      </c>
      <c r="F57" s="450">
        <v>6.0990000000000003E-4</v>
      </c>
      <c r="G57" s="535"/>
      <c r="H57" s="453"/>
      <c r="I57" s="454"/>
      <c r="J57" s="454"/>
      <c r="K57" s="454"/>
      <c r="L57" s="454"/>
      <c r="M57" s="454"/>
      <c r="N57" s="455"/>
      <c r="P57" s="456"/>
      <c r="Q57" s="442"/>
      <c r="R57" s="457"/>
    </row>
    <row r="58" spans="3:18" ht="20.100000000000001" customHeight="1">
      <c r="C58" s="721"/>
      <c r="D58" s="449" t="s">
        <v>687</v>
      </c>
      <c r="E58" s="442">
        <v>14.23</v>
      </c>
      <c r="F58" s="441"/>
      <c r="G58" s="535"/>
      <c r="H58" s="573"/>
      <c r="I58" s="484"/>
      <c r="J58" s="484"/>
      <c r="K58" s="484"/>
      <c r="L58" s="484"/>
      <c r="M58" s="484"/>
      <c r="N58" s="574"/>
      <c r="P58" s="577"/>
      <c r="Q58" s="550"/>
      <c r="R58" s="578"/>
    </row>
    <row r="59" spans="3:18" ht="20.100000000000001" customHeight="1">
      <c r="C59" s="721"/>
      <c r="D59" s="449" t="s">
        <v>688</v>
      </c>
      <c r="E59" s="451">
        <v>9.6981999999999999</v>
      </c>
      <c r="F59" s="452">
        <v>6.0990000000000003E-4</v>
      </c>
      <c r="G59" s="535"/>
      <c r="H59" s="453"/>
      <c r="I59" s="454"/>
      <c r="J59" s="454"/>
      <c r="K59" s="454"/>
      <c r="L59" s="454"/>
      <c r="M59" s="454"/>
      <c r="N59" s="455"/>
      <c r="P59" s="456"/>
      <c r="Q59" s="442"/>
      <c r="R59" s="457"/>
    </row>
    <row r="60" spans="3:18" ht="20.100000000000001" customHeight="1">
      <c r="C60" s="720" t="s">
        <v>654</v>
      </c>
      <c r="D60" s="279" t="s">
        <v>686</v>
      </c>
      <c r="E60" s="550">
        <v>6.5738000000000003</v>
      </c>
      <c r="F60" s="554">
        <v>6.0990000000000003E-4</v>
      </c>
      <c r="G60" s="535"/>
      <c r="H60" s="573"/>
      <c r="I60" s="484"/>
      <c r="J60" s="484"/>
      <c r="K60" s="484"/>
      <c r="L60" s="484"/>
      <c r="M60" s="484"/>
      <c r="N60" s="574"/>
      <c r="P60" s="577"/>
      <c r="Q60" s="550"/>
      <c r="R60" s="578"/>
    </row>
    <row r="61" spans="3:18" ht="20.100000000000001" customHeight="1">
      <c r="C61" s="720"/>
      <c r="D61" s="279" t="s">
        <v>687</v>
      </c>
      <c r="E61" s="550">
        <v>14.23</v>
      </c>
      <c r="F61" s="486"/>
      <c r="G61" s="535"/>
      <c r="H61" s="453"/>
      <c r="I61" s="454"/>
      <c r="J61" s="454"/>
      <c r="K61" s="454"/>
      <c r="L61" s="454"/>
      <c r="M61" s="454"/>
      <c r="N61" s="455"/>
      <c r="P61" s="456"/>
      <c r="Q61" s="442"/>
      <c r="R61" s="457"/>
    </row>
    <row r="62" spans="3:18" ht="20.100000000000001" customHeight="1">
      <c r="C62" s="720"/>
      <c r="D62" s="279" t="s">
        <v>688</v>
      </c>
      <c r="E62" s="480">
        <v>10.401900000000001</v>
      </c>
      <c r="F62" s="481">
        <v>6.0990000000000003E-4</v>
      </c>
      <c r="G62" s="535"/>
      <c r="H62" s="573"/>
      <c r="I62" s="575"/>
      <c r="J62" s="575"/>
      <c r="K62" s="575"/>
      <c r="L62" s="575"/>
      <c r="M62" s="575"/>
      <c r="N62" s="574"/>
      <c r="O62" s="535"/>
      <c r="P62" s="577"/>
      <c r="Q62" s="550"/>
      <c r="R62" s="578"/>
    </row>
    <row r="63" spans="3:18" ht="20.100000000000001" customHeight="1">
      <c r="C63" s="721" t="s">
        <v>334</v>
      </c>
      <c r="D63" s="449" t="s">
        <v>246</v>
      </c>
      <c r="E63" s="442"/>
      <c r="F63" s="450"/>
      <c r="H63" s="453"/>
      <c r="I63" s="454"/>
      <c r="J63" s="454"/>
      <c r="K63" s="454"/>
      <c r="L63" s="454"/>
      <c r="M63" s="454"/>
      <c r="N63" s="493"/>
      <c r="P63" s="456"/>
      <c r="Q63" s="442"/>
      <c r="R63" s="457"/>
    </row>
    <row r="64" spans="3:18" ht="20.100000000000001" customHeight="1">
      <c r="C64" s="721"/>
      <c r="D64" s="449" t="s">
        <v>247</v>
      </c>
      <c r="E64" s="442"/>
      <c r="F64" s="441"/>
      <c r="H64" s="573"/>
      <c r="I64" s="484"/>
      <c r="J64" s="484"/>
      <c r="K64" s="484"/>
      <c r="L64" s="484"/>
      <c r="M64" s="484"/>
      <c r="N64" s="576"/>
      <c r="P64" s="577"/>
      <c r="Q64" s="550"/>
      <c r="R64" s="578"/>
    </row>
    <row r="65" spans="3:18" ht="20.100000000000001" customHeight="1">
      <c r="C65" s="721"/>
      <c r="D65" s="449" t="s">
        <v>248</v>
      </c>
      <c r="E65" s="451"/>
      <c r="F65" s="452"/>
      <c r="H65" s="453"/>
      <c r="I65" s="454"/>
      <c r="J65" s="454"/>
      <c r="K65" s="454"/>
      <c r="L65" s="454"/>
      <c r="M65" s="454"/>
      <c r="N65" s="493"/>
      <c r="P65" s="456"/>
      <c r="Q65" s="442"/>
      <c r="R65" s="457"/>
    </row>
    <row r="66" spans="3:18" ht="20.100000000000001" customHeight="1">
      <c r="C66" s="720" t="s">
        <v>617</v>
      </c>
      <c r="D66" s="279" t="s">
        <v>246</v>
      </c>
      <c r="E66" s="550"/>
      <c r="F66" s="554"/>
      <c r="H66" s="573"/>
      <c r="I66" s="484"/>
      <c r="J66" s="484"/>
      <c r="K66" s="484"/>
      <c r="L66" s="484"/>
      <c r="M66" s="484"/>
      <c r="N66" s="576"/>
      <c r="P66" s="577"/>
      <c r="Q66" s="550"/>
      <c r="R66" s="578"/>
    </row>
    <row r="67" spans="3:18" ht="20.100000000000001" customHeight="1">
      <c r="C67" s="720"/>
      <c r="D67" s="279" t="s">
        <v>247</v>
      </c>
      <c r="E67" s="550"/>
      <c r="F67" s="486"/>
      <c r="H67" s="453"/>
      <c r="I67" s="454"/>
      <c r="J67" s="454"/>
      <c r="K67" s="454"/>
      <c r="L67" s="454"/>
      <c r="M67" s="454"/>
      <c r="N67" s="493"/>
      <c r="P67" s="456"/>
      <c r="Q67" s="442"/>
      <c r="R67" s="457"/>
    </row>
    <row r="68" spans="3:18" ht="20.100000000000001" customHeight="1">
      <c r="C68" s="720"/>
      <c r="D68" s="279" t="s">
        <v>248</v>
      </c>
      <c r="E68" s="480"/>
      <c r="F68" s="481"/>
      <c r="H68" s="573"/>
      <c r="I68" s="484"/>
      <c r="J68" s="484"/>
      <c r="K68" s="484"/>
      <c r="L68" s="484"/>
      <c r="M68" s="484"/>
      <c r="N68" s="576"/>
      <c r="P68" s="577"/>
      <c r="Q68" s="550"/>
      <c r="R68" s="578"/>
    </row>
    <row r="69" spans="3:18" ht="20.100000000000001" customHeight="1">
      <c r="C69" s="721" t="s">
        <v>618</v>
      </c>
      <c r="D69" s="449" t="s">
        <v>246</v>
      </c>
      <c r="E69" s="442"/>
      <c r="F69" s="450"/>
      <c r="H69" s="453"/>
      <c r="I69" s="454"/>
      <c r="J69" s="454"/>
      <c r="K69" s="454"/>
      <c r="L69" s="454"/>
      <c r="M69" s="454"/>
      <c r="N69" s="493"/>
      <c r="P69" s="456"/>
      <c r="Q69" s="442"/>
      <c r="R69" s="457"/>
    </row>
    <row r="70" spans="3:18" ht="20.100000000000001" customHeight="1">
      <c r="C70" s="721"/>
      <c r="D70" s="449" t="s">
        <v>247</v>
      </c>
      <c r="E70" s="442"/>
      <c r="F70" s="441"/>
      <c r="H70" s="573"/>
      <c r="I70" s="484"/>
      <c r="J70" s="484"/>
      <c r="K70" s="484"/>
      <c r="L70" s="484"/>
      <c r="M70" s="484"/>
      <c r="N70" s="576"/>
      <c r="P70" s="577"/>
      <c r="Q70" s="550"/>
      <c r="R70" s="578"/>
    </row>
    <row r="71" spans="3:18" ht="20.100000000000001" customHeight="1">
      <c r="C71" s="721"/>
      <c r="D71" s="449" t="s">
        <v>248</v>
      </c>
      <c r="E71" s="451"/>
      <c r="F71" s="452"/>
      <c r="H71" s="453"/>
      <c r="I71" s="454"/>
      <c r="J71" s="454"/>
      <c r="K71" s="454"/>
      <c r="L71" s="454"/>
      <c r="M71" s="454"/>
      <c r="N71" s="493"/>
      <c r="P71" s="456"/>
      <c r="Q71" s="442"/>
      <c r="R71" s="457"/>
    </row>
    <row r="72" spans="3:18" ht="20.100000000000001" customHeight="1">
      <c r="C72" s="720" t="s">
        <v>619</v>
      </c>
      <c r="D72" s="279" t="s">
        <v>246</v>
      </c>
      <c r="E72" s="550"/>
      <c r="F72" s="554"/>
      <c r="H72" s="573"/>
      <c r="I72" s="484"/>
      <c r="J72" s="484"/>
      <c r="K72" s="484"/>
      <c r="L72" s="484"/>
      <c r="M72" s="484"/>
      <c r="N72" s="576"/>
      <c r="P72" s="577"/>
      <c r="Q72" s="550"/>
      <c r="R72" s="578"/>
    </row>
    <row r="73" spans="3:18" ht="20.100000000000001" customHeight="1">
      <c r="C73" s="720"/>
      <c r="D73" s="279" t="s">
        <v>247</v>
      </c>
      <c r="E73" s="550"/>
      <c r="F73" s="486"/>
      <c r="H73" s="453"/>
      <c r="I73" s="454"/>
      <c r="J73" s="454"/>
      <c r="K73" s="454"/>
      <c r="L73" s="454"/>
      <c r="M73" s="454"/>
      <c r="N73" s="493"/>
      <c r="P73" s="456"/>
      <c r="Q73" s="442"/>
      <c r="R73" s="457"/>
    </row>
    <row r="74" spans="3:18" ht="20.100000000000001" customHeight="1">
      <c r="C74" s="720"/>
      <c r="D74" s="279" t="s">
        <v>248</v>
      </c>
      <c r="E74" s="480"/>
      <c r="F74" s="481"/>
      <c r="H74" s="573"/>
      <c r="I74" s="484"/>
      <c r="J74" s="484"/>
      <c r="K74" s="484"/>
      <c r="L74" s="484"/>
      <c r="M74" s="484"/>
      <c r="N74" s="576"/>
      <c r="P74" s="577"/>
      <c r="Q74" s="550"/>
      <c r="R74" s="578"/>
    </row>
    <row r="75" spans="3:18" ht="20.100000000000001" customHeight="1">
      <c r="C75" s="721" t="s">
        <v>656</v>
      </c>
      <c r="D75" s="449" t="s">
        <v>246</v>
      </c>
      <c r="E75" s="442"/>
      <c r="F75" s="450"/>
      <c r="H75" s="453"/>
      <c r="I75" s="454"/>
      <c r="J75" s="454"/>
      <c r="K75" s="454"/>
      <c r="L75" s="454"/>
      <c r="M75" s="454"/>
      <c r="N75" s="493"/>
      <c r="P75" s="456"/>
      <c r="Q75" s="442"/>
      <c r="R75" s="457"/>
    </row>
    <row r="76" spans="3:18" ht="20.100000000000001" customHeight="1">
      <c r="C76" s="721"/>
      <c r="D76" s="449" t="s">
        <v>247</v>
      </c>
      <c r="E76" s="442"/>
      <c r="F76" s="441"/>
      <c r="H76" s="573"/>
      <c r="I76" s="484"/>
      <c r="J76" s="484"/>
      <c r="K76" s="484"/>
      <c r="L76" s="484"/>
      <c r="M76" s="484"/>
      <c r="N76" s="576"/>
      <c r="P76" s="577"/>
      <c r="Q76" s="550"/>
      <c r="R76" s="578"/>
    </row>
    <row r="77" spans="3:18" ht="20.100000000000001" customHeight="1" thickBot="1">
      <c r="C77" s="721"/>
      <c r="D77" s="449" t="s">
        <v>248</v>
      </c>
      <c r="E77" s="451"/>
      <c r="F77" s="452"/>
      <c r="H77" s="492"/>
      <c r="I77" s="494"/>
      <c r="J77" s="494"/>
      <c r="K77" s="494"/>
      <c r="L77" s="494"/>
      <c r="M77" s="494"/>
      <c r="N77" s="495"/>
      <c r="P77" s="479"/>
      <c r="Q77" s="496"/>
      <c r="R77" s="497"/>
    </row>
    <row r="78" spans="3:18" ht="20.100000000000001" customHeight="1" thickBot="1">
      <c r="C78" s="720" t="s">
        <v>657</v>
      </c>
      <c r="D78" s="279" t="s">
        <v>246</v>
      </c>
      <c r="E78" s="480"/>
      <c r="F78" s="481"/>
      <c r="H78" s="534"/>
      <c r="I78" s="534"/>
      <c r="J78" s="534"/>
      <c r="K78" s="534"/>
      <c r="L78" s="534"/>
      <c r="M78" s="534"/>
      <c r="N78" s="534"/>
      <c r="P78" s="534"/>
      <c r="Q78" s="534"/>
      <c r="R78" s="534"/>
    </row>
    <row r="79" spans="3:18" ht="30.75" customHeight="1">
      <c r="C79" s="720"/>
      <c r="D79" s="279" t="s">
        <v>247</v>
      </c>
      <c r="E79" s="480"/>
      <c r="F79" s="481"/>
      <c r="H79" s="675" t="s">
        <v>206</v>
      </c>
      <c r="I79" s="676" t="s">
        <v>722</v>
      </c>
      <c r="J79" s="677" t="s">
        <v>716</v>
      </c>
      <c r="K79" s="534"/>
      <c r="L79" s="534"/>
      <c r="M79" s="534"/>
      <c r="N79" s="534"/>
      <c r="P79" s="534"/>
      <c r="Q79" s="534"/>
      <c r="R79" s="534"/>
    </row>
    <row r="80" spans="3:18" ht="20.100000000000001" customHeight="1">
      <c r="C80" s="720"/>
      <c r="D80" s="279" t="s">
        <v>248</v>
      </c>
      <c r="E80" s="480"/>
      <c r="F80" s="481"/>
      <c r="H80" s="573" t="s">
        <v>226</v>
      </c>
      <c r="I80" s="666">
        <v>14.23</v>
      </c>
      <c r="J80" s="667">
        <v>6.0990000000000003E-4</v>
      </c>
      <c r="K80" s="534"/>
      <c r="L80" s="534"/>
      <c r="M80" s="534"/>
      <c r="N80" s="534"/>
      <c r="P80" s="534"/>
      <c r="Q80" s="534"/>
      <c r="R80" s="534"/>
    </row>
    <row r="81" spans="3:18" ht="20.100000000000001" customHeight="1">
      <c r="C81" s="721" t="s">
        <v>658</v>
      </c>
      <c r="D81" s="449" t="s">
        <v>246</v>
      </c>
      <c r="E81" s="451"/>
      <c r="F81" s="452"/>
      <c r="H81" s="453" t="s">
        <v>227</v>
      </c>
      <c r="I81" s="670">
        <v>14.23</v>
      </c>
      <c r="J81" s="671">
        <v>6.0990000000000003E-4</v>
      </c>
      <c r="K81" s="534"/>
      <c r="L81" s="534"/>
      <c r="M81" s="534"/>
      <c r="N81" s="534"/>
      <c r="P81" s="534"/>
      <c r="Q81" s="534"/>
      <c r="R81" s="534"/>
    </row>
    <row r="82" spans="3:18" ht="20.100000000000001" customHeight="1" thickBot="1">
      <c r="C82" s="721"/>
      <c r="D82" s="449" t="s">
        <v>247</v>
      </c>
      <c r="E82" s="451"/>
      <c r="F82" s="452"/>
      <c r="H82" s="573" t="s">
        <v>228</v>
      </c>
      <c r="I82" s="668">
        <v>14.23</v>
      </c>
      <c r="J82" s="667">
        <v>6.0990000000000003E-4</v>
      </c>
      <c r="K82" s="534"/>
      <c r="L82" s="534"/>
      <c r="M82" s="534"/>
      <c r="N82" s="534"/>
      <c r="P82" s="534"/>
      <c r="Q82" s="534"/>
      <c r="R82" s="534"/>
    </row>
    <row r="83" spans="3:18" ht="20.100000000000001" customHeight="1" thickBot="1">
      <c r="C83" s="721"/>
      <c r="D83" s="449" t="s">
        <v>248</v>
      </c>
      <c r="E83" s="451"/>
      <c r="F83" s="452"/>
      <c r="H83" s="665" t="s">
        <v>332</v>
      </c>
      <c r="I83" s="672">
        <v>14.23</v>
      </c>
      <c r="J83" s="673">
        <v>6.0990000000000003E-4</v>
      </c>
      <c r="K83" s="534"/>
      <c r="L83" s="534"/>
      <c r="M83" s="534"/>
      <c r="N83" s="534"/>
      <c r="P83" s="534"/>
      <c r="Q83" s="534"/>
      <c r="R83" s="534"/>
    </row>
    <row r="84" spans="3:18" ht="20.100000000000001" customHeight="1">
      <c r="C84" s="720" t="s">
        <v>659</v>
      </c>
      <c r="D84" s="279" t="s">
        <v>246</v>
      </c>
      <c r="E84" s="480"/>
      <c r="F84" s="481"/>
      <c r="H84" s="573" t="s">
        <v>333</v>
      </c>
      <c r="I84" s="669">
        <v>14.23</v>
      </c>
      <c r="J84" s="667">
        <v>6.0990000000000003E-4</v>
      </c>
      <c r="K84" s="534"/>
      <c r="L84" s="534"/>
      <c r="M84" s="534"/>
      <c r="N84" s="534"/>
      <c r="P84" s="534"/>
      <c r="Q84" s="534"/>
      <c r="R84" s="534"/>
    </row>
    <row r="85" spans="3:18" ht="20.100000000000001" customHeight="1">
      <c r="C85" s="720"/>
      <c r="D85" s="279" t="s">
        <v>247</v>
      </c>
      <c r="E85" s="480"/>
      <c r="F85" s="481"/>
      <c r="H85" s="453"/>
      <c r="I85" s="670"/>
      <c r="J85" s="671"/>
      <c r="K85" s="534"/>
      <c r="L85" s="534"/>
      <c r="M85" s="534"/>
      <c r="N85" s="534"/>
      <c r="P85" s="534"/>
      <c r="Q85" s="534"/>
      <c r="R85" s="534"/>
    </row>
    <row r="86" spans="3:18" ht="20.100000000000001" customHeight="1">
      <c r="C86" s="720"/>
      <c r="D86" s="279" t="s">
        <v>248</v>
      </c>
      <c r="E86" s="480"/>
      <c r="F86" s="481"/>
      <c r="H86" s="573"/>
      <c r="I86" s="666"/>
      <c r="J86" s="667"/>
      <c r="K86" s="534"/>
      <c r="L86" s="534"/>
      <c r="M86" s="534"/>
      <c r="N86" s="534"/>
      <c r="P86" s="534"/>
      <c r="Q86" s="534"/>
      <c r="R86" s="534"/>
    </row>
    <row r="87" spans="3:18" ht="20.100000000000001" customHeight="1">
      <c r="C87" s="721" t="s">
        <v>660</v>
      </c>
      <c r="D87" s="449" t="s">
        <v>246</v>
      </c>
      <c r="E87" s="451"/>
      <c r="F87" s="452"/>
      <c r="H87" s="453"/>
      <c r="I87" s="670"/>
      <c r="J87" s="671"/>
      <c r="K87" s="534"/>
      <c r="L87" s="534"/>
      <c r="M87" s="534"/>
      <c r="N87" s="534"/>
      <c r="P87" s="534"/>
      <c r="Q87" s="534"/>
      <c r="R87" s="534"/>
    </row>
    <row r="88" spans="3:18" ht="20.100000000000001" customHeight="1">
      <c r="C88" s="721"/>
      <c r="D88" s="449" t="s">
        <v>247</v>
      </c>
      <c r="E88" s="451"/>
      <c r="F88" s="452"/>
      <c r="H88" s="573"/>
      <c r="I88" s="666"/>
      <c r="J88" s="667"/>
      <c r="K88" s="534"/>
      <c r="L88" s="534"/>
      <c r="M88" s="534"/>
      <c r="N88" s="534"/>
      <c r="P88" s="534"/>
      <c r="Q88" s="534"/>
      <c r="R88" s="534"/>
    </row>
    <row r="89" spans="3:18" ht="20.100000000000001" customHeight="1">
      <c r="C89" s="721"/>
      <c r="D89" s="449" t="s">
        <v>248</v>
      </c>
      <c r="E89" s="451"/>
      <c r="F89" s="452"/>
      <c r="H89" s="453"/>
      <c r="I89" s="670"/>
      <c r="J89" s="671"/>
      <c r="K89" s="534"/>
      <c r="L89" s="534"/>
      <c r="M89" s="534"/>
      <c r="N89" s="534"/>
      <c r="P89" s="534"/>
      <c r="Q89" s="534"/>
      <c r="R89" s="534"/>
    </row>
    <row r="90" spans="3:18" ht="20.100000000000001" customHeight="1">
      <c r="C90" s="720" t="s">
        <v>661</v>
      </c>
      <c r="D90" s="279" t="s">
        <v>246</v>
      </c>
      <c r="E90" s="480"/>
      <c r="F90" s="481"/>
      <c r="H90" s="573"/>
      <c r="I90" s="666"/>
      <c r="J90" s="667"/>
      <c r="K90" s="534"/>
      <c r="L90" s="534"/>
      <c r="M90" s="534"/>
      <c r="N90" s="534"/>
      <c r="P90" s="534"/>
      <c r="Q90" s="534"/>
      <c r="R90" s="534"/>
    </row>
    <row r="91" spans="3:18" ht="20.100000000000001" customHeight="1">
      <c r="C91" s="720"/>
      <c r="D91" s="279" t="s">
        <v>247</v>
      </c>
      <c r="E91" s="480"/>
      <c r="F91" s="481"/>
      <c r="H91" s="453"/>
      <c r="I91" s="670"/>
      <c r="J91" s="671"/>
      <c r="K91" s="534"/>
      <c r="L91" s="534"/>
      <c r="M91" s="534"/>
      <c r="N91" s="534"/>
      <c r="P91" s="534"/>
      <c r="Q91" s="534"/>
      <c r="R91" s="534"/>
    </row>
    <row r="92" spans="3:18" ht="20.100000000000001" customHeight="1">
      <c r="C92" s="720"/>
      <c r="D92" s="279" t="s">
        <v>248</v>
      </c>
      <c r="E92" s="480"/>
      <c r="F92" s="481"/>
      <c r="H92" s="573"/>
      <c r="I92" s="666"/>
      <c r="J92" s="667"/>
      <c r="K92" s="534"/>
      <c r="L92" s="534"/>
      <c r="M92" s="534"/>
      <c r="N92" s="534"/>
      <c r="P92" s="534"/>
      <c r="Q92" s="534"/>
      <c r="R92" s="534"/>
    </row>
    <row r="93" spans="3:18" ht="20.100000000000001" customHeight="1">
      <c r="C93" s="721" t="s">
        <v>662</v>
      </c>
      <c r="D93" s="449" t="s">
        <v>246</v>
      </c>
      <c r="E93" s="451"/>
      <c r="F93" s="452"/>
      <c r="H93" s="453"/>
      <c r="I93" s="670"/>
      <c r="J93" s="671"/>
      <c r="K93" s="534"/>
      <c r="L93" s="534"/>
      <c r="M93" s="534"/>
      <c r="N93" s="534"/>
      <c r="P93" s="534"/>
      <c r="Q93" s="534"/>
      <c r="R93" s="534"/>
    </row>
    <row r="94" spans="3:18" ht="20.100000000000001" customHeight="1">
      <c r="C94" s="721"/>
      <c r="D94" s="449" t="s">
        <v>247</v>
      </c>
      <c r="E94" s="451"/>
      <c r="F94" s="452"/>
      <c r="H94" s="573"/>
      <c r="I94" s="666"/>
      <c r="J94" s="667"/>
      <c r="K94" s="534"/>
      <c r="L94" s="534"/>
      <c r="M94" s="534"/>
      <c r="N94" s="534"/>
      <c r="P94" s="534"/>
      <c r="Q94" s="534"/>
      <c r="R94" s="534"/>
    </row>
    <row r="95" spans="3:18" ht="20.100000000000001" customHeight="1">
      <c r="C95" s="721"/>
      <c r="D95" s="449" t="s">
        <v>248</v>
      </c>
      <c r="E95" s="451"/>
      <c r="F95" s="452"/>
      <c r="H95" s="453"/>
      <c r="I95" s="670"/>
      <c r="J95" s="671"/>
      <c r="K95" s="534"/>
      <c r="L95" s="534"/>
      <c r="M95" s="534"/>
      <c r="N95" s="534"/>
      <c r="P95" s="534"/>
      <c r="Q95" s="534"/>
      <c r="R95" s="534"/>
    </row>
    <row r="96" spans="3:18" ht="20.100000000000001" customHeight="1">
      <c r="C96" s="720" t="s">
        <v>663</v>
      </c>
      <c r="D96" s="279" t="s">
        <v>246</v>
      </c>
      <c r="E96" s="480"/>
      <c r="F96" s="481"/>
      <c r="H96" s="573"/>
      <c r="I96" s="666"/>
      <c r="J96" s="667"/>
      <c r="K96" s="534"/>
      <c r="L96" s="534"/>
      <c r="M96" s="534"/>
      <c r="N96" s="534"/>
      <c r="P96" s="534"/>
      <c r="Q96" s="534"/>
      <c r="R96" s="534"/>
    </row>
    <row r="97" spans="3:18" ht="20.100000000000001" customHeight="1">
      <c r="C97" s="720"/>
      <c r="D97" s="279" t="s">
        <v>247</v>
      </c>
      <c r="E97" s="480"/>
      <c r="F97" s="481"/>
      <c r="H97" s="453"/>
      <c r="I97" s="670"/>
      <c r="J97" s="671"/>
      <c r="K97" s="534"/>
      <c r="L97" s="534"/>
      <c r="M97" s="534"/>
      <c r="N97" s="534"/>
      <c r="P97" s="534"/>
      <c r="Q97" s="534"/>
      <c r="R97" s="534"/>
    </row>
    <row r="98" spans="3:18" ht="20.100000000000001" customHeight="1">
      <c r="C98" s="720"/>
      <c r="D98" s="279" t="s">
        <v>248</v>
      </c>
      <c r="E98" s="480"/>
      <c r="F98" s="481"/>
      <c r="H98" s="573"/>
      <c r="I98" s="666"/>
      <c r="J98" s="667"/>
      <c r="K98" s="534"/>
      <c r="L98" s="534"/>
      <c r="M98" s="534"/>
      <c r="N98" s="534"/>
      <c r="P98" s="534"/>
      <c r="Q98" s="534"/>
      <c r="R98" s="534"/>
    </row>
    <row r="99" spans="3:18" ht="20.100000000000001" customHeight="1">
      <c r="C99" s="721" t="s">
        <v>664</v>
      </c>
      <c r="D99" s="449" t="s">
        <v>246</v>
      </c>
      <c r="E99" s="451"/>
      <c r="F99" s="452"/>
      <c r="H99" s="453"/>
      <c r="I99" s="670"/>
      <c r="J99" s="671"/>
      <c r="K99" s="534"/>
      <c r="L99" s="534"/>
      <c r="M99" s="534"/>
      <c r="N99" s="534"/>
      <c r="P99" s="534"/>
      <c r="Q99" s="534"/>
      <c r="R99" s="534"/>
    </row>
    <row r="100" spans="3:18" ht="20.100000000000001" customHeight="1">
      <c r="C100" s="721"/>
      <c r="D100" s="449" t="s">
        <v>247</v>
      </c>
      <c r="E100" s="451"/>
      <c r="F100" s="452"/>
      <c r="H100" s="573"/>
      <c r="I100" s="666"/>
      <c r="J100" s="667"/>
      <c r="K100" s="534"/>
      <c r="L100" s="534"/>
      <c r="M100" s="534"/>
      <c r="N100" s="534"/>
      <c r="P100" s="534"/>
      <c r="Q100" s="534"/>
      <c r="R100" s="534"/>
    </row>
    <row r="101" spans="3:18" ht="20.100000000000001" customHeight="1">
      <c r="C101" s="721"/>
      <c r="D101" s="449" t="s">
        <v>248</v>
      </c>
      <c r="E101" s="451"/>
      <c r="F101" s="452"/>
      <c r="H101" s="453"/>
      <c r="I101" s="670"/>
      <c r="J101" s="671"/>
      <c r="K101" s="534"/>
      <c r="L101" s="534"/>
      <c r="M101" s="534"/>
      <c r="N101" s="534"/>
      <c r="P101" s="534"/>
      <c r="Q101" s="534"/>
      <c r="R101" s="534"/>
    </row>
    <row r="102" spans="3:18" ht="20.100000000000001" customHeight="1">
      <c r="C102" s="720" t="s">
        <v>665</v>
      </c>
      <c r="D102" s="279" t="s">
        <v>246</v>
      </c>
      <c r="E102" s="550"/>
      <c r="F102" s="554"/>
      <c r="H102" s="573"/>
      <c r="I102" s="666"/>
      <c r="J102" s="520"/>
    </row>
    <row r="103" spans="3:18" ht="20.100000000000001" customHeight="1">
      <c r="C103" s="720"/>
      <c r="D103" s="279" t="s">
        <v>247</v>
      </c>
      <c r="E103" s="550"/>
      <c r="F103" s="486"/>
      <c r="H103" s="453"/>
      <c r="I103" s="670"/>
      <c r="J103" s="517"/>
    </row>
    <row r="104" spans="3:18" ht="20.100000000000001" customHeight="1">
      <c r="C104" s="720"/>
      <c r="D104" s="279" t="s">
        <v>248</v>
      </c>
      <c r="E104" s="480"/>
      <c r="F104" s="481"/>
      <c r="H104" s="573"/>
      <c r="I104" s="666"/>
      <c r="J104" s="520"/>
    </row>
    <row r="105" spans="3:18" ht="20.100000000000001" customHeight="1">
      <c r="C105" s="721" t="s">
        <v>666</v>
      </c>
      <c r="D105" s="449" t="s">
        <v>246</v>
      </c>
      <c r="E105" s="442"/>
      <c r="F105" s="450"/>
      <c r="H105" s="453"/>
      <c r="I105" s="670"/>
      <c r="J105" s="517"/>
    </row>
    <row r="106" spans="3:18" ht="20.100000000000001" customHeight="1">
      <c r="C106" s="721"/>
      <c r="D106" s="449" t="s">
        <v>247</v>
      </c>
      <c r="E106" s="442"/>
      <c r="F106" s="441"/>
      <c r="H106" s="573"/>
      <c r="I106" s="666"/>
      <c r="J106" s="520"/>
    </row>
    <row r="107" spans="3:18" ht="20.100000000000001" customHeight="1">
      <c r="C107" s="721"/>
      <c r="D107" s="449" t="s">
        <v>248</v>
      </c>
      <c r="E107" s="451"/>
      <c r="F107" s="452"/>
      <c r="H107" s="453"/>
      <c r="I107" s="670"/>
      <c r="J107" s="517"/>
    </row>
    <row r="108" spans="3:18" ht="20.100000000000001" customHeight="1">
      <c r="C108" s="720" t="s">
        <v>667</v>
      </c>
      <c r="D108" s="279" t="s">
        <v>246</v>
      </c>
      <c r="E108" s="480"/>
      <c r="F108" s="481"/>
      <c r="H108" s="573"/>
      <c r="I108" s="666"/>
      <c r="J108" s="520"/>
    </row>
    <row r="109" spans="3:18" ht="20.100000000000001" customHeight="1" thickBot="1">
      <c r="C109" s="720"/>
      <c r="D109" s="279" t="s">
        <v>247</v>
      </c>
      <c r="E109" s="480"/>
      <c r="F109" s="481"/>
      <c r="H109" s="492"/>
      <c r="I109" s="674"/>
      <c r="J109" s="541"/>
    </row>
    <row r="110" spans="3:18" ht="20.100000000000001" customHeight="1">
      <c r="C110" s="720"/>
      <c r="D110" s="279" t="s">
        <v>248</v>
      </c>
      <c r="E110" s="480"/>
      <c r="F110" s="481"/>
      <c r="H110" s="534"/>
    </row>
    <row r="111" spans="3:18" ht="20.100000000000001" customHeight="1">
      <c r="C111" s="721" t="s">
        <v>668</v>
      </c>
      <c r="D111" s="449" t="s">
        <v>246</v>
      </c>
      <c r="E111" s="451"/>
      <c r="F111" s="452"/>
      <c r="H111" s="534"/>
    </row>
    <row r="112" spans="3:18" ht="20.100000000000001" customHeight="1">
      <c r="C112" s="721"/>
      <c r="D112" s="449" t="s">
        <v>247</v>
      </c>
      <c r="E112" s="451"/>
      <c r="F112" s="452"/>
      <c r="H112" s="534"/>
    </row>
    <row r="113" spans="3:8" ht="20.100000000000001" customHeight="1">
      <c r="C113" s="721"/>
      <c r="D113" s="449" t="s">
        <v>248</v>
      </c>
      <c r="E113" s="451"/>
      <c r="F113" s="452"/>
      <c r="H113" s="534"/>
    </row>
    <row r="114" spans="3:8" ht="20.100000000000001" customHeight="1">
      <c r="C114" s="720" t="s">
        <v>669</v>
      </c>
      <c r="D114" s="279" t="s">
        <v>246</v>
      </c>
      <c r="E114" s="480"/>
      <c r="F114" s="481"/>
      <c r="H114" s="534"/>
    </row>
    <row r="115" spans="3:8" ht="20.100000000000001" customHeight="1">
      <c r="C115" s="720"/>
      <c r="D115" s="279" t="s">
        <v>247</v>
      </c>
      <c r="E115" s="480"/>
      <c r="F115" s="481"/>
      <c r="H115" s="534"/>
    </row>
    <row r="116" spans="3:8" ht="20.100000000000001" customHeight="1">
      <c r="C116" s="720"/>
      <c r="D116" s="279" t="s">
        <v>248</v>
      </c>
      <c r="E116" s="480"/>
      <c r="F116" s="481"/>
      <c r="H116" s="534"/>
    </row>
    <row r="117" spans="3:8" ht="20.100000000000001" customHeight="1">
      <c r="C117" s="721" t="s">
        <v>670</v>
      </c>
      <c r="D117" s="449" t="s">
        <v>246</v>
      </c>
      <c r="E117" s="451"/>
      <c r="F117" s="452"/>
      <c r="H117" s="534"/>
    </row>
    <row r="118" spans="3:8" ht="20.100000000000001" customHeight="1">
      <c r="C118" s="721"/>
      <c r="D118" s="449" t="s">
        <v>247</v>
      </c>
      <c r="E118" s="451"/>
      <c r="F118" s="452"/>
      <c r="H118" s="534"/>
    </row>
    <row r="119" spans="3:8" ht="20.100000000000001" customHeight="1">
      <c r="C119" s="721"/>
      <c r="D119" s="449" t="s">
        <v>248</v>
      </c>
      <c r="E119" s="451"/>
      <c r="F119" s="452"/>
      <c r="H119" s="534"/>
    </row>
    <row r="120" spans="3:8" ht="20.100000000000001" customHeight="1">
      <c r="C120" s="720" t="s">
        <v>671</v>
      </c>
      <c r="D120" s="279" t="s">
        <v>246</v>
      </c>
      <c r="E120" s="480"/>
      <c r="F120" s="481"/>
      <c r="H120" s="534"/>
    </row>
    <row r="121" spans="3:8" ht="20.100000000000001" customHeight="1">
      <c r="C121" s="720"/>
      <c r="D121" s="279" t="s">
        <v>247</v>
      </c>
      <c r="E121" s="480"/>
      <c r="F121" s="481"/>
      <c r="H121" s="534"/>
    </row>
    <row r="122" spans="3:8" ht="20.100000000000001" customHeight="1">
      <c r="C122" s="720"/>
      <c r="D122" s="279" t="s">
        <v>248</v>
      </c>
      <c r="E122" s="480"/>
      <c r="F122" s="481"/>
      <c r="H122" s="534"/>
    </row>
    <row r="123" spans="3:8" ht="20.100000000000001" customHeight="1">
      <c r="C123" s="721" t="s">
        <v>672</v>
      </c>
      <c r="D123" s="449" t="s">
        <v>246</v>
      </c>
      <c r="E123" s="451"/>
      <c r="F123" s="452"/>
      <c r="H123" s="534"/>
    </row>
    <row r="124" spans="3:8" ht="20.100000000000001" customHeight="1">
      <c r="C124" s="721"/>
      <c r="D124" s="449" t="s">
        <v>247</v>
      </c>
      <c r="E124" s="451"/>
      <c r="F124" s="452"/>
      <c r="H124" s="534"/>
    </row>
    <row r="125" spans="3:8" ht="20.100000000000001" customHeight="1">
      <c r="C125" s="721"/>
      <c r="D125" s="449" t="s">
        <v>248</v>
      </c>
      <c r="E125" s="451"/>
      <c r="F125" s="452"/>
      <c r="H125" s="534"/>
    </row>
    <row r="126" spans="3:8" ht="20.25" customHeight="1">
      <c r="C126" s="720" t="s">
        <v>673</v>
      </c>
      <c r="D126" s="279" t="s">
        <v>246</v>
      </c>
      <c r="E126" s="480"/>
      <c r="F126" s="481"/>
      <c r="H126" s="534"/>
    </row>
    <row r="127" spans="3:8" ht="20.100000000000001" customHeight="1">
      <c r="C127" s="720"/>
      <c r="D127" s="279" t="s">
        <v>247</v>
      </c>
      <c r="E127" s="480"/>
      <c r="F127" s="481"/>
      <c r="H127" s="534"/>
    </row>
    <row r="128" spans="3:8" ht="20.100000000000001" customHeight="1">
      <c r="C128" s="720"/>
      <c r="D128" s="279" t="s">
        <v>248</v>
      </c>
      <c r="E128" s="480"/>
      <c r="F128" s="481"/>
      <c r="H128" s="534"/>
    </row>
    <row r="129" spans="3:8" ht="20.100000000000001" customHeight="1">
      <c r="C129" s="721" t="s">
        <v>674</v>
      </c>
      <c r="D129" s="449" t="s">
        <v>246</v>
      </c>
      <c r="E129" s="565"/>
      <c r="F129" s="566"/>
      <c r="H129" s="534"/>
    </row>
    <row r="130" spans="3:8" ht="20.100000000000001" customHeight="1">
      <c r="C130" s="721"/>
      <c r="D130" s="449" t="s">
        <v>247</v>
      </c>
      <c r="E130" s="565"/>
      <c r="F130" s="567"/>
    </row>
    <row r="131" spans="3:8" ht="20.100000000000001" customHeight="1">
      <c r="C131" s="721"/>
      <c r="D131" s="449" t="s">
        <v>248</v>
      </c>
      <c r="E131" s="568"/>
      <c r="F131" s="569"/>
    </row>
    <row r="132" spans="3:8" ht="20.100000000000001" customHeight="1">
      <c r="C132" s="720" t="s">
        <v>675</v>
      </c>
      <c r="D132" s="279" t="s">
        <v>246</v>
      </c>
      <c r="E132" s="560"/>
      <c r="F132" s="561"/>
    </row>
    <row r="133" spans="3:8" ht="20.100000000000001" customHeight="1">
      <c r="C133" s="720"/>
      <c r="D133" s="279" t="s">
        <v>247</v>
      </c>
      <c r="E133" s="560"/>
      <c r="F133" s="562"/>
    </row>
    <row r="134" spans="3:8" ht="20.100000000000001" customHeight="1">
      <c r="C134" s="720"/>
      <c r="D134" s="279" t="s">
        <v>248</v>
      </c>
      <c r="E134" s="563"/>
      <c r="F134" s="564"/>
    </row>
    <row r="135" spans="3:8" ht="20.100000000000001" customHeight="1">
      <c r="C135" s="721" t="s">
        <v>676</v>
      </c>
      <c r="D135" s="449" t="s">
        <v>246</v>
      </c>
      <c r="E135" s="565"/>
      <c r="F135" s="566"/>
    </row>
    <row r="136" spans="3:8" ht="20.100000000000001" customHeight="1">
      <c r="C136" s="721"/>
      <c r="D136" s="449" t="s">
        <v>247</v>
      </c>
      <c r="E136" s="565"/>
      <c r="F136" s="567"/>
    </row>
    <row r="137" spans="3:8" ht="20.100000000000001" customHeight="1" thickBot="1">
      <c r="C137" s="722"/>
      <c r="D137" s="570" t="s">
        <v>248</v>
      </c>
      <c r="E137" s="571"/>
      <c r="F137" s="572"/>
    </row>
    <row r="138" spans="3:8" ht="20.100000000000001" customHeight="1">
      <c r="F138" s="614"/>
    </row>
    <row r="141" spans="3:8" ht="20.100000000000001" customHeight="1">
      <c r="F141" s="614"/>
    </row>
    <row r="144" spans="3:8" ht="20.100000000000001" customHeight="1">
      <c r="F144" s="614"/>
    </row>
    <row r="147" spans="6:6" ht="20.100000000000001" customHeight="1">
      <c r="F147" s="614"/>
    </row>
    <row r="150" spans="6:6" ht="20.100000000000001" customHeight="1">
      <c r="F150" s="614"/>
    </row>
    <row r="153" spans="6:6" ht="20.100000000000001" customHeight="1">
      <c r="F153" s="614"/>
    </row>
    <row r="156" spans="6:6" ht="20.100000000000001" customHeight="1">
      <c r="F156" s="614"/>
    </row>
    <row r="159" spans="6:6" ht="20.100000000000001" customHeight="1">
      <c r="F159" s="614"/>
    </row>
    <row r="162" spans="6:6" ht="20.100000000000001" customHeight="1">
      <c r="F162" s="614"/>
    </row>
    <row r="165" spans="6:6" ht="20.100000000000001" customHeight="1">
      <c r="F165" s="614"/>
    </row>
    <row r="168" spans="6:6" ht="20.100000000000001" customHeight="1">
      <c r="F168" s="614"/>
    </row>
    <row r="171" spans="6:6" ht="20.100000000000001" customHeight="1">
      <c r="F171" s="614"/>
    </row>
    <row r="174" spans="6:6" ht="20.100000000000001" customHeight="1">
      <c r="F174" s="614"/>
    </row>
    <row r="177" spans="6:6" ht="20.100000000000001" customHeight="1">
      <c r="F177" s="614"/>
    </row>
    <row r="180" spans="6:6" ht="20.100000000000001" customHeight="1">
      <c r="F180" s="614"/>
    </row>
    <row r="183" spans="6:6" ht="20.100000000000001" customHeight="1">
      <c r="F183" s="614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4" t="s">
        <v>283</v>
      </c>
      <c r="D3" s="415" t="s">
        <v>701</v>
      </c>
      <c r="E3" s="415" t="s">
        <v>275</v>
      </c>
      <c r="F3" s="415" t="s">
        <v>278</v>
      </c>
      <c r="G3" s="415" t="s">
        <v>702</v>
      </c>
      <c r="H3" s="415" t="s">
        <v>703</v>
      </c>
      <c r="I3" s="415" t="s">
        <v>704</v>
      </c>
      <c r="J3" s="415" t="s">
        <v>705</v>
      </c>
      <c r="K3" s="415" t="s">
        <v>706</v>
      </c>
      <c r="L3" s="415" t="s">
        <v>707</v>
      </c>
      <c r="M3" s="415" t="s">
        <v>708</v>
      </c>
      <c r="N3" s="415" t="s">
        <v>709</v>
      </c>
      <c r="O3" s="416" t="s">
        <v>710</v>
      </c>
    </row>
    <row r="4" spans="3:15" ht="20.100000000000001" customHeight="1">
      <c r="C4" s="181" t="s">
        <v>226</v>
      </c>
      <c r="D4" s="733" t="s">
        <v>679</v>
      </c>
      <c r="E4" s="182">
        <v>53</v>
      </c>
      <c r="F4" s="182">
        <v>2.2494999999999998</v>
      </c>
      <c r="G4" s="736">
        <v>2.2494999999999998</v>
      </c>
      <c r="H4" s="733">
        <v>0.03</v>
      </c>
      <c r="I4" s="182">
        <v>470</v>
      </c>
      <c r="J4" s="739">
        <v>470</v>
      </c>
      <c r="K4" s="182">
        <v>152</v>
      </c>
      <c r="L4" s="739">
        <v>152</v>
      </c>
      <c r="M4" s="182">
        <v>-1.4E-3</v>
      </c>
      <c r="N4" s="736">
        <v>-1.4E-3</v>
      </c>
      <c r="O4" s="730" t="s">
        <v>238</v>
      </c>
    </row>
    <row r="5" spans="3:15" ht="20.100000000000001" customHeight="1">
      <c r="C5" s="181" t="s">
        <v>227</v>
      </c>
      <c r="D5" s="734"/>
      <c r="E5" s="182">
        <v>53</v>
      </c>
      <c r="F5" s="182">
        <v>2.2494999999999998</v>
      </c>
      <c r="G5" s="737"/>
      <c r="H5" s="734"/>
      <c r="I5" s="182">
        <v>470</v>
      </c>
      <c r="J5" s="740"/>
      <c r="K5" s="182">
        <v>152</v>
      </c>
      <c r="L5" s="740"/>
      <c r="M5" s="182">
        <v>-1.4E-3</v>
      </c>
      <c r="N5" s="737"/>
      <c r="O5" s="731"/>
    </row>
    <row r="6" spans="3:15" ht="20.100000000000001" customHeight="1">
      <c r="C6" s="181" t="s">
        <v>228</v>
      </c>
      <c r="D6" s="734"/>
      <c r="E6" s="182">
        <v>53</v>
      </c>
      <c r="F6" s="182">
        <v>2.2494999999999998</v>
      </c>
      <c r="G6" s="737"/>
      <c r="H6" s="734"/>
      <c r="I6" s="182">
        <v>470</v>
      </c>
      <c r="J6" s="740"/>
      <c r="K6" s="182">
        <v>152</v>
      </c>
      <c r="L6" s="740"/>
      <c r="M6" s="182">
        <v>-1.4E-3</v>
      </c>
      <c r="N6" s="737"/>
      <c r="O6" s="731"/>
    </row>
    <row r="7" spans="3:15" ht="20.100000000000001" customHeight="1">
      <c r="C7" s="181" t="s">
        <v>332</v>
      </c>
      <c r="D7" s="734"/>
      <c r="E7" s="182">
        <v>53</v>
      </c>
      <c r="F7" s="182">
        <v>2.2494999999999998</v>
      </c>
      <c r="G7" s="737"/>
      <c r="H7" s="734"/>
      <c r="I7" s="182">
        <v>470</v>
      </c>
      <c r="J7" s="740"/>
      <c r="K7" s="182">
        <v>152</v>
      </c>
      <c r="L7" s="740"/>
      <c r="M7" s="182">
        <v>-1.4E-3</v>
      </c>
      <c r="N7" s="737"/>
      <c r="O7" s="731"/>
    </row>
    <row r="8" spans="3:15" ht="20.100000000000001" customHeight="1">
      <c r="C8" s="181" t="s">
        <v>333</v>
      </c>
      <c r="D8" s="735"/>
      <c r="E8" s="182">
        <v>53</v>
      </c>
      <c r="F8" s="182">
        <v>2.2494999999999998</v>
      </c>
      <c r="G8" s="738"/>
      <c r="H8" s="735"/>
      <c r="I8" s="182">
        <v>470</v>
      </c>
      <c r="J8" s="741"/>
      <c r="K8" s="182">
        <v>152</v>
      </c>
      <c r="L8" s="741"/>
      <c r="M8" s="182">
        <v>-1.4E-3</v>
      </c>
      <c r="N8" s="738"/>
      <c r="O8" s="732"/>
    </row>
    <row r="9" spans="3:15" ht="20.100000000000001" customHeight="1">
      <c r="C9" s="181"/>
      <c r="D9" s="182"/>
      <c r="E9" s="182"/>
      <c r="F9" s="182"/>
      <c r="G9" s="658"/>
      <c r="H9" s="182"/>
      <c r="I9" s="182"/>
      <c r="J9" s="659"/>
      <c r="K9" s="182"/>
      <c r="L9" s="659"/>
      <c r="M9" s="182"/>
      <c r="N9" s="658"/>
      <c r="O9" s="660"/>
    </row>
    <row r="10" spans="3:15" ht="20.100000000000001" customHeight="1">
      <c r="C10" s="181"/>
      <c r="D10" s="182"/>
      <c r="E10" s="182"/>
      <c r="F10" s="182"/>
      <c r="G10" s="658"/>
      <c r="H10" s="182"/>
      <c r="I10" s="182"/>
      <c r="J10" s="659"/>
      <c r="K10" s="182"/>
      <c r="L10" s="659"/>
      <c r="M10" s="182"/>
      <c r="N10" s="658"/>
      <c r="O10" s="660"/>
    </row>
    <row r="11" spans="3:15" ht="20.100000000000001" customHeight="1">
      <c r="C11" s="181"/>
      <c r="D11" s="182"/>
      <c r="E11" s="182"/>
      <c r="F11" s="182"/>
      <c r="G11" s="658"/>
      <c r="H11" s="182"/>
      <c r="I11" s="182"/>
      <c r="J11" s="659"/>
      <c r="K11" s="182"/>
      <c r="L11" s="659"/>
      <c r="M11" s="182"/>
      <c r="N11" s="658"/>
      <c r="O11" s="660"/>
    </row>
    <row r="12" spans="3:15" ht="20.100000000000001" customHeight="1">
      <c r="C12" s="181"/>
      <c r="D12" s="182"/>
      <c r="E12" s="182"/>
      <c r="F12" s="182"/>
      <c r="G12" s="658"/>
      <c r="H12" s="182"/>
      <c r="I12" s="182"/>
      <c r="J12" s="659"/>
      <c r="K12" s="182"/>
      <c r="L12" s="659"/>
      <c r="M12" s="182"/>
      <c r="N12" s="658"/>
      <c r="O12" s="660"/>
    </row>
    <row r="13" spans="3:15" ht="20.100000000000001" customHeight="1">
      <c r="C13" s="181"/>
      <c r="D13" s="182"/>
      <c r="E13" s="182"/>
      <c r="F13" s="182"/>
      <c r="G13" s="658"/>
      <c r="H13" s="182"/>
      <c r="I13" s="182"/>
      <c r="J13" s="659"/>
      <c r="K13" s="182"/>
      <c r="L13" s="659"/>
      <c r="M13" s="182"/>
      <c r="N13" s="658"/>
      <c r="O13" s="660"/>
    </row>
    <row r="14" spans="3:15" ht="20.100000000000001" customHeight="1">
      <c r="C14" s="181"/>
      <c r="D14" s="182"/>
      <c r="E14" s="182"/>
      <c r="F14" s="182"/>
      <c r="G14" s="658"/>
      <c r="H14" s="182"/>
      <c r="I14" s="182"/>
      <c r="J14" s="659"/>
      <c r="K14" s="182"/>
      <c r="L14" s="659"/>
      <c r="M14" s="182"/>
      <c r="N14" s="658"/>
      <c r="O14" s="660"/>
    </row>
    <row r="15" spans="3:15" ht="20.100000000000001" customHeight="1">
      <c r="C15" s="181"/>
      <c r="D15" s="182"/>
      <c r="E15" s="182"/>
      <c r="F15" s="182"/>
      <c r="G15" s="658"/>
      <c r="H15" s="182"/>
      <c r="I15" s="182"/>
      <c r="J15" s="659"/>
      <c r="K15" s="182"/>
      <c r="L15" s="659"/>
      <c r="M15" s="182"/>
      <c r="N15" s="658"/>
      <c r="O15" s="660"/>
    </row>
    <row r="16" spans="3:15" ht="20.100000000000001" customHeight="1">
      <c r="C16" s="181"/>
      <c r="D16" s="182"/>
      <c r="E16" s="182"/>
      <c r="F16" s="182"/>
      <c r="G16" s="658"/>
      <c r="H16" s="182"/>
      <c r="I16" s="182"/>
      <c r="J16" s="659"/>
      <c r="K16" s="182"/>
      <c r="L16" s="659"/>
      <c r="M16" s="182"/>
      <c r="N16" s="658"/>
      <c r="O16" s="660"/>
    </row>
    <row r="17" spans="3:15" ht="20.100000000000001" customHeight="1">
      <c r="C17" s="181"/>
      <c r="D17" s="182"/>
      <c r="E17" s="182"/>
      <c r="F17" s="182"/>
      <c r="G17" s="658"/>
      <c r="H17" s="182"/>
      <c r="I17" s="182"/>
      <c r="J17" s="659"/>
      <c r="K17" s="182"/>
      <c r="L17" s="659"/>
      <c r="M17" s="182"/>
      <c r="N17" s="658"/>
      <c r="O17" s="660"/>
    </row>
    <row r="18" spans="3:15" ht="20.100000000000001" customHeight="1">
      <c r="C18" s="505"/>
      <c r="D18" s="477"/>
      <c r="E18" s="477"/>
      <c r="F18" s="477"/>
      <c r="G18" s="655"/>
      <c r="H18" s="477"/>
      <c r="I18" s="477"/>
      <c r="J18" s="656"/>
      <c r="K18" s="477"/>
      <c r="L18" s="656"/>
      <c r="M18" s="477"/>
      <c r="N18" s="655"/>
      <c r="O18" s="657"/>
    </row>
    <row r="19" spans="3:15" ht="20.100000000000001" customHeight="1">
      <c r="C19" s="181"/>
      <c r="D19" s="182"/>
      <c r="E19" s="182"/>
      <c r="F19" s="182"/>
      <c r="G19" s="658"/>
      <c r="H19" s="182"/>
      <c r="I19" s="182"/>
      <c r="J19" s="659"/>
      <c r="K19" s="182"/>
      <c r="L19" s="659"/>
      <c r="M19" s="182"/>
      <c r="N19" s="658"/>
      <c r="O19" s="660"/>
    </row>
    <row r="20" spans="3:15" ht="20.100000000000001" customHeight="1">
      <c r="C20" s="181"/>
      <c r="D20" s="182"/>
      <c r="E20" s="182"/>
      <c r="F20" s="182"/>
      <c r="G20" s="658"/>
      <c r="H20" s="182"/>
      <c r="I20" s="182"/>
      <c r="J20" s="659"/>
      <c r="K20" s="182"/>
      <c r="L20" s="659"/>
      <c r="M20" s="182"/>
      <c r="N20" s="658"/>
      <c r="O20" s="660"/>
    </row>
    <row r="21" spans="3:15" ht="20.100000000000001" customHeight="1">
      <c r="C21" s="181"/>
      <c r="D21" s="182"/>
      <c r="E21" s="182"/>
      <c r="F21" s="182"/>
      <c r="G21" s="658"/>
      <c r="H21" s="182"/>
      <c r="I21" s="182"/>
      <c r="J21" s="659"/>
      <c r="K21" s="182"/>
      <c r="L21" s="659"/>
      <c r="M21" s="182"/>
      <c r="N21" s="658"/>
      <c r="O21" s="660"/>
    </row>
    <row r="22" spans="3:15" ht="20.100000000000001" customHeight="1">
      <c r="C22" s="181"/>
      <c r="D22" s="182"/>
      <c r="E22" s="182"/>
      <c r="F22" s="182"/>
      <c r="G22" s="658"/>
      <c r="H22" s="182"/>
      <c r="I22" s="182"/>
      <c r="J22" s="659"/>
      <c r="K22" s="182"/>
      <c r="L22" s="659"/>
      <c r="M22" s="182"/>
      <c r="N22" s="658"/>
      <c r="O22" s="660"/>
    </row>
    <row r="23" spans="3:15" ht="20.100000000000001" customHeight="1">
      <c r="C23" s="181"/>
      <c r="D23" s="182"/>
      <c r="E23" s="182"/>
      <c r="F23" s="182"/>
      <c r="G23" s="658"/>
      <c r="H23" s="182"/>
      <c r="I23" s="182"/>
      <c r="J23" s="659"/>
      <c r="K23" s="182"/>
      <c r="L23" s="659"/>
      <c r="M23" s="182"/>
      <c r="N23" s="658"/>
      <c r="O23" s="660"/>
    </row>
    <row r="24" spans="3:15" ht="20.100000000000001" customHeight="1">
      <c r="C24" s="181"/>
      <c r="D24" s="182"/>
      <c r="E24" s="182"/>
      <c r="F24" s="182"/>
      <c r="G24" s="658"/>
      <c r="H24" s="182"/>
      <c r="I24" s="182"/>
      <c r="J24" s="659"/>
      <c r="K24" s="182"/>
      <c r="L24" s="659"/>
      <c r="M24" s="182"/>
      <c r="N24" s="658"/>
      <c r="O24" s="660"/>
    </row>
    <row r="25" spans="3:15" ht="20.100000000000001" customHeight="1">
      <c r="C25" s="181"/>
      <c r="D25" s="182"/>
      <c r="E25" s="182"/>
      <c r="F25" s="182"/>
      <c r="G25" s="658"/>
      <c r="H25" s="182"/>
      <c r="I25" s="182"/>
      <c r="J25" s="659"/>
      <c r="K25" s="182"/>
      <c r="L25" s="659"/>
      <c r="M25" s="182"/>
      <c r="N25" s="658"/>
      <c r="O25" s="660"/>
    </row>
    <row r="26" spans="3:15" ht="20.100000000000001" customHeight="1">
      <c r="C26" s="181"/>
      <c r="D26" s="182"/>
      <c r="E26" s="182"/>
      <c r="F26" s="182"/>
      <c r="G26" s="658"/>
      <c r="H26" s="182"/>
      <c r="I26" s="182"/>
      <c r="J26" s="659"/>
      <c r="K26" s="182"/>
      <c r="L26" s="659"/>
      <c r="M26" s="182"/>
      <c r="N26" s="658"/>
      <c r="O26" s="660"/>
    </row>
    <row r="27" spans="3:15" ht="20.100000000000001" customHeight="1">
      <c r="C27" s="181"/>
      <c r="D27" s="182"/>
      <c r="E27" s="182"/>
      <c r="F27" s="182"/>
      <c r="G27" s="658"/>
      <c r="H27" s="182"/>
      <c r="I27" s="182"/>
      <c r="J27" s="659"/>
      <c r="K27" s="182"/>
      <c r="L27" s="659"/>
      <c r="M27" s="182"/>
      <c r="N27" s="658"/>
      <c r="O27" s="660"/>
    </row>
    <row r="28" spans="3:15" ht="20.100000000000001" customHeight="1">
      <c r="C28" s="181"/>
      <c r="D28" s="182"/>
      <c r="E28" s="182"/>
      <c r="F28" s="182"/>
      <c r="G28" s="658"/>
      <c r="H28" s="182"/>
      <c r="I28" s="182"/>
      <c r="J28" s="659"/>
      <c r="K28" s="182"/>
      <c r="L28" s="659"/>
      <c r="M28" s="182"/>
      <c r="N28" s="658"/>
      <c r="O28" s="660"/>
    </row>
    <row r="29" spans="3:15" ht="20.100000000000001" customHeight="1">
      <c r="C29" s="181"/>
      <c r="D29" s="182"/>
      <c r="E29" s="182"/>
      <c r="F29" s="182"/>
      <c r="G29" s="658"/>
      <c r="H29" s="182"/>
      <c r="I29" s="182"/>
      <c r="J29" s="659"/>
      <c r="K29" s="182"/>
      <c r="L29" s="659"/>
      <c r="M29" s="182"/>
      <c r="N29" s="658"/>
      <c r="O29" s="660"/>
    </row>
    <row r="30" spans="3:15" ht="20.100000000000001" customHeight="1">
      <c r="C30" s="181"/>
      <c r="D30" s="182"/>
      <c r="E30" s="182"/>
      <c r="F30" s="182"/>
      <c r="G30" s="658"/>
      <c r="H30" s="182"/>
      <c r="I30" s="182"/>
      <c r="J30" s="659"/>
      <c r="K30" s="182"/>
      <c r="L30" s="659"/>
      <c r="M30" s="182"/>
      <c r="N30" s="658"/>
      <c r="O30" s="660"/>
    </row>
    <row r="31" spans="3:15" ht="20.100000000000001" customHeight="1">
      <c r="C31" s="181"/>
      <c r="D31" s="182"/>
      <c r="E31" s="182"/>
      <c r="F31" s="182"/>
      <c r="G31" s="658"/>
      <c r="H31" s="182"/>
      <c r="I31" s="182"/>
      <c r="J31" s="659"/>
      <c r="K31" s="182"/>
      <c r="L31" s="659"/>
      <c r="M31" s="182"/>
      <c r="N31" s="658"/>
      <c r="O31" s="660"/>
    </row>
    <row r="32" spans="3:15" ht="20.100000000000001" customHeight="1">
      <c r="C32" s="181"/>
      <c r="D32" s="182"/>
      <c r="E32" s="182"/>
      <c r="F32" s="182"/>
      <c r="G32" s="658"/>
      <c r="H32" s="182"/>
      <c r="I32" s="182"/>
      <c r="J32" s="659"/>
      <c r="K32" s="182"/>
      <c r="L32" s="659"/>
      <c r="M32" s="182"/>
      <c r="N32" s="658"/>
      <c r="O32" s="660"/>
    </row>
    <row r="33" spans="3:15" ht="20.100000000000001" customHeight="1">
      <c r="C33" s="181"/>
      <c r="D33" s="182"/>
      <c r="E33" s="182"/>
      <c r="F33" s="182"/>
      <c r="G33" s="658"/>
      <c r="H33" s="182"/>
      <c r="I33" s="182"/>
      <c r="J33" s="659"/>
      <c r="K33" s="182"/>
      <c r="L33" s="659"/>
      <c r="M33" s="182"/>
      <c r="N33" s="658"/>
      <c r="O33" s="660"/>
    </row>
    <row r="34" spans="3:15" ht="20.100000000000001" customHeight="1" thickBot="1">
      <c r="C34" s="179"/>
      <c r="D34" s="661"/>
      <c r="E34" s="180"/>
      <c r="F34" s="180"/>
      <c r="G34" s="661"/>
      <c r="H34" s="661"/>
      <c r="I34" s="180"/>
      <c r="J34" s="661"/>
      <c r="K34" s="180"/>
      <c r="L34" s="661"/>
      <c r="M34" s="180"/>
      <c r="N34" s="661"/>
      <c r="O34" s="662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635</v>
      </c>
    </row>
    <row r="3" spans="4:19" s="45" customFormat="1" ht="42.75" customHeight="1">
      <c r="D3" s="621" t="s">
        <v>266</v>
      </c>
      <c r="E3" s="625" t="s">
        <v>267</v>
      </c>
      <c r="F3" s="625" t="s">
        <v>268</v>
      </c>
      <c r="G3" s="625" t="s">
        <v>269</v>
      </c>
      <c r="H3" s="625" t="s">
        <v>270</v>
      </c>
      <c r="I3" s="625" t="s">
        <v>271</v>
      </c>
      <c r="J3" s="625" t="s">
        <v>256</v>
      </c>
      <c r="K3" s="626" t="s">
        <v>257</v>
      </c>
      <c r="M3" s="621" t="s">
        <v>266</v>
      </c>
      <c r="N3" s="625" t="s">
        <v>267</v>
      </c>
      <c r="O3" s="625" t="s">
        <v>268</v>
      </c>
      <c r="P3" s="625" t="s">
        <v>270</v>
      </c>
      <c r="Q3" s="625" t="s">
        <v>271</v>
      </c>
      <c r="R3" s="625" t="s">
        <v>256</v>
      </c>
      <c r="S3" s="626" t="s">
        <v>257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21" t="s">
        <v>266</v>
      </c>
      <c r="E7" s="625" t="s">
        <v>267</v>
      </c>
      <c r="F7" s="625" t="s">
        <v>268</v>
      </c>
      <c r="G7" s="625" t="s">
        <v>269</v>
      </c>
      <c r="H7" s="625" t="s">
        <v>270</v>
      </c>
      <c r="I7" s="625" t="s">
        <v>271</v>
      </c>
      <c r="J7" s="625" t="s">
        <v>272</v>
      </c>
      <c r="K7" s="626" t="s">
        <v>256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280</v>
      </c>
      <c r="G10" s="478" t="s">
        <v>646</v>
      </c>
      <c r="L10" s="478" t="s">
        <v>647</v>
      </c>
    </row>
    <row r="11" spans="4:19" s="45" customFormat="1" ht="39" customHeight="1">
      <c r="D11" s="183" t="s">
        <v>273</v>
      </c>
      <c r="E11" s="184" t="s">
        <v>274</v>
      </c>
      <c r="F11" s="184" t="s">
        <v>275</v>
      </c>
      <c r="G11" s="184" t="s">
        <v>276</v>
      </c>
      <c r="H11" s="184" t="s">
        <v>277</v>
      </c>
      <c r="I11" s="184" t="s">
        <v>278</v>
      </c>
      <c r="J11" s="185" t="s">
        <v>279</v>
      </c>
      <c r="L11" s="183" t="s">
        <v>273</v>
      </c>
      <c r="M11" s="184" t="s">
        <v>274</v>
      </c>
      <c r="N11" s="184" t="s">
        <v>275</v>
      </c>
      <c r="O11" s="184" t="s">
        <v>276</v>
      </c>
      <c r="P11" s="184" t="s">
        <v>277</v>
      </c>
      <c r="Q11" s="184" t="s">
        <v>161</v>
      </c>
      <c r="R11" s="184" t="s">
        <v>278</v>
      </c>
      <c r="S11" s="185" t="s">
        <v>279</v>
      </c>
    </row>
    <row r="12" spans="4:19" s="30" customFormat="1" ht="20.100000000000001" customHeight="1">
      <c r="D12" s="518" t="s">
        <v>226</v>
      </c>
      <c r="E12" s="519">
        <v>500</v>
      </c>
      <c r="F12" s="519">
        <v>53</v>
      </c>
      <c r="G12" s="521">
        <v>12.03</v>
      </c>
      <c r="H12" s="521">
        <v>26.47</v>
      </c>
      <c r="I12" s="522">
        <v>2.2494999999999998</v>
      </c>
      <c r="J12" s="523">
        <v>2.8430000000000003E-4</v>
      </c>
      <c r="L12" s="518" t="s">
        <v>226</v>
      </c>
      <c r="M12" s="519">
        <v>500</v>
      </c>
      <c r="N12" s="519">
        <v>53</v>
      </c>
      <c r="O12" s="521">
        <v>12.03</v>
      </c>
      <c r="P12" s="521">
        <v>26.47</v>
      </c>
      <c r="Q12" s="529">
        <v>14.44</v>
      </c>
      <c r="R12" s="522">
        <v>2.2494999999999998</v>
      </c>
      <c r="S12" s="523">
        <v>2.8430000000000003E-4</v>
      </c>
    </row>
    <row r="13" spans="4:19" s="30" customFormat="1" ht="20.100000000000001" customHeight="1">
      <c r="D13" s="515" t="s">
        <v>227</v>
      </c>
      <c r="E13" s="516">
        <v>500</v>
      </c>
      <c r="F13" s="516">
        <v>53</v>
      </c>
      <c r="G13" s="537">
        <v>12.03</v>
      </c>
      <c r="H13" s="537">
        <v>26.47</v>
      </c>
      <c r="I13" s="627">
        <v>2.2494999999999998</v>
      </c>
      <c r="J13" s="628">
        <v>2.8430000000000003E-4</v>
      </c>
      <c r="L13" s="515" t="s">
        <v>227</v>
      </c>
      <c r="M13" s="516">
        <v>500</v>
      </c>
      <c r="N13" s="516">
        <v>53</v>
      </c>
      <c r="O13" s="537">
        <v>12.03</v>
      </c>
      <c r="P13" s="537">
        <v>26.47</v>
      </c>
      <c r="Q13" s="444">
        <v>14.44</v>
      </c>
      <c r="R13" s="627">
        <v>2.2494999999999998</v>
      </c>
      <c r="S13" s="628">
        <v>2.8430000000000003E-4</v>
      </c>
    </row>
    <row r="14" spans="4:19" s="30" customFormat="1" ht="20.100000000000001" customHeight="1">
      <c r="D14" s="518" t="s">
        <v>228</v>
      </c>
      <c r="E14" s="519">
        <v>500</v>
      </c>
      <c r="F14" s="519">
        <v>53</v>
      </c>
      <c r="G14" s="521">
        <v>12.03</v>
      </c>
      <c r="H14" s="521">
        <v>26.47</v>
      </c>
      <c r="I14" s="522">
        <v>2.2494999999999998</v>
      </c>
      <c r="J14" s="523">
        <v>2.8430000000000003E-4</v>
      </c>
      <c r="L14" s="518" t="s">
        <v>228</v>
      </c>
      <c r="M14" s="519">
        <v>500</v>
      </c>
      <c r="N14" s="519">
        <v>53</v>
      </c>
      <c r="O14" s="521">
        <v>12.03</v>
      </c>
      <c r="P14" s="521">
        <v>26.47</v>
      </c>
      <c r="Q14" s="529">
        <v>14.44</v>
      </c>
      <c r="R14" s="522">
        <v>2.2494999999999998</v>
      </c>
      <c r="S14" s="523">
        <v>2.8430000000000003E-4</v>
      </c>
    </row>
    <row r="15" spans="4:19" s="30" customFormat="1" ht="20.100000000000001" customHeight="1">
      <c r="D15" s="515" t="s">
        <v>332</v>
      </c>
      <c r="E15" s="516">
        <v>500</v>
      </c>
      <c r="F15" s="516">
        <v>53</v>
      </c>
      <c r="G15" s="537">
        <v>12.03</v>
      </c>
      <c r="H15" s="537">
        <v>26.47</v>
      </c>
      <c r="I15" s="627">
        <v>2.2494999999999998</v>
      </c>
      <c r="J15" s="628">
        <v>2.8430000000000003E-4</v>
      </c>
      <c r="L15" s="515" t="s">
        <v>332</v>
      </c>
      <c r="M15" s="516">
        <v>500</v>
      </c>
      <c r="N15" s="516">
        <v>53</v>
      </c>
      <c r="O15" s="537">
        <v>12.03</v>
      </c>
      <c r="P15" s="537">
        <v>26.47</v>
      </c>
      <c r="Q15" s="444">
        <v>14.44</v>
      </c>
      <c r="R15" s="627">
        <v>2.2494999999999998</v>
      </c>
      <c r="S15" s="628">
        <v>2.8430000000000003E-4</v>
      </c>
    </row>
    <row r="16" spans="4:19" s="30" customFormat="1" ht="20.100000000000001" customHeight="1">
      <c r="D16" s="518" t="s">
        <v>333</v>
      </c>
      <c r="E16" s="519">
        <v>500</v>
      </c>
      <c r="F16" s="519">
        <v>53</v>
      </c>
      <c r="G16" s="521">
        <v>12.03</v>
      </c>
      <c r="H16" s="521">
        <v>26.47</v>
      </c>
      <c r="I16" s="522">
        <v>2.2494999999999998</v>
      </c>
      <c r="J16" s="523">
        <v>2.8430000000000003E-4</v>
      </c>
      <c r="L16" s="518" t="s">
        <v>333</v>
      </c>
      <c r="M16" s="519">
        <v>500</v>
      </c>
      <c r="N16" s="519">
        <v>53</v>
      </c>
      <c r="O16" s="521">
        <v>12.03</v>
      </c>
      <c r="P16" s="521">
        <v>26.47</v>
      </c>
      <c r="Q16" s="529">
        <v>14.44</v>
      </c>
      <c r="R16" s="522">
        <v>2.2494999999999998</v>
      </c>
      <c r="S16" s="523">
        <v>2.8430000000000003E-4</v>
      </c>
    </row>
    <row r="17" spans="4:19" s="30" customFormat="1" ht="20.100000000000001" customHeight="1">
      <c r="D17" s="515"/>
      <c r="E17" s="516"/>
      <c r="F17" s="516"/>
      <c r="G17" s="537"/>
      <c r="H17" s="537"/>
      <c r="I17" s="627"/>
      <c r="J17" s="628"/>
      <c r="L17" s="515"/>
      <c r="M17" s="516"/>
      <c r="N17" s="516"/>
      <c r="O17" s="537"/>
      <c r="P17" s="537"/>
      <c r="Q17" s="444"/>
      <c r="R17" s="627"/>
      <c r="S17" s="628"/>
    </row>
    <row r="18" spans="4:19" s="30" customFormat="1" ht="20.100000000000001" customHeight="1">
      <c r="D18" s="518"/>
      <c r="E18" s="519"/>
      <c r="F18" s="519"/>
      <c r="G18" s="521"/>
      <c r="H18" s="521"/>
      <c r="I18" s="522"/>
      <c r="J18" s="523"/>
      <c r="L18" s="518"/>
      <c r="M18" s="519"/>
      <c r="N18" s="519"/>
      <c r="O18" s="521"/>
      <c r="P18" s="521"/>
      <c r="Q18" s="529"/>
      <c r="R18" s="522"/>
      <c r="S18" s="523"/>
    </row>
    <row r="19" spans="4:19" s="30" customFormat="1" ht="20.100000000000001" customHeight="1">
      <c r="D19" s="515"/>
      <c r="E19" s="516"/>
      <c r="F19" s="516"/>
      <c r="G19" s="537"/>
      <c r="H19" s="537"/>
      <c r="I19" s="627"/>
      <c r="J19" s="628"/>
      <c r="L19" s="515"/>
      <c r="M19" s="516"/>
      <c r="N19" s="516"/>
      <c r="O19" s="537"/>
      <c r="P19" s="537"/>
      <c r="Q19" s="444"/>
      <c r="R19" s="627"/>
      <c r="S19" s="628"/>
    </row>
    <row r="20" spans="4:19" s="30" customFormat="1" ht="20.100000000000001" customHeight="1">
      <c r="D20" s="518"/>
      <c r="E20" s="519"/>
      <c r="F20" s="519"/>
      <c r="G20" s="521"/>
      <c r="H20" s="521"/>
      <c r="I20" s="522"/>
      <c r="J20" s="523"/>
      <c r="L20" s="518"/>
      <c r="M20" s="519"/>
      <c r="N20" s="519"/>
      <c r="O20" s="521"/>
      <c r="P20" s="521"/>
      <c r="Q20" s="529"/>
      <c r="R20" s="522"/>
      <c r="S20" s="523"/>
    </row>
    <row r="21" spans="4:19" s="30" customFormat="1" ht="20.100000000000001" customHeight="1">
      <c r="D21" s="515"/>
      <c r="E21" s="516"/>
      <c r="F21" s="516"/>
      <c r="G21" s="537"/>
      <c r="H21" s="537"/>
      <c r="I21" s="627"/>
      <c r="J21" s="628"/>
      <c r="L21" s="515"/>
      <c r="M21" s="516"/>
      <c r="N21" s="516"/>
      <c r="O21" s="537"/>
      <c r="P21" s="537"/>
      <c r="Q21" s="444"/>
      <c r="R21" s="627"/>
      <c r="S21" s="628"/>
    </row>
    <row r="22" spans="4:19" s="30" customFormat="1" ht="20.100000000000001" customHeight="1">
      <c r="D22" s="518"/>
      <c r="E22" s="519"/>
      <c r="F22" s="519"/>
      <c r="G22" s="521"/>
      <c r="H22" s="521"/>
      <c r="I22" s="522"/>
      <c r="J22" s="523"/>
      <c r="L22" s="518"/>
      <c r="M22" s="519"/>
      <c r="N22" s="519"/>
      <c r="O22" s="521"/>
      <c r="P22" s="521"/>
      <c r="Q22" s="529"/>
      <c r="R22" s="522"/>
      <c r="S22" s="523"/>
    </row>
    <row r="23" spans="4:19" s="30" customFormat="1" ht="20.100000000000001" customHeight="1">
      <c r="D23" s="515"/>
      <c r="E23" s="516"/>
      <c r="F23" s="516"/>
      <c r="G23" s="537"/>
      <c r="H23" s="537"/>
      <c r="I23" s="627"/>
      <c r="J23" s="628"/>
      <c r="L23" s="515"/>
      <c r="M23" s="516"/>
      <c r="N23" s="516"/>
      <c r="O23" s="537"/>
      <c r="P23" s="537"/>
      <c r="Q23" s="444"/>
      <c r="R23" s="627"/>
      <c r="S23" s="628"/>
    </row>
    <row r="24" spans="4:19" s="30" customFormat="1" ht="20.100000000000001" customHeight="1">
      <c r="D24" s="518"/>
      <c r="E24" s="519"/>
      <c r="F24" s="519"/>
      <c r="G24" s="521"/>
      <c r="H24" s="521"/>
      <c r="I24" s="522"/>
      <c r="J24" s="523"/>
      <c r="L24" s="518"/>
      <c r="M24" s="519"/>
      <c r="N24" s="519"/>
      <c r="O24" s="521"/>
      <c r="P24" s="521"/>
      <c r="Q24" s="529"/>
      <c r="R24" s="522"/>
      <c r="S24" s="523"/>
    </row>
    <row r="25" spans="4:19" s="30" customFormat="1" ht="20.100000000000001" customHeight="1">
      <c r="D25" s="515"/>
      <c r="E25" s="516"/>
      <c r="F25" s="516"/>
      <c r="G25" s="537"/>
      <c r="H25" s="537"/>
      <c r="I25" s="627"/>
      <c r="J25" s="628"/>
      <c r="L25" s="515"/>
      <c r="M25" s="516"/>
      <c r="N25" s="516"/>
      <c r="O25" s="537"/>
      <c r="P25" s="537"/>
      <c r="Q25" s="444"/>
      <c r="R25" s="627"/>
      <c r="S25" s="628"/>
    </row>
    <row r="26" spans="4:19" s="30" customFormat="1" ht="20.100000000000001" customHeight="1">
      <c r="D26" s="518"/>
      <c r="E26" s="519"/>
      <c r="F26" s="519"/>
      <c r="G26" s="521"/>
      <c r="H26" s="521"/>
      <c r="I26" s="522"/>
      <c r="J26" s="523"/>
      <c r="L26" s="518"/>
      <c r="M26" s="519"/>
      <c r="N26" s="519"/>
      <c r="O26" s="521"/>
      <c r="P26" s="521"/>
      <c r="Q26" s="529"/>
      <c r="R26" s="522"/>
      <c r="S26" s="523"/>
    </row>
    <row r="27" spans="4:19" s="30" customFormat="1" ht="20.100000000000001" customHeight="1">
      <c r="D27" s="515"/>
      <c r="E27" s="516"/>
      <c r="F27" s="516"/>
      <c r="G27" s="537"/>
      <c r="H27" s="537"/>
      <c r="I27" s="627"/>
      <c r="J27" s="628"/>
      <c r="L27" s="515"/>
      <c r="M27" s="516"/>
      <c r="N27" s="516"/>
      <c r="O27" s="537"/>
      <c r="P27" s="537"/>
      <c r="Q27" s="632"/>
      <c r="R27" s="627"/>
      <c r="S27" s="628"/>
    </row>
    <row r="28" spans="4:19" s="30" customFormat="1" ht="20.100000000000001" customHeight="1">
      <c r="D28" s="518"/>
      <c r="E28" s="519"/>
      <c r="F28" s="519"/>
      <c r="G28" s="521"/>
      <c r="H28" s="521"/>
      <c r="I28" s="522"/>
      <c r="J28" s="523"/>
      <c r="L28" s="518"/>
      <c r="M28" s="519"/>
      <c r="N28" s="519"/>
      <c r="O28" s="521"/>
      <c r="P28" s="521"/>
      <c r="Q28" s="530"/>
      <c r="R28" s="522"/>
      <c r="S28" s="523"/>
    </row>
    <row r="29" spans="4:19" s="30" customFormat="1" ht="20.100000000000001" customHeight="1">
      <c r="D29" s="515"/>
      <c r="E29" s="516"/>
      <c r="F29" s="516"/>
      <c r="G29" s="537"/>
      <c r="H29" s="537"/>
      <c r="I29" s="627"/>
      <c r="J29" s="628"/>
      <c r="L29" s="515"/>
      <c r="M29" s="516"/>
      <c r="N29" s="516"/>
      <c r="O29" s="537"/>
      <c r="P29" s="537"/>
      <c r="Q29" s="632"/>
      <c r="R29" s="627"/>
      <c r="S29" s="628"/>
    </row>
    <row r="30" spans="4:19" s="30" customFormat="1" ht="20.100000000000001" customHeight="1">
      <c r="D30" s="518"/>
      <c r="E30" s="519"/>
      <c r="F30" s="519"/>
      <c r="G30" s="521"/>
      <c r="H30" s="521"/>
      <c r="I30" s="522"/>
      <c r="J30" s="523"/>
      <c r="L30" s="518"/>
      <c r="M30" s="519"/>
      <c r="N30" s="519"/>
      <c r="O30" s="521"/>
      <c r="P30" s="521"/>
      <c r="Q30" s="530"/>
      <c r="R30" s="522"/>
      <c r="S30" s="523"/>
    </row>
    <row r="31" spans="4:19" s="30" customFormat="1" ht="20.100000000000001" customHeight="1">
      <c r="D31" s="515"/>
      <c r="E31" s="516"/>
      <c r="F31" s="516"/>
      <c r="G31" s="537"/>
      <c r="H31" s="537"/>
      <c r="I31" s="627"/>
      <c r="J31" s="628"/>
      <c r="L31" s="515"/>
      <c r="M31" s="516"/>
      <c r="N31" s="516"/>
      <c r="O31" s="537"/>
      <c r="P31" s="537"/>
      <c r="Q31" s="632"/>
      <c r="R31" s="627"/>
      <c r="S31" s="628"/>
    </row>
    <row r="32" spans="4:19" s="30" customFormat="1" ht="20.100000000000001" customHeight="1">
      <c r="D32" s="518"/>
      <c r="E32" s="519"/>
      <c r="F32" s="519"/>
      <c r="G32" s="521"/>
      <c r="H32" s="521"/>
      <c r="I32" s="522"/>
      <c r="J32" s="523"/>
      <c r="L32" s="518"/>
      <c r="M32" s="519"/>
      <c r="N32" s="519"/>
      <c r="O32" s="521"/>
      <c r="P32" s="521"/>
      <c r="Q32" s="530"/>
      <c r="R32" s="522"/>
      <c r="S32" s="523"/>
    </row>
    <row r="33" spans="4:24" s="30" customFormat="1" ht="20.100000000000001" customHeight="1">
      <c r="D33" s="515"/>
      <c r="E33" s="516"/>
      <c r="F33" s="516"/>
      <c r="G33" s="537"/>
      <c r="H33" s="537"/>
      <c r="I33" s="627"/>
      <c r="J33" s="628"/>
      <c r="L33" s="515"/>
      <c r="M33" s="516"/>
      <c r="N33" s="516"/>
      <c r="O33" s="537"/>
      <c r="P33" s="537"/>
      <c r="Q33" s="632"/>
      <c r="R33" s="627"/>
      <c r="S33" s="628"/>
    </row>
    <row r="34" spans="4:24" s="30" customFormat="1" ht="20.100000000000001" customHeight="1">
      <c r="D34" s="518"/>
      <c r="E34" s="519"/>
      <c r="F34" s="519"/>
      <c r="G34" s="521"/>
      <c r="H34" s="521"/>
      <c r="I34" s="522"/>
      <c r="J34" s="523"/>
      <c r="L34" s="518"/>
      <c r="M34" s="519"/>
      <c r="N34" s="519"/>
      <c r="O34" s="521"/>
      <c r="P34" s="521"/>
      <c r="Q34" s="530"/>
      <c r="R34" s="522"/>
      <c r="S34" s="523"/>
    </row>
    <row r="35" spans="4:24" s="30" customFormat="1" ht="20.100000000000001" customHeight="1">
      <c r="D35" s="515"/>
      <c r="E35" s="516"/>
      <c r="F35" s="516"/>
      <c r="G35" s="537"/>
      <c r="H35" s="537"/>
      <c r="I35" s="627"/>
      <c r="J35" s="628"/>
      <c r="L35" s="515"/>
      <c r="M35" s="516"/>
      <c r="N35" s="516"/>
      <c r="O35" s="537"/>
      <c r="P35" s="537"/>
      <c r="Q35" s="632"/>
      <c r="R35" s="627"/>
      <c r="S35" s="628"/>
    </row>
    <row r="36" spans="4:24" s="30" customFormat="1" ht="20.100000000000001" customHeight="1">
      <c r="D36" s="518"/>
      <c r="E36" s="519"/>
      <c r="F36" s="519"/>
      <c r="G36" s="521"/>
      <c r="H36" s="521"/>
      <c r="I36" s="522"/>
      <c r="J36" s="523"/>
      <c r="L36" s="518"/>
      <c r="M36" s="519"/>
      <c r="N36" s="519"/>
      <c r="O36" s="521"/>
      <c r="P36" s="521"/>
      <c r="Q36" s="530"/>
      <c r="R36" s="522"/>
      <c r="S36" s="523"/>
    </row>
    <row r="37" spans="4:24" s="30" customFormat="1" ht="20.100000000000001" customHeight="1">
      <c r="D37" s="515"/>
      <c r="E37" s="516"/>
      <c r="F37" s="516"/>
      <c r="G37" s="537"/>
      <c r="H37" s="537"/>
      <c r="I37" s="627"/>
      <c r="J37" s="628"/>
      <c r="L37" s="515"/>
      <c r="M37" s="516"/>
      <c r="N37" s="516"/>
      <c r="O37" s="537"/>
      <c r="P37" s="537"/>
      <c r="Q37" s="632"/>
      <c r="R37" s="627"/>
      <c r="S37" s="628"/>
    </row>
    <row r="38" spans="4:24" s="30" customFormat="1" ht="20.100000000000001" customHeight="1">
      <c r="D38" s="518"/>
      <c r="E38" s="519"/>
      <c r="F38" s="519"/>
      <c r="G38" s="521"/>
      <c r="H38" s="521"/>
      <c r="I38" s="522"/>
      <c r="J38" s="523"/>
      <c r="L38" s="518"/>
      <c r="M38" s="519"/>
      <c r="N38" s="519"/>
      <c r="O38" s="521"/>
      <c r="P38" s="521"/>
      <c r="Q38" s="530"/>
      <c r="R38" s="522"/>
      <c r="S38" s="523"/>
    </row>
    <row r="39" spans="4:24" s="30" customFormat="1" ht="20.100000000000001" customHeight="1">
      <c r="D39" s="515"/>
      <c r="E39" s="516"/>
      <c r="F39" s="516"/>
      <c r="G39" s="537"/>
      <c r="H39" s="537"/>
      <c r="I39" s="627"/>
      <c r="J39" s="628"/>
      <c r="L39" s="515"/>
      <c r="M39" s="516"/>
      <c r="N39" s="516"/>
      <c r="O39" s="537"/>
      <c r="P39" s="537"/>
      <c r="Q39" s="632"/>
      <c r="R39" s="627"/>
      <c r="S39" s="628"/>
    </row>
    <row r="40" spans="4:24" s="30" customFormat="1" ht="20.100000000000001" customHeight="1">
      <c r="D40" s="524"/>
      <c r="E40" s="525"/>
      <c r="F40" s="525"/>
      <c r="G40" s="526"/>
      <c r="H40" s="526"/>
      <c r="I40" s="527"/>
      <c r="J40" s="528"/>
      <c r="L40" s="524"/>
      <c r="M40" s="525"/>
      <c r="N40" s="525"/>
      <c r="O40" s="526"/>
      <c r="P40" s="526"/>
      <c r="Q40" s="531"/>
      <c r="R40" s="527"/>
      <c r="S40" s="528"/>
    </row>
    <row r="41" spans="4:24" s="30" customFormat="1" ht="20.100000000000001" customHeight="1" thickBot="1">
      <c r="D41" s="539"/>
      <c r="E41" s="540"/>
      <c r="F41" s="540"/>
      <c r="G41" s="629"/>
      <c r="H41" s="629"/>
      <c r="I41" s="630"/>
      <c r="J41" s="631"/>
      <c r="L41" s="539"/>
      <c r="M41" s="540"/>
      <c r="N41" s="540"/>
      <c r="O41" s="629"/>
      <c r="P41" s="629"/>
      <c r="Q41" s="633"/>
      <c r="R41" s="630"/>
      <c r="S41" s="631"/>
    </row>
    <row r="42" spans="4:24" s="30" customFormat="1" ht="20.100000000000001" customHeight="1">
      <c r="D42" s="532"/>
      <c r="E42" s="532"/>
      <c r="F42" s="532"/>
      <c r="G42" s="532"/>
      <c r="H42" s="532"/>
      <c r="I42" s="532"/>
      <c r="J42" s="532"/>
      <c r="M42" s="535"/>
      <c r="N42" s="535"/>
      <c r="O42" s="535"/>
    </row>
    <row r="43" spans="4:24" ht="20.100000000000001" customHeight="1" thickBot="1">
      <c r="D43" s="533" t="s">
        <v>644</v>
      </c>
      <c r="E43" s="534"/>
      <c r="F43" s="534"/>
      <c r="G43" s="534"/>
      <c r="H43" s="534"/>
      <c r="I43" s="533" t="s">
        <v>645</v>
      </c>
      <c r="J43" s="534"/>
      <c r="M43" s="536" t="s">
        <v>634</v>
      </c>
      <c r="N43" s="534"/>
      <c r="O43" s="534"/>
    </row>
    <row r="44" spans="4:24" ht="31.5" customHeight="1" thickBot="1">
      <c r="D44" s="183" t="s">
        <v>260</v>
      </c>
      <c r="E44" s="184" t="s">
        <v>258</v>
      </c>
      <c r="F44" s="184" t="s">
        <v>259</v>
      </c>
      <c r="G44" s="185" t="s">
        <v>340</v>
      </c>
      <c r="H44" s="534"/>
      <c r="I44" s="183" t="s">
        <v>260</v>
      </c>
      <c r="J44" s="184" t="s">
        <v>281</v>
      </c>
      <c r="K44" s="185" t="s">
        <v>282</v>
      </c>
      <c r="M44" s="183" t="s">
        <v>631</v>
      </c>
      <c r="N44" s="184" t="s">
        <v>632</v>
      </c>
      <c r="O44" s="185" t="s">
        <v>633</v>
      </c>
      <c r="Q44" s="45" t="s">
        <v>349</v>
      </c>
    </row>
    <row r="45" spans="4:24" s="30" customFormat="1" ht="20.100000000000001" customHeight="1">
      <c r="D45" s="518" t="s">
        <v>226</v>
      </c>
      <c r="E45" s="519" t="s">
        <v>689</v>
      </c>
      <c r="F45" s="519" t="s">
        <v>690</v>
      </c>
      <c r="G45" s="520" t="s">
        <v>691</v>
      </c>
      <c r="H45" s="535"/>
      <c r="I45" s="518" t="s">
        <v>226</v>
      </c>
      <c r="J45" s="519">
        <v>105</v>
      </c>
      <c r="K45" s="520">
        <v>129</v>
      </c>
      <c r="M45" s="518" t="s">
        <v>689</v>
      </c>
      <c r="N45" s="519" t="s">
        <v>692</v>
      </c>
      <c r="O45" s="520" t="s">
        <v>693</v>
      </c>
      <c r="Q45" s="341">
        <f>MAX(K45:K74)</f>
        <v>129</v>
      </c>
      <c r="R45" s="342" t="s">
        <v>621</v>
      </c>
      <c r="T45" s="341" t="s">
        <v>622</v>
      </c>
      <c r="U45" s="342">
        <f>MAX(E45:E74)</f>
        <v>0</v>
      </c>
      <c r="W45" s="341" t="s">
        <v>624</v>
      </c>
      <c r="X45" s="342">
        <f>MAX(F45:F74)</f>
        <v>0</v>
      </c>
    </row>
    <row r="46" spans="4:24" s="30" customFormat="1" ht="20.100000000000001" customHeight="1" thickBot="1">
      <c r="D46" s="515" t="s">
        <v>227</v>
      </c>
      <c r="E46" s="516" t="s">
        <v>689</v>
      </c>
      <c r="F46" s="516" t="s">
        <v>690</v>
      </c>
      <c r="G46" s="517" t="s">
        <v>691</v>
      </c>
      <c r="H46" s="535"/>
      <c r="I46" s="515" t="s">
        <v>227</v>
      </c>
      <c r="J46" s="516">
        <v>105</v>
      </c>
      <c r="K46" s="517">
        <v>129</v>
      </c>
      <c r="M46" s="515" t="s">
        <v>689</v>
      </c>
      <c r="N46" s="516" t="s">
        <v>692</v>
      </c>
      <c r="O46" s="517" t="s">
        <v>693</v>
      </c>
      <c r="Q46" s="158">
        <f>MIN(J45:J74)</f>
        <v>105</v>
      </c>
      <c r="R46" s="189" t="s">
        <v>612</v>
      </c>
      <c r="T46" s="158" t="s">
        <v>623</v>
      </c>
      <c r="U46" s="189">
        <f>MIN(E45:E74)</f>
        <v>0</v>
      </c>
      <c r="W46" s="158" t="s">
        <v>625</v>
      </c>
      <c r="X46" s="189">
        <f>MIN(F45:F74)</f>
        <v>0</v>
      </c>
    </row>
    <row r="47" spans="4:24" s="30" customFormat="1" ht="20.100000000000001" customHeight="1">
      <c r="D47" s="518" t="s">
        <v>228</v>
      </c>
      <c r="E47" s="519" t="s">
        <v>689</v>
      </c>
      <c r="F47" s="519" t="s">
        <v>690</v>
      </c>
      <c r="G47" s="520" t="s">
        <v>691</v>
      </c>
      <c r="H47" s="535"/>
      <c r="I47" s="518" t="s">
        <v>228</v>
      </c>
      <c r="J47" s="519">
        <v>105</v>
      </c>
      <c r="K47" s="520">
        <v>129</v>
      </c>
      <c r="M47" s="518" t="s">
        <v>689</v>
      </c>
      <c r="N47" s="519" t="s">
        <v>692</v>
      </c>
      <c r="O47" s="520" t="s">
        <v>693</v>
      </c>
    </row>
    <row r="48" spans="4:24" s="30" customFormat="1" ht="20.100000000000001" customHeight="1">
      <c r="D48" s="515" t="s">
        <v>332</v>
      </c>
      <c r="E48" s="516" t="s">
        <v>689</v>
      </c>
      <c r="F48" s="516" t="s">
        <v>690</v>
      </c>
      <c r="G48" s="517" t="s">
        <v>691</v>
      </c>
      <c r="H48" s="535"/>
      <c r="I48" s="515" t="s">
        <v>332</v>
      </c>
      <c r="J48" s="516">
        <v>105</v>
      </c>
      <c r="K48" s="517">
        <v>129</v>
      </c>
      <c r="M48" s="515" t="s">
        <v>689</v>
      </c>
      <c r="N48" s="516" t="s">
        <v>692</v>
      </c>
      <c r="O48" s="517" t="s">
        <v>693</v>
      </c>
    </row>
    <row r="49" spans="4:15" s="30" customFormat="1" ht="20.100000000000001" customHeight="1">
      <c r="D49" s="518" t="s">
        <v>333</v>
      </c>
      <c r="E49" s="519" t="s">
        <v>689</v>
      </c>
      <c r="F49" s="519" t="s">
        <v>690</v>
      </c>
      <c r="G49" s="520" t="s">
        <v>691</v>
      </c>
      <c r="H49" s="535"/>
      <c r="I49" s="518" t="s">
        <v>333</v>
      </c>
      <c r="J49" s="519">
        <v>105</v>
      </c>
      <c r="K49" s="520">
        <v>129</v>
      </c>
      <c r="M49" s="518" t="s">
        <v>689</v>
      </c>
      <c r="N49" s="519" t="s">
        <v>692</v>
      </c>
      <c r="O49" s="520" t="s">
        <v>693</v>
      </c>
    </row>
    <row r="50" spans="4:15" s="30" customFormat="1" ht="20.100000000000001" customHeight="1">
      <c r="D50" s="515"/>
      <c r="E50" s="516"/>
      <c r="F50" s="516"/>
      <c r="G50" s="517"/>
      <c r="H50" s="535"/>
      <c r="I50" s="515"/>
      <c r="J50" s="516"/>
      <c r="K50" s="517"/>
      <c r="M50" s="515"/>
      <c r="N50" s="516"/>
      <c r="O50" s="517"/>
    </row>
    <row r="51" spans="4:15" s="30" customFormat="1" ht="20.100000000000001" customHeight="1">
      <c r="D51" s="518"/>
      <c r="E51" s="519"/>
      <c r="F51" s="519"/>
      <c r="G51" s="520"/>
      <c r="H51" s="535"/>
      <c r="I51" s="518"/>
      <c r="J51" s="519"/>
      <c r="K51" s="520"/>
      <c r="M51" s="518"/>
      <c r="N51" s="519"/>
      <c r="O51" s="520"/>
    </row>
    <row r="52" spans="4:15" s="30" customFormat="1" ht="20.100000000000001" customHeight="1">
      <c r="D52" s="515"/>
      <c r="E52" s="516"/>
      <c r="F52" s="516"/>
      <c r="G52" s="517"/>
      <c r="H52" s="535"/>
      <c r="I52" s="515"/>
      <c r="J52" s="516"/>
      <c r="K52" s="517"/>
      <c r="M52" s="515"/>
      <c r="N52" s="516"/>
      <c r="O52" s="517"/>
    </row>
    <row r="53" spans="4:15" s="30" customFormat="1" ht="20.100000000000001" customHeight="1">
      <c r="D53" s="518"/>
      <c r="E53" s="519"/>
      <c r="F53" s="519"/>
      <c r="G53" s="520"/>
      <c r="H53" s="535"/>
      <c r="I53" s="518"/>
      <c r="J53" s="519"/>
      <c r="K53" s="520"/>
      <c r="M53" s="518"/>
      <c r="N53" s="519"/>
      <c r="O53" s="520"/>
    </row>
    <row r="54" spans="4:15" s="30" customFormat="1" ht="20.100000000000001" customHeight="1">
      <c r="D54" s="515"/>
      <c r="E54" s="516"/>
      <c r="F54" s="516"/>
      <c r="G54" s="517"/>
      <c r="H54" s="535"/>
      <c r="I54" s="515"/>
      <c r="J54" s="516"/>
      <c r="K54" s="517"/>
      <c r="M54" s="515"/>
      <c r="N54" s="516"/>
      <c r="O54" s="517"/>
    </row>
    <row r="55" spans="4:15" s="30" customFormat="1" ht="20.100000000000001" customHeight="1">
      <c r="D55" s="518"/>
      <c r="E55" s="519"/>
      <c r="F55" s="519"/>
      <c r="G55" s="520"/>
      <c r="H55" s="535"/>
      <c r="I55" s="518"/>
      <c r="J55" s="519"/>
      <c r="K55" s="520"/>
      <c r="M55" s="518"/>
      <c r="N55" s="519"/>
      <c r="O55" s="520"/>
    </row>
    <row r="56" spans="4:15" s="30" customFormat="1" ht="20.100000000000001" customHeight="1">
      <c r="D56" s="515"/>
      <c r="E56" s="516"/>
      <c r="F56" s="516"/>
      <c r="G56" s="517"/>
      <c r="H56" s="535"/>
      <c r="I56" s="515"/>
      <c r="J56" s="516"/>
      <c r="K56" s="517"/>
      <c r="M56" s="515"/>
      <c r="N56" s="516"/>
      <c r="O56" s="517"/>
    </row>
    <row r="57" spans="4:15" s="30" customFormat="1" ht="20.100000000000001" customHeight="1">
      <c r="D57" s="518"/>
      <c r="E57" s="519"/>
      <c r="F57" s="519"/>
      <c r="G57" s="520"/>
      <c r="H57" s="535"/>
      <c r="I57" s="518"/>
      <c r="J57" s="519"/>
      <c r="K57" s="520"/>
      <c r="M57" s="518"/>
      <c r="N57" s="519"/>
      <c r="O57" s="520"/>
    </row>
    <row r="58" spans="4:15" s="30" customFormat="1" ht="20.100000000000001" customHeight="1">
      <c r="D58" s="515"/>
      <c r="E58" s="516"/>
      <c r="F58" s="516"/>
      <c r="G58" s="517"/>
      <c r="H58" s="535"/>
      <c r="I58" s="515"/>
      <c r="J58" s="516"/>
      <c r="K58" s="517"/>
      <c r="M58" s="515"/>
      <c r="N58" s="516"/>
      <c r="O58" s="517"/>
    </row>
    <row r="59" spans="4:15" s="30" customFormat="1" ht="20.100000000000001" customHeight="1">
      <c r="D59" s="518"/>
      <c r="E59" s="519"/>
      <c r="F59" s="519"/>
      <c r="G59" s="520"/>
      <c r="H59" s="535"/>
      <c r="I59" s="518"/>
      <c r="J59" s="519"/>
      <c r="K59" s="520"/>
      <c r="M59" s="518"/>
      <c r="N59" s="519"/>
      <c r="O59" s="520"/>
    </row>
    <row r="60" spans="4:15" s="30" customFormat="1" ht="20.100000000000001" customHeight="1">
      <c r="D60" s="515"/>
      <c r="E60" s="516"/>
      <c r="F60" s="516"/>
      <c r="G60" s="517"/>
      <c r="H60" s="535"/>
      <c r="I60" s="515"/>
      <c r="J60" s="516"/>
      <c r="K60" s="517"/>
      <c r="M60" s="515"/>
      <c r="N60" s="516"/>
      <c r="O60" s="517"/>
    </row>
    <row r="61" spans="4:15" s="30" customFormat="1" ht="20.100000000000001" customHeight="1">
      <c r="D61" s="518"/>
      <c r="E61" s="519"/>
      <c r="F61" s="519"/>
      <c r="G61" s="520"/>
      <c r="H61" s="535"/>
      <c r="I61" s="518"/>
      <c r="J61" s="519"/>
      <c r="K61" s="520"/>
      <c r="M61" s="518"/>
      <c r="N61" s="519"/>
      <c r="O61" s="520"/>
    </row>
    <row r="62" spans="4:15" s="30" customFormat="1" ht="20.100000000000001" customHeight="1">
      <c r="D62" s="515"/>
      <c r="E62" s="516"/>
      <c r="F62" s="516"/>
      <c r="G62" s="517"/>
      <c r="H62" s="535"/>
      <c r="I62" s="515"/>
      <c r="J62" s="516"/>
      <c r="K62" s="517"/>
      <c r="M62" s="515"/>
      <c r="N62" s="516"/>
      <c r="O62" s="517"/>
    </row>
    <row r="63" spans="4:15" s="30" customFormat="1" ht="20.100000000000001" customHeight="1">
      <c r="D63" s="518"/>
      <c r="E63" s="519"/>
      <c r="F63" s="519"/>
      <c r="G63" s="520"/>
      <c r="H63" s="535"/>
      <c r="I63" s="518"/>
      <c r="J63" s="519"/>
      <c r="K63" s="520"/>
      <c r="M63" s="518"/>
      <c r="N63" s="519"/>
      <c r="O63" s="520"/>
    </row>
    <row r="64" spans="4:15" s="30" customFormat="1" ht="20.100000000000001" customHeight="1">
      <c r="D64" s="515"/>
      <c r="E64" s="516"/>
      <c r="F64" s="516"/>
      <c r="G64" s="517"/>
      <c r="H64" s="535"/>
      <c r="I64" s="515"/>
      <c r="J64" s="516"/>
      <c r="K64" s="517"/>
      <c r="M64" s="515"/>
      <c r="N64" s="516"/>
      <c r="O64" s="517"/>
    </row>
    <row r="65" spans="4:33" s="30" customFormat="1" ht="20.100000000000001" customHeight="1">
      <c r="D65" s="518"/>
      <c r="E65" s="519"/>
      <c r="F65" s="519"/>
      <c r="G65" s="520"/>
      <c r="H65" s="535"/>
      <c r="I65" s="518"/>
      <c r="J65" s="519"/>
      <c r="K65" s="520"/>
      <c r="M65" s="518"/>
      <c r="N65" s="519"/>
      <c r="O65" s="520"/>
    </row>
    <row r="66" spans="4:33" s="30" customFormat="1" ht="20.100000000000001" customHeight="1">
      <c r="D66" s="515"/>
      <c r="E66" s="516"/>
      <c r="F66" s="516"/>
      <c r="G66" s="517"/>
      <c r="H66" s="535"/>
      <c r="I66" s="515"/>
      <c r="J66" s="516"/>
      <c r="K66" s="517"/>
      <c r="M66" s="515"/>
      <c r="N66" s="516"/>
      <c r="O66" s="517"/>
    </row>
    <row r="67" spans="4:33" s="30" customFormat="1" ht="20.100000000000001" customHeight="1">
      <c r="D67" s="518"/>
      <c r="E67" s="519"/>
      <c r="F67" s="519"/>
      <c r="G67" s="520"/>
      <c r="H67" s="535"/>
      <c r="I67" s="518"/>
      <c r="J67" s="519"/>
      <c r="K67" s="520"/>
      <c r="M67" s="518"/>
      <c r="N67" s="519"/>
      <c r="O67" s="520"/>
    </row>
    <row r="68" spans="4:33" s="30" customFormat="1" ht="20.100000000000001" customHeight="1">
      <c r="D68" s="515"/>
      <c r="E68" s="516"/>
      <c r="F68" s="516"/>
      <c r="G68" s="517"/>
      <c r="H68" s="535"/>
      <c r="I68" s="515"/>
      <c r="J68" s="516"/>
      <c r="K68" s="517"/>
      <c r="M68" s="515"/>
      <c r="N68" s="516"/>
      <c r="O68" s="517"/>
    </row>
    <row r="69" spans="4:33" s="30" customFormat="1" ht="20.100000000000001" customHeight="1">
      <c r="D69" s="518"/>
      <c r="E69" s="519"/>
      <c r="F69" s="519"/>
      <c r="G69" s="520"/>
      <c r="H69" s="535"/>
      <c r="I69" s="518"/>
      <c r="J69" s="519"/>
      <c r="K69" s="520"/>
      <c r="M69" s="518"/>
      <c r="N69" s="519"/>
      <c r="O69" s="520"/>
    </row>
    <row r="70" spans="4:33" s="30" customFormat="1" ht="20.100000000000001" customHeight="1">
      <c r="D70" s="515"/>
      <c r="E70" s="516"/>
      <c r="F70" s="516"/>
      <c r="G70" s="517"/>
      <c r="H70" s="535"/>
      <c r="I70" s="515"/>
      <c r="J70" s="516"/>
      <c r="K70" s="517"/>
      <c r="M70" s="515"/>
      <c r="N70" s="516"/>
      <c r="O70" s="517"/>
    </row>
    <row r="71" spans="4:33" s="30" customFormat="1" ht="19.5" customHeight="1">
      <c r="D71" s="518"/>
      <c r="E71" s="519"/>
      <c r="F71" s="519"/>
      <c r="G71" s="520"/>
      <c r="H71" s="535"/>
      <c r="I71" s="518"/>
      <c r="J71" s="519"/>
      <c r="K71" s="520"/>
      <c r="M71" s="518"/>
      <c r="N71" s="519"/>
      <c r="O71" s="520"/>
    </row>
    <row r="72" spans="4:33" s="30" customFormat="1" ht="19.5" customHeight="1">
      <c r="D72" s="515"/>
      <c r="E72" s="516"/>
      <c r="F72" s="516"/>
      <c r="G72" s="517"/>
      <c r="H72" s="535"/>
      <c r="I72" s="515"/>
      <c r="J72" s="516"/>
      <c r="K72" s="517"/>
      <c r="M72" s="515"/>
      <c r="N72" s="516"/>
      <c r="O72" s="517"/>
    </row>
    <row r="73" spans="4:33" s="30" customFormat="1" ht="19.5" customHeight="1">
      <c r="D73" s="524"/>
      <c r="E73" s="525"/>
      <c r="F73" s="525"/>
      <c r="G73" s="538"/>
      <c r="H73" s="535"/>
      <c r="I73" s="524"/>
      <c r="J73" s="525"/>
      <c r="K73" s="538"/>
      <c r="M73" s="524"/>
      <c r="N73" s="525"/>
      <c r="O73" s="538"/>
    </row>
    <row r="74" spans="4:33" s="30" customFormat="1" ht="19.5" customHeight="1" thickBot="1">
      <c r="D74" s="539"/>
      <c r="E74" s="540"/>
      <c r="F74" s="540"/>
      <c r="G74" s="541"/>
      <c r="I74" s="539"/>
      <c r="J74" s="540"/>
      <c r="K74" s="541"/>
      <c r="M74" s="539"/>
      <c r="N74" s="540"/>
      <c r="O74" s="541"/>
    </row>
    <row r="75" spans="4:33" ht="20.100000000000001" customHeight="1">
      <c r="D75" s="148"/>
      <c r="L75" s="196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1.5" customHeight="1">
      <c r="D78" s="621" t="s">
        <v>226</v>
      </c>
      <c r="E78" s="622" t="s">
        <v>227</v>
      </c>
      <c r="F78" s="622" t="s">
        <v>228</v>
      </c>
      <c r="G78" s="622" t="s">
        <v>332</v>
      </c>
      <c r="H78" s="622" t="s">
        <v>333</v>
      </c>
      <c r="I78" s="622" t="s">
        <v>334</v>
      </c>
      <c r="J78" s="622" t="s">
        <v>617</v>
      </c>
      <c r="K78" s="622" t="s">
        <v>618</v>
      </c>
      <c r="L78" s="622" t="s">
        <v>619</v>
      </c>
      <c r="M78" s="622" t="s">
        <v>656</v>
      </c>
      <c r="N78" s="622" t="s">
        <v>657</v>
      </c>
      <c r="O78" s="622" t="s">
        <v>658</v>
      </c>
      <c r="P78" s="622" t="s">
        <v>659</v>
      </c>
      <c r="Q78" s="622" t="s">
        <v>660</v>
      </c>
      <c r="R78" s="622" t="s">
        <v>661</v>
      </c>
      <c r="S78" s="622" t="s">
        <v>662</v>
      </c>
      <c r="T78" s="622" t="s">
        <v>663</v>
      </c>
      <c r="U78" s="622" t="s">
        <v>664</v>
      </c>
      <c r="V78" s="622" t="s">
        <v>665</v>
      </c>
      <c r="W78" s="622" t="s">
        <v>666</v>
      </c>
      <c r="X78" s="622" t="s">
        <v>667</v>
      </c>
      <c r="Y78" s="622" t="s">
        <v>668</v>
      </c>
      <c r="Z78" s="622" t="s">
        <v>669</v>
      </c>
      <c r="AA78" s="622" t="s">
        <v>670</v>
      </c>
      <c r="AB78" s="622" t="s">
        <v>671</v>
      </c>
      <c r="AC78" s="622" t="s">
        <v>672</v>
      </c>
      <c r="AD78" s="622" t="s">
        <v>673</v>
      </c>
      <c r="AE78" s="622" t="s">
        <v>674</v>
      </c>
      <c r="AF78" s="622" t="s">
        <v>675</v>
      </c>
      <c r="AG78" s="623" t="s">
        <v>676</v>
      </c>
    </row>
    <row r="79" spans="4:33" s="178" customFormat="1" ht="30" customHeight="1" thickBot="1">
      <c r="D79" s="179" t="s">
        <v>694</v>
      </c>
      <c r="E79" s="180" t="s">
        <v>694</v>
      </c>
      <c r="F79" s="180" t="s">
        <v>694</v>
      </c>
      <c r="G79" s="176" t="s">
        <v>694</v>
      </c>
      <c r="H79" s="176" t="s">
        <v>694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.75" customHeight="1">
      <c r="D83" s="621" t="s">
        <v>226</v>
      </c>
      <c r="E83" s="622" t="s">
        <v>227</v>
      </c>
      <c r="F83" s="622" t="s">
        <v>228</v>
      </c>
      <c r="G83" s="622" t="s">
        <v>332</v>
      </c>
      <c r="H83" s="622" t="s">
        <v>333</v>
      </c>
      <c r="I83" s="622" t="s">
        <v>334</v>
      </c>
      <c r="J83" s="622" t="s">
        <v>617</v>
      </c>
      <c r="K83" s="622" t="s">
        <v>618</v>
      </c>
      <c r="L83" s="622" t="s">
        <v>619</v>
      </c>
      <c r="M83" s="622" t="s">
        <v>656</v>
      </c>
      <c r="N83" s="622" t="s">
        <v>657</v>
      </c>
      <c r="O83" s="622" t="s">
        <v>658</v>
      </c>
      <c r="P83" s="622" t="s">
        <v>659</v>
      </c>
      <c r="Q83" s="622" t="s">
        <v>660</v>
      </c>
      <c r="R83" s="622" t="s">
        <v>661</v>
      </c>
      <c r="S83" s="622" t="s">
        <v>662</v>
      </c>
      <c r="T83" s="622" t="s">
        <v>663</v>
      </c>
      <c r="U83" s="622" t="s">
        <v>664</v>
      </c>
      <c r="V83" s="622" t="s">
        <v>665</v>
      </c>
      <c r="W83" s="622" t="s">
        <v>666</v>
      </c>
      <c r="X83" s="622" t="s">
        <v>667</v>
      </c>
      <c r="Y83" s="622" t="s">
        <v>668</v>
      </c>
      <c r="Z83" s="622" t="s">
        <v>669</v>
      </c>
      <c r="AA83" s="622" t="s">
        <v>670</v>
      </c>
      <c r="AB83" s="622" t="s">
        <v>671</v>
      </c>
      <c r="AC83" s="622" t="s">
        <v>672</v>
      </c>
      <c r="AD83" s="622" t="s">
        <v>673</v>
      </c>
      <c r="AE83" s="622" t="s">
        <v>674</v>
      </c>
      <c r="AF83" s="622" t="s">
        <v>675</v>
      </c>
      <c r="AG83" s="623" t="s">
        <v>676</v>
      </c>
    </row>
    <row r="84" spans="4:33" s="178" customFormat="1" ht="30" customHeight="1" thickBot="1">
      <c r="D84" s="179" t="s">
        <v>695</v>
      </c>
      <c r="E84" s="180" t="s">
        <v>695</v>
      </c>
      <c r="F84" s="180" t="s">
        <v>695</v>
      </c>
      <c r="G84" s="176" t="s">
        <v>695</v>
      </c>
      <c r="H84" s="176" t="s">
        <v>695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263</v>
      </c>
    </row>
    <row r="88" spans="4:33" s="30" customFormat="1" ht="40.5" customHeight="1">
      <c r="D88" s="621" t="s">
        <v>226</v>
      </c>
      <c r="E88" s="622" t="s">
        <v>227</v>
      </c>
      <c r="F88" s="622" t="s">
        <v>228</v>
      </c>
      <c r="G88" s="622" t="s">
        <v>332</v>
      </c>
      <c r="H88" s="622" t="s">
        <v>333</v>
      </c>
      <c r="I88" s="622" t="s">
        <v>334</v>
      </c>
      <c r="J88" s="622" t="s">
        <v>617</v>
      </c>
      <c r="K88" s="622" t="s">
        <v>618</v>
      </c>
      <c r="L88" s="622" t="s">
        <v>619</v>
      </c>
      <c r="M88" s="622" t="s">
        <v>656</v>
      </c>
      <c r="N88" s="622" t="s">
        <v>657</v>
      </c>
      <c r="O88" s="622" t="s">
        <v>658</v>
      </c>
      <c r="P88" s="622" t="s">
        <v>659</v>
      </c>
      <c r="Q88" s="622" t="s">
        <v>660</v>
      </c>
      <c r="R88" s="622" t="s">
        <v>661</v>
      </c>
      <c r="S88" s="622" t="s">
        <v>662</v>
      </c>
      <c r="T88" s="622" t="s">
        <v>663</v>
      </c>
      <c r="U88" s="622" t="s">
        <v>664</v>
      </c>
      <c r="V88" s="622" t="s">
        <v>665</v>
      </c>
      <c r="W88" s="622" t="s">
        <v>666</v>
      </c>
      <c r="X88" s="622" t="s">
        <v>667</v>
      </c>
      <c r="Y88" s="622" t="s">
        <v>668</v>
      </c>
      <c r="Z88" s="622" t="s">
        <v>669</v>
      </c>
      <c r="AA88" s="622" t="s">
        <v>670</v>
      </c>
      <c r="AB88" s="622" t="s">
        <v>671</v>
      </c>
      <c r="AC88" s="622" t="s">
        <v>672</v>
      </c>
      <c r="AD88" s="622" t="s">
        <v>673</v>
      </c>
      <c r="AE88" s="622" t="s">
        <v>674</v>
      </c>
      <c r="AF88" s="622" t="s">
        <v>675</v>
      </c>
      <c r="AG88" s="623" t="s">
        <v>676</v>
      </c>
    </row>
    <row r="89" spans="4:33" s="178" customFormat="1" ht="30" customHeight="1" thickBot="1">
      <c r="D89" s="179" t="s">
        <v>696</v>
      </c>
      <c r="E89" s="180" t="s">
        <v>696</v>
      </c>
      <c r="F89" s="180" t="s">
        <v>696</v>
      </c>
      <c r="G89" s="176" t="s">
        <v>696</v>
      </c>
      <c r="H89" s="176" t="s">
        <v>696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220</v>
      </c>
      <c r="E92" s="465">
        <f>MIN(D94:AG94)</f>
        <v>11.89</v>
      </c>
      <c r="F92" s="465">
        <f>MAX(D94:AG94)</f>
        <v>11.89</v>
      </c>
    </row>
    <row r="93" spans="4:33" ht="36.75" customHeight="1">
      <c r="D93" s="621" t="s">
        <v>226</v>
      </c>
      <c r="E93" s="622" t="s">
        <v>227</v>
      </c>
      <c r="F93" s="622" t="s">
        <v>228</v>
      </c>
      <c r="G93" s="622" t="s">
        <v>332</v>
      </c>
      <c r="H93" s="622" t="s">
        <v>333</v>
      </c>
      <c r="I93" s="622" t="s">
        <v>334</v>
      </c>
      <c r="J93" s="622" t="s">
        <v>617</v>
      </c>
      <c r="K93" s="622" t="s">
        <v>618</v>
      </c>
      <c r="L93" s="622" t="s">
        <v>619</v>
      </c>
      <c r="M93" s="622" t="s">
        <v>656</v>
      </c>
      <c r="N93" s="622" t="s">
        <v>657</v>
      </c>
      <c r="O93" s="622" t="s">
        <v>658</v>
      </c>
      <c r="P93" s="622" t="s">
        <v>659</v>
      </c>
      <c r="Q93" s="622" t="s">
        <v>660</v>
      </c>
      <c r="R93" s="622" t="s">
        <v>661</v>
      </c>
      <c r="S93" s="622" t="s">
        <v>662</v>
      </c>
      <c r="T93" s="622" t="s">
        <v>663</v>
      </c>
      <c r="U93" s="622" t="s">
        <v>664</v>
      </c>
      <c r="V93" s="622" t="s">
        <v>665</v>
      </c>
      <c r="W93" s="622" t="s">
        <v>666</v>
      </c>
      <c r="X93" s="622" t="s">
        <v>667</v>
      </c>
      <c r="Y93" s="622" t="s">
        <v>668</v>
      </c>
      <c r="Z93" s="622" t="s">
        <v>669</v>
      </c>
      <c r="AA93" s="622" t="s">
        <v>670</v>
      </c>
      <c r="AB93" s="622" t="s">
        <v>671</v>
      </c>
      <c r="AC93" s="622" t="s">
        <v>672</v>
      </c>
      <c r="AD93" s="622" t="s">
        <v>673</v>
      </c>
      <c r="AE93" s="622" t="s">
        <v>674</v>
      </c>
      <c r="AF93" s="622" t="s">
        <v>675</v>
      </c>
      <c r="AG93" s="623" t="s">
        <v>676</v>
      </c>
    </row>
    <row r="94" spans="4:33" ht="30" customHeight="1" thickBot="1">
      <c r="D94" s="179" t="s">
        <v>697</v>
      </c>
      <c r="E94" s="180" t="s">
        <v>697</v>
      </c>
      <c r="F94" s="180" t="s">
        <v>697</v>
      </c>
      <c r="G94" s="176" t="s">
        <v>697</v>
      </c>
      <c r="H94" s="176" t="s">
        <v>697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221</v>
      </c>
      <c r="E97" s="465">
        <f>MIN(D99:AG99)</f>
        <v>25.37</v>
      </c>
      <c r="F97" s="465">
        <f>MAX(D99:AG99)</f>
        <v>25.37</v>
      </c>
      <c r="G97" s="476" t="s">
        <v>620</v>
      </c>
    </row>
    <row r="98" spans="4:33" ht="36.75" customHeight="1">
      <c r="D98" s="621" t="s">
        <v>226</v>
      </c>
      <c r="E98" s="622" t="s">
        <v>227</v>
      </c>
      <c r="F98" s="622" t="s">
        <v>228</v>
      </c>
      <c r="G98" s="622" t="s">
        <v>332</v>
      </c>
      <c r="H98" s="622" t="s">
        <v>333</v>
      </c>
      <c r="I98" s="622" t="s">
        <v>334</v>
      </c>
      <c r="J98" s="622" t="s">
        <v>617</v>
      </c>
      <c r="K98" s="622" t="s">
        <v>618</v>
      </c>
      <c r="L98" s="622" t="s">
        <v>619</v>
      </c>
      <c r="M98" s="622" t="s">
        <v>656</v>
      </c>
      <c r="N98" s="622" t="s">
        <v>657</v>
      </c>
      <c r="O98" s="622" t="s">
        <v>658</v>
      </c>
      <c r="P98" s="622" t="s">
        <v>659</v>
      </c>
      <c r="Q98" s="622" t="s">
        <v>660</v>
      </c>
      <c r="R98" s="622" t="s">
        <v>661</v>
      </c>
      <c r="S98" s="622" t="s">
        <v>662</v>
      </c>
      <c r="T98" s="622" t="s">
        <v>663</v>
      </c>
      <c r="U98" s="622" t="s">
        <v>664</v>
      </c>
      <c r="V98" s="622" t="s">
        <v>665</v>
      </c>
      <c r="W98" s="622" t="s">
        <v>666</v>
      </c>
      <c r="X98" s="622" t="s">
        <v>667</v>
      </c>
      <c r="Y98" s="622" t="s">
        <v>668</v>
      </c>
      <c r="Z98" s="622" t="s">
        <v>669</v>
      </c>
      <c r="AA98" s="622" t="s">
        <v>670</v>
      </c>
      <c r="AB98" s="622" t="s">
        <v>671</v>
      </c>
      <c r="AC98" s="622" t="s">
        <v>672</v>
      </c>
      <c r="AD98" s="622" t="s">
        <v>673</v>
      </c>
      <c r="AE98" s="622" t="s">
        <v>674</v>
      </c>
      <c r="AF98" s="622" t="s">
        <v>675</v>
      </c>
      <c r="AG98" s="623" t="s">
        <v>676</v>
      </c>
    </row>
    <row r="99" spans="4:33" ht="30" customHeight="1" thickBot="1">
      <c r="D99" s="179" t="s">
        <v>698</v>
      </c>
      <c r="E99" s="180" t="s">
        <v>698</v>
      </c>
      <c r="F99" s="180" t="s">
        <v>698</v>
      </c>
      <c r="G99" s="176" t="s">
        <v>698</v>
      </c>
      <c r="H99" s="176" t="s">
        <v>698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3">
        <v>25.37</v>
      </c>
      <c r="R99" s="503">
        <v>25.37</v>
      </c>
      <c r="S99" s="503">
        <v>25.37</v>
      </c>
      <c r="T99" s="503">
        <v>25.37</v>
      </c>
      <c r="U99" s="503">
        <v>25.37</v>
      </c>
      <c r="V99" s="502">
        <v>25.37</v>
      </c>
      <c r="W99" s="503">
        <v>25.37</v>
      </c>
      <c r="X99" s="503">
        <v>25.37</v>
      </c>
      <c r="Y99" s="503">
        <v>25.37</v>
      </c>
      <c r="Z99" s="503">
        <v>25.37</v>
      </c>
      <c r="AA99" s="503">
        <v>25.37</v>
      </c>
      <c r="AB99" s="503">
        <v>25.37</v>
      </c>
      <c r="AC99" s="503">
        <v>25.37</v>
      </c>
      <c r="AD99" s="503">
        <v>25.37</v>
      </c>
      <c r="AE99" s="503">
        <v>25.37</v>
      </c>
      <c r="AF99" s="503">
        <v>25.37</v>
      </c>
      <c r="AG99" s="504">
        <v>25.37</v>
      </c>
    </row>
    <row r="102" spans="4:33" ht="20.100000000000001" customHeight="1" thickBot="1">
      <c r="D102" s="149" t="s">
        <v>614</v>
      </c>
    </row>
    <row r="103" spans="4:33" ht="36.75" customHeight="1">
      <c r="D103" s="621" t="s">
        <v>226</v>
      </c>
      <c r="E103" s="622" t="s">
        <v>227</v>
      </c>
      <c r="F103" s="622" t="s">
        <v>228</v>
      </c>
      <c r="G103" s="622" t="s">
        <v>332</v>
      </c>
      <c r="H103" s="622" t="s">
        <v>333</v>
      </c>
      <c r="I103" s="622" t="s">
        <v>334</v>
      </c>
      <c r="J103" s="622" t="s">
        <v>617</v>
      </c>
      <c r="K103" s="622" t="s">
        <v>618</v>
      </c>
      <c r="L103" s="622" t="s">
        <v>619</v>
      </c>
      <c r="M103" s="622" t="s">
        <v>656</v>
      </c>
      <c r="N103" s="622" t="s">
        <v>657</v>
      </c>
      <c r="O103" s="622" t="s">
        <v>658</v>
      </c>
      <c r="P103" s="622" t="s">
        <v>659</v>
      </c>
      <c r="Q103" s="622" t="s">
        <v>660</v>
      </c>
      <c r="R103" s="622" t="s">
        <v>661</v>
      </c>
      <c r="S103" s="622" t="s">
        <v>662</v>
      </c>
      <c r="T103" s="622" t="s">
        <v>663</v>
      </c>
      <c r="U103" s="622" t="s">
        <v>664</v>
      </c>
      <c r="V103" s="622" t="s">
        <v>665</v>
      </c>
      <c r="W103" s="622" t="s">
        <v>666</v>
      </c>
      <c r="X103" s="622" t="s">
        <v>667</v>
      </c>
      <c r="Y103" s="622" t="s">
        <v>668</v>
      </c>
      <c r="Z103" s="622" t="s">
        <v>669</v>
      </c>
      <c r="AA103" s="622" t="s">
        <v>670</v>
      </c>
      <c r="AB103" s="622" t="s">
        <v>671</v>
      </c>
      <c r="AC103" s="622" t="s">
        <v>672</v>
      </c>
      <c r="AD103" s="622" t="s">
        <v>673</v>
      </c>
      <c r="AE103" s="622" t="s">
        <v>674</v>
      </c>
      <c r="AF103" s="622" t="s">
        <v>675</v>
      </c>
      <c r="AG103" s="623" t="s">
        <v>676</v>
      </c>
    </row>
    <row r="104" spans="4:33" ht="30" customHeight="1" thickBot="1">
      <c r="D104" s="179" t="s">
        <v>699</v>
      </c>
      <c r="E104" s="180" t="s">
        <v>699</v>
      </c>
      <c r="F104" s="180" t="s">
        <v>699</v>
      </c>
      <c r="G104" s="176" t="s">
        <v>699</v>
      </c>
      <c r="H104" s="176" t="s">
        <v>699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3">
        <v>50</v>
      </c>
      <c r="R104" s="503">
        <v>50</v>
      </c>
      <c r="S104" s="503">
        <v>50</v>
      </c>
      <c r="T104" s="503">
        <v>50</v>
      </c>
      <c r="U104" s="503">
        <v>50</v>
      </c>
      <c r="V104" s="503">
        <v>50</v>
      </c>
      <c r="W104" s="503">
        <v>50</v>
      </c>
      <c r="X104" s="503">
        <v>50</v>
      </c>
      <c r="Y104" s="503">
        <v>50</v>
      </c>
      <c r="Z104" s="503">
        <v>50</v>
      </c>
      <c r="AA104" s="503">
        <v>50</v>
      </c>
      <c r="AB104" s="503">
        <v>50</v>
      </c>
      <c r="AC104" s="503">
        <v>50</v>
      </c>
      <c r="AD104" s="503">
        <v>50</v>
      </c>
      <c r="AE104" s="503">
        <v>50</v>
      </c>
      <c r="AF104" s="503">
        <v>50</v>
      </c>
      <c r="AG104" s="504">
        <v>50</v>
      </c>
    </row>
    <row r="107" spans="4:33" ht="20.100000000000001" customHeight="1" thickBot="1">
      <c r="D107" s="149" t="s">
        <v>615</v>
      </c>
    </row>
    <row r="108" spans="4:33" ht="36.75" customHeight="1">
      <c r="D108" s="621" t="s">
        <v>226</v>
      </c>
      <c r="E108" s="622" t="s">
        <v>227</v>
      </c>
      <c r="F108" s="622" t="s">
        <v>228</v>
      </c>
      <c r="G108" s="622" t="s">
        <v>332</v>
      </c>
      <c r="H108" s="622" t="s">
        <v>333</v>
      </c>
      <c r="I108" s="622" t="s">
        <v>334</v>
      </c>
      <c r="J108" s="622" t="s">
        <v>617</v>
      </c>
      <c r="K108" s="622" t="s">
        <v>618</v>
      </c>
      <c r="L108" s="622" t="s">
        <v>619</v>
      </c>
      <c r="M108" s="622" t="s">
        <v>656</v>
      </c>
      <c r="N108" s="622" t="s">
        <v>657</v>
      </c>
      <c r="O108" s="622" t="s">
        <v>658</v>
      </c>
      <c r="P108" s="622" t="s">
        <v>659</v>
      </c>
      <c r="Q108" s="622" t="s">
        <v>660</v>
      </c>
      <c r="R108" s="622" t="s">
        <v>661</v>
      </c>
      <c r="S108" s="622" t="s">
        <v>662</v>
      </c>
      <c r="T108" s="622" t="s">
        <v>663</v>
      </c>
      <c r="U108" s="622" t="s">
        <v>664</v>
      </c>
      <c r="V108" s="622" t="s">
        <v>665</v>
      </c>
      <c r="W108" s="622" t="s">
        <v>666</v>
      </c>
      <c r="X108" s="622" t="s">
        <v>667</v>
      </c>
      <c r="Y108" s="622" t="s">
        <v>668</v>
      </c>
      <c r="Z108" s="622" t="s">
        <v>669</v>
      </c>
      <c r="AA108" s="622" t="s">
        <v>670</v>
      </c>
      <c r="AB108" s="622" t="s">
        <v>671</v>
      </c>
      <c r="AC108" s="622" t="s">
        <v>672</v>
      </c>
      <c r="AD108" s="622" t="s">
        <v>673</v>
      </c>
      <c r="AE108" s="622" t="s">
        <v>674</v>
      </c>
      <c r="AF108" s="622" t="s">
        <v>675</v>
      </c>
      <c r="AG108" s="623" t="s">
        <v>676</v>
      </c>
    </row>
    <row r="109" spans="4:33" ht="30" customHeight="1" thickBot="1">
      <c r="D109" s="179" t="s">
        <v>700</v>
      </c>
      <c r="E109" s="180" t="s">
        <v>700</v>
      </c>
      <c r="F109" s="180" t="s">
        <v>700</v>
      </c>
      <c r="G109" s="176" t="s">
        <v>700</v>
      </c>
      <c r="H109" s="176" t="s">
        <v>700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3">
        <v>50</v>
      </c>
      <c r="R109" s="503">
        <v>50</v>
      </c>
      <c r="S109" s="503">
        <v>50</v>
      </c>
      <c r="T109" s="503">
        <v>50</v>
      </c>
      <c r="U109" s="503">
        <v>50</v>
      </c>
      <c r="V109" s="503">
        <v>50</v>
      </c>
      <c r="W109" s="503">
        <v>50</v>
      </c>
      <c r="X109" s="503">
        <v>50</v>
      </c>
      <c r="Y109" s="503">
        <v>50</v>
      </c>
      <c r="Z109" s="503">
        <v>50</v>
      </c>
      <c r="AA109" s="503">
        <v>50</v>
      </c>
      <c r="AB109" s="503">
        <v>50</v>
      </c>
      <c r="AC109" s="503">
        <v>50</v>
      </c>
      <c r="AD109" s="503">
        <v>50</v>
      </c>
      <c r="AE109" s="503">
        <v>50</v>
      </c>
      <c r="AF109" s="503">
        <v>50</v>
      </c>
      <c r="AG109" s="504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13" workbookViewId="0">
      <selection activeCell="E35" sqref="E3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3" t="str">
        <f>Well!D4</f>
        <v>보령시 주포면 봉당리 647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78">
        <f>Well!C4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7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79">
        <f>Well!Q4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680" t="str">
        <f>Well!D4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1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682">
        <f>Well!G4</f>
        <v>200</v>
      </c>
    </row>
    <row r="9" spans="1:13" ht="20.100000000000001" customHeight="1" thickBot="1">
      <c r="B9" s="6" t="s">
        <v>59</v>
      </c>
      <c r="C9" s="683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68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8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651" t="s">
        <v>114</v>
      </c>
      <c r="K11" s="65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85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8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683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681">
        <f>Well!I4</f>
        <v>15</v>
      </c>
      <c r="E15" s="34">
        <v>1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686">
        <f>Well!J4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1">
        <f>Well!L4</f>
        <v>5</v>
      </c>
      <c r="E17" s="235">
        <f>Well!P4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1">
        <f>Well!M4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87">
        <f>Well!N4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8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89">
        <v>26.47</v>
      </c>
      <c r="D21" s="13"/>
      <c r="E21" s="236">
        <f>Well!$I$10</f>
        <v>75</v>
      </c>
      <c r="F21" s="237">
        <f>Well!O4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690">
        <f>C21-C20</f>
        <v>14.44</v>
      </c>
      <c r="E22" s="653">
        <f>E21+F21</f>
        <v>164.7</v>
      </c>
      <c r="F22" s="654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9" t="s">
        <v>593</v>
      </c>
      <c r="C25" s="650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42" t="s">
        <v>49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43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43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43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43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44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3" t="str">
        <f>Well!D5</f>
        <v>보령시 주포면 봉당리 647</v>
      </c>
      <c r="H2"/>
      <c r="I2" s="138" t="s">
        <v>636</v>
      </c>
      <c r="J2"/>
      <c r="K2"/>
      <c r="L2"/>
      <c r="M2"/>
    </row>
    <row r="3" spans="1:13" ht="20.100000000000001" customHeight="1">
      <c r="B3" s="2" t="s">
        <v>6</v>
      </c>
      <c r="C3" s="678">
        <f>Well!C5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79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79">
        <f>Well!Q5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680" t="str">
        <f>Well!D5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1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682">
        <f>Well!G5</f>
        <v>200</v>
      </c>
    </row>
    <row r="9" spans="1:13" ht="20.100000000000001" customHeight="1" thickBot="1">
      <c r="B9" s="6" t="s">
        <v>59</v>
      </c>
      <c r="C9" s="683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68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8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45" t="s">
        <v>114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85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8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683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681">
        <f>Well!I5</f>
        <v>15</v>
      </c>
      <c r="E15" s="34">
        <v>2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686">
        <f>Well!J5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1">
        <f>Well!L5</f>
        <v>5</v>
      </c>
      <c r="E17" s="235">
        <f>Well!P5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1">
        <f>Well!M5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87">
        <f>Well!N5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8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89">
        <v>26.47</v>
      </c>
      <c r="D21" s="13"/>
      <c r="E21" s="236">
        <f>Well!$I$10</f>
        <v>75</v>
      </c>
      <c r="F21" s="237">
        <f>Well!O5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690">
        <f>C21-C20</f>
        <v>14.44</v>
      </c>
      <c r="E22" s="747">
        <f>E21+F21</f>
        <v>164.7</v>
      </c>
      <c r="F22" s="748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9" t="s">
        <v>593</v>
      </c>
      <c r="C25" s="750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51" t="s">
        <v>723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51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51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51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51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52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4" name="CommandButton8"/>
      </mc:Fallback>
    </mc:AlternateContent>
    <mc:AlternateContent xmlns:mc="http://schemas.openxmlformats.org/markup-compatibility/2006">
      <mc:Choice Requires="x14">
        <control shapeId="3799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6" name="CommandButton6"/>
      </mc:Fallback>
    </mc:AlternateContent>
    <mc:AlternateContent xmlns:mc="http://schemas.openxmlformats.org/markup-compatibility/2006">
      <mc:Choice Requires="x14">
        <control shapeId="3799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8" name="Frame1"/>
      </mc:Fallback>
    </mc:AlternateContent>
    <mc:AlternateContent xmlns:mc="http://schemas.openxmlformats.org/markup-compatibility/2006">
      <mc:Choice Requires="x14">
        <control shapeId="3799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3" t="str">
        <f>Well!D6</f>
        <v>보령시 주포면 봉당리 647</v>
      </c>
      <c r="H2"/>
      <c r="I2" s="138" t="s">
        <v>637</v>
      </c>
      <c r="J2"/>
      <c r="K2"/>
      <c r="L2"/>
      <c r="M2"/>
    </row>
    <row r="3" spans="1:13" ht="20.100000000000001" customHeight="1">
      <c r="B3" s="2" t="s">
        <v>6</v>
      </c>
      <c r="C3" s="678">
        <f>Well!C6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79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79">
        <f>Well!Q6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680" t="str">
        <f>Well!D6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1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682">
        <f>Well!G6</f>
        <v>200</v>
      </c>
    </row>
    <row r="9" spans="1:13" ht="20.100000000000001" customHeight="1" thickBot="1">
      <c r="B9" s="6" t="s">
        <v>59</v>
      </c>
      <c r="C9" s="683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68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8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45" t="s">
        <v>114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85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8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683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681">
        <f>Well!I6</f>
        <v>15</v>
      </c>
      <c r="E15" s="34">
        <v>3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686">
        <f>Well!J6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1">
        <f>Well!L6</f>
        <v>5</v>
      </c>
      <c r="E17" s="235">
        <f>Well!P6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1">
        <f>Well!M6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87">
        <f>Well!N6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8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89">
        <v>26.47</v>
      </c>
      <c r="D21" s="13"/>
      <c r="E21" s="236">
        <f>Well!$I$10</f>
        <v>75</v>
      </c>
      <c r="F21" s="237">
        <f>Well!O6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690">
        <f>C21-C20</f>
        <v>14.44</v>
      </c>
      <c r="E22" s="747">
        <f>E21+F21</f>
        <v>164.7</v>
      </c>
      <c r="F22" s="748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9" t="s">
        <v>593</v>
      </c>
      <c r="C25" s="750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51" t="s">
        <v>724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51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51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51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51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52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4" name="CommandButton8"/>
      </mc:Fallback>
    </mc:AlternateContent>
    <mc:AlternateContent xmlns:mc="http://schemas.openxmlformats.org/markup-compatibility/2006">
      <mc:Choice Requires="x14">
        <control shapeId="3809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6" name="CommandButton6"/>
      </mc:Fallback>
    </mc:AlternateContent>
    <mc:AlternateContent xmlns:mc="http://schemas.openxmlformats.org/markup-compatibility/2006">
      <mc:Choice Requires="x14">
        <control shapeId="3809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8" name="Frame1"/>
      </mc:Fallback>
    </mc:AlternateContent>
    <mc:AlternateContent xmlns:mc="http://schemas.openxmlformats.org/markup-compatibility/2006">
      <mc:Choice Requires="x14">
        <control shapeId="3809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652</v>
      </c>
      <c r="C2" s="333" t="str">
        <f>Well!D7</f>
        <v>보령시 주포면 봉당리 647</v>
      </c>
      <c r="H2"/>
      <c r="I2" s="138" t="s">
        <v>653</v>
      </c>
      <c r="J2"/>
      <c r="K2"/>
      <c r="L2"/>
      <c r="M2"/>
    </row>
    <row r="3" spans="1:13" ht="20.100000000000001" customHeight="1">
      <c r="B3" s="2" t="s">
        <v>6</v>
      </c>
      <c r="C3" s="678">
        <f>Well!C7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79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79">
        <f>Well!Q7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680" t="str">
        <f>Well!D7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1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682">
        <f>Well!G7</f>
        <v>200</v>
      </c>
    </row>
    <row r="9" spans="1:13" ht="20.100000000000001" customHeight="1" thickBot="1">
      <c r="B9" s="6" t="s">
        <v>59</v>
      </c>
      <c r="C9" s="683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68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8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45" t="s">
        <v>114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85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8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683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681">
        <f>Well!I7</f>
        <v>15</v>
      </c>
      <c r="E15" s="34">
        <v>4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686">
        <f>Well!J7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1">
        <f>Well!L7</f>
        <v>5</v>
      </c>
      <c r="E17" s="235">
        <f>Well!P7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1">
        <f>Well!M7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87">
        <f>Well!N7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8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89">
        <v>26.47</v>
      </c>
      <c r="D21" s="13"/>
      <c r="E21" s="236">
        <f>Well!$I$10</f>
        <v>75</v>
      </c>
      <c r="F21" s="237">
        <f>Well!O7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690">
        <f>C21-C20</f>
        <v>14.44</v>
      </c>
      <c r="E22" s="747">
        <f>E21+F21</f>
        <v>164.7</v>
      </c>
      <c r="F22" s="748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9" t="s">
        <v>593</v>
      </c>
      <c r="C25" s="750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51" t="s">
        <v>725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51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51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51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51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52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4" name="CommandButton8"/>
      </mc:Fallback>
    </mc:AlternateContent>
    <mc:AlternateContent xmlns:mc="http://schemas.openxmlformats.org/markup-compatibility/2006">
      <mc:Choice Requires="x14">
        <control shapeId="3819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6" name="CommandButton6"/>
      </mc:Fallback>
    </mc:AlternateContent>
    <mc:AlternateContent xmlns:mc="http://schemas.openxmlformats.org/markup-compatibility/2006">
      <mc:Choice Requires="x14">
        <control shapeId="3819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8" name="Frame1"/>
      </mc:Fallback>
    </mc:AlternateContent>
    <mc:AlternateContent xmlns:mc="http://schemas.openxmlformats.org/markup-compatibility/2006">
      <mc:Choice Requires="x14">
        <control shapeId="3819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topLeftCell="A19"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654</v>
      </c>
      <c r="C2" s="333" t="str">
        <f>Well!D8</f>
        <v>보령시 주포면 봉당리 647</v>
      </c>
      <c r="H2"/>
      <c r="I2" s="138" t="s">
        <v>655</v>
      </c>
      <c r="J2"/>
      <c r="K2"/>
      <c r="L2"/>
      <c r="M2"/>
    </row>
    <row r="3" spans="1:13" ht="20.100000000000001" customHeight="1">
      <c r="B3" s="2" t="s">
        <v>6</v>
      </c>
      <c r="C3" s="678">
        <f>Well!C8</f>
        <v>0</v>
      </c>
      <c r="D3" s="3" t="s">
        <v>49</v>
      </c>
      <c r="E3" s="4" t="s">
        <v>115</v>
      </c>
      <c r="F3" s="5" t="s">
        <v>105</v>
      </c>
      <c r="G3" s="2" t="s">
        <v>338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79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79">
        <f>Well!Q8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341</v>
      </c>
      <c r="K5"/>
      <c r="L5"/>
      <c r="M5"/>
    </row>
    <row r="6" spans="1:13" ht="20.100000000000001" customHeight="1" thickBot="1">
      <c r="B6" s="6" t="s">
        <v>54</v>
      </c>
      <c r="C6" s="680" t="str">
        <f>Well!D8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339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81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340</v>
      </c>
      <c r="K7" s="319">
        <v>0</v>
      </c>
      <c r="L7"/>
      <c r="M7"/>
    </row>
    <row r="8" spans="1:13" ht="20.100000000000001" customHeight="1" thickBot="1">
      <c r="B8" s="6" t="s">
        <v>57</v>
      </c>
      <c r="C8" s="682">
        <f>Well!G8</f>
        <v>200</v>
      </c>
    </row>
    <row r="9" spans="1:13" ht="20.100000000000001" customHeight="1" thickBot="1">
      <c r="B9" s="6" t="s">
        <v>59</v>
      </c>
      <c r="C9" s="683">
        <f>C10+C11</f>
        <v>30</v>
      </c>
      <c r="D9" s="11"/>
      <c r="E9" s="290" t="s">
        <v>106</v>
      </c>
      <c r="F9" s="291" t="s">
        <v>107</v>
      </c>
      <c r="G9" s="311" t="s">
        <v>108</v>
      </c>
      <c r="H9" s="407">
        <f>MAX(E10,F10,G10)</f>
        <v>98.2</v>
      </c>
    </row>
    <row r="10" spans="1:13" ht="20.100000000000001" customHeight="1" thickBot="1">
      <c r="B10" s="6" t="s">
        <v>60</v>
      </c>
      <c r="C10" s="68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8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45" t="s">
        <v>114</v>
      </c>
      <c r="K11" s="74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85">
        <f>C7-C9</f>
        <v>470</v>
      </c>
      <c r="H12" s="14"/>
      <c r="J12" s="309" t="s">
        <v>116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8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109</v>
      </c>
      <c r="K13" s="316">
        <v>2113</v>
      </c>
      <c r="L13" s="313"/>
    </row>
    <row r="14" spans="1:13" ht="20.100000000000001" customHeight="1">
      <c r="B14" s="6" t="s">
        <v>66</v>
      </c>
      <c r="C14" s="683">
        <f>C7-IF(C20&gt;C9,C20,C9)</f>
        <v>470</v>
      </c>
      <c r="G14" s="122">
        <f>max</f>
        <v>1439.8</v>
      </c>
      <c r="H14" s="15"/>
      <c r="J14" s="309" t="s">
        <v>110</v>
      </c>
      <c r="K14" s="316">
        <v>16</v>
      </c>
      <c r="L14" s="313"/>
    </row>
    <row r="15" spans="1:13" ht="20.100000000000001" customHeight="1" thickBot="1">
      <c r="B15" s="6" t="s">
        <v>67</v>
      </c>
      <c r="C15" s="681">
        <f>Well!I8</f>
        <v>15</v>
      </c>
      <c r="E15" s="34">
        <v>5</v>
      </c>
      <c r="J15" s="309" t="s">
        <v>111</v>
      </c>
      <c r="K15" s="316">
        <v>7</v>
      </c>
      <c r="L15" s="313"/>
    </row>
    <row r="16" spans="1:13" ht="20.100000000000001" customHeight="1">
      <c r="B16" s="6" t="s">
        <v>68</v>
      </c>
      <c r="C16" s="686">
        <f>Well!J8</f>
        <v>53</v>
      </c>
      <c r="E16" s="108" t="s">
        <v>255</v>
      </c>
      <c r="F16" s="109" t="s">
        <v>95</v>
      </c>
      <c r="G16" s="110" t="s">
        <v>94</v>
      </c>
      <c r="H16" s="15"/>
      <c r="J16" s="309" t="s">
        <v>117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81">
        <f>Well!L8</f>
        <v>5</v>
      </c>
      <c r="E17" s="235">
        <f>Well!P8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112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81">
        <f>Well!M8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10" t="s">
        <v>113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87">
        <f>Well!N8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8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89">
        <v>26.47</v>
      </c>
      <c r="D21" s="13"/>
      <c r="E21" s="236">
        <f>Well!$I$10</f>
        <v>75</v>
      </c>
      <c r="F21" s="237">
        <f>Well!O8</f>
        <v>89.7</v>
      </c>
      <c r="G21" s="136">
        <f>G19-E21-F21</f>
        <v>1443.104045850871</v>
      </c>
    </row>
    <row r="22" spans="2:12" ht="20.100000000000001" customHeight="1" thickBot="1">
      <c r="B22" s="27" t="s">
        <v>161</v>
      </c>
      <c r="C22" s="690">
        <f>C21-C20</f>
        <v>14.44</v>
      </c>
      <c r="E22" s="747">
        <f>E21+F21</f>
        <v>164.7</v>
      </c>
      <c r="F22" s="748"/>
      <c r="G22" s="16"/>
      <c r="I22" s="15"/>
    </row>
    <row r="23" spans="2:12" ht="20.100000000000001" customHeight="1" thickBot="1">
      <c r="B23" s="192" t="s">
        <v>229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9" t="s">
        <v>593</v>
      </c>
      <c r="C25" s="750"/>
      <c r="D25" s="334" t="s">
        <v>103</v>
      </c>
      <c r="E25" s="334" t="s">
        <v>104</v>
      </c>
      <c r="F25" s="334" t="s">
        <v>96</v>
      </c>
      <c r="G25" s="334" t="s">
        <v>97</v>
      </c>
      <c r="H25" s="334" t="s">
        <v>118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51" t="s">
        <v>726</v>
      </c>
      <c r="C26" s="336" t="s">
        <v>101</v>
      </c>
      <c r="D26" s="283">
        <f>C20</f>
        <v>12.03</v>
      </c>
      <c r="E26" s="284">
        <f>Recharge!C30</f>
        <v>22.316899999999997</v>
      </c>
      <c r="F26" s="285" t="s">
        <v>180</v>
      </c>
      <c r="G26" s="283" t="s">
        <v>370</v>
      </c>
      <c r="H26" s="286">
        <f>L18</f>
        <v>-0.14339801230477989</v>
      </c>
      <c r="I26" s="283" t="s">
        <v>180</v>
      </c>
      <c r="J26" s="287">
        <f>(E7/C14)/864</f>
        <v>5.5395488573680059E-6</v>
      </c>
      <c r="K26" s="282" t="s">
        <v>612</v>
      </c>
    </row>
    <row r="27" spans="2:12" ht="25.5" customHeight="1">
      <c r="B27" s="751"/>
      <c r="C27" s="239" t="s">
        <v>102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621</v>
      </c>
    </row>
    <row r="28" spans="2:12" ht="25.5" customHeight="1">
      <c r="B28" s="751"/>
      <c r="C28" s="337" t="s">
        <v>173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51"/>
      <c r="C29" s="337" t="s">
        <v>174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51"/>
      <c r="C30" s="336" t="s">
        <v>175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52"/>
      <c r="C31" s="338" t="s">
        <v>176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4" name="CommandButton8"/>
      </mc:Fallback>
    </mc:AlternateContent>
    <mc:AlternateContent xmlns:mc="http://schemas.openxmlformats.org/markup-compatibility/2006">
      <mc:Choice Requires="x14">
        <control shapeId="3829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6" name="CommandButton6"/>
      </mc:Fallback>
    </mc:AlternateContent>
    <mc:AlternateContent xmlns:mc="http://schemas.openxmlformats.org/markup-compatibility/2006">
      <mc:Choice Requires="x14">
        <control shapeId="3829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8" name="Frame1"/>
      </mc:Fallback>
    </mc:AlternateContent>
    <mc:AlternateContent xmlns:mc="http://schemas.openxmlformats.org/markup-compatibility/2006">
      <mc:Choice Requires="x14">
        <control shapeId="3829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55" t="s">
        <v>84</v>
      </c>
      <c r="C12" s="756"/>
      <c r="D12" s="757" t="s">
        <v>85</v>
      </c>
      <c r="E12" s="758"/>
      <c r="F12" s="756"/>
      <c r="H12" s="755" t="s">
        <v>85</v>
      </c>
      <c r="I12" s="758"/>
      <c r="J12" s="756"/>
      <c r="L12"/>
      <c r="M12"/>
      <c r="N12"/>
    </row>
    <row r="13" spans="2:14" s="30" customFormat="1" ht="26.1" customHeight="1">
      <c r="B13" s="199" t="s">
        <v>80</v>
      </c>
      <c r="C13" s="200" t="s">
        <v>86</v>
      </c>
      <c r="D13" s="222" t="s">
        <v>87</v>
      </c>
      <c r="E13" s="223" t="s">
        <v>88</v>
      </c>
      <c r="F13" s="20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4">
        <f>$C$6+C14/1440</f>
        <v>45187.434027777774</v>
      </c>
      <c r="C14" s="205">
        <v>5</v>
      </c>
      <c r="D14" s="225">
        <f t="shared" ref="D14:D20" si="0">baseTemp+H14</f>
        <v>15.100000000000001</v>
      </c>
      <c r="E14" s="226">
        <f>$C$8+I14</f>
        <v>221</v>
      </c>
      <c r="F14" s="22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8">
        <f t="shared" ref="B15:B23" si="1">$C$6+C15/1440</f>
        <v>45187.451388888891</v>
      </c>
      <c r="C15" s="211">
        <v>30</v>
      </c>
      <c r="D15" s="229">
        <f t="shared" si="0"/>
        <v>14.5</v>
      </c>
      <c r="E15" s="230">
        <f t="shared" ref="E15:E20" si="2">$C$8+I15</f>
        <v>231</v>
      </c>
      <c r="F15" s="23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8">
        <f t="shared" si="1"/>
        <v>45187.472222222219</v>
      </c>
      <c r="C16" s="211">
        <v>60</v>
      </c>
      <c r="D16" s="229">
        <f t="shared" si="0"/>
        <v>14.600000000000001</v>
      </c>
      <c r="E16" s="230">
        <f t="shared" si="2"/>
        <v>217</v>
      </c>
      <c r="F16" s="23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8">
        <f t="shared" si="1"/>
        <v>45187.513888888891</v>
      </c>
      <c r="C17" s="211">
        <v>120</v>
      </c>
      <c r="D17" s="229">
        <f t="shared" si="0"/>
        <v>15</v>
      </c>
      <c r="E17" s="230">
        <f t="shared" si="2"/>
        <v>204</v>
      </c>
      <c r="F17" s="23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8">
        <f t="shared" si="1"/>
        <v>45187.597222222219</v>
      </c>
      <c r="C18" s="211">
        <v>240</v>
      </c>
      <c r="D18" s="229">
        <f t="shared" si="0"/>
        <v>14.9</v>
      </c>
      <c r="E18" s="230">
        <f t="shared" si="2"/>
        <v>208</v>
      </c>
      <c r="F18" s="23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8">
        <f t="shared" si="1"/>
        <v>45187.763888888891</v>
      </c>
      <c r="C19" s="211">
        <v>480</v>
      </c>
      <c r="D19" s="232">
        <f t="shared" si="0"/>
        <v>14.600000000000001</v>
      </c>
      <c r="E19" s="230">
        <f t="shared" si="2"/>
        <v>230</v>
      </c>
      <c r="F19" s="23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8">
        <f t="shared" si="1"/>
        <v>45188.430555555555</v>
      </c>
      <c r="C20" s="211">
        <v>1440</v>
      </c>
      <c r="D20" s="229">
        <f t="shared" si="0"/>
        <v>14.600000000000001</v>
      </c>
      <c r="E20" s="230">
        <f t="shared" si="2"/>
        <v>207</v>
      </c>
      <c r="F20" s="23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8">
        <f t="shared" si="1"/>
        <v>45188.597222222219</v>
      </c>
      <c r="C21" s="211">
        <v>1680</v>
      </c>
      <c r="D21" s="229">
        <f>$D$20</f>
        <v>14.600000000000001</v>
      </c>
      <c r="E21" s="230">
        <f>$E$20</f>
        <v>207</v>
      </c>
      <c r="F21" s="23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8">
        <f t="shared" si="1"/>
        <v>45188.763888888891</v>
      </c>
      <c r="C22" s="211">
        <v>1920</v>
      </c>
      <c r="D22" s="229">
        <f t="shared" ref="D22:D23" si="4">$D$20</f>
        <v>14.600000000000001</v>
      </c>
      <c r="E22" s="230">
        <f t="shared" ref="E22:E23" si="5">$E$20</f>
        <v>207</v>
      </c>
      <c r="F22" s="23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8">
        <f t="shared" si="1"/>
        <v>45189.430555555555</v>
      </c>
      <c r="C23" s="211">
        <v>2880</v>
      </c>
      <c r="D23" s="229">
        <f t="shared" si="4"/>
        <v>14.600000000000001</v>
      </c>
      <c r="E23" s="230">
        <f t="shared" si="5"/>
        <v>207</v>
      </c>
      <c r="F23" s="23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59" t="s">
        <v>36</v>
      </c>
      <c r="C24" s="760"/>
      <c r="D24" s="222">
        <f>MAX(D14:D23)</f>
        <v>15.100000000000001</v>
      </c>
      <c r="E24" s="223">
        <f t="shared" ref="E24:F24" si="7">MAX(E14:E23)</f>
        <v>231</v>
      </c>
      <c r="F24" s="200">
        <f t="shared" si="7"/>
        <v>7.0100000000000007</v>
      </c>
      <c r="H24" s="30"/>
      <c r="I24" s="30"/>
      <c r="J24" s="30"/>
    </row>
    <row r="25" spans="2:14" s="31" customFormat="1" ht="26.1" customHeight="1">
      <c r="B25" s="759" t="s">
        <v>37</v>
      </c>
      <c r="C25" s="760"/>
      <c r="D25" s="222">
        <f>MIN(D14:D23)</f>
        <v>14.5</v>
      </c>
      <c r="E25" s="223">
        <f t="shared" ref="E25:F25" si="8">MIN(E14:E23)</f>
        <v>204</v>
      </c>
      <c r="F25" s="200">
        <f t="shared" si="8"/>
        <v>6.78</v>
      </c>
      <c r="H25" s="30"/>
      <c r="I25" s="30"/>
      <c r="J25" s="30"/>
    </row>
    <row r="26" spans="2:14" s="31" customFormat="1" ht="26.1" customHeight="1" thickBot="1">
      <c r="B26" s="753" t="s">
        <v>90</v>
      </c>
      <c r="C26" s="754"/>
      <c r="D26" s="233">
        <f>D24-D25</f>
        <v>0.60000000000000142</v>
      </c>
      <c r="E26" s="234">
        <f t="shared" ref="E26:F26" si="9">E24-E25</f>
        <v>27</v>
      </c>
      <c r="F26" s="21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7">
        <v>44753.861111111109</v>
      </c>
      <c r="D6" s="470"/>
      <c r="E6" s="30"/>
      <c r="F6" s="30"/>
    </row>
    <row r="7" spans="2:9" s="31" customFormat="1" ht="26.1" customHeight="1" thickBot="1">
      <c r="B7" s="164" t="s">
        <v>81</v>
      </c>
      <c r="C7" s="468">
        <v>14</v>
      </c>
      <c r="D7" s="471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69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55" t="s">
        <v>84</v>
      </c>
      <c r="C12" s="756"/>
      <c r="D12" s="755" t="s">
        <v>85</v>
      </c>
      <c r="E12" s="758"/>
      <c r="F12" s="756"/>
      <c r="G12" s="761" t="s">
        <v>154</v>
      </c>
      <c r="H12" s="762"/>
      <c r="I12" s="763"/>
    </row>
    <row r="13" spans="2:9" s="30" customFormat="1" ht="26.1" customHeight="1">
      <c r="B13" s="199" t="s">
        <v>80</v>
      </c>
      <c r="C13" s="200" t="s">
        <v>86</v>
      </c>
      <c r="D13" s="218" t="s">
        <v>87</v>
      </c>
      <c r="E13" s="219" t="s">
        <v>88</v>
      </c>
      <c r="F13" s="220" t="s">
        <v>89</v>
      </c>
      <c r="G13" s="201" t="s">
        <v>87</v>
      </c>
      <c r="H13" s="202" t="s">
        <v>88</v>
      </c>
      <c r="I13" s="203" t="s">
        <v>89</v>
      </c>
    </row>
    <row r="14" spans="2:9" s="30" customFormat="1" ht="26.1" customHeight="1">
      <c r="B14" s="204">
        <f>$C$6+C14/1440</f>
        <v>44753.864583333328</v>
      </c>
      <c r="C14" s="205">
        <v>5</v>
      </c>
      <c r="D14" s="209">
        <f t="shared" ref="D14:D23" si="0">baseTemp+D31</f>
        <v>14</v>
      </c>
      <c r="E14" s="207">
        <f t="shared" ref="E14:E20" si="1">$C$8+E31</f>
        <v>223</v>
      </c>
      <c r="F14" s="208">
        <f t="shared" ref="F14:F20" si="2">$C$9+F31</f>
        <v>7.83</v>
      </c>
      <c r="G14" s="209">
        <f t="shared" ref="G14:G23" si="3">baseTemp2+H31</f>
        <v>14</v>
      </c>
      <c r="H14" s="207">
        <f>$D$8+I31</f>
        <v>232</v>
      </c>
      <c r="I14" s="208">
        <f>$D$9+J31</f>
        <v>7.89</v>
      </c>
    </row>
    <row r="15" spans="2:9" s="30" customFormat="1" ht="26.1" customHeight="1">
      <c r="B15" s="210">
        <f t="shared" ref="B15:B23" si="4">$C$6+C15/1440</f>
        <v>44753.881944444445</v>
      </c>
      <c r="C15" s="211">
        <v>30</v>
      </c>
      <c r="D15" s="209">
        <f t="shared" si="0"/>
        <v>14.1</v>
      </c>
      <c r="E15" s="207">
        <f t="shared" si="1"/>
        <v>224</v>
      </c>
      <c r="F15" s="208">
        <f t="shared" si="2"/>
        <v>7.82</v>
      </c>
      <c r="G15" s="209">
        <f t="shared" si="3"/>
        <v>14</v>
      </c>
      <c r="H15" s="207">
        <f t="shared" ref="H15:H20" si="5">$D$8+I32</f>
        <v>226</v>
      </c>
      <c r="I15" s="208">
        <f t="shared" ref="I15:I20" si="6">$D$9+J32</f>
        <v>7.71</v>
      </c>
    </row>
    <row r="16" spans="2:9" s="30" customFormat="1" ht="26.1" customHeight="1">
      <c r="B16" s="210">
        <f t="shared" si="4"/>
        <v>44753.902777777774</v>
      </c>
      <c r="C16" s="211">
        <v>60</v>
      </c>
      <c r="D16" s="209">
        <f t="shared" si="0"/>
        <v>14</v>
      </c>
      <c r="E16" s="207">
        <f t="shared" si="1"/>
        <v>228</v>
      </c>
      <c r="F16" s="208">
        <f t="shared" si="2"/>
        <v>8.01</v>
      </c>
      <c r="G16" s="209">
        <f t="shared" si="3"/>
        <v>13.9</v>
      </c>
      <c r="H16" s="207">
        <f t="shared" si="5"/>
        <v>232</v>
      </c>
      <c r="I16" s="208">
        <f t="shared" si="6"/>
        <v>7.7</v>
      </c>
    </row>
    <row r="17" spans="2:10" s="30" customFormat="1" ht="26.1" customHeight="1">
      <c r="B17" s="210">
        <f t="shared" si="4"/>
        <v>44753.944444444445</v>
      </c>
      <c r="C17" s="211">
        <v>120</v>
      </c>
      <c r="D17" s="209">
        <f t="shared" si="0"/>
        <v>14</v>
      </c>
      <c r="E17" s="207">
        <f t="shared" si="1"/>
        <v>228</v>
      </c>
      <c r="F17" s="208">
        <f t="shared" si="2"/>
        <v>8.01</v>
      </c>
      <c r="G17" s="209">
        <f t="shared" si="3"/>
        <v>13.9</v>
      </c>
      <c r="H17" s="207">
        <f t="shared" si="5"/>
        <v>228</v>
      </c>
      <c r="I17" s="208">
        <f t="shared" si="6"/>
        <v>7.7</v>
      </c>
    </row>
    <row r="18" spans="2:10" s="30" customFormat="1" ht="26.1" customHeight="1">
      <c r="B18" s="210">
        <f t="shared" si="4"/>
        <v>44754.027777777774</v>
      </c>
      <c r="C18" s="211">
        <v>240</v>
      </c>
      <c r="D18" s="209">
        <f t="shared" si="0"/>
        <v>14.1</v>
      </c>
      <c r="E18" s="207">
        <f t="shared" si="1"/>
        <v>227</v>
      </c>
      <c r="F18" s="208">
        <f t="shared" si="2"/>
        <v>8.01</v>
      </c>
      <c r="G18" s="209">
        <f t="shared" si="3"/>
        <v>13.9</v>
      </c>
      <c r="H18" s="207">
        <f t="shared" si="5"/>
        <v>230</v>
      </c>
      <c r="I18" s="208">
        <f t="shared" si="6"/>
        <v>7.7</v>
      </c>
    </row>
    <row r="19" spans="2:10" s="30" customFormat="1" ht="26.1" customHeight="1">
      <c r="B19" s="210">
        <f t="shared" si="4"/>
        <v>44754.194444444445</v>
      </c>
      <c r="C19" s="211">
        <v>480</v>
      </c>
      <c r="D19" s="209">
        <f t="shared" si="0"/>
        <v>14</v>
      </c>
      <c r="E19" s="207">
        <f t="shared" si="1"/>
        <v>225</v>
      </c>
      <c r="F19" s="208">
        <f t="shared" si="2"/>
        <v>7.78</v>
      </c>
      <c r="G19" s="209">
        <f t="shared" si="3"/>
        <v>13.9</v>
      </c>
      <c r="H19" s="207">
        <f t="shared" si="5"/>
        <v>228</v>
      </c>
      <c r="I19" s="208">
        <f t="shared" si="6"/>
        <v>7.92</v>
      </c>
    </row>
    <row r="20" spans="2:10" s="31" customFormat="1" ht="26.1" customHeight="1">
      <c r="B20" s="210">
        <f t="shared" si="4"/>
        <v>44754.861111111109</v>
      </c>
      <c r="C20" s="211">
        <v>1440</v>
      </c>
      <c r="D20" s="209">
        <f t="shared" si="0"/>
        <v>14.1</v>
      </c>
      <c r="E20" s="207">
        <f t="shared" si="1"/>
        <v>227</v>
      </c>
      <c r="F20" s="208">
        <f t="shared" si="2"/>
        <v>7.9700000000000006</v>
      </c>
      <c r="G20" s="209">
        <f t="shared" si="3"/>
        <v>13.9</v>
      </c>
      <c r="H20" s="207">
        <f t="shared" si="5"/>
        <v>227</v>
      </c>
      <c r="I20" s="208">
        <f t="shared" si="6"/>
        <v>7.7299999999999995</v>
      </c>
    </row>
    <row r="21" spans="2:10" s="31" customFormat="1" ht="26.1" customHeight="1">
      <c r="B21" s="210">
        <f t="shared" si="4"/>
        <v>44755.027777777774</v>
      </c>
      <c r="C21" s="211">
        <v>1680</v>
      </c>
      <c r="D21" s="209">
        <f t="shared" si="0"/>
        <v>14</v>
      </c>
      <c r="E21" s="207">
        <f>$E$20</f>
        <v>227</v>
      </c>
      <c r="F21" s="208">
        <f>$F$20</f>
        <v>7.9700000000000006</v>
      </c>
      <c r="G21" s="209">
        <f t="shared" si="3"/>
        <v>14.1</v>
      </c>
      <c r="H21" s="207">
        <f>$H$20</f>
        <v>227</v>
      </c>
      <c r="I21" s="208">
        <f>$I$20</f>
        <v>7.7299999999999995</v>
      </c>
    </row>
    <row r="22" spans="2:10" s="31" customFormat="1" ht="26.1" customHeight="1">
      <c r="B22" s="210">
        <f t="shared" si="4"/>
        <v>44755.194444444445</v>
      </c>
      <c r="C22" s="211">
        <v>1920</v>
      </c>
      <c r="D22" s="209">
        <f t="shared" si="0"/>
        <v>14</v>
      </c>
      <c r="E22" s="207">
        <f t="shared" ref="E22:E23" si="7">$E$20</f>
        <v>227</v>
      </c>
      <c r="F22" s="208">
        <f t="shared" ref="F22:F23" si="8">$F$20</f>
        <v>7.9700000000000006</v>
      </c>
      <c r="G22" s="209">
        <f t="shared" si="3"/>
        <v>13.9</v>
      </c>
      <c r="H22" s="207">
        <f t="shared" ref="H22:H23" si="9">$H$20</f>
        <v>227</v>
      </c>
      <c r="I22" s="208">
        <f t="shared" ref="I22:I23" si="10">$I$20</f>
        <v>7.7299999999999995</v>
      </c>
    </row>
    <row r="23" spans="2:10" s="31" customFormat="1" ht="26.1" customHeight="1">
      <c r="B23" s="212">
        <f t="shared" si="4"/>
        <v>44755.861111111109</v>
      </c>
      <c r="C23" s="213">
        <v>2880</v>
      </c>
      <c r="D23" s="209">
        <f t="shared" si="0"/>
        <v>14</v>
      </c>
      <c r="E23" s="207">
        <f t="shared" si="7"/>
        <v>227</v>
      </c>
      <c r="F23" s="208">
        <f t="shared" si="8"/>
        <v>7.9700000000000006</v>
      </c>
      <c r="G23" s="209">
        <f t="shared" si="3"/>
        <v>13.9</v>
      </c>
      <c r="H23" s="207">
        <f t="shared" si="9"/>
        <v>227</v>
      </c>
      <c r="I23" s="208">
        <f t="shared" si="10"/>
        <v>7.7299999999999995</v>
      </c>
    </row>
    <row r="24" spans="2:10" s="31" customFormat="1" ht="26.1" customHeight="1">
      <c r="B24" s="759" t="s">
        <v>36</v>
      </c>
      <c r="C24" s="760"/>
      <c r="D24" s="201">
        <f>MAX(D14:D23)</f>
        <v>14.1</v>
      </c>
      <c r="E24" s="202">
        <f t="shared" ref="E24:F24" si="11">MAX(E14:E23)</f>
        <v>228</v>
      </c>
      <c r="F24" s="203">
        <f t="shared" si="11"/>
        <v>8.01</v>
      </c>
      <c r="G24" s="201">
        <f>MAX(G14:G23)</f>
        <v>14.1</v>
      </c>
      <c r="H24" s="202">
        <f t="shared" ref="H24:I24" si="12">MAX(H14:H23)</f>
        <v>232</v>
      </c>
      <c r="I24" s="203">
        <f t="shared" si="12"/>
        <v>7.92</v>
      </c>
      <c r="J24" s="30"/>
    </row>
    <row r="25" spans="2:10" s="31" customFormat="1" ht="26.1" customHeight="1">
      <c r="B25" s="759" t="s">
        <v>37</v>
      </c>
      <c r="C25" s="760"/>
      <c r="D25" s="201">
        <f>MIN(D14:D23)</f>
        <v>14</v>
      </c>
      <c r="E25" s="202">
        <f t="shared" ref="E25:F25" si="13">MIN(E14:E23)</f>
        <v>223</v>
      </c>
      <c r="F25" s="221">
        <f t="shared" si="13"/>
        <v>7.78</v>
      </c>
      <c r="G25" s="201">
        <f>MIN(G14:G23)</f>
        <v>13.9</v>
      </c>
      <c r="H25" s="202">
        <f t="shared" ref="H25:I25" si="14">MIN(H14:H23)</f>
        <v>226</v>
      </c>
      <c r="I25" s="203">
        <f t="shared" si="14"/>
        <v>7.7</v>
      </c>
      <c r="J25" s="30"/>
    </row>
    <row r="26" spans="2:10" s="31" customFormat="1" ht="26.1" customHeight="1" thickBot="1">
      <c r="B26" s="753" t="s">
        <v>90</v>
      </c>
      <c r="C26" s="754"/>
      <c r="D26" s="215">
        <f>D24-D25</f>
        <v>9.9999999999999645E-2</v>
      </c>
      <c r="E26" s="216">
        <f t="shared" ref="E26:F26" si="15">E24-E25</f>
        <v>5</v>
      </c>
      <c r="F26" s="217">
        <f t="shared" si="15"/>
        <v>0.22999999999999954</v>
      </c>
      <c r="G26" s="215">
        <f>G24-G25</f>
        <v>0.19999999999999929</v>
      </c>
      <c r="H26" s="216">
        <f t="shared" ref="H26:I26" si="16">H24-H25</f>
        <v>6</v>
      </c>
      <c r="I26" s="21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55" t="s">
        <v>85</v>
      </c>
      <c r="E29" s="758"/>
      <c r="F29" s="756"/>
      <c r="H29" s="755" t="s">
        <v>154</v>
      </c>
      <c r="I29" s="758"/>
      <c r="J29" s="756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2">
        <v>14.7</v>
      </c>
      <c r="D7" s="474">
        <v>14.8</v>
      </c>
      <c r="E7" s="475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3">
        <v>197</v>
      </c>
      <c r="E8" s="469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5" t="s">
        <v>84</v>
      </c>
      <c r="C12" s="756"/>
      <c r="D12" s="761" t="s">
        <v>85</v>
      </c>
      <c r="E12" s="762"/>
      <c r="F12" s="763"/>
      <c r="G12" s="761" t="s">
        <v>154</v>
      </c>
      <c r="H12" s="762"/>
      <c r="I12" s="763"/>
      <c r="J12" s="761" t="s">
        <v>155</v>
      </c>
      <c r="K12" s="762"/>
      <c r="L12" s="763"/>
    </row>
    <row r="13" spans="2:12" s="30" customFormat="1" ht="26.1" customHeight="1">
      <c r="B13" s="199" t="s">
        <v>80</v>
      </c>
      <c r="C13" s="200" t="s">
        <v>86</v>
      </c>
      <c r="D13" s="201" t="s">
        <v>158</v>
      </c>
      <c r="E13" s="202" t="s">
        <v>167</v>
      </c>
      <c r="F13" s="203" t="s">
        <v>89</v>
      </c>
      <c r="G13" s="201" t="s">
        <v>158</v>
      </c>
      <c r="H13" s="202" t="s">
        <v>167</v>
      </c>
      <c r="I13" s="203" t="s">
        <v>89</v>
      </c>
      <c r="J13" s="201" t="s">
        <v>158</v>
      </c>
      <c r="K13" s="202" t="s">
        <v>167</v>
      </c>
      <c r="L13" s="203" t="s">
        <v>89</v>
      </c>
    </row>
    <row r="14" spans="2:12" s="30" customFormat="1" ht="26.1" customHeight="1">
      <c r="B14" s="204">
        <f>$C$6+C14/1440</f>
        <v>44717.434027777774</v>
      </c>
      <c r="C14" s="205">
        <v>5</v>
      </c>
      <c r="D14" s="206">
        <f t="shared" ref="D14:D20" si="0">baseTemp+D31</f>
        <v>14.7</v>
      </c>
      <c r="E14" s="207">
        <f t="shared" ref="E14:E20" si="1">$C$8+E31</f>
        <v>194</v>
      </c>
      <c r="F14" s="208">
        <f t="shared" ref="F14:F20" si="2">$C$9+F31</f>
        <v>8.33</v>
      </c>
      <c r="G14" s="209">
        <f t="shared" ref="G14:G20" si="3">bTemp2+H31</f>
        <v>14.8</v>
      </c>
      <c r="H14" s="207">
        <f>$D$8+I31</f>
        <v>200</v>
      </c>
      <c r="I14" s="208">
        <f>$D$9+J31</f>
        <v>8.39</v>
      </c>
      <c r="J14" s="209">
        <f t="shared" ref="J14:J20" si="4">bTemp3+L31</f>
        <v>14.9</v>
      </c>
      <c r="K14" s="207">
        <f>$E$8+M31</f>
        <v>195</v>
      </c>
      <c r="L14" s="208">
        <f>$E$9+N31</f>
        <v>8.2800000000000011</v>
      </c>
    </row>
    <row r="15" spans="2:12" s="30" customFormat="1" ht="26.1" customHeight="1">
      <c r="B15" s="210">
        <f t="shared" ref="B15:B23" si="5">$C$6+C15/1440</f>
        <v>44717.451388888891</v>
      </c>
      <c r="C15" s="211">
        <v>30</v>
      </c>
      <c r="D15" s="206">
        <f t="shared" si="0"/>
        <v>14.799999999999999</v>
      </c>
      <c r="E15" s="207">
        <f t="shared" si="1"/>
        <v>195</v>
      </c>
      <c r="F15" s="208">
        <f t="shared" si="2"/>
        <v>8.32</v>
      </c>
      <c r="G15" s="209">
        <f t="shared" si="3"/>
        <v>14.8</v>
      </c>
      <c r="H15" s="207">
        <f t="shared" ref="H15:H20" si="6">$D$8+I32</f>
        <v>194</v>
      </c>
      <c r="I15" s="208">
        <f t="shared" ref="I15:I20" si="7">$D$9+J32</f>
        <v>8.2100000000000009</v>
      </c>
      <c r="J15" s="209">
        <f t="shared" si="4"/>
        <v>14.9</v>
      </c>
      <c r="K15" s="207">
        <f t="shared" ref="K15:K20" si="8">$E$8+M32</f>
        <v>192</v>
      </c>
      <c r="L15" s="208">
        <f t="shared" ref="L15:L20" si="9">$E$9+N32</f>
        <v>8.49</v>
      </c>
    </row>
    <row r="16" spans="2:12" s="30" customFormat="1" ht="26.1" customHeight="1">
      <c r="B16" s="210">
        <f t="shared" si="5"/>
        <v>44717.472222222219</v>
      </c>
      <c r="C16" s="211">
        <v>60</v>
      </c>
      <c r="D16" s="206">
        <f t="shared" si="0"/>
        <v>14.7</v>
      </c>
      <c r="E16" s="207">
        <f t="shared" si="1"/>
        <v>199</v>
      </c>
      <c r="F16" s="208">
        <f t="shared" si="2"/>
        <v>8.51</v>
      </c>
      <c r="G16" s="209">
        <f t="shared" si="3"/>
        <v>14.700000000000001</v>
      </c>
      <c r="H16" s="207">
        <f t="shared" si="6"/>
        <v>200</v>
      </c>
      <c r="I16" s="208">
        <f t="shared" si="7"/>
        <v>8.2000000000000011</v>
      </c>
      <c r="J16" s="209">
        <f t="shared" si="4"/>
        <v>15</v>
      </c>
      <c r="K16" s="207">
        <f t="shared" si="8"/>
        <v>193</v>
      </c>
      <c r="L16" s="208">
        <f t="shared" si="9"/>
        <v>8.51</v>
      </c>
    </row>
    <row r="17" spans="2:14" s="30" customFormat="1" ht="26.1" customHeight="1">
      <c r="B17" s="210">
        <f t="shared" si="5"/>
        <v>44717.513888888891</v>
      </c>
      <c r="C17" s="211">
        <v>120</v>
      </c>
      <c r="D17" s="206">
        <f t="shared" si="0"/>
        <v>14.7</v>
      </c>
      <c r="E17" s="207">
        <f t="shared" si="1"/>
        <v>199</v>
      </c>
      <c r="F17" s="208">
        <f t="shared" si="2"/>
        <v>8.51</v>
      </c>
      <c r="G17" s="209">
        <f t="shared" si="3"/>
        <v>14.700000000000001</v>
      </c>
      <c r="H17" s="207">
        <f t="shared" si="6"/>
        <v>196</v>
      </c>
      <c r="I17" s="208">
        <f t="shared" si="7"/>
        <v>8.2000000000000011</v>
      </c>
      <c r="J17" s="209">
        <f t="shared" si="4"/>
        <v>15</v>
      </c>
      <c r="K17" s="207">
        <f t="shared" si="8"/>
        <v>196</v>
      </c>
      <c r="L17" s="208">
        <f t="shared" si="9"/>
        <v>8.3000000000000007</v>
      </c>
    </row>
    <row r="18" spans="2:14" s="30" customFormat="1" ht="26.1" customHeight="1">
      <c r="B18" s="210">
        <f t="shared" si="5"/>
        <v>44717.597222222219</v>
      </c>
      <c r="C18" s="211">
        <v>240</v>
      </c>
      <c r="D18" s="206">
        <f t="shared" si="0"/>
        <v>14.799999999999999</v>
      </c>
      <c r="E18" s="207">
        <f t="shared" si="1"/>
        <v>198</v>
      </c>
      <c r="F18" s="208">
        <f t="shared" si="2"/>
        <v>8.51</v>
      </c>
      <c r="G18" s="209">
        <f t="shared" si="3"/>
        <v>14.700000000000001</v>
      </c>
      <c r="H18" s="207">
        <f t="shared" si="6"/>
        <v>198</v>
      </c>
      <c r="I18" s="208">
        <f t="shared" si="7"/>
        <v>8.2000000000000011</v>
      </c>
      <c r="J18" s="209">
        <f t="shared" si="4"/>
        <v>14.8</v>
      </c>
      <c r="K18" s="207">
        <f t="shared" si="8"/>
        <v>196</v>
      </c>
      <c r="L18" s="208">
        <f t="shared" si="9"/>
        <v>8.52</v>
      </c>
    </row>
    <row r="19" spans="2:14" s="30" customFormat="1" ht="26.1" customHeight="1">
      <c r="B19" s="210">
        <f t="shared" si="5"/>
        <v>44717.763888888891</v>
      </c>
      <c r="C19" s="211">
        <v>480</v>
      </c>
      <c r="D19" s="206">
        <f t="shared" si="0"/>
        <v>14.7</v>
      </c>
      <c r="E19" s="207">
        <f t="shared" si="1"/>
        <v>196</v>
      </c>
      <c r="F19" s="208">
        <f t="shared" si="2"/>
        <v>8.2800000000000011</v>
      </c>
      <c r="G19" s="209">
        <f t="shared" si="3"/>
        <v>14.700000000000001</v>
      </c>
      <c r="H19" s="207">
        <f t="shared" si="6"/>
        <v>196</v>
      </c>
      <c r="I19" s="208">
        <f t="shared" si="7"/>
        <v>8.42</v>
      </c>
      <c r="J19" s="209">
        <f t="shared" si="4"/>
        <v>15</v>
      </c>
      <c r="K19" s="207">
        <f t="shared" si="8"/>
        <v>191</v>
      </c>
      <c r="L19" s="208">
        <f t="shared" si="9"/>
        <v>8.2800000000000011</v>
      </c>
    </row>
    <row r="20" spans="2:14" s="31" customFormat="1" ht="26.1" customHeight="1">
      <c r="B20" s="210">
        <f t="shared" si="5"/>
        <v>44718.430555555555</v>
      </c>
      <c r="C20" s="211">
        <v>1440</v>
      </c>
      <c r="D20" s="206">
        <f t="shared" si="0"/>
        <v>14.799999999999999</v>
      </c>
      <c r="E20" s="207">
        <f t="shared" si="1"/>
        <v>198</v>
      </c>
      <c r="F20" s="208">
        <f t="shared" si="2"/>
        <v>8.4700000000000006</v>
      </c>
      <c r="G20" s="209">
        <f t="shared" si="3"/>
        <v>14.700000000000001</v>
      </c>
      <c r="H20" s="207">
        <f t="shared" si="6"/>
        <v>195</v>
      </c>
      <c r="I20" s="208">
        <f t="shared" si="7"/>
        <v>8.23</v>
      </c>
      <c r="J20" s="209">
        <f t="shared" si="4"/>
        <v>14.8</v>
      </c>
      <c r="K20" s="207">
        <f t="shared" si="8"/>
        <v>191</v>
      </c>
      <c r="L20" s="208">
        <f t="shared" si="9"/>
        <v>8.33</v>
      </c>
    </row>
    <row r="21" spans="2:14" s="31" customFormat="1" ht="26.1" customHeight="1">
      <c r="B21" s="210">
        <f t="shared" si="5"/>
        <v>44718.597222222219</v>
      </c>
      <c r="C21" s="211">
        <v>1680</v>
      </c>
      <c r="D21" s="206">
        <f>$D$20</f>
        <v>14.799999999999999</v>
      </c>
      <c r="E21" s="207">
        <f>$E$20</f>
        <v>198</v>
      </c>
      <c r="F21" s="208">
        <f>$F$20</f>
        <v>8.4700000000000006</v>
      </c>
      <c r="G21" s="209">
        <f>$G$20</f>
        <v>14.700000000000001</v>
      </c>
      <c r="H21" s="207">
        <f>$H$20</f>
        <v>195</v>
      </c>
      <c r="I21" s="208">
        <f>$I$20</f>
        <v>8.23</v>
      </c>
      <c r="J21" s="209">
        <f>$J$20</f>
        <v>14.8</v>
      </c>
      <c r="K21" s="207">
        <f>$K$20</f>
        <v>191</v>
      </c>
      <c r="L21" s="208">
        <f>$L$20</f>
        <v>8.33</v>
      </c>
    </row>
    <row r="22" spans="2:14" s="31" customFormat="1" ht="26.1" customHeight="1">
      <c r="B22" s="210">
        <f t="shared" si="5"/>
        <v>44718.763888888891</v>
      </c>
      <c r="C22" s="211">
        <v>1920</v>
      </c>
      <c r="D22" s="206">
        <f t="shared" ref="D22:D23" si="10">$D$20</f>
        <v>14.799999999999999</v>
      </c>
      <c r="E22" s="207">
        <f t="shared" ref="E22:E23" si="11">$E$20</f>
        <v>198</v>
      </c>
      <c r="F22" s="208">
        <f t="shared" ref="F22:F23" si="12">$F$20</f>
        <v>8.4700000000000006</v>
      </c>
      <c r="G22" s="209">
        <f t="shared" ref="G22:G23" si="13">$G$20</f>
        <v>14.700000000000001</v>
      </c>
      <c r="H22" s="207">
        <f t="shared" ref="H22:H23" si="14">$H$20</f>
        <v>195</v>
      </c>
      <c r="I22" s="208">
        <f t="shared" ref="I22:I23" si="15">$I$20</f>
        <v>8.23</v>
      </c>
      <c r="J22" s="209">
        <f t="shared" ref="J22:J23" si="16">$J$20</f>
        <v>14.8</v>
      </c>
      <c r="K22" s="207">
        <f t="shared" ref="K22:K23" si="17">$K$20</f>
        <v>191</v>
      </c>
      <c r="L22" s="208">
        <f t="shared" ref="L22:L23" si="18">$L$20</f>
        <v>8.33</v>
      </c>
    </row>
    <row r="23" spans="2:14" s="31" customFormat="1" ht="26.1" customHeight="1">
      <c r="B23" s="212">
        <f t="shared" si="5"/>
        <v>44719.430555555555</v>
      </c>
      <c r="C23" s="213">
        <v>2880</v>
      </c>
      <c r="D23" s="206">
        <f t="shared" si="10"/>
        <v>14.799999999999999</v>
      </c>
      <c r="E23" s="207">
        <f t="shared" si="11"/>
        <v>198</v>
      </c>
      <c r="F23" s="208">
        <f t="shared" si="12"/>
        <v>8.4700000000000006</v>
      </c>
      <c r="G23" s="209">
        <f t="shared" si="13"/>
        <v>14.700000000000001</v>
      </c>
      <c r="H23" s="207">
        <f t="shared" si="14"/>
        <v>195</v>
      </c>
      <c r="I23" s="208">
        <f t="shared" si="15"/>
        <v>8.23</v>
      </c>
      <c r="J23" s="209">
        <f t="shared" si="16"/>
        <v>14.8</v>
      </c>
      <c r="K23" s="207">
        <f t="shared" si="17"/>
        <v>191</v>
      </c>
      <c r="L23" s="208">
        <f t="shared" si="18"/>
        <v>8.33</v>
      </c>
    </row>
    <row r="24" spans="2:14" s="31" customFormat="1" ht="26.1" customHeight="1">
      <c r="B24" s="759" t="s">
        <v>36</v>
      </c>
      <c r="C24" s="760"/>
      <c r="D24" s="201">
        <f>MAX(D14:D23)</f>
        <v>14.799999999999999</v>
      </c>
      <c r="E24" s="202">
        <f t="shared" ref="E24:F24" si="19">MAX(E14:E23)</f>
        <v>199</v>
      </c>
      <c r="F24" s="203">
        <f t="shared" si="19"/>
        <v>8.51</v>
      </c>
      <c r="G24" s="201">
        <f>MAX(G14:G23)</f>
        <v>14.8</v>
      </c>
      <c r="H24" s="202">
        <f t="shared" ref="H24:I24" si="20">MAX(H14:H23)</f>
        <v>200</v>
      </c>
      <c r="I24" s="203">
        <f t="shared" si="20"/>
        <v>8.42</v>
      </c>
      <c r="J24" s="201">
        <f>MAX(J14:J23)</f>
        <v>15</v>
      </c>
      <c r="K24" s="202">
        <f t="shared" ref="K24:L24" si="21">MAX(K14:K23)</f>
        <v>196</v>
      </c>
      <c r="L24" s="203">
        <f t="shared" si="21"/>
        <v>8.52</v>
      </c>
    </row>
    <row r="25" spans="2:14" s="31" customFormat="1" ht="26.1" customHeight="1">
      <c r="B25" s="759" t="s">
        <v>37</v>
      </c>
      <c r="C25" s="760"/>
      <c r="D25" s="201">
        <f>MIN(D14:D23)</f>
        <v>14.7</v>
      </c>
      <c r="E25" s="202">
        <f t="shared" ref="E25:F25" si="22">MIN(E14:E23)</f>
        <v>194</v>
      </c>
      <c r="F25" s="203">
        <f t="shared" si="22"/>
        <v>8.2800000000000011</v>
      </c>
      <c r="G25" s="201">
        <f>MIN(G14:G23)</f>
        <v>14.700000000000001</v>
      </c>
      <c r="H25" s="202">
        <f t="shared" ref="H25:I25" si="23">MIN(H14:H23)</f>
        <v>194</v>
      </c>
      <c r="I25" s="203">
        <f t="shared" si="23"/>
        <v>8.2000000000000011</v>
      </c>
      <c r="J25" s="201">
        <f>MIN(J14:J23)</f>
        <v>14.8</v>
      </c>
      <c r="K25" s="202">
        <f t="shared" ref="K25:L25" si="24">MIN(K14:K23)</f>
        <v>191</v>
      </c>
      <c r="L25" s="203">
        <f t="shared" si="24"/>
        <v>8.2800000000000011</v>
      </c>
    </row>
    <row r="26" spans="2:14" s="31" customFormat="1" ht="26.1" customHeight="1" thickBot="1">
      <c r="B26" s="753" t="s">
        <v>90</v>
      </c>
      <c r="C26" s="754"/>
      <c r="D26" s="215">
        <f>D24-D25</f>
        <v>9.9999999999999645E-2</v>
      </c>
      <c r="E26" s="216">
        <f t="shared" ref="E26:F26" si="25">E24-E25</f>
        <v>5</v>
      </c>
      <c r="F26" s="217">
        <f t="shared" si="25"/>
        <v>0.22999999999999865</v>
      </c>
      <c r="G26" s="215">
        <f>G24-G25</f>
        <v>9.9999999999999645E-2</v>
      </c>
      <c r="H26" s="216">
        <f t="shared" ref="H26:I26" si="26">H24-H25</f>
        <v>6</v>
      </c>
      <c r="I26" s="217">
        <f t="shared" si="26"/>
        <v>0.21999999999999886</v>
      </c>
      <c r="J26" s="215">
        <f>J24-J25</f>
        <v>0.19999999999999929</v>
      </c>
      <c r="K26" s="216">
        <f t="shared" ref="K26:L26" si="27">K24-K25</f>
        <v>5</v>
      </c>
      <c r="L26" s="21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5" t="s">
        <v>85</v>
      </c>
      <c r="E29" s="758"/>
      <c r="F29" s="756"/>
      <c r="H29" s="755" t="s">
        <v>154</v>
      </c>
      <c r="I29" s="758"/>
      <c r="J29" s="756"/>
      <c r="L29" s="755" t="s">
        <v>155</v>
      </c>
      <c r="M29" s="758"/>
      <c r="N29" s="756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2024-03-27T01:30:06Z</dcterms:modified>
</cp:coreProperties>
</file>