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D55EFC04-E67F-47CA-B74E-BFE91751CDD0}" xr6:coauthVersionLast="47" xr6:coauthVersionMax="47" xr10:uidLastSave="{00000000-0000-0000-0000-000000000000}"/>
  <bookViews>
    <workbookView xWindow="6180" yWindow="630" windowWidth="28755" windowHeight="19605" tabRatio="589" firstSheet="1" activeTab="3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Q1" sheetId="100" r:id="rId17"/>
    <sheet name="Q2" sheetId="117" r:id="rId18"/>
    <sheet name="Q3" sheetId="115" r:id="rId19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CategoryA_Area">tblLocation[Area]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5" i="55" l="1"/>
  <c r="D13" i="55"/>
  <c r="B2" i="23"/>
  <c r="S6" i="54"/>
  <c r="T8" i="54" a="1"/>
  <c r="T7" i="54"/>
  <c r="T6" i="54"/>
  <c r="T8" i="54" l="1"/>
  <c r="F4" i="52"/>
  <c r="E4" i="52"/>
  <c r="O4" i="52"/>
  <c r="E7" i="55" l="1"/>
  <c r="E17" i="55"/>
  <c r="C19" i="55"/>
  <c r="C18" i="55"/>
  <c r="C17" i="55"/>
  <c r="C16" i="55"/>
  <c r="C8" i="55"/>
  <c r="C7" i="55"/>
  <c r="C6" i="55"/>
  <c r="C5" i="55"/>
  <c r="C4" i="55"/>
  <c r="C3" i="55"/>
  <c r="C2" i="55"/>
  <c r="M29" i="175" l="1"/>
  <c r="M28" i="175"/>
  <c r="H9" i="55"/>
  <c r="E13" i="55"/>
  <c r="F21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55" s="1"/>
  <c r="D26" i="23"/>
  <c r="C26" i="23"/>
  <c r="G13" i="55" s="1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S6" authorId="0" shapeId="0" xr:uid="{D2DA5AB2-95DA-4483-B5B5-4E461E1D9B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T6" authorId="0" shapeId="0" xr:uid="{97D2069E-B419-47F3-B2D3-E1E4EF81B4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T7" authorId="0" shapeId="0" xr:uid="{9CBC5E29-5915-4512-A44C-23B641C72D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<sst xmlns="http://schemas.openxmlformats.org/spreadsheetml/2006/main" count="853" uniqueCount="654">
  <si>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</si>
  <si>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</si>
  <si>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</si>
  <si>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</si>
  <si>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</si>
  <si>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</si>
  <si>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</si>
  <si>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</si>
  <si>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</si>
  <si>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</si>
  <si>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</si>
  <si>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</si>
  <si>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</si>
  <si>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</si>
  <si>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</si>
  <si>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</si>
  <si>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</si>
  <si>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</si>
  <si>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</si>
  <si>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</si>
  <si>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</si>
  <si>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</si>
  <si>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</si>
  <si>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</si>
  <si>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</si>
  <si>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</si>
  <si>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</si>
  <si>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</si>
  <si>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</si>
  <si>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</si>
  <si>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</si>
  <si>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</si>
  <si>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</si>
  <si>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</si>
  <si>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</si>
  <si>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</si>
  <si>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</si>
  <si>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</si>
  <si>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</si>
  <si>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</si>
  <si>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</si>
  <si>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</si>
  <si>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</si>
  <si>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</si>
  <si>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</si>
  <si>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</si>
  <si>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</si>
  <si>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</si>
  <si>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</si>
  <si>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</si>
  <si>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</si>
  <si>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</si>
  <si>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</si>
  <si>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</si>
  <si>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</si>
  <si>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</si>
  <si>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</si>
  <si>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</si>
  <si>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</si>
  <si>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</si>
  <si>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</si>
  <si>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</si>
  <si>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</si>
  <si>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</si>
  <si>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</si>
  <si>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</si>
  <si>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</si>
  <si>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</si>
  <si>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</si>
  <si>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</si>
  <si>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</si>
  <si>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</si>
  <si>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</si>
  <si>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</si>
  <si>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</si>
  <si>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</si>
  <si>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</si>
  <si>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</si>
  <si>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</si>
  <si>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</si>
  <si>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</si>
  <si>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</si>
  <si>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</si>
  <si>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</si>
  <si>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</si>
  <si>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</si>
  <si>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</si>
  <si>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</si>
  <si>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</si>
  <si>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</si>
  <si>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</si>
  <si>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</si>
  <si>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</si>
  <si>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</si>
  <si>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</si>
  <si>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</si>
  <si>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</si>
  <si>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</si>
  <si>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</si>
  <si>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</si>
  <si>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</si>
  <si>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</si>
  <si>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</si>
  <si>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</si>
  <si>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</si>
  <si>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</si>
  <si>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</si>
  <si>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</si>
  <si>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</si>
  <si>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</si>
  <si>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</si>
  <si>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</si>
  <si>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</si>
  <si>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</si>
  <si>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</si>
  <si>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</si>
  <si>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</si>
  <si>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</si>
  <si>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</si>
  <si>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</si>
  <si>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</si>
  <si>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</si>
  <si>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</si>
  <si>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</si>
  <si>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</si>
  <si>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</si>
  <si>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</si>
  <si>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</si>
  <si>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</si>
  <si>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</si>
  <si>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</si>
  <si>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</si>
  <si>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</si>
  <si>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</si>
  <si>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</si>
  <si>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</si>
  <si>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</si>
  <si>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</si>
  <si>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</si>
  <si>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</si>
  <si>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</si>
  <si>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</si>
  <si>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</si>
  <si>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</si>
  <si>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</si>
  <si>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</si>
  <si>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</si>
  <si>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</si>
  <si>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</si>
  <si>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</si>
  <si>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</si>
  <si>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</si>
  <si>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</si>
  <si>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</si>
  <si>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</si>
  <si>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</si>
  <si>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</si>
  <si>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</si>
  <si>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</si>
  <si>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</si>
  <si>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</si>
  <si>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</si>
  <si>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</si>
  <si>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</si>
  <si>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</si>
  <si>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</si>
  <si>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</si>
  <si>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</si>
  <si>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</si>
  <si>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</si>
  <si>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</si>
  <si>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</si>
  <si>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</si>
  <si>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</si>
  <si>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</si>
  <si>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</si>
  <si>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</si>
  <si>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</si>
  <si>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</si>
  <si>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</si>
  <si>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</si>
  <si>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</si>
  <si>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</si>
  <si>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</si>
  <si>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</si>
  <si>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</si>
  <si>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</si>
  <si>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</si>
  <si>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</si>
  <si>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</si>
  <si>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</si>
  <si>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</si>
  <si>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</si>
  <si>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</si>
  <si>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</si>
  <si>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</si>
  <si>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</si>
  <si>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</si>
  <si>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</si>
  <si>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</si>
  <si>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</si>
  <si>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</si>
  <si>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</si>
  <si>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</si>
  <si>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</si>
  <si>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</si>
  <si>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</si>
  <si>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</si>
  <si>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</si>
  <si>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</si>
  <si>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</si>
  <si>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</si>
  <si>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</si>
  <si>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</si>
  <si>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</si>
  <si>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</si>
  <si>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</si>
  <si>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</si>
  <si>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</si>
  <si>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</si>
  <si>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</si>
  <si>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</si>
  <si>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</si>
  <si>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</si>
  <si>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</si>
  <si>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</si>
  <si>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</si>
  <si>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</si>
  <si>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</si>
  <si>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</si>
  <si>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</si>
  <si>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</si>
  <si>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</si>
  <si>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</si>
  <si>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</si>
  <si>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</si>
  <si>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</si>
  <si>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</si>
  <si>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</si>
  <si>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</si>
  <si>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</si>
  <si>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</si>
  <si>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</si>
  <si>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</si>
  <si>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</si>
  <si>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</si>
  <si>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</si>
  <si>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</si>
  <si>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</si>
  <si>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</si>
  <si>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</si>
  <si>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</si>
  <si>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</si>
  <si>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</si>
  <si>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</si>
  <si>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</si>
  <si>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</si>
  <si>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</si>
  <si>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</si>
  <si>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</si>
  <si>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</si>
  <si>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</si>
  <si>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</si>
  <si>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</si>
  <si>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</si>
  <si>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</si>
  <si>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</si>
  <si>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</si>
  <si>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</si>
  <si>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</si>
  <si>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</si>
  <si>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</si>
  <si>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</si>
  <si>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</si>
  <si>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</si>
  <si>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</si>
  <si>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</si>
  <si>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</si>
  <si>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</si>
  <si>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</si>
  <si>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</si>
  <si>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</si>
  <si>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</si>
  <si>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</si>
  <si>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</si>
  <si>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</si>
  <si>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</si>
  <si>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</si>
  <si>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</si>
  <si>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</si>
  <si>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</si>
  <si>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</si>
  <si>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</si>
  <si>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</si>
  <si>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</si>
  <si>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</si>
  <si>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</si>
  <si>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</si>
  <si>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</si>
  <si>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</si>
  <si>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</si>
  <si>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</si>
  <si>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</si>
  <si>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</si>
  <si>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</si>
  <si>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</si>
  <si>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</si>
  <si>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</si>
  <si>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</si>
  <si>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</si>
  <si>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</si>
  <si>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</si>
  <si>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</si>
  <si>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</si>
  <si>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</si>
  <si>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</si>
  <si>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</si>
  <si>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</si>
  <si>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</si>
  <si>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</si>
  <si>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</si>
  <si>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</si>
  <si>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</si>
  <si>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</si>
  <si>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</si>
  <si>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</si>
  <si>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</si>
  <si>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</si>
  <si>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</si>
  <si>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</si>
  <si>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</si>
  <si>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</si>
  <si>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</si>
  <si>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</si>
  <si>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</si>
  <si>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</si>
  <si>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</si>
  <si>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</si>
  <si>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</si>
  <si>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</si>
  <si>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</si>
  <si>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</si>
  <si>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</si>
  <si>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</si>
  <si>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</si>
  <si>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</si>
  <si>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</si>
  <si>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</si>
  <si>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</si>
  <si>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</si>
  <si>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</si>
  <si>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</si>
  <si>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</si>
  <si>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</si>
  <si>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</si>
  <si>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</si>
  <si>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</si>
  <si>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</si>
  <si>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</si>
  <si>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</si>
  <si>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</si>
  <si>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</si>
  <si>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</si>
  <si>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</si>
  <si>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</si>
  <si>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</si>
  <si>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</si>
  <si>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</si>
  <si>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</si>
  <si>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</si>
  <si>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</si>
  <si>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</si>
  <si>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28
35
43
51
59</t>
  </si>
  <si>
    <t>12.13
14.53
17.67
20.94
25.92</t>
  </si>
  <si>
    <t>7.81
10.21
13.35
16.62
21.60</t>
  </si>
  <si>
    <t>3.597
3.436
3.257
3.077
2.717</t>
  </si>
  <si>
    <t>0.278
0.291
0.307
0.325
0.368</t>
  </si>
  <si>
    <t>3 Hp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</si>
  <si>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</si>
  <si>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</si>
  <si>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</si>
  <si>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</si>
  <si>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</si>
  <si>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</si>
  <si>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</si>
  <si>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</si>
  <si>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</si>
  <si>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</si>
  <si>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</si>
  <si>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</si>
  <si>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</si>
  <si>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</si>
  <si>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100 ㎥/일</t>
  </si>
  <si>
    <t>매우낮음</t>
    <phoneticPr fontId="7" type="noConversion"/>
  </si>
  <si>
    <t>비교적낮음</t>
    <phoneticPr fontId="7" type="noConversion"/>
  </si>
  <si>
    <t>200 m</t>
  </si>
  <si>
    <t>84.9 m</t>
  </si>
  <si>
    <t>129 m</t>
  </si>
  <si>
    <t>110 m</t>
  </si>
  <si>
    <t>21.5 m</t>
  </si>
  <si>
    <t>78.9 m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</si>
  <si>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</si>
  <si>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</si>
  <si>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</si>
  <si>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</si>
  <si>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</si>
  <si>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</si>
  <si>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</si>
  <si>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</si>
  <si>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</si>
  <si>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</si>
  <si>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금강/금강공주</t>
  </si>
  <si>
    <t>중간정도</t>
    <phoneticPr fontId="7" type="noConversion"/>
  </si>
  <si>
    <t>Clay Loam</t>
  </si>
  <si>
    <t xml:space="preserve">04_충남 부여군 규암면 수목리 603-6 </t>
    <phoneticPr fontId="7" type="noConversion"/>
  </si>
  <si>
    <t>04_충남 부여군 규암면 수목리 603-6</t>
    <phoneticPr fontId="7" type="noConversion"/>
  </si>
  <si>
    <t>2023/09/19일</t>
    <phoneticPr fontId="7" type="noConversion"/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</si>
  <si>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</si>
  <si>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</si>
  <si>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</si>
  <si>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</si>
  <si>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</si>
  <si>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</si>
  <si>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</si>
  <si>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</si>
  <si>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</si>
  <si>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</si>
  <si>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</si>
  <si>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</si>
  <si>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</si>
  <si>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</si>
  <si>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</si>
  <si>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</si>
  <si>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</si>
  <si>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</si>
  <si>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</si>
  <si>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</si>
  <si>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</si>
  <si>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</si>
  <si>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</si>
  <si>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</si>
  <si>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</si>
  <si>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</si>
  <si>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</si>
  <si>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</si>
  <si>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</si>
  <si>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</si>
  <si>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</si>
  <si>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</si>
  <si>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</si>
  <si>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</si>
  <si>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</si>
  <si>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</si>
  <si>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</si>
  <si>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</si>
  <si>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</si>
  <si>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</si>
  <si>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</si>
  <si>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</si>
  <si>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</si>
  <si>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</si>
  <si>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</si>
  <si>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</si>
  <si>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</si>
  <si>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</si>
  <si>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</si>
  <si>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</si>
  <si>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</si>
  <si>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</si>
  <si>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</si>
  <si>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</si>
  <si>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</si>
  <si>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</si>
  <si>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</si>
  <si>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</si>
  <si>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</si>
  <si>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</si>
  <si>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</si>
  <si>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</si>
  <si>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</si>
  <si>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</si>
  <si>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</si>
  <si>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</si>
  <si>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</si>
  <si>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</si>
  <si>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</si>
  <si>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</si>
  <si>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</si>
  <si>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</si>
  <si>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</si>
  <si>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</si>
  <si>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</si>
  <si>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</si>
  <si>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</si>
  <si>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</si>
  <si>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</si>
  <si>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</si>
  <si>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</si>
  <si>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</si>
  <si>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</si>
  <si>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</si>
  <si>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</si>
  <si>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</si>
  <si>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</si>
  <si>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</si>
  <si>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</si>
  <si>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</si>
  <si>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</si>
  <si>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</si>
  <si>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</si>
  <si>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</si>
  <si>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</si>
  <si>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</si>
  <si>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</si>
  <si>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</si>
  <si>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</si>
  <si>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</si>
  <si>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</si>
  <si>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</si>
  <si>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</si>
  <si>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</si>
  <si>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</si>
  <si>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</si>
  <si>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</si>
  <si>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</si>
  <si>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</si>
  <si>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</si>
  <si>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</si>
  <si>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</si>
  <si>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</si>
  <si>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</si>
  <si>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</si>
  <si>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</si>
  <si>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</si>
  <si>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</si>
  <si>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</si>
  <si>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</si>
  <si>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</si>
  <si>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</si>
  <si>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</si>
  <si>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</si>
  <si>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</si>
  <si>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</si>
  <si>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</si>
  <si>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</si>
  <si>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</si>
  <si>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</si>
  <si>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</si>
  <si>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</si>
  <si>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</si>
  <si>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</si>
  <si>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</si>
  <si>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</si>
  <si>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</si>
  <si>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</si>
  <si>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</si>
  <si>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</si>
  <si>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</si>
  <si>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</si>
  <si>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</si>
  <si>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</si>
  <si>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</si>
  <si>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</si>
  <si>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</si>
  <si>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</si>
  <si>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</si>
  <si>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</si>
  <si>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</si>
  <si>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</si>
  <si>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</si>
  <si>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</si>
  <si>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</si>
  <si>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</si>
  <si>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</si>
  <si>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</si>
  <si>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</si>
  <si>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</si>
  <si>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</si>
  <si>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</si>
  <si>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</si>
  <si>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</si>
  <si>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</si>
  <si>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</si>
  <si>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</si>
  <si>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</si>
  <si>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</si>
  <si>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</si>
  <si>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</si>
  <si>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</si>
  <si>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</si>
  <si>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</si>
  <si>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</si>
  <si>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</si>
  <si>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</si>
  <si>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</si>
  <si>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</si>
  <si>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</si>
  <si>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</si>
  <si>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</si>
  <si>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</si>
  <si>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</si>
  <si>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</si>
  <si>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</si>
  <si>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</si>
  <si>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</si>
  <si>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</si>
  <si>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</si>
  <si>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</si>
  <si>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</si>
  <si>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</si>
  <si>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</si>
  <si>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</si>
  <si>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</si>
  <si>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</si>
  <si>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</si>
  <si>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</si>
  <si>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</si>
  <si>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</si>
  <si>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</si>
  <si>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</si>
  <si>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</si>
  <si>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</si>
  <si>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</si>
  <si>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</si>
  <si>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</si>
  <si>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</si>
  <si>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</si>
  <si>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</si>
  <si>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</si>
  <si>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</si>
  <si>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</si>
  <si>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</si>
  <si>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</si>
  <si>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</si>
  <si>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</si>
  <si>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</si>
  <si>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</si>
  <si>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</si>
  <si>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충청도</t>
  </si>
  <si>
    <t>2023년데이타</t>
    <phoneticPr fontId="7" type="noConversion"/>
  </si>
  <si>
    <t>Radius</t>
    <phoneticPr fontId="7" type="noConversion"/>
  </si>
  <si>
    <t>구 분</t>
    <phoneticPr fontId="14" type="noConversion"/>
  </si>
  <si>
    <t>보령</t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</si>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</sst>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7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\ &quot;m&quot;"/>
    <numFmt numFmtId="207" formatCode="0\ &quot;mm&quot;"/>
    <numFmt numFmtId="208" formatCode="0\ &quot;㎥/일&quot;"/>
    <numFmt numFmtId="209" formatCode="0\ &quot;Hp&quot;"/>
  </numFmts>
  <fonts count="6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4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b/>
      <sz val="11"/>
      <color theme="3"/>
      <name val="맑은 고딕"/>
      <family val="3"/>
      <charset val="129"/>
    </font>
    <font>
      <b/>
      <sz val="10"/>
      <color theme="3"/>
      <name val="맑은 고딕"/>
      <family val="3"/>
      <charset val="129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</fills>
  <borders count="1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00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98" fontId="28" fillId="24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0" fontId="28" fillId="17" borderId="9" xfId="0" applyNumberFormat="1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 wrapText="1"/>
    </xf>
    <xf numFmtId="0" fontId="28" fillId="12" borderId="10" xfId="0" applyFont="1" applyFill="1" applyBorder="1" applyAlignment="1">
      <alignment horizontal="center" vertical="center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0" fontId="25" fillId="12" borderId="90" xfId="0" applyFont="1" applyFill="1" applyBorder="1" applyAlignment="1">
      <alignment horizontal="center" vertical="center"/>
    </xf>
    <xf numFmtId="0" fontId="25" fillId="12" borderId="91" xfId="0" applyFont="1" applyFill="1" applyBorder="1" applyAlignment="1">
      <alignment horizontal="center" vertical="center" wrapText="1"/>
    </xf>
    <xf numFmtId="0" fontId="25" fillId="12" borderId="91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25" fillId="12" borderId="92" xfId="0" applyFont="1" applyFill="1" applyBorder="1" applyAlignment="1">
      <alignment horizontal="center" vertical="center"/>
    </xf>
    <xf numFmtId="199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0" fontId="28" fillId="6" borderId="99" xfId="0" applyFont="1" applyFill="1" applyBorder="1" applyAlignment="1">
      <alignment horizontal="center" vertical="center"/>
    </xf>
    <xf numFmtId="0" fontId="28" fillId="6" borderId="100" xfId="0" applyFont="1" applyFill="1" applyBorder="1" applyAlignment="1">
      <alignment horizontal="center" vertical="center"/>
    </xf>
    <xf numFmtId="0" fontId="28" fillId="6" borderId="10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6" fillId="25" borderId="12" xfId="18" applyFont="1" applyFill="1" applyBorder="1" applyAlignment="1">
      <alignment horizontal="center" vertical="center" wrapText="1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8" xfId="23" applyFont="1" applyBorder="1" applyAlignment="1">
      <alignment horizontal="center" vertical="center"/>
    </xf>
    <xf numFmtId="185" fontId="18" fillId="0" borderId="102" xfId="23" applyNumberFormat="1" applyFont="1" applyBorder="1" applyAlignment="1">
      <alignment horizontal="center" vertical="center"/>
    </xf>
    <xf numFmtId="0" fontId="18" fillId="0" borderId="102" xfId="23" applyFont="1" applyBorder="1" applyAlignment="1">
      <alignment horizontal="center" vertical="center"/>
    </xf>
    <xf numFmtId="0" fontId="18" fillId="0" borderId="103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104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188" fontId="15" fillId="0" borderId="112" xfId="0" applyNumberFormat="1" applyFont="1" applyBorder="1" applyAlignment="1">
      <alignment horizontal="center" vertical="center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195" fontId="43" fillId="21" borderId="35" xfId="16" applyNumberFormat="1" applyFont="1" applyFill="1" applyBorder="1">
      <alignment vertical="center"/>
    </xf>
    <xf numFmtId="195" fontId="49" fillId="22" borderId="50" xfId="16" applyNumberFormat="1" applyFont="1" applyFill="1" applyBorder="1" applyAlignment="1">
      <alignment horizontal="center" vertical="center"/>
    </xf>
    <xf numFmtId="0" fontId="57" fillId="0" borderId="0" xfId="0" applyFont="1"/>
    <xf numFmtId="0" fontId="25" fillId="0" borderId="114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8" fillId="17" borderId="38" xfId="0" applyFont="1" applyFill="1" applyBorder="1" applyAlignment="1">
      <alignment horizontal="center" vertical="center"/>
    </xf>
    <xf numFmtId="0" fontId="28" fillId="6" borderId="35" xfId="0" applyFont="1" applyFill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36" fillId="16" borderId="38" xfId="0" applyFont="1" applyFill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206" fontId="15" fillId="0" borderId="31" xfId="18" applyNumberFormat="1" applyFont="1" applyBorder="1" applyAlignment="1">
      <alignment horizontal="center" vertical="center"/>
    </xf>
    <xf numFmtId="207" fontId="15" fillId="4" borderId="31" xfId="18" applyNumberFormat="1" applyFont="1" applyFill="1" applyBorder="1" applyAlignment="1">
      <alignment horizontal="center" vertical="center"/>
    </xf>
    <xf numFmtId="206" fontId="19" fillId="6" borderId="31" xfId="18" applyNumberFormat="1" applyFont="1" applyFill="1" applyBorder="1" applyAlignment="1">
      <alignment horizontal="center" vertical="center"/>
    </xf>
    <xf numFmtId="206" fontId="19" fillId="25" borderId="31" xfId="18" applyNumberFormat="1" applyFont="1" applyFill="1" applyBorder="1" applyAlignment="1">
      <alignment horizontal="center" vertical="center"/>
    </xf>
    <xf numFmtId="206" fontId="15" fillId="10" borderId="31" xfId="18" applyNumberFormat="1" applyFont="1" applyFill="1" applyBorder="1" applyAlignment="1">
      <alignment horizontal="center" vertical="center"/>
    </xf>
    <xf numFmtId="208" fontId="15" fillId="0" borderId="31" xfId="18" applyNumberFormat="1" applyFont="1" applyBorder="1" applyAlignment="1">
      <alignment horizontal="center" vertical="center"/>
    </xf>
    <xf numFmtId="208" fontId="19" fillId="4" borderId="31" xfId="18" applyNumberFormat="1" applyFont="1" applyFill="1" applyBorder="1" applyAlignment="1">
      <alignment horizontal="center" vertical="center"/>
    </xf>
    <xf numFmtId="209" fontId="15" fillId="0" borderId="31" xfId="18" applyNumberFormat="1" applyFont="1" applyBorder="1" applyAlignment="1">
      <alignment horizontal="center" vertical="center"/>
    </xf>
    <xf numFmtId="207" fontId="15" fillId="0" borderId="32" xfId="18" applyNumberFormat="1" applyFont="1" applyBorder="1" applyAlignment="1">
      <alignment horizontal="center" vertical="center"/>
    </xf>
    <xf numFmtId="206" fontId="15" fillId="25" borderId="87" xfId="18" applyNumberFormat="1" applyFont="1" applyFill="1" applyBorder="1" applyAlignment="1">
      <alignment horizontal="center" vertical="center"/>
    </xf>
    <xf numFmtId="206" fontId="15" fillId="25" borderId="32" xfId="18" applyNumberFormat="1" applyFont="1" applyFill="1" applyBorder="1" applyAlignment="1">
      <alignment horizontal="center" vertical="center"/>
    </xf>
    <xf numFmtId="206" fontId="15" fillId="7" borderId="36" xfId="18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 wrapText="1"/>
    </xf>
    <xf numFmtId="0" fontId="29" fillId="6" borderId="109" xfId="0" applyFont="1" applyFill="1" applyBorder="1" applyAlignment="1">
      <alignment horizontal="center" vertical="center" wrapText="1"/>
    </xf>
    <xf numFmtId="41" fontId="29" fillId="6" borderId="106" xfId="20" applyFont="1" applyFill="1" applyBorder="1" applyAlignment="1">
      <alignment horizontal="center" vertical="center" wrapText="1"/>
    </xf>
    <xf numFmtId="41" fontId="29" fillId="6" borderId="109" xfId="20" applyFont="1" applyFill="1" applyBorder="1" applyAlignment="1">
      <alignment horizontal="center" vertical="center" wrapText="1"/>
    </xf>
    <xf numFmtId="0" fontId="44" fillId="6" borderId="106" xfId="21" applyFont="1" applyFill="1" applyBorder="1" applyAlignment="1">
      <alignment horizontal="center" vertical="center" wrapText="1"/>
    </xf>
    <xf numFmtId="0" fontId="44" fillId="6" borderId="109" xfId="21" applyFont="1" applyFill="1" applyBorder="1" applyAlignment="1">
      <alignment horizontal="center" vertical="center" wrapText="1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98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0" fontId="47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58" fillId="0" borderId="8" xfId="0" applyFont="1" applyBorder="1" applyAlignment="1">
      <alignment horizontal="center" vertical="center"/>
    </xf>
    <xf numFmtId="0" fontId="5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18" fillId="0" borderId="41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104" xfId="20" applyNumberFormat="1" applyFont="1" applyFill="1" applyBorder="1" applyAlignment="1">
      <alignment horizontal="center" vertical="center"/>
    </xf>
    <xf numFmtId="10" fontId="36" fillId="28" borderId="9" xfId="16" applyNumberFormat="1" applyFont="1" applyFill="1" applyBorder="1" applyAlignment="1">
      <alignment horizontal="center" vertical="center"/>
    </xf>
    <xf numFmtId="10" fontId="36" fillId="28" borderId="10" xfId="16" applyNumberFormat="1" applyFont="1" applyFill="1" applyBorder="1" applyAlignment="1">
      <alignment horizontal="center" vertical="center"/>
    </xf>
    <xf numFmtId="0" fontId="61" fillId="12" borderId="4" xfId="16" applyFont="1" applyFill="1" applyBorder="1" applyAlignment="1">
      <alignment horizontal="center" vertical="center"/>
    </xf>
    <xf numFmtId="10" fontId="60" fillId="12" borderId="4" xfId="16" applyNumberFormat="1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0" fontId="61" fillId="12" borderId="67" xfId="16" applyFont="1" applyFill="1" applyBorder="1" applyAlignment="1">
      <alignment horizontal="center" vertical="center"/>
    </xf>
    <xf numFmtId="10" fontId="60" fillId="12" borderId="68" xfId="16" applyNumberFormat="1" applyFont="1" applyFill="1" applyBorder="1" applyAlignment="1">
      <alignment horizontal="center" vertical="center"/>
    </xf>
    <xf numFmtId="0" fontId="42" fillId="28" borderId="24" xfId="16" applyFont="1" applyFill="1" applyBorder="1" applyAlignment="1">
      <alignment horizontal="center" vertical="center"/>
    </xf>
    <xf numFmtId="0" fontId="42" fillId="28" borderId="25" xfId="16" applyFont="1" applyFill="1" applyBorder="1" applyAlignment="1">
      <alignment horizontal="center" vertical="center"/>
    </xf>
    <xf numFmtId="10" fontId="36" fillId="28" borderId="25" xfId="16" applyNumberFormat="1" applyFont="1" applyFill="1" applyBorder="1" applyAlignment="1">
      <alignment horizontal="center" vertical="center"/>
    </xf>
    <xf numFmtId="10" fontId="36" fillId="28" borderId="26" xfId="16" applyNumberFormat="1" applyFont="1" applyFill="1" applyBorder="1" applyAlignment="1">
      <alignment horizontal="center" vertical="center"/>
    </xf>
    <xf numFmtId="185" fontId="38" fillId="29" borderId="27" xfId="18" applyNumberFormat="1" applyFont="1" applyFill="1" applyBorder="1" applyAlignment="1">
      <alignment horizontal="center" vertical="center"/>
    </xf>
    <xf numFmtId="185" fontId="38" fillId="30" borderId="27" xfId="18" applyNumberFormat="1" applyFont="1" applyFill="1" applyBorder="1" applyAlignment="1">
      <alignment horizontal="center" vertical="center"/>
    </xf>
    <xf numFmtId="185" fontId="38" fillId="30" borderId="38" xfId="18" applyNumberFormat="1" applyFont="1" applyFill="1" applyBorder="1" applyAlignment="1">
      <alignment horizontal="center" vertical="center"/>
    </xf>
    <xf numFmtId="0" fontId="28" fillId="31" borderId="54" xfId="17" applyNumberFormat="1" applyFont="1" applyFill="1" applyBorder="1" applyAlignment="1">
      <alignment horizontal="center" vertical="center"/>
    </xf>
    <xf numFmtId="0" fontId="28" fillId="31" borderId="55" xfId="17" applyNumberFormat="1" applyFont="1" applyFill="1" applyBorder="1" applyAlignment="1">
      <alignment horizontal="center" vertical="center"/>
    </xf>
    <xf numFmtId="0" fontId="28" fillId="31" borderId="56" xfId="17" applyNumberFormat="1" applyFont="1" applyFill="1" applyBorder="1" applyAlignment="1">
      <alignment horizontal="center" vertical="center"/>
    </xf>
    <xf numFmtId="0" fontId="28" fillId="31" borderId="59" xfId="17" applyNumberFormat="1" applyFont="1" applyFill="1" applyBorder="1" applyAlignment="1">
      <alignment horizontal="center" vertical="center"/>
    </xf>
    <xf numFmtId="0" fontId="29" fillId="31" borderId="105" xfId="0" applyFont="1" applyFill="1" applyBorder="1" applyAlignment="1">
      <alignment horizontal="center" vertical="center"/>
    </xf>
    <xf numFmtId="0" fontId="29" fillId="31" borderId="106" xfId="0" applyFont="1" applyFill="1" applyBorder="1" applyAlignment="1">
      <alignment horizontal="center" vertical="center"/>
    </xf>
    <xf numFmtId="0" fontId="29" fillId="31" borderId="107" xfId="0" applyFont="1" applyFill="1" applyBorder="1" applyAlignment="1">
      <alignment horizontal="center" vertical="center"/>
    </xf>
    <xf numFmtId="0" fontId="29" fillId="31" borderId="116" xfId="0" applyFont="1" applyFill="1" applyBorder="1" applyAlignment="1">
      <alignment horizontal="center" vertical="center"/>
    </xf>
    <xf numFmtId="0" fontId="59" fillId="32" borderId="64" xfId="0" applyFont="1" applyFill="1" applyBorder="1" applyAlignment="1">
      <alignment horizontal="center" vertical="center"/>
    </xf>
    <xf numFmtId="0" fontId="59" fillId="32" borderId="27" xfId="0" applyFont="1" applyFill="1" applyBorder="1" applyAlignment="1">
      <alignment horizontal="center" vertical="center"/>
    </xf>
    <xf numFmtId="0" fontId="36" fillId="0" borderId="115" xfId="0" applyFont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image" Target="../media/image37.emf"/><Relationship Id="rId3" Type="http://schemas.openxmlformats.org/officeDocument/2006/relationships/image" Target="../media/image29.emf"/><Relationship Id="rId7" Type="http://schemas.openxmlformats.org/officeDocument/2006/relationships/image" Target="../media/image26.emf"/><Relationship Id="rId12" Type="http://schemas.openxmlformats.org/officeDocument/2006/relationships/image" Target="../media/image25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32.emf"/><Relationship Id="rId11" Type="http://schemas.openxmlformats.org/officeDocument/2006/relationships/image" Target="../media/image36.emf"/><Relationship Id="rId5" Type="http://schemas.openxmlformats.org/officeDocument/2006/relationships/image" Target="../media/image27.emf"/><Relationship Id="rId10" Type="http://schemas.openxmlformats.org/officeDocument/2006/relationships/image" Target="../media/image35.emf"/><Relationship Id="rId4" Type="http://schemas.openxmlformats.org/officeDocument/2006/relationships/image" Target="../media/image28.emf"/><Relationship Id="rId9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5" Type="http://schemas.openxmlformats.org/officeDocument/2006/relationships/image" Target="../media/image52.emf"/><Relationship Id="rId4" Type="http://schemas.openxmlformats.org/officeDocument/2006/relationships/image" Target="../media/image51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Relationship Id="rId4" Type="http://schemas.openxmlformats.org/officeDocument/2006/relationships/image" Target="../media/image5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4" Type="http://schemas.openxmlformats.org/officeDocument/2006/relationships/image" Target="../media/image6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390525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0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0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2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0" totalsRowShown="0" headerRowDxfId="13" dataDxfId="12" headerRowCellStyle="표준 2" dataCellStyle="표준 2">
  <autoFilter ref="G19:G30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4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O35" sqref="O35"/>
    </sheetView>
  </sheetViews>
  <sheetFormatPr defaultRowHeight="16.5"/>
  <cols>
    <col min="1" max="1" width="11.5546875" style="458" customWidth="1"/>
    <col min="2" max="2" width="16.5546875" style="458" customWidth="1"/>
    <col min="3" max="3" width="7.5546875" style="458" customWidth="1"/>
    <col min="4" max="4" width="7.33203125" style="458" bestFit="1" customWidth="1"/>
    <col min="5" max="5" width="3.21875" style="458" customWidth="1"/>
    <col min="6" max="6" width="8.88671875" style="458"/>
    <col min="7" max="7" width="15.77734375" style="458" customWidth="1"/>
    <col min="8" max="9" width="6.77734375" style="458" customWidth="1"/>
    <col min="10" max="10" width="3.44140625" style="458" customWidth="1"/>
    <col min="11" max="11" width="8.88671875" style="458"/>
    <col min="12" max="12" width="18.77734375" style="458" customWidth="1"/>
    <col min="13" max="14" width="6" style="458" customWidth="1"/>
    <col min="15" max="15" width="3.21875" style="458" customWidth="1"/>
    <col min="16" max="16" width="10.5546875" style="458" customWidth="1"/>
    <col min="17" max="17" width="10.44140625" style="458" customWidth="1"/>
    <col min="18" max="18" width="6.88671875" style="458" customWidth="1"/>
    <col min="19" max="19" width="3.6640625" style="458" customWidth="1"/>
    <col min="20" max="21" width="8.88671875" style="458"/>
    <col min="22" max="22" width="6.44140625" style="458" customWidth="1"/>
    <col min="23" max="23" width="6.5546875" style="458" customWidth="1"/>
    <col min="24" max="24" width="4.21875" style="458" customWidth="1"/>
    <col min="25" max="26" width="8.88671875" style="458"/>
    <col min="27" max="27" width="6.33203125" style="458" customWidth="1"/>
    <col min="28" max="28" width="6.21875" style="458" customWidth="1"/>
    <col min="29" max="29" width="4.77734375" style="458" customWidth="1"/>
    <col min="30" max="30" width="8.88671875" style="458"/>
    <col min="31" max="31" width="7.109375" style="458" customWidth="1"/>
    <col min="32" max="16384" width="8.88671875" style="458"/>
  </cols>
  <sheetData>
    <row r="1" spans="1:17">
      <c r="A1" s="458" t="s">
        <v>408</v>
      </c>
      <c r="B1" s="458" t="s">
        <v>198</v>
      </c>
      <c r="C1" s="458" t="s">
        <v>547</v>
      </c>
      <c r="D1" s="458" t="s">
        <v>546</v>
      </c>
      <c r="F1" s="458" t="s">
        <v>408</v>
      </c>
      <c r="G1" s="458" t="s">
        <v>198</v>
      </c>
      <c r="H1" s="458" t="s">
        <v>547</v>
      </c>
      <c r="I1" s="458" t="s">
        <v>546</v>
      </c>
      <c r="K1" s="458" t="s">
        <v>408</v>
      </c>
      <c r="L1" s="458" t="s">
        <v>198</v>
      </c>
      <c r="M1" s="458" t="s">
        <v>547</v>
      </c>
      <c r="N1" s="458" t="s">
        <v>546</v>
      </c>
      <c r="P1" s="458" t="s">
        <v>408</v>
      </c>
      <c r="Q1" s="458" t="s">
        <v>547</v>
      </c>
    </row>
    <row r="2" spans="1:17">
      <c r="A2" s="458" t="s">
        <v>635</v>
      </c>
      <c r="B2" s="458" t="s">
        <v>634</v>
      </c>
      <c r="C2" s="458">
        <v>116</v>
      </c>
      <c r="D2" s="458">
        <v>14</v>
      </c>
      <c r="F2" s="458" t="s">
        <v>633</v>
      </c>
      <c r="G2" s="458" t="s">
        <v>632</v>
      </c>
      <c r="H2" s="458">
        <v>105</v>
      </c>
      <c r="I2" s="458">
        <v>38</v>
      </c>
      <c r="K2" s="458" t="s">
        <v>631</v>
      </c>
      <c r="L2" s="458" t="s">
        <v>630</v>
      </c>
      <c r="M2" s="458">
        <v>226</v>
      </c>
      <c r="N2" s="458">
        <v>54</v>
      </c>
      <c r="P2" s="458" t="s">
        <v>629</v>
      </c>
      <c r="Q2" s="458" t="s">
        <v>628</v>
      </c>
    </row>
    <row r="3" spans="1:17">
      <c r="A3" s="458" t="s">
        <v>627</v>
      </c>
      <c r="B3" s="458" t="s">
        <v>626</v>
      </c>
      <c r="C3" s="458">
        <v>108</v>
      </c>
      <c r="D3" s="458">
        <v>14</v>
      </c>
      <c r="F3" s="458" t="s">
        <v>625</v>
      </c>
      <c r="G3" s="458" t="s">
        <v>624</v>
      </c>
      <c r="H3" s="458">
        <v>100</v>
      </c>
      <c r="I3" s="458">
        <v>38</v>
      </c>
      <c r="K3" s="458" t="s">
        <v>623</v>
      </c>
      <c r="L3" s="458" t="s">
        <v>622</v>
      </c>
      <c r="M3" s="458">
        <v>221</v>
      </c>
      <c r="N3" s="458">
        <v>54</v>
      </c>
      <c r="P3" s="458" t="s">
        <v>621</v>
      </c>
      <c r="Q3" s="458" t="s">
        <v>620</v>
      </c>
    </row>
    <row r="4" spans="1:17">
      <c r="A4" s="458" t="s">
        <v>619</v>
      </c>
      <c r="B4" s="458" t="s">
        <v>618</v>
      </c>
      <c r="C4" s="458">
        <v>201</v>
      </c>
      <c r="D4" s="458">
        <v>22</v>
      </c>
      <c r="F4" s="458" t="s">
        <v>617</v>
      </c>
      <c r="G4" s="458" t="s">
        <v>616</v>
      </c>
      <c r="H4" s="458">
        <v>106</v>
      </c>
      <c r="I4" s="458">
        <v>38</v>
      </c>
      <c r="K4" s="458" t="s">
        <v>615</v>
      </c>
      <c r="L4" s="458" t="s">
        <v>614</v>
      </c>
      <c r="M4" s="458">
        <v>131</v>
      </c>
      <c r="N4" s="458">
        <v>54</v>
      </c>
      <c r="P4" s="458" t="s">
        <v>613</v>
      </c>
      <c r="Q4" s="458" t="s">
        <v>612</v>
      </c>
    </row>
    <row r="5" spans="1:17">
      <c r="A5" s="458" t="s">
        <v>611</v>
      </c>
      <c r="B5" s="458" t="s">
        <v>610</v>
      </c>
      <c r="C5" s="458">
        <v>102</v>
      </c>
      <c r="D5" s="458">
        <v>22</v>
      </c>
      <c r="F5" s="458" t="s">
        <v>609</v>
      </c>
      <c r="G5" s="458" t="s">
        <v>608</v>
      </c>
      <c r="H5" s="458">
        <v>104</v>
      </c>
      <c r="I5" s="458">
        <v>38</v>
      </c>
      <c r="K5" s="458" t="s">
        <v>607</v>
      </c>
      <c r="L5" s="458" t="s">
        <v>606</v>
      </c>
      <c r="M5" s="458">
        <v>135</v>
      </c>
      <c r="N5" s="458">
        <v>54</v>
      </c>
      <c r="P5" s="458" t="s">
        <v>605</v>
      </c>
      <c r="Q5" s="458" t="s">
        <v>604</v>
      </c>
    </row>
    <row r="6" spans="1:17">
      <c r="A6" s="458" t="s">
        <v>603</v>
      </c>
      <c r="B6" s="458" t="s">
        <v>602</v>
      </c>
      <c r="C6" s="458">
        <v>112</v>
      </c>
      <c r="D6" s="458">
        <v>22</v>
      </c>
      <c r="F6" s="458" t="s">
        <v>601</v>
      </c>
      <c r="G6" s="458" t="s">
        <v>600</v>
      </c>
      <c r="H6" s="458">
        <v>93</v>
      </c>
      <c r="I6" s="458">
        <v>38</v>
      </c>
      <c r="K6" s="458" t="s">
        <v>599</v>
      </c>
      <c r="L6" s="458" t="s">
        <v>598</v>
      </c>
      <c r="M6" s="458">
        <v>127</v>
      </c>
      <c r="N6" s="458">
        <v>54</v>
      </c>
      <c r="P6" s="458" t="s">
        <v>597</v>
      </c>
      <c r="Q6" s="458" t="s">
        <v>596</v>
      </c>
    </row>
    <row r="7" spans="1:17">
      <c r="A7" s="458" t="s">
        <v>595</v>
      </c>
      <c r="B7" s="458" t="s">
        <v>594</v>
      </c>
      <c r="C7" s="458">
        <v>98</v>
      </c>
      <c r="D7" s="458">
        <v>32</v>
      </c>
      <c r="F7" s="458" t="s">
        <v>593</v>
      </c>
      <c r="G7" s="458" t="s">
        <v>592</v>
      </c>
      <c r="H7" s="458">
        <v>214</v>
      </c>
      <c r="I7" s="458">
        <v>38</v>
      </c>
      <c r="K7" s="458" t="s">
        <v>591</v>
      </c>
      <c r="L7" s="458" t="s">
        <v>590</v>
      </c>
      <c r="M7" s="458">
        <v>133</v>
      </c>
      <c r="N7" s="458">
        <v>28</v>
      </c>
      <c r="P7" s="458" t="s">
        <v>589</v>
      </c>
      <c r="Q7" s="458" t="s">
        <v>588</v>
      </c>
    </row>
    <row r="8" spans="1:17">
      <c r="A8" s="458" t="s">
        <v>587</v>
      </c>
      <c r="B8" s="458" t="s">
        <v>586</v>
      </c>
      <c r="C8" s="458">
        <v>119</v>
      </c>
      <c r="D8" s="458">
        <v>32</v>
      </c>
      <c r="F8" s="458" t="s">
        <v>585</v>
      </c>
      <c r="G8" s="458" t="s">
        <v>584</v>
      </c>
      <c r="H8" s="458">
        <v>90</v>
      </c>
      <c r="I8" s="458">
        <v>38</v>
      </c>
      <c r="K8" s="458" t="s">
        <v>583</v>
      </c>
      <c r="L8" s="458" t="s">
        <v>582</v>
      </c>
      <c r="M8" s="458">
        <v>239</v>
      </c>
      <c r="N8" s="458">
        <v>132</v>
      </c>
    </row>
    <row r="9" spans="1:17">
      <c r="A9" s="458" t="s">
        <v>581</v>
      </c>
      <c r="B9" s="458" t="s">
        <v>580</v>
      </c>
      <c r="C9" s="458">
        <v>202</v>
      </c>
      <c r="D9" s="458">
        <v>32</v>
      </c>
      <c r="F9" s="458" t="s">
        <v>579</v>
      </c>
      <c r="G9" s="458" t="s">
        <v>578</v>
      </c>
      <c r="H9" s="458">
        <v>121</v>
      </c>
      <c r="I9" s="458">
        <v>38</v>
      </c>
      <c r="K9" s="458" t="s">
        <v>577</v>
      </c>
      <c r="L9" s="458" t="s">
        <v>576</v>
      </c>
      <c r="M9" s="458">
        <v>238</v>
      </c>
      <c r="N9" s="458">
        <v>60</v>
      </c>
    </row>
    <row r="10" spans="1:17">
      <c r="A10" s="458" t="s">
        <v>575</v>
      </c>
      <c r="B10" s="458" t="s">
        <v>574</v>
      </c>
      <c r="C10" s="458">
        <v>203</v>
      </c>
      <c r="D10" s="458">
        <v>32</v>
      </c>
      <c r="F10" s="458" t="s">
        <v>573</v>
      </c>
      <c r="G10" s="458" t="s">
        <v>572</v>
      </c>
      <c r="H10" s="458">
        <v>114</v>
      </c>
      <c r="I10" s="458">
        <v>38</v>
      </c>
      <c r="K10" s="458" t="s">
        <v>571</v>
      </c>
      <c r="L10" s="458" t="s">
        <v>570</v>
      </c>
      <c r="M10" s="458">
        <v>235</v>
      </c>
      <c r="N10" s="458">
        <v>60</v>
      </c>
    </row>
    <row r="11" spans="1:17">
      <c r="A11" s="458" t="s">
        <v>569</v>
      </c>
      <c r="B11" s="458" t="s">
        <v>568</v>
      </c>
      <c r="C11" s="458">
        <v>99</v>
      </c>
      <c r="D11" s="458">
        <v>32</v>
      </c>
      <c r="F11" s="458" t="s">
        <v>567</v>
      </c>
      <c r="G11" s="458" t="s">
        <v>566</v>
      </c>
      <c r="H11" s="458">
        <v>211</v>
      </c>
      <c r="I11" s="458">
        <v>38</v>
      </c>
      <c r="K11" s="458" t="s">
        <v>565</v>
      </c>
      <c r="L11" s="458" t="s">
        <v>564</v>
      </c>
      <c r="M11" s="458">
        <v>236</v>
      </c>
      <c r="N11" s="458">
        <v>60</v>
      </c>
    </row>
    <row r="12" spans="1:17">
      <c r="F12" s="458" t="s">
        <v>563</v>
      </c>
      <c r="G12" s="458" t="s">
        <v>562</v>
      </c>
      <c r="H12" s="458">
        <v>217</v>
      </c>
      <c r="I12" s="458">
        <v>38</v>
      </c>
      <c r="K12" s="458" t="s">
        <v>561</v>
      </c>
      <c r="L12" s="458" t="s">
        <v>560</v>
      </c>
      <c r="M12" s="458">
        <v>129</v>
      </c>
      <c r="N12" s="458">
        <v>60</v>
      </c>
    </row>
    <row r="13" spans="1:17">
      <c r="F13" s="458" t="s">
        <v>559</v>
      </c>
      <c r="G13" s="458" t="s">
        <v>558</v>
      </c>
      <c r="H13" s="458">
        <v>95</v>
      </c>
      <c r="I13" s="458">
        <v>38</v>
      </c>
      <c r="K13" s="458" t="s">
        <v>557</v>
      </c>
      <c r="L13" s="458" t="s">
        <v>556</v>
      </c>
      <c r="M13" s="458">
        <v>232</v>
      </c>
      <c r="N13" s="458">
        <v>60</v>
      </c>
    </row>
    <row r="14" spans="1:17">
      <c r="F14" s="458" t="s">
        <v>555</v>
      </c>
      <c r="G14" s="458" t="s">
        <v>554</v>
      </c>
      <c r="H14" s="458">
        <v>101</v>
      </c>
      <c r="I14" s="458">
        <v>38</v>
      </c>
      <c r="K14" s="458" t="s">
        <v>553</v>
      </c>
      <c r="L14" s="458" t="s">
        <v>552</v>
      </c>
      <c r="M14" s="458">
        <v>177</v>
      </c>
      <c r="N14" s="458">
        <v>60</v>
      </c>
    </row>
    <row r="15" spans="1:17">
      <c r="F15" s="458" t="s">
        <v>551</v>
      </c>
      <c r="G15" s="458" t="s">
        <v>550</v>
      </c>
      <c r="H15" s="458">
        <v>216</v>
      </c>
      <c r="I15" s="458">
        <v>38</v>
      </c>
    </row>
    <row r="16" spans="1:17">
      <c r="F16" s="458" t="s">
        <v>549</v>
      </c>
      <c r="G16" s="458" t="s">
        <v>548</v>
      </c>
      <c r="H16" s="458">
        <v>212</v>
      </c>
      <c r="I16" s="458">
        <v>38</v>
      </c>
    </row>
    <row r="22" spans="1:14">
      <c r="A22" s="458" t="s">
        <v>408</v>
      </c>
      <c r="B22" s="458" t="s">
        <v>198</v>
      </c>
      <c r="C22" s="458" t="s">
        <v>547</v>
      </c>
      <c r="D22" s="458" t="s">
        <v>546</v>
      </c>
      <c r="F22" s="458" t="s">
        <v>408</v>
      </c>
      <c r="G22" s="458" t="s">
        <v>198</v>
      </c>
      <c r="H22" s="458" t="s">
        <v>547</v>
      </c>
      <c r="I22" s="458" t="s">
        <v>546</v>
      </c>
      <c r="K22" s="458" t="s">
        <v>408</v>
      </c>
      <c r="L22" s="458" t="s">
        <v>198</v>
      </c>
      <c r="M22" s="458" t="s">
        <v>547</v>
      </c>
      <c r="N22" s="458" t="s">
        <v>546</v>
      </c>
    </row>
    <row r="23" spans="1:14">
      <c r="A23" s="458" t="s">
        <v>545</v>
      </c>
      <c r="B23" s="458" t="s">
        <v>544</v>
      </c>
      <c r="C23" s="458">
        <v>156</v>
      </c>
      <c r="D23" s="458">
        <v>26</v>
      </c>
      <c r="F23" s="458" t="s">
        <v>543</v>
      </c>
      <c r="G23" s="458" t="s">
        <v>542</v>
      </c>
      <c r="H23" s="458">
        <v>143</v>
      </c>
      <c r="I23" s="458">
        <v>19</v>
      </c>
      <c r="K23" s="458" t="s">
        <v>541</v>
      </c>
      <c r="L23" s="458" t="s">
        <v>540</v>
      </c>
      <c r="M23" s="458">
        <v>185</v>
      </c>
      <c r="N23" s="458">
        <v>125</v>
      </c>
    </row>
    <row r="24" spans="1:14">
      <c r="A24" s="458" t="s">
        <v>539</v>
      </c>
      <c r="B24" s="458" t="s">
        <v>538</v>
      </c>
      <c r="C24" s="458">
        <v>172</v>
      </c>
      <c r="D24" s="458">
        <v>67</v>
      </c>
      <c r="F24" s="458" t="s">
        <v>537</v>
      </c>
      <c r="G24" s="458" t="s">
        <v>536</v>
      </c>
      <c r="H24" s="458">
        <v>176</v>
      </c>
      <c r="I24" s="458">
        <v>19</v>
      </c>
      <c r="K24" s="458" t="s">
        <v>535</v>
      </c>
      <c r="L24" s="458" t="s">
        <v>534</v>
      </c>
      <c r="M24" s="458">
        <v>189</v>
      </c>
      <c r="N24" s="458">
        <v>125</v>
      </c>
    </row>
    <row r="25" spans="1:14">
      <c r="A25" s="458" t="s">
        <v>533</v>
      </c>
      <c r="B25" s="458" t="s">
        <v>532</v>
      </c>
      <c r="C25" s="458">
        <v>251</v>
      </c>
      <c r="D25" s="458">
        <v>67</v>
      </c>
      <c r="F25" s="458" t="s">
        <v>531</v>
      </c>
      <c r="G25" s="458" t="s">
        <v>530</v>
      </c>
      <c r="H25" s="458">
        <v>152</v>
      </c>
      <c r="I25" s="458">
        <v>30</v>
      </c>
      <c r="K25" s="458" t="s">
        <v>524</v>
      </c>
      <c r="L25" s="458" t="s">
        <v>529</v>
      </c>
      <c r="M25" s="458">
        <v>188</v>
      </c>
      <c r="N25" s="458">
        <v>125</v>
      </c>
    </row>
    <row r="26" spans="1:14">
      <c r="A26" s="458" t="s">
        <v>528</v>
      </c>
      <c r="B26" s="458" t="s">
        <v>527</v>
      </c>
      <c r="C26" s="458">
        <v>140</v>
      </c>
      <c r="D26" s="458">
        <v>67</v>
      </c>
      <c r="F26" s="458" t="s">
        <v>526</v>
      </c>
      <c r="G26" s="458" t="s">
        <v>525</v>
      </c>
      <c r="H26" s="458">
        <v>159</v>
      </c>
      <c r="I26" s="458">
        <v>17</v>
      </c>
      <c r="K26" s="458" t="s">
        <v>524</v>
      </c>
      <c r="L26" s="458" t="s">
        <v>523</v>
      </c>
      <c r="M26" s="458">
        <v>187</v>
      </c>
      <c r="N26" s="458">
        <v>125</v>
      </c>
    </row>
    <row r="27" spans="1:14">
      <c r="A27" s="458" t="s">
        <v>522</v>
      </c>
      <c r="B27" s="458" t="s">
        <v>521</v>
      </c>
      <c r="C27" s="458">
        <v>247</v>
      </c>
      <c r="D27" s="458">
        <v>67</v>
      </c>
      <c r="F27" s="458" t="s">
        <v>520</v>
      </c>
      <c r="G27" s="458" t="s">
        <v>519</v>
      </c>
      <c r="H27" s="458">
        <v>283</v>
      </c>
      <c r="I27" s="458">
        <v>95</v>
      </c>
      <c r="K27" s="458" t="s">
        <v>518</v>
      </c>
      <c r="L27" s="458" t="s">
        <v>517</v>
      </c>
      <c r="M27" s="458">
        <v>265</v>
      </c>
      <c r="N27" s="458">
        <v>125</v>
      </c>
    </row>
    <row r="28" spans="1:14">
      <c r="A28" s="458" t="s">
        <v>516</v>
      </c>
      <c r="B28" s="458" t="s">
        <v>515</v>
      </c>
      <c r="C28" s="458">
        <v>243</v>
      </c>
      <c r="D28" s="458">
        <v>67</v>
      </c>
      <c r="F28" s="458" t="s">
        <v>514</v>
      </c>
      <c r="G28" s="458" t="s">
        <v>513</v>
      </c>
      <c r="H28" s="458">
        <v>279</v>
      </c>
      <c r="I28" s="458">
        <v>95</v>
      </c>
      <c r="K28" s="458" t="s">
        <v>512</v>
      </c>
      <c r="L28" s="458" t="s">
        <v>511</v>
      </c>
      <c r="M28" s="458">
        <v>184</v>
      </c>
      <c r="N28" s="458">
        <v>125</v>
      </c>
    </row>
    <row r="29" spans="1:14">
      <c r="A29" s="458" t="s">
        <v>510</v>
      </c>
      <c r="B29" s="458" t="s">
        <v>509</v>
      </c>
      <c r="C29" s="458">
        <v>254</v>
      </c>
      <c r="D29" s="458">
        <v>67</v>
      </c>
      <c r="F29" s="458" t="s">
        <v>508</v>
      </c>
      <c r="G29" s="458" t="s">
        <v>507</v>
      </c>
      <c r="H29" s="458">
        <v>273</v>
      </c>
      <c r="I29" s="458">
        <v>95</v>
      </c>
    </row>
    <row r="30" spans="1:14">
      <c r="A30" s="458" t="s">
        <v>506</v>
      </c>
      <c r="B30" s="458" t="s">
        <v>505</v>
      </c>
      <c r="C30" s="458">
        <v>244</v>
      </c>
      <c r="D30" s="458">
        <v>67</v>
      </c>
      <c r="F30" s="458" t="s">
        <v>504</v>
      </c>
      <c r="G30" s="458" t="s">
        <v>503</v>
      </c>
      <c r="H30" s="458">
        <v>271</v>
      </c>
      <c r="I30" s="458">
        <v>95</v>
      </c>
    </row>
    <row r="31" spans="1:14">
      <c r="A31" s="458" t="s">
        <v>502</v>
      </c>
      <c r="B31" s="458" t="s">
        <v>501</v>
      </c>
      <c r="C31" s="458">
        <v>248</v>
      </c>
      <c r="D31" s="458">
        <v>67</v>
      </c>
      <c r="F31" s="458" t="s">
        <v>500</v>
      </c>
      <c r="G31" s="458" t="s">
        <v>499</v>
      </c>
      <c r="H31" s="458">
        <v>137</v>
      </c>
      <c r="I31" s="458">
        <v>95</v>
      </c>
    </row>
    <row r="32" spans="1:14">
      <c r="A32" s="458" t="s">
        <v>498</v>
      </c>
      <c r="B32" s="458" t="s">
        <v>497</v>
      </c>
      <c r="C32" s="458">
        <v>146</v>
      </c>
      <c r="D32" s="458">
        <v>67</v>
      </c>
      <c r="F32" s="458" t="s">
        <v>496</v>
      </c>
      <c r="G32" s="458" t="s">
        <v>495</v>
      </c>
      <c r="H32" s="458">
        <v>136</v>
      </c>
      <c r="I32" s="458">
        <v>95</v>
      </c>
    </row>
    <row r="33" spans="1:9">
      <c r="A33" s="458" t="s">
        <v>494</v>
      </c>
      <c r="B33" s="458" t="s">
        <v>493</v>
      </c>
      <c r="C33" s="458">
        <v>245</v>
      </c>
      <c r="D33" s="458">
        <v>67</v>
      </c>
      <c r="F33" s="458" t="s">
        <v>492</v>
      </c>
      <c r="G33" s="458" t="s">
        <v>491</v>
      </c>
      <c r="H33" s="458">
        <v>277</v>
      </c>
      <c r="I33" s="458">
        <v>95</v>
      </c>
    </row>
    <row r="34" spans="1:9">
      <c r="A34" s="458" t="s">
        <v>490</v>
      </c>
      <c r="B34" s="458" t="s">
        <v>489</v>
      </c>
      <c r="C34" s="458">
        <v>259</v>
      </c>
      <c r="D34" s="458">
        <v>78</v>
      </c>
      <c r="F34" s="458" t="s">
        <v>488</v>
      </c>
      <c r="G34" s="458" t="s">
        <v>487</v>
      </c>
      <c r="H34" s="458">
        <v>272</v>
      </c>
      <c r="I34" s="458">
        <v>95</v>
      </c>
    </row>
    <row r="35" spans="1:9">
      <c r="A35" s="458" t="s">
        <v>486</v>
      </c>
      <c r="B35" s="458" t="s">
        <v>485</v>
      </c>
      <c r="C35" s="458">
        <v>262</v>
      </c>
      <c r="D35" s="458">
        <v>78</v>
      </c>
      <c r="F35" s="458" t="s">
        <v>484</v>
      </c>
      <c r="G35" s="458" t="s">
        <v>483</v>
      </c>
      <c r="H35" s="458">
        <v>281</v>
      </c>
      <c r="I35" s="458">
        <v>95</v>
      </c>
    </row>
    <row r="36" spans="1:9">
      <c r="A36" s="458" t="s">
        <v>482</v>
      </c>
      <c r="B36" s="458" t="s">
        <v>481</v>
      </c>
      <c r="C36" s="458">
        <v>266</v>
      </c>
      <c r="D36" s="458">
        <v>78</v>
      </c>
      <c r="F36" s="458" t="s">
        <v>480</v>
      </c>
      <c r="G36" s="458" t="s">
        <v>479</v>
      </c>
      <c r="H36" s="458">
        <v>115</v>
      </c>
      <c r="I36" s="458">
        <v>95</v>
      </c>
    </row>
    <row r="37" spans="1:9">
      <c r="A37" s="458" t="s">
        <v>478</v>
      </c>
      <c r="B37" s="458" t="s">
        <v>477</v>
      </c>
      <c r="C37" s="458">
        <v>165</v>
      </c>
      <c r="D37" s="458">
        <v>78</v>
      </c>
      <c r="F37" s="458" t="s">
        <v>476</v>
      </c>
      <c r="G37" s="458" t="s">
        <v>475</v>
      </c>
      <c r="H37" s="458">
        <v>130</v>
      </c>
      <c r="I37" s="458">
        <v>95</v>
      </c>
    </row>
    <row r="38" spans="1:9">
      <c r="A38" s="458" t="s">
        <v>474</v>
      </c>
      <c r="B38" s="458" t="s">
        <v>473</v>
      </c>
      <c r="C38" s="458">
        <v>164</v>
      </c>
      <c r="D38" s="458">
        <v>78</v>
      </c>
      <c r="F38" s="458" t="s">
        <v>472</v>
      </c>
      <c r="G38" s="458" t="s">
        <v>471</v>
      </c>
      <c r="H38" s="458">
        <v>278</v>
      </c>
      <c r="I38" s="458">
        <v>95</v>
      </c>
    </row>
    <row r="39" spans="1:9">
      <c r="A39" s="458" t="s">
        <v>470</v>
      </c>
      <c r="B39" s="458" t="s">
        <v>469</v>
      </c>
      <c r="C39" s="458">
        <v>258</v>
      </c>
      <c r="D39" s="458">
        <v>78</v>
      </c>
      <c r="F39" s="458" t="s">
        <v>468</v>
      </c>
      <c r="G39" s="458" t="s">
        <v>467</v>
      </c>
      <c r="H39" s="458">
        <v>276</v>
      </c>
      <c r="I39" s="458">
        <v>95</v>
      </c>
    </row>
    <row r="40" spans="1:9">
      <c r="A40" s="458" t="s">
        <v>466</v>
      </c>
      <c r="B40" s="458" t="s">
        <v>465</v>
      </c>
      <c r="C40" s="458">
        <v>174</v>
      </c>
      <c r="D40" s="458">
        <v>78</v>
      </c>
      <c r="F40" s="458" t="s">
        <v>464</v>
      </c>
      <c r="G40" s="458" t="s">
        <v>463</v>
      </c>
      <c r="H40" s="458">
        <v>138</v>
      </c>
      <c r="I40" s="458">
        <v>95</v>
      </c>
    </row>
    <row r="41" spans="1:9">
      <c r="A41" s="458" t="s">
        <v>462</v>
      </c>
      <c r="B41" s="458" t="s">
        <v>461</v>
      </c>
      <c r="C41" s="458">
        <v>168</v>
      </c>
      <c r="D41" s="458">
        <v>78</v>
      </c>
      <c r="F41" s="458" t="s">
        <v>460</v>
      </c>
      <c r="G41" s="458" t="s">
        <v>459</v>
      </c>
      <c r="H41" s="458">
        <v>294</v>
      </c>
      <c r="I41" s="458">
        <v>110</v>
      </c>
    </row>
    <row r="42" spans="1:9">
      <c r="A42" s="458" t="s">
        <v>458</v>
      </c>
      <c r="B42" s="458" t="s">
        <v>457</v>
      </c>
      <c r="C42" s="458">
        <v>252</v>
      </c>
      <c r="D42" s="458">
        <v>78</v>
      </c>
      <c r="F42" s="458" t="s">
        <v>456</v>
      </c>
      <c r="G42" s="458" t="s">
        <v>455</v>
      </c>
      <c r="H42" s="458">
        <v>284</v>
      </c>
      <c r="I42" s="458">
        <v>110</v>
      </c>
    </row>
    <row r="43" spans="1:9">
      <c r="A43" s="458" t="s">
        <v>454</v>
      </c>
      <c r="B43" s="458" t="s">
        <v>453</v>
      </c>
      <c r="C43" s="458">
        <v>170</v>
      </c>
      <c r="D43" s="458">
        <v>78</v>
      </c>
      <c r="F43" s="458" t="s">
        <v>452</v>
      </c>
      <c r="G43" s="458" t="s">
        <v>451</v>
      </c>
      <c r="H43" s="458">
        <v>253</v>
      </c>
      <c r="I43" s="458">
        <v>110</v>
      </c>
    </row>
    <row r="44" spans="1:9">
      <c r="A44" s="458" t="s">
        <v>450</v>
      </c>
      <c r="B44" s="458" t="s">
        <v>449</v>
      </c>
      <c r="C44" s="458">
        <v>260</v>
      </c>
      <c r="D44" s="458">
        <v>78</v>
      </c>
      <c r="F44" s="458" t="s">
        <v>448</v>
      </c>
      <c r="G44" s="458" t="s">
        <v>447</v>
      </c>
      <c r="H44" s="458">
        <v>295</v>
      </c>
      <c r="I44" s="458">
        <v>110</v>
      </c>
    </row>
    <row r="45" spans="1:9">
      <c r="A45" s="458" t="s">
        <v>446</v>
      </c>
      <c r="B45" s="458" t="s">
        <v>445</v>
      </c>
      <c r="C45" s="458">
        <v>256</v>
      </c>
      <c r="D45" s="458">
        <v>78</v>
      </c>
      <c r="F45" s="458" t="s">
        <v>444</v>
      </c>
      <c r="G45" s="458" t="s">
        <v>443</v>
      </c>
      <c r="H45" s="458">
        <v>288</v>
      </c>
      <c r="I45" s="458">
        <v>110</v>
      </c>
    </row>
    <row r="46" spans="1:9">
      <c r="A46" s="458" t="s">
        <v>442</v>
      </c>
      <c r="B46" s="458" t="s">
        <v>441</v>
      </c>
      <c r="C46" s="458">
        <v>175</v>
      </c>
      <c r="D46" s="458">
        <v>78</v>
      </c>
      <c r="F46" s="458" t="s">
        <v>440</v>
      </c>
      <c r="G46" s="458" t="s">
        <v>439</v>
      </c>
      <c r="H46" s="458">
        <v>255</v>
      </c>
      <c r="I46" s="458">
        <v>110</v>
      </c>
    </row>
    <row r="47" spans="1:9">
      <c r="A47" s="458" t="s">
        <v>438</v>
      </c>
      <c r="B47" s="458" t="s">
        <v>437</v>
      </c>
      <c r="C47" s="458">
        <v>268</v>
      </c>
      <c r="D47" s="458">
        <v>78</v>
      </c>
      <c r="F47" s="458" t="s">
        <v>436</v>
      </c>
      <c r="G47" s="458" t="s">
        <v>435</v>
      </c>
      <c r="H47" s="458">
        <v>289</v>
      </c>
      <c r="I47" s="458">
        <v>110</v>
      </c>
    </row>
    <row r="48" spans="1:9">
      <c r="A48" s="458" t="s">
        <v>434</v>
      </c>
      <c r="B48" s="458" t="s">
        <v>433</v>
      </c>
      <c r="C48" s="458">
        <v>261</v>
      </c>
      <c r="D48" s="458">
        <v>78</v>
      </c>
      <c r="F48" s="458" t="s">
        <v>432</v>
      </c>
      <c r="G48" s="458" t="s">
        <v>431</v>
      </c>
      <c r="H48" s="458">
        <v>257</v>
      </c>
      <c r="I48" s="458">
        <v>110</v>
      </c>
    </row>
    <row r="49" spans="1:9">
      <c r="A49" s="458" t="s">
        <v>430</v>
      </c>
      <c r="B49" s="458" t="s">
        <v>429</v>
      </c>
      <c r="C49" s="458">
        <v>169</v>
      </c>
      <c r="D49" s="458">
        <v>78</v>
      </c>
      <c r="F49" s="458" t="s">
        <v>428</v>
      </c>
      <c r="G49" s="458" t="s">
        <v>427</v>
      </c>
      <c r="H49" s="458">
        <v>263</v>
      </c>
      <c r="I49" s="458">
        <v>110</v>
      </c>
    </row>
    <row r="50" spans="1:9">
      <c r="F50" s="458" t="s">
        <v>426</v>
      </c>
      <c r="G50" s="458" t="s">
        <v>425</v>
      </c>
      <c r="H50" s="458">
        <v>192</v>
      </c>
      <c r="I50" s="458">
        <v>110</v>
      </c>
    </row>
    <row r="51" spans="1:9">
      <c r="F51" s="458" t="s">
        <v>424</v>
      </c>
      <c r="G51" s="458" t="s">
        <v>423</v>
      </c>
      <c r="H51" s="458">
        <v>155</v>
      </c>
      <c r="I51" s="458">
        <v>110</v>
      </c>
    </row>
    <row r="52" spans="1:9">
      <c r="F52" s="458" t="s">
        <v>422</v>
      </c>
      <c r="G52" s="458" t="s">
        <v>421</v>
      </c>
      <c r="H52" s="458">
        <v>162</v>
      </c>
      <c r="I52" s="458">
        <v>110</v>
      </c>
    </row>
    <row r="53" spans="1:9">
      <c r="F53" s="458" t="s">
        <v>420</v>
      </c>
      <c r="G53" s="458" t="s">
        <v>419</v>
      </c>
      <c r="H53" s="458">
        <v>264</v>
      </c>
      <c r="I53" s="458">
        <v>110</v>
      </c>
    </row>
    <row r="54" spans="1:9">
      <c r="F54" s="458" t="s">
        <v>418</v>
      </c>
      <c r="G54" s="458" t="s">
        <v>417</v>
      </c>
      <c r="H54" s="458">
        <v>285</v>
      </c>
      <c r="I54" s="458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31" zoomScaleNormal="100" workbookViewId="0">
      <selection activeCell="T14" sqref="T14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21.109375" style="31" customWidth="1"/>
    <col min="20" max="20" width="22.88671875" style="31" customWidth="1"/>
    <col min="21" max="21" width="21.88671875" style="31" customWidth="1"/>
    <col min="22" max="16384" width="8.88671875" style="31"/>
  </cols>
  <sheetData>
    <row r="2" spans="2:23" ht="26.25" customHeight="1">
      <c r="B2" s="504" t="s">
        <v>401</v>
      </c>
      <c r="C2" s="479"/>
      <c r="D2" s="479"/>
      <c r="E2" s="479"/>
      <c r="F2" s="479"/>
      <c r="G2" s="479"/>
      <c r="H2" s="480"/>
      <c r="I2" s="480"/>
      <c r="J2" s="480"/>
      <c r="K2" s="480"/>
      <c r="L2" s="480"/>
      <c r="S2" s="463" t="s">
        <v>639</v>
      </c>
      <c r="T2" s="144" t="s">
        <v>416</v>
      </c>
    </row>
    <row r="3" spans="2:23" ht="17.25" thickBot="1">
      <c r="I3" s="156"/>
      <c r="J3" s="156"/>
      <c r="K3" s="156"/>
    </row>
    <row r="4" spans="2:23" s="67" customFormat="1" ht="30.75" customHeight="1">
      <c r="B4" s="593" t="s">
        <v>41</v>
      </c>
      <c r="C4" s="594" t="s">
        <v>42</v>
      </c>
      <c r="D4" s="594" t="s">
        <v>643</v>
      </c>
      <c r="E4" s="594" t="s">
        <v>644</v>
      </c>
      <c r="F4" s="594" t="s">
        <v>645</v>
      </c>
      <c r="G4" s="594" t="s">
        <v>646</v>
      </c>
      <c r="H4" s="594" t="s">
        <v>647</v>
      </c>
      <c r="I4" s="594" t="s">
        <v>648</v>
      </c>
      <c r="J4" s="594" t="s">
        <v>649</v>
      </c>
      <c r="K4" s="594" t="s">
        <v>650</v>
      </c>
      <c r="L4" s="594" t="s">
        <v>651</v>
      </c>
      <c r="M4" s="594" t="s">
        <v>652</v>
      </c>
      <c r="N4" s="595" t="s">
        <v>653</v>
      </c>
      <c r="O4" s="596" t="s">
        <v>44</v>
      </c>
      <c r="P4" s="595" t="s">
        <v>45</v>
      </c>
      <c r="S4" s="597" t="s">
        <v>636</v>
      </c>
      <c r="T4" s="598" t="s">
        <v>637</v>
      </c>
    </row>
    <row r="5" spans="2:23" ht="22.5" customHeight="1">
      <c r="B5" s="481">
        <v>1993</v>
      </c>
      <c r="C5" s="482">
        <v>4.5999999999999996</v>
      </c>
      <c r="D5" s="482">
        <v>66.7</v>
      </c>
      <c r="E5" s="482">
        <v>21.6</v>
      </c>
      <c r="F5" s="482">
        <v>32.6</v>
      </c>
      <c r="G5" s="482">
        <v>68.5</v>
      </c>
      <c r="H5" s="482">
        <v>225.5</v>
      </c>
      <c r="I5" s="482">
        <v>241.5</v>
      </c>
      <c r="J5" s="483">
        <v>206.5</v>
      </c>
      <c r="K5" s="482">
        <v>141.5</v>
      </c>
      <c r="L5" s="482">
        <v>32</v>
      </c>
      <c r="M5" s="482">
        <v>87.4</v>
      </c>
      <c r="N5" s="484">
        <v>33.700000000000003</v>
      </c>
      <c r="O5" s="465">
        <f>ROUND(SUM(C5:N5),1)</f>
        <v>1162.0999999999999</v>
      </c>
      <c r="P5" s="466">
        <f>ROUND(O5/12,1)</f>
        <v>96.8</v>
      </c>
      <c r="Q5" s="68"/>
      <c r="R5" s="133"/>
      <c r="S5" s="459" t="s">
        <v>638</v>
      </c>
      <c r="T5" s="460" t="s">
        <v>642</v>
      </c>
      <c r="V5" s="133"/>
      <c r="W5" s="132"/>
    </row>
    <row r="6" spans="2:23" ht="22.5" customHeight="1" thickBot="1">
      <c r="B6" s="61">
        <v>1994</v>
      </c>
      <c r="C6" s="485">
        <v>17.899999999999999</v>
      </c>
      <c r="D6" s="485">
        <v>6</v>
      </c>
      <c r="E6" s="485">
        <v>58.2</v>
      </c>
      <c r="F6" s="485">
        <v>51.5</v>
      </c>
      <c r="G6" s="485">
        <v>135.5</v>
      </c>
      <c r="H6" s="485">
        <v>207</v>
      </c>
      <c r="I6" s="485">
        <v>137</v>
      </c>
      <c r="J6" s="486">
        <v>443.5</v>
      </c>
      <c r="K6" s="485">
        <v>21</v>
      </c>
      <c r="L6" s="485">
        <v>155</v>
      </c>
      <c r="M6" s="485">
        <v>17.5</v>
      </c>
      <c r="N6" s="487">
        <v>18.899999999999999</v>
      </c>
      <c r="O6" s="467">
        <f t="shared" ref="O6:O34" si="0">ROUND(SUM(C6:N6),1)</f>
        <v>1269</v>
      </c>
      <c r="P6" s="468">
        <f t="shared" ref="P6:P34" si="1">ROUND(O6/12,1)</f>
        <v>105.8</v>
      </c>
      <c r="Q6" s="68"/>
      <c r="R6" s="133"/>
      <c r="S6" s="599" t="str">
        <f>VLOOKUP(S5, tblLocation[], 2, FALSE)</f>
        <v>Table3</v>
      </c>
      <c r="T6" s="461">
        <f ca="1">VLOOKUP(T5, INDIRECT(S6), 3,0)</f>
        <v>235</v>
      </c>
      <c r="V6" s="133"/>
      <c r="W6" s="132"/>
    </row>
    <row r="7" spans="2:23" ht="22.5" customHeight="1" thickBot="1">
      <c r="B7" s="61">
        <v>1995</v>
      </c>
      <c r="C7" s="485">
        <v>15.7</v>
      </c>
      <c r="D7" s="485">
        <v>11</v>
      </c>
      <c r="E7" s="485">
        <v>19.600000000000001</v>
      </c>
      <c r="F7" s="485">
        <v>65.5</v>
      </c>
      <c r="G7" s="485">
        <v>49.5</v>
      </c>
      <c r="H7" s="485">
        <v>26.5</v>
      </c>
      <c r="I7" s="485">
        <v>144.5</v>
      </c>
      <c r="J7" s="485">
        <v>996.5</v>
      </c>
      <c r="K7" s="485">
        <v>70.5</v>
      </c>
      <c r="L7" s="485">
        <v>24.5</v>
      </c>
      <c r="M7" s="485">
        <v>23</v>
      </c>
      <c r="N7" s="487">
        <v>12.7</v>
      </c>
      <c r="O7" s="467">
        <f t="shared" si="0"/>
        <v>1459.5</v>
      </c>
      <c r="P7" s="468">
        <f t="shared" si="1"/>
        <v>121.6</v>
      </c>
      <c r="Q7" s="68"/>
      <c r="R7" s="133"/>
      <c r="T7" s="462">
        <f ca="1">VLOOKUP(T5, INDIRECT(S6), 4,0)</f>
        <v>60</v>
      </c>
      <c r="V7" s="133"/>
      <c r="W7" s="132"/>
    </row>
    <row r="8" spans="2:23" ht="22.5" customHeight="1" thickBot="1">
      <c r="B8" s="61">
        <v>1996</v>
      </c>
      <c r="C8" s="485">
        <v>33.4</v>
      </c>
      <c r="D8" s="485">
        <v>6.8</v>
      </c>
      <c r="E8" s="485">
        <v>104.5</v>
      </c>
      <c r="F8" s="485">
        <v>34</v>
      </c>
      <c r="G8" s="485">
        <v>22.5</v>
      </c>
      <c r="H8" s="485">
        <v>235</v>
      </c>
      <c r="I8" s="485">
        <v>192.5</v>
      </c>
      <c r="J8" s="485">
        <v>44.5</v>
      </c>
      <c r="K8" s="485">
        <v>14</v>
      </c>
      <c r="L8" s="485">
        <v>106.5</v>
      </c>
      <c r="M8" s="485">
        <v>74.2</v>
      </c>
      <c r="N8" s="487">
        <v>31.7</v>
      </c>
      <c r="O8" s="467">
        <f t="shared" si="0"/>
        <v>899.6</v>
      </c>
      <c r="P8" s="468">
        <f t="shared" si="1"/>
        <v>75</v>
      </c>
      <c r="Q8" s="68"/>
      <c r="T8" s="464" t="str" cm="1">
        <f t="array" aca="1" ref="T8" ca="1">UppercaseString(VLOOKUP(T5, INDIRECT(S6), 2,0))</f>
        <v>BORYUNG</v>
      </c>
      <c r="V8" s="133"/>
      <c r="W8" s="132"/>
    </row>
    <row r="9" spans="2:23" ht="22.5" customHeight="1">
      <c r="B9" s="61">
        <v>1997</v>
      </c>
      <c r="C9" s="485">
        <v>15.1</v>
      </c>
      <c r="D9" s="485">
        <v>38.4</v>
      </c>
      <c r="E9" s="485">
        <v>30.5</v>
      </c>
      <c r="F9" s="485">
        <v>57.5</v>
      </c>
      <c r="G9" s="485">
        <v>203</v>
      </c>
      <c r="H9" s="485">
        <v>272</v>
      </c>
      <c r="I9" s="485">
        <v>353.5</v>
      </c>
      <c r="J9" s="485">
        <v>211.5</v>
      </c>
      <c r="K9" s="485">
        <v>23</v>
      </c>
      <c r="L9" s="485">
        <v>10</v>
      </c>
      <c r="M9" s="485">
        <v>193.5</v>
      </c>
      <c r="N9" s="487">
        <v>34.299999999999997</v>
      </c>
      <c r="O9" s="467">
        <f t="shared" si="0"/>
        <v>1442.3</v>
      </c>
      <c r="P9" s="468">
        <f t="shared" si="1"/>
        <v>120.2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1998</v>
      </c>
      <c r="C10" s="485">
        <v>29.9</v>
      </c>
      <c r="D10" s="485">
        <v>40.200000000000003</v>
      </c>
      <c r="E10" s="485">
        <v>30.5</v>
      </c>
      <c r="F10" s="485">
        <v>138</v>
      </c>
      <c r="G10" s="485">
        <v>100</v>
      </c>
      <c r="H10" s="485">
        <v>209.5</v>
      </c>
      <c r="I10" s="485">
        <v>263</v>
      </c>
      <c r="J10" s="485">
        <v>341.7</v>
      </c>
      <c r="K10" s="485">
        <v>150.30000000000001</v>
      </c>
      <c r="L10" s="485">
        <v>61</v>
      </c>
      <c r="M10" s="485">
        <v>29.3</v>
      </c>
      <c r="N10" s="487">
        <v>3.8</v>
      </c>
      <c r="O10" s="467">
        <f t="shared" si="0"/>
        <v>1397.2</v>
      </c>
      <c r="P10" s="468">
        <f t="shared" si="1"/>
        <v>116.4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1999</v>
      </c>
      <c r="C11" s="485">
        <v>7.9</v>
      </c>
      <c r="D11" s="485">
        <v>9.5</v>
      </c>
      <c r="E11" s="485">
        <v>71</v>
      </c>
      <c r="F11" s="485">
        <v>88.5</v>
      </c>
      <c r="G11" s="485">
        <v>124.5</v>
      </c>
      <c r="H11" s="485">
        <v>192.5</v>
      </c>
      <c r="I11" s="485">
        <v>98</v>
      </c>
      <c r="J11" s="485">
        <v>180</v>
      </c>
      <c r="K11" s="485">
        <v>292.5</v>
      </c>
      <c r="L11" s="485">
        <v>169</v>
      </c>
      <c r="M11" s="485">
        <v>24.9</v>
      </c>
      <c r="N11" s="487">
        <v>25.8</v>
      </c>
      <c r="O11" s="467">
        <f t="shared" si="0"/>
        <v>1284.0999999999999</v>
      </c>
      <c r="P11" s="468">
        <f t="shared" si="1"/>
        <v>107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2000</v>
      </c>
      <c r="C12" s="485">
        <v>42.1</v>
      </c>
      <c r="D12" s="485">
        <v>3.2</v>
      </c>
      <c r="E12" s="485">
        <v>7</v>
      </c>
      <c r="F12" s="485">
        <v>35</v>
      </c>
      <c r="G12" s="485">
        <v>53.5</v>
      </c>
      <c r="H12" s="485">
        <v>159.5</v>
      </c>
      <c r="I12" s="485">
        <v>155</v>
      </c>
      <c r="J12" s="485">
        <v>701.5</v>
      </c>
      <c r="K12" s="485">
        <v>241</v>
      </c>
      <c r="L12" s="485">
        <v>46</v>
      </c>
      <c r="M12" s="485">
        <v>39.5</v>
      </c>
      <c r="N12" s="487">
        <v>32.1</v>
      </c>
      <c r="O12" s="467">
        <f t="shared" si="0"/>
        <v>1515.4</v>
      </c>
      <c r="P12" s="468">
        <f t="shared" si="1"/>
        <v>126.3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2001</v>
      </c>
      <c r="C13" s="485">
        <v>73.3</v>
      </c>
      <c r="D13" s="485">
        <v>46</v>
      </c>
      <c r="E13" s="485">
        <v>15.9</v>
      </c>
      <c r="F13" s="485">
        <v>26</v>
      </c>
      <c r="G13" s="485">
        <v>17</v>
      </c>
      <c r="H13" s="485">
        <v>129</v>
      </c>
      <c r="I13" s="485">
        <v>286.5</v>
      </c>
      <c r="J13" s="485">
        <v>170</v>
      </c>
      <c r="K13" s="485">
        <v>10</v>
      </c>
      <c r="L13" s="485">
        <v>85</v>
      </c>
      <c r="M13" s="485">
        <v>13</v>
      </c>
      <c r="N13" s="487">
        <v>32</v>
      </c>
      <c r="O13" s="467">
        <f t="shared" si="0"/>
        <v>903.7</v>
      </c>
      <c r="P13" s="468">
        <f t="shared" si="1"/>
        <v>75.3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2002</v>
      </c>
      <c r="C14" s="485">
        <v>50.8</v>
      </c>
      <c r="D14" s="485">
        <v>5.5</v>
      </c>
      <c r="E14" s="485">
        <v>32</v>
      </c>
      <c r="F14" s="485">
        <v>169</v>
      </c>
      <c r="G14" s="485">
        <v>155.5</v>
      </c>
      <c r="H14" s="485">
        <v>72</v>
      </c>
      <c r="I14" s="485">
        <v>217.5</v>
      </c>
      <c r="J14" s="485">
        <v>477</v>
      </c>
      <c r="K14" s="485">
        <v>27</v>
      </c>
      <c r="L14" s="485">
        <v>134</v>
      </c>
      <c r="M14" s="485">
        <v>61.1</v>
      </c>
      <c r="N14" s="487">
        <v>51.8</v>
      </c>
      <c r="O14" s="467">
        <f t="shared" si="0"/>
        <v>1453.2</v>
      </c>
      <c r="P14" s="468">
        <f t="shared" si="1"/>
        <v>121.1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2003</v>
      </c>
      <c r="C15" s="485">
        <v>30.7</v>
      </c>
      <c r="D15" s="485">
        <v>44.5</v>
      </c>
      <c r="E15" s="485">
        <v>39.5</v>
      </c>
      <c r="F15" s="485">
        <v>168.5</v>
      </c>
      <c r="G15" s="485">
        <v>78.5</v>
      </c>
      <c r="H15" s="485">
        <v>153</v>
      </c>
      <c r="I15" s="485">
        <v>309.5</v>
      </c>
      <c r="J15" s="485">
        <v>310</v>
      </c>
      <c r="K15" s="485">
        <v>128</v>
      </c>
      <c r="L15" s="485">
        <v>23</v>
      </c>
      <c r="M15" s="485">
        <v>45.5</v>
      </c>
      <c r="N15" s="487">
        <v>13</v>
      </c>
      <c r="O15" s="467">
        <f t="shared" si="0"/>
        <v>1343.7</v>
      </c>
      <c r="P15" s="468">
        <f t="shared" si="1"/>
        <v>112</v>
      </c>
    </row>
    <row r="16" spans="2:23" ht="22.5" customHeight="1">
      <c r="B16" s="61">
        <v>2004</v>
      </c>
      <c r="C16" s="485">
        <v>22.1</v>
      </c>
      <c r="D16" s="485">
        <v>28.5</v>
      </c>
      <c r="E16" s="485">
        <v>45.7</v>
      </c>
      <c r="F16" s="485">
        <v>58</v>
      </c>
      <c r="G16" s="485">
        <v>105.5</v>
      </c>
      <c r="H16" s="485">
        <v>234.5</v>
      </c>
      <c r="I16" s="485">
        <v>263.5</v>
      </c>
      <c r="J16" s="485">
        <v>164</v>
      </c>
      <c r="K16" s="485">
        <v>195</v>
      </c>
      <c r="L16" s="485">
        <v>4</v>
      </c>
      <c r="M16" s="485">
        <v>56.5</v>
      </c>
      <c r="N16" s="487">
        <v>38.9</v>
      </c>
      <c r="O16" s="467">
        <f t="shared" si="0"/>
        <v>1216.2</v>
      </c>
      <c r="P16" s="468">
        <f t="shared" si="1"/>
        <v>101.4</v>
      </c>
    </row>
    <row r="17" spans="2:16" ht="22.5" customHeight="1">
      <c r="B17" s="61">
        <v>2005</v>
      </c>
      <c r="C17" s="485">
        <v>5.8</v>
      </c>
      <c r="D17" s="485">
        <v>35.799999999999997</v>
      </c>
      <c r="E17" s="485">
        <v>30</v>
      </c>
      <c r="F17" s="485">
        <v>73.5</v>
      </c>
      <c r="G17" s="485">
        <v>48.5</v>
      </c>
      <c r="H17" s="485">
        <v>156</v>
      </c>
      <c r="I17" s="485">
        <v>260.5</v>
      </c>
      <c r="J17" s="485">
        <v>291.5</v>
      </c>
      <c r="K17" s="485">
        <v>282.5</v>
      </c>
      <c r="L17" s="485">
        <v>21</v>
      </c>
      <c r="M17" s="485">
        <v>18</v>
      </c>
      <c r="N17" s="487">
        <v>43.4</v>
      </c>
      <c r="O17" s="467">
        <f t="shared" si="0"/>
        <v>1266.5</v>
      </c>
      <c r="P17" s="468">
        <f t="shared" si="1"/>
        <v>105.5</v>
      </c>
    </row>
    <row r="18" spans="2:16" ht="22.5" customHeight="1">
      <c r="B18" s="61">
        <v>2006</v>
      </c>
      <c r="C18" s="485">
        <v>27</v>
      </c>
      <c r="D18" s="485">
        <v>25.9</v>
      </c>
      <c r="E18" s="485">
        <v>10.6</v>
      </c>
      <c r="F18" s="485">
        <v>81.5</v>
      </c>
      <c r="G18" s="485">
        <v>94.5</v>
      </c>
      <c r="H18" s="485">
        <v>114.5</v>
      </c>
      <c r="I18" s="485">
        <v>321</v>
      </c>
      <c r="J18" s="485">
        <v>21.5</v>
      </c>
      <c r="K18" s="485">
        <v>23.5</v>
      </c>
      <c r="L18" s="485">
        <v>24.5</v>
      </c>
      <c r="M18" s="485">
        <v>61.5</v>
      </c>
      <c r="N18" s="487">
        <v>25.4</v>
      </c>
      <c r="O18" s="467">
        <f t="shared" si="0"/>
        <v>831.4</v>
      </c>
      <c r="P18" s="468">
        <f t="shared" si="1"/>
        <v>69.3</v>
      </c>
    </row>
    <row r="19" spans="2:16" ht="22.5" customHeight="1">
      <c r="B19" s="61">
        <v>2007</v>
      </c>
      <c r="C19" s="485">
        <v>23.4</v>
      </c>
      <c r="D19" s="485">
        <v>29.8</v>
      </c>
      <c r="E19" s="485">
        <v>102</v>
      </c>
      <c r="F19" s="485">
        <v>29.5</v>
      </c>
      <c r="G19" s="485">
        <v>79</v>
      </c>
      <c r="H19" s="485">
        <v>85</v>
      </c>
      <c r="I19" s="485">
        <v>214</v>
      </c>
      <c r="J19" s="485">
        <v>239.5</v>
      </c>
      <c r="K19" s="485">
        <v>384</v>
      </c>
      <c r="L19" s="485">
        <v>59</v>
      </c>
      <c r="M19" s="485">
        <v>17.5</v>
      </c>
      <c r="N19" s="487">
        <v>33.1</v>
      </c>
      <c r="O19" s="467">
        <f t="shared" si="0"/>
        <v>1295.8</v>
      </c>
      <c r="P19" s="468">
        <f t="shared" si="1"/>
        <v>108</v>
      </c>
    </row>
    <row r="20" spans="2:16" ht="22.5" customHeight="1">
      <c r="B20" s="61">
        <v>2008</v>
      </c>
      <c r="C20" s="485">
        <v>20.9</v>
      </c>
      <c r="D20" s="485">
        <v>10.8</v>
      </c>
      <c r="E20" s="485">
        <v>48.2</v>
      </c>
      <c r="F20" s="485">
        <v>40.5</v>
      </c>
      <c r="G20" s="485">
        <v>78.900000000000006</v>
      </c>
      <c r="H20" s="485">
        <v>101.3</v>
      </c>
      <c r="I20" s="485">
        <v>257.2</v>
      </c>
      <c r="J20" s="485">
        <v>119.5</v>
      </c>
      <c r="K20" s="485">
        <v>46.9</v>
      </c>
      <c r="L20" s="485">
        <v>26.7</v>
      </c>
      <c r="M20" s="485">
        <v>37.6</v>
      </c>
      <c r="N20" s="487">
        <v>25</v>
      </c>
      <c r="O20" s="467">
        <f t="shared" si="0"/>
        <v>813.5</v>
      </c>
      <c r="P20" s="468">
        <f t="shared" si="1"/>
        <v>67.8</v>
      </c>
    </row>
    <row r="21" spans="2:16" ht="22.5" customHeight="1">
      <c r="B21" s="61">
        <v>2009</v>
      </c>
      <c r="C21" s="485">
        <v>18.5</v>
      </c>
      <c r="D21" s="485">
        <v>23.3</v>
      </c>
      <c r="E21" s="485">
        <v>55.1</v>
      </c>
      <c r="F21" s="485">
        <v>41.5</v>
      </c>
      <c r="G21" s="485">
        <v>154.5</v>
      </c>
      <c r="H21" s="485">
        <v>115.1</v>
      </c>
      <c r="I21" s="485">
        <v>320.89999999999998</v>
      </c>
      <c r="J21" s="485">
        <v>176.6</v>
      </c>
      <c r="K21" s="485">
        <v>25.5</v>
      </c>
      <c r="L21" s="485">
        <v>39.5</v>
      </c>
      <c r="M21" s="485">
        <v>52.9</v>
      </c>
      <c r="N21" s="487">
        <v>58</v>
      </c>
      <c r="O21" s="467">
        <f t="shared" si="0"/>
        <v>1081.4000000000001</v>
      </c>
      <c r="P21" s="468">
        <f t="shared" si="1"/>
        <v>90.1</v>
      </c>
    </row>
    <row r="22" spans="2:16" ht="22.5" customHeight="1">
      <c r="B22" s="61">
        <v>2010</v>
      </c>
      <c r="C22" s="485">
        <v>30.1</v>
      </c>
      <c r="D22" s="485">
        <v>73.5</v>
      </c>
      <c r="E22" s="485">
        <v>75.900000000000006</v>
      </c>
      <c r="F22" s="485">
        <v>58.5</v>
      </c>
      <c r="G22" s="485">
        <v>122.8</v>
      </c>
      <c r="H22" s="485">
        <v>60.8</v>
      </c>
      <c r="I22" s="485">
        <v>396.5</v>
      </c>
      <c r="J22" s="485">
        <v>402.7</v>
      </c>
      <c r="K22" s="485">
        <v>213.1</v>
      </c>
      <c r="L22" s="485">
        <v>19.2</v>
      </c>
      <c r="M22" s="485">
        <v>16.3</v>
      </c>
      <c r="N22" s="487">
        <v>32.9</v>
      </c>
      <c r="O22" s="467">
        <f t="shared" si="0"/>
        <v>1502.3</v>
      </c>
      <c r="P22" s="468">
        <f t="shared" si="1"/>
        <v>125.2</v>
      </c>
    </row>
    <row r="23" spans="2:16" ht="22.5" customHeight="1">
      <c r="B23" s="61">
        <v>2011</v>
      </c>
      <c r="C23" s="485">
        <v>11.1</v>
      </c>
      <c r="D23" s="485">
        <v>37.5</v>
      </c>
      <c r="E23" s="485">
        <v>18</v>
      </c>
      <c r="F23" s="485">
        <v>72.099999999999994</v>
      </c>
      <c r="G23" s="485">
        <v>115.3</v>
      </c>
      <c r="H23" s="485">
        <v>318</v>
      </c>
      <c r="I23" s="485">
        <v>723.1</v>
      </c>
      <c r="J23" s="485">
        <v>289.39999999999998</v>
      </c>
      <c r="K23" s="485">
        <v>70.8</v>
      </c>
      <c r="L23" s="485">
        <v>13.9</v>
      </c>
      <c r="M23" s="485">
        <v>61.3</v>
      </c>
      <c r="N23" s="487">
        <v>12.5</v>
      </c>
      <c r="O23" s="467">
        <f t="shared" si="0"/>
        <v>1743</v>
      </c>
      <c r="P23" s="468">
        <f t="shared" si="1"/>
        <v>145.30000000000001</v>
      </c>
    </row>
    <row r="24" spans="2:16" ht="22.5" customHeight="1">
      <c r="B24" s="61">
        <v>2012</v>
      </c>
      <c r="C24" s="485">
        <v>24.2</v>
      </c>
      <c r="D24" s="485">
        <v>9.1999999999999993</v>
      </c>
      <c r="E24" s="485">
        <v>45</v>
      </c>
      <c r="F24" s="485">
        <v>68.900000000000006</v>
      </c>
      <c r="G24" s="485">
        <v>14.6</v>
      </c>
      <c r="H24" s="485">
        <v>76.8</v>
      </c>
      <c r="I24" s="485">
        <v>231.1</v>
      </c>
      <c r="J24" s="485">
        <v>450.2</v>
      </c>
      <c r="K24" s="485">
        <v>207.7</v>
      </c>
      <c r="L24" s="485">
        <v>65</v>
      </c>
      <c r="M24" s="485">
        <v>61.1</v>
      </c>
      <c r="N24" s="487">
        <v>65.2</v>
      </c>
      <c r="O24" s="467">
        <f t="shared" si="0"/>
        <v>1319</v>
      </c>
      <c r="P24" s="468">
        <f t="shared" si="1"/>
        <v>109.9</v>
      </c>
    </row>
    <row r="25" spans="2:16" ht="22.5" customHeight="1">
      <c r="B25" s="61">
        <v>2013</v>
      </c>
      <c r="C25" s="485">
        <v>28.4</v>
      </c>
      <c r="D25" s="485">
        <v>40.700000000000003</v>
      </c>
      <c r="E25" s="485">
        <v>53.4</v>
      </c>
      <c r="F25" s="485">
        <v>68.2</v>
      </c>
      <c r="G25" s="485">
        <v>116.6</v>
      </c>
      <c r="H25" s="485">
        <v>159.9</v>
      </c>
      <c r="I25" s="485">
        <v>267.5</v>
      </c>
      <c r="J25" s="485">
        <v>214.6</v>
      </c>
      <c r="K25" s="485">
        <v>320</v>
      </c>
      <c r="L25" s="485">
        <v>10.9</v>
      </c>
      <c r="M25" s="485">
        <v>81.099999999999994</v>
      </c>
      <c r="N25" s="487">
        <v>26.4</v>
      </c>
      <c r="O25" s="467">
        <f t="shared" si="0"/>
        <v>1387.7</v>
      </c>
      <c r="P25" s="468">
        <f t="shared" si="1"/>
        <v>115.6</v>
      </c>
    </row>
    <row r="26" spans="2:16" ht="22.5" customHeight="1">
      <c r="B26" s="61">
        <v>2014</v>
      </c>
      <c r="C26" s="485">
        <v>3.4</v>
      </c>
      <c r="D26" s="485">
        <v>20.5</v>
      </c>
      <c r="E26" s="485">
        <v>56.3</v>
      </c>
      <c r="F26" s="485">
        <v>70</v>
      </c>
      <c r="G26" s="485">
        <v>47.1</v>
      </c>
      <c r="H26" s="485">
        <v>125.8</v>
      </c>
      <c r="I26" s="485">
        <v>104</v>
      </c>
      <c r="J26" s="485">
        <v>168.5</v>
      </c>
      <c r="K26" s="485">
        <v>152</v>
      </c>
      <c r="L26" s="485">
        <v>156</v>
      </c>
      <c r="M26" s="485">
        <v>39.9</v>
      </c>
      <c r="N26" s="487">
        <v>66.599999999999994</v>
      </c>
      <c r="O26" s="467">
        <f t="shared" si="0"/>
        <v>1010.1</v>
      </c>
      <c r="P26" s="468">
        <f t="shared" si="1"/>
        <v>84.2</v>
      </c>
    </row>
    <row r="27" spans="2:16" ht="22.5" customHeight="1">
      <c r="B27" s="61">
        <v>2015</v>
      </c>
      <c r="C27" s="485">
        <v>29.9</v>
      </c>
      <c r="D27" s="485">
        <v>23.4</v>
      </c>
      <c r="E27" s="485">
        <v>30.9</v>
      </c>
      <c r="F27" s="485">
        <v>129.69999999999999</v>
      </c>
      <c r="G27" s="485">
        <v>38.799999999999997</v>
      </c>
      <c r="H27" s="485">
        <v>83.9</v>
      </c>
      <c r="I27" s="485">
        <v>94.7</v>
      </c>
      <c r="J27" s="485">
        <v>30.2</v>
      </c>
      <c r="K27" s="485">
        <v>13.3</v>
      </c>
      <c r="L27" s="485">
        <v>90</v>
      </c>
      <c r="M27" s="485">
        <v>155.6</v>
      </c>
      <c r="N27" s="487">
        <v>65</v>
      </c>
      <c r="O27" s="467">
        <f t="shared" si="0"/>
        <v>785.4</v>
      </c>
      <c r="P27" s="468">
        <f t="shared" si="1"/>
        <v>65.5</v>
      </c>
    </row>
    <row r="28" spans="2:16" ht="22.5" customHeight="1">
      <c r="B28" s="61">
        <v>2016</v>
      </c>
      <c r="C28" s="485">
        <v>7.8</v>
      </c>
      <c r="D28" s="485">
        <v>54.2</v>
      </c>
      <c r="E28" s="485">
        <v>18.7</v>
      </c>
      <c r="F28" s="485">
        <v>105.1</v>
      </c>
      <c r="G28" s="485">
        <v>146.5</v>
      </c>
      <c r="H28" s="485">
        <v>23.7</v>
      </c>
      <c r="I28" s="485">
        <v>200.2</v>
      </c>
      <c r="J28" s="485">
        <v>5.0999999999999996</v>
      </c>
      <c r="K28" s="485">
        <v>73.400000000000006</v>
      </c>
      <c r="L28" s="485">
        <v>108</v>
      </c>
      <c r="M28" s="485">
        <v>5.6</v>
      </c>
      <c r="N28" s="487">
        <v>44.5</v>
      </c>
      <c r="O28" s="467">
        <f t="shared" si="0"/>
        <v>792.8</v>
      </c>
      <c r="P28" s="468">
        <f t="shared" si="1"/>
        <v>66.099999999999994</v>
      </c>
    </row>
    <row r="29" spans="2:16" ht="22.5" customHeight="1">
      <c r="B29" s="61">
        <v>2017</v>
      </c>
      <c r="C29" s="485">
        <v>14.8</v>
      </c>
      <c r="D29" s="485">
        <v>30.2</v>
      </c>
      <c r="E29" s="485">
        <v>14.4</v>
      </c>
      <c r="F29" s="485">
        <v>57.6</v>
      </c>
      <c r="G29" s="485">
        <v>58.9</v>
      </c>
      <c r="H29" s="485">
        <v>21.1</v>
      </c>
      <c r="I29" s="485">
        <v>278.10000000000002</v>
      </c>
      <c r="J29" s="485">
        <v>210</v>
      </c>
      <c r="K29" s="485">
        <v>90</v>
      </c>
      <c r="L29" s="485">
        <v>26.6</v>
      </c>
      <c r="M29" s="485">
        <v>15.9</v>
      </c>
      <c r="N29" s="487">
        <v>38.6</v>
      </c>
      <c r="O29" s="467">
        <f t="shared" si="0"/>
        <v>856.2</v>
      </c>
      <c r="P29" s="468">
        <f t="shared" si="1"/>
        <v>71.400000000000006</v>
      </c>
    </row>
    <row r="30" spans="2:16" ht="22.5" customHeight="1">
      <c r="B30" s="61">
        <v>2018</v>
      </c>
      <c r="C30" s="485">
        <v>15</v>
      </c>
      <c r="D30" s="485">
        <v>33.6</v>
      </c>
      <c r="E30" s="485">
        <v>92</v>
      </c>
      <c r="F30" s="485">
        <v>128.1</v>
      </c>
      <c r="G30" s="485">
        <v>104.5</v>
      </c>
      <c r="H30" s="485">
        <v>71</v>
      </c>
      <c r="I30" s="485">
        <v>262.7</v>
      </c>
      <c r="J30" s="485">
        <v>239.6</v>
      </c>
      <c r="K30" s="485">
        <v>158.19999999999999</v>
      </c>
      <c r="L30" s="485">
        <v>154.69999999999999</v>
      </c>
      <c r="M30" s="485">
        <v>46.7</v>
      </c>
      <c r="N30" s="487">
        <v>31.1</v>
      </c>
      <c r="O30" s="467">
        <f t="shared" si="0"/>
        <v>1337.2</v>
      </c>
      <c r="P30" s="468">
        <f t="shared" si="1"/>
        <v>111.4</v>
      </c>
    </row>
    <row r="31" spans="2:16" ht="22.5" customHeight="1">
      <c r="B31" s="61">
        <v>2019</v>
      </c>
      <c r="C31" s="485">
        <v>1.9</v>
      </c>
      <c r="D31" s="485">
        <v>17.8</v>
      </c>
      <c r="E31" s="485">
        <v>18.2</v>
      </c>
      <c r="F31" s="485">
        <v>71.900000000000006</v>
      </c>
      <c r="G31" s="485">
        <v>31.3</v>
      </c>
      <c r="H31" s="485">
        <v>56</v>
      </c>
      <c r="I31" s="485">
        <v>149</v>
      </c>
      <c r="J31" s="485">
        <v>131.30000000000001</v>
      </c>
      <c r="K31" s="485">
        <v>118.7</v>
      </c>
      <c r="L31" s="485">
        <v>63.9</v>
      </c>
      <c r="M31" s="485">
        <v>130.6</v>
      </c>
      <c r="N31" s="487">
        <v>31.3</v>
      </c>
      <c r="O31" s="467">
        <f t="shared" si="0"/>
        <v>821.9</v>
      </c>
      <c r="P31" s="468">
        <f t="shared" si="1"/>
        <v>68.5</v>
      </c>
    </row>
    <row r="32" spans="2:16" ht="22.5" customHeight="1">
      <c r="B32" s="61">
        <v>2020</v>
      </c>
      <c r="C32" s="485">
        <v>49.4</v>
      </c>
      <c r="D32" s="485">
        <v>75.3</v>
      </c>
      <c r="E32" s="485">
        <v>22.8</v>
      </c>
      <c r="F32" s="485">
        <v>16.5</v>
      </c>
      <c r="G32" s="485">
        <v>92.4</v>
      </c>
      <c r="H32" s="485">
        <v>139.69999999999999</v>
      </c>
      <c r="I32" s="485">
        <v>345.9</v>
      </c>
      <c r="J32" s="485">
        <v>321.5</v>
      </c>
      <c r="K32" s="485">
        <v>177.1</v>
      </c>
      <c r="L32" s="485">
        <v>16.2</v>
      </c>
      <c r="M32" s="485">
        <v>35.4</v>
      </c>
      <c r="N32" s="487">
        <v>9.6999999999999993</v>
      </c>
      <c r="O32" s="467">
        <f t="shared" si="0"/>
        <v>1301.9000000000001</v>
      </c>
      <c r="P32" s="468">
        <f t="shared" si="1"/>
        <v>108.5</v>
      </c>
    </row>
    <row r="33" spans="2:16" ht="22.5" customHeight="1">
      <c r="B33" s="61">
        <v>2021</v>
      </c>
      <c r="C33" s="485">
        <v>32</v>
      </c>
      <c r="D33" s="485">
        <v>18.7</v>
      </c>
      <c r="E33" s="485">
        <v>76.099999999999994</v>
      </c>
      <c r="F33" s="485">
        <v>43.4</v>
      </c>
      <c r="G33" s="485">
        <v>110</v>
      </c>
      <c r="H33" s="485">
        <v>55</v>
      </c>
      <c r="I33" s="485">
        <v>131.30000000000001</v>
      </c>
      <c r="J33" s="485">
        <v>253.7</v>
      </c>
      <c r="K33" s="485">
        <v>215.9</v>
      </c>
      <c r="L33" s="485">
        <v>39.6</v>
      </c>
      <c r="M33" s="485">
        <v>117.8</v>
      </c>
      <c r="N33" s="487">
        <v>14.4</v>
      </c>
      <c r="O33" s="467">
        <f t="shared" si="0"/>
        <v>1107.9000000000001</v>
      </c>
      <c r="P33" s="468">
        <f t="shared" si="1"/>
        <v>92.3</v>
      </c>
    </row>
    <row r="34" spans="2:16" ht="22.5" customHeight="1" thickBot="1">
      <c r="B34" s="488">
        <v>2022</v>
      </c>
      <c r="C34" s="489">
        <v>8.4</v>
      </c>
      <c r="D34" s="489">
        <v>5.3</v>
      </c>
      <c r="E34" s="489">
        <v>60.9</v>
      </c>
      <c r="F34" s="489">
        <v>34.799999999999997</v>
      </c>
      <c r="G34" s="489">
        <v>5.7</v>
      </c>
      <c r="H34" s="489">
        <v>225</v>
      </c>
      <c r="I34" s="489">
        <v>119.9</v>
      </c>
      <c r="J34" s="489">
        <v>637.1</v>
      </c>
      <c r="K34" s="489">
        <v>102</v>
      </c>
      <c r="L34" s="489">
        <v>112</v>
      </c>
      <c r="M34" s="489">
        <v>23.3</v>
      </c>
      <c r="N34" s="490">
        <v>14</v>
      </c>
      <c r="O34" s="469">
        <f t="shared" si="0"/>
        <v>1348.4</v>
      </c>
      <c r="P34" s="470">
        <f t="shared" si="1"/>
        <v>112.4</v>
      </c>
    </row>
    <row r="35" spans="2:16" ht="22.5" customHeight="1">
      <c r="B35" s="491" t="s">
        <v>36</v>
      </c>
      <c r="C35" s="492">
        <f>MAX(C5:C34)</f>
        <v>73.3</v>
      </c>
      <c r="D35" s="492">
        <f t="shared" ref="D35:N35" si="2">MAX(D5:D34)</f>
        <v>75.3</v>
      </c>
      <c r="E35" s="492">
        <f t="shared" si="2"/>
        <v>104.5</v>
      </c>
      <c r="F35" s="492">
        <f t="shared" si="2"/>
        <v>169</v>
      </c>
      <c r="G35" s="492">
        <f t="shared" si="2"/>
        <v>203</v>
      </c>
      <c r="H35" s="492">
        <f t="shared" si="2"/>
        <v>318</v>
      </c>
      <c r="I35" s="492">
        <f t="shared" si="2"/>
        <v>723.1</v>
      </c>
      <c r="J35" s="492">
        <f t="shared" si="2"/>
        <v>996.5</v>
      </c>
      <c r="K35" s="492">
        <f t="shared" si="2"/>
        <v>384</v>
      </c>
      <c r="L35" s="492">
        <f t="shared" si="2"/>
        <v>169</v>
      </c>
      <c r="M35" s="492">
        <f t="shared" si="2"/>
        <v>193.5</v>
      </c>
      <c r="N35" s="472">
        <f t="shared" si="2"/>
        <v>66.599999999999994</v>
      </c>
      <c r="O35" s="471">
        <f t="shared" ref="O35" si="3">MAX(O5:O34)</f>
        <v>1743</v>
      </c>
      <c r="P35" s="472">
        <f>MAX(P5:P34)</f>
        <v>145.30000000000001</v>
      </c>
    </row>
    <row r="36" spans="2:16" ht="22.5" customHeight="1">
      <c r="B36" s="493" t="s">
        <v>37</v>
      </c>
      <c r="C36" s="494">
        <f>ROUND(MIN(C5:C34),1)</f>
        <v>1.9</v>
      </c>
      <c r="D36" s="494">
        <f t="shared" ref="D36:N36" si="4">ROUND(MIN(D5:D34),1)</f>
        <v>3.2</v>
      </c>
      <c r="E36" s="494">
        <f t="shared" si="4"/>
        <v>7</v>
      </c>
      <c r="F36" s="494">
        <f t="shared" si="4"/>
        <v>16.5</v>
      </c>
      <c r="G36" s="494">
        <f t="shared" si="4"/>
        <v>5.7</v>
      </c>
      <c r="H36" s="494">
        <f t="shared" si="4"/>
        <v>21.1</v>
      </c>
      <c r="I36" s="494">
        <f t="shared" si="4"/>
        <v>94.7</v>
      </c>
      <c r="J36" s="494">
        <f t="shared" si="4"/>
        <v>5.0999999999999996</v>
      </c>
      <c r="K36" s="494">
        <f t="shared" si="4"/>
        <v>10</v>
      </c>
      <c r="L36" s="494">
        <f t="shared" si="4"/>
        <v>4</v>
      </c>
      <c r="M36" s="494">
        <f t="shared" si="4"/>
        <v>5.6</v>
      </c>
      <c r="N36" s="468">
        <f t="shared" si="4"/>
        <v>3.8</v>
      </c>
      <c r="O36" s="473">
        <f>ROUND(MIN(O5:O34),1)</f>
        <v>785.4</v>
      </c>
      <c r="P36" s="474">
        <f>ROUND(MIN(P5:P34),1)</f>
        <v>65.5</v>
      </c>
    </row>
    <row r="37" spans="2:16" ht="22.5" customHeight="1" thickBot="1">
      <c r="B37" s="495" t="s">
        <v>45</v>
      </c>
      <c r="C37" s="496">
        <f>ROUND(AVERAGE(C5:C34),1)</f>
        <v>23.2</v>
      </c>
      <c r="D37" s="496">
        <f t="shared" ref="D37:N37" si="5">ROUND(AVERAGE(D5:D34),1)</f>
        <v>29.1</v>
      </c>
      <c r="E37" s="496">
        <f t="shared" si="5"/>
        <v>43.5</v>
      </c>
      <c r="F37" s="496">
        <f t="shared" si="5"/>
        <v>70.5</v>
      </c>
      <c r="G37" s="496">
        <f t="shared" si="5"/>
        <v>85.8</v>
      </c>
      <c r="H37" s="496">
        <f t="shared" si="5"/>
        <v>136.80000000000001</v>
      </c>
      <c r="I37" s="496">
        <f t="shared" si="5"/>
        <v>244.7</v>
      </c>
      <c r="J37" s="496">
        <f t="shared" si="5"/>
        <v>281.60000000000002</v>
      </c>
      <c r="K37" s="496">
        <f t="shared" si="5"/>
        <v>132.9</v>
      </c>
      <c r="L37" s="496">
        <f t="shared" si="5"/>
        <v>63.2</v>
      </c>
      <c r="M37" s="496">
        <f t="shared" si="5"/>
        <v>54.8</v>
      </c>
      <c r="N37" s="497">
        <f t="shared" si="5"/>
        <v>32.200000000000003</v>
      </c>
      <c r="O37" s="475">
        <f>ROUND(AVERAGE(O5:O34),1)</f>
        <v>1198.3</v>
      </c>
      <c r="P37" s="476">
        <f>ROUND(AVERAGE(P5:P34),1)</f>
        <v>99.9</v>
      </c>
    </row>
    <row r="38" spans="2:16" ht="21.95" customHeight="1"/>
    <row r="39" spans="2:16" ht="21.95" customHeight="1" thickBot="1"/>
    <row r="40" spans="2:16" ht="34.5" customHeight="1">
      <c r="B40" s="589" t="s">
        <v>40</v>
      </c>
      <c r="C40" s="590" t="s">
        <v>31</v>
      </c>
      <c r="D40" s="590" t="s">
        <v>32</v>
      </c>
      <c r="E40" s="590" t="s">
        <v>33</v>
      </c>
      <c r="F40" s="590" t="s">
        <v>34</v>
      </c>
      <c r="G40" s="590" t="s">
        <v>35</v>
      </c>
      <c r="H40" s="590" t="s">
        <v>12</v>
      </c>
      <c r="I40" s="590" t="s">
        <v>13</v>
      </c>
      <c r="J40" s="590" t="s">
        <v>14</v>
      </c>
      <c r="K40" s="590" t="s">
        <v>15</v>
      </c>
      <c r="L40" s="590" t="s">
        <v>16</v>
      </c>
      <c r="M40" s="590" t="s">
        <v>17</v>
      </c>
      <c r="N40" s="591" t="s">
        <v>18</v>
      </c>
      <c r="O40" s="592" t="s">
        <v>43</v>
      </c>
      <c r="P40" s="591" t="s">
        <v>30</v>
      </c>
    </row>
    <row r="41" spans="2:16" ht="22.5" customHeight="1">
      <c r="B41" s="498">
        <f>B25</f>
        <v>2013</v>
      </c>
      <c r="C41" s="499">
        <f t="shared" ref="C41:N41" si="6">C25</f>
        <v>28.4</v>
      </c>
      <c r="D41" s="499">
        <f t="shared" si="6"/>
        <v>40.700000000000003</v>
      </c>
      <c r="E41" s="499">
        <f t="shared" si="6"/>
        <v>53.4</v>
      </c>
      <c r="F41" s="499">
        <f t="shared" si="6"/>
        <v>68.2</v>
      </c>
      <c r="G41" s="499">
        <f t="shared" si="6"/>
        <v>116.6</v>
      </c>
      <c r="H41" s="499">
        <f t="shared" si="6"/>
        <v>159.9</v>
      </c>
      <c r="I41" s="499">
        <f t="shared" si="6"/>
        <v>267.5</v>
      </c>
      <c r="J41" s="499">
        <f t="shared" si="6"/>
        <v>214.6</v>
      </c>
      <c r="K41" s="499">
        <f t="shared" si="6"/>
        <v>320</v>
      </c>
      <c r="L41" s="499">
        <f t="shared" si="6"/>
        <v>10.9</v>
      </c>
      <c r="M41" s="499">
        <f t="shared" si="6"/>
        <v>81.099999999999994</v>
      </c>
      <c r="N41" s="474">
        <f t="shared" si="6"/>
        <v>26.4</v>
      </c>
      <c r="O41" s="473">
        <f>ROUND(SUM(C41:N41),1)</f>
        <v>1387.7</v>
      </c>
      <c r="P41" s="474">
        <f>ROUND(O41/12,1)</f>
        <v>115.6</v>
      </c>
    </row>
    <row r="42" spans="2:16" ht="22.5" customHeight="1">
      <c r="B42" s="498">
        <f t="shared" ref="B42:N42" si="7">B26</f>
        <v>2014</v>
      </c>
      <c r="C42" s="499">
        <f t="shared" si="7"/>
        <v>3.4</v>
      </c>
      <c r="D42" s="499">
        <f t="shared" si="7"/>
        <v>20.5</v>
      </c>
      <c r="E42" s="499">
        <f t="shared" si="7"/>
        <v>56.3</v>
      </c>
      <c r="F42" s="499">
        <f t="shared" si="7"/>
        <v>70</v>
      </c>
      <c r="G42" s="499">
        <f t="shared" si="7"/>
        <v>47.1</v>
      </c>
      <c r="H42" s="499">
        <f t="shared" si="7"/>
        <v>125.8</v>
      </c>
      <c r="I42" s="499">
        <f t="shared" si="7"/>
        <v>104</v>
      </c>
      <c r="J42" s="499">
        <f t="shared" si="7"/>
        <v>168.5</v>
      </c>
      <c r="K42" s="499">
        <f t="shared" si="7"/>
        <v>152</v>
      </c>
      <c r="L42" s="499">
        <f t="shared" si="7"/>
        <v>156</v>
      </c>
      <c r="M42" s="499">
        <f t="shared" si="7"/>
        <v>39.9</v>
      </c>
      <c r="N42" s="474">
        <f t="shared" si="7"/>
        <v>66.599999999999994</v>
      </c>
      <c r="O42" s="473">
        <f t="shared" ref="O42:O50" si="8">ROUND(SUM(C42:N42),1)</f>
        <v>1010.1</v>
      </c>
      <c r="P42" s="474">
        <f t="shared" ref="P42:P50" si="9">ROUND(O42/12,1)</f>
        <v>84.2</v>
      </c>
    </row>
    <row r="43" spans="2:16" ht="22.5" customHeight="1">
      <c r="B43" s="498">
        <f t="shared" ref="B43:N43" si="10">B27</f>
        <v>2015</v>
      </c>
      <c r="C43" s="499">
        <f t="shared" si="10"/>
        <v>29.9</v>
      </c>
      <c r="D43" s="499">
        <f t="shared" si="10"/>
        <v>23.4</v>
      </c>
      <c r="E43" s="499">
        <f t="shared" si="10"/>
        <v>30.9</v>
      </c>
      <c r="F43" s="499">
        <f t="shared" si="10"/>
        <v>129.69999999999999</v>
      </c>
      <c r="G43" s="499">
        <f t="shared" si="10"/>
        <v>38.799999999999997</v>
      </c>
      <c r="H43" s="499">
        <f t="shared" si="10"/>
        <v>83.9</v>
      </c>
      <c r="I43" s="499">
        <f t="shared" si="10"/>
        <v>94.7</v>
      </c>
      <c r="J43" s="499">
        <f t="shared" si="10"/>
        <v>30.2</v>
      </c>
      <c r="K43" s="499">
        <f t="shared" si="10"/>
        <v>13.3</v>
      </c>
      <c r="L43" s="499">
        <f t="shared" si="10"/>
        <v>90</v>
      </c>
      <c r="M43" s="499">
        <f t="shared" si="10"/>
        <v>155.6</v>
      </c>
      <c r="N43" s="474">
        <f t="shared" si="10"/>
        <v>65</v>
      </c>
      <c r="O43" s="473">
        <f t="shared" si="8"/>
        <v>785.4</v>
      </c>
      <c r="P43" s="474">
        <f t="shared" si="9"/>
        <v>65.5</v>
      </c>
    </row>
    <row r="44" spans="2:16" ht="22.5" customHeight="1">
      <c r="B44" s="498">
        <f t="shared" ref="B44:N44" si="11">B28</f>
        <v>2016</v>
      </c>
      <c r="C44" s="499">
        <f t="shared" si="11"/>
        <v>7.8</v>
      </c>
      <c r="D44" s="499">
        <f t="shared" si="11"/>
        <v>54.2</v>
      </c>
      <c r="E44" s="499">
        <f t="shared" si="11"/>
        <v>18.7</v>
      </c>
      <c r="F44" s="499">
        <f t="shared" si="11"/>
        <v>105.1</v>
      </c>
      <c r="G44" s="499">
        <f t="shared" si="11"/>
        <v>146.5</v>
      </c>
      <c r="H44" s="499">
        <f t="shared" si="11"/>
        <v>23.7</v>
      </c>
      <c r="I44" s="499">
        <f t="shared" si="11"/>
        <v>200.2</v>
      </c>
      <c r="J44" s="499">
        <f t="shared" si="11"/>
        <v>5.0999999999999996</v>
      </c>
      <c r="K44" s="499">
        <f t="shared" si="11"/>
        <v>73.400000000000006</v>
      </c>
      <c r="L44" s="499">
        <f t="shared" si="11"/>
        <v>108</v>
      </c>
      <c r="M44" s="499">
        <f t="shared" si="11"/>
        <v>5.6</v>
      </c>
      <c r="N44" s="474">
        <f t="shared" si="11"/>
        <v>44.5</v>
      </c>
      <c r="O44" s="473">
        <f t="shared" si="8"/>
        <v>792.8</v>
      </c>
      <c r="P44" s="474">
        <f t="shared" si="9"/>
        <v>66.099999999999994</v>
      </c>
    </row>
    <row r="45" spans="2:16" ht="22.5" customHeight="1">
      <c r="B45" s="498">
        <f t="shared" ref="B45:N45" si="12">B29</f>
        <v>2017</v>
      </c>
      <c r="C45" s="499">
        <f t="shared" si="12"/>
        <v>14.8</v>
      </c>
      <c r="D45" s="499">
        <f t="shared" si="12"/>
        <v>30.2</v>
      </c>
      <c r="E45" s="499">
        <f t="shared" si="12"/>
        <v>14.4</v>
      </c>
      <c r="F45" s="499">
        <f t="shared" si="12"/>
        <v>57.6</v>
      </c>
      <c r="G45" s="499">
        <f t="shared" si="12"/>
        <v>58.9</v>
      </c>
      <c r="H45" s="499">
        <f t="shared" si="12"/>
        <v>21.1</v>
      </c>
      <c r="I45" s="499">
        <f t="shared" si="12"/>
        <v>278.10000000000002</v>
      </c>
      <c r="J45" s="499">
        <f t="shared" si="12"/>
        <v>210</v>
      </c>
      <c r="K45" s="499">
        <f t="shared" si="12"/>
        <v>90</v>
      </c>
      <c r="L45" s="499">
        <f t="shared" si="12"/>
        <v>26.6</v>
      </c>
      <c r="M45" s="499">
        <f t="shared" si="12"/>
        <v>15.9</v>
      </c>
      <c r="N45" s="474">
        <f t="shared" si="12"/>
        <v>38.6</v>
      </c>
      <c r="O45" s="473">
        <f t="shared" si="8"/>
        <v>856.2</v>
      </c>
      <c r="P45" s="474">
        <f t="shared" si="9"/>
        <v>71.400000000000006</v>
      </c>
    </row>
    <row r="46" spans="2:16" ht="22.5" customHeight="1">
      <c r="B46" s="498">
        <f t="shared" ref="B46:N46" si="13">B30</f>
        <v>2018</v>
      </c>
      <c r="C46" s="499">
        <f t="shared" si="13"/>
        <v>15</v>
      </c>
      <c r="D46" s="499">
        <f t="shared" si="13"/>
        <v>33.6</v>
      </c>
      <c r="E46" s="499">
        <f t="shared" si="13"/>
        <v>92</v>
      </c>
      <c r="F46" s="499">
        <f t="shared" si="13"/>
        <v>128.1</v>
      </c>
      <c r="G46" s="499">
        <f t="shared" si="13"/>
        <v>104.5</v>
      </c>
      <c r="H46" s="499">
        <f t="shared" si="13"/>
        <v>71</v>
      </c>
      <c r="I46" s="499">
        <f t="shared" si="13"/>
        <v>262.7</v>
      </c>
      <c r="J46" s="499">
        <f t="shared" si="13"/>
        <v>239.6</v>
      </c>
      <c r="K46" s="499">
        <f t="shared" si="13"/>
        <v>158.19999999999999</v>
      </c>
      <c r="L46" s="499">
        <f t="shared" si="13"/>
        <v>154.69999999999999</v>
      </c>
      <c r="M46" s="499">
        <f t="shared" si="13"/>
        <v>46.7</v>
      </c>
      <c r="N46" s="474">
        <f t="shared" si="13"/>
        <v>31.1</v>
      </c>
      <c r="O46" s="473">
        <f t="shared" si="8"/>
        <v>1337.2</v>
      </c>
      <c r="P46" s="474">
        <f t="shared" si="9"/>
        <v>111.4</v>
      </c>
    </row>
    <row r="47" spans="2:16" ht="22.5" customHeight="1">
      <c r="B47" s="498">
        <f t="shared" ref="B47:N47" si="14">B31</f>
        <v>2019</v>
      </c>
      <c r="C47" s="499">
        <f t="shared" si="14"/>
        <v>1.9</v>
      </c>
      <c r="D47" s="499">
        <f t="shared" si="14"/>
        <v>17.8</v>
      </c>
      <c r="E47" s="499">
        <f t="shared" si="14"/>
        <v>18.2</v>
      </c>
      <c r="F47" s="499">
        <f t="shared" si="14"/>
        <v>71.900000000000006</v>
      </c>
      <c r="G47" s="499">
        <f t="shared" si="14"/>
        <v>31.3</v>
      </c>
      <c r="H47" s="499">
        <f t="shared" si="14"/>
        <v>56</v>
      </c>
      <c r="I47" s="499">
        <f t="shared" si="14"/>
        <v>149</v>
      </c>
      <c r="J47" s="499">
        <f t="shared" si="14"/>
        <v>131.30000000000001</v>
      </c>
      <c r="K47" s="499">
        <f t="shared" si="14"/>
        <v>118.7</v>
      </c>
      <c r="L47" s="499">
        <f t="shared" si="14"/>
        <v>63.9</v>
      </c>
      <c r="M47" s="499">
        <f t="shared" si="14"/>
        <v>130.6</v>
      </c>
      <c r="N47" s="474">
        <f t="shared" si="14"/>
        <v>31.3</v>
      </c>
      <c r="O47" s="473">
        <f t="shared" si="8"/>
        <v>821.9</v>
      </c>
      <c r="P47" s="474">
        <f t="shared" si="9"/>
        <v>68.5</v>
      </c>
    </row>
    <row r="48" spans="2:16" ht="22.5" customHeight="1">
      <c r="B48" s="498">
        <f t="shared" ref="B48:N48" si="15">B32</f>
        <v>2020</v>
      </c>
      <c r="C48" s="499">
        <f t="shared" si="15"/>
        <v>49.4</v>
      </c>
      <c r="D48" s="499">
        <f t="shared" si="15"/>
        <v>75.3</v>
      </c>
      <c r="E48" s="499">
        <f t="shared" si="15"/>
        <v>22.8</v>
      </c>
      <c r="F48" s="499">
        <f t="shared" si="15"/>
        <v>16.5</v>
      </c>
      <c r="G48" s="499">
        <f t="shared" si="15"/>
        <v>92.4</v>
      </c>
      <c r="H48" s="499">
        <f t="shared" si="15"/>
        <v>139.69999999999999</v>
      </c>
      <c r="I48" s="499">
        <f t="shared" si="15"/>
        <v>345.9</v>
      </c>
      <c r="J48" s="499">
        <f t="shared" si="15"/>
        <v>321.5</v>
      </c>
      <c r="K48" s="499">
        <f t="shared" si="15"/>
        <v>177.1</v>
      </c>
      <c r="L48" s="499">
        <f t="shared" si="15"/>
        <v>16.2</v>
      </c>
      <c r="M48" s="499">
        <f t="shared" si="15"/>
        <v>35.4</v>
      </c>
      <c r="N48" s="474">
        <f t="shared" si="15"/>
        <v>9.6999999999999993</v>
      </c>
      <c r="O48" s="473">
        <f t="shared" si="8"/>
        <v>1301.9000000000001</v>
      </c>
      <c r="P48" s="474">
        <f t="shared" si="9"/>
        <v>108.5</v>
      </c>
    </row>
    <row r="49" spans="2:16" ht="22.5" customHeight="1">
      <c r="B49" s="498">
        <f t="shared" ref="B49:N49" si="16">B33</f>
        <v>2021</v>
      </c>
      <c r="C49" s="499">
        <f t="shared" si="16"/>
        <v>32</v>
      </c>
      <c r="D49" s="499">
        <f t="shared" si="16"/>
        <v>18.7</v>
      </c>
      <c r="E49" s="499">
        <f t="shared" si="16"/>
        <v>76.099999999999994</v>
      </c>
      <c r="F49" s="499">
        <f t="shared" si="16"/>
        <v>43.4</v>
      </c>
      <c r="G49" s="499">
        <f t="shared" si="16"/>
        <v>110</v>
      </c>
      <c r="H49" s="499">
        <f t="shared" si="16"/>
        <v>55</v>
      </c>
      <c r="I49" s="499">
        <f t="shared" si="16"/>
        <v>131.30000000000001</v>
      </c>
      <c r="J49" s="499">
        <f t="shared" si="16"/>
        <v>253.7</v>
      </c>
      <c r="K49" s="499">
        <f t="shared" si="16"/>
        <v>215.9</v>
      </c>
      <c r="L49" s="499">
        <f t="shared" si="16"/>
        <v>39.6</v>
      </c>
      <c r="M49" s="499">
        <f t="shared" si="16"/>
        <v>117.8</v>
      </c>
      <c r="N49" s="474">
        <f t="shared" si="16"/>
        <v>14.4</v>
      </c>
      <c r="O49" s="473">
        <f t="shared" si="8"/>
        <v>1107.9000000000001</v>
      </c>
      <c r="P49" s="474">
        <f t="shared" si="9"/>
        <v>92.3</v>
      </c>
    </row>
    <row r="50" spans="2:16" ht="22.5" customHeight="1" thickBot="1">
      <c r="B50" s="500">
        <f t="shared" ref="B50:N50" si="17">B34</f>
        <v>2022</v>
      </c>
      <c r="C50" s="501">
        <f t="shared" si="17"/>
        <v>8.4</v>
      </c>
      <c r="D50" s="501">
        <f t="shared" si="17"/>
        <v>5.3</v>
      </c>
      <c r="E50" s="501">
        <f>E34</f>
        <v>60.9</v>
      </c>
      <c r="F50" s="501">
        <f t="shared" si="17"/>
        <v>34.799999999999997</v>
      </c>
      <c r="G50" s="501">
        <f t="shared" si="17"/>
        <v>5.7</v>
      </c>
      <c r="H50" s="501">
        <f t="shared" si="17"/>
        <v>225</v>
      </c>
      <c r="I50" s="501">
        <f t="shared" si="17"/>
        <v>119.9</v>
      </c>
      <c r="J50" s="501">
        <f t="shared" si="17"/>
        <v>637.1</v>
      </c>
      <c r="K50" s="501">
        <f t="shared" si="17"/>
        <v>102</v>
      </c>
      <c r="L50" s="501">
        <f t="shared" si="17"/>
        <v>112</v>
      </c>
      <c r="M50" s="501">
        <f t="shared" si="17"/>
        <v>23.3</v>
      </c>
      <c r="N50" s="476">
        <f t="shared" si="17"/>
        <v>14</v>
      </c>
      <c r="O50" s="475">
        <f t="shared" si="8"/>
        <v>1348.4</v>
      </c>
      <c r="P50" s="476">
        <f t="shared" si="9"/>
        <v>112.4</v>
      </c>
    </row>
    <row r="51" spans="2:16" ht="22.5" customHeight="1">
      <c r="B51" s="502" t="s">
        <v>46</v>
      </c>
      <c r="C51" s="503">
        <f>MAX(C41:C50)</f>
        <v>49.4</v>
      </c>
      <c r="D51" s="503">
        <f t="shared" ref="D51:P51" si="18">MAX(D41:D50)</f>
        <v>75.3</v>
      </c>
      <c r="E51" s="503">
        <f t="shared" si="18"/>
        <v>92</v>
      </c>
      <c r="F51" s="503">
        <f t="shared" si="18"/>
        <v>129.69999999999999</v>
      </c>
      <c r="G51" s="503">
        <f t="shared" si="18"/>
        <v>146.5</v>
      </c>
      <c r="H51" s="503">
        <f t="shared" si="18"/>
        <v>225</v>
      </c>
      <c r="I51" s="503">
        <f t="shared" si="18"/>
        <v>345.9</v>
      </c>
      <c r="J51" s="503">
        <f t="shared" si="18"/>
        <v>637.1</v>
      </c>
      <c r="K51" s="503">
        <f t="shared" si="18"/>
        <v>320</v>
      </c>
      <c r="L51" s="503">
        <f t="shared" si="18"/>
        <v>156</v>
      </c>
      <c r="M51" s="503">
        <f t="shared" si="18"/>
        <v>155.6</v>
      </c>
      <c r="N51" s="478">
        <f t="shared" si="18"/>
        <v>66.599999999999994</v>
      </c>
      <c r="O51" s="477">
        <f t="shared" si="18"/>
        <v>1387.7</v>
      </c>
      <c r="P51" s="478">
        <f t="shared" si="18"/>
        <v>115.6</v>
      </c>
    </row>
    <row r="52" spans="2:16" ht="22.5" customHeight="1">
      <c r="B52" s="498" t="s">
        <v>47</v>
      </c>
      <c r="C52" s="499">
        <f>MIN(C41:C50)</f>
        <v>1.9</v>
      </c>
      <c r="D52" s="499">
        <f t="shared" ref="D52:P52" si="19">MIN(D41:D50)</f>
        <v>5.3</v>
      </c>
      <c r="E52" s="499">
        <f t="shared" si="19"/>
        <v>14.4</v>
      </c>
      <c r="F52" s="499">
        <f t="shared" si="19"/>
        <v>16.5</v>
      </c>
      <c r="G52" s="499">
        <f t="shared" si="19"/>
        <v>5.7</v>
      </c>
      <c r="H52" s="499">
        <f t="shared" si="19"/>
        <v>21.1</v>
      </c>
      <c r="I52" s="499">
        <f t="shared" si="19"/>
        <v>94.7</v>
      </c>
      <c r="J52" s="499">
        <f t="shared" si="19"/>
        <v>5.0999999999999996</v>
      </c>
      <c r="K52" s="499">
        <f t="shared" si="19"/>
        <v>13.3</v>
      </c>
      <c r="L52" s="499">
        <f t="shared" si="19"/>
        <v>10.9</v>
      </c>
      <c r="M52" s="499">
        <f t="shared" si="19"/>
        <v>5.6</v>
      </c>
      <c r="N52" s="474">
        <f t="shared" si="19"/>
        <v>9.6999999999999993</v>
      </c>
      <c r="O52" s="473">
        <f>MIN(O41:O50)</f>
        <v>785.4</v>
      </c>
      <c r="P52" s="474">
        <f t="shared" si="19"/>
        <v>65.5</v>
      </c>
    </row>
    <row r="53" spans="2:16" ht="22.5" customHeight="1" thickBot="1">
      <c r="B53" s="500" t="s">
        <v>30</v>
      </c>
      <c r="C53" s="501">
        <f>ROUND(AVERAGE(C41:C50),1)</f>
        <v>19.100000000000001</v>
      </c>
      <c r="D53" s="501">
        <f t="shared" ref="D53:N53" si="20">ROUND(AVERAGE(D41:D50),1)</f>
        <v>32</v>
      </c>
      <c r="E53" s="501">
        <f t="shared" si="20"/>
        <v>44.4</v>
      </c>
      <c r="F53" s="501">
        <f t="shared" si="20"/>
        <v>72.5</v>
      </c>
      <c r="G53" s="501">
        <f t="shared" si="20"/>
        <v>75.2</v>
      </c>
      <c r="H53" s="501">
        <f t="shared" si="20"/>
        <v>96.1</v>
      </c>
      <c r="I53" s="501">
        <f t="shared" si="20"/>
        <v>195.3</v>
      </c>
      <c r="J53" s="501">
        <f t="shared" si="20"/>
        <v>221.2</v>
      </c>
      <c r="K53" s="501">
        <f t="shared" si="20"/>
        <v>142.1</v>
      </c>
      <c r="L53" s="501">
        <f t="shared" si="20"/>
        <v>77.8</v>
      </c>
      <c r="M53" s="501">
        <f t="shared" si="20"/>
        <v>65.2</v>
      </c>
      <c r="N53" s="476">
        <f t="shared" si="20"/>
        <v>34.200000000000003</v>
      </c>
      <c r="O53" s="475">
        <f>ROUND(AVERAGE(O41:O50),1)</f>
        <v>1075</v>
      </c>
      <c r="P53" s="476">
        <f>ROUND(AVERAGE(P41:P50),1)</f>
        <v>89.6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CategoryA_Area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28" workbookViewId="0">
      <selection activeCell="O28" sqref="O2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4.5999999999999996</v>
      </c>
      <c r="D3" s="75">
        <f>All!D5</f>
        <v>66.7</v>
      </c>
      <c r="E3" s="75">
        <f>All!E5</f>
        <v>21.6</v>
      </c>
      <c r="F3" s="75">
        <f>All!F5</f>
        <v>32.6</v>
      </c>
      <c r="G3" s="75">
        <f>All!G5</f>
        <v>68.5</v>
      </c>
      <c r="H3" s="75">
        <f>All!H5</f>
        <v>225.5</v>
      </c>
      <c r="I3" s="75">
        <f>All!I5</f>
        <v>241.5</v>
      </c>
      <c r="J3" s="75">
        <f>All!J5</f>
        <v>206.5</v>
      </c>
      <c r="K3" s="75">
        <f>All!K5</f>
        <v>141.5</v>
      </c>
      <c r="L3" s="75">
        <f>All!L5</f>
        <v>32</v>
      </c>
      <c r="M3" s="75">
        <f>All!M5</f>
        <v>87.4</v>
      </c>
      <c r="N3" s="75">
        <f>All!N5</f>
        <v>33.700000000000003</v>
      </c>
      <c r="O3" s="75">
        <f>All!O5</f>
        <v>1162.0999999999999</v>
      </c>
      <c r="P3" s="76">
        <f>All!P5</f>
        <v>96.8</v>
      </c>
    </row>
    <row r="4" spans="2:16">
      <c r="B4" s="74">
        <f>All!B6</f>
        <v>1994</v>
      </c>
      <c r="C4" s="75">
        <f>All!C6</f>
        <v>17.899999999999999</v>
      </c>
      <c r="D4" s="75">
        <f>All!D6</f>
        <v>6</v>
      </c>
      <c r="E4" s="75">
        <f>All!E6</f>
        <v>58.2</v>
      </c>
      <c r="F4" s="75">
        <f>All!F6</f>
        <v>51.5</v>
      </c>
      <c r="G4" s="75">
        <f>All!G6</f>
        <v>135.5</v>
      </c>
      <c r="H4" s="75">
        <f>All!H6</f>
        <v>207</v>
      </c>
      <c r="I4" s="75">
        <f>All!I6</f>
        <v>137</v>
      </c>
      <c r="J4" s="75">
        <f>All!J6</f>
        <v>443.5</v>
      </c>
      <c r="K4" s="75">
        <f>All!K6</f>
        <v>21</v>
      </c>
      <c r="L4" s="75">
        <f>All!L6</f>
        <v>155</v>
      </c>
      <c r="M4" s="75">
        <f>All!M6</f>
        <v>17.5</v>
      </c>
      <c r="N4" s="75">
        <f>All!N6</f>
        <v>18.899999999999999</v>
      </c>
      <c r="O4" s="75">
        <f>All!O6</f>
        <v>1269</v>
      </c>
      <c r="P4" s="76">
        <f>All!P6</f>
        <v>105.8</v>
      </c>
    </row>
    <row r="5" spans="2:16">
      <c r="B5" s="74">
        <f>All!B7</f>
        <v>1995</v>
      </c>
      <c r="C5" s="75">
        <f>All!C7</f>
        <v>15.7</v>
      </c>
      <c r="D5" s="75">
        <f>All!D7</f>
        <v>11</v>
      </c>
      <c r="E5" s="75">
        <f>All!E7</f>
        <v>19.600000000000001</v>
      </c>
      <c r="F5" s="75">
        <f>All!F7</f>
        <v>65.5</v>
      </c>
      <c r="G5" s="75">
        <f>All!G7</f>
        <v>49.5</v>
      </c>
      <c r="H5" s="75">
        <f>All!H7</f>
        <v>26.5</v>
      </c>
      <c r="I5" s="75">
        <f>All!I7</f>
        <v>144.5</v>
      </c>
      <c r="J5" s="75">
        <f>All!J7</f>
        <v>996.5</v>
      </c>
      <c r="K5" s="75">
        <f>All!K7</f>
        <v>70.5</v>
      </c>
      <c r="L5" s="75">
        <f>All!L7</f>
        <v>24.5</v>
      </c>
      <c r="M5" s="75">
        <f>All!M7</f>
        <v>23</v>
      </c>
      <c r="N5" s="75">
        <f>All!N7</f>
        <v>12.7</v>
      </c>
      <c r="O5" s="75">
        <f>All!O7</f>
        <v>1459.5</v>
      </c>
      <c r="P5" s="76">
        <f>All!P7</f>
        <v>121.6</v>
      </c>
    </row>
    <row r="6" spans="2:16">
      <c r="B6" s="74">
        <f>All!B8</f>
        <v>1996</v>
      </c>
      <c r="C6" s="75">
        <f>All!C8</f>
        <v>33.4</v>
      </c>
      <c r="D6" s="75">
        <f>All!D8</f>
        <v>6.8</v>
      </c>
      <c r="E6" s="75">
        <f>All!E8</f>
        <v>104.5</v>
      </c>
      <c r="F6" s="75">
        <f>All!F8</f>
        <v>34</v>
      </c>
      <c r="G6" s="75">
        <f>All!G8</f>
        <v>22.5</v>
      </c>
      <c r="H6" s="75">
        <f>All!H8</f>
        <v>235</v>
      </c>
      <c r="I6" s="75">
        <f>All!I8</f>
        <v>192.5</v>
      </c>
      <c r="J6" s="75">
        <f>All!J8</f>
        <v>44.5</v>
      </c>
      <c r="K6" s="75">
        <f>All!K8</f>
        <v>14</v>
      </c>
      <c r="L6" s="75">
        <f>All!L8</f>
        <v>106.5</v>
      </c>
      <c r="M6" s="75">
        <f>All!M8</f>
        <v>74.2</v>
      </c>
      <c r="N6" s="75">
        <f>All!N8</f>
        <v>31.7</v>
      </c>
      <c r="O6" s="75">
        <f>All!O8</f>
        <v>899.6</v>
      </c>
      <c r="P6" s="76">
        <f>All!P8</f>
        <v>75</v>
      </c>
    </row>
    <row r="7" spans="2:16">
      <c r="B7" s="74">
        <f>All!B9</f>
        <v>1997</v>
      </c>
      <c r="C7" s="75">
        <f>All!C9</f>
        <v>15.1</v>
      </c>
      <c r="D7" s="75">
        <f>All!D9</f>
        <v>38.4</v>
      </c>
      <c r="E7" s="75">
        <f>All!E9</f>
        <v>30.5</v>
      </c>
      <c r="F7" s="75">
        <f>All!F9</f>
        <v>57.5</v>
      </c>
      <c r="G7" s="75">
        <f>All!G9</f>
        <v>203</v>
      </c>
      <c r="H7" s="75">
        <f>All!H9</f>
        <v>272</v>
      </c>
      <c r="I7" s="75">
        <f>All!I9</f>
        <v>353.5</v>
      </c>
      <c r="J7" s="75">
        <f>All!J9</f>
        <v>211.5</v>
      </c>
      <c r="K7" s="75">
        <f>All!K9</f>
        <v>23</v>
      </c>
      <c r="L7" s="75">
        <f>All!L9</f>
        <v>10</v>
      </c>
      <c r="M7" s="75">
        <f>All!M9</f>
        <v>193.5</v>
      </c>
      <c r="N7" s="75">
        <f>All!N9</f>
        <v>34.299999999999997</v>
      </c>
      <c r="O7" s="75">
        <f>All!O9</f>
        <v>1442.3</v>
      </c>
      <c r="P7" s="76">
        <f>All!P9</f>
        <v>120.2</v>
      </c>
    </row>
    <row r="8" spans="2:16">
      <c r="B8" s="74">
        <f>All!B10</f>
        <v>1998</v>
      </c>
      <c r="C8" s="75">
        <f>All!C10</f>
        <v>29.9</v>
      </c>
      <c r="D8" s="75">
        <f>All!D10</f>
        <v>40.200000000000003</v>
      </c>
      <c r="E8" s="75">
        <f>All!E10</f>
        <v>30.5</v>
      </c>
      <c r="F8" s="75">
        <f>All!F10</f>
        <v>138</v>
      </c>
      <c r="G8" s="75">
        <f>All!G10</f>
        <v>100</v>
      </c>
      <c r="H8" s="75">
        <f>All!H10</f>
        <v>209.5</v>
      </c>
      <c r="I8" s="75">
        <f>All!I10</f>
        <v>263</v>
      </c>
      <c r="J8" s="75">
        <f>All!J10</f>
        <v>341.7</v>
      </c>
      <c r="K8" s="75">
        <f>All!K10</f>
        <v>150.30000000000001</v>
      </c>
      <c r="L8" s="75">
        <f>All!L10</f>
        <v>61</v>
      </c>
      <c r="M8" s="75">
        <f>All!M10</f>
        <v>29.3</v>
      </c>
      <c r="N8" s="75">
        <f>All!N10</f>
        <v>3.8</v>
      </c>
      <c r="O8" s="75">
        <f>All!O10</f>
        <v>1397.2</v>
      </c>
      <c r="P8" s="76">
        <f>All!P10</f>
        <v>116.4</v>
      </c>
    </row>
    <row r="9" spans="2:16">
      <c r="B9" s="74">
        <f>All!B11</f>
        <v>1999</v>
      </c>
      <c r="C9" s="75">
        <f>All!C11</f>
        <v>7.9</v>
      </c>
      <c r="D9" s="75">
        <f>All!D11</f>
        <v>9.5</v>
      </c>
      <c r="E9" s="75">
        <f>All!E11</f>
        <v>71</v>
      </c>
      <c r="F9" s="75">
        <f>All!F11</f>
        <v>88.5</v>
      </c>
      <c r="G9" s="75">
        <f>All!G11</f>
        <v>124.5</v>
      </c>
      <c r="H9" s="75">
        <f>All!H11</f>
        <v>192.5</v>
      </c>
      <c r="I9" s="75">
        <f>All!I11</f>
        <v>98</v>
      </c>
      <c r="J9" s="75">
        <f>All!J11</f>
        <v>180</v>
      </c>
      <c r="K9" s="75">
        <f>All!K11</f>
        <v>292.5</v>
      </c>
      <c r="L9" s="75">
        <f>All!L11</f>
        <v>169</v>
      </c>
      <c r="M9" s="75">
        <f>All!M11</f>
        <v>24.9</v>
      </c>
      <c r="N9" s="75">
        <f>All!N11</f>
        <v>25.8</v>
      </c>
      <c r="O9" s="75">
        <f>All!O11</f>
        <v>1284.0999999999999</v>
      </c>
      <c r="P9" s="76">
        <f>All!P11</f>
        <v>107</v>
      </c>
    </row>
    <row r="10" spans="2:16">
      <c r="B10" s="74">
        <f>All!B12</f>
        <v>2000</v>
      </c>
      <c r="C10" s="75">
        <f>All!C12</f>
        <v>42.1</v>
      </c>
      <c r="D10" s="75">
        <f>All!D12</f>
        <v>3.2</v>
      </c>
      <c r="E10" s="75">
        <f>All!E12</f>
        <v>7</v>
      </c>
      <c r="F10" s="75">
        <f>All!F12</f>
        <v>35</v>
      </c>
      <c r="G10" s="75">
        <f>All!G12</f>
        <v>53.5</v>
      </c>
      <c r="H10" s="75">
        <f>All!H12</f>
        <v>159.5</v>
      </c>
      <c r="I10" s="75">
        <f>All!I12</f>
        <v>155</v>
      </c>
      <c r="J10" s="75">
        <f>All!J12</f>
        <v>701.5</v>
      </c>
      <c r="K10" s="75">
        <f>All!K12</f>
        <v>241</v>
      </c>
      <c r="L10" s="75">
        <f>All!L12</f>
        <v>46</v>
      </c>
      <c r="M10" s="75">
        <f>All!M12</f>
        <v>39.5</v>
      </c>
      <c r="N10" s="75">
        <f>All!N12</f>
        <v>32.1</v>
      </c>
      <c r="O10" s="75">
        <f>All!O12</f>
        <v>1515.4</v>
      </c>
      <c r="P10" s="76">
        <f>All!P12</f>
        <v>126.3</v>
      </c>
    </row>
    <row r="11" spans="2:16">
      <c r="B11" s="74">
        <f>All!B13</f>
        <v>2001</v>
      </c>
      <c r="C11" s="75">
        <f>All!C13</f>
        <v>73.3</v>
      </c>
      <c r="D11" s="75">
        <f>All!D13</f>
        <v>46</v>
      </c>
      <c r="E11" s="75">
        <f>All!E13</f>
        <v>15.9</v>
      </c>
      <c r="F11" s="75">
        <f>All!F13</f>
        <v>26</v>
      </c>
      <c r="G11" s="75">
        <f>All!G13</f>
        <v>17</v>
      </c>
      <c r="H11" s="75">
        <f>All!H13</f>
        <v>129</v>
      </c>
      <c r="I11" s="75">
        <f>All!I13</f>
        <v>286.5</v>
      </c>
      <c r="J11" s="75">
        <f>All!J13</f>
        <v>170</v>
      </c>
      <c r="K11" s="75">
        <f>All!K13</f>
        <v>10</v>
      </c>
      <c r="L11" s="75">
        <f>All!L13</f>
        <v>85</v>
      </c>
      <c r="M11" s="75">
        <f>All!M13</f>
        <v>13</v>
      </c>
      <c r="N11" s="75">
        <f>All!N13</f>
        <v>32</v>
      </c>
      <c r="O11" s="75">
        <f>All!O13</f>
        <v>903.7</v>
      </c>
      <c r="P11" s="76">
        <f>All!P13</f>
        <v>75.3</v>
      </c>
    </row>
    <row r="12" spans="2:16">
      <c r="B12" s="74">
        <f>All!B14</f>
        <v>2002</v>
      </c>
      <c r="C12" s="75">
        <f>All!C14</f>
        <v>50.8</v>
      </c>
      <c r="D12" s="75">
        <f>All!D14</f>
        <v>5.5</v>
      </c>
      <c r="E12" s="75">
        <f>All!E14</f>
        <v>32</v>
      </c>
      <c r="F12" s="75">
        <f>All!F14</f>
        <v>169</v>
      </c>
      <c r="G12" s="75">
        <f>All!G14</f>
        <v>155.5</v>
      </c>
      <c r="H12" s="75">
        <f>All!H14</f>
        <v>72</v>
      </c>
      <c r="I12" s="75">
        <f>All!I14</f>
        <v>217.5</v>
      </c>
      <c r="J12" s="75">
        <f>All!J14</f>
        <v>477</v>
      </c>
      <c r="K12" s="75">
        <f>All!K14</f>
        <v>27</v>
      </c>
      <c r="L12" s="75">
        <f>All!L14</f>
        <v>134</v>
      </c>
      <c r="M12" s="75">
        <f>All!M14</f>
        <v>61.1</v>
      </c>
      <c r="N12" s="75">
        <f>All!N14</f>
        <v>51.8</v>
      </c>
      <c r="O12" s="75">
        <f>All!O14</f>
        <v>1453.2</v>
      </c>
      <c r="P12" s="76">
        <f>All!P14</f>
        <v>121.1</v>
      </c>
    </row>
    <row r="13" spans="2:16">
      <c r="B13" s="74">
        <f>All!B15</f>
        <v>2003</v>
      </c>
      <c r="C13" s="75">
        <f>All!C15</f>
        <v>30.7</v>
      </c>
      <c r="D13" s="75">
        <f>All!D15</f>
        <v>44.5</v>
      </c>
      <c r="E13" s="75">
        <f>All!E15</f>
        <v>39.5</v>
      </c>
      <c r="F13" s="75">
        <f>All!F15</f>
        <v>168.5</v>
      </c>
      <c r="G13" s="75">
        <f>All!G15</f>
        <v>78.5</v>
      </c>
      <c r="H13" s="75">
        <f>All!H15</f>
        <v>153</v>
      </c>
      <c r="I13" s="75">
        <f>All!I15</f>
        <v>309.5</v>
      </c>
      <c r="J13" s="75">
        <f>All!J15</f>
        <v>310</v>
      </c>
      <c r="K13" s="75">
        <f>All!K15</f>
        <v>128</v>
      </c>
      <c r="L13" s="75">
        <f>All!L15</f>
        <v>23</v>
      </c>
      <c r="M13" s="75">
        <f>All!M15</f>
        <v>45.5</v>
      </c>
      <c r="N13" s="75">
        <f>All!N15</f>
        <v>13</v>
      </c>
      <c r="O13" s="75">
        <f>All!O15</f>
        <v>1343.7</v>
      </c>
      <c r="P13" s="76">
        <f>All!P15</f>
        <v>112</v>
      </c>
    </row>
    <row r="14" spans="2:16">
      <c r="B14" s="74">
        <f>All!B16</f>
        <v>2004</v>
      </c>
      <c r="C14" s="75">
        <f>All!C16</f>
        <v>22.1</v>
      </c>
      <c r="D14" s="75">
        <f>All!D16</f>
        <v>28.5</v>
      </c>
      <c r="E14" s="75">
        <f>All!E16</f>
        <v>45.7</v>
      </c>
      <c r="F14" s="75">
        <f>All!F16</f>
        <v>58</v>
      </c>
      <c r="G14" s="75">
        <f>All!G16</f>
        <v>105.5</v>
      </c>
      <c r="H14" s="75">
        <f>All!H16</f>
        <v>234.5</v>
      </c>
      <c r="I14" s="75">
        <f>All!I16</f>
        <v>263.5</v>
      </c>
      <c r="J14" s="75">
        <f>All!J16</f>
        <v>164</v>
      </c>
      <c r="K14" s="75">
        <f>All!K16</f>
        <v>195</v>
      </c>
      <c r="L14" s="75">
        <f>All!L16</f>
        <v>4</v>
      </c>
      <c r="M14" s="75">
        <f>All!M16</f>
        <v>56.5</v>
      </c>
      <c r="N14" s="75">
        <f>All!N16</f>
        <v>38.9</v>
      </c>
      <c r="O14" s="75">
        <f>All!O16</f>
        <v>1216.2</v>
      </c>
      <c r="P14" s="76">
        <f>All!P16</f>
        <v>101.4</v>
      </c>
    </row>
    <row r="15" spans="2:16">
      <c r="B15" s="74">
        <f>All!B17</f>
        <v>2005</v>
      </c>
      <c r="C15" s="75">
        <f>All!C17</f>
        <v>5.8</v>
      </c>
      <c r="D15" s="75">
        <f>All!D17</f>
        <v>35.799999999999997</v>
      </c>
      <c r="E15" s="75">
        <f>All!E17</f>
        <v>30</v>
      </c>
      <c r="F15" s="75">
        <f>All!F17</f>
        <v>73.5</v>
      </c>
      <c r="G15" s="75">
        <f>All!G17</f>
        <v>48.5</v>
      </c>
      <c r="H15" s="75">
        <f>All!H17</f>
        <v>156</v>
      </c>
      <c r="I15" s="75">
        <f>All!I17</f>
        <v>260.5</v>
      </c>
      <c r="J15" s="75">
        <f>All!J17</f>
        <v>291.5</v>
      </c>
      <c r="K15" s="75">
        <f>All!K17</f>
        <v>282.5</v>
      </c>
      <c r="L15" s="75">
        <f>All!L17</f>
        <v>21</v>
      </c>
      <c r="M15" s="75">
        <f>All!M17</f>
        <v>18</v>
      </c>
      <c r="N15" s="75">
        <f>All!N17</f>
        <v>43.4</v>
      </c>
      <c r="O15" s="75">
        <f>All!O17</f>
        <v>1266.5</v>
      </c>
      <c r="P15" s="76">
        <f>All!P17</f>
        <v>105.5</v>
      </c>
    </row>
    <row r="16" spans="2:16">
      <c r="B16" s="74">
        <f>All!B18</f>
        <v>2006</v>
      </c>
      <c r="C16" s="75">
        <f>All!C18</f>
        <v>27</v>
      </c>
      <c r="D16" s="75">
        <f>All!D18</f>
        <v>25.9</v>
      </c>
      <c r="E16" s="75">
        <f>All!E18</f>
        <v>10.6</v>
      </c>
      <c r="F16" s="75">
        <f>All!F18</f>
        <v>81.5</v>
      </c>
      <c r="G16" s="75">
        <f>All!G18</f>
        <v>94.5</v>
      </c>
      <c r="H16" s="75">
        <f>All!H18</f>
        <v>114.5</v>
      </c>
      <c r="I16" s="75">
        <f>All!I18</f>
        <v>321</v>
      </c>
      <c r="J16" s="75">
        <f>All!J18</f>
        <v>21.5</v>
      </c>
      <c r="K16" s="75">
        <f>All!K18</f>
        <v>23.5</v>
      </c>
      <c r="L16" s="75">
        <f>All!L18</f>
        <v>24.5</v>
      </c>
      <c r="M16" s="75">
        <f>All!M18</f>
        <v>61.5</v>
      </c>
      <c r="N16" s="75">
        <f>All!N18</f>
        <v>25.4</v>
      </c>
      <c r="O16" s="75">
        <f>All!O18</f>
        <v>831.4</v>
      </c>
      <c r="P16" s="76">
        <f>All!P18</f>
        <v>69.3</v>
      </c>
    </row>
    <row r="17" spans="2:16">
      <c r="B17" s="74">
        <f>All!B19</f>
        <v>2007</v>
      </c>
      <c r="C17" s="75">
        <f>All!C19</f>
        <v>23.4</v>
      </c>
      <c r="D17" s="75">
        <f>All!D19</f>
        <v>29.8</v>
      </c>
      <c r="E17" s="75">
        <f>All!E19</f>
        <v>102</v>
      </c>
      <c r="F17" s="75">
        <f>All!F19</f>
        <v>29.5</v>
      </c>
      <c r="G17" s="75">
        <f>All!G19</f>
        <v>79</v>
      </c>
      <c r="H17" s="75">
        <f>All!H19</f>
        <v>85</v>
      </c>
      <c r="I17" s="75">
        <f>All!I19</f>
        <v>214</v>
      </c>
      <c r="J17" s="75">
        <f>All!J19</f>
        <v>239.5</v>
      </c>
      <c r="K17" s="75">
        <f>All!K19</f>
        <v>384</v>
      </c>
      <c r="L17" s="75">
        <f>All!L19</f>
        <v>59</v>
      </c>
      <c r="M17" s="75">
        <f>All!M19</f>
        <v>17.5</v>
      </c>
      <c r="N17" s="75">
        <f>All!N19</f>
        <v>33.1</v>
      </c>
      <c r="O17" s="75">
        <f>All!O19</f>
        <v>1295.8</v>
      </c>
      <c r="P17" s="76">
        <f>All!P19</f>
        <v>108</v>
      </c>
    </row>
    <row r="18" spans="2:16">
      <c r="B18" s="74">
        <f>All!B20</f>
        <v>2008</v>
      </c>
      <c r="C18" s="75">
        <f>All!C20</f>
        <v>20.9</v>
      </c>
      <c r="D18" s="75">
        <f>All!D20</f>
        <v>10.8</v>
      </c>
      <c r="E18" s="75">
        <f>All!E20</f>
        <v>48.2</v>
      </c>
      <c r="F18" s="75">
        <f>All!F20</f>
        <v>40.5</v>
      </c>
      <c r="G18" s="75">
        <f>All!G20</f>
        <v>78.900000000000006</v>
      </c>
      <c r="H18" s="75">
        <f>All!H20</f>
        <v>101.3</v>
      </c>
      <c r="I18" s="75">
        <f>All!I20</f>
        <v>257.2</v>
      </c>
      <c r="J18" s="75">
        <f>All!J20</f>
        <v>119.5</v>
      </c>
      <c r="K18" s="75">
        <f>All!K20</f>
        <v>46.9</v>
      </c>
      <c r="L18" s="75">
        <f>All!L20</f>
        <v>26.7</v>
      </c>
      <c r="M18" s="75">
        <f>All!M20</f>
        <v>37.6</v>
      </c>
      <c r="N18" s="75">
        <f>All!N20</f>
        <v>25</v>
      </c>
      <c r="O18" s="75">
        <f>All!O20</f>
        <v>813.5</v>
      </c>
      <c r="P18" s="76">
        <f>All!P20</f>
        <v>67.8</v>
      </c>
    </row>
    <row r="19" spans="2:16">
      <c r="B19" s="74">
        <f>All!B21</f>
        <v>2009</v>
      </c>
      <c r="C19" s="75">
        <f>All!C21</f>
        <v>18.5</v>
      </c>
      <c r="D19" s="75">
        <f>All!D21</f>
        <v>23.3</v>
      </c>
      <c r="E19" s="75">
        <f>All!E21</f>
        <v>55.1</v>
      </c>
      <c r="F19" s="75">
        <f>All!F21</f>
        <v>41.5</v>
      </c>
      <c r="G19" s="75">
        <f>All!G21</f>
        <v>154.5</v>
      </c>
      <c r="H19" s="75">
        <f>All!H21</f>
        <v>115.1</v>
      </c>
      <c r="I19" s="75">
        <f>All!I21</f>
        <v>320.89999999999998</v>
      </c>
      <c r="J19" s="75">
        <f>All!J21</f>
        <v>176.6</v>
      </c>
      <c r="K19" s="75">
        <f>All!K21</f>
        <v>25.5</v>
      </c>
      <c r="L19" s="75">
        <f>All!L21</f>
        <v>39.5</v>
      </c>
      <c r="M19" s="75">
        <f>All!M21</f>
        <v>52.9</v>
      </c>
      <c r="N19" s="75">
        <f>All!N21</f>
        <v>58</v>
      </c>
      <c r="O19" s="75">
        <f>All!O21</f>
        <v>1081.4000000000001</v>
      </c>
      <c r="P19" s="76">
        <f>All!P21</f>
        <v>90.1</v>
      </c>
    </row>
    <row r="20" spans="2:16">
      <c r="B20" s="74">
        <f>All!B22</f>
        <v>2010</v>
      </c>
      <c r="C20" s="75">
        <f>All!C22</f>
        <v>30.1</v>
      </c>
      <c r="D20" s="75">
        <f>All!D22</f>
        <v>73.5</v>
      </c>
      <c r="E20" s="75">
        <f>All!E22</f>
        <v>75.900000000000006</v>
      </c>
      <c r="F20" s="75">
        <f>All!F22</f>
        <v>58.5</v>
      </c>
      <c r="G20" s="75">
        <f>All!G22</f>
        <v>122.8</v>
      </c>
      <c r="H20" s="75">
        <f>All!H22</f>
        <v>60.8</v>
      </c>
      <c r="I20" s="75">
        <f>All!I22</f>
        <v>396.5</v>
      </c>
      <c r="J20" s="75">
        <f>All!J22</f>
        <v>402.7</v>
      </c>
      <c r="K20" s="75">
        <f>All!K22</f>
        <v>213.1</v>
      </c>
      <c r="L20" s="75">
        <f>All!L22</f>
        <v>19.2</v>
      </c>
      <c r="M20" s="75">
        <f>All!M22</f>
        <v>16.3</v>
      </c>
      <c r="N20" s="75">
        <f>All!N22</f>
        <v>32.9</v>
      </c>
      <c r="O20" s="75">
        <f>All!O22</f>
        <v>1502.3</v>
      </c>
      <c r="P20" s="76">
        <f>All!P22</f>
        <v>125.2</v>
      </c>
    </row>
    <row r="21" spans="2:16">
      <c r="B21" s="74">
        <f>All!B23</f>
        <v>2011</v>
      </c>
      <c r="C21" s="75">
        <f>All!C23</f>
        <v>11.1</v>
      </c>
      <c r="D21" s="75">
        <f>All!D23</f>
        <v>37.5</v>
      </c>
      <c r="E21" s="75">
        <f>All!E23</f>
        <v>18</v>
      </c>
      <c r="F21" s="75">
        <f>All!F23</f>
        <v>72.099999999999994</v>
      </c>
      <c r="G21" s="75">
        <f>All!G23</f>
        <v>115.3</v>
      </c>
      <c r="H21" s="75">
        <f>All!H23</f>
        <v>318</v>
      </c>
      <c r="I21" s="75">
        <f>All!I23</f>
        <v>723.1</v>
      </c>
      <c r="J21" s="75">
        <f>All!J23</f>
        <v>289.39999999999998</v>
      </c>
      <c r="K21" s="75">
        <f>All!K23</f>
        <v>70.8</v>
      </c>
      <c r="L21" s="75">
        <f>All!L23</f>
        <v>13.9</v>
      </c>
      <c r="M21" s="75">
        <f>All!M23</f>
        <v>61.3</v>
      </c>
      <c r="N21" s="75">
        <f>All!N23</f>
        <v>12.5</v>
      </c>
      <c r="O21" s="75">
        <f>All!O23</f>
        <v>1743</v>
      </c>
      <c r="P21" s="76">
        <f>All!P23</f>
        <v>145.30000000000001</v>
      </c>
    </row>
    <row r="22" spans="2:16">
      <c r="B22" s="74">
        <f>All!B24</f>
        <v>2012</v>
      </c>
      <c r="C22" s="75">
        <f>All!C24</f>
        <v>24.2</v>
      </c>
      <c r="D22" s="75">
        <f>All!D24</f>
        <v>9.1999999999999993</v>
      </c>
      <c r="E22" s="75">
        <f>All!E24</f>
        <v>45</v>
      </c>
      <c r="F22" s="75">
        <f>All!F24</f>
        <v>68.900000000000006</v>
      </c>
      <c r="G22" s="75">
        <f>All!G24</f>
        <v>14.6</v>
      </c>
      <c r="H22" s="75">
        <f>All!H24</f>
        <v>76.8</v>
      </c>
      <c r="I22" s="75">
        <f>All!I24</f>
        <v>231.1</v>
      </c>
      <c r="J22" s="75">
        <f>All!J24</f>
        <v>450.2</v>
      </c>
      <c r="K22" s="75">
        <f>All!K24</f>
        <v>207.7</v>
      </c>
      <c r="L22" s="75">
        <f>All!L24</f>
        <v>65</v>
      </c>
      <c r="M22" s="75">
        <f>All!M24</f>
        <v>61.1</v>
      </c>
      <c r="N22" s="75">
        <f>All!N24</f>
        <v>65.2</v>
      </c>
      <c r="O22" s="75">
        <f>All!O24</f>
        <v>1319</v>
      </c>
      <c r="P22" s="76">
        <f>All!P24</f>
        <v>109.9</v>
      </c>
    </row>
    <row r="23" spans="2:16" s="376" customFormat="1">
      <c r="B23" s="373">
        <f>All!B25</f>
        <v>2013</v>
      </c>
      <c r="C23" s="374">
        <f>All!C25</f>
        <v>28.4</v>
      </c>
      <c r="D23" s="374">
        <f>All!D25</f>
        <v>40.700000000000003</v>
      </c>
      <c r="E23" s="374">
        <f>All!E25</f>
        <v>53.4</v>
      </c>
      <c r="F23" s="374">
        <f>All!F25</f>
        <v>68.2</v>
      </c>
      <c r="G23" s="374">
        <f>All!G25</f>
        <v>116.6</v>
      </c>
      <c r="H23" s="374">
        <f>All!H25</f>
        <v>159.9</v>
      </c>
      <c r="I23" s="374">
        <f>All!I25</f>
        <v>267.5</v>
      </c>
      <c r="J23" s="374">
        <f>All!J25</f>
        <v>214.6</v>
      </c>
      <c r="K23" s="374">
        <f>All!K25</f>
        <v>320</v>
      </c>
      <c r="L23" s="374">
        <f>All!L25</f>
        <v>10.9</v>
      </c>
      <c r="M23" s="374">
        <f>All!M25</f>
        <v>81.099999999999994</v>
      </c>
      <c r="N23" s="374">
        <f>All!N25</f>
        <v>26.4</v>
      </c>
      <c r="O23" s="374">
        <f>All!O25</f>
        <v>1387.7</v>
      </c>
      <c r="P23" s="375">
        <f>All!P25</f>
        <v>115.6</v>
      </c>
    </row>
    <row r="24" spans="2:16">
      <c r="B24" s="74">
        <f>All!B26</f>
        <v>2014</v>
      </c>
      <c r="C24" s="75">
        <f>All!C26</f>
        <v>3.4</v>
      </c>
      <c r="D24" s="75">
        <f>All!D26</f>
        <v>20.5</v>
      </c>
      <c r="E24" s="75">
        <f>All!E26</f>
        <v>56.3</v>
      </c>
      <c r="F24" s="75">
        <f>All!F26</f>
        <v>70</v>
      </c>
      <c r="G24" s="75">
        <f>All!G26</f>
        <v>47.1</v>
      </c>
      <c r="H24" s="75">
        <f>All!H26</f>
        <v>125.8</v>
      </c>
      <c r="I24" s="75">
        <f>All!I26</f>
        <v>104</v>
      </c>
      <c r="J24" s="75">
        <f>All!J26</f>
        <v>168.5</v>
      </c>
      <c r="K24" s="75">
        <f>All!K26</f>
        <v>152</v>
      </c>
      <c r="L24" s="75">
        <f>All!L26</f>
        <v>156</v>
      </c>
      <c r="M24" s="75">
        <f>All!M26</f>
        <v>39.9</v>
      </c>
      <c r="N24" s="75">
        <f>All!N26</f>
        <v>66.599999999999994</v>
      </c>
      <c r="O24" s="75">
        <f>All!O26</f>
        <v>1010.1</v>
      </c>
      <c r="P24" s="76">
        <f>All!P26</f>
        <v>84.2</v>
      </c>
    </row>
    <row r="25" spans="2:16">
      <c r="B25" s="74">
        <f>All!B27</f>
        <v>2015</v>
      </c>
      <c r="C25" s="75">
        <f>All!C27</f>
        <v>29.9</v>
      </c>
      <c r="D25" s="75">
        <f>All!D27</f>
        <v>23.4</v>
      </c>
      <c r="E25" s="75">
        <f>All!E27</f>
        <v>30.9</v>
      </c>
      <c r="F25" s="75">
        <f>All!F27</f>
        <v>129.69999999999999</v>
      </c>
      <c r="G25" s="75">
        <f>All!G27</f>
        <v>38.799999999999997</v>
      </c>
      <c r="H25" s="75">
        <f>All!H27</f>
        <v>83.9</v>
      </c>
      <c r="I25" s="75">
        <f>All!I27</f>
        <v>94.7</v>
      </c>
      <c r="J25" s="75">
        <f>All!J27</f>
        <v>30.2</v>
      </c>
      <c r="K25" s="75">
        <f>All!K27</f>
        <v>13.3</v>
      </c>
      <c r="L25" s="75">
        <f>All!L27</f>
        <v>90</v>
      </c>
      <c r="M25" s="75">
        <f>All!M27</f>
        <v>155.6</v>
      </c>
      <c r="N25" s="75">
        <f>All!N27</f>
        <v>65</v>
      </c>
      <c r="O25" s="75">
        <f>All!O27</f>
        <v>785.4</v>
      </c>
      <c r="P25" s="76">
        <f>All!P27</f>
        <v>65.5</v>
      </c>
    </row>
    <row r="26" spans="2:16">
      <c r="B26" s="74">
        <f>All!B28</f>
        <v>2016</v>
      </c>
      <c r="C26" s="75">
        <f>All!C28</f>
        <v>7.8</v>
      </c>
      <c r="D26" s="75">
        <f>All!D28</f>
        <v>54.2</v>
      </c>
      <c r="E26" s="75">
        <f>All!E28</f>
        <v>18.7</v>
      </c>
      <c r="F26" s="75">
        <f>All!F28</f>
        <v>105.1</v>
      </c>
      <c r="G26" s="75">
        <f>All!G28</f>
        <v>146.5</v>
      </c>
      <c r="H26" s="75">
        <f>All!H28</f>
        <v>23.7</v>
      </c>
      <c r="I26" s="75">
        <f>All!I28</f>
        <v>200.2</v>
      </c>
      <c r="J26" s="75">
        <f>All!J28</f>
        <v>5.0999999999999996</v>
      </c>
      <c r="K26" s="75">
        <f>All!K28</f>
        <v>73.400000000000006</v>
      </c>
      <c r="L26" s="75">
        <f>All!L28</f>
        <v>108</v>
      </c>
      <c r="M26" s="75">
        <f>All!M28</f>
        <v>5.6</v>
      </c>
      <c r="N26" s="75">
        <f>All!N28</f>
        <v>44.5</v>
      </c>
      <c r="O26" s="75">
        <f>All!O28</f>
        <v>792.8</v>
      </c>
      <c r="P26" s="76">
        <f>All!P28</f>
        <v>66.099999999999994</v>
      </c>
    </row>
    <row r="27" spans="2:16">
      <c r="B27" s="74">
        <f>All!B29</f>
        <v>2017</v>
      </c>
      <c r="C27" s="75">
        <f>All!C29</f>
        <v>14.8</v>
      </c>
      <c r="D27" s="75">
        <f>All!D29</f>
        <v>30.2</v>
      </c>
      <c r="E27" s="75">
        <f>All!E29</f>
        <v>14.4</v>
      </c>
      <c r="F27" s="75">
        <f>All!F29</f>
        <v>57.6</v>
      </c>
      <c r="G27" s="75">
        <f>All!G29</f>
        <v>58.9</v>
      </c>
      <c r="H27" s="75">
        <f>All!H29</f>
        <v>21.1</v>
      </c>
      <c r="I27" s="75">
        <f>All!I29</f>
        <v>278.10000000000002</v>
      </c>
      <c r="J27" s="75">
        <f>All!J29</f>
        <v>210</v>
      </c>
      <c r="K27" s="75">
        <f>All!K29</f>
        <v>90</v>
      </c>
      <c r="L27" s="75">
        <f>All!L29</f>
        <v>26.6</v>
      </c>
      <c r="M27" s="75">
        <f>All!M29</f>
        <v>15.9</v>
      </c>
      <c r="N27" s="75">
        <f>All!N29</f>
        <v>38.6</v>
      </c>
      <c r="O27" s="75">
        <f>All!O29</f>
        <v>856.2</v>
      </c>
      <c r="P27" s="76">
        <f>All!P29</f>
        <v>71.400000000000006</v>
      </c>
    </row>
    <row r="28" spans="2:16">
      <c r="B28" s="74">
        <f>All!B30</f>
        <v>2018</v>
      </c>
      <c r="C28" s="75">
        <f>All!C30</f>
        <v>15</v>
      </c>
      <c r="D28" s="75">
        <f>All!D30</f>
        <v>33.6</v>
      </c>
      <c r="E28" s="75">
        <f>All!E30</f>
        <v>92</v>
      </c>
      <c r="F28" s="75">
        <f>All!F30</f>
        <v>128.1</v>
      </c>
      <c r="G28" s="75">
        <f>All!G30</f>
        <v>104.5</v>
      </c>
      <c r="H28" s="75">
        <f>All!H30</f>
        <v>71</v>
      </c>
      <c r="I28" s="75">
        <f>All!I30</f>
        <v>262.7</v>
      </c>
      <c r="J28" s="75">
        <f>All!J30</f>
        <v>239.6</v>
      </c>
      <c r="K28" s="75">
        <f>All!K30</f>
        <v>158.19999999999999</v>
      </c>
      <c r="L28" s="75">
        <f>All!L30</f>
        <v>154.69999999999999</v>
      </c>
      <c r="M28" s="75">
        <f>All!M30</f>
        <v>46.7</v>
      </c>
      <c r="N28" s="75">
        <f>All!N30</f>
        <v>31.1</v>
      </c>
      <c r="O28" s="75">
        <f>All!O30</f>
        <v>1337.2</v>
      </c>
      <c r="P28" s="76">
        <f>All!P30</f>
        <v>111.4</v>
      </c>
    </row>
    <row r="29" spans="2:16">
      <c r="B29" s="74">
        <f>All!B31</f>
        <v>2019</v>
      </c>
      <c r="C29" s="75">
        <f>All!C31</f>
        <v>1.9</v>
      </c>
      <c r="D29" s="75">
        <f>All!D31</f>
        <v>17.8</v>
      </c>
      <c r="E29" s="75">
        <f>All!E31</f>
        <v>18.2</v>
      </c>
      <c r="F29" s="75">
        <f>All!F31</f>
        <v>71.900000000000006</v>
      </c>
      <c r="G29" s="75">
        <f>All!G31</f>
        <v>31.3</v>
      </c>
      <c r="H29" s="75">
        <f>All!H31</f>
        <v>56</v>
      </c>
      <c r="I29" s="75">
        <f>All!I31</f>
        <v>149</v>
      </c>
      <c r="J29" s="75">
        <f>All!J31</f>
        <v>131.30000000000001</v>
      </c>
      <c r="K29" s="75">
        <f>All!K31</f>
        <v>118.7</v>
      </c>
      <c r="L29" s="75">
        <f>All!L31</f>
        <v>63.9</v>
      </c>
      <c r="M29" s="75">
        <f>All!M31</f>
        <v>130.6</v>
      </c>
      <c r="N29" s="75">
        <f>All!N31</f>
        <v>31.3</v>
      </c>
      <c r="O29" s="75">
        <f>All!O31</f>
        <v>821.9</v>
      </c>
      <c r="P29" s="76">
        <f>All!P31</f>
        <v>68.5</v>
      </c>
    </row>
    <row r="30" spans="2:16">
      <c r="B30" s="74">
        <f>All!B32</f>
        <v>2020</v>
      </c>
      <c r="C30" s="75">
        <f>All!C32</f>
        <v>49.4</v>
      </c>
      <c r="D30" s="75">
        <f>All!D32</f>
        <v>75.3</v>
      </c>
      <c r="E30" s="75">
        <f>All!E32</f>
        <v>22.8</v>
      </c>
      <c r="F30" s="75">
        <f>All!F32</f>
        <v>16.5</v>
      </c>
      <c r="G30" s="75">
        <f>All!G32</f>
        <v>92.4</v>
      </c>
      <c r="H30" s="75">
        <f>All!H32</f>
        <v>139.69999999999999</v>
      </c>
      <c r="I30" s="75">
        <f>All!I32</f>
        <v>345.9</v>
      </c>
      <c r="J30" s="75">
        <f>All!J32</f>
        <v>321.5</v>
      </c>
      <c r="K30" s="75">
        <f>All!K32</f>
        <v>177.1</v>
      </c>
      <c r="L30" s="75">
        <f>All!L32</f>
        <v>16.2</v>
      </c>
      <c r="M30" s="75">
        <f>All!M32</f>
        <v>35.4</v>
      </c>
      <c r="N30" s="75">
        <f>All!N32</f>
        <v>9.6999999999999993</v>
      </c>
      <c r="O30" s="75">
        <f>All!O32</f>
        <v>1301.9000000000001</v>
      </c>
      <c r="P30" s="76">
        <f>All!P32</f>
        <v>108.5</v>
      </c>
    </row>
    <row r="31" spans="2:16">
      <c r="B31" s="74">
        <f>All!B33</f>
        <v>2021</v>
      </c>
      <c r="C31" s="75">
        <f>All!C33</f>
        <v>32</v>
      </c>
      <c r="D31" s="75">
        <f>All!D33</f>
        <v>18.7</v>
      </c>
      <c r="E31" s="75">
        <f>All!E33</f>
        <v>76.099999999999994</v>
      </c>
      <c r="F31" s="75">
        <f>All!F33</f>
        <v>43.4</v>
      </c>
      <c r="G31" s="75">
        <f>All!G33</f>
        <v>110</v>
      </c>
      <c r="H31" s="75">
        <f>All!H33</f>
        <v>55</v>
      </c>
      <c r="I31" s="75">
        <f>All!I33</f>
        <v>131.30000000000001</v>
      </c>
      <c r="J31" s="75">
        <f>All!J33</f>
        <v>253.7</v>
      </c>
      <c r="K31" s="75">
        <f>All!K33</f>
        <v>215.9</v>
      </c>
      <c r="L31" s="75">
        <f>All!L33</f>
        <v>39.6</v>
      </c>
      <c r="M31" s="75">
        <f>All!M33</f>
        <v>117.8</v>
      </c>
      <c r="N31" s="75">
        <f>All!N33</f>
        <v>14.4</v>
      </c>
      <c r="O31" s="75">
        <f>All!O33</f>
        <v>1107.9000000000001</v>
      </c>
      <c r="P31" s="76">
        <f>All!P33</f>
        <v>92.3</v>
      </c>
    </row>
    <row r="32" spans="2:16">
      <c r="B32" s="74">
        <f>All!B34</f>
        <v>2022</v>
      </c>
      <c r="C32" s="75">
        <f>All!C34</f>
        <v>8.4</v>
      </c>
      <c r="D32" s="75">
        <f>All!D34</f>
        <v>5.3</v>
      </c>
      <c r="E32" s="75">
        <f>All!E34</f>
        <v>60.9</v>
      </c>
      <c r="F32" s="75">
        <f>All!F34</f>
        <v>34.799999999999997</v>
      </c>
      <c r="G32" s="75">
        <f>All!G34</f>
        <v>5.7</v>
      </c>
      <c r="H32" s="75">
        <f>All!H34</f>
        <v>225</v>
      </c>
      <c r="I32" s="75">
        <f>All!I34</f>
        <v>119.9</v>
      </c>
      <c r="J32" s="75">
        <f>All!J34</f>
        <v>637.1</v>
      </c>
      <c r="K32" s="75">
        <f>All!K34</f>
        <v>102</v>
      </c>
      <c r="L32" s="75">
        <f>All!L34</f>
        <v>112</v>
      </c>
      <c r="M32" s="75">
        <f>All!M34</f>
        <v>23.3</v>
      </c>
      <c r="N32" s="75">
        <f>All!N34</f>
        <v>14</v>
      </c>
      <c r="O32" s="75">
        <f>All!O34</f>
        <v>1348.4</v>
      </c>
      <c r="P32" s="76">
        <f>All!P34</f>
        <v>112.4</v>
      </c>
    </row>
    <row r="33" spans="2:17">
      <c r="B33" s="77" t="s">
        <v>173</v>
      </c>
      <c r="C33" s="78">
        <f>ROUND(SUM(C23:C32)/10,1)</f>
        <v>19.100000000000001</v>
      </c>
      <c r="D33" s="78">
        <f t="shared" ref="D33:P33" si="0">ROUND(SUM(D23:D32)/10,1)</f>
        <v>32</v>
      </c>
      <c r="E33" s="78">
        <f t="shared" si="0"/>
        <v>44.4</v>
      </c>
      <c r="F33" s="78">
        <f t="shared" si="0"/>
        <v>72.5</v>
      </c>
      <c r="G33" s="78">
        <f t="shared" si="0"/>
        <v>75.2</v>
      </c>
      <c r="H33" s="78">
        <f t="shared" si="0"/>
        <v>96.1</v>
      </c>
      <c r="I33" s="78">
        <f t="shared" si="0"/>
        <v>195.3</v>
      </c>
      <c r="J33" s="78">
        <f t="shared" si="0"/>
        <v>221.2</v>
      </c>
      <c r="K33" s="78">
        <f t="shared" si="0"/>
        <v>142.1</v>
      </c>
      <c r="L33" s="78">
        <f t="shared" si="0"/>
        <v>77.8</v>
      </c>
      <c r="M33" s="78">
        <f t="shared" si="0"/>
        <v>65.2</v>
      </c>
      <c r="N33" s="78">
        <f t="shared" si="0"/>
        <v>34.200000000000003</v>
      </c>
      <c r="O33" s="78">
        <f t="shared" si="0"/>
        <v>1075</v>
      </c>
      <c r="P33" s="79">
        <f t="shared" si="0"/>
        <v>89.6</v>
      </c>
    </row>
    <row r="34" spans="2:17" ht="17.25" thickBot="1">
      <c r="B34" s="116" t="s">
        <v>172</v>
      </c>
      <c r="C34" s="80">
        <f>All!C37</f>
        <v>23.2</v>
      </c>
      <c r="D34" s="80">
        <f>All!D37</f>
        <v>29.1</v>
      </c>
      <c r="E34" s="80">
        <f>All!E37</f>
        <v>43.5</v>
      </c>
      <c r="F34" s="80">
        <f>All!F37</f>
        <v>70.5</v>
      </c>
      <c r="G34" s="80">
        <f>All!G37</f>
        <v>85.8</v>
      </c>
      <c r="H34" s="80">
        <f>All!H37</f>
        <v>136.80000000000001</v>
      </c>
      <c r="I34" s="80">
        <f>All!I37</f>
        <v>244.7</v>
      </c>
      <c r="J34" s="80">
        <f>All!J37</f>
        <v>281.60000000000002</v>
      </c>
      <c r="K34" s="80">
        <f>All!K37</f>
        <v>132.9</v>
      </c>
      <c r="L34" s="80">
        <f>All!L37</f>
        <v>63.2</v>
      </c>
      <c r="M34" s="80">
        <f>All!M37</f>
        <v>54.8</v>
      </c>
      <c r="N34" s="80">
        <f>All!N37</f>
        <v>32.200000000000003</v>
      </c>
      <c r="O34" s="80">
        <f>All!O37</f>
        <v>1198.3</v>
      </c>
      <c r="P34" s="81">
        <f>All!P37</f>
        <v>99.9</v>
      </c>
    </row>
    <row r="36" spans="2:17" ht="17.25" thickBot="1"/>
    <row r="37" spans="2:17" ht="26.25" customHeight="1">
      <c r="B37" s="71" t="s">
        <v>29</v>
      </c>
      <c r="C37" s="73" t="s">
        <v>159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1387.7</v>
      </c>
      <c r="D38" s="88" t="s">
        <v>30</v>
      </c>
      <c r="E38" s="89">
        <f>All!C53</f>
        <v>19.100000000000001</v>
      </c>
      <c r="F38" s="89">
        <f>All!D53</f>
        <v>32</v>
      </c>
      <c r="G38" s="89">
        <f>All!E53</f>
        <v>44.4</v>
      </c>
      <c r="H38" s="89">
        <f>All!F53</f>
        <v>72.5</v>
      </c>
      <c r="I38" s="89">
        <f>All!G53</f>
        <v>75.2</v>
      </c>
      <c r="J38" s="89">
        <f>All!H53</f>
        <v>96.1</v>
      </c>
      <c r="K38" s="89">
        <f>All!I53</f>
        <v>195.3</v>
      </c>
      <c r="L38" s="89">
        <f>All!J53</f>
        <v>221.2</v>
      </c>
      <c r="M38" s="89">
        <f>All!K53</f>
        <v>142.1</v>
      </c>
      <c r="N38" s="89">
        <f>All!L53</f>
        <v>77.8</v>
      </c>
      <c r="O38" s="89">
        <f>All!M53</f>
        <v>65.2</v>
      </c>
      <c r="P38" s="89">
        <f>All!N53</f>
        <v>34.200000000000003</v>
      </c>
      <c r="Q38" s="140">
        <f>All!P53</f>
        <v>89.6</v>
      </c>
    </row>
    <row r="39" spans="2:17">
      <c r="B39" s="74">
        <f t="shared" ref="B39:B48" si="1">B24</f>
        <v>2014</v>
      </c>
      <c r="C39" s="76">
        <f t="shared" ref="C39:C48" si="2">O24</f>
        <v>1010.1</v>
      </c>
    </row>
    <row r="40" spans="2:17">
      <c r="B40" s="74">
        <f t="shared" si="1"/>
        <v>2015</v>
      </c>
      <c r="C40" s="76">
        <f t="shared" si="2"/>
        <v>785.4</v>
      </c>
    </row>
    <row r="41" spans="2:17">
      <c r="B41" s="74">
        <f t="shared" si="1"/>
        <v>2016</v>
      </c>
      <c r="C41" s="76">
        <f t="shared" si="2"/>
        <v>792.8</v>
      </c>
    </row>
    <row r="42" spans="2:17">
      <c r="B42" s="74">
        <f t="shared" si="1"/>
        <v>2017</v>
      </c>
      <c r="C42" s="76">
        <f t="shared" si="2"/>
        <v>856.2</v>
      </c>
    </row>
    <row r="43" spans="2:17">
      <c r="B43" s="74">
        <f t="shared" si="1"/>
        <v>2018</v>
      </c>
      <c r="C43" s="76">
        <f t="shared" si="2"/>
        <v>1337.2</v>
      </c>
    </row>
    <row r="44" spans="2:17">
      <c r="B44" s="74">
        <f t="shared" si="1"/>
        <v>2019</v>
      </c>
      <c r="C44" s="76">
        <f t="shared" si="2"/>
        <v>821.9</v>
      </c>
    </row>
    <row r="45" spans="2:17">
      <c r="B45" s="74">
        <f t="shared" si="1"/>
        <v>2020</v>
      </c>
      <c r="C45" s="76">
        <f t="shared" si="2"/>
        <v>1301.9000000000001</v>
      </c>
    </row>
    <row r="46" spans="2:17">
      <c r="B46" s="74">
        <f t="shared" si="1"/>
        <v>2021</v>
      </c>
      <c r="C46" s="76">
        <f t="shared" si="2"/>
        <v>1107.9000000000001</v>
      </c>
    </row>
    <row r="47" spans="2:17">
      <c r="B47" s="74">
        <f t="shared" si="1"/>
        <v>2022</v>
      </c>
      <c r="C47" s="76">
        <f t="shared" si="2"/>
        <v>1348.4</v>
      </c>
    </row>
    <row r="48" spans="2:17" ht="17.25" thickBot="1">
      <c r="B48" s="82" t="str">
        <f t="shared" si="1"/>
        <v>10년평균</v>
      </c>
      <c r="C48" s="83">
        <f t="shared" si="2"/>
        <v>1075</v>
      </c>
    </row>
    <row r="50" spans="2:3" ht="17.25" thickBot="1"/>
    <row r="51" spans="2:3">
      <c r="B51" s="114" t="s">
        <v>174</v>
      </c>
      <c r="C51" s="115" t="s">
        <v>159</v>
      </c>
    </row>
    <row r="52" spans="2:3">
      <c r="B52" s="111">
        <f>B3</f>
        <v>1993</v>
      </c>
      <c r="C52" s="112">
        <f>O3</f>
        <v>1162.0999999999999</v>
      </c>
    </row>
    <row r="53" spans="2:3">
      <c r="B53" s="111">
        <f t="shared" ref="B53:B81" si="3">B4</f>
        <v>1994</v>
      </c>
      <c r="C53" s="112">
        <f t="shared" ref="C53:C81" si="4">O4</f>
        <v>1269</v>
      </c>
    </row>
    <row r="54" spans="2:3">
      <c r="B54" s="111">
        <f t="shared" si="3"/>
        <v>1995</v>
      </c>
      <c r="C54" s="112">
        <f t="shared" si="4"/>
        <v>1459.5</v>
      </c>
    </row>
    <row r="55" spans="2:3">
      <c r="B55" s="111">
        <f t="shared" si="3"/>
        <v>1996</v>
      </c>
      <c r="C55" s="112">
        <f t="shared" si="4"/>
        <v>899.6</v>
      </c>
    </row>
    <row r="56" spans="2:3">
      <c r="B56" s="111">
        <f t="shared" si="3"/>
        <v>1997</v>
      </c>
      <c r="C56" s="112">
        <f t="shared" si="4"/>
        <v>1442.3</v>
      </c>
    </row>
    <row r="57" spans="2:3">
      <c r="B57" s="111">
        <f t="shared" si="3"/>
        <v>1998</v>
      </c>
      <c r="C57" s="112">
        <f t="shared" si="4"/>
        <v>1397.2</v>
      </c>
    </row>
    <row r="58" spans="2:3">
      <c r="B58" s="111">
        <f t="shared" si="3"/>
        <v>1999</v>
      </c>
      <c r="C58" s="112">
        <f t="shared" si="4"/>
        <v>1284.0999999999999</v>
      </c>
    </row>
    <row r="59" spans="2:3">
      <c r="B59" s="111">
        <f t="shared" si="3"/>
        <v>2000</v>
      </c>
      <c r="C59" s="112">
        <f t="shared" si="4"/>
        <v>1515.4</v>
      </c>
    </row>
    <row r="60" spans="2:3">
      <c r="B60" s="111">
        <f t="shared" si="3"/>
        <v>2001</v>
      </c>
      <c r="C60" s="112">
        <f t="shared" si="4"/>
        <v>903.7</v>
      </c>
    </row>
    <row r="61" spans="2:3">
      <c r="B61" s="111">
        <f t="shared" si="3"/>
        <v>2002</v>
      </c>
      <c r="C61" s="112">
        <f t="shared" si="4"/>
        <v>1453.2</v>
      </c>
    </row>
    <row r="62" spans="2:3">
      <c r="B62" s="111">
        <f t="shared" si="3"/>
        <v>2003</v>
      </c>
      <c r="C62" s="112">
        <f t="shared" si="4"/>
        <v>1343.7</v>
      </c>
    </row>
    <row r="63" spans="2:3">
      <c r="B63" s="111">
        <f t="shared" si="3"/>
        <v>2004</v>
      </c>
      <c r="C63" s="112">
        <f t="shared" si="4"/>
        <v>1216.2</v>
      </c>
    </row>
    <row r="64" spans="2:3">
      <c r="B64" s="111">
        <f t="shared" si="3"/>
        <v>2005</v>
      </c>
      <c r="C64" s="112">
        <f t="shared" si="4"/>
        <v>1266.5</v>
      </c>
    </row>
    <row r="65" spans="2:3">
      <c r="B65" s="111">
        <f t="shared" si="3"/>
        <v>2006</v>
      </c>
      <c r="C65" s="112">
        <f t="shared" si="4"/>
        <v>831.4</v>
      </c>
    </row>
    <row r="66" spans="2:3">
      <c r="B66" s="111">
        <f t="shared" si="3"/>
        <v>2007</v>
      </c>
      <c r="C66" s="112">
        <f t="shared" si="4"/>
        <v>1295.8</v>
      </c>
    </row>
    <row r="67" spans="2:3">
      <c r="B67" s="111">
        <f t="shared" si="3"/>
        <v>2008</v>
      </c>
      <c r="C67" s="112">
        <f t="shared" si="4"/>
        <v>813.5</v>
      </c>
    </row>
    <row r="68" spans="2:3">
      <c r="B68" s="111">
        <f t="shared" si="3"/>
        <v>2009</v>
      </c>
      <c r="C68" s="112">
        <f t="shared" si="4"/>
        <v>1081.4000000000001</v>
      </c>
    </row>
    <row r="69" spans="2:3">
      <c r="B69" s="111">
        <f t="shared" si="3"/>
        <v>2010</v>
      </c>
      <c r="C69" s="112">
        <f t="shared" si="4"/>
        <v>1502.3</v>
      </c>
    </row>
    <row r="70" spans="2:3">
      <c r="B70" s="111">
        <f t="shared" si="3"/>
        <v>2011</v>
      </c>
      <c r="C70" s="112">
        <f t="shared" si="4"/>
        <v>1743</v>
      </c>
    </row>
    <row r="71" spans="2:3">
      <c r="B71" s="111">
        <f t="shared" si="3"/>
        <v>2012</v>
      </c>
      <c r="C71" s="112">
        <f t="shared" si="4"/>
        <v>1319</v>
      </c>
    </row>
    <row r="72" spans="2:3">
      <c r="B72" s="111">
        <f t="shared" si="3"/>
        <v>2013</v>
      </c>
      <c r="C72" s="112">
        <f t="shared" si="4"/>
        <v>1387.7</v>
      </c>
    </row>
    <row r="73" spans="2:3">
      <c r="B73" s="111">
        <f t="shared" si="3"/>
        <v>2014</v>
      </c>
      <c r="C73" s="112">
        <f t="shared" si="4"/>
        <v>1010.1</v>
      </c>
    </row>
    <row r="74" spans="2:3">
      <c r="B74" s="111">
        <f t="shared" si="3"/>
        <v>2015</v>
      </c>
      <c r="C74" s="112">
        <f t="shared" si="4"/>
        <v>785.4</v>
      </c>
    </row>
    <row r="75" spans="2:3">
      <c r="B75" s="111">
        <f t="shared" si="3"/>
        <v>2016</v>
      </c>
      <c r="C75" s="112">
        <f t="shared" si="4"/>
        <v>792.8</v>
      </c>
    </row>
    <row r="76" spans="2:3">
      <c r="B76" s="111">
        <f t="shared" si="3"/>
        <v>2017</v>
      </c>
      <c r="C76" s="112">
        <f t="shared" si="4"/>
        <v>856.2</v>
      </c>
    </row>
    <row r="77" spans="2:3">
      <c r="B77" s="111">
        <f t="shared" si="3"/>
        <v>2018</v>
      </c>
      <c r="C77" s="112">
        <f t="shared" si="4"/>
        <v>1337.2</v>
      </c>
    </row>
    <row r="78" spans="2:3">
      <c r="B78" s="111">
        <f>B29</f>
        <v>2019</v>
      </c>
      <c r="C78" s="112">
        <f t="shared" si="4"/>
        <v>821.9</v>
      </c>
    </row>
    <row r="79" spans="2:3">
      <c r="B79" s="111">
        <f t="shared" si="3"/>
        <v>2020</v>
      </c>
      <c r="C79" s="112">
        <f t="shared" si="4"/>
        <v>1301.9000000000001</v>
      </c>
    </row>
    <row r="80" spans="2:3">
      <c r="B80" s="111">
        <f t="shared" si="3"/>
        <v>2021</v>
      </c>
      <c r="C80" s="112">
        <f t="shared" si="4"/>
        <v>1107.9000000000001</v>
      </c>
    </row>
    <row r="81" spans="2:3">
      <c r="B81" s="111">
        <f t="shared" si="3"/>
        <v>2022</v>
      </c>
      <c r="C81" s="112">
        <f t="shared" si="4"/>
        <v>1348.4</v>
      </c>
    </row>
    <row r="82" spans="2:3" ht="17.25" thickBot="1">
      <c r="B82" s="88" t="str">
        <f>B34</f>
        <v>30년평균</v>
      </c>
      <c r="C82" s="113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975"/>
  <sheetViews>
    <sheetView tabSelected="1" zoomScaleNormal="100" workbookViewId="0">
      <selection activeCell="O33" sqref="O33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564" customWidth="1"/>
    <col min="16" max="16" width="8.77734375" style="69" customWidth="1"/>
    <col min="17" max="16384" width="8.88671875" style="69"/>
  </cols>
  <sheetData>
    <row r="2" spans="2:16" ht="20.25" customHeight="1">
      <c r="B2" s="505" t="str">
        <f>All!B2</f>
        <v>보령기상청</v>
      </c>
      <c r="C2" s="70" t="s">
        <v>361</v>
      </c>
    </row>
    <row r="3" spans="2:16" ht="17.25" thickBot="1">
      <c r="I3" s="285"/>
      <c r="J3" s="285"/>
      <c r="K3" s="285"/>
    </row>
    <row r="4" spans="2:16" ht="29.25" customHeight="1">
      <c r="B4" s="364"/>
      <c r="C4" s="561" t="s">
        <v>7</v>
      </c>
      <c r="D4" s="562" t="s">
        <v>8</v>
      </c>
      <c r="E4" s="562" t="s">
        <v>9</v>
      </c>
      <c r="F4" s="562" t="s">
        <v>10</v>
      </c>
      <c r="G4" s="562" t="s">
        <v>11</v>
      </c>
      <c r="H4" s="562" t="s">
        <v>12</v>
      </c>
      <c r="I4" s="562" t="s">
        <v>13</v>
      </c>
      <c r="J4" s="562" t="s">
        <v>14</v>
      </c>
      <c r="K4" s="562" t="s">
        <v>15</v>
      </c>
      <c r="L4" s="562" t="s">
        <v>16</v>
      </c>
      <c r="M4" s="562" t="s">
        <v>17</v>
      </c>
      <c r="N4" s="563" t="s">
        <v>18</v>
      </c>
      <c r="O4" s="565" t="s">
        <v>19</v>
      </c>
      <c r="P4" s="563" t="s">
        <v>20</v>
      </c>
    </row>
    <row r="5" spans="2:16" ht="22.15" customHeight="1">
      <c r="B5" s="366">
        <f>All!B41</f>
        <v>2013</v>
      </c>
      <c r="C5" s="360">
        <f>All!C41</f>
        <v>28.4</v>
      </c>
      <c r="D5" s="348">
        <f>All!D41</f>
        <v>40.700000000000003</v>
      </c>
      <c r="E5" s="348">
        <f>All!E41</f>
        <v>53.4</v>
      </c>
      <c r="F5" s="348">
        <f>All!F41</f>
        <v>68.2</v>
      </c>
      <c r="G5" s="348">
        <f>All!G41</f>
        <v>116.6</v>
      </c>
      <c r="H5" s="348">
        <f>All!H41</f>
        <v>159.9</v>
      </c>
      <c r="I5" s="348">
        <f>All!I41</f>
        <v>267.5</v>
      </c>
      <c r="J5" s="348">
        <f>All!J41</f>
        <v>214.6</v>
      </c>
      <c r="K5" s="348">
        <f>All!K41</f>
        <v>320</v>
      </c>
      <c r="L5" s="348">
        <f>All!L41</f>
        <v>10.9</v>
      </c>
      <c r="M5" s="348">
        <f>All!M41</f>
        <v>81.099999999999994</v>
      </c>
      <c r="N5" s="349">
        <f>All!N41</f>
        <v>26.4</v>
      </c>
      <c r="O5" s="566">
        <f>All!O41</f>
        <v>1387.7</v>
      </c>
      <c r="P5" s="349">
        <f>All!P41</f>
        <v>115.6</v>
      </c>
    </row>
    <row r="6" spans="2:16" ht="22.15" customHeight="1">
      <c r="B6" s="365">
        <f>All!B42</f>
        <v>2014</v>
      </c>
      <c r="C6" s="360">
        <f>All!C42</f>
        <v>3.4</v>
      </c>
      <c r="D6" s="348">
        <f>All!D42</f>
        <v>20.5</v>
      </c>
      <c r="E6" s="348">
        <f>All!E42</f>
        <v>56.3</v>
      </c>
      <c r="F6" s="348">
        <f>All!F42</f>
        <v>70</v>
      </c>
      <c r="G6" s="348">
        <f>All!G42</f>
        <v>47.1</v>
      </c>
      <c r="H6" s="348">
        <f>All!H42</f>
        <v>125.8</v>
      </c>
      <c r="I6" s="348">
        <f>All!I42</f>
        <v>104</v>
      </c>
      <c r="J6" s="348">
        <f>All!J42</f>
        <v>168.5</v>
      </c>
      <c r="K6" s="348">
        <f>All!K42</f>
        <v>152</v>
      </c>
      <c r="L6" s="348">
        <f>All!L42</f>
        <v>156</v>
      </c>
      <c r="M6" s="348">
        <f>All!M42</f>
        <v>39.9</v>
      </c>
      <c r="N6" s="349">
        <f>All!N42</f>
        <v>66.599999999999994</v>
      </c>
      <c r="O6" s="567">
        <f>All!O42</f>
        <v>1010.1</v>
      </c>
      <c r="P6" s="349">
        <f>All!P42</f>
        <v>84.2</v>
      </c>
    </row>
    <row r="7" spans="2:16" ht="22.15" customHeight="1">
      <c r="B7" s="366">
        <f>All!B43</f>
        <v>2015</v>
      </c>
      <c r="C7" s="360">
        <f>All!C43</f>
        <v>29.9</v>
      </c>
      <c r="D7" s="348">
        <f>All!D43</f>
        <v>23.4</v>
      </c>
      <c r="E7" s="348">
        <f>All!E43</f>
        <v>30.9</v>
      </c>
      <c r="F7" s="348">
        <f>All!F43</f>
        <v>129.69999999999999</v>
      </c>
      <c r="G7" s="348">
        <f>All!G43</f>
        <v>38.799999999999997</v>
      </c>
      <c r="H7" s="348">
        <f>All!H43</f>
        <v>83.9</v>
      </c>
      <c r="I7" s="348">
        <f>All!I43</f>
        <v>94.7</v>
      </c>
      <c r="J7" s="348">
        <f>All!J43</f>
        <v>30.2</v>
      </c>
      <c r="K7" s="348">
        <f>All!K43</f>
        <v>13.3</v>
      </c>
      <c r="L7" s="348">
        <f>All!L43</f>
        <v>90</v>
      </c>
      <c r="M7" s="348">
        <f>All!M43</f>
        <v>155.6</v>
      </c>
      <c r="N7" s="349">
        <f>All!N43</f>
        <v>65</v>
      </c>
      <c r="O7" s="566">
        <f>All!O43</f>
        <v>785.4</v>
      </c>
      <c r="P7" s="349">
        <f>All!P43</f>
        <v>65.5</v>
      </c>
    </row>
    <row r="8" spans="2:16" ht="22.15" customHeight="1">
      <c r="B8" s="365">
        <f>All!B44</f>
        <v>2016</v>
      </c>
      <c r="C8" s="360">
        <f>All!C44</f>
        <v>7.8</v>
      </c>
      <c r="D8" s="348">
        <f>All!D44</f>
        <v>54.2</v>
      </c>
      <c r="E8" s="348">
        <f>All!E44</f>
        <v>18.7</v>
      </c>
      <c r="F8" s="348">
        <f>All!F44</f>
        <v>105.1</v>
      </c>
      <c r="G8" s="348">
        <f>All!G44</f>
        <v>146.5</v>
      </c>
      <c r="H8" s="348">
        <f>All!H44</f>
        <v>23.7</v>
      </c>
      <c r="I8" s="348">
        <f>All!I44</f>
        <v>200.2</v>
      </c>
      <c r="J8" s="348">
        <f>All!J44</f>
        <v>5.0999999999999996</v>
      </c>
      <c r="K8" s="348">
        <f>All!K44</f>
        <v>73.400000000000006</v>
      </c>
      <c r="L8" s="348">
        <f>All!L44</f>
        <v>108</v>
      </c>
      <c r="M8" s="348">
        <f>All!M44</f>
        <v>5.6</v>
      </c>
      <c r="N8" s="349">
        <f>All!N44</f>
        <v>44.5</v>
      </c>
      <c r="O8" s="567">
        <f>All!O44</f>
        <v>792.8</v>
      </c>
      <c r="P8" s="349">
        <f>All!P44</f>
        <v>66.099999999999994</v>
      </c>
    </row>
    <row r="9" spans="2:16" ht="22.15" customHeight="1">
      <c r="B9" s="365">
        <f>All!B45</f>
        <v>2017</v>
      </c>
      <c r="C9" s="360">
        <f>All!C45</f>
        <v>14.8</v>
      </c>
      <c r="D9" s="348">
        <f>All!D45</f>
        <v>30.2</v>
      </c>
      <c r="E9" s="348">
        <f>All!E45</f>
        <v>14.4</v>
      </c>
      <c r="F9" s="348">
        <f>All!F45</f>
        <v>57.6</v>
      </c>
      <c r="G9" s="348">
        <f>All!G45</f>
        <v>58.9</v>
      </c>
      <c r="H9" s="348">
        <f>All!H45</f>
        <v>21.1</v>
      </c>
      <c r="I9" s="348">
        <f>All!I45</f>
        <v>278.10000000000002</v>
      </c>
      <c r="J9" s="348">
        <f>All!J45</f>
        <v>210</v>
      </c>
      <c r="K9" s="348">
        <f>All!K45</f>
        <v>90</v>
      </c>
      <c r="L9" s="348">
        <f>All!L45</f>
        <v>26.6</v>
      </c>
      <c r="M9" s="348">
        <f>All!M45</f>
        <v>15.9</v>
      </c>
      <c r="N9" s="349">
        <f>All!N45</f>
        <v>38.6</v>
      </c>
      <c r="O9" s="567">
        <f>All!O45</f>
        <v>856.2</v>
      </c>
      <c r="P9" s="349">
        <f>All!P45</f>
        <v>71.400000000000006</v>
      </c>
    </row>
    <row r="10" spans="2:16" ht="22.15" customHeight="1">
      <c r="B10" s="365">
        <f>All!B46</f>
        <v>2018</v>
      </c>
      <c r="C10" s="360">
        <f>All!C46</f>
        <v>15</v>
      </c>
      <c r="D10" s="348">
        <f>All!D46</f>
        <v>33.6</v>
      </c>
      <c r="E10" s="348">
        <f>All!E46</f>
        <v>92</v>
      </c>
      <c r="F10" s="348">
        <f>All!F46</f>
        <v>128.1</v>
      </c>
      <c r="G10" s="348">
        <f>All!G46</f>
        <v>104.5</v>
      </c>
      <c r="H10" s="348">
        <f>All!H46</f>
        <v>71</v>
      </c>
      <c r="I10" s="348">
        <f>All!I46</f>
        <v>262.7</v>
      </c>
      <c r="J10" s="348">
        <f>All!J46</f>
        <v>239.6</v>
      </c>
      <c r="K10" s="348">
        <f>All!K46</f>
        <v>158.19999999999999</v>
      </c>
      <c r="L10" s="348">
        <f>All!L46</f>
        <v>154.69999999999999</v>
      </c>
      <c r="M10" s="348">
        <f>All!M46</f>
        <v>46.7</v>
      </c>
      <c r="N10" s="349">
        <f>All!N46</f>
        <v>31.1</v>
      </c>
      <c r="O10" s="567">
        <f>All!O46</f>
        <v>1337.2</v>
      </c>
      <c r="P10" s="349">
        <f>All!P46</f>
        <v>111.4</v>
      </c>
    </row>
    <row r="11" spans="2:16" ht="22.15" customHeight="1">
      <c r="B11" s="365">
        <f>All!B47</f>
        <v>2019</v>
      </c>
      <c r="C11" s="360">
        <f>All!C47</f>
        <v>1.9</v>
      </c>
      <c r="D11" s="348">
        <f>All!D47</f>
        <v>17.8</v>
      </c>
      <c r="E11" s="348">
        <f>All!E47</f>
        <v>18.2</v>
      </c>
      <c r="F11" s="348">
        <f>All!F47</f>
        <v>71.900000000000006</v>
      </c>
      <c r="G11" s="348">
        <f>All!G47</f>
        <v>31.3</v>
      </c>
      <c r="H11" s="348">
        <f>All!H47</f>
        <v>56</v>
      </c>
      <c r="I11" s="348">
        <f>All!I47</f>
        <v>149</v>
      </c>
      <c r="J11" s="348">
        <f>All!J47</f>
        <v>131.30000000000001</v>
      </c>
      <c r="K11" s="348">
        <f>All!K47</f>
        <v>118.7</v>
      </c>
      <c r="L11" s="348">
        <f>All!L47</f>
        <v>63.9</v>
      </c>
      <c r="M11" s="348">
        <f>All!M47</f>
        <v>130.6</v>
      </c>
      <c r="N11" s="349">
        <f>All!N47</f>
        <v>31.3</v>
      </c>
      <c r="O11" s="567">
        <f>All!O47</f>
        <v>821.9</v>
      </c>
      <c r="P11" s="349">
        <f>All!P47</f>
        <v>68.5</v>
      </c>
    </row>
    <row r="12" spans="2:16" ht="22.15" customHeight="1">
      <c r="B12" s="365">
        <f>All!B48</f>
        <v>2020</v>
      </c>
      <c r="C12" s="360">
        <f>All!C48</f>
        <v>49.4</v>
      </c>
      <c r="D12" s="348">
        <f>All!D48</f>
        <v>75.3</v>
      </c>
      <c r="E12" s="348">
        <f>All!E48</f>
        <v>22.8</v>
      </c>
      <c r="F12" s="348">
        <f>All!F48</f>
        <v>16.5</v>
      </c>
      <c r="G12" s="348">
        <f>All!G48</f>
        <v>92.4</v>
      </c>
      <c r="H12" s="348">
        <f>All!H48</f>
        <v>139.69999999999999</v>
      </c>
      <c r="I12" s="348">
        <f>All!I48</f>
        <v>345.9</v>
      </c>
      <c r="J12" s="348">
        <f>All!J48</f>
        <v>321.5</v>
      </c>
      <c r="K12" s="348">
        <f>All!K48</f>
        <v>177.1</v>
      </c>
      <c r="L12" s="348">
        <f>All!L48</f>
        <v>16.2</v>
      </c>
      <c r="M12" s="348">
        <f>All!M48</f>
        <v>35.4</v>
      </c>
      <c r="N12" s="349">
        <f>All!N48</f>
        <v>9.6999999999999993</v>
      </c>
      <c r="O12" s="567">
        <f>All!O48</f>
        <v>1301.9000000000001</v>
      </c>
      <c r="P12" s="349">
        <f>All!P48</f>
        <v>108.5</v>
      </c>
    </row>
    <row r="13" spans="2:16" ht="22.15" customHeight="1">
      <c r="B13" s="365">
        <f>All!B49</f>
        <v>2021</v>
      </c>
      <c r="C13" s="360">
        <f>All!C49</f>
        <v>32</v>
      </c>
      <c r="D13" s="348">
        <f>All!D49</f>
        <v>18.7</v>
      </c>
      <c r="E13" s="348">
        <f>All!E49</f>
        <v>76.099999999999994</v>
      </c>
      <c r="F13" s="348">
        <f>All!F49</f>
        <v>43.4</v>
      </c>
      <c r="G13" s="348">
        <f>All!G49</f>
        <v>110</v>
      </c>
      <c r="H13" s="348">
        <f>All!H49</f>
        <v>55</v>
      </c>
      <c r="I13" s="348">
        <f>All!I49</f>
        <v>131.30000000000001</v>
      </c>
      <c r="J13" s="348">
        <f>All!J49</f>
        <v>253.7</v>
      </c>
      <c r="K13" s="348">
        <f>All!K49</f>
        <v>215.9</v>
      </c>
      <c r="L13" s="348">
        <f>All!L49</f>
        <v>39.6</v>
      </c>
      <c r="M13" s="348">
        <f>All!M49</f>
        <v>117.8</v>
      </c>
      <c r="N13" s="349">
        <f>All!N49</f>
        <v>14.4</v>
      </c>
      <c r="O13" s="567">
        <f>All!O49</f>
        <v>1107.9000000000001</v>
      </c>
      <c r="P13" s="349">
        <f>All!P49</f>
        <v>92.3</v>
      </c>
    </row>
    <row r="14" spans="2:16" ht="22.15" customHeight="1" thickBot="1">
      <c r="B14" s="367">
        <f>All!B50</f>
        <v>2022</v>
      </c>
      <c r="C14" s="361">
        <f>All!C50</f>
        <v>8.4</v>
      </c>
      <c r="D14" s="350">
        <f>All!D50</f>
        <v>5.3</v>
      </c>
      <c r="E14" s="350">
        <f>All!E50</f>
        <v>60.9</v>
      </c>
      <c r="F14" s="350">
        <f>All!F50</f>
        <v>34.799999999999997</v>
      </c>
      <c r="G14" s="350">
        <f>All!G50</f>
        <v>5.7</v>
      </c>
      <c r="H14" s="350">
        <f>All!H50</f>
        <v>225</v>
      </c>
      <c r="I14" s="350">
        <f>All!I50</f>
        <v>119.9</v>
      </c>
      <c r="J14" s="350">
        <f>All!J50</f>
        <v>637.1</v>
      </c>
      <c r="K14" s="350">
        <f>All!K50</f>
        <v>102</v>
      </c>
      <c r="L14" s="350">
        <f>All!L50</f>
        <v>112</v>
      </c>
      <c r="M14" s="350">
        <f>All!M50</f>
        <v>23.3</v>
      </c>
      <c r="N14" s="351">
        <f>All!N50</f>
        <v>14</v>
      </c>
      <c r="O14" s="568">
        <f>All!O50</f>
        <v>1348.4</v>
      </c>
      <c r="P14" s="351">
        <f>All!P50</f>
        <v>112.4</v>
      </c>
    </row>
    <row r="15" spans="2:16" ht="22.15" customHeight="1">
      <c r="B15" s="368" t="s">
        <v>21</v>
      </c>
      <c r="C15" s="362">
        <f>All!C51</f>
        <v>49.4</v>
      </c>
      <c r="D15" s="352">
        <f>All!D51</f>
        <v>75.3</v>
      </c>
      <c r="E15" s="352">
        <f>All!E51</f>
        <v>92</v>
      </c>
      <c r="F15" s="352">
        <f>All!F51</f>
        <v>129.69999999999999</v>
      </c>
      <c r="G15" s="352">
        <f>All!G51</f>
        <v>146.5</v>
      </c>
      <c r="H15" s="352">
        <f>All!H51</f>
        <v>225</v>
      </c>
      <c r="I15" s="352">
        <f>All!I51</f>
        <v>345.9</v>
      </c>
      <c r="J15" s="352">
        <f>All!J51</f>
        <v>637.1</v>
      </c>
      <c r="K15" s="352">
        <f>All!K51</f>
        <v>320</v>
      </c>
      <c r="L15" s="352">
        <f>All!L51</f>
        <v>156</v>
      </c>
      <c r="M15" s="352">
        <f>All!M51</f>
        <v>155.6</v>
      </c>
      <c r="N15" s="353">
        <f>All!N51</f>
        <v>66.599999999999994</v>
      </c>
      <c r="O15" s="569">
        <f>All!O51</f>
        <v>1387.7</v>
      </c>
      <c r="P15" s="353">
        <f>All!P51</f>
        <v>115.6</v>
      </c>
    </row>
    <row r="16" spans="2:16" ht="22.15" customHeight="1">
      <c r="B16" s="365" t="s">
        <v>22</v>
      </c>
      <c r="C16" s="360">
        <f>All!C52</f>
        <v>1.9</v>
      </c>
      <c r="D16" s="348">
        <f>All!D52</f>
        <v>5.3</v>
      </c>
      <c r="E16" s="348">
        <f>All!E52</f>
        <v>14.4</v>
      </c>
      <c r="F16" s="348">
        <f>All!F52</f>
        <v>16.5</v>
      </c>
      <c r="G16" s="348">
        <f>All!G52</f>
        <v>5.7</v>
      </c>
      <c r="H16" s="348">
        <f>All!H52</f>
        <v>21.1</v>
      </c>
      <c r="I16" s="348">
        <f>All!I52</f>
        <v>94.7</v>
      </c>
      <c r="J16" s="348">
        <f>All!J52</f>
        <v>5.0999999999999996</v>
      </c>
      <c r="K16" s="348">
        <f>All!K52</f>
        <v>13.3</v>
      </c>
      <c r="L16" s="348">
        <f>All!L52</f>
        <v>10.9</v>
      </c>
      <c r="M16" s="348">
        <f>All!M52</f>
        <v>5.6</v>
      </c>
      <c r="N16" s="349">
        <f>All!N52</f>
        <v>9.6999999999999993</v>
      </c>
      <c r="O16" s="570">
        <f>All!O52</f>
        <v>785.4</v>
      </c>
      <c r="P16" s="349">
        <f>All!P52</f>
        <v>65.5</v>
      </c>
    </row>
    <row r="17" spans="1:16" ht="22.15" customHeight="1" thickBot="1">
      <c r="B17" s="367" t="s">
        <v>20</v>
      </c>
      <c r="C17" s="361">
        <f>All!C53</f>
        <v>19.100000000000001</v>
      </c>
      <c r="D17" s="350">
        <f>All!D53</f>
        <v>32</v>
      </c>
      <c r="E17" s="357">
        <f>All!E53</f>
        <v>44.4</v>
      </c>
      <c r="F17" s="350">
        <f>All!F53</f>
        <v>72.5</v>
      </c>
      <c r="G17" s="358">
        <f>All!G53</f>
        <v>75.2</v>
      </c>
      <c r="H17" s="358">
        <f>All!H53</f>
        <v>96.1</v>
      </c>
      <c r="I17" s="358">
        <f>All!I53</f>
        <v>195.3</v>
      </c>
      <c r="J17" s="358">
        <f>All!J53</f>
        <v>221.2</v>
      </c>
      <c r="K17" s="358">
        <f>All!K53</f>
        <v>142.1</v>
      </c>
      <c r="L17" s="350">
        <f>All!L53</f>
        <v>77.8</v>
      </c>
      <c r="M17" s="350">
        <f>All!M53</f>
        <v>65.2</v>
      </c>
      <c r="N17" s="351">
        <f>All!N53</f>
        <v>34.200000000000003</v>
      </c>
      <c r="O17" s="571">
        <f>All!O53</f>
        <v>1075</v>
      </c>
      <c r="P17" s="359">
        <f>All!P53</f>
        <v>89.6</v>
      </c>
    </row>
    <row r="18" spans="1:16" ht="29.25" customHeight="1" thickBot="1">
      <c r="B18" s="91" t="s">
        <v>23</v>
      </c>
      <c r="C18" s="363">
        <f>All!C37</f>
        <v>23.2</v>
      </c>
      <c r="D18" s="354">
        <f>All!D37</f>
        <v>29.1</v>
      </c>
      <c r="E18" s="354">
        <f>All!E37</f>
        <v>43.5</v>
      </c>
      <c r="F18" s="354">
        <f>All!F37</f>
        <v>70.5</v>
      </c>
      <c r="G18" s="354">
        <f>All!G37</f>
        <v>85.8</v>
      </c>
      <c r="H18" s="354">
        <f>All!H37</f>
        <v>136.80000000000001</v>
      </c>
      <c r="I18" s="355">
        <f>All!I37</f>
        <v>244.7</v>
      </c>
      <c r="J18" s="355">
        <f>All!J37</f>
        <v>281.60000000000002</v>
      </c>
      <c r="K18" s="355">
        <f>All!K37</f>
        <v>132.9</v>
      </c>
      <c r="L18" s="355">
        <f>All!L37</f>
        <v>63.2</v>
      </c>
      <c r="M18" s="355">
        <f>All!M37</f>
        <v>54.8</v>
      </c>
      <c r="N18" s="356">
        <f>All!N37</f>
        <v>32.200000000000003</v>
      </c>
      <c r="O18" s="573">
        <f>All!O37</f>
        <v>1198.3</v>
      </c>
      <c r="P18" s="356">
        <f>All!P37</f>
        <v>99.9</v>
      </c>
    </row>
    <row r="19" spans="1:16" ht="22.15" customHeight="1" thickBot="1"/>
    <row r="20" spans="1:16">
      <c r="B20" s="369" t="s">
        <v>24</v>
      </c>
      <c r="C20" s="125"/>
      <c r="D20" s="128">
        <f>SUM(G17:K17)</f>
        <v>729.9</v>
      </c>
      <c r="F20" s="92"/>
    </row>
    <row r="21" spans="1:16">
      <c r="B21" s="370" t="s">
        <v>165</v>
      </c>
      <c r="D21" s="129">
        <f>O17</f>
        <v>1075</v>
      </c>
    </row>
    <row r="22" spans="1:16" ht="17.25" thickBot="1">
      <c r="B22" s="126"/>
      <c r="C22" s="127"/>
      <c r="D22" s="130">
        <f>D20/D21</f>
        <v>0.67897674418604648</v>
      </c>
    </row>
    <row r="23" spans="1:16" ht="33.75" customHeight="1" thickBot="1">
      <c r="C23" s="342" t="s">
        <v>186</v>
      </c>
      <c r="D23" s="342" t="s">
        <v>187</v>
      </c>
      <c r="E23" s="342" t="s">
        <v>188</v>
      </c>
    </row>
    <row r="24" spans="1:16" ht="21.95" customHeight="1">
      <c r="B24" s="343" t="s">
        <v>94</v>
      </c>
      <c r="C24" s="393">
        <f>O16</f>
        <v>785.4</v>
      </c>
      <c r="D24" s="394"/>
      <c r="E24" s="395"/>
      <c r="H24" s="372" t="s">
        <v>183</v>
      </c>
      <c r="I24" s="578" t="s">
        <v>411</v>
      </c>
      <c r="J24" s="579"/>
      <c r="K24" s="574">
        <f>INDEX(Location[recharge], MATCH(I24,Location[name],0))</f>
        <v>0.16300000000000001</v>
      </c>
      <c r="L24" s="575">
        <f>INDEX(Location[ratio], MATCH(I24,Location[name],0))</f>
        <v>0.67</v>
      </c>
    </row>
    <row r="25" spans="1:16" ht="21.95" customHeight="1">
      <c r="B25" s="344" t="s">
        <v>25</v>
      </c>
      <c r="C25" s="396">
        <f>O18</f>
        <v>1198.3</v>
      </c>
      <c r="D25" s="397"/>
      <c r="E25" s="398"/>
      <c r="H25" s="372" t="s">
        <v>184</v>
      </c>
      <c r="I25" s="580" t="s">
        <v>193</v>
      </c>
      <c r="J25" s="576"/>
      <c r="K25" s="577">
        <f>INDEX(Location[recharge], MATCH(I25,Location[name],0))</f>
        <v>0.16600000000000001</v>
      </c>
      <c r="L25" s="581">
        <f>INDEX(Location[ratio], MATCH(I25,Location[name],0))</f>
        <v>0.64</v>
      </c>
    </row>
    <row r="26" spans="1:16" ht="21.95" customHeight="1" thickBot="1">
      <c r="B26" s="345" t="s">
        <v>164</v>
      </c>
      <c r="C26" s="399">
        <f>L24</f>
        <v>0.67</v>
      </c>
      <c r="D26" s="400">
        <f>L25</f>
        <v>0.64</v>
      </c>
      <c r="E26" s="401">
        <f>L26</f>
        <v>0.65</v>
      </c>
      <c r="H26" s="372" t="s">
        <v>185</v>
      </c>
      <c r="I26" s="582" t="s">
        <v>257</v>
      </c>
      <c r="J26" s="583"/>
      <c r="K26" s="584">
        <f>INDEX(Location[recharge], MATCH(I26,Location[name],0))</f>
        <v>0.127</v>
      </c>
      <c r="L26" s="585">
        <f>INDEX(Location[ratio], MATCH(I26,Location[name],0))</f>
        <v>0.65</v>
      </c>
    </row>
    <row r="27" spans="1:16" ht="21.95" customHeight="1">
      <c r="B27" s="344" t="s">
        <v>26</v>
      </c>
      <c r="C27" s="402">
        <f>Well!P4</f>
        <v>1688110</v>
      </c>
      <c r="D27" s="397"/>
      <c r="E27" s="403"/>
    </row>
    <row r="28" spans="1:16" ht="21.95" customHeight="1" thickBot="1">
      <c r="B28" s="346" t="s">
        <v>27</v>
      </c>
      <c r="C28" s="404">
        <f>K24</f>
        <v>0.16300000000000001</v>
      </c>
      <c r="D28" s="405">
        <f>K25</f>
        <v>0.16600000000000001</v>
      </c>
      <c r="E28" s="406">
        <f>K26</f>
        <v>0.127</v>
      </c>
    </row>
    <row r="29" spans="1:16" ht="17.25" thickBot="1">
      <c r="E29" s="93"/>
    </row>
    <row r="30" spans="1:16" ht="22.15" customHeight="1" thickBot="1">
      <c r="B30" s="347" t="s">
        <v>166</v>
      </c>
      <c r="C30" s="123">
        <f>max*rf_1/10</f>
        <v>19.53229</v>
      </c>
      <c r="D30" s="123">
        <f>max*rf_2/10</f>
        <v>19.891780000000001</v>
      </c>
      <c r="E30" s="124">
        <f>max*rf_3/10</f>
        <v>15.21841</v>
      </c>
    </row>
    <row r="31" spans="1:16" ht="22.15" customHeight="1">
      <c r="E31" s="93"/>
      <c r="J31" s="441" t="s">
        <v>378</v>
      </c>
    </row>
    <row r="32" spans="1:16" ht="17.25" customHeight="1">
      <c r="A32" s="371" t="s">
        <v>167</v>
      </c>
      <c r="B32" s="285"/>
      <c r="C32" s="285"/>
      <c r="D32" s="285"/>
    </row>
    <row r="33" spans="1:6" ht="17.25" customHeight="1">
      <c r="A33" s="371" t="s">
        <v>168</v>
      </c>
    </row>
    <row r="34" spans="1:6" ht="17.25" customHeight="1">
      <c r="C34" s="285"/>
      <c r="D34" s="285"/>
    </row>
    <row r="35" spans="1:6" ht="17.25" customHeight="1"/>
    <row r="4689" spans="15:15" s="440" customFormat="1" ht="17.25">
      <c r="O4689" s="572"/>
    </row>
    <row r="4975" spans="2430:2430">
      <c r="COL4975" s="286"/>
    </row>
  </sheetData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6:J26" xr:uid="{E065B4A4-39B8-4EFA-A151-E0D48F15AF64}">
      <formula1>INDIRECT("Location[name]")</formula1>
    </dataValidation>
    <dataValidation type="list" allowBlank="1" showInputMessage="1" showErrorMessage="1" sqref="I24:J24 I25:J25" xr:uid="{4B8FF6C4-FC1A-430D-BD7C-4EFD4DE2C80E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0"/>
  <sheetViews>
    <sheetView workbookViewId="0">
      <selection activeCell="K25" sqref="K2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149</v>
      </c>
      <c r="B2" s="45" t="s">
        <v>145</v>
      </c>
      <c r="C2"/>
      <c r="D2" s="44" t="s">
        <v>148</v>
      </c>
      <c r="E2" s="46" t="s">
        <v>146</v>
      </c>
      <c r="F2"/>
      <c r="G2" s="44" t="s">
        <v>147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121</v>
      </c>
    </row>
    <row r="4" spans="1:84" s="40" customFormat="1">
      <c r="A4" s="39" t="s">
        <v>132</v>
      </c>
      <c r="B4" s="47">
        <v>2</v>
      </c>
      <c r="C4"/>
      <c r="D4" s="39" t="s">
        <v>134</v>
      </c>
      <c r="E4" s="51">
        <v>10</v>
      </c>
      <c r="F4"/>
      <c r="G4" s="39" t="s">
        <v>150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123</v>
      </c>
      <c r="B5" s="48">
        <v>3</v>
      </c>
      <c r="D5" s="37" t="s">
        <v>135</v>
      </c>
      <c r="E5" s="52">
        <v>10</v>
      </c>
      <c r="G5" s="37" t="s">
        <v>151</v>
      </c>
      <c r="H5" s="56">
        <v>3</v>
      </c>
    </row>
    <row r="6" spans="1:84" s="40" customFormat="1">
      <c r="A6" s="41" t="s">
        <v>124</v>
      </c>
      <c r="B6" s="49">
        <v>4</v>
      </c>
      <c r="C6"/>
      <c r="D6" s="41" t="s">
        <v>136</v>
      </c>
      <c r="E6" s="53">
        <v>9</v>
      </c>
      <c r="F6"/>
      <c r="G6" s="41" t="s">
        <v>122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125</v>
      </c>
      <c r="B7" s="48">
        <v>5</v>
      </c>
      <c r="D7" s="37" t="s">
        <v>137</v>
      </c>
      <c r="E7" s="52">
        <v>8</v>
      </c>
      <c r="G7" s="37" t="s">
        <v>127</v>
      </c>
      <c r="H7" s="56">
        <v>6</v>
      </c>
    </row>
    <row r="8" spans="1:84" s="40" customFormat="1">
      <c r="A8" s="41" t="s">
        <v>126</v>
      </c>
      <c r="B8" s="49">
        <v>6</v>
      </c>
      <c r="C8"/>
      <c r="D8" s="41" t="s">
        <v>138</v>
      </c>
      <c r="E8" s="53">
        <v>7</v>
      </c>
      <c r="F8"/>
      <c r="G8" s="41" t="s">
        <v>152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133</v>
      </c>
      <c r="B9" s="48">
        <v>6</v>
      </c>
      <c r="D9" s="37" t="s">
        <v>139</v>
      </c>
      <c r="E9" s="52">
        <v>6</v>
      </c>
      <c r="G9" s="37" t="s">
        <v>153</v>
      </c>
      <c r="H9" s="56">
        <v>6</v>
      </c>
    </row>
    <row r="10" spans="1:84" s="40" customFormat="1">
      <c r="A10" s="41" t="s">
        <v>131</v>
      </c>
      <c r="B10" s="49">
        <v>6</v>
      </c>
      <c r="C10"/>
      <c r="D10" s="41" t="s">
        <v>140</v>
      </c>
      <c r="E10" s="53">
        <v>5</v>
      </c>
      <c r="F10"/>
      <c r="G10" s="41" t="s">
        <v>154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128</v>
      </c>
      <c r="B11" s="48">
        <v>8</v>
      </c>
      <c r="D11" s="37" t="s">
        <v>141</v>
      </c>
      <c r="E11" s="52">
        <v>4</v>
      </c>
      <c r="G11" s="37" t="s">
        <v>123</v>
      </c>
      <c r="H11" s="56">
        <v>4</v>
      </c>
    </row>
    <row r="12" spans="1:84" s="40" customFormat="1">
      <c r="A12" s="41" t="s">
        <v>129</v>
      </c>
      <c r="B12" s="49">
        <v>9</v>
      </c>
      <c r="C12"/>
      <c r="D12" s="41" t="s">
        <v>142</v>
      </c>
      <c r="E12" s="53">
        <v>3</v>
      </c>
      <c r="F12"/>
      <c r="G12" s="41" t="s">
        <v>128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130</v>
      </c>
      <c r="B13" s="50">
        <v>10</v>
      </c>
      <c r="D13" s="37" t="s">
        <v>143</v>
      </c>
      <c r="E13" s="52">
        <v>2</v>
      </c>
      <c r="G13" s="37" t="s">
        <v>129</v>
      </c>
      <c r="H13" s="56">
        <v>9</v>
      </c>
    </row>
    <row r="14" spans="1:84" s="40" customFormat="1">
      <c r="B14" s="42"/>
      <c r="C14"/>
      <c r="D14" s="43" t="s">
        <v>144</v>
      </c>
      <c r="E14" s="54">
        <v>1</v>
      </c>
      <c r="F14"/>
      <c r="G14" s="43" t="s">
        <v>130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74" t="s">
        <v>352</v>
      </c>
    </row>
    <row r="19" spans="1:7">
      <c r="A19" s="30" t="s">
        <v>408</v>
      </c>
      <c r="D19" s="30" t="s">
        <v>640</v>
      </c>
      <c r="G19" s="444" t="s">
        <v>380</v>
      </c>
    </row>
    <row r="20" spans="1:7">
      <c r="A20" s="30" t="s">
        <v>401</v>
      </c>
      <c r="D20" s="30">
        <v>150</v>
      </c>
      <c r="G20" s="444" t="s">
        <v>381</v>
      </c>
    </row>
    <row r="21" spans="1:7">
      <c r="A21" s="30" t="s">
        <v>402</v>
      </c>
      <c r="D21" s="30">
        <v>200</v>
      </c>
      <c r="G21" s="444" t="s">
        <v>382</v>
      </c>
    </row>
    <row r="22" spans="1:7">
      <c r="A22" s="30" t="s">
        <v>403</v>
      </c>
      <c r="D22" s="30">
        <v>250</v>
      </c>
      <c r="G22" s="444" t="s">
        <v>383</v>
      </c>
    </row>
    <row r="23" spans="1:7">
      <c r="A23" s="30" t="s">
        <v>404</v>
      </c>
      <c r="G23" s="444" t="s">
        <v>384</v>
      </c>
    </row>
    <row r="24" spans="1:7">
      <c r="A24" s="30" t="s">
        <v>405</v>
      </c>
      <c r="G24" s="444" t="s">
        <v>385</v>
      </c>
    </row>
    <row r="25" spans="1:7">
      <c r="A25" s="30" t="s">
        <v>406</v>
      </c>
      <c r="G25" s="444" t="s">
        <v>386</v>
      </c>
    </row>
    <row r="26" spans="1:7">
      <c r="A26" s="30" t="s">
        <v>407</v>
      </c>
      <c r="G26" s="444" t="s">
        <v>387</v>
      </c>
    </row>
    <row r="27" spans="1:7">
      <c r="G27" s="444" t="s">
        <v>388</v>
      </c>
    </row>
    <row r="28" spans="1:7">
      <c r="G28" s="444" t="s">
        <v>389</v>
      </c>
    </row>
    <row r="29" spans="1:7">
      <c r="G29" s="444" t="s">
        <v>390</v>
      </c>
    </row>
    <row r="30" spans="1:7">
      <c r="G30" s="444" t="s">
        <v>391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6"/>
  </cols>
  <sheetData>
    <row r="1" spans="1:12" ht="18" customHeight="1">
      <c r="A1" s="141" t="s">
        <v>198</v>
      </c>
      <c r="B1" s="141" t="s">
        <v>199</v>
      </c>
      <c r="C1" s="141" t="s">
        <v>200</v>
      </c>
    </row>
    <row r="2" spans="1:12" ht="18" customHeight="1">
      <c r="A2" s="141" t="s">
        <v>197</v>
      </c>
      <c r="B2" s="145">
        <v>0.13600000000000001</v>
      </c>
      <c r="C2" s="145">
        <v>0.66</v>
      </c>
    </row>
    <row r="3" spans="1:12" ht="18" customHeight="1">
      <c r="A3" s="141" t="s">
        <v>189</v>
      </c>
      <c r="B3" s="145">
        <v>0.151</v>
      </c>
      <c r="C3" s="145">
        <v>0.65</v>
      </c>
    </row>
    <row r="4" spans="1:12" ht="18" customHeight="1">
      <c r="A4" s="141" t="s">
        <v>179</v>
      </c>
      <c r="B4" s="145">
        <v>0.16700000000000001</v>
      </c>
      <c r="C4" s="145">
        <v>0.65</v>
      </c>
      <c r="J4" s="146" t="s">
        <v>191</v>
      </c>
      <c r="K4" s="146">
        <f>INDEX(Location[recharge],MATCH(J4,Location[name],0))</f>
        <v>0.16600000000000001</v>
      </c>
      <c r="L4" s="146">
        <f>INDEX(Location[ratio], MATCH(J4,Location[name]))</f>
        <v>0.65</v>
      </c>
    </row>
    <row r="5" spans="1:12" ht="18" customHeight="1">
      <c r="A5" s="141" t="s">
        <v>180</v>
      </c>
      <c r="B5" s="145">
        <v>0.17299999999999999</v>
      </c>
      <c r="C5" s="145">
        <v>0.66849999999999998</v>
      </c>
    </row>
    <row r="6" spans="1:12" ht="18" customHeight="1">
      <c r="A6" s="141" t="s">
        <v>190</v>
      </c>
      <c r="B6" s="145">
        <v>0.16300000000000001</v>
      </c>
      <c r="C6" s="145">
        <v>0.67</v>
      </c>
    </row>
    <row r="7" spans="1:12" ht="18" customHeight="1">
      <c r="A7" s="141" t="s">
        <v>192</v>
      </c>
      <c r="B7" s="145">
        <v>0.16600000000000001</v>
      </c>
      <c r="C7" s="145">
        <v>0.64</v>
      </c>
      <c r="E7" s="146" t="s">
        <v>201</v>
      </c>
    </row>
    <row r="8" spans="1:12" ht="18" customHeight="1">
      <c r="A8" s="141" t="s">
        <v>193</v>
      </c>
      <c r="B8" s="145">
        <v>0.16600000000000001</v>
      </c>
      <c r="C8" s="145">
        <v>0.64</v>
      </c>
    </row>
    <row r="9" spans="1:12" ht="18" customHeight="1">
      <c r="A9" s="141" t="s">
        <v>181</v>
      </c>
      <c r="B9" s="145">
        <v>0.125</v>
      </c>
      <c r="C9" s="145">
        <v>0.67</v>
      </c>
    </row>
    <row r="10" spans="1:12" ht="18" customHeight="1">
      <c r="A10" s="141" t="s">
        <v>194</v>
      </c>
      <c r="B10" s="145">
        <v>0.127</v>
      </c>
      <c r="C10" s="145">
        <v>0.65</v>
      </c>
    </row>
    <row r="11" spans="1:12" ht="18" customHeight="1">
      <c r="A11" s="141" t="s">
        <v>195</v>
      </c>
      <c r="B11" s="145">
        <v>0.128</v>
      </c>
      <c r="C11" s="145">
        <v>0.64</v>
      </c>
    </row>
    <row r="12" spans="1:12" ht="18" customHeight="1">
      <c r="A12" s="141" t="s">
        <v>196</v>
      </c>
      <c r="B12" s="145">
        <v>0.17499999999999999</v>
      </c>
      <c r="C12" s="145">
        <v>0.67</v>
      </c>
    </row>
    <row r="13" spans="1:12" ht="18" customHeight="1">
      <c r="A13" s="141" t="s">
        <v>209</v>
      </c>
      <c r="B13" s="145">
        <v>0.13</v>
      </c>
      <c r="C13" s="145">
        <v>0.63</v>
      </c>
    </row>
    <row r="14" spans="1:12" ht="18" customHeight="1">
      <c r="A14" s="141" t="s">
        <v>210</v>
      </c>
      <c r="B14" s="145">
        <v>0.13400000000000001</v>
      </c>
      <c r="C14" s="145">
        <v>0.65</v>
      </c>
    </row>
    <row r="15" spans="1:12" ht="18" customHeight="1">
      <c r="A15" s="141" t="s">
        <v>211</v>
      </c>
      <c r="B15" s="145">
        <v>0.16500000000000001</v>
      </c>
      <c r="C15" s="145">
        <v>0.62</v>
      </c>
    </row>
    <row r="16" spans="1:12" ht="18" customHeight="1">
      <c r="A16" s="141" t="s">
        <v>258</v>
      </c>
      <c r="B16" s="145">
        <v>0.16300000000000001</v>
      </c>
      <c r="C16" s="145">
        <v>0.223</v>
      </c>
    </row>
    <row r="17" spans="1:3" ht="18" customHeight="1">
      <c r="A17" s="141" t="s">
        <v>359</v>
      </c>
      <c r="B17" s="145">
        <v>0.114</v>
      </c>
      <c r="C17" s="145">
        <v>0.68</v>
      </c>
    </row>
    <row r="18" spans="1:3" ht="18" customHeight="1">
      <c r="B18" s="145"/>
      <c r="C18" s="145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9" t="s">
        <v>313</v>
      </c>
    </row>
    <row r="4" spans="3:11" ht="40.5" customHeight="1">
      <c r="C4" s="253" t="s">
        <v>306</v>
      </c>
      <c r="D4" s="254" t="s">
        <v>279</v>
      </c>
      <c r="E4" s="254" t="s">
        <v>307</v>
      </c>
      <c r="F4" s="255" t="s">
        <v>312</v>
      </c>
      <c r="G4" s="254" t="s">
        <v>298</v>
      </c>
      <c r="H4" s="254" t="s">
        <v>308</v>
      </c>
      <c r="I4" s="254" t="s">
        <v>309</v>
      </c>
      <c r="J4" s="254" t="s">
        <v>310</v>
      </c>
      <c r="K4" s="256" t="s">
        <v>311</v>
      </c>
    </row>
    <row r="5" spans="3:11" ht="97.5" customHeight="1">
      <c r="C5" s="170" t="s">
        <v>86</v>
      </c>
      <c r="D5" s="252" t="s">
        <v>314</v>
      </c>
      <c r="E5" s="252" t="s">
        <v>315</v>
      </c>
      <c r="F5" s="252" t="s">
        <v>316</v>
      </c>
      <c r="G5" s="252" t="s">
        <v>372</v>
      </c>
      <c r="H5" s="252" t="s">
        <v>373</v>
      </c>
      <c r="I5" s="252" t="s">
        <v>374</v>
      </c>
      <c r="J5" s="252" t="s">
        <v>375</v>
      </c>
      <c r="K5" s="257" t="s">
        <v>376</v>
      </c>
    </row>
    <row r="6" spans="3:11" ht="97.5" customHeight="1">
      <c r="C6" s="170" t="s">
        <v>229</v>
      </c>
      <c r="D6" s="252"/>
      <c r="E6" s="252"/>
      <c r="F6" s="252"/>
      <c r="G6" s="252"/>
      <c r="H6" s="252"/>
      <c r="I6" s="252"/>
      <c r="J6" s="252"/>
      <c r="K6" s="257"/>
    </row>
    <row r="7" spans="3:11" ht="97.5" customHeight="1">
      <c r="C7" s="170" t="s">
        <v>230</v>
      </c>
      <c r="D7" s="252"/>
      <c r="E7" s="252"/>
      <c r="F7" s="252"/>
      <c r="G7" s="252"/>
      <c r="H7" s="252"/>
      <c r="I7" s="252"/>
      <c r="J7" s="252"/>
      <c r="K7" s="257"/>
    </row>
    <row r="8" spans="3:11" ht="97.5" customHeight="1">
      <c r="C8" s="170" t="s">
        <v>356</v>
      </c>
      <c r="D8" s="252"/>
      <c r="E8" s="252"/>
      <c r="F8" s="252"/>
      <c r="G8" s="252"/>
      <c r="H8" s="252"/>
      <c r="I8" s="252"/>
      <c r="J8" s="252"/>
      <c r="K8" s="257"/>
    </row>
    <row r="9" spans="3:11" ht="97.5" customHeight="1">
      <c r="C9" s="170" t="s">
        <v>357</v>
      </c>
      <c r="D9" s="252"/>
      <c r="E9" s="252"/>
      <c r="F9" s="252"/>
      <c r="G9" s="252"/>
      <c r="H9" s="252"/>
      <c r="I9" s="252"/>
      <c r="J9" s="252"/>
      <c r="K9" s="257"/>
    </row>
    <row r="10" spans="3:11" ht="97.5" customHeight="1">
      <c r="C10" s="170" t="s">
        <v>358</v>
      </c>
      <c r="D10" s="252"/>
      <c r="E10" s="252"/>
      <c r="F10" s="252"/>
      <c r="G10" s="252"/>
      <c r="H10" s="252"/>
      <c r="I10" s="252"/>
      <c r="J10" s="252"/>
      <c r="K10" s="257"/>
    </row>
    <row r="11" spans="3:11" ht="97.5" customHeight="1">
      <c r="C11" s="170">
        <v>7</v>
      </c>
      <c r="D11" s="225"/>
      <c r="E11" s="225"/>
      <c r="F11" s="225"/>
      <c r="G11" s="225"/>
      <c r="H11" s="225"/>
      <c r="I11" s="225"/>
      <c r="J11" s="225"/>
      <c r="K11" s="250"/>
    </row>
    <row r="12" spans="3:11" ht="97.5" customHeight="1">
      <c r="C12" s="170">
        <v>8</v>
      </c>
      <c r="D12" s="225"/>
      <c r="E12" s="225"/>
      <c r="F12" s="225"/>
      <c r="G12" s="225"/>
      <c r="H12" s="225"/>
      <c r="I12" s="225"/>
      <c r="J12" s="225"/>
      <c r="K12" s="250"/>
    </row>
    <row r="13" spans="3:11" ht="97.5" customHeight="1">
      <c r="C13" s="170">
        <v>9</v>
      </c>
      <c r="D13" s="225"/>
      <c r="E13" s="225"/>
      <c r="F13" s="225"/>
      <c r="G13" s="225"/>
      <c r="H13" s="225"/>
      <c r="I13" s="225"/>
      <c r="J13" s="225"/>
      <c r="K13" s="250"/>
    </row>
    <row r="14" spans="3:11" ht="97.5" customHeight="1">
      <c r="C14" s="170">
        <v>10</v>
      </c>
      <c r="D14" s="225"/>
      <c r="E14" s="225"/>
      <c r="F14" s="225"/>
      <c r="G14" s="225"/>
      <c r="H14" s="225"/>
      <c r="I14" s="225"/>
      <c r="J14" s="225"/>
      <c r="K14" s="250"/>
    </row>
    <row r="15" spans="3:11" ht="97.5" customHeight="1">
      <c r="C15" s="170">
        <v>11</v>
      </c>
      <c r="D15" s="225"/>
      <c r="E15" s="225"/>
      <c r="F15" s="225"/>
      <c r="G15" s="225"/>
      <c r="H15" s="225"/>
      <c r="I15" s="225"/>
      <c r="J15" s="225"/>
      <c r="K15" s="250"/>
    </row>
    <row r="16" spans="3:11" ht="97.5" customHeight="1">
      <c r="C16" s="170">
        <v>12</v>
      </c>
      <c r="D16" s="225"/>
      <c r="E16" s="225"/>
      <c r="F16" s="225"/>
      <c r="G16" s="225"/>
      <c r="H16" s="225"/>
      <c r="I16" s="225"/>
      <c r="J16" s="225"/>
      <c r="K16" s="250"/>
    </row>
    <row r="17" spans="3:11" ht="97.5" customHeight="1">
      <c r="C17" s="170">
        <v>13</v>
      </c>
      <c r="D17" s="225"/>
      <c r="E17" s="225"/>
      <c r="F17" s="225"/>
      <c r="G17" s="225"/>
      <c r="H17" s="225"/>
      <c r="I17" s="225"/>
      <c r="J17" s="225"/>
      <c r="K17" s="250"/>
    </row>
    <row r="18" spans="3:11" ht="97.5" customHeight="1">
      <c r="C18" s="170">
        <v>14</v>
      </c>
      <c r="D18" s="225"/>
      <c r="E18" s="225"/>
      <c r="F18" s="225"/>
      <c r="G18" s="225"/>
      <c r="H18" s="225"/>
      <c r="I18" s="225"/>
      <c r="J18" s="225"/>
      <c r="K18" s="250"/>
    </row>
    <row r="19" spans="3:11" ht="97.5" customHeight="1" thickBot="1">
      <c r="C19" s="171">
        <v>15</v>
      </c>
      <c r="D19" s="226"/>
      <c r="E19" s="226"/>
      <c r="F19" s="226"/>
      <c r="G19" s="226"/>
      <c r="H19" s="226"/>
      <c r="I19" s="226"/>
      <c r="J19" s="226"/>
      <c r="K19" s="25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H38"/>
  <sheetViews>
    <sheetView workbookViewId="0">
      <selection activeCell="AE14" sqref="AE14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34" ht="18" customHeight="1" thickBot="1"/>
    <row r="4" spans="1:34" s="262" customFormat="1" ht="72.75" customHeight="1" thickTop="1">
      <c r="A4" s="259" t="s">
        <v>286</v>
      </c>
      <c r="B4" s="260" t="s">
        <v>326</v>
      </c>
      <c r="C4" s="260" t="s">
        <v>327</v>
      </c>
      <c r="D4" s="260" t="s">
        <v>336</v>
      </c>
      <c r="E4" s="260" t="s">
        <v>344</v>
      </c>
      <c r="F4" s="260" t="s">
        <v>343</v>
      </c>
      <c r="G4" s="260" t="s">
        <v>328</v>
      </c>
      <c r="H4" s="261" t="s">
        <v>318</v>
      </c>
      <c r="I4" s="260" t="s">
        <v>329</v>
      </c>
      <c r="J4" s="260" t="s">
        <v>330</v>
      </c>
      <c r="K4" s="260" t="s">
        <v>334</v>
      </c>
      <c r="L4" s="260" t="s">
        <v>333</v>
      </c>
      <c r="M4" s="260" t="s">
        <v>331</v>
      </c>
      <c r="N4" s="260" t="s">
        <v>324</v>
      </c>
      <c r="O4" s="261" t="s">
        <v>319</v>
      </c>
      <c r="P4" s="261" t="s">
        <v>320</v>
      </c>
      <c r="Q4" s="260" t="s">
        <v>332</v>
      </c>
      <c r="R4" s="260" t="s">
        <v>337</v>
      </c>
      <c r="S4" s="260" t="s">
        <v>338</v>
      </c>
      <c r="T4" s="261" t="s">
        <v>323</v>
      </c>
      <c r="U4" s="260" t="s">
        <v>335</v>
      </c>
      <c r="V4" s="261" t="s">
        <v>321</v>
      </c>
      <c r="W4" s="261" t="s">
        <v>322</v>
      </c>
      <c r="X4" s="261" t="s">
        <v>325</v>
      </c>
      <c r="Y4" s="260" t="s">
        <v>341</v>
      </c>
      <c r="Z4" s="260" t="s">
        <v>342</v>
      </c>
      <c r="AA4" s="260" t="s">
        <v>349</v>
      </c>
      <c r="AB4" s="260" t="s">
        <v>350</v>
      </c>
      <c r="AC4" s="260" t="s">
        <v>345</v>
      </c>
      <c r="AD4" s="260" t="s">
        <v>339</v>
      </c>
      <c r="AE4" s="260" t="s">
        <v>340</v>
      </c>
      <c r="AF4" s="260" t="s">
        <v>346</v>
      </c>
      <c r="AG4" s="261" t="s">
        <v>347</v>
      </c>
      <c r="AH4" s="272" t="s">
        <v>348</v>
      </c>
    </row>
    <row r="5" spans="1:34" ht="23.1" customHeight="1">
      <c r="A5" s="263" t="s">
        <v>228</v>
      </c>
      <c r="B5" s="225">
        <v>2.4</v>
      </c>
      <c r="C5" s="225">
        <v>40.799999999999997</v>
      </c>
      <c r="D5" s="270">
        <v>4.4742745786732963</v>
      </c>
      <c r="E5" s="270">
        <v>36.325725421326702</v>
      </c>
      <c r="F5" s="270">
        <v>38.4</v>
      </c>
      <c r="G5" s="225">
        <v>250</v>
      </c>
      <c r="H5" s="225">
        <v>0.125</v>
      </c>
      <c r="I5" s="225">
        <v>66</v>
      </c>
      <c r="J5" s="225">
        <v>12</v>
      </c>
      <c r="K5" s="225">
        <v>160</v>
      </c>
      <c r="L5" s="270">
        <v>3.0396616256985305</v>
      </c>
      <c r="M5" s="225">
        <v>3</v>
      </c>
      <c r="N5" s="225">
        <v>54</v>
      </c>
      <c r="O5" s="268">
        <v>2.7669999999999999</v>
      </c>
      <c r="P5" s="268">
        <v>2.2709999999999999</v>
      </c>
      <c r="Q5" s="268">
        <v>2.5190000000000001</v>
      </c>
      <c r="R5" s="225">
        <v>0.10680000000000001</v>
      </c>
      <c r="S5" s="271">
        <v>3.7609999999999998E-4</v>
      </c>
      <c r="T5" s="268">
        <v>4.6640000000000001E-2</v>
      </c>
      <c r="U5" s="225">
        <v>0.70830000000000004</v>
      </c>
      <c r="V5" s="269">
        <v>142.30000000000001</v>
      </c>
      <c r="W5" s="269">
        <v>174.2</v>
      </c>
      <c r="X5" s="269">
        <v>103.3</v>
      </c>
      <c r="Y5" s="225">
        <v>-2.8241999999999998</v>
      </c>
      <c r="Z5" s="268">
        <v>2.1059999999999999</v>
      </c>
      <c r="AA5" s="225">
        <v>183</v>
      </c>
      <c r="AB5" s="225">
        <v>165.36</v>
      </c>
      <c r="AC5" s="225">
        <v>100</v>
      </c>
      <c r="AD5" s="225">
        <v>16.07</v>
      </c>
      <c r="AE5" s="225">
        <v>34.17</v>
      </c>
      <c r="AF5" s="225">
        <v>3.1490000000000001E-4</v>
      </c>
      <c r="AG5" s="225">
        <v>0.1282326</v>
      </c>
      <c r="AH5" s="273">
        <v>0.90163934426229508</v>
      </c>
    </row>
    <row r="6" spans="1:34" ht="23.1" customHeight="1">
      <c r="A6" s="263"/>
      <c r="B6" s="225"/>
      <c r="C6" s="225"/>
      <c r="D6" s="270"/>
      <c r="E6" s="270"/>
      <c r="F6" s="270"/>
      <c r="G6" s="225"/>
      <c r="H6" s="225"/>
      <c r="I6" s="225"/>
      <c r="J6" s="225"/>
      <c r="K6" s="225"/>
      <c r="L6" s="270"/>
      <c r="M6" s="225"/>
      <c r="N6" s="225"/>
      <c r="O6" s="268"/>
      <c r="P6" s="268"/>
      <c r="Q6" s="268"/>
      <c r="R6" s="225"/>
      <c r="S6" s="271"/>
      <c r="T6" s="268"/>
      <c r="U6" s="225"/>
      <c r="V6" s="269"/>
      <c r="W6" s="269"/>
      <c r="X6" s="269"/>
      <c r="Y6" s="225"/>
      <c r="Z6" s="268"/>
      <c r="AA6" s="225"/>
      <c r="AB6" s="225"/>
      <c r="AC6" s="225"/>
      <c r="AD6" s="225"/>
      <c r="AE6" s="225"/>
      <c r="AF6" s="225"/>
      <c r="AG6" s="225"/>
      <c r="AH6" s="273"/>
    </row>
    <row r="7" spans="1:34" ht="23.1" customHeight="1">
      <c r="A7" s="263"/>
      <c r="B7" s="225"/>
      <c r="C7" s="225"/>
      <c r="D7" s="270"/>
      <c r="E7" s="270"/>
      <c r="F7" s="270"/>
      <c r="G7" s="225"/>
      <c r="H7" s="225"/>
      <c r="I7" s="225"/>
      <c r="J7" s="225"/>
      <c r="K7" s="225"/>
      <c r="L7" s="270"/>
      <c r="M7" s="225"/>
      <c r="N7" s="225"/>
      <c r="O7" s="268"/>
      <c r="P7" s="268"/>
      <c r="Q7" s="268"/>
      <c r="R7" s="225"/>
      <c r="S7" s="271"/>
      <c r="T7" s="268"/>
      <c r="U7" s="225"/>
      <c r="V7" s="269"/>
      <c r="W7" s="269"/>
      <c r="X7" s="269"/>
      <c r="Y7" s="225"/>
      <c r="Z7" s="268"/>
      <c r="AA7" s="225"/>
      <c r="AB7" s="225"/>
      <c r="AC7" s="225"/>
      <c r="AD7" s="225"/>
      <c r="AE7" s="225"/>
      <c r="AF7" s="225"/>
      <c r="AG7" s="225"/>
      <c r="AH7" s="273"/>
    </row>
    <row r="8" spans="1:34" ht="23.1" customHeight="1">
      <c r="A8" s="263"/>
      <c r="B8" s="225"/>
      <c r="C8" s="225"/>
      <c r="D8" s="270"/>
      <c r="E8" s="270"/>
      <c r="F8" s="270"/>
      <c r="G8" s="225"/>
      <c r="H8" s="225"/>
      <c r="I8" s="225"/>
      <c r="J8" s="225"/>
      <c r="K8" s="225"/>
      <c r="L8" s="270"/>
      <c r="M8" s="225"/>
      <c r="N8" s="225"/>
      <c r="O8" s="268"/>
      <c r="P8" s="268"/>
      <c r="Q8" s="268"/>
      <c r="R8" s="225"/>
      <c r="S8" s="271"/>
      <c r="T8" s="268"/>
      <c r="U8" s="225"/>
      <c r="V8" s="269"/>
      <c r="W8" s="269"/>
      <c r="X8" s="269"/>
      <c r="Y8" s="225"/>
      <c r="Z8" s="268"/>
      <c r="AA8" s="225"/>
      <c r="AB8" s="225"/>
      <c r="AC8" s="225"/>
      <c r="AD8" s="225"/>
      <c r="AE8" s="225"/>
      <c r="AF8" s="225"/>
      <c r="AG8" s="225"/>
      <c r="AH8" s="273"/>
    </row>
    <row r="9" spans="1:34" ht="23.1" customHeight="1">
      <c r="A9" s="263"/>
      <c r="B9" s="225"/>
      <c r="C9" s="225"/>
      <c r="D9" s="270"/>
      <c r="E9" s="270"/>
      <c r="F9" s="270"/>
      <c r="G9" s="225"/>
      <c r="H9" s="225"/>
      <c r="I9" s="225"/>
      <c r="J9" s="225"/>
      <c r="K9" s="225"/>
      <c r="L9" s="270"/>
      <c r="M9" s="225"/>
      <c r="N9" s="225"/>
      <c r="O9" s="268"/>
      <c r="P9" s="268"/>
      <c r="Q9" s="268"/>
      <c r="R9" s="225"/>
      <c r="S9" s="271"/>
      <c r="T9" s="268"/>
      <c r="U9" s="225"/>
      <c r="V9" s="269"/>
      <c r="W9" s="269"/>
      <c r="X9" s="269"/>
      <c r="Y9" s="225"/>
      <c r="Z9" s="268"/>
      <c r="AA9" s="225"/>
      <c r="AB9" s="225"/>
      <c r="AC9" s="225"/>
      <c r="AD9" s="225"/>
      <c r="AE9" s="225"/>
      <c r="AF9" s="225"/>
      <c r="AG9" s="225"/>
      <c r="AH9" s="273"/>
    </row>
    <row r="10" spans="1:34" ht="23.1" customHeight="1">
      <c r="A10" s="263"/>
      <c r="B10" s="225"/>
      <c r="C10" s="225"/>
      <c r="D10" s="270"/>
      <c r="E10" s="270"/>
      <c r="F10" s="270"/>
      <c r="G10" s="225"/>
      <c r="H10" s="225"/>
      <c r="I10" s="225"/>
      <c r="J10" s="225"/>
      <c r="K10" s="225"/>
      <c r="L10" s="270"/>
      <c r="M10" s="225"/>
      <c r="N10" s="225"/>
      <c r="O10" s="268"/>
      <c r="P10" s="268"/>
      <c r="Q10" s="268"/>
      <c r="R10" s="225"/>
      <c r="S10" s="271"/>
      <c r="T10" s="268"/>
      <c r="U10" s="225"/>
      <c r="V10" s="269"/>
      <c r="W10" s="269"/>
      <c r="X10" s="269"/>
      <c r="Y10" s="225"/>
      <c r="Z10" s="268"/>
      <c r="AA10" s="225"/>
      <c r="AB10" s="225"/>
      <c r="AC10" s="225"/>
      <c r="AD10" s="225"/>
      <c r="AE10" s="225"/>
      <c r="AF10" s="225"/>
      <c r="AG10" s="225"/>
      <c r="AH10" s="273"/>
    </row>
    <row r="11" spans="1:34" ht="23.1" customHeight="1">
      <c r="A11" s="263"/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Q11" s="225"/>
      <c r="R11" s="225"/>
      <c r="S11" s="225"/>
      <c r="T11" s="225"/>
      <c r="U11" s="225"/>
      <c r="V11" s="225"/>
      <c r="W11" s="225"/>
      <c r="X11" s="225"/>
      <c r="Y11" s="225"/>
      <c r="Z11" s="225"/>
      <c r="AA11" s="225"/>
      <c r="AB11" s="225"/>
      <c r="AC11" s="225"/>
      <c r="AD11" s="225"/>
      <c r="AE11" s="225"/>
      <c r="AF11" s="225"/>
      <c r="AG11" s="225"/>
      <c r="AH11" s="264"/>
    </row>
    <row r="12" spans="1:34" ht="23.1" customHeight="1">
      <c r="A12" s="263"/>
      <c r="B12" s="225"/>
      <c r="C12" s="225"/>
      <c r="D12" s="225"/>
      <c r="E12" s="225"/>
      <c r="F12" s="225"/>
      <c r="G12" s="225"/>
      <c r="H12" s="225"/>
      <c r="I12" s="225"/>
      <c r="J12" s="225"/>
      <c r="K12" s="225"/>
      <c r="L12" s="225"/>
      <c r="M12" s="225"/>
      <c r="N12" s="225"/>
      <c r="O12" s="225"/>
      <c r="P12" s="225"/>
      <c r="Q12" s="225"/>
      <c r="R12" s="225"/>
      <c r="S12" s="225"/>
      <c r="T12" s="225"/>
      <c r="U12" s="225"/>
      <c r="V12" s="225"/>
      <c r="W12" s="225"/>
      <c r="X12" s="225"/>
      <c r="Y12" s="225"/>
      <c r="Z12" s="225"/>
      <c r="AA12" s="225"/>
      <c r="AB12" s="225"/>
      <c r="AC12" s="225"/>
      <c r="AD12" s="225"/>
      <c r="AE12" s="225"/>
      <c r="AF12" s="225"/>
      <c r="AG12" s="225"/>
      <c r="AH12" s="264"/>
    </row>
    <row r="13" spans="1:34" ht="23.1" customHeight="1">
      <c r="A13" s="263"/>
      <c r="B13" s="225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5"/>
      <c r="P13" s="225"/>
      <c r="Q13" s="225"/>
      <c r="R13" s="225"/>
      <c r="S13" s="225"/>
      <c r="T13" s="225"/>
      <c r="U13" s="225"/>
      <c r="V13" s="225"/>
      <c r="W13" s="225"/>
      <c r="X13" s="225"/>
      <c r="Y13" s="225"/>
      <c r="Z13" s="225"/>
      <c r="AA13" s="225"/>
      <c r="AB13" s="225"/>
      <c r="AC13" s="225"/>
      <c r="AD13" s="225"/>
      <c r="AE13" s="225"/>
      <c r="AF13" s="225"/>
      <c r="AG13" s="225"/>
      <c r="AH13" s="264"/>
    </row>
    <row r="14" spans="1:34" ht="23.1" customHeight="1">
      <c r="A14" s="263"/>
      <c r="B14" s="225"/>
      <c r="C14" s="225"/>
      <c r="D14" s="225"/>
      <c r="E14" s="225"/>
      <c r="F14" s="225"/>
      <c r="G14" s="225"/>
      <c r="H14" s="225"/>
      <c r="I14" s="225"/>
      <c r="J14" s="225"/>
      <c r="K14" s="225"/>
      <c r="L14" s="225"/>
      <c r="M14" s="225"/>
      <c r="N14" s="225"/>
      <c r="O14" s="225"/>
      <c r="P14" s="225"/>
      <c r="Q14" s="225"/>
      <c r="R14" s="225"/>
      <c r="S14" s="225"/>
      <c r="T14" s="225"/>
      <c r="U14" s="225"/>
      <c r="V14" s="225"/>
      <c r="W14" s="225"/>
      <c r="X14" s="225"/>
      <c r="Y14" s="225"/>
      <c r="Z14" s="225"/>
      <c r="AA14" s="225"/>
      <c r="AB14" s="225"/>
      <c r="AC14" s="225"/>
      <c r="AD14" s="225"/>
      <c r="AE14" s="225"/>
      <c r="AF14" s="225"/>
      <c r="AG14" s="225"/>
      <c r="AH14" s="264"/>
    </row>
    <row r="15" spans="1:34" ht="23.1" customHeight="1">
      <c r="A15" s="263"/>
      <c r="B15" s="225"/>
      <c r="C15" s="225"/>
      <c r="D15" s="225"/>
      <c r="E15" s="225"/>
      <c r="F15" s="225"/>
      <c r="G15" s="225"/>
      <c r="H15" s="225"/>
      <c r="I15" s="225"/>
      <c r="J15" s="225"/>
      <c r="K15" s="225"/>
      <c r="L15" s="225"/>
      <c r="M15" s="225"/>
      <c r="N15" s="225"/>
      <c r="O15" s="225"/>
      <c r="P15" s="225"/>
      <c r="Q15" s="225"/>
      <c r="R15" s="225"/>
      <c r="S15" s="225"/>
      <c r="T15" s="225"/>
      <c r="U15" s="225"/>
      <c r="V15" s="225"/>
      <c r="W15" s="225"/>
      <c r="X15" s="225"/>
      <c r="Y15" s="225"/>
      <c r="Z15" s="225"/>
      <c r="AA15" s="225"/>
      <c r="AB15" s="225"/>
      <c r="AC15" s="225"/>
      <c r="AD15" s="225"/>
      <c r="AE15" s="225"/>
      <c r="AF15" s="225"/>
      <c r="AG15" s="225"/>
      <c r="AH15" s="264"/>
    </row>
    <row r="16" spans="1:34" ht="23.1" customHeight="1">
      <c r="A16" s="263"/>
      <c r="B16" s="225"/>
      <c r="C16" s="225"/>
      <c r="D16" s="225"/>
      <c r="E16" s="225"/>
      <c r="F16" s="225"/>
      <c r="G16" s="225"/>
      <c r="H16" s="225"/>
      <c r="I16" s="225"/>
      <c r="J16" s="225"/>
      <c r="K16" s="225"/>
      <c r="L16" s="225"/>
      <c r="M16" s="225"/>
      <c r="N16" s="225"/>
      <c r="O16" s="225"/>
      <c r="P16" s="225"/>
      <c r="Q16" s="225"/>
      <c r="R16" s="225"/>
      <c r="S16" s="225"/>
      <c r="T16" s="225"/>
      <c r="U16" s="225"/>
      <c r="V16" s="225"/>
      <c r="W16" s="225"/>
      <c r="X16" s="225"/>
      <c r="Y16" s="225"/>
      <c r="Z16" s="225"/>
      <c r="AA16" s="225"/>
      <c r="AB16" s="225"/>
      <c r="AC16" s="225"/>
      <c r="AD16" s="225"/>
      <c r="AE16" s="225"/>
      <c r="AF16" s="225"/>
      <c r="AG16" s="225"/>
      <c r="AH16" s="264"/>
    </row>
    <row r="17" spans="1:34" ht="23.1" customHeight="1">
      <c r="A17" s="263"/>
      <c r="B17" s="225"/>
      <c r="C17" s="225"/>
      <c r="D17" s="225"/>
      <c r="E17" s="225"/>
      <c r="F17" s="225"/>
      <c r="G17" s="225"/>
      <c r="H17" s="225"/>
      <c r="I17" s="225"/>
      <c r="J17" s="225"/>
      <c r="K17" s="225"/>
      <c r="L17" s="225"/>
      <c r="M17" s="225"/>
      <c r="N17" s="225"/>
      <c r="O17" s="225"/>
      <c r="P17" s="225"/>
      <c r="Q17" s="225"/>
      <c r="R17" s="225"/>
      <c r="S17" s="225"/>
      <c r="T17" s="225"/>
      <c r="U17" s="225"/>
      <c r="V17" s="225"/>
      <c r="W17" s="225"/>
      <c r="X17" s="225"/>
      <c r="Y17" s="225"/>
      <c r="Z17" s="225"/>
      <c r="AA17" s="225"/>
      <c r="AB17" s="225"/>
      <c r="AC17" s="225"/>
      <c r="AD17" s="225"/>
      <c r="AE17" s="225"/>
      <c r="AF17" s="225"/>
      <c r="AG17" s="225"/>
      <c r="AH17" s="264"/>
    </row>
    <row r="18" spans="1:34" ht="23.1" customHeight="1">
      <c r="A18" s="263"/>
      <c r="B18" s="225"/>
      <c r="C18" s="225"/>
      <c r="D18" s="225"/>
      <c r="E18" s="225"/>
      <c r="F18" s="225"/>
      <c r="G18" s="225"/>
      <c r="H18" s="225"/>
      <c r="I18" s="225"/>
      <c r="J18" s="225"/>
      <c r="K18" s="225"/>
      <c r="L18" s="225"/>
      <c r="M18" s="225"/>
      <c r="N18" s="225"/>
      <c r="O18" s="225"/>
      <c r="P18" s="225"/>
      <c r="Q18" s="225"/>
      <c r="R18" s="225"/>
      <c r="S18" s="225"/>
      <c r="T18" s="225"/>
      <c r="U18" s="225"/>
      <c r="V18" s="225"/>
      <c r="W18" s="225"/>
      <c r="X18" s="225"/>
      <c r="Y18" s="225"/>
      <c r="Z18" s="225"/>
      <c r="AA18" s="225"/>
      <c r="AB18" s="225"/>
      <c r="AC18" s="225"/>
      <c r="AD18" s="225"/>
      <c r="AE18" s="225"/>
      <c r="AF18" s="225"/>
      <c r="AG18" s="225"/>
      <c r="AH18" s="264"/>
    </row>
    <row r="19" spans="1:34" ht="23.1" customHeight="1" thickBot="1">
      <c r="A19" s="265"/>
      <c r="B19" s="266"/>
      <c r="C19" s="266"/>
      <c r="D19" s="266"/>
      <c r="E19" s="266"/>
      <c r="F19" s="266"/>
      <c r="G19" s="266"/>
      <c r="H19" s="266"/>
      <c r="I19" s="266"/>
      <c r="J19" s="266"/>
      <c r="K19" s="266"/>
      <c r="L19" s="266"/>
      <c r="M19" s="266"/>
      <c r="N19" s="266"/>
      <c r="O19" s="266"/>
      <c r="P19" s="266"/>
      <c r="Q19" s="266"/>
      <c r="R19" s="266"/>
      <c r="S19" s="266"/>
      <c r="T19" s="266"/>
      <c r="U19" s="266"/>
      <c r="V19" s="266"/>
      <c r="W19" s="266"/>
      <c r="X19" s="266"/>
      <c r="Y19" s="266"/>
      <c r="Z19" s="266"/>
      <c r="AA19" s="266"/>
      <c r="AB19" s="266"/>
      <c r="AC19" s="266"/>
      <c r="AD19" s="266"/>
      <c r="AE19" s="266"/>
      <c r="AF19" s="266"/>
      <c r="AG19" s="266"/>
      <c r="AH19" s="267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M15" sqref="M15"/>
    </sheetView>
  </sheetViews>
  <sheetFormatPr defaultRowHeight="20.100000000000001" customHeight="1"/>
  <cols>
    <col min="1" max="16384" width="8.88671875" style="156"/>
  </cols>
  <sheetData>
    <row r="1" spans="1:12" ht="27.75" customHeight="1">
      <c r="A1" s="430"/>
    </row>
    <row r="5" spans="1:12" ht="20.100000000000001" customHeight="1" thickBot="1"/>
    <row r="6" spans="1:12" ht="20.100000000000001" customHeight="1">
      <c r="D6" s="421" t="s">
        <v>279</v>
      </c>
      <c r="E6" s="422" t="s">
        <v>366</v>
      </c>
      <c r="F6" s="422"/>
      <c r="G6" s="422" t="s">
        <v>367</v>
      </c>
      <c r="H6" s="422"/>
      <c r="I6" s="422" t="s">
        <v>368</v>
      </c>
      <c r="J6" s="422"/>
      <c r="K6" s="422" t="s">
        <v>369</v>
      </c>
      <c r="L6" s="423"/>
    </row>
    <row r="7" spans="1:12" ht="20.100000000000001" customHeight="1">
      <c r="D7" s="424" t="s">
        <v>370</v>
      </c>
      <c r="E7" s="425">
        <v>20</v>
      </c>
      <c r="F7" s="425">
        <v>102.04999999999998</v>
      </c>
      <c r="G7" s="425">
        <v>3</v>
      </c>
      <c r="H7" s="425">
        <v>20.46</v>
      </c>
      <c r="I7" s="425">
        <v>17</v>
      </c>
      <c r="J7" s="425">
        <v>81.589999999999989</v>
      </c>
      <c r="K7" s="425">
        <v>0</v>
      </c>
      <c r="L7" s="426">
        <v>0</v>
      </c>
    </row>
    <row r="8" spans="1:12" ht="20.100000000000001" customHeight="1" thickBot="1">
      <c r="D8" s="427" t="s">
        <v>371</v>
      </c>
      <c r="E8" s="428">
        <v>0</v>
      </c>
      <c r="F8" s="428">
        <v>0</v>
      </c>
      <c r="G8" s="428">
        <v>0</v>
      </c>
      <c r="H8" s="428">
        <v>0</v>
      </c>
      <c r="I8" s="428">
        <v>0</v>
      </c>
      <c r="J8" s="428">
        <v>0</v>
      </c>
      <c r="K8" s="428">
        <v>0</v>
      </c>
      <c r="L8" s="429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zoomScaleNormal="100" workbookViewId="0">
      <selection activeCell="D2" sqref="D2:D3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4" style="30" customWidth="1"/>
    <col min="6" max="6" width="9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414</v>
      </c>
      <c r="F1" s="32"/>
      <c r="J1" s="60"/>
    </row>
    <row r="2" spans="1:18" s="67" customFormat="1" ht="23.1" customHeight="1">
      <c r="A2" s="529" t="s">
        <v>0</v>
      </c>
      <c r="B2" s="519" t="s">
        <v>39</v>
      </c>
      <c r="C2" s="519" t="s">
        <v>6</v>
      </c>
      <c r="D2" s="519" t="s">
        <v>38</v>
      </c>
      <c r="E2" s="519" t="s">
        <v>203</v>
      </c>
      <c r="F2" s="519" t="s">
        <v>202</v>
      </c>
      <c r="G2" s="523" t="s">
        <v>1</v>
      </c>
      <c r="H2" s="523" t="s">
        <v>2</v>
      </c>
      <c r="I2" s="523" t="s">
        <v>171</v>
      </c>
      <c r="J2" s="527" t="s">
        <v>273</v>
      </c>
      <c r="K2" s="523" t="s">
        <v>272</v>
      </c>
      <c r="L2" s="523" t="s">
        <v>3</v>
      </c>
      <c r="M2" s="523" t="s">
        <v>4</v>
      </c>
      <c r="N2" s="523" t="s">
        <v>5</v>
      </c>
      <c r="O2" s="523" t="s">
        <v>271</v>
      </c>
      <c r="P2" s="525" t="s">
        <v>270</v>
      </c>
      <c r="Q2" s="519" t="s">
        <v>158</v>
      </c>
      <c r="R2" s="521" t="s">
        <v>92</v>
      </c>
    </row>
    <row r="3" spans="1:18" s="67" customFormat="1" ht="27" customHeight="1">
      <c r="A3" s="530"/>
      <c r="B3" s="520"/>
      <c r="C3" s="520"/>
      <c r="D3" s="520"/>
      <c r="E3" s="520"/>
      <c r="F3" s="520"/>
      <c r="G3" s="524"/>
      <c r="H3" s="524"/>
      <c r="I3" s="524"/>
      <c r="J3" s="528"/>
      <c r="K3" s="524"/>
      <c r="L3" s="524"/>
      <c r="M3" s="524"/>
      <c r="N3" s="524"/>
      <c r="O3" s="524"/>
      <c r="P3" s="526"/>
      <c r="Q3" s="520"/>
      <c r="R3" s="522"/>
    </row>
    <row r="4" spans="1:18" ht="23.1" customHeight="1" thickBot="1">
      <c r="A4" s="448" t="s">
        <v>360</v>
      </c>
      <c r="B4" s="449" t="s">
        <v>388</v>
      </c>
      <c r="C4" s="450"/>
      <c r="D4" s="449" t="s">
        <v>415</v>
      </c>
      <c r="E4" s="449" t="str">
        <f>Recharge!$I$24</f>
        <v>금강/금강공주</v>
      </c>
      <c r="F4" s="449" t="str">
        <f>All!$B$2</f>
        <v>보령기상청</v>
      </c>
      <c r="G4" s="449">
        <v>250</v>
      </c>
      <c r="H4" s="449">
        <v>80</v>
      </c>
      <c r="I4" s="449">
        <v>150</v>
      </c>
      <c r="J4" s="449">
        <v>160</v>
      </c>
      <c r="K4" s="449">
        <v>160</v>
      </c>
      <c r="L4" s="449">
        <v>3</v>
      </c>
      <c r="M4" s="449">
        <v>60</v>
      </c>
      <c r="N4" s="451">
        <v>50</v>
      </c>
      <c r="O4" s="452">
        <f>ROUND(water!F7, 1)</f>
        <v>102.1</v>
      </c>
      <c r="P4" s="453">
        <v>1688110</v>
      </c>
      <c r="Q4" s="449"/>
      <c r="R4" s="454"/>
    </row>
    <row r="5" spans="1:18" ht="23.25" customHeight="1" thickBot="1">
      <c r="A5" s="141"/>
      <c r="J5" s="172"/>
      <c r="P5" s="173"/>
    </row>
    <row r="6" spans="1:18" ht="23.25" customHeight="1" thickBot="1">
      <c r="I6" s="193">
        <f>SUM(I4:I5)</f>
        <v>150</v>
      </c>
    </row>
    <row r="10" spans="1:18">
      <c r="Q10" s="30" t="s">
        <v>121</v>
      </c>
    </row>
    <row r="15" spans="1:18">
      <c r="N15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1C43CA58-80ED-4863-92C6-111B6F8E9D4A}">
      <formula1>INDIRECT("Location[name]")</formula1>
    </dataValidation>
    <dataValidation type="list" allowBlank="1" showInputMessage="1" showErrorMessage="1" sqref="F4" xr:uid="{86E7334F-50DD-4E9B-B5F1-0282EBF2B8DC}">
      <formula1>INDIRECT("Tarea[area]")</formula1>
    </dataValidation>
    <dataValidation type="list" allowBlank="1" showInputMessage="1" showErrorMessage="1" sqref="G4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O12" sqref="O12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7" customWidth="1"/>
    <col min="10" max="10" width="11.77734375" style="30" customWidth="1"/>
    <col min="11" max="11" width="11.77734375" style="148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232</v>
      </c>
    </row>
    <row r="2" spans="7:19" ht="29.25" customHeight="1">
      <c r="G2" s="228" t="s">
        <v>208</v>
      </c>
      <c r="H2" s="229" t="s">
        <v>205</v>
      </c>
      <c r="I2" s="230" t="s">
        <v>214</v>
      </c>
      <c r="J2" s="229" t="s">
        <v>206</v>
      </c>
      <c r="K2" s="231" t="s">
        <v>207</v>
      </c>
      <c r="M2" s="234"/>
      <c r="N2" s="235" t="s">
        <v>212</v>
      </c>
      <c r="O2" s="231" t="s">
        <v>213</v>
      </c>
      <c r="Q2" s="228" t="s">
        <v>208</v>
      </c>
      <c r="R2" s="235" t="s">
        <v>216</v>
      </c>
      <c r="S2" s="231" t="s">
        <v>217</v>
      </c>
    </row>
    <row r="3" spans="7:19" ht="20.100000000000001" customHeight="1">
      <c r="G3" s="210" t="s">
        <v>228</v>
      </c>
      <c r="H3" s="198">
        <v>183</v>
      </c>
      <c r="I3" s="232">
        <v>165.36</v>
      </c>
      <c r="J3" s="198">
        <v>160</v>
      </c>
      <c r="K3" s="233">
        <v>0.90163934426229508</v>
      </c>
      <c r="M3" s="236" t="s">
        <v>207</v>
      </c>
      <c r="N3" s="237">
        <v>0.90163934426229508</v>
      </c>
      <c r="O3" s="238">
        <v>0.90163934426229508</v>
      </c>
      <c r="Q3" s="244" t="s">
        <v>228</v>
      </c>
      <c r="R3" s="245">
        <v>3.1490000000000001E-4</v>
      </c>
      <c r="S3" s="246">
        <v>0.1282326</v>
      </c>
    </row>
    <row r="4" spans="7:19" ht="20.100000000000001" customHeight="1">
      <c r="G4" s="210"/>
      <c r="H4" s="198"/>
      <c r="I4" s="232"/>
      <c r="J4" s="198"/>
      <c r="K4" s="233"/>
      <c r="M4" s="236" t="s">
        <v>214</v>
      </c>
      <c r="N4" s="239">
        <v>165.36</v>
      </c>
      <c r="O4" s="240">
        <v>165.36</v>
      </c>
      <c r="Q4" s="244"/>
      <c r="R4" s="245"/>
      <c r="S4" s="246"/>
    </row>
    <row r="5" spans="7:19" ht="20.100000000000001" customHeight="1" thickBot="1">
      <c r="G5" s="210"/>
      <c r="H5" s="198"/>
      <c r="I5" s="232"/>
      <c r="J5" s="198"/>
      <c r="K5" s="233"/>
      <c r="M5" s="241" t="s">
        <v>215</v>
      </c>
      <c r="N5" s="242">
        <v>160</v>
      </c>
      <c r="O5" s="243">
        <v>160</v>
      </c>
      <c r="Q5" s="244"/>
      <c r="R5" s="245"/>
      <c r="S5" s="246"/>
    </row>
    <row r="6" spans="7:19" ht="20.100000000000001" customHeight="1">
      <c r="G6" s="210"/>
      <c r="H6" s="198"/>
      <c r="I6" s="198"/>
      <c r="J6" s="198"/>
      <c r="K6" s="199"/>
      <c r="Q6" s="244"/>
      <c r="R6" s="245"/>
      <c r="S6" s="246"/>
    </row>
    <row r="7" spans="7:19" ht="20.100000000000001" customHeight="1">
      <c r="G7" s="210"/>
      <c r="H7" s="198"/>
      <c r="I7" s="198"/>
      <c r="J7" s="198"/>
      <c r="K7" s="199"/>
      <c r="Q7" s="244"/>
      <c r="R7" s="245"/>
      <c r="S7" s="246"/>
    </row>
    <row r="8" spans="7:19" ht="20.100000000000001" customHeight="1">
      <c r="G8" s="210"/>
      <c r="H8" s="198"/>
      <c r="I8" s="198"/>
      <c r="J8" s="198"/>
      <c r="K8" s="199"/>
      <c r="Q8" s="210"/>
      <c r="R8" s="198"/>
      <c r="S8" s="199"/>
    </row>
    <row r="9" spans="7:19" ht="20.100000000000001" customHeight="1">
      <c r="G9" s="210"/>
      <c r="H9" s="198"/>
      <c r="I9" s="198"/>
      <c r="J9" s="198"/>
      <c r="K9" s="199"/>
      <c r="Q9" s="210"/>
      <c r="R9" s="198"/>
      <c r="S9" s="199"/>
    </row>
    <row r="10" spans="7:19" ht="20.100000000000001" customHeight="1">
      <c r="G10" s="210"/>
      <c r="H10" s="198"/>
      <c r="I10" s="198"/>
      <c r="J10" s="198"/>
      <c r="K10" s="199"/>
      <c r="Q10" s="210"/>
      <c r="R10" s="198"/>
      <c r="S10" s="199"/>
    </row>
    <row r="11" spans="7:19" ht="20.100000000000001" customHeight="1">
      <c r="G11" s="210"/>
      <c r="H11" s="198"/>
      <c r="I11" s="198"/>
      <c r="J11" s="198"/>
      <c r="K11" s="199"/>
      <c r="Q11" s="210"/>
      <c r="R11" s="198"/>
      <c r="S11" s="199"/>
    </row>
    <row r="12" spans="7:19" ht="20.100000000000001" customHeight="1">
      <c r="G12" s="210"/>
      <c r="H12" s="198"/>
      <c r="I12" s="198"/>
      <c r="J12" s="198"/>
      <c r="K12" s="199"/>
      <c r="Q12" s="210"/>
      <c r="R12" s="198"/>
      <c r="S12" s="199"/>
    </row>
    <row r="13" spans="7:19" ht="20.100000000000001" customHeight="1">
      <c r="G13" s="210"/>
      <c r="H13" s="198"/>
      <c r="I13" s="198"/>
      <c r="J13" s="198"/>
      <c r="K13" s="199"/>
      <c r="Q13" s="210"/>
      <c r="R13" s="198"/>
      <c r="S13" s="199"/>
    </row>
    <row r="14" spans="7:19" ht="20.100000000000001" customHeight="1">
      <c r="G14" s="210"/>
      <c r="H14" s="198"/>
      <c r="I14" s="198"/>
      <c r="J14" s="198"/>
      <c r="K14" s="199"/>
      <c r="Q14" s="210"/>
      <c r="R14" s="198"/>
      <c r="S14" s="199"/>
    </row>
    <row r="15" spans="7:19" ht="20.100000000000001" customHeight="1">
      <c r="G15" s="210"/>
      <c r="H15" s="198"/>
      <c r="I15" s="198"/>
      <c r="J15" s="198"/>
      <c r="K15" s="199"/>
      <c r="Q15" s="210"/>
      <c r="R15" s="198"/>
      <c r="S15" s="199"/>
    </row>
    <row r="16" spans="7:19" ht="20.100000000000001" customHeight="1">
      <c r="G16" s="210"/>
      <c r="H16" s="198"/>
      <c r="I16" s="198"/>
      <c r="J16" s="198"/>
      <c r="K16" s="199"/>
      <c r="Q16" s="210"/>
      <c r="R16" s="198"/>
      <c r="S16" s="199"/>
    </row>
    <row r="17" spans="6:19" ht="20.100000000000001" customHeight="1">
      <c r="G17" s="210"/>
      <c r="H17" s="198"/>
      <c r="I17" s="198"/>
      <c r="J17" s="198"/>
      <c r="K17" s="199"/>
      <c r="Q17" s="210"/>
      <c r="R17" s="198"/>
      <c r="S17" s="199"/>
    </row>
    <row r="18" spans="6:19" ht="20.100000000000001" customHeight="1">
      <c r="G18" s="210"/>
      <c r="H18" s="198"/>
      <c r="I18" s="198"/>
      <c r="J18" s="198"/>
      <c r="K18" s="199"/>
      <c r="Q18" s="210"/>
      <c r="R18" s="198"/>
      <c r="S18" s="199"/>
    </row>
    <row r="19" spans="6:19" ht="20.100000000000001" customHeight="1" thickBot="1">
      <c r="G19" s="212"/>
      <c r="H19" s="190"/>
      <c r="I19" s="190"/>
      <c r="J19" s="190"/>
      <c r="K19" s="191"/>
      <c r="Q19" s="212"/>
      <c r="R19" s="190"/>
      <c r="S19" s="191"/>
    </row>
    <row r="22" spans="6:19" ht="20.100000000000001" customHeight="1">
      <c r="M22" s="147"/>
      <c r="N22" s="147"/>
      <c r="O22" s="147"/>
      <c r="P22" s="147"/>
      <c r="Q22" s="147"/>
      <c r="R22" s="147"/>
      <c r="S22" s="147"/>
    </row>
    <row r="23" spans="6:19" ht="20.100000000000001" customHeight="1">
      <c r="M23"/>
      <c r="N23"/>
      <c r="O23"/>
      <c r="P23"/>
      <c r="Q23"/>
      <c r="R23" s="147"/>
      <c r="S23" s="147"/>
    </row>
    <row r="24" spans="6:19" ht="20.100000000000001" customHeight="1">
      <c r="M24"/>
      <c r="N24"/>
      <c r="O24"/>
      <c r="P24"/>
      <c r="Q24"/>
      <c r="R24" s="147"/>
      <c r="S24" s="147"/>
    </row>
    <row r="25" spans="6:19" ht="20.100000000000001" customHeight="1" thickBot="1">
      <c r="M25" s="147"/>
      <c r="N25" s="147"/>
      <c r="O25" s="147"/>
      <c r="P25" s="147"/>
      <c r="Q25" s="147"/>
      <c r="R25" s="147"/>
      <c r="S25" s="147"/>
    </row>
    <row r="26" spans="6:19" ht="27" customHeight="1" thickBot="1">
      <c r="G26" s="276" t="s">
        <v>240</v>
      </c>
      <c r="H26" s="277"/>
      <c r="I26" s="278"/>
    </row>
    <row r="27" spans="6:19" ht="15.95" customHeight="1">
      <c r="F27" s="535" t="s">
        <v>228</v>
      </c>
      <c r="G27" s="531">
        <v>183</v>
      </c>
      <c r="H27" s="275">
        <v>34.17</v>
      </c>
      <c r="I27" s="533">
        <v>165.36</v>
      </c>
    </row>
    <row r="28" spans="6:19" ht="15.95" customHeight="1">
      <c r="F28" s="536"/>
      <c r="G28" s="532"/>
      <c r="H28" s="198">
        <v>16.07</v>
      </c>
      <c r="I28" s="534"/>
      <c r="K28" s="30"/>
    </row>
    <row r="29" spans="6:19" ht="15.95" customHeight="1">
      <c r="F29" s="536"/>
      <c r="G29" s="532"/>
      <c r="H29" s="198"/>
      <c r="I29" s="534"/>
    </row>
    <row r="30" spans="6:19" ht="15.95" customHeight="1">
      <c r="F30" s="536"/>
      <c r="G30" s="532"/>
      <c r="H30" s="198"/>
      <c r="I30" s="534"/>
    </row>
    <row r="31" spans="6:19" ht="15.95" customHeight="1">
      <c r="F31" s="536"/>
      <c r="G31" s="532"/>
      <c r="H31" s="198"/>
      <c r="I31" s="534"/>
    </row>
    <row r="32" spans="6:19" ht="15.95" customHeight="1">
      <c r="F32" s="536"/>
      <c r="G32" s="532"/>
      <c r="H32" s="198"/>
      <c r="I32" s="534"/>
    </row>
    <row r="33" spans="6:9" ht="15.95" customHeight="1">
      <c r="F33" s="536"/>
      <c r="G33" s="532"/>
      <c r="H33" s="198"/>
      <c r="I33" s="534"/>
    </row>
    <row r="34" spans="6:9" ht="15.95" customHeight="1">
      <c r="F34" s="536"/>
      <c r="G34" s="532"/>
      <c r="H34" s="198"/>
      <c r="I34" s="534"/>
    </row>
    <row r="35" spans="6:9" ht="15.95" customHeight="1">
      <c r="F35" s="536"/>
      <c r="G35" s="532"/>
      <c r="H35" s="198"/>
      <c r="I35" s="534"/>
    </row>
    <row r="36" spans="6:9" ht="15.95" customHeight="1">
      <c r="F36" s="536"/>
      <c r="G36" s="532"/>
      <c r="H36" s="198"/>
      <c r="I36" s="534"/>
    </row>
    <row r="37" spans="6:9" ht="15.95" customHeight="1">
      <c r="F37" s="536"/>
      <c r="G37" s="532"/>
      <c r="H37" s="198"/>
      <c r="I37" s="534"/>
    </row>
    <row r="38" spans="6:9" ht="15.95" customHeight="1">
      <c r="F38" s="536"/>
      <c r="G38" s="532"/>
      <c r="H38" s="198"/>
      <c r="I38" s="534"/>
    </row>
    <row r="39" spans="6:9" ht="15.95" customHeight="1">
      <c r="F39" s="536"/>
      <c r="G39" s="532"/>
      <c r="H39" s="198"/>
      <c r="I39" s="534"/>
    </row>
    <row r="40" spans="6:9" ht="15.95" customHeight="1">
      <c r="F40" s="536"/>
      <c r="G40" s="532"/>
      <c r="H40" s="198"/>
      <c r="I40" s="534"/>
    </row>
    <row r="41" spans="6:9" ht="15.95" customHeight="1">
      <c r="F41" s="536"/>
      <c r="G41" s="532"/>
      <c r="H41" s="198"/>
      <c r="I41" s="534"/>
    </row>
    <row r="42" spans="6:9" ht="15.95" customHeight="1">
      <c r="F42" s="536"/>
      <c r="G42" s="532"/>
      <c r="H42" s="198"/>
      <c r="I42" s="534"/>
    </row>
    <row r="43" spans="6:9" ht="15.95" customHeight="1">
      <c r="F43" s="536"/>
      <c r="G43" s="532"/>
      <c r="H43" s="198"/>
      <c r="I43" s="534"/>
    </row>
    <row r="44" spans="6:9" ht="15.95" customHeight="1">
      <c r="F44" s="536"/>
      <c r="G44" s="532"/>
      <c r="H44" s="198"/>
      <c r="I44" s="534"/>
    </row>
    <row r="45" spans="6:9" ht="15.95" customHeight="1">
      <c r="F45" s="536"/>
      <c r="G45" s="532"/>
      <c r="H45" s="198"/>
      <c r="I45" s="534"/>
    </row>
    <row r="46" spans="6:9" ht="15.95" customHeight="1">
      <c r="F46" s="536"/>
      <c r="G46" s="532"/>
      <c r="H46" s="198"/>
      <c r="I46" s="534"/>
    </row>
    <row r="47" spans="6:9" ht="15.95" customHeight="1">
      <c r="F47" s="536"/>
      <c r="G47" s="532"/>
      <c r="H47" s="198"/>
      <c r="I47" s="534"/>
    </row>
    <row r="48" spans="6:9" ht="15.95" customHeight="1">
      <c r="F48" s="536"/>
      <c r="G48" s="532"/>
      <c r="H48" s="198"/>
      <c r="I48" s="534"/>
    </row>
    <row r="49" spans="6:9" ht="15.95" customHeight="1">
      <c r="F49" s="536"/>
      <c r="G49" s="532"/>
      <c r="H49" s="198"/>
      <c r="I49" s="534"/>
    </row>
    <row r="50" spans="6:9" ht="15.95" customHeight="1" thickBot="1">
      <c r="F50" s="537"/>
      <c r="G50" s="538"/>
      <c r="H50" s="190"/>
      <c r="I50" s="539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L10" sqref="L10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9" t="s">
        <v>317</v>
      </c>
      <c r="L1" s="149" t="s">
        <v>235</v>
      </c>
      <c r="S1" s="149" t="s">
        <v>236</v>
      </c>
    </row>
    <row r="2" spans="4:21" ht="36.75" customHeight="1">
      <c r="D2" s="207" t="s">
        <v>218</v>
      </c>
      <c r="E2" s="208" t="s">
        <v>215</v>
      </c>
      <c r="F2" s="208" t="s">
        <v>222</v>
      </c>
      <c r="G2" s="208" t="s">
        <v>223</v>
      </c>
      <c r="H2" s="208" t="s">
        <v>163</v>
      </c>
      <c r="I2" s="208" t="s">
        <v>224</v>
      </c>
      <c r="J2" s="209" t="s">
        <v>225</v>
      </c>
      <c r="L2" s="207" t="s">
        <v>215</v>
      </c>
      <c r="M2" s="208" t="s">
        <v>219</v>
      </c>
      <c r="N2" s="208" t="s">
        <v>220</v>
      </c>
      <c r="O2" s="208" t="s">
        <v>221</v>
      </c>
      <c r="P2" s="208" t="s">
        <v>238</v>
      </c>
      <c r="Q2" s="209" t="s">
        <v>239</v>
      </c>
      <c r="S2" s="207" t="s">
        <v>223</v>
      </c>
      <c r="T2" s="208" t="s">
        <v>226</v>
      </c>
      <c r="U2" s="209" t="s">
        <v>227</v>
      </c>
    </row>
    <row r="3" spans="4:21" ht="20.100000000000001" customHeight="1">
      <c r="D3" s="210" t="s">
        <v>228</v>
      </c>
      <c r="E3" s="198">
        <v>160</v>
      </c>
      <c r="F3" s="198">
        <v>2.4</v>
      </c>
      <c r="G3" s="198">
        <v>40.799999999999997</v>
      </c>
      <c r="H3" s="198">
        <v>38.4</v>
      </c>
      <c r="I3" s="198">
        <v>0.125</v>
      </c>
      <c r="J3" s="211">
        <v>3.0396616256985305</v>
      </c>
      <c r="K3" s="30"/>
      <c r="L3" s="210">
        <v>160</v>
      </c>
      <c r="M3" s="198">
        <v>0.125</v>
      </c>
      <c r="N3" s="198">
        <v>0.125</v>
      </c>
      <c r="O3" s="198">
        <v>54</v>
      </c>
      <c r="P3" s="198">
        <v>2.7669999999999999</v>
      </c>
      <c r="Q3" s="199">
        <v>0.10680000000000001</v>
      </c>
      <c r="S3" s="214">
        <v>40.799999999999997</v>
      </c>
      <c r="T3" s="215">
        <v>4.4742745786732963</v>
      </c>
      <c r="U3" s="211">
        <v>36.325725421326702</v>
      </c>
    </row>
    <row r="4" spans="4:21" ht="20.100000000000001" customHeight="1">
      <c r="D4" s="210"/>
      <c r="E4" s="198"/>
      <c r="F4" s="198"/>
      <c r="G4" s="198"/>
      <c r="H4" s="198"/>
      <c r="I4" s="198"/>
      <c r="J4" s="211"/>
      <c r="K4" s="30"/>
      <c r="L4" s="210"/>
      <c r="M4" s="198"/>
      <c r="N4" s="198"/>
      <c r="O4" s="198"/>
      <c r="P4" s="198"/>
      <c r="Q4" s="199"/>
      <c r="S4" s="214"/>
      <c r="T4" s="215"/>
      <c r="U4" s="211"/>
    </row>
    <row r="5" spans="4:21" ht="20.100000000000001" customHeight="1">
      <c r="D5" s="210"/>
      <c r="E5" s="198"/>
      <c r="F5" s="198"/>
      <c r="G5" s="198"/>
      <c r="H5" s="198"/>
      <c r="I5" s="198"/>
      <c r="J5" s="211"/>
      <c r="K5" s="30"/>
      <c r="L5" s="210"/>
      <c r="M5" s="198"/>
      <c r="N5" s="198"/>
      <c r="O5" s="198"/>
      <c r="P5" s="198"/>
      <c r="Q5" s="199"/>
      <c r="S5" s="214"/>
      <c r="T5" s="215"/>
      <c r="U5" s="211"/>
    </row>
    <row r="6" spans="4:21" ht="20.100000000000001" customHeight="1">
      <c r="D6" s="210"/>
      <c r="E6" s="198"/>
      <c r="F6" s="198"/>
      <c r="G6" s="198"/>
      <c r="H6" s="198"/>
      <c r="I6" s="198"/>
      <c r="J6" s="211"/>
      <c r="K6" s="30"/>
      <c r="L6" s="210"/>
      <c r="M6" s="198"/>
      <c r="N6" s="198"/>
      <c r="O6" s="198"/>
      <c r="P6" s="198"/>
      <c r="Q6" s="199"/>
      <c r="S6" s="214"/>
      <c r="T6" s="215"/>
      <c r="U6" s="211"/>
    </row>
    <row r="7" spans="4:21" ht="20.100000000000001" customHeight="1">
      <c r="D7" s="210"/>
      <c r="E7" s="198"/>
      <c r="F7" s="198"/>
      <c r="G7" s="198"/>
      <c r="H7" s="198"/>
      <c r="I7" s="198"/>
      <c r="J7" s="211"/>
      <c r="K7" s="30"/>
      <c r="L7" s="210"/>
      <c r="M7" s="198"/>
      <c r="N7" s="198"/>
      <c r="O7" s="198"/>
      <c r="P7" s="198"/>
      <c r="Q7" s="199"/>
      <c r="S7" s="214"/>
      <c r="T7" s="215"/>
      <c r="U7" s="211"/>
    </row>
    <row r="8" spans="4:21" ht="20.100000000000001" customHeight="1">
      <c r="D8" s="210"/>
      <c r="E8" s="198"/>
      <c r="F8" s="198"/>
      <c r="G8" s="198"/>
      <c r="H8" s="198"/>
      <c r="I8" s="198"/>
      <c r="J8" s="211"/>
      <c r="K8" s="30"/>
      <c r="L8" s="210"/>
      <c r="M8" s="198"/>
      <c r="N8" s="198"/>
      <c r="O8" s="198"/>
      <c r="P8" s="198"/>
      <c r="Q8" s="199"/>
      <c r="S8" s="210"/>
      <c r="T8" s="215"/>
      <c r="U8" s="211"/>
    </row>
    <row r="9" spans="4:21" ht="20.100000000000001" customHeight="1">
      <c r="D9" s="210"/>
      <c r="E9" s="198"/>
      <c r="F9" s="198"/>
      <c r="G9" s="198"/>
      <c r="H9" s="198"/>
      <c r="I9" s="198"/>
      <c r="J9" s="211"/>
      <c r="K9" s="30"/>
      <c r="L9" s="210"/>
      <c r="M9" s="198"/>
      <c r="N9" s="198"/>
      <c r="O9" s="198"/>
      <c r="P9" s="198"/>
      <c r="Q9" s="199"/>
      <c r="S9" s="210"/>
      <c r="T9" s="215"/>
      <c r="U9" s="211"/>
    </row>
    <row r="10" spans="4:21" ht="20.100000000000001" customHeight="1">
      <c r="D10" s="210"/>
      <c r="E10" s="198"/>
      <c r="F10" s="198"/>
      <c r="G10" s="198"/>
      <c r="H10" s="198"/>
      <c r="I10" s="198"/>
      <c r="J10" s="211"/>
      <c r="K10" s="30"/>
      <c r="L10" s="210"/>
      <c r="M10" s="198"/>
      <c r="N10" s="198"/>
      <c r="O10" s="198"/>
      <c r="P10" s="198"/>
      <c r="Q10" s="199"/>
      <c r="S10" s="210"/>
      <c r="T10" s="215"/>
      <c r="U10" s="211"/>
    </row>
    <row r="11" spans="4:21" ht="20.100000000000001" customHeight="1">
      <c r="D11" s="210"/>
      <c r="E11" s="198"/>
      <c r="F11" s="198"/>
      <c r="G11" s="198"/>
      <c r="H11" s="198"/>
      <c r="I11" s="198"/>
      <c r="J11" s="211"/>
      <c r="K11" s="30"/>
      <c r="L11" s="210"/>
      <c r="M11" s="198"/>
      <c r="N11" s="198"/>
      <c r="O11" s="198"/>
      <c r="P11" s="198"/>
      <c r="Q11" s="199"/>
      <c r="S11" s="210"/>
      <c r="T11" s="215"/>
      <c r="U11" s="211"/>
    </row>
    <row r="12" spans="4:21" ht="20.100000000000001" customHeight="1">
      <c r="D12" s="210"/>
      <c r="E12" s="198"/>
      <c r="F12" s="198"/>
      <c r="G12" s="198"/>
      <c r="H12" s="198"/>
      <c r="I12" s="198"/>
      <c r="J12" s="211"/>
      <c r="K12" s="30"/>
      <c r="L12" s="210"/>
      <c r="M12" s="198"/>
      <c r="N12" s="198"/>
      <c r="O12" s="198"/>
      <c r="P12" s="198"/>
      <c r="Q12" s="199"/>
      <c r="S12" s="210"/>
      <c r="T12" s="215"/>
      <c r="U12" s="211"/>
    </row>
    <row r="13" spans="4:21" ht="20.100000000000001" customHeight="1">
      <c r="D13" s="210"/>
      <c r="E13" s="198"/>
      <c r="F13" s="198"/>
      <c r="G13" s="198"/>
      <c r="H13" s="198"/>
      <c r="I13" s="198"/>
      <c r="J13" s="211"/>
      <c r="K13" s="30"/>
      <c r="L13" s="210"/>
      <c r="M13" s="198"/>
      <c r="N13" s="198"/>
      <c r="O13" s="198"/>
      <c r="P13" s="198"/>
      <c r="Q13" s="199"/>
      <c r="S13" s="210"/>
      <c r="T13" s="215"/>
      <c r="U13" s="211"/>
    </row>
    <row r="14" spans="4:21" ht="20.100000000000001" customHeight="1">
      <c r="D14" s="210"/>
      <c r="E14" s="198"/>
      <c r="F14" s="198"/>
      <c r="G14" s="198"/>
      <c r="H14" s="198"/>
      <c r="I14" s="198"/>
      <c r="J14" s="211"/>
      <c r="K14" s="30"/>
      <c r="L14" s="210"/>
      <c r="M14" s="198"/>
      <c r="N14" s="198"/>
      <c r="O14" s="198"/>
      <c r="P14" s="198"/>
      <c r="Q14" s="199"/>
      <c r="S14" s="210"/>
      <c r="T14" s="215"/>
      <c r="U14" s="211"/>
    </row>
    <row r="15" spans="4:21" ht="20.100000000000001" customHeight="1">
      <c r="D15" s="210"/>
      <c r="E15" s="198"/>
      <c r="F15" s="198"/>
      <c r="G15" s="198"/>
      <c r="H15" s="198"/>
      <c r="I15" s="198"/>
      <c r="J15" s="211"/>
      <c r="K15" s="30"/>
      <c r="L15" s="210"/>
      <c r="M15" s="198"/>
      <c r="N15" s="198"/>
      <c r="O15" s="198"/>
      <c r="P15" s="198"/>
      <c r="Q15" s="199"/>
      <c r="S15" s="210"/>
      <c r="T15" s="215"/>
      <c r="U15" s="211"/>
    </row>
    <row r="16" spans="4:21" ht="20.100000000000001" customHeight="1" thickBot="1">
      <c r="D16" s="212"/>
      <c r="E16" s="190"/>
      <c r="F16" s="190"/>
      <c r="G16" s="190"/>
      <c r="H16" s="190"/>
      <c r="I16" s="190"/>
      <c r="J16" s="213"/>
      <c r="K16" s="30"/>
      <c r="L16" s="212"/>
      <c r="M16" s="190"/>
      <c r="N16" s="190"/>
      <c r="O16" s="190"/>
      <c r="P16" s="190"/>
      <c r="Q16" s="191"/>
      <c r="S16" s="212"/>
      <c r="T16" s="216"/>
      <c r="U16" s="213"/>
    </row>
    <row r="17" spans="3:21" ht="20.100000000000001" customHeight="1">
      <c r="D17" s="30"/>
      <c r="E17" s="30"/>
      <c r="F17" s="30"/>
      <c r="G17" s="30"/>
      <c r="H17" s="30"/>
      <c r="I17" s="30"/>
      <c r="J17" s="150"/>
      <c r="K17" s="30"/>
      <c r="L17" s="30"/>
      <c r="M17" s="30"/>
      <c r="N17" s="30"/>
      <c r="O17" s="30"/>
      <c r="P17" s="30"/>
      <c r="Q17" s="30"/>
      <c r="S17" s="30"/>
      <c r="T17" s="150"/>
      <c r="U17" s="150"/>
    </row>
    <row r="18" spans="3:21" ht="20.100000000000001" customHeight="1">
      <c r="D18" s="30"/>
      <c r="E18" s="30"/>
      <c r="F18" s="30"/>
      <c r="G18" s="30"/>
      <c r="H18" s="30"/>
      <c r="I18" s="30"/>
      <c r="J18" s="150"/>
      <c r="K18" s="30"/>
      <c r="L18" s="30"/>
      <c r="M18" s="30"/>
      <c r="N18" s="30"/>
      <c r="O18" s="30"/>
      <c r="P18" s="30"/>
      <c r="Q18" s="30"/>
      <c r="S18" s="30"/>
      <c r="T18" s="150"/>
      <c r="U18" s="150"/>
    </row>
    <row r="19" spans="3:21" ht="20.100000000000001" customHeight="1">
      <c r="H19" s="151"/>
      <c r="J19" s="152"/>
      <c r="K19" s="152"/>
      <c r="L19" s="152"/>
      <c r="M19" s="152"/>
      <c r="N19" s="152"/>
      <c r="O19" s="152"/>
      <c r="P19" s="152"/>
      <c r="S19" s="30"/>
      <c r="T19" s="150"/>
      <c r="U19" s="150"/>
    </row>
    <row r="20" spans="3:21" s="30" customFormat="1" ht="26.25" customHeight="1" thickBot="1">
      <c r="D20" s="45" t="s">
        <v>252</v>
      </c>
      <c r="F20" s="45"/>
      <c r="H20" s="148"/>
      <c r="T20" s="150"/>
      <c r="U20" s="150"/>
    </row>
    <row r="21" spans="3:21" s="46" customFormat="1" ht="36" customHeight="1">
      <c r="D21" s="217" t="s">
        <v>281</v>
      </c>
      <c r="E21" s="218" t="s">
        <v>228</v>
      </c>
      <c r="F21" s="219"/>
      <c r="G21" s="218"/>
      <c r="H21" s="220"/>
      <c r="I21" s="218"/>
      <c r="J21" s="218"/>
      <c r="K21" s="218"/>
      <c r="L21" s="218"/>
      <c r="M21" s="218"/>
      <c r="N21" s="218"/>
      <c r="O21" s="218"/>
      <c r="P21" s="221"/>
      <c r="Q21" s="45"/>
      <c r="S21" s="45"/>
      <c r="T21" s="154"/>
      <c r="U21" s="154"/>
    </row>
    <row r="22" spans="3:21" s="30" customFormat="1" ht="23.1" customHeight="1">
      <c r="D22" s="247" t="s">
        <v>256</v>
      </c>
      <c r="E22" s="205">
        <v>2.5190000000000001</v>
      </c>
      <c r="F22" s="205"/>
      <c r="G22" s="205"/>
      <c r="H22" s="205"/>
      <c r="I22" s="205"/>
      <c r="J22" s="279"/>
      <c r="K22" s="280"/>
      <c r="L22" s="280"/>
      <c r="M22" s="280"/>
      <c r="N22" s="280"/>
      <c r="O22" s="280"/>
      <c r="P22" s="281"/>
      <c r="T22" s="150"/>
      <c r="U22" s="150"/>
    </row>
    <row r="23" spans="3:21" s="30" customFormat="1" ht="23.1" customHeight="1">
      <c r="D23" s="247" t="s">
        <v>233</v>
      </c>
      <c r="E23" s="205">
        <v>4.6640000000000001E-2</v>
      </c>
      <c r="F23" s="205"/>
      <c r="G23" s="205"/>
      <c r="H23" s="205"/>
      <c r="I23" s="205"/>
      <c r="J23" s="279"/>
      <c r="K23" s="280"/>
      <c r="L23" s="280"/>
      <c r="M23" s="280"/>
      <c r="N23" s="280"/>
      <c r="O23" s="280"/>
      <c r="P23" s="281"/>
      <c r="T23" s="150"/>
      <c r="U23" s="150"/>
    </row>
    <row r="24" spans="3:21" s="30" customFormat="1" ht="23.1" customHeight="1">
      <c r="D24" s="247" t="s">
        <v>234</v>
      </c>
      <c r="E24" s="198">
        <v>3.7609999999999998E-4</v>
      </c>
      <c r="F24" s="198"/>
      <c r="G24" s="198"/>
      <c r="H24" s="198"/>
      <c r="I24" s="198"/>
      <c r="J24" s="280"/>
      <c r="K24" s="280"/>
      <c r="L24" s="280"/>
      <c r="M24" s="280"/>
      <c r="N24" s="280"/>
      <c r="O24" s="280"/>
      <c r="P24" s="281"/>
      <c r="T24" s="150"/>
      <c r="U24" s="150"/>
    </row>
    <row r="25" spans="3:21" s="30" customFormat="1" ht="23.1" customHeight="1">
      <c r="D25" s="247" t="s">
        <v>255</v>
      </c>
      <c r="E25" s="198">
        <v>0.70830000000000004</v>
      </c>
      <c r="F25" s="198"/>
      <c r="G25" s="198"/>
      <c r="H25" s="198"/>
      <c r="I25" s="198"/>
      <c r="J25" s="280"/>
      <c r="K25" s="280"/>
      <c r="L25" s="280"/>
      <c r="M25" s="280"/>
      <c r="N25" s="280"/>
      <c r="O25" s="280"/>
      <c r="P25" s="281"/>
      <c r="T25" s="150"/>
      <c r="U25" s="150"/>
    </row>
    <row r="26" spans="3:21" s="30" customFormat="1" ht="23.1" customHeight="1">
      <c r="D26" s="247" t="s">
        <v>254</v>
      </c>
      <c r="E26" s="198">
        <v>38.4</v>
      </c>
      <c r="F26" s="198"/>
      <c r="G26" s="198"/>
      <c r="H26" s="198"/>
      <c r="I26" s="198"/>
      <c r="J26" s="280"/>
      <c r="K26" s="280"/>
      <c r="L26" s="280"/>
      <c r="M26" s="280"/>
      <c r="N26" s="280"/>
      <c r="O26" s="280"/>
      <c r="P26" s="281"/>
      <c r="T26" s="150"/>
      <c r="U26" s="150"/>
    </row>
    <row r="27" spans="3:21" s="30" customFormat="1" ht="23.1" customHeight="1" thickBot="1">
      <c r="D27" s="248" t="s">
        <v>253</v>
      </c>
      <c r="E27" s="190">
        <v>54</v>
      </c>
      <c r="F27" s="190"/>
      <c r="G27" s="190"/>
      <c r="H27" s="190"/>
      <c r="I27" s="190"/>
      <c r="J27" s="282"/>
      <c r="K27" s="282"/>
      <c r="L27" s="282"/>
      <c r="M27" s="282"/>
      <c r="N27" s="282"/>
      <c r="O27" s="282"/>
      <c r="P27" s="283"/>
      <c r="T27" s="150"/>
      <c r="U27" s="150"/>
    </row>
    <row r="28" spans="3:21" ht="20.100000000000001" customHeight="1">
      <c r="D28" s="36"/>
      <c r="E28" s="36"/>
      <c r="F28" s="152"/>
      <c r="G28" s="36"/>
      <c r="H28" s="151"/>
      <c r="T28" s="153"/>
      <c r="U28" s="153"/>
    </row>
    <row r="29" spans="3:21" ht="20.100000000000001" customHeight="1">
      <c r="D29" s="30"/>
      <c r="E29" s="30"/>
      <c r="F29" s="30"/>
      <c r="G29" s="30"/>
      <c r="H29" s="30"/>
      <c r="I29" s="30"/>
      <c r="J29" s="150"/>
      <c r="K29" s="30"/>
      <c r="L29" s="30"/>
      <c r="M29" s="30"/>
      <c r="N29" s="30"/>
      <c r="O29" s="30"/>
      <c r="P29" s="30"/>
      <c r="Q29" s="30"/>
      <c r="T29" s="153"/>
      <c r="U29" s="153"/>
    </row>
    <row r="30" spans="3:21" ht="32.25" customHeight="1" thickBot="1">
      <c r="D30" s="30"/>
      <c r="E30" s="30"/>
      <c r="F30" s="30"/>
      <c r="G30" s="30"/>
      <c r="H30" s="45" t="s">
        <v>409</v>
      </c>
      <c r="I30" s="149"/>
      <c r="J30" s="150"/>
      <c r="K30" s="30"/>
      <c r="L30" s="30"/>
      <c r="M30" s="30"/>
      <c r="N30" s="30"/>
      <c r="P30" s="45" t="s">
        <v>410</v>
      </c>
      <c r="Q30" s="30"/>
      <c r="R30" s="30"/>
    </row>
    <row r="31" spans="3:21" s="30" customFormat="1" ht="33.75" customHeight="1">
      <c r="C31" s="222" t="s">
        <v>218</v>
      </c>
      <c r="D31" s="223" t="s">
        <v>237</v>
      </c>
      <c r="E31" s="223" t="s">
        <v>284</v>
      </c>
      <c r="F31" s="224" t="s">
        <v>285</v>
      </c>
      <c r="H31" s="222" t="s">
        <v>259</v>
      </c>
      <c r="I31" s="223" t="s">
        <v>260</v>
      </c>
      <c r="J31" s="227" t="s">
        <v>261</v>
      </c>
      <c r="K31" s="223" t="s">
        <v>262</v>
      </c>
      <c r="L31" s="223" t="s">
        <v>263</v>
      </c>
      <c r="M31" s="223" t="s">
        <v>264</v>
      </c>
      <c r="N31" s="224" t="s">
        <v>212</v>
      </c>
      <c r="P31" s="455" t="s">
        <v>286</v>
      </c>
      <c r="Q31" s="196" t="s">
        <v>287</v>
      </c>
      <c r="R31" s="197" t="s">
        <v>288</v>
      </c>
    </row>
    <row r="32" spans="3:21" ht="20.100000000000001" customHeight="1">
      <c r="C32" s="540" t="s">
        <v>228</v>
      </c>
      <c r="D32" s="225" t="s">
        <v>265</v>
      </c>
      <c r="E32" s="205">
        <v>2.7669999999999999</v>
      </c>
      <c r="F32" s="199">
        <v>3.7609999999999998E-4</v>
      </c>
      <c r="G32" s="30"/>
      <c r="H32" s="170" t="s">
        <v>228</v>
      </c>
      <c r="I32" s="232">
        <v>142.30000000000001</v>
      </c>
      <c r="J32" s="232">
        <v>174.2</v>
      </c>
      <c r="K32" s="232">
        <v>103.3</v>
      </c>
      <c r="L32" s="198">
        <v>139.9</v>
      </c>
      <c r="M32" s="198">
        <v>174.2</v>
      </c>
      <c r="N32" s="250">
        <v>103.3</v>
      </c>
      <c r="P32" s="170" t="s">
        <v>228</v>
      </c>
      <c r="Q32" s="205">
        <v>-2.8241999999999998</v>
      </c>
      <c r="R32" s="206">
        <v>2.1059999999999999</v>
      </c>
    </row>
    <row r="33" spans="3:18" ht="20.100000000000001" customHeight="1">
      <c r="C33" s="540"/>
      <c r="D33" s="225" t="s">
        <v>266</v>
      </c>
      <c r="E33" s="205">
        <v>2.2709999999999999</v>
      </c>
      <c r="F33" s="199"/>
      <c r="G33" s="30"/>
      <c r="H33" s="170"/>
      <c r="I33" s="232"/>
      <c r="J33" s="232"/>
      <c r="K33" s="232"/>
      <c r="L33" s="198"/>
      <c r="M33" s="198"/>
      <c r="N33" s="250"/>
      <c r="P33" s="170"/>
      <c r="Q33" s="205"/>
      <c r="R33" s="206"/>
    </row>
    <row r="34" spans="3:18" ht="20.100000000000001" customHeight="1">
      <c r="C34" s="540"/>
      <c r="D34" s="225" t="s">
        <v>267</v>
      </c>
      <c r="E34" s="284">
        <v>2.5190000000000001</v>
      </c>
      <c r="F34" s="290">
        <v>3.7609999999999998E-4</v>
      </c>
      <c r="G34" s="30"/>
      <c r="H34" s="170"/>
      <c r="I34" s="232"/>
      <c r="J34" s="232"/>
      <c r="K34" s="232"/>
      <c r="L34" s="198"/>
      <c r="M34" s="198"/>
      <c r="N34" s="250"/>
      <c r="P34" s="170"/>
      <c r="Q34" s="205"/>
      <c r="R34" s="206"/>
    </row>
    <row r="35" spans="3:18" ht="20.100000000000001" customHeight="1">
      <c r="C35" s="540"/>
      <c r="D35" s="225"/>
      <c r="E35" s="205"/>
      <c r="F35" s="199"/>
      <c r="G35" s="30"/>
      <c r="H35" s="170"/>
      <c r="I35" s="232"/>
      <c r="J35" s="232"/>
      <c r="K35" s="232"/>
      <c r="L35" s="198"/>
      <c r="M35" s="198"/>
      <c r="N35" s="250"/>
      <c r="P35" s="170"/>
      <c r="Q35" s="205"/>
      <c r="R35" s="206"/>
    </row>
    <row r="36" spans="3:18" ht="20.100000000000001" customHeight="1">
      <c r="C36" s="540"/>
      <c r="D36" s="225"/>
      <c r="E36" s="205"/>
      <c r="F36" s="199"/>
      <c r="G36" s="30"/>
      <c r="H36" s="170"/>
      <c r="I36" s="232"/>
      <c r="J36" s="232"/>
      <c r="K36" s="232"/>
      <c r="L36" s="198"/>
      <c r="M36" s="198"/>
      <c r="N36" s="250"/>
      <c r="P36" s="170"/>
      <c r="Q36" s="205"/>
      <c r="R36" s="206"/>
    </row>
    <row r="37" spans="3:18" ht="20.100000000000001" customHeight="1">
      <c r="C37" s="540"/>
      <c r="D37" s="225"/>
      <c r="E37" s="284"/>
      <c r="F37" s="290"/>
      <c r="G37" s="30"/>
      <c r="H37" s="170"/>
      <c r="I37" s="232"/>
      <c r="J37" s="232"/>
      <c r="K37" s="232"/>
      <c r="L37" s="198"/>
      <c r="M37" s="198"/>
      <c r="N37" s="250"/>
      <c r="P37" s="170"/>
      <c r="Q37" s="205"/>
      <c r="R37" s="206"/>
    </row>
    <row r="38" spans="3:18" ht="20.100000000000001" customHeight="1">
      <c r="C38" s="540"/>
      <c r="D38" s="225"/>
      <c r="E38" s="205"/>
      <c r="F38" s="199"/>
      <c r="G38" s="30"/>
      <c r="H38" s="170"/>
      <c r="I38" s="198"/>
      <c r="J38" s="198"/>
      <c r="K38" s="198"/>
      <c r="L38" s="198"/>
      <c r="M38" s="198"/>
      <c r="N38" s="250"/>
      <c r="P38" s="170"/>
      <c r="Q38" s="198"/>
      <c r="R38" s="199"/>
    </row>
    <row r="39" spans="3:18" ht="20.100000000000001" customHeight="1">
      <c r="C39" s="540"/>
      <c r="D39" s="225"/>
      <c r="E39" s="205"/>
      <c r="F39" s="199"/>
      <c r="G39" s="30"/>
      <c r="H39" s="170"/>
      <c r="I39" s="198"/>
      <c r="J39" s="198"/>
      <c r="K39" s="198"/>
      <c r="L39" s="198"/>
      <c r="M39" s="198"/>
      <c r="N39" s="250"/>
      <c r="P39" s="170"/>
      <c r="Q39" s="198"/>
      <c r="R39" s="199"/>
    </row>
    <row r="40" spans="3:18" ht="20.100000000000001" customHeight="1">
      <c r="C40" s="540"/>
      <c r="D40" s="225"/>
      <c r="E40" s="284"/>
      <c r="F40" s="290"/>
      <c r="G40" s="30"/>
      <c r="H40" s="170"/>
      <c r="I40" s="198"/>
      <c r="J40" s="198"/>
      <c r="K40" s="198"/>
      <c r="L40" s="198"/>
      <c r="M40" s="198"/>
      <c r="N40" s="250"/>
      <c r="P40" s="170"/>
      <c r="Q40" s="198"/>
      <c r="R40" s="199"/>
    </row>
    <row r="41" spans="3:18" ht="20.100000000000001" customHeight="1">
      <c r="C41" s="540"/>
      <c r="D41" s="225"/>
      <c r="E41" s="205"/>
      <c r="F41" s="199"/>
      <c r="G41" s="30"/>
      <c r="H41" s="170"/>
      <c r="I41" s="198"/>
      <c r="J41" s="198"/>
      <c r="K41" s="198"/>
      <c r="L41" s="198"/>
      <c r="M41" s="198"/>
      <c r="N41" s="250"/>
      <c r="P41" s="170"/>
      <c r="Q41" s="198"/>
      <c r="R41" s="199"/>
    </row>
    <row r="42" spans="3:18" ht="20.100000000000001" customHeight="1">
      <c r="C42" s="540"/>
      <c r="D42" s="225"/>
      <c r="E42" s="205"/>
      <c r="F42" s="199"/>
      <c r="G42" s="30"/>
      <c r="H42" s="170"/>
      <c r="I42" s="198"/>
      <c r="J42" s="198"/>
      <c r="K42" s="198"/>
      <c r="L42" s="198"/>
      <c r="M42" s="198"/>
      <c r="N42" s="250"/>
      <c r="P42" s="170"/>
      <c r="Q42" s="198"/>
      <c r="R42" s="199"/>
    </row>
    <row r="43" spans="3:18" ht="20.100000000000001" customHeight="1">
      <c r="C43" s="540"/>
      <c r="D43" s="225"/>
      <c r="E43" s="284"/>
      <c r="F43" s="290"/>
      <c r="G43" s="30"/>
      <c r="H43" s="170"/>
      <c r="I43" s="198"/>
      <c r="J43" s="198"/>
      <c r="K43" s="198"/>
      <c r="L43" s="198"/>
      <c r="M43" s="198"/>
      <c r="N43" s="250"/>
      <c r="P43" s="170"/>
      <c r="Q43" s="198"/>
      <c r="R43" s="199"/>
    </row>
    <row r="44" spans="3:18" ht="20.100000000000001" customHeight="1">
      <c r="C44" s="540"/>
      <c r="D44" s="225"/>
      <c r="E44" s="205"/>
      <c r="F44" s="199"/>
      <c r="G44" s="30"/>
      <c r="H44" s="170"/>
      <c r="I44" s="198"/>
      <c r="J44" s="198"/>
      <c r="K44" s="198"/>
      <c r="L44" s="198"/>
      <c r="M44" s="198"/>
      <c r="N44" s="250"/>
      <c r="P44" s="170"/>
      <c r="Q44" s="198"/>
      <c r="R44" s="199"/>
    </row>
    <row r="45" spans="3:18" ht="20.100000000000001" customHeight="1" thickBot="1">
      <c r="C45" s="540"/>
      <c r="D45" s="225"/>
      <c r="E45" s="205"/>
      <c r="F45" s="199"/>
      <c r="G45" s="30"/>
      <c r="H45" s="171"/>
      <c r="I45" s="190"/>
      <c r="J45" s="190"/>
      <c r="K45" s="190"/>
      <c r="L45" s="190"/>
      <c r="M45" s="190"/>
      <c r="N45" s="251"/>
      <c r="P45" s="171"/>
      <c r="Q45" s="190"/>
      <c r="R45" s="191"/>
    </row>
    <row r="46" spans="3:18" ht="20.100000000000001" customHeight="1">
      <c r="C46" s="540"/>
      <c r="D46" s="225"/>
      <c r="E46" s="284"/>
      <c r="F46" s="29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540"/>
      <c r="D47" s="225"/>
      <c r="E47" s="205"/>
      <c r="F47" s="199"/>
    </row>
    <row r="48" spans="3:18" ht="20.100000000000001" customHeight="1">
      <c r="C48" s="540"/>
      <c r="D48" s="225"/>
      <c r="E48" s="205"/>
      <c r="F48" s="199"/>
    </row>
    <row r="49" spans="3:6" ht="20.100000000000001" customHeight="1">
      <c r="C49" s="540"/>
      <c r="D49" s="225"/>
      <c r="E49" s="284"/>
      <c r="F49" s="290"/>
    </row>
    <row r="50" spans="3:6" ht="20.100000000000001" customHeight="1">
      <c r="C50" s="540"/>
      <c r="D50" s="225"/>
      <c r="E50" s="198"/>
      <c r="F50" s="199"/>
    </row>
    <row r="51" spans="3:6" ht="20.100000000000001" customHeight="1">
      <c r="C51" s="540"/>
      <c r="D51" s="225"/>
      <c r="E51" s="198"/>
      <c r="F51" s="199"/>
    </row>
    <row r="52" spans="3:6" ht="20.100000000000001" customHeight="1">
      <c r="C52" s="540"/>
      <c r="D52" s="225"/>
      <c r="E52" s="198"/>
      <c r="F52" s="199"/>
    </row>
    <row r="53" spans="3:6" ht="20.100000000000001" customHeight="1">
      <c r="C53" s="540"/>
      <c r="D53" s="225"/>
      <c r="E53" s="198"/>
      <c r="F53" s="199"/>
    </row>
    <row r="54" spans="3:6" ht="20.100000000000001" customHeight="1">
      <c r="C54" s="540"/>
      <c r="D54" s="225"/>
      <c r="E54" s="198"/>
      <c r="F54" s="199"/>
    </row>
    <row r="55" spans="3:6" ht="20.100000000000001" customHeight="1">
      <c r="C55" s="540"/>
      <c r="D55" s="225"/>
      <c r="E55" s="198"/>
      <c r="F55" s="199"/>
    </row>
    <row r="56" spans="3:6" ht="20.100000000000001" customHeight="1">
      <c r="C56" s="540"/>
      <c r="D56" s="225"/>
      <c r="E56" s="198"/>
      <c r="F56" s="199"/>
    </row>
    <row r="57" spans="3:6" ht="20.100000000000001" customHeight="1">
      <c r="C57" s="540"/>
      <c r="D57" s="225"/>
      <c r="E57" s="198"/>
      <c r="F57" s="199"/>
    </row>
    <row r="58" spans="3:6" ht="20.100000000000001" customHeight="1">
      <c r="C58" s="540"/>
      <c r="D58" s="225"/>
      <c r="E58" s="198"/>
      <c r="F58" s="199"/>
    </row>
    <row r="59" spans="3:6" ht="20.100000000000001" customHeight="1">
      <c r="C59" s="540"/>
      <c r="D59" s="225"/>
      <c r="E59" s="198"/>
      <c r="F59" s="199"/>
    </row>
    <row r="60" spans="3:6" ht="20.100000000000001" customHeight="1">
      <c r="C60" s="540"/>
      <c r="D60" s="225"/>
      <c r="E60" s="198"/>
      <c r="F60" s="199"/>
    </row>
    <row r="61" spans="3:6" ht="20.100000000000001" customHeight="1">
      <c r="C61" s="540"/>
      <c r="D61" s="225"/>
      <c r="E61" s="198"/>
      <c r="F61" s="199"/>
    </row>
    <row r="62" spans="3:6" ht="20.100000000000001" customHeight="1">
      <c r="C62" s="540"/>
      <c r="D62" s="225"/>
      <c r="E62" s="198"/>
      <c r="F62" s="199"/>
    </row>
    <row r="63" spans="3:6" ht="20.100000000000001" customHeight="1">
      <c r="C63" s="540"/>
      <c r="D63" s="225"/>
      <c r="E63" s="198"/>
      <c r="F63" s="199"/>
    </row>
    <row r="64" spans="3:6" ht="20.100000000000001" customHeight="1">
      <c r="C64" s="540"/>
      <c r="D64" s="225"/>
      <c r="E64" s="198"/>
      <c r="F64" s="199"/>
    </row>
    <row r="65" spans="3:6" ht="20.100000000000001" customHeight="1">
      <c r="C65" s="540"/>
      <c r="D65" s="225"/>
      <c r="E65" s="198"/>
      <c r="F65" s="199"/>
    </row>
    <row r="66" spans="3:6" ht="20.100000000000001" customHeight="1">
      <c r="C66" s="540"/>
      <c r="D66" s="225"/>
      <c r="E66" s="198"/>
      <c r="F66" s="199"/>
    </row>
    <row r="67" spans="3:6" ht="20.100000000000001" customHeight="1" thickBot="1">
      <c r="C67" s="541"/>
      <c r="D67" s="226"/>
      <c r="E67" s="190"/>
      <c r="F67" s="191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L14" sqref="L14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5" t="s">
        <v>251</v>
      </c>
    </row>
    <row r="3" spans="3:15" s="45" customFormat="1" ht="28.5" customHeight="1">
      <c r="C3" s="327" t="s">
        <v>218</v>
      </c>
      <c r="D3" s="328" t="s">
        <v>241</v>
      </c>
      <c r="E3" s="328" t="s">
        <v>215</v>
      </c>
      <c r="F3" s="328" t="s">
        <v>242</v>
      </c>
      <c r="G3" s="328" t="s">
        <v>246</v>
      </c>
      <c r="H3" s="328" t="s">
        <v>248</v>
      </c>
      <c r="I3" s="328" t="s">
        <v>221</v>
      </c>
      <c r="J3" s="328" t="s">
        <v>249</v>
      </c>
      <c r="K3" s="328" t="s">
        <v>118</v>
      </c>
      <c r="L3" s="328" t="s">
        <v>247</v>
      </c>
      <c r="M3" s="328" t="s">
        <v>243</v>
      </c>
      <c r="N3" s="328" t="s">
        <v>244</v>
      </c>
      <c r="O3" s="329" t="s">
        <v>245</v>
      </c>
    </row>
    <row r="4" spans="3:15" ht="20.100000000000001" customHeight="1">
      <c r="C4" s="200" t="s">
        <v>228</v>
      </c>
      <c r="D4" s="201" t="s">
        <v>282</v>
      </c>
      <c r="E4" s="201">
        <v>160</v>
      </c>
      <c r="F4" s="201">
        <v>2.8959999999999999</v>
      </c>
      <c r="G4" s="330">
        <v>2.8959999999999999</v>
      </c>
      <c r="H4" s="201">
        <v>0.03</v>
      </c>
      <c r="I4" s="201">
        <v>93</v>
      </c>
      <c r="J4" s="331">
        <v>93</v>
      </c>
      <c r="K4" s="201">
        <v>140</v>
      </c>
      <c r="L4" s="331">
        <v>140</v>
      </c>
      <c r="M4" s="201">
        <v>1.7999999999999999E-2</v>
      </c>
      <c r="N4" s="330">
        <v>1.7999999999999999E-2</v>
      </c>
      <c r="O4" s="202" t="s">
        <v>250</v>
      </c>
    </row>
    <row r="5" spans="3:15" ht="20.100000000000001" customHeight="1">
      <c r="C5" s="200"/>
      <c r="D5" s="201"/>
      <c r="E5" s="201"/>
      <c r="F5" s="201"/>
      <c r="G5" s="330"/>
      <c r="H5" s="201"/>
      <c r="I5" s="201"/>
      <c r="J5" s="331"/>
      <c r="K5" s="201"/>
      <c r="L5" s="331"/>
      <c r="M5" s="201"/>
      <c r="N5" s="330"/>
      <c r="O5" s="202"/>
    </row>
    <row r="6" spans="3:15" ht="20.100000000000001" customHeight="1">
      <c r="C6" s="200"/>
      <c r="D6" s="201"/>
      <c r="E6" s="201"/>
      <c r="F6" s="201"/>
      <c r="G6" s="330"/>
      <c r="H6" s="201"/>
      <c r="I6" s="201"/>
      <c r="J6" s="331"/>
      <c r="K6" s="201"/>
      <c r="L6" s="331"/>
      <c r="M6" s="201"/>
      <c r="N6" s="330"/>
      <c r="O6" s="202"/>
    </row>
    <row r="7" spans="3:15" ht="20.100000000000001" customHeight="1">
      <c r="C7" s="200"/>
      <c r="D7" s="201"/>
      <c r="E7" s="201"/>
      <c r="F7" s="201"/>
      <c r="G7" s="330"/>
      <c r="H7" s="201"/>
      <c r="I7" s="201"/>
      <c r="J7" s="331"/>
      <c r="K7" s="201"/>
      <c r="L7" s="331"/>
      <c r="M7" s="201"/>
      <c r="N7" s="330"/>
      <c r="O7" s="202"/>
    </row>
    <row r="8" spans="3:15" ht="20.100000000000001" customHeight="1">
      <c r="C8" s="200"/>
      <c r="D8" s="201"/>
      <c r="E8" s="201"/>
      <c r="F8" s="201"/>
      <c r="G8" s="330"/>
      <c r="H8" s="201"/>
      <c r="I8" s="201"/>
      <c r="J8" s="331"/>
      <c r="K8" s="201"/>
      <c r="L8" s="331"/>
      <c r="M8" s="201"/>
      <c r="N8" s="330"/>
      <c r="O8" s="202"/>
    </row>
    <row r="9" spans="3:15" ht="20.100000000000001" customHeight="1">
      <c r="C9" s="200"/>
      <c r="D9" s="201"/>
      <c r="E9" s="201"/>
      <c r="F9" s="201"/>
      <c r="G9" s="330"/>
      <c r="H9" s="201"/>
      <c r="I9" s="201"/>
      <c r="J9" s="331"/>
      <c r="K9" s="201"/>
      <c r="L9" s="331"/>
      <c r="M9" s="201"/>
      <c r="N9" s="330"/>
      <c r="O9" s="202"/>
    </row>
    <row r="10" spans="3:15" ht="20.100000000000001" customHeight="1">
      <c r="C10" s="200"/>
      <c r="D10" s="249"/>
      <c r="E10" s="201"/>
      <c r="F10" s="201"/>
      <c r="G10" s="249"/>
      <c r="H10" s="249"/>
      <c r="I10" s="201"/>
      <c r="J10" s="249"/>
      <c r="K10" s="201"/>
      <c r="L10" s="249"/>
      <c r="M10" s="201"/>
      <c r="N10" s="249"/>
      <c r="O10" s="432"/>
    </row>
    <row r="11" spans="3:15" ht="20.100000000000001" customHeight="1">
      <c r="C11" s="200"/>
      <c r="D11" s="249"/>
      <c r="E11" s="201"/>
      <c r="F11" s="201"/>
      <c r="G11" s="249"/>
      <c r="H11" s="249"/>
      <c r="I11" s="201"/>
      <c r="J11" s="249"/>
      <c r="K11" s="201"/>
      <c r="L11" s="249"/>
      <c r="M11" s="201"/>
      <c r="N11" s="249"/>
      <c r="O11" s="432"/>
    </row>
    <row r="12" spans="3:15" ht="20.100000000000001" customHeight="1">
      <c r="C12" s="200"/>
      <c r="D12" s="249"/>
      <c r="E12" s="201"/>
      <c r="F12" s="201"/>
      <c r="G12" s="249"/>
      <c r="H12" s="249"/>
      <c r="I12" s="201"/>
      <c r="J12" s="249"/>
      <c r="K12" s="201"/>
      <c r="L12" s="249"/>
      <c r="M12" s="201"/>
      <c r="N12" s="249"/>
      <c r="O12" s="432"/>
    </row>
    <row r="13" spans="3:15" ht="20.100000000000001" customHeight="1">
      <c r="C13" s="200"/>
      <c r="D13" s="249"/>
      <c r="E13" s="201"/>
      <c r="F13" s="201"/>
      <c r="G13" s="249"/>
      <c r="H13" s="249"/>
      <c r="I13" s="201"/>
      <c r="J13" s="249"/>
      <c r="K13" s="201"/>
      <c r="L13" s="249"/>
      <c r="M13" s="201"/>
      <c r="N13" s="249"/>
      <c r="O13" s="432"/>
    </row>
    <row r="14" spans="3:15" ht="20.100000000000001" customHeight="1">
      <c r="C14" s="200"/>
      <c r="D14" s="249"/>
      <c r="E14" s="201"/>
      <c r="F14" s="201"/>
      <c r="G14" s="249"/>
      <c r="H14" s="249"/>
      <c r="I14" s="201"/>
      <c r="J14" s="249"/>
      <c r="K14" s="201"/>
      <c r="L14" s="249"/>
      <c r="M14" s="201"/>
      <c r="N14" s="249"/>
      <c r="O14" s="432"/>
    </row>
    <row r="15" spans="3:15" ht="20.100000000000001" customHeight="1">
      <c r="C15" s="200"/>
      <c r="D15" s="249"/>
      <c r="E15" s="201"/>
      <c r="F15" s="201"/>
      <c r="G15" s="249"/>
      <c r="H15" s="249"/>
      <c r="I15" s="201"/>
      <c r="J15" s="249"/>
      <c r="K15" s="201"/>
      <c r="L15" s="249"/>
      <c r="M15" s="201"/>
      <c r="N15" s="249"/>
      <c r="O15" s="432"/>
    </row>
    <row r="16" spans="3:15" ht="20.100000000000001" customHeight="1">
      <c r="C16" s="200"/>
      <c r="D16" s="249"/>
      <c r="E16" s="201"/>
      <c r="F16" s="201"/>
      <c r="G16" s="249"/>
      <c r="H16" s="249"/>
      <c r="I16" s="201"/>
      <c r="J16" s="249"/>
      <c r="K16" s="201"/>
      <c r="L16" s="249"/>
      <c r="M16" s="201"/>
      <c r="N16" s="249"/>
      <c r="O16" s="432"/>
    </row>
    <row r="17" spans="3:15" ht="20.100000000000001" customHeight="1" thickBot="1">
      <c r="C17" s="194"/>
      <c r="D17" s="433"/>
      <c r="E17" s="195"/>
      <c r="F17" s="195"/>
      <c r="G17" s="433"/>
      <c r="H17" s="433"/>
      <c r="I17" s="195"/>
      <c r="J17" s="433"/>
      <c r="K17" s="195"/>
      <c r="L17" s="433"/>
      <c r="M17" s="195"/>
      <c r="N17" s="433"/>
      <c r="O17" s="43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L41" sqref="L41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8" customFormat="1" ht="27.75" customHeight="1" thickBot="1">
      <c r="D2" s="149" t="s">
        <v>269</v>
      </c>
    </row>
    <row r="3" spans="4:19" s="45" customFormat="1" ht="42.75" customHeight="1">
      <c r="D3" s="160" t="s">
        <v>289</v>
      </c>
      <c r="E3" s="161" t="s">
        <v>290</v>
      </c>
      <c r="F3" s="161" t="s">
        <v>291</v>
      </c>
      <c r="G3" s="161" t="s">
        <v>292</v>
      </c>
      <c r="H3" s="161" t="s">
        <v>293</v>
      </c>
      <c r="I3" s="161" t="s">
        <v>294</v>
      </c>
      <c r="J3" s="161" t="s">
        <v>275</v>
      </c>
      <c r="K3" s="162" t="s">
        <v>276</v>
      </c>
      <c r="M3" s="160" t="s">
        <v>289</v>
      </c>
      <c r="N3" s="161" t="s">
        <v>290</v>
      </c>
      <c r="O3" s="161" t="s">
        <v>291</v>
      </c>
      <c r="P3" s="161" t="s">
        <v>293</v>
      </c>
      <c r="Q3" s="161" t="s">
        <v>294</v>
      </c>
      <c r="R3" s="161" t="s">
        <v>275</v>
      </c>
      <c r="S3" s="162" t="s">
        <v>276</v>
      </c>
    </row>
    <row r="4" spans="4:19" s="159" customFormat="1" ht="33.75" customHeight="1" thickBot="1">
      <c r="D4" s="163">
        <v>2656751</v>
      </c>
      <c r="E4" s="164">
        <v>1198.3</v>
      </c>
      <c r="F4" s="164">
        <v>1526.3762371986302</v>
      </c>
      <c r="G4" s="165">
        <v>0.67</v>
      </c>
      <c r="H4" s="164">
        <v>1022.6720789230823</v>
      </c>
      <c r="I4" s="166">
        <v>79.8</v>
      </c>
      <c r="J4" s="164">
        <v>100</v>
      </c>
      <c r="K4" s="167">
        <v>842.87207892308231</v>
      </c>
      <c r="M4" s="163">
        <f>D4</f>
        <v>2656751</v>
      </c>
      <c r="N4" s="164">
        <f>E4</f>
        <v>1198.3</v>
      </c>
      <c r="O4" s="164">
        <f>F4</f>
        <v>1526.3762371986302</v>
      </c>
      <c r="P4" s="164">
        <f>H4</f>
        <v>1022.6720789230823</v>
      </c>
      <c r="Q4" s="166">
        <f>I4</f>
        <v>79.8</v>
      </c>
      <c r="R4" s="164">
        <f>J4</f>
        <v>100</v>
      </c>
      <c r="S4" s="167">
        <f>K4</f>
        <v>842.87207892308231</v>
      </c>
    </row>
    <row r="6" spans="4:19" ht="20.100000000000001" customHeight="1" thickBot="1"/>
    <row r="7" spans="4:19" ht="62.25" customHeight="1">
      <c r="D7" s="160" t="s">
        <v>289</v>
      </c>
      <c r="E7" s="161" t="s">
        <v>290</v>
      </c>
      <c r="F7" s="161" t="s">
        <v>291</v>
      </c>
      <c r="G7" s="161" t="s">
        <v>292</v>
      </c>
      <c r="H7" s="161" t="s">
        <v>293</v>
      </c>
      <c r="I7" s="161" t="s">
        <v>294</v>
      </c>
      <c r="J7" s="161" t="s">
        <v>295</v>
      </c>
      <c r="K7" s="162" t="s">
        <v>275</v>
      </c>
    </row>
    <row r="8" spans="4:19" ht="31.5" customHeight="1" thickBot="1">
      <c r="D8" s="163">
        <v>2656751</v>
      </c>
      <c r="E8" s="164">
        <v>1198.3</v>
      </c>
      <c r="F8" s="164">
        <v>1526.3762371986302</v>
      </c>
      <c r="G8" s="165">
        <v>0.67</v>
      </c>
      <c r="H8" s="164">
        <v>1022.6720789230823</v>
      </c>
      <c r="I8" s="166">
        <v>79.8</v>
      </c>
      <c r="J8" s="164">
        <v>942.87207892308231</v>
      </c>
      <c r="K8" s="167">
        <v>100</v>
      </c>
    </row>
    <row r="10" spans="4:19" ht="30.75" customHeight="1" thickBot="1">
      <c r="D10" s="149" t="s">
        <v>303</v>
      </c>
    </row>
    <row r="11" spans="4:19" s="45" customFormat="1" ht="39" customHeight="1">
      <c r="D11" s="160" t="s">
        <v>296</v>
      </c>
      <c r="E11" s="168" t="s">
        <v>297</v>
      </c>
      <c r="F11" s="168" t="s">
        <v>298</v>
      </c>
      <c r="G11" s="168" t="s">
        <v>299</v>
      </c>
      <c r="H11" s="168" t="s">
        <v>300</v>
      </c>
      <c r="I11" s="168" t="s">
        <v>301</v>
      </c>
      <c r="J11" s="169" t="s">
        <v>302</v>
      </c>
      <c r="L11" s="160" t="s">
        <v>296</v>
      </c>
      <c r="M11" s="168" t="s">
        <v>297</v>
      </c>
      <c r="N11" s="168" t="s">
        <v>298</v>
      </c>
      <c r="O11" s="168" t="s">
        <v>299</v>
      </c>
      <c r="P11" s="168" t="s">
        <v>300</v>
      </c>
      <c r="Q11" s="168" t="s">
        <v>163</v>
      </c>
      <c r="R11" s="168" t="s">
        <v>301</v>
      </c>
      <c r="S11" s="169" t="s">
        <v>302</v>
      </c>
    </row>
    <row r="12" spans="4:19" s="30" customFormat="1" ht="20.100000000000001" customHeight="1">
      <c r="D12" s="200" t="s">
        <v>228</v>
      </c>
      <c r="E12" s="201">
        <v>200</v>
      </c>
      <c r="F12" s="201">
        <v>130</v>
      </c>
      <c r="G12" s="201">
        <v>21.5</v>
      </c>
      <c r="H12" s="201">
        <v>78.900000000000006</v>
      </c>
      <c r="I12" s="201">
        <v>1.4470000000000001</v>
      </c>
      <c r="J12" s="202">
        <v>4.3570000000000002E-4</v>
      </c>
      <c r="L12" s="200" t="s">
        <v>228</v>
      </c>
      <c r="M12" s="201">
        <v>200</v>
      </c>
      <c r="N12" s="201">
        <v>130</v>
      </c>
      <c r="O12" s="201">
        <v>21.5</v>
      </c>
      <c r="P12" s="201">
        <v>78.900000000000006</v>
      </c>
      <c r="Q12" s="198">
        <v>57.400000000000006</v>
      </c>
      <c r="R12" s="201">
        <v>1.4470000000000001</v>
      </c>
      <c r="S12" s="202">
        <v>4.3570000000000002E-4</v>
      </c>
    </row>
    <row r="13" spans="4:19" s="30" customFormat="1" ht="20.100000000000001" customHeight="1">
      <c r="D13" s="287"/>
      <c r="E13" s="288"/>
      <c r="F13" s="288"/>
      <c r="G13" s="288"/>
      <c r="H13" s="288"/>
      <c r="I13" s="288"/>
      <c r="J13" s="289"/>
      <c r="L13" s="287"/>
      <c r="M13" s="288"/>
      <c r="N13" s="288"/>
      <c r="O13" s="288"/>
      <c r="P13" s="288"/>
      <c r="Q13" s="337"/>
      <c r="R13" s="288"/>
      <c r="S13" s="289"/>
    </row>
    <row r="14" spans="4:19" s="30" customFormat="1" ht="20.100000000000001" customHeight="1">
      <c r="D14" s="200"/>
      <c r="E14" s="201"/>
      <c r="F14" s="201"/>
      <c r="G14" s="201"/>
      <c r="H14" s="201"/>
      <c r="I14" s="201"/>
      <c r="J14" s="202"/>
      <c r="L14" s="200"/>
      <c r="M14" s="201"/>
      <c r="N14" s="201"/>
      <c r="O14" s="201"/>
      <c r="P14" s="201"/>
      <c r="Q14" s="225"/>
      <c r="R14" s="201"/>
      <c r="S14" s="202"/>
    </row>
    <row r="15" spans="4:19" s="30" customFormat="1" ht="20.100000000000001" customHeight="1">
      <c r="D15" s="287"/>
      <c r="E15" s="288"/>
      <c r="F15" s="288"/>
      <c r="G15" s="288"/>
      <c r="H15" s="288"/>
      <c r="I15" s="288"/>
      <c r="J15" s="289"/>
      <c r="L15" s="287"/>
      <c r="M15" s="288"/>
      <c r="N15" s="288"/>
      <c r="O15" s="288"/>
      <c r="P15" s="288"/>
      <c r="Q15" s="337"/>
      <c r="R15" s="288"/>
      <c r="S15" s="289"/>
    </row>
    <row r="16" spans="4:19" s="30" customFormat="1" ht="20.100000000000001" customHeight="1">
      <c r="D16" s="200"/>
      <c r="E16" s="201"/>
      <c r="F16" s="201"/>
      <c r="G16" s="201"/>
      <c r="H16" s="201"/>
      <c r="I16" s="201"/>
      <c r="J16" s="202"/>
      <c r="L16" s="200"/>
      <c r="M16" s="201"/>
      <c r="N16" s="201"/>
      <c r="O16" s="201"/>
      <c r="P16" s="201"/>
      <c r="Q16" s="225"/>
      <c r="R16" s="201"/>
      <c r="S16" s="202"/>
    </row>
    <row r="17" spans="4:19" s="30" customFormat="1" ht="20.100000000000001" customHeight="1">
      <c r="D17" s="287"/>
      <c r="E17" s="288"/>
      <c r="F17" s="288"/>
      <c r="G17" s="288"/>
      <c r="H17" s="288"/>
      <c r="I17" s="288"/>
      <c r="J17" s="289"/>
      <c r="L17" s="200"/>
      <c r="M17" s="201"/>
      <c r="N17" s="201"/>
      <c r="O17" s="201"/>
      <c r="P17" s="201"/>
      <c r="Q17" s="225"/>
      <c r="R17" s="201"/>
      <c r="S17" s="202"/>
    </row>
    <row r="18" spans="4:19" s="30" customFormat="1" ht="20.100000000000001" customHeight="1">
      <c r="D18" s="200"/>
      <c r="E18" s="201"/>
      <c r="F18" s="201"/>
      <c r="G18" s="201"/>
      <c r="H18" s="201"/>
      <c r="I18" s="201"/>
      <c r="J18" s="202"/>
      <c r="L18" s="200"/>
      <c r="M18" s="201"/>
      <c r="N18" s="201"/>
      <c r="O18" s="201"/>
      <c r="P18" s="201"/>
      <c r="Q18" s="225"/>
      <c r="R18" s="201"/>
      <c r="S18" s="202"/>
    </row>
    <row r="19" spans="4:19" s="30" customFormat="1" ht="20.100000000000001" customHeight="1">
      <c r="D19" s="200"/>
      <c r="E19" s="201"/>
      <c r="F19" s="201"/>
      <c r="G19" s="201"/>
      <c r="H19" s="201"/>
      <c r="I19" s="201"/>
      <c r="J19" s="202"/>
      <c r="L19" s="200"/>
      <c r="M19" s="201"/>
      <c r="N19" s="201"/>
      <c r="O19" s="201"/>
      <c r="P19" s="201"/>
      <c r="Q19" s="225"/>
      <c r="R19" s="201"/>
      <c r="S19" s="202"/>
    </row>
    <row r="20" spans="4:19" s="30" customFormat="1" ht="20.100000000000001" customHeight="1">
      <c r="D20" s="200"/>
      <c r="E20" s="201"/>
      <c r="F20" s="201"/>
      <c r="G20" s="201"/>
      <c r="H20" s="201"/>
      <c r="I20" s="201"/>
      <c r="J20" s="202"/>
      <c r="L20" s="200"/>
      <c r="M20" s="201"/>
      <c r="N20" s="201"/>
      <c r="O20" s="201"/>
      <c r="P20" s="201"/>
      <c r="Q20" s="225"/>
      <c r="R20" s="201"/>
      <c r="S20" s="202"/>
    </row>
    <row r="21" spans="4:19" s="30" customFormat="1" ht="20.100000000000001" customHeight="1">
      <c r="D21" s="200"/>
      <c r="E21" s="201"/>
      <c r="F21" s="201"/>
      <c r="G21" s="201"/>
      <c r="H21" s="201"/>
      <c r="I21" s="201"/>
      <c r="J21" s="202"/>
      <c r="L21" s="200"/>
      <c r="M21" s="201"/>
      <c r="N21" s="201"/>
      <c r="O21" s="201"/>
      <c r="P21" s="201"/>
      <c r="Q21" s="225"/>
      <c r="R21" s="201"/>
      <c r="S21" s="202"/>
    </row>
    <row r="22" spans="4:19" s="30" customFormat="1" ht="20.100000000000001" customHeight="1">
      <c r="D22" s="200"/>
      <c r="E22" s="201"/>
      <c r="F22" s="201"/>
      <c r="G22" s="201"/>
      <c r="H22" s="201"/>
      <c r="I22" s="201"/>
      <c r="J22" s="202"/>
      <c r="L22" s="200"/>
      <c r="M22" s="201"/>
      <c r="N22" s="201"/>
      <c r="O22" s="201"/>
      <c r="P22" s="201"/>
      <c r="Q22" s="225"/>
      <c r="R22" s="201"/>
      <c r="S22" s="202"/>
    </row>
    <row r="23" spans="4:19" s="30" customFormat="1" ht="20.100000000000001" customHeight="1">
      <c r="D23" s="200"/>
      <c r="E23" s="201"/>
      <c r="F23" s="201"/>
      <c r="G23" s="201"/>
      <c r="H23" s="201"/>
      <c r="I23" s="201"/>
      <c r="J23" s="202"/>
      <c r="L23" s="200"/>
      <c r="M23" s="201"/>
      <c r="N23" s="201"/>
      <c r="O23" s="201"/>
      <c r="P23" s="201"/>
      <c r="Q23" s="225"/>
      <c r="R23" s="201"/>
      <c r="S23" s="202"/>
    </row>
    <row r="24" spans="4:19" s="30" customFormat="1" ht="20.100000000000001" customHeight="1" thickBot="1">
      <c r="D24" s="194"/>
      <c r="E24" s="195"/>
      <c r="F24" s="195"/>
      <c r="G24" s="195"/>
      <c r="H24" s="195"/>
      <c r="I24" s="195"/>
      <c r="J24" s="203"/>
      <c r="L24" s="194"/>
      <c r="M24" s="195"/>
      <c r="N24" s="195"/>
      <c r="O24" s="195"/>
      <c r="P24" s="195"/>
      <c r="Q24" s="226"/>
      <c r="R24" s="195"/>
      <c r="S24" s="203"/>
    </row>
    <row r="25" spans="4:19" s="30" customFormat="1" ht="20.100000000000001" customHeight="1">
      <c r="D25" s="204"/>
      <c r="E25" s="204"/>
      <c r="F25" s="204"/>
      <c r="G25" s="204"/>
      <c r="H25" s="204"/>
      <c r="I25" s="204"/>
      <c r="J25" s="204"/>
    </row>
    <row r="26" spans="4:19" ht="20.100000000000001" customHeight="1" thickBot="1"/>
    <row r="27" spans="4:19" ht="31.5" customHeight="1" thickBot="1">
      <c r="D27" s="160" t="s">
        <v>279</v>
      </c>
      <c r="E27" s="168" t="s">
        <v>277</v>
      </c>
      <c r="F27" s="168" t="s">
        <v>278</v>
      </c>
      <c r="G27" s="169" t="s">
        <v>364</v>
      </c>
      <c r="I27" s="160" t="s">
        <v>279</v>
      </c>
      <c r="J27" s="168" t="s">
        <v>304</v>
      </c>
      <c r="K27" s="169" t="s">
        <v>305</v>
      </c>
    </row>
    <row r="28" spans="4:19" s="30" customFormat="1" ht="20.100000000000001" customHeight="1">
      <c r="D28" s="200" t="s">
        <v>228</v>
      </c>
      <c r="E28" s="201" t="s">
        <v>396</v>
      </c>
      <c r="F28" s="201" t="s">
        <v>397</v>
      </c>
      <c r="G28" s="202" t="s">
        <v>398</v>
      </c>
      <c r="I28" s="200" t="s">
        <v>228</v>
      </c>
      <c r="J28" s="201">
        <v>96</v>
      </c>
      <c r="K28" s="202">
        <v>121</v>
      </c>
      <c r="M28" s="442">
        <f>MIN(J28:J40)</f>
        <v>96</v>
      </c>
      <c r="N28" s="443" t="s">
        <v>393</v>
      </c>
    </row>
    <row r="29" spans="4:19" s="30" customFormat="1" ht="20.100000000000001" customHeight="1" thickBot="1">
      <c r="D29" s="200"/>
      <c r="E29" s="201"/>
      <c r="F29" s="201"/>
      <c r="G29" s="202"/>
      <c r="I29" s="200"/>
      <c r="J29" s="201"/>
      <c r="K29" s="202"/>
      <c r="M29" s="171">
        <f>MAX(K28:K40)</f>
        <v>121</v>
      </c>
      <c r="N29" s="251" t="s">
        <v>394</v>
      </c>
    </row>
    <row r="30" spans="4:19" s="30" customFormat="1" ht="20.100000000000001" customHeight="1">
      <c r="D30" s="200"/>
      <c r="E30" s="201"/>
      <c r="F30" s="201"/>
      <c r="G30" s="202"/>
      <c r="I30" s="200"/>
      <c r="J30" s="201"/>
      <c r="K30" s="202"/>
    </row>
    <row r="31" spans="4:19" s="30" customFormat="1" ht="20.100000000000001" customHeight="1">
      <c r="D31" s="200"/>
      <c r="E31" s="201"/>
      <c r="F31" s="201"/>
      <c r="G31" s="202"/>
      <c r="I31" s="200"/>
      <c r="J31" s="201"/>
      <c r="K31" s="202"/>
      <c r="M31" s="45" t="s">
        <v>379</v>
      </c>
    </row>
    <row r="32" spans="4:19" s="30" customFormat="1" ht="20.100000000000001" customHeight="1">
      <c r="D32" s="200"/>
      <c r="E32" s="201"/>
      <c r="F32" s="201"/>
      <c r="G32" s="202"/>
      <c r="I32" s="200"/>
      <c r="J32" s="201"/>
      <c r="K32" s="202"/>
    </row>
    <row r="33" spans="4:15" s="30" customFormat="1" ht="20.100000000000001" customHeight="1">
      <c r="D33" s="200"/>
      <c r="E33" s="201"/>
      <c r="F33" s="201"/>
      <c r="G33" s="202"/>
      <c r="I33" s="200"/>
      <c r="J33" s="201"/>
      <c r="K33" s="202"/>
    </row>
    <row r="34" spans="4:15" s="30" customFormat="1" ht="20.100000000000001" customHeight="1">
      <c r="D34" s="200"/>
      <c r="E34" s="201"/>
      <c r="F34" s="201"/>
      <c r="G34" s="202"/>
      <c r="I34" s="200"/>
      <c r="J34" s="201"/>
      <c r="K34" s="202"/>
    </row>
    <row r="35" spans="4:15" s="30" customFormat="1" ht="20.100000000000001" customHeight="1">
      <c r="D35" s="200"/>
      <c r="E35" s="201"/>
      <c r="F35" s="201"/>
      <c r="G35" s="202"/>
      <c r="I35" s="200"/>
      <c r="J35" s="201"/>
      <c r="K35" s="202"/>
    </row>
    <row r="36" spans="4:15" s="30" customFormat="1" ht="20.100000000000001" customHeight="1">
      <c r="D36" s="200"/>
      <c r="E36" s="201"/>
      <c r="F36" s="201"/>
      <c r="G36" s="202"/>
      <c r="I36" s="200"/>
      <c r="J36" s="201"/>
      <c r="K36" s="202"/>
    </row>
    <row r="37" spans="4:15" s="30" customFormat="1" ht="20.100000000000001" customHeight="1">
      <c r="D37" s="200"/>
      <c r="E37" s="201"/>
      <c r="F37" s="201"/>
      <c r="G37" s="202"/>
      <c r="I37" s="200"/>
      <c r="J37" s="201"/>
      <c r="K37" s="202"/>
    </row>
    <row r="38" spans="4:15" s="30" customFormat="1" ht="20.100000000000001" customHeight="1">
      <c r="D38" s="200"/>
      <c r="E38" s="201"/>
      <c r="F38" s="201"/>
      <c r="G38" s="202"/>
      <c r="I38" s="200"/>
      <c r="J38" s="201"/>
      <c r="K38" s="202"/>
    </row>
    <row r="39" spans="4:15" s="30" customFormat="1" ht="20.100000000000001" customHeight="1">
      <c r="D39" s="200"/>
      <c r="E39" s="201"/>
      <c r="F39" s="201"/>
      <c r="G39" s="202"/>
      <c r="I39" s="200"/>
      <c r="J39" s="201"/>
      <c r="K39" s="202"/>
    </row>
    <row r="40" spans="4:15" s="30" customFormat="1" ht="19.5" customHeight="1" thickBot="1">
      <c r="D40" s="194"/>
      <c r="E40" s="195"/>
      <c r="F40" s="195"/>
      <c r="G40" s="203"/>
      <c r="I40" s="194"/>
      <c r="J40" s="195"/>
      <c r="K40" s="203"/>
    </row>
    <row r="41" spans="4:15" ht="20.100000000000001" customHeight="1">
      <c r="D41" s="156"/>
      <c r="L41" s="274" t="s">
        <v>351</v>
      </c>
    </row>
    <row r="42" spans="4:15" ht="20.100000000000001" customHeight="1">
      <c r="D42" s="156"/>
    </row>
    <row r="43" spans="4:15" ht="20.100000000000001" customHeight="1" thickBot="1">
      <c r="D43" s="157" t="s">
        <v>268</v>
      </c>
    </row>
    <row r="44" spans="4:15" s="30" customFormat="1" ht="31.5" customHeight="1">
      <c r="D44" s="160" t="s">
        <v>228</v>
      </c>
      <c r="E44" s="168"/>
      <c r="F44" s="168"/>
      <c r="G44" s="168"/>
      <c r="H44" s="168"/>
      <c r="I44" s="168"/>
      <c r="J44" s="168"/>
      <c r="K44" s="168"/>
      <c r="L44" s="168"/>
      <c r="M44" s="168"/>
      <c r="N44" s="168"/>
      <c r="O44" s="169"/>
    </row>
    <row r="45" spans="4:15" s="192" customFormat="1" ht="30" customHeight="1" thickBot="1">
      <c r="D45" s="194" t="s">
        <v>392</v>
      </c>
      <c r="E45" s="195"/>
      <c r="F45" s="195"/>
      <c r="G45" s="190"/>
      <c r="H45" s="190"/>
      <c r="I45" s="190"/>
      <c r="J45" s="190"/>
      <c r="K45" s="190"/>
      <c r="L45" s="190"/>
      <c r="M45" s="190"/>
      <c r="N45" s="190"/>
      <c r="O45" s="191"/>
    </row>
    <row r="46" spans="4:15" ht="19.5" customHeight="1">
      <c r="D46" s="156"/>
    </row>
    <row r="47" spans="4:15" ht="20.100000000000001" customHeight="1">
      <c r="D47" s="156"/>
    </row>
    <row r="48" spans="4:15" ht="22.5" customHeight="1" thickBot="1">
      <c r="D48" s="157" t="s">
        <v>280</v>
      </c>
    </row>
    <row r="49" spans="4:15" s="30" customFormat="1" ht="36.75" customHeight="1">
      <c r="D49" s="160" t="s">
        <v>228</v>
      </c>
      <c r="E49" s="168"/>
      <c r="F49" s="168"/>
      <c r="G49" s="168"/>
      <c r="H49" s="168"/>
      <c r="I49" s="168"/>
      <c r="J49" s="168"/>
      <c r="K49" s="168"/>
      <c r="L49" s="168"/>
      <c r="M49" s="168"/>
      <c r="N49" s="168"/>
      <c r="O49" s="169"/>
    </row>
    <row r="50" spans="4:15" s="192" customFormat="1" ht="30" customHeight="1" thickBot="1">
      <c r="D50" s="194" t="s">
        <v>395</v>
      </c>
      <c r="E50" s="195"/>
      <c r="F50" s="195"/>
      <c r="G50" s="190"/>
      <c r="H50" s="190"/>
      <c r="I50" s="190"/>
      <c r="J50" s="190"/>
      <c r="K50" s="190"/>
      <c r="L50" s="190"/>
      <c r="M50" s="190"/>
      <c r="N50" s="190"/>
      <c r="O50" s="191"/>
    </row>
    <row r="51" spans="4:15" ht="20.100000000000001" customHeight="1">
      <c r="D51" s="156"/>
    </row>
    <row r="52" spans="4:15" ht="20.100000000000001" customHeight="1">
      <c r="D52" s="156"/>
    </row>
    <row r="53" spans="4:15" ht="20.100000000000001" customHeight="1" thickBot="1">
      <c r="D53" s="157" t="s">
        <v>283</v>
      </c>
    </row>
    <row r="54" spans="4:15" s="30" customFormat="1" ht="40.5" customHeight="1">
      <c r="D54" s="160" t="s">
        <v>228</v>
      </c>
      <c r="E54" s="168"/>
      <c r="F54" s="168"/>
      <c r="G54" s="168"/>
      <c r="H54" s="168"/>
      <c r="I54" s="168"/>
      <c r="J54" s="168"/>
      <c r="K54" s="168"/>
      <c r="L54" s="168"/>
      <c r="M54" s="168"/>
      <c r="N54" s="168"/>
      <c r="O54" s="169"/>
    </row>
    <row r="55" spans="4:15" s="192" customFormat="1" ht="30" customHeight="1" thickBot="1">
      <c r="D55" s="194" t="s">
        <v>377</v>
      </c>
      <c r="E55" s="195"/>
      <c r="F55" s="195"/>
      <c r="G55" s="190"/>
      <c r="H55" s="190"/>
      <c r="I55" s="190"/>
      <c r="J55" s="190"/>
      <c r="K55" s="190"/>
      <c r="L55" s="190"/>
      <c r="M55" s="190"/>
      <c r="N55" s="190"/>
      <c r="O55" s="191"/>
    </row>
    <row r="58" spans="4:15" ht="20.100000000000001" customHeight="1" thickBot="1">
      <c r="D58" s="157" t="s">
        <v>222</v>
      </c>
    </row>
    <row r="59" spans="4:15" ht="36.75" customHeight="1">
      <c r="D59" s="160" t="s">
        <v>228</v>
      </c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9"/>
    </row>
    <row r="60" spans="4:15" ht="30" customHeight="1" thickBot="1">
      <c r="D60" s="194" t="s">
        <v>399</v>
      </c>
      <c r="E60" s="195"/>
      <c r="F60" s="195"/>
      <c r="G60" s="190"/>
      <c r="H60" s="190"/>
      <c r="I60" s="190"/>
      <c r="J60" s="190"/>
      <c r="K60" s="190"/>
      <c r="L60" s="190"/>
      <c r="M60" s="190"/>
      <c r="N60" s="190"/>
      <c r="O60" s="191"/>
    </row>
    <row r="63" spans="4:15" ht="20.100000000000001" customHeight="1" thickBot="1">
      <c r="D63" s="157" t="s">
        <v>223</v>
      </c>
    </row>
    <row r="64" spans="4:15" ht="36.75" customHeight="1">
      <c r="D64" s="160" t="s">
        <v>228</v>
      </c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9"/>
    </row>
    <row r="65" spans="4:15" ht="30" customHeight="1" thickBot="1">
      <c r="D65" s="194" t="s">
        <v>400</v>
      </c>
      <c r="E65" s="195"/>
      <c r="F65" s="195"/>
      <c r="G65" s="190"/>
      <c r="H65" s="190"/>
      <c r="I65" s="190"/>
      <c r="J65" s="190"/>
      <c r="K65" s="190"/>
      <c r="L65" s="190"/>
      <c r="M65" s="190"/>
      <c r="N65" s="190"/>
      <c r="O65" s="191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C3" sqref="C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431" t="str">
        <f>Well!D4</f>
        <v>04_충남 부여군 규암면 수목리 603-6</v>
      </c>
      <c r="H2"/>
      <c r="I2" s="138" t="s">
        <v>204</v>
      </c>
      <c r="J2"/>
      <c r="K2"/>
      <c r="L2"/>
      <c r="M2"/>
    </row>
    <row r="3" spans="1:13" ht="20.100000000000001" customHeight="1">
      <c r="B3" s="2" t="s">
        <v>48</v>
      </c>
      <c r="C3" s="445">
        <f>Well!C4</f>
        <v>0</v>
      </c>
      <c r="D3" s="3" t="s">
        <v>49</v>
      </c>
      <c r="E3" s="4" t="s">
        <v>117</v>
      </c>
      <c r="F3" s="5" t="s">
        <v>107</v>
      </c>
      <c r="G3" s="2" t="s">
        <v>362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46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46">
        <f>Well!Q4</f>
        <v>0</v>
      </c>
      <c r="D5" s="7" t="s">
        <v>53</v>
      </c>
      <c r="E5" s="332">
        <v>2.7669999999999999</v>
      </c>
      <c r="F5" s="28">
        <f>$E$5/$C$14</f>
        <v>4.0691176470588231E-2</v>
      </c>
      <c r="G5" s="10">
        <v>3.7609999999999998E-4</v>
      </c>
      <c r="H5"/>
      <c r="I5"/>
      <c r="J5" s="418" t="s">
        <v>365</v>
      </c>
      <c r="K5"/>
      <c r="L5"/>
      <c r="M5"/>
    </row>
    <row r="6" spans="1:13" ht="20.100000000000001" customHeight="1" thickBot="1">
      <c r="B6" s="6" t="s">
        <v>54</v>
      </c>
      <c r="C6" s="447" t="str">
        <f>Well!D4</f>
        <v>04_충남 부여군 규암면 수목리 603-6</v>
      </c>
      <c r="D6" s="7" t="s">
        <v>56</v>
      </c>
      <c r="E6" s="8">
        <v>2.2709999999999999</v>
      </c>
      <c r="F6" s="28">
        <f>$E$6/$C$14</f>
        <v>3.3397058823529412E-2</v>
      </c>
      <c r="G6" s="10" t="s">
        <v>57</v>
      </c>
      <c r="H6" s="391">
        <v>2.1059999999999999</v>
      </c>
      <c r="I6"/>
      <c r="J6" s="419" t="s">
        <v>363</v>
      </c>
      <c r="K6" s="416">
        <v>246</v>
      </c>
      <c r="L6"/>
      <c r="M6"/>
    </row>
    <row r="7" spans="1:13" ht="20.100000000000001" customHeight="1" thickBot="1">
      <c r="B7" s="6" t="s">
        <v>55</v>
      </c>
      <c r="C7" s="506">
        <f>Well!H4</f>
        <v>80</v>
      </c>
      <c r="D7" s="142" t="s">
        <v>59</v>
      </c>
      <c r="E7" s="139">
        <f>ROUND((E5+E6)/2,4)</f>
        <v>2.5190000000000001</v>
      </c>
      <c r="F7" s="29">
        <f>$E$7/$C$14</f>
        <v>3.7044117647058825E-2</v>
      </c>
      <c r="G7" s="392">
        <f>G5</f>
        <v>3.7609999999999998E-4</v>
      </c>
      <c r="H7" s="387">
        <v>0.10680000000000001</v>
      </c>
      <c r="I7"/>
      <c r="J7" s="420" t="s">
        <v>364</v>
      </c>
      <c r="K7" s="417">
        <v>236</v>
      </c>
      <c r="L7"/>
      <c r="M7"/>
    </row>
    <row r="8" spans="1:13" ht="20.100000000000001" customHeight="1" thickBot="1">
      <c r="B8" s="6" t="s">
        <v>58</v>
      </c>
      <c r="C8" s="507">
        <f>Well!G4</f>
        <v>250</v>
      </c>
    </row>
    <row r="9" spans="1:13" ht="20.100000000000001" customHeight="1" thickBot="1">
      <c r="B9" s="6" t="s">
        <v>60</v>
      </c>
      <c r="C9" s="508">
        <f>C10+C11</f>
        <v>12</v>
      </c>
      <c r="D9" s="11"/>
      <c r="E9" s="388" t="s">
        <v>108</v>
      </c>
      <c r="F9" s="389" t="s">
        <v>109</v>
      </c>
      <c r="G9" s="409" t="s">
        <v>110</v>
      </c>
      <c r="H9" s="587">
        <f>MAX(E10,F10,G10)</f>
        <v>174.2</v>
      </c>
    </row>
    <row r="10" spans="1:13" ht="20.100000000000001" customHeight="1" thickBot="1">
      <c r="B10" s="6" t="s">
        <v>61</v>
      </c>
      <c r="C10" s="509">
        <v>5</v>
      </c>
      <c r="D10" s="390" t="s">
        <v>62</v>
      </c>
      <c r="E10" s="119">
        <v>142.30000000000001</v>
      </c>
      <c r="F10" s="120">
        <v>174.2</v>
      </c>
      <c r="G10" s="410">
        <v>103.3</v>
      </c>
      <c r="H10" s="586">
        <f>MIN(E10,F10,G10)</f>
        <v>103.3</v>
      </c>
      <c r="I10" s="12"/>
    </row>
    <row r="11" spans="1:13" ht="20.100000000000001" customHeight="1" thickBot="1">
      <c r="B11" s="6" t="s">
        <v>63</v>
      </c>
      <c r="C11" s="509">
        <v>7</v>
      </c>
      <c r="D11" s="143" t="s">
        <v>64</v>
      </c>
      <c r="E11" s="121">
        <f>ROUND(AVERAGE(E10:G10),1)</f>
        <v>139.9</v>
      </c>
      <c r="F11" s="386">
        <f>ROUND((E10+F10)/2,1)</f>
        <v>158.30000000000001</v>
      </c>
      <c r="H11" s="588">
        <f>ROUND(AVERAGE(E10:G10),1)</f>
        <v>139.9</v>
      </c>
      <c r="I11" s="12"/>
      <c r="J11" s="546" t="s">
        <v>116</v>
      </c>
      <c r="K11" s="547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10">
        <f>C7-C9</f>
        <v>68</v>
      </c>
      <c r="H12" s="14"/>
      <c r="J12" s="407" t="s">
        <v>118</v>
      </c>
      <c r="K12" s="457">
        <v>124</v>
      </c>
      <c r="L12" s="456">
        <f>K12+180</f>
        <v>304</v>
      </c>
    </row>
    <row r="13" spans="1:13" ht="20.100000000000001" customHeight="1">
      <c r="A13" s="13">
        <f>C10+C11+C12+C13</f>
        <v>80</v>
      </c>
      <c r="B13" s="6" t="s">
        <v>66</v>
      </c>
      <c r="C13" s="510"/>
      <c r="D13" s="131" t="str">
        <f>All!B2</f>
        <v>보령기상청</v>
      </c>
      <c r="E13" s="131" t="str">
        <f>Recharge!I24</f>
        <v>금강/금강공주</v>
      </c>
      <c r="F13" s="122">
        <f>rf_1</f>
        <v>0.16300000000000001</v>
      </c>
      <c r="G13" s="122">
        <f>allow_ratio</f>
        <v>0.67</v>
      </c>
      <c r="H13" s="15"/>
      <c r="J13" s="407" t="s">
        <v>111</v>
      </c>
      <c r="K13" s="414">
        <v>1034</v>
      </c>
      <c r="L13" s="411"/>
    </row>
    <row r="14" spans="1:13" ht="20.100000000000001" customHeight="1">
      <c r="B14" s="6" t="s">
        <v>67</v>
      </c>
      <c r="C14" s="508">
        <f>C7-IF(C20&gt;C9,C20,C9)</f>
        <v>68</v>
      </c>
      <c r="G14" s="122">
        <f>max</f>
        <v>1198.3</v>
      </c>
      <c r="H14" s="15"/>
      <c r="J14" s="407" t="s">
        <v>112</v>
      </c>
      <c r="K14" s="414">
        <v>13</v>
      </c>
      <c r="L14" s="411"/>
    </row>
    <row r="15" spans="1:13" ht="20.100000000000001" customHeight="1" thickBot="1">
      <c r="B15" s="6" t="s">
        <v>68</v>
      </c>
      <c r="C15" s="511">
        <f>Well!I4</f>
        <v>150</v>
      </c>
      <c r="E15" s="34">
        <v>1</v>
      </c>
      <c r="J15" s="407" t="s">
        <v>113</v>
      </c>
      <c r="K15" s="414">
        <v>8</v>
      </c>
      <c r="L15" s="411"/>
    </row>
    <row r="16" spans="1:13" ht="20.100000000000001" customHeight="1">
      <c r="B16" s="6" t="s">
        <v>69</v>
      </c>
      <c r="C16" s="512">
        <f>Well!J4</f>
        <v>160</v>
      </c>
      <c r="E16" s="108" t="s">
        <v>274</v>
      </c>
      <c r="F16" s="109" t="s">
        <v>96</v>
      </c>
      <c r="G16" s="110" t="s">
        <v>95</v>
      </c>
      <c r="H16" s="15"/>
      <c r="J16" s="407" t="s">
        <v>119</v>
      </c>
      <c r="K16" s="415">
        <f>K14-C20</f>
        <v>10.6</v>
      </c>
      <c r="L16" s="411"/>
    </row>
    <row r="17" spans="2:12" ht="20.100000000000001" customHeight="1" thickBot="1">
      <c r="B17" s="6" t="s">
        <v>70</v>
      </c>
      <c r="C17" s="513">
        <f>Well!L4</f>
        <v>3</v>
      </c>
      <c r="E17" s="333">
        <f>Well!P4</f>
        <v>1688110</v>
      </c>
      <c r="F17" s="137">
        <f>(max*rf_1*E17/1000)</f>
        <v>329726.54071899998</v>
      </c>
      <c r="G17" s="136">
        <f>F17*allow_ratio</f>
        <v>220916.78228173</v>
      </c>
      <c r="J17" s="407" t="s">
        <v>114</v>
      </c>
      <c r="K17" s="415">
        <f>K16-K15</f>
        <v>2.5999999999999996</v>
      </c>
      <c r="L17" s="411"/>
    </row>
    <row r="18" spans="2:12" ht="20.100000000000001" customHeight="1" thickBot="1">
      <c r="B18" s="6" t="s">
        <v>71</v>
      </c>
      <c r="C18" s="506">
        <f>Well!M4</f>
        <v>60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408" t="s">
        <v>115</v>
      </c>
      <c r="K18" s="412">
        <f>(K17/K13)</f>
        <v>2.5145067698259184E-3</v>
      </c>
      <c r="L18" s="413">
        <f>K18*100</f>
        <v>0.25145067698259183</v>
      </c>
    </row>
    <row r="19" spans="2:12" ht="20.100000000000001" customHeight="1" thickBot="1">
      <c r="B19" s="17" t="s">
        <v>75</v>
      </c>
      <c r="C19" s="514">
        <f>Well!N4</f>
        <v>50</v>
      </c>
      <c r="E19" s="333">
        <f>E17</f>
        <v>1688110</v>
      </c>
      <c r="F19" s="134">
        <f>(max*rf_1*E19/1000)/365</f>
        <v>903.36038553150684</v>
      </c>
      <c r="G19" s="135">
        <f>F19*allow_ratio</f>
        <v>605.25145830610961</v>
      </c>
      <c r="H19" s="118">
        <f>G19-F21</f>
        <v>503.15145830610959</v>
      </c>
    </row>
    <row r="20" spans="2:12" ht="20.100000000000001" customHeight="1">
      <c r="B20" s="18" t="s">
        <v>76</v>
      </c>
      <c r="C20" s="515">
        <v>2.4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16">
        <v>40.799999999999997</v>
      </c>
      <c r="D21" s="13"/>
      <c r="E21" s="334">
        <f>Well!$I$6</f>
        <v>150</v>
      </c>
      <c r="F21" s="335">
        <f>Well!O4</f>
        <v>102.1</v>
      </c>
      <c r="G21" s="136">
        <f>G19-E21-F21</f>
        <v>353.15145830610959</v>
      </c>
    </row>
    <row r="22" spans="2:12" ht="20.100000000000001" customHeight="1" thickBot="1">
      <c r="B22" s="27" t="s">
        <v>163</v>
      </c>
      <c r="C22" s="517">
        <f>C21-C20</f>
        <v>38.4</v>
      </c>
      <c r="E22" s="548">
        <f>E21+F21</f>
        <v>252.1</v>
      </c>
      <c r="F22" s="549"/>
      <c r="G22" s="16"/>
      <c r="I22" s="15"/>
    </row>
    <row r="23" spans="2:12" ht="20.100000000000001" customHeight="1" thickBot="1">
      <c r="B23" s="258" t="s">
        <v>231</v>
      </c>
      <c r="C23" s="518">
        <v>3.04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542" t="s">
        <v>641</v>
      </c>
      <c r="C25" s="543"/>
      <c r="D25" s="435" t="s">
        <v>105</v>
      </c>
      <c r="E25" s="435" t="s">
        <v>106</v>
      </c>
      <c r="F25" s="435" t="s">
        <v>97</v>
      </c>
      <c r="G25" s="435" t="s">
        <v>98</v>
      </c>
      <c r="H25" s="435" t="s">
        <v>120</v>
      </c>
      <c r="I25" s="435" t="s">
        <v>99</v>
      </c>
      <c r="J25" s="336" t="s">
        <v>100</v>
      </c>
      <c r="K25" s="436" t="s">
        <v>101</v>
      </c>
    </row>
    <row r="26" spans="2:12" ht="25.5" customHeight="1">
      <c r="B26" s="544" t="s">
        <v>102</v>
      </c>
      <c r="C26" s="437" t="s">
        <v>103</v>
      </c>
      <c r="D26" s="381">
        <f>C20</f>
        <v>2.4</v>
      </c>
      <c r="E26" s="382">
        <f>Recharge!C30</f>
        <v>19.53229</v>
      </c>
      <c r="F26" s="383" t="s">
        <v>182</v>
      </c>
      <c r="G26" s="381" t="s">
        <v>413</v>
      </c>
      <c r="H26" s="384">
        <f>L18</f>
        <v>0.25145067698259183</v>
      </c>
      <c r="I26" s="381" t="s">
        <v>182</v>
      </c>
      <c r="J26" s="385">
        <f>(E7/C14)/864</f>
        <v>4.2875136165577341E-5</v>
      </c>
      <c r="K26" s="380" t="s">
        <v>394</v>
      </c>
    </row>
    <row r="27" spans="2:12" ht="25.5" customHeight="1">
      <c r="B27" s="544"/>
      <c r="C27" s="337" t="s">
        <v>104</v>
      </c>
      <c r="D27" s="337">
        <v>9</v>
      </c>
      <c r="E27" s="337">
        <v>8</v>
      </c>
      <c r="F27" s="337">
        <v>3</v>
      </c>
      <c r="G27" s="337">
        <v>3</v>
      </c>
      <c r="H27" s="337">
        <v>10</v>
      </c>
      <c r="I27" s="337">
        <v>4</v>
      </c>
      <c r="J27" s="337">
        <v>2</v>
      </c>
      <c r="K27" s="380" t="s">
        <v>412</v>
      </c>
    </row>
    <row r="28" spans="2:12" ht="25.5" customHeight="1">
      <c r="B28" s="544"/>
      <c r="C28" s="438" t="s">
        <v>175</v>
      </c>
      <c r="D28" s="377">
        <v>5</v>
      </c>
      <c r="E28" s="377">
        <v>4</v>
      </c>
      <c r="F28" s="377">
        <v>3</v>
      </c>
      <c r="G28" s="377">
        <v>2</v>
      </c>
      <c r="H28" s="377">
        <v>1</v>
      </c>
      <c r="I28" s="377">
        <v>5</v>
      </c>
      <c r="J28" s="377">
        <v>3</v>
      </c>
      <c r="K28" s="378"/>
    </row>
    <row r="29" spans="2:12" ht="25.5" customHeight="1">
      <c r="B29" s="544"/>
      <c r="C29" s="438" t="s">
        <v>176</v>
      </c>
      <c r="D29" s="379">
        <v>5</v>
      </c>
      <c r="E29" s="379">
        <v>4</v>
      </c>
      <c r="F29" s="379">
        <v>3</v>
      </c>
      <c r="G29" s="379">
        <v>5</v>
      </c>
      <c r="H29" s="379">
        <v>3</v>
      </c>
      <c r="I29" s="379">
        <v>4</v>
      </c>
      <c r="J29" s="379">
        <v>2</v>
      </c>
      <c r="K29" s="378"/>
    </row>
    <row r="30" spans="2:12" ht="25.5" customHeight="1">
      <c r="B30" s="544"/>
      <c r="C30" s="437" t="s">
        <v>177</v>
      </c>
      <c r="D30" s="338">
        <f>D27*D28</f>
        <v>45</v>
      </c>
      <c r="E30" s="338">
        <f t="shared" ref="E30:J30" si="0">E27*E28</f>
        <v>32</v>
      </c>
      <c r="F30" s="338">
        <f t="shared" si="0"/>
        <v>9</v>
      </c>
      <c r="G30" s="338">
        <f t="shared" si="0"/>
        <v>6</v>
      </c>
      <c r="H30" s="338">
        <f t="shared" si="0"/>
        <v>10</v>
      </c>
      <c r="I30" s="338">
        <f t="shared" si="0"/>
        <v>20</v>
      </c>
      <c r="J30" s="338">
        <f t="shared" si="0"/>
        <v>6</v>
      </c>
      <c r="K30" s="339">
        <f>SUM(D30:J30)</f>
        <v>128</v>
      </c>
    </row>
    <row r="31" spans="2:12" ht="25.5" customHeight="1" thickBot="1">
      <c r="B31" s="545"/>
      <c r="C31" s="439" t="s">
        <v>178</v>
      </c>
      <c r="D31" s="340">
        <f t="shared" ref="D31:J31" si="1">D27*D29</f>
        <v>45</v>
      </c>
      <c r="E31" s="340">
        <f t="shared" si="1"/>
        <v>32</v>
      </c>
      <c r="F31" s="340">
        <f t="shared" si="1"/>
        <v>9</v>
      </c>
      <c r="G31" s="340">
        <f t="shared" si="1"/>
        <v>15</v>
      </c>
      <c r="H31" s="340">
        <f t="shared" si="1"/>
        <v>30</v>
      </c>
      <c r="I31" s="340">
        <f t="shared" si="1"/>
        <v>16</v>
      </c>
      <c r="J31" s="340">
        <f t="shared" si="1"/>
        <v>4</v>
      </c>
      <c r="K31" s="341">
        <f>SUM(D31:J31)</f>
        <v>151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D27" sqref="D27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353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4" t="s">
        <v>81</v>
      </c>
      <c r="C6" s="187">
        <v>44753.861111111109</v>
      </c>
      <c r="D6" s="94"/>
      <c r="E6" s="30"/>
      <c r="F6" s="30"/>
    </row>
    <row r="7" spans="2:14" s="31" customFormat="1" ht="26.1" customHeight="1" thickBot="1">
      <c r="B7" s="177" t="s">
        <v>82</v>
      </c>
      <c r="C7" s="182">
        <v>14.6</v>
      </c>
      <c r="D7" s="94"/>
      <c r="E7" s="30"/>
      <c r="F7" s="30"/>
    </row>
    <row r="8" spans="2:14" s="31" customFormat="1" ht="26.1" customHeight="1">
      <c r="B8" s="174" t="s">
        <v>83</v>
      </c>
      <c r="C8" s="188">
        <v>211</v>
      </c>
      <c r="D8" s="94"/>
      <c r="E8" s="30"/>
      <c r="F8" s="30"/>
    </row>
    <row r="9" spans="2:14" s="31" customFormat="1" ht="26.1" customHeight="1" thickBot="1">
      <c r="B9" s="177" t="s">
        <v>84</v>
      </c>
      <c r="C9" s="189">
        <v>6.7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552" t="s">
        <v>85</v>
      </c>
      <c r="C12" s="553"/>
      <c r="D12" s="554" t="s">
        <v>86</v>
      </c>
      <c r="E12" s="555"/>
      <c r="F12" s="553"/>
      <c r="H12" s="552" t="s">
        <v>86</v>
      </c>
      <c r="I12" s="555"/>
      <c r="J12" s="553"/>
      <c r="L12"/>
      <c r="M12"/>
      <c r="N12"/>
    </row>
    <row r="13" spans="2:14" s="30" customFormat="1" ht="26.1" customHeight="1">
      <c r="B13" s="291" t="s">
        <v>81</v>
      </c>
      <c r="C13" s="292" t="s">
        <v>87</v>
      </c>
      <c r="D13" s="314" t="s">
        <v>88</v>
      </c>
      <c r="E13" s="315" t="s">
        <v>89</v>
      </c>
      <c r="F13" s="292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316">
        <f>$C$6+C14/1440</f>
        <v>44753.864583333328</v>
      </c>
      <c r="C14" s="297">
        <v>5</v>
      </c>
      <c r="D14" s="317">
        <f t="shared" ref="D14:D20" si="0">baseTemp+H14</f>
        <v>14.799999999999999</v>
      </c>
      <c r="E14" s="318">
        <f>$C$8+I14</f>
        <v>208</v>
      </c>
      <c r="F14" s="319">
        <f>$C$9+J14</f>
        <v>6.59</v>
      </c>
      <c r="H14" s="61">
        <v>0.2</v>
      </c>
      <c r="I14" s="62">
        <v>-3</v>
      </c>
      <c r="J14" s="63">
        <v>-0.11</v>
      </c>
      <c r="L14"/>
      <c r="M14"/>
      <c r="N14"/>
    </row>
    <row r="15" spans="2:14" s="30" customFormat="1" ht="26.1" customHeight="1">
      <c r="B15" s="320">
        <f t="shared" ref="B15:B23" si="1">$C$6+C15/1440</f>
        <v>44753.881944444445</v>
      </c>
      <c r="C15" s="303">
        <v>30</v>
      </c>
      <c r="D15" s="321">
        <f t="shared" si="0"/>
        <v>14.4</v>
      </c>
      <c r="E15" s="322">
        <f t="shared" ref="E15:E20" si="2">$C$8+I15</f>
        <v>214</v>
      </c>
      <c r="F15" s="323">
        <f t="shared" ref="F15:F20" si="3">$C$9+J15</f>
        <v>6.8</v>
      </c>
      <c r="H15" s="61">
        <v>-0.2</v>
      </c>
      <c r="I15" s="62">
        <v>3</v>
      </c>
      <c r="J15" s="63">
        <v>0.1</v>
      </c>
      <c r="L15"/>
      <c r="M15"/>
      <c r="N15"/>
    </row>
    <row r="16" spans="2:14" s="30" customFormat="1" ht="26.1" customHeight="1">
      <c r="B16" s="320">
        <f t="shared" si="1"/>
        <v>44753.902777777774</v>
      </c>
      <c r="C16" s="303">
        <v>60</v>
      </c>
      <c r="D16" s="321">
        <f t="shared" si="0"/>
        <v>14.4</v>
      </c>
      <c r="E16" s="322">
        <f t="shared" si="2"/>
        <v>213</v>
      </c>
      <c r="F16" s="323">
        <f t="shared" si="3"/>
        <v>6.61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20">
        <f t="shared" si="1"/>
        <v>44753.944444444445</v>
      </c>
      <c r="C17" s="303">
        <v>120</v>
      </c>
      <c r="D17" s="321">
        <f t="shared" si="0"/>
        <v>14.9</v>
      </c>
      <c r="E17" s="322">
        <f t="shared" si="2"/>
        <v>209</v>
      </c>
      <c r="F17" s="323">
        <f t="shared" si="3"/>
        <v>6.58</v>
      </c>
      <c r="H17" s="61">
        <v>0.3</v>
      </c>
      <c r="I17" s="62">
        <v>-2</v>
      </c>
      <c r="J17" s="63">
        <v>-0.12</v>
      </c>
      <c r="L17"/>
      <c r="M17"/>
      <c r="N17"/>
    </row>
    <row r="18" spans="2:14" s="30" customFormat="1" ht="26.1" customHeight="1">
      <c r="B18" s="320">
        <f t="shared" si="1"/>
        <v>44754.027777777774</v>
      </c>
      <c r="C18" s="303">
        <v>240</v>
      </c>
      <c r="D18" s="321">
        <f t="shared" si="0"/>
        <v>14.299999999999999</v>
      </c>
      <c r="E18" s="322">
        <f t="shared" si="2"/>
        <v>210</v>
      </c>
      <c r="F18" s="323">
        <f t="shared" si="3"/>
        <v>6.63</v>
      </c>
      <c r="H18" s="61">
        <v>-0.3</v>
      </c>
      <c r="I18" s="62">
        <v>-1</v>
      </c>
      <c r="J18" s="63">
        <v>-7.0000000000000007E-2</v>
      </c>
      <c r="L18"/>
      <c r="M18"/>
      <c r="N18"/>
    </row>
    <row r="19" spans="2:14" s="30" customFormat="1" ht="26.1" customHeight="1">
      <c r="B19" s="320">
        <f t="shared" si="1"/>
        <v>44754.194444444445</v>
      </c>
      <c r="C19" s="303">
        <v>480</v>
      </c>
      <c r="D19" s="324">
        <f t="shared" si="0"/>
        <v>14.799999999999999</v>
      </c>
      <c r="E19" s="322">
        <f t="shared" si="2"/>
        <v>213</v>
      </c>
      <c r="F19" s="323">
        <f t="shared" si="3"/>
        <v>6.6000000000000005</v>
      </c>
      <c r="H19" s="61">
        <v>0.2</v>
      </c>
      <c r="I19" s="62">
        <v>2</v>
      </c>
      <c r="J19" s="63">
        <v>-0.1</v>
      </c>
      <c r="L19"/>
      <c r="M19"/>
      <c r="N19"/>
    </row>
    <row r="20" spans="2:14" s="31" customFormat="1" ht="26.1" customHeight="1">
      <c r="B20" s="320">
        <f t="shared" si="1"/>
        <v>44754.861111111109</v>
      </c>
      <c r="C20" s="303">
        <v>1440</v>
      </c>
      <c r="D20" s="321">
        <f t="shared" si="0"/>
        <v>14.799999999999999</v>
      </c>
      <c r="E20" s="322">
        <f t="shared" si="2"/>
        <v>208</v>
      </c>
      <c r="F20" s="323">
        <f t="shared" si="3"/>
        <v>6.79</v>
      </c>
      <c r="H20" s="61">
        <v>0.2</v>
      </c>
      <c r="I20" s="62">
        <v>-3</v>
      </c>
      <c r="J20" s="63">
        <v>0.09</v>
      </c>
      <c r="L20"/>
      <c r="M20"/>
      <c r="N20"/>
    </row>
    <row r="21" spans="2:14" s="31" customFormat="1" ht="26.1" customHeight="1">
      <c r="B21" s="320">
        <f t="shared" si="1"/>
        <v>44755.027777777774</v>
      </c>
      <c r="C21" s="303">
        <v>1680</v>
      </c>
      <c r="D21" s="321">
        <f>$D$20</f>
        <v>14.799999999999999</v>
      </c>
      <c r="E21" s="322">
        <f>$E$20</f>
        <v>208</v>
      </c>
      <c r="F21" s="323">
        <f>$F$20</f>
        <v>6.79</v>
      </c>
      <c r="H21" s="61">
        <v>0.1</v>
      </c>
      <c r="I21" s="62">
        <v>-1</v>
      </c>
      <c r="J21" s="63">
        <v>-0.11</v>
      </c>
      <c r="L21"/>
      <c r="M21"/>
      <c r="N21"/>
    </row>
    <row r="22" spans="2:14" s="31" customFormat="1" ht="26.1" customHeight="1">
      <c r="B22" s="320">
        <f t="shared" si="1"/>
        <v>44755.194444444445</v>
      </c>
      <c r="C22" s="303">
        <v>1920</v>
      </c>
      <c r="D22" s="321">
        <f t="shared" ref="D22:D23" si="4">$D$20</f>
        <v>14.799999999999999</v>
      </c>
      <c r="E22" s="322">
        <f t="shared" ref="E22:E23" si="5">$E$20</f>
        <v>208</v>
      </c>
      <c r="F22" s="323">
        <f t="shared" ref="F22:F23" si="6">$F$20</f>
        <v>6.79</v>
      </c>
      <c r="H22" s="61">
        <v>0.2</v>
      </c>
      <c r="I22" s="62">
        <v>-1</v>
      </c>
      <c r="J22" s="63">
        <v>0.12</v>
      </c>
      <c r="L22"/>
      <c r="M22"/>
      <c r="N22"/>
    </row>
    <row r="23" spans="2:14" s="31" customFormat="1" ht="26.1" customHeight="1" thickBot="1">
      <c r="B23" s="320">
        <f t="shared" si="1"/>
        <v>44755.861111111109</v>
      </c>
      <c r="C23" s="303">
        <v>2880</v>
      </c>
      <c r="D23" s="321">
        <f t="shared" si="4"/>
        <v>14.799999999999999</v>
      </c>
      <c r="E23" s="322">
        <f t="shared" si="5"/>
        <v>208</v>
      </c>
      <c r="F23" s="323">
        <f t="shared" si="6"/>
        <v>6.79</v>
      </c>
      <c r="H23" s="66">
        <v>-0.1</v>
      </c>
      <c r="I23" s="64">
        <v>-1</v>
      </c>
      <c r="J23" s="65">
        <v>0.12</v>
      </c>
      <c r="L23"/>
      <c r="M23"/>
      <c r="N23"/>
    </row>
    <row r="24" spans="2:14" s="31" customFormat="1" ht="26.1" customHeight="1">
      <c r="B24" s="556" t="s">
        <v>36</v>
      </c>
      <c r="C24" s="557"/>
      <c r="D24" s="314">
        <f>MAX(D14:D23)</f>
        <v>14.9</v>
      </c>
      <c r="E24" s="315">
        <f t="shared" ref="E24:F24" si="7">MAX(E14:E23)</f>
        <v>214</v>
      </c>
      <c r="F24" s="292">
        <f t="shared" si="7"/>
        <v>6.8</v>
      </c>
      <c r="H24" s="30"/>
      <c r="I24" s="30"/>
      <c r="J24" s="30"/>
    </row>
    <row r="25" spans="2:14" s="31" customFormat="1" ht="26.1" customHeight="1">
      <c r="B25" s="556" t="s">
        <v>37</v>
      </c>
      <c r="C25" s="557"/>
      <c r="D25" s="314">
        <f>MIN(D14:D23)</f>
        <v>14.299999999999999</v>
      </c>
      <c r="E25" s="315">
        <f t="shared" ref="E25:F25" si="8">MIN(E14:E23)</f>
        <v>208</v>
      </c>
      <c r="F25" s="292">
        <f t="shared" si="8"/>
        <v>6.58</v>
      </c>
      <c r="H25" s="30"/>
      <c r="I25" s="30"/>
      <c r="J25" s="30"/>
    </row>
    <row r="26" spans="2:14" s="31" customFormat="1" ht="26.1" customHeight="1" thickBot="1">
      <c r="B26" s="550" t="s">
        <v>91</v>
      </c>
      <c r="C26" s="551"/>
      <c r="D26" s="325">
        <f>D24-D25</f>
        <v>0.60000000000000142</v>
      </c>
      <c r="E26" s="326">
        <f t="shared" ref="E26:F26" si="9">E24-E25</f>
        <v>6</v>
      </c>
      <c r="F26" s="306">
        <f t="shared" si="9"/>
        <v>0.21999999999999975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354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80" t="s">
        <v>81</v>
      </c>
      <c r="C6" s="181">
        <v>44753.861111111109</v>
      </c>
      <c r="D6" s="94"/>
      <c r="E6" s="30"/>
      <c r="F6" s="30"/>
    </row>
    <row r="7" spans="2:9" s="31" customFormat="1" ht="26.1" customHeight="1" thickBot="1">
      <c r="B7" s="177" t="s">
        <v>82</v>
      </c>
      <c r="C7" s="182">
        <v>14</v>
      </c>
      <c r="D7" s="94"/>
      <c r="E7" s="30"/>
      <c r="F7" s="30"/>
    </row>
    <row r="8" spans="2:9" s="31" customFormat="1" ht="26.1" customHeight="1">
      <c r="B8" s="174" t="s">
        <v>83</v>
      </c>
      <c r="C8" s="175">
        <v>226</v>
      </c>
      <c r="D8" s="176">
        <v>229</v>
      </c>
      <c r="E8" s="30"/>
      <c r="F8" s="30"/>
    </row>
    <row r="9" spans="2:9" s="31" customFormat="1" ht="26.1" customHeight="1" thickBot="1">
      <c r="B9" s="177" t="s">
        <v>84</v>
      </c>
      <c r="C9" s="178">
        <v>7.9</v>
      </c>
      <c r="D9" s="179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552" t="s">
        <v>85</v>
      </c>
      <c r="C12" s="553"/>
      <c r="D12" s="552" t="s">
        <v>86</v>
      </c>
      <c r="E12" s="555"/>
      <c r="F12" s="553"/>
      <c r="G12" s="558" t="s">
        <v>156</v>
      </c>
      <c r="H12" s="559"/>
      <c r="I12" s="560"/>
    </row>
    <row r="13" spans="2:9" s="30" customFormat="1" ht="26.1" customHeight="1">
      <c r="B13" s="291" t="s">
        <v>81</v>
      </c>
      <c r="C13" s="292" t="s">
        <v>87</v>
      </c>
      <c r="D13" s="310" t="s">
        <v>88</v>
      </c>
      <c r="E13" s="311" t="s">
        <v>89</v>
      </c>
      <c r="F13" s="312" t="s">
        <v>90</v>
      </c>
      <c r="G13" s="293" t="s">
        <v>88</v>
      </c>
      <c r="H13" s="294" t="s">
        <v>89</v>
      </c>
      <c r="I13" s="295" t="s">
        <v>90</v>
      </c>
    </row>
    <row r="14" spans="2:9" s="30" customFormat="1" ht="26.1" customHeight="1">
      <c r="B14" s="296">
        <f>$C$6+C14/1440</f>
        <v>44753.864583333328</v>
      </c>
      <c r="C14" s="297">
        <v>5</v>
      </c>
      <c r="D14" s="301">
        <f t="shared" ref="D14:D23" si="0">baseTemp+D31</f>
        <v>14</v>
      </c>
      <c r="E14" s="299">
        <f t="shared" ref="E14:E20" si="1">$C$8+E31</f>
        <v>223</v>
      </c>
      <c r="F14" s="300">
        <f t="shared" ref="F14:F20" si="2">$C$9+F31</f>
        <v>7.83</v>
      </c>
      <c r="G14" s="301">
        <f t="shared" ref="G14:G20" si="3">baseTemp+H31</f>
        <v>14</v>
      </c>
      <c r="H14" s="299">
        <f>$D$8+I31</f>
        <v>232</v>
      </c>
      <c r="I14" s="300">
        <f>$D$9+J31</f>
        <v>7.89</v>
      </c>
    </row>
    <row r="15" spans="2:9" s="30" customFormat="1" ht="26.1" customHeight="1">
      <c r="B15" s="302">
        <f t="shared" ref="B15:B23" si="4">$C$6+C15/1440</f>
        <v>44753.881944444445</v>
      </c>
      <c r="C15" s="303">
        <v>30</v>
      </c>
      <c r="D15" s="301">
        <f t="shared" si="0"/>
        <v>14.1</v>
      </c>
      <c r="E15" s="299">
        <f t="shared" si="1"/>
        <v>224</v>
      </c>
      <c r="F15" s="300">
        <f t="shared" si="2"/>
        <v>7.82</v>
      </c>
      <c r="G15" s="301">
        <f t="shared" si="3"/>
        <v>14</v>
      </c>
      <c r="H15" s="299">
        <f t="shared" ref="H15:H20" si="5">$D$8+I32</f>
        <v>226</v>
      </c>
      <c r="I15" s="300">
        <f t="shared" ref="I15:I20" si="6">$D$9+J32</f>
        <v>7.71</v>
      </c>
    </row>
    <row r="16" spans="2:9" s="30" customFormat="1" ht="26.1" customHeight="1">
      <c r="B16" s="302">
        <f t="shared" si="4"/>
        <v>44753.902777777774</v>
      </c>
      <c r="C16" s="303">
        <v>60</v>
      </c>
      <c r="D16" s="301">
        <f t="shared" si="0"/>
        <v>14</v>
      </c>
      <c r="E16" s="299">
        <f t="shared" si="1"/>
        <v>228</v>
      </c>
      <c r="F16" s="300">
        <f t="shared" si="2"/>
        <v>8.01</v>
      </c>
      <c r="G16" s="301">
        <f t="shared" si="3"/>
        <v>13.9</v>
      </c>
      <c r="H16" s="299">
        <f t="shared" si="5"/>
        <v>232</v>
      </c>
      <c r="I16" s="300">
        <f t="shared" si="6"/>
        <v>7.7</v>
      </c>
    </row>
    <row r="17" spans="2:10" s="30" customFormat="1" ht="26.1" customHeight="1">
      <c r="B17" s="302">
        <f t="shared" si="4"/>
        <v>44753.944444444445</v>
      </c>
      <c r="C17" s="303">
        <v>120</v>
      </c>
      <c r="D17" s="301">
        <f t="shared" si="0"/>
        <v>14</v>
      </c>
      <c r="E17" s="299">
        <f t="shared" si="1"/>
        <v>228</v>
      </c>
      <c r="F17" s="300">
        <f t="shared" si="2"/>
        <v>8.01</v>
      </c>
      <c r="G17" s="301">
        <f t="shared" si="3"/>
        <v>13.9</v>
      </c>
      <c r="H17" s="299">
        <f t="shared" si="5"/>
        <v>228</v>
      </c>
      <c r="I17" s="300">
        <f t="shared" si="6"/>
        <v>7.7</v>
      </c>
    </row>
    <row r="18" spans="2:10" s="30" customFormat="1" ht="26.1" customHeight="1">
      <c r="B18" s="302">
        <f t="shared" si="4"/>
        <v>44754.027777777774</v>
      </c>
      <c r="C18" s="303">
        <v>240</v>
      </c>
      <c r="D18" s="301">
        <f t="shared" si="0"/>
        <v>14.1</v>
      </c>
      <c r="E18" s="299">
        <f t="shared" si="1"/>
        <v>227</v>
      </c>
      <c r="F18" s="300">
        <f t="shared" si="2"/>
        <v>8.01</v>
      </c>
      <c r="G18" s="301">
        <f t="shared" si="3"/>
        <v>13.9</v>
      </c>
      <c r="H18" s="299">
        <f t="shared" si="5"/>
        <v>230</v>
      </c>
      <c r="I18" s="300">
        <f t="shared" si="6"/>
        <v>7.7</v>
      </c>
    </row>
    <row r="19" spans="2:10" s="30" customFormat="1" ht="26.1" customHeight="1">
      <c r="B19" s="302">
        <f t="shared" si="4"/>
        <v>44754.194444444445</v>
      </c>
      <c r="C19" s="303">
        <v>480</v>
      </c>
      <c r="D19" s="301">
        <f t="shared" si="0"/>
        <v>14</v>
      </c>
      <c r="E19" s="299">
        <f t="shared" si="1"/>
        <v>225</v>
      </c>
      <c r="F19" s="300">
        <f t="shared" si="2"/>
        <v>7.78</v>
      </c>
      <c r="G19" s="301">
        <f t="shared" si="3"/>
        <v>13.9</v>
      </c>
      <c r="H19" s="299">
        <f t="shared" si="5"/>
        <v>228</v>
      </c>
      <c r="I19" s="300">
        <f t="shared" si="6"/>
        <v>7.92</v>
      </c>
    </row>
    <row r="20" spans="2:10" s="31" customFormat="1" ht="26.1" customHeight="1">
      <c r="B20" s="302">
        <f t="shared" si="4"/>
        <v>44754.861111111109</v>
      </c>
      <c r="C20" s="303">
        <v>1440</v>
      </c>
      <c r="D20" s="301">
        <f t="shared" si="0"/>
        <v>14.1</v>
      </c>
      <c r="E20" s="299">
        <f t="shared" si="1"/>
        <v>227</v>
      </c>
      <c r="F20" s="300">
        <f t="shared" si="2"/>
        <v>7.9700000000000006</v>
      </c>
      <c r="G20" s="301">
        <f t="shared" si="3"/>
        <v>13.9</v>
      </c>
      <c r="H20" s="299">
        <f t="shared" si="5"/>
        <v>227</v>
      </c>
      <c r="I20" s="300">
        <f t="shared" si="6"/>
        <v>7.7299999999999995</v>
      </c>
    </row>
    <row r="21" spans="2:10" s="31" customFormat="1" ht="26.1" customHeight="1">
      <c r="B21" s="302">
        <f t="shared" si="4"/>
        <v>44755.027777777774</v>
      </c>
      <c r="C21" s="303">
        <v>1680</v>
      </c>
      <c r="D21" s="301">
        <f t="shared" si="0"/>
        <v>14</v>
      </c>
      <c r="E21" s="299">
        <f>$E$20</f>
        <v>227</v>
      </c>
      <c r="F21" s="300">
        <f>$F$20</f>
        <v>7.9700000000000006</v>
      </c>
      <c r="G21" s="301">
        <f>$G$20</f>
        <v>13.9</v>
      </c>
      <c r="H21" s="299">
        <f>$H$20</f>
        <v>227</v>
      </c>
      <c r="I21" s="300">
        <f>$I$20</f>
        <v>7.7299999999999995</v>
      </c>
    </row>
    <row r="22" spans="2:10" s="31" customFormat="1" ht="26.1" customHeight="1">
      <c r="B22" s="302">
        <f t="shared" si="4"/>
        <v>44755.194444444445</v>
      </c>
      <c r="C22" s="303">
        <v>1920</v>
      </c>
      <c r="D22" s="301">
        <f t="shared" si="0"/>
        <v>14</v>
      </c>
      <c r="E22" s="299">
        <f t="shared" ref="E22:E23" si="7">$E$20</f>
        <v>227</v>
      </c>
      <c r="F22" s="300">
        <f t="shared" ref="F22:F23" si="8">$F$20</f>
        <v>7.9700000000000006</v>
      </c>
      <c r="G22" s="301">
        <f t="shared" ref="G22:G23" si="9">$G$20</f>
        <v>13.9</v>
      </c>
      <c r="H22" s="299">
        <f t="shared" ref="H22:H23" si="10">$H$20</f>
        <v>227</v>
      </c>
      <c r="I22" s="300">
        <f t="shared" ref="I22:I23" si="11">$I$20</f>
        <v>7.7299999999999995</v>
      </c>
    </row>
    <row r="23" spans="2:10" s="31" customFormat="1" ht="26.1" customHeight="1">
      <c r="B23" s="304">
        <f t="shared" si="4"/>
        <v>44755.861111111109</v>
      </c>
      <c r="C23" s="305">
        <v>2880</v>
      </c>
      <c r="D23" s="301">
        <f t="shared" si="0"/>
        <v>14</v>
      </c>
      <c r="E23" s="299">
        <f t="shared" si="7"/>
        <v>227</v>
      </c>
      <c r="F23" s="300">
        <f t="shared" si="8"/>
        <v>7.9700000000000006</v>
      </c>
      <c r="G23" s="301">
        <f t="shared" si="9"/>
        <v>13.9</v>
      </c>
      <c r="H23" s="299">
        <f t="shared" si="10"/>
        <v>227</v>
      </c>
      <c r="I23" s="300">
        <f t="shared" si="11"/>
        <v>7.7299999999999995</v>
      </c>
    </row>
    <row r="24" spans="2:10" s="31" customFormat="1" ht="26.1" customHeight="1">
      <c r="B24" s="556" t="s">
        <v>36</v>
      </c>
      <c r="C24" s="557"/>
      <c r="D24" s="293">
        <f>MAX(D14:D23)</f>
        <v>14.1</v>
      </c>
      <c r="E24" s="294">
        <f t="shared" ref="E24:F24" si="12">MAX(E14:E23)</f>
        <v>228</v>
      </c>
      <c r="F24" s="295">
        <f t="shared" si="12"/>
        <v>8.01</v>
      </c>
      <c r="G24" s="293">
        <f>MAX(G14:G23)</f>
        <v>14</v>
      </c>
      <c r="H24" s="294">
        <f t="shared" ref="H24:I24" si="13">MAX(H14:H23)</f>
        <v>232</v>
      </c>
      <c r="I24" s="295">
        <f t="shared" si="13"/>
        <v>7.92</v>
      </c>
      <c r="J24" s="30"/>
    </row>
    <row r="25" spans="2:10" s="31" customFormat="1" ht="26.1" customHeight="1">
      <c r="B25" s="556" t="s">
        <v>37</v>
      </c>
      <c r="C25" s="557"/>
      <c r="D25" s="293">
        <f>MIN(D14:D23)</f>
        <v>14</v>
      </c>
      <c r="E25" s="294">
        <f t="shared" ref="E25:F25" si="14">MIN(E14:E23)</f>
        <v>223</v>
      </c>
      <c r="F25" s="313">
        <f t="shared" si="14"/>
        <v>7.78</v>
      </c>
      <c r="G25" s="293">
        <f>MIN(G14:G23)</f>
        <v>13.9</v>
      </c>
      <c r="H25" s="294">
        <f t="shared" ref="H25:I25" si="15">MIN(H14:H23)</f>
        <v>226</v>
      </c>
      <c r="I25" s="295">
        <f t="shared" si="15"/>
        <v>7.7</v>
      </c>
      <c r="J25" s="30"/>
    </row>
    <row r="26" spans="2:10" s="31" customFormat="1" ht="26.1" customHeight="1" thickBot="1">
      <c r="B26" s="550" t="s">
        <v>91</v>
      </c>
      <c r="C26" s="551"/>
      <c r="D26" s="307">
        <f>D24-D25</f>
        <v>9.9999999999999645E-2</v>
      </c>
      <c r="E26" s="308">
        <f t="shared" ref="E26:F26" si="16">E24-E25</f>
        <v>5</v>
      </c>
      <c r="F26" s="309">
        <f t="shared" si="16"/>
        <v>0.22999999999999954</v>
      </c>
      <c r="G26" s="307">
        <f>G24-G25</f>
        <v>9.9999999999999645E-2</v>
      </c>
      <c r="H26" s="308">
        <f t="shared" ref="H26:I26" si="17">H24-H25</f>
        <v>6</v>
      </c>
      <c r="I26" s="309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552" t="s">
        <v>86</v>
      </c>
      <c r="E29" s="555"/>
      <c r="F29" s="553"/>
      <c r="H29" s="552" t="s">
        <v>156</v>
      </c>
      <c r="I29" s="555"/>
      <c r="J29" s="553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355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80" t="s">
        <v>81</v>
      </c>
      <c r="C6" s="181">
        <v>44717.430555555555</v>
      </c>
      <c r="D6" s="94"/>
      <c r="E6" s="94"/>
      <c r="F6" s="30"/>
    </row>
    <row r="7" spans="2:12" s="31" customFormat="1" ht="26.1" customHeight="1" thickBot="1">
      <c r="B7" s="183" t="s">
        <v>82</v>
      </c>
      <c r="C7" s="184">
        <v>14.7</v>
      </c>
      <c r="D7" s="94"/>
      <c r="E7" s="94"/>
      <c r="F7" s="30"/>
    </row>
    <row r="8" spans="2:12" s="31" customFormat="1" ht="26.1" customHeight="1">
      <c r="B8" s="174" t="s">
        <v>83</v>
      </c>
      <c r="C8" s="175">
        <v>197</v>
      </c>
      <c r="D8" s="185">
        <v>197</v>
      </c>
      <c r="E8" s="176">
        <v>194</v>
      </c>
      <c r="F8" s="30"/>
    </row>
    <row r="9" spans="2:12" s="31" customFormat="1" ht="26.1" customHeight="1" thickBot="1">
      <c r="B9" s="177" t="s">
        <v>84</v>
      </c>
      <c r="C9" s="178">
        <v>8.4</v>
      </c>
      <c r="D9" s="186">
        <v>8.3000000000000007</v>
      </c>
      <c r="E9" s="179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552" t="s">
        <v>85</v>
      </c>
      <c r="C12" s="553"/>
      <c r="D12" s="558" t="s">
        <v>86</v>
      </c>
      <c r="E12" s="559"/>
      <c r="F12" s="560"/>
      <c r="G12" s="558" t="s">
        <v>156</v>
      </c>
      <c r="H12" s="559"/>
      <c r="I12" s="560"/>
      <c r="J12" s="558" t="s">
        <v>157</v>
      </c>
      <c r="K12" s="559"/>
      <c r="L12" s="560"/>
    </row>
    <row r="13" spans="2:12" s="30" customFormat="1" ht="26.1" customHeight="1">
      <c r="B13" s="291" t="s">
        <v>81</v>
      </c>
      <c r="C13" s="292" t="s">
        <v>87</v>
      </c>
      <c r="D13" s="293" t="s">
        <v>160</v>
      </c>
      <c r="E13" s="294" t="s">
        <v>169</v>
      </c>
      <c r="F13" s="295" t="s">
        <v>90</v>
      </c>
      <c r="G13" s="293" t="s">
        <v>160</v>
      </c>
      <c r="H13" s="294" t="s">
        <v>169</v>
      </c>
      <c r="I13" s="295" t="s">
        <v>90</v>
      </c>
      <c r="J13" s="293" t="s">
        <v>160</v>
      </c>
      <c r="K13" s="294" t="s">
        <v>169</v>
      </c>
      <c r="L13" s="295" t="s">
        <v>90</v>
      </c>
    </row>
    <row r="14" spans="2:12" s="30" customFormat="1" ht="26.1" customHeight="1">
      <c r="B14" s="296">
        <f>$C$6+C14/1440</f>
        <v>44717.434027777774</v>
      </c>
      <c r="C14" s="297">
        <v>5</v>
      </c>
      <c r="D14" s="298">
        <f t="shared" ref="D14:D20" si="0">baseTemp+D31</f>
        <v>14.7</v>
      </c>
      <c r="E14" s="299">
        <f t="shared" ref="E14:E20" si="1">$C$8+E31</f>
        <v>194</v>
      </c>
      <c r="F14" s="300">
        <f t="shared" ref="F14:F20" si="2">$C$9+F31</f>
        <v>8.33</v>
      </c>
      <c r="G14" s="301">
        <f t="shared" ref="G14:G20" si="3">baseTemp+H31</f>
        <v>14.7</v>
      </c>
      <c r="H14" s="299">
        <f>$D$8+I31</f>
        <v>200</v>
      </c>
      <c r="I14" s="300">
        <f>$D$9+J31</f>
        <v>8.39</v>
      </c>
      <c r="J14" s="301">
        <f t="shared" ref="J14:J20" si="4">baseTemp+L31</f>
        <v>14.7</v>
      </c>
      <c r="K14" s="299">
        <f>$E$8+M31</f>
        <v>195</v>
      </c>
      <c r="L14" s="300">
        <f>$E$9+N31</f>
        <v>8.2800000000000011</v>
      </c>
    </row>
    <row r="15" spans="2:12" s="30" customFormat="1" ht="26.1" customHeight="1">
      <c r="B15" s="302">
        <f t="shared" ref="B15:B23" si="5">$C$6+C15/1440</f>
        <v>44717.451388888891</v>
      </c>
      <c r="C15" s="303">
        <v>30</v>
      </c>
      <c r="D15" s="298">
        <f t="shared" si="0"/>
        <v>14.799999999999999</v>
      </c>
      <c r="E15" s="299">
        <f t="shared" si="1"/>
        <v>195</v>
      </c>
      <c r="F15" s="300">
        <f t="shared" si="2"/>
        <v>8.32</v>
      </c>
      <c r="G15" s="301">
        <f t="shared" si="3"/>
        <v>14.7</v>
      </c>
      <c r="H15" s="299">
        <f t="shared" ref="H15:H20" si="6">$D$8+I32</f>
        <v>194</v>
      </c>
      <c r="I15" s="300">
        <f t="shared" ref="I15:I20" si="7">$D$9+J32</f>
        <v>8.2100000000000009</v>
      </c>
      <c r="J15" s="301">
        <f t="shared" si="4"/>
        <v>14.7</v>
      </c>
      <c r="K15" s="299">
        <f t="shared" ref="K15:K20" si="8">$E$8+M32</f>
        <v>192</v>
      </c>
      <c r="L15" s="300">
        <f t="shared" ref="L15:L20" si="9">$E$9+N32</f>
        <v>8.49</v>
      </c>
    </row>
    <row r="16" spans="2:12" s="30" customFormat="1" ht="26.1" customHeight="1">
      <c r="B16" s="302">
        <f t="shared" si="5"/>
        <v>44717.472222222219</v>
      </c>
      <c r="C16" s="303">
        <v>60</v>
      </c>
      <c r="D16" s="298">
        <f t="shared" si="0"/>
        <v>14.7</v>
      </c>
      <c r="E16" s="299">
        <f t="shared" si="1"/>
        <v>199</v>
      </c>
      <c r="F16" s="300">
        <f t="shared" si="2"/>
        <v>8.51</v>
      </c>
      <c r="G16" s="301">
        <f t="shared" si="3"/>
        <v>14.6</v>
      </c>
      <c r="H16" s="299">
        <f t="shared" si="6"/>
        <v>200</v>
      </c>
      <c r="I16" s="300">
        <f t="shared" si="7"/>
        <v>8.2000000000000011</v>
      </c>
      <c r="J16" s="301">
        <f t="shared" si="4"/>
        <v>14.799999999999999</v>
      </c>
      <c r="K16" s="299">
        <f t="shared" si="8"/>
        <v>193</v>
      </c>
      <c r="L16" s="300">
        <f t="shared" si="9"/>
        <v>8.51</v>
      </c>
    </row>
    <row r="17" spans="2:14" s="30" customFormat="1" ht="26.1" customHeight="1">
      <c r="B17" s="302">
        <f t="shared" si="5"/>
        <v>44717.513888888891</v>
      </c>
      <c r="C17" s="303">
        <v>120</v>
      </c>
      <c r="D17" s="298">
        <f t="shared" si="0"/>
        <v>14.7</v>
      </c>
      <c r="E17" s="299">
        <f t="shared" si="1"/>
        <v>199</v>
      </c>
      <c r="F17" s="300">
        <f t="shared" si="2"/>
        <v>8.51</v>
      </c>
      <c r="G17" s="301">
        <f t="shared" si="3"/>
        <v>14.6</v>
      </c>
      <c r="H17" s="299">
        <f t="shared" si="6"/>
        <v>196</v>
      </c>
      <c r="I17" s="300">
        <f t="shared" si="7"/>
        <v>8.2000000000000011</v>
      </c>
      <c r="J17" s="301">
        <f t="shared" si="4"/>
        <v>14.799999999999999</v>
      </c>
      <c r="K17" s="299">
        <f t="shared" si="8"/>
        <v>196</v>
      </c>
      <c r="L17" s="300">
        <f t="shared" si="9"/>
        <v>8.3000000000000007</v>
      </c>
    </row>
    <row r="18" spans="2:14" s="30" customFormat="1" ht="26.1" customHeight="1">
      <c r="B18" s="302">
        <f t="shared" si="5"/>
        <v>44717.597222222219</v>
      </c>
      <c r="C18" s="303">
        <v>240</v>
      </c>
      <c r="D18" s="298">
        <f t="shared" si="0"/>
        <v>14.799999999999999</v>
      </c>
      <c r="E18" s="299">
        <f t="shared" si="1"/>
        <v>198</v>
      </c>
      <c r="F18" s="300">
        <f t="shared" si="2"/>
        <v>8.51</v>
      </c>
      <c r="G18" s="301">
        <f t="shared" si="3"/>
        <v>14.6</v>
      </c>
      <c r="H18" s="299">
        <f t="shared" si="6"/>
        <v>198</v>
      </c>
      <c r="I18" s="300">
        <f t="shared" si="7"/>
        <v>8.2000000000000011</v>
      </c>
      <c r="J18" s="301">
        <f t="shared" si="4"/>
        <v>14.6</v>
      </c>
      <c r="K18" s="299">
        <f t="shared" si="8"/>
        <v>196</v>
      </c>
      <c r="L18" s="300">
        <f t="shared" si="9"/>
        <v>8.52</v>
      </c>
    </row>
    <row r="19" spans="2:14" s="30" customFormat="1" ht="26.1" customHeight="1">
      <c r="B19" s="302">
        <f t="shared" si="5"/>
        <v>44717.763888888891</v>
      </c>
      <c r="C19" s="303">
        <v>480</v>
      </c>
      <c r="D19" s="298">
        <f t="shared" si="0"/>
        <v>14.7</v>
      </c>
      <c r="E19" s="299">
        <f t="shared" si="1"/>
        <v>196</v>
      </c>
      <c r="F19" s="300">
        <f t="shared" si="2"/>
        <v>8.2800000000000011</v>
      </c>
      <c r="G19" s="301">
        <f t="shared" si="3"/>
        <v>14.6</v>
      </c>
      <c r="H19" s="299">
        <f t="shared" si="6"/>
        <v>196</v>
      </c>
      <c r="I19" s="300">
        <f t="shared" si="7"/>
        <v>8.42</v>
      </c>
      <c r="J19" s="301">
        <f t="shared" si="4"/>
        <v>14.799999999999999</v>
      </c>
      <c r="K19" s="299">
        <f t="shared" si="8"/>
        <v>191</v>
      </c>
      <c r="L19" s="300">
        <f t="shared" si="9"/>
        <v>8.2800000000000011</v>
      </c>
    </row>
    <row r="20" spans="2:14" s="31" customFormat="1" ht="26.1" customHeight="1">
      <c r="B20" s="302">
        <f t="shared" si="5"/>
        <v>44718.430555555555</v>
      </c>
      <c r="C20" s="303">
        <v>1440</v>
      </c>
      <c r="D20" s="298">
        <f t="shared" si="0"/>
        <v>14.799999999999999</v>
      </c>
      <c r="E20" s="299">
        <f t="shared" si="1"/>
        <v>198</v>
      </c>
      <c r="F20" s="300">
        <f t="shared" si="2"/>
        <v>8.4700000000000006</v>
      </c>
      <c r="G20" s="301">
        <f t="shared" si="3"/>
        <v>14.6</v>
      </c>
      <c r="H20" s="299">
        <f t="shared" si="6"/>
        <v>195</v>
      </c>
      <c r="I20" s="300">
        <f t="shared" si="7"/>
        <v>8.23</v>
      </c>
      <c r="J20" s="301">
        <f t="shared" si="4"/>
        <v>14.6</v>
      </c>
      <c r="K20" s="299">
        <f t="shared" si="8"/>
        <v>191</v>
      </c>
      <c r="L20" s="300">
        <f t="shared" si="9"/>
        <v>8.33</v>
      </c>
    </row>
    <row r="21" spans="2:14" s="31" customFormat="1" ht="26.1" customHeight="1">
      <c r="B21" s="302">
        <f t="shared" si="5"/>
        <v>44718.597222222219</v>
      </c>
      <c r="C21" s="303">
        <v>1680</v>
      </c>
      <c r="D21" s="298">
        <f>$D$20</f>
        <v>14.799999999999999</v>
      </c>
      <c r="E21" s="299">
        <f>$E$20</f>
        <v>198</v>
      </c>
      <c r="F21" s="300">
        <f>$F$20</f>
        <v>8.4700000000000006</v>
      </c>
      <c r="G21" s="301">
        <f>$G$20</f>
        <v>14.6</v>
      </c>
      <c r="H21" s="299">
        <f>$H$20</f>
        <v>195</v>
      </c>
      <c r="I21" s="300">
        <f>$I$20</f>
        <v>8.23</v>
      </c>
      <c r="J21" s="301">
        <f>$J$20</f>
        <v>14.6</v>
      </c>
      <c r="K21" s="299">
        <f>$K$20</f>
        <v>191</v>
      </c>
      <c r="L21" s="300">
        <f>$L$20</f>
        <v>8.33</v>
      </c>
    </row>
    <row r="22" spans="2:14" s="31" customFormat="1" ht="26.1" customHeight="1">
      <c r="B22" s="302">
        <f t="shared" si="5"/>
        <v>44718.763888888891</v>
      </c>
      <c r="C22" s="303">
        <v>1920</v>
      </c>
      <c r="D22" s="298">
        <f t="shared" ref="D22:D23" si="10">$D$20</f>
        <v>14.799999999999999</v>
      </c>
      <c r="E22" s="299">
        <f t="shared" ref="E22:E23" si="11">$E$20</f>
        <v>198</v>
      </c>
      <c r="F22" s="300">
        <f t="shared" ref="F22:F23" si="12">$F$20</f>
        <v>8.4700000000000006</v>
      </c>
      <c r="G22" s="301">
        <f t="shared" ref="G22:G23" si="13">$G$20</f>
        <v>14.6</v>
      </c>
      <c r="H22" s="299">
        <f t="shared" ref="H22:H23" si="14">$H$20</f>
        <v>195</v>
      </c>
      <c r="I22" s="300">
        <f t="shared" ref="I22:I23" si="15">$I$20</f>
        <v>8.23</v>
      </c>
      <c r="J22" s="301">
        <f t="shared" ref="J22:J23" si="16">$J$20</f>
        <v>14.6</v>
      </c>
      <c r="K22" s="299">
        <f t="shared" ref="K22:K23" si="17">$K$20</f>
        <v>191</v>
      </c>
      <c r="L22" s="300">
        <f t="shared" ref="L22:L23" si="18">$L$20</f>
        <v>8.33</v>
      </c>
    </row>
    <row r="23" spans="2:14" s="31" customFormat="1" ht="26.1" customHeight="1">
      <c r="B23" s="304">
        <f t="shared" si="5"/>
        <v>44719.430555555555</v>
      </c>
      <c r="C23" s="305">
        <v>2880</v>
      </c>
      <c r="D23" s="298">
        <f t="shared" si="10"/>
        <v>14.799999999999999</v>
      </c>
      <c r="E23" s="299">
        <f t="shared" si="11"/>
        <v>198</v>
      </c>
      <c r="F23" s="300">
        <f t="shared" si="12"/>
        <v>8.4700000000000006</v>
      </c>
      <c r="G23" s="301">
        <f t="shared" si="13"/>
        <v>14.6</v>
      </c>
      <c r="H23" s="299">
        <f t="shared" si="14"/>
        <v>195</v>
      </c>
      <c r="I23" s="300">
        <f t="shared" si="15"/>
        <v>8.23</v>
      </c>
      <c r="J23" s="301">
        <f t="shared" si="16"/>
        <v>14.6</v>
      </c>
      <c r="K23" s="299">
        <f t="shared" si="17"/>
        <v>191</v>
      </c>
      <c r="L23" s="300">
        <f t="shared" si="18"/>
        <v>8.33</v>
      </c>
    </row>
    <row r="24" spans="2:14" s="31" customFormat="1" ht="26.1" customHeight="1">
      <c r="B24" s="556" t="s">
        <v>36</v>
      </c>
      <c r="C24" s="557"/>
      <c r="D24" s="293">
        <f>MAX(D14:D23)</f>
        <v>14.799999999999999</v>
      </c>
      <c r="E24" s="294">
        <f t="shared" ref="E24:F24" si="19">MAX(E14:E23)</f>
        <v>199</v>
      </c>
      <c r="F24" s="295">
        <f t="shared" si="19"/>
        <v>8.51</v>
      </c>
      <c r="G24" s="293">
        <f>MAX(G14:G23)</f>
        <v>14.7</v>
      </c>
      <c r="H24" s="294">
        <f t="shared" ref="H24:I24" si="20">MAX(H14:H23)</f>
        <v>200</v>
      </c>
      <c r="I24" s="295">
        <f t="shared" si="20"/>
        <v>8.42</v>
      </c>
      <c r="J24" s="293">
        <f>MAX(J14:J23)</f>
        <v>14.799999999999999</v>
      </c>
      <c r="K24" s="294">
        <f t="shared" ref="K24:L24" si="21">MAX(K14:K23)</f>
        <v>196</v>
      </c>
      <c r="L24" s="295">
        <f t="shared" si="21"/>
        <v>8.52</v>
      </c>
    </row>
    <row r="25" spans="2:14" s="31" customFormat="1" ht="26.1" customHeight="1">
      <c r="B25" s="556" t="s">
        <v>37</v>
      </c>
      <c r="C25" s="557"/>
      <c r="D25" s="293">
        <f>MIN(D14:D23)</f>
        <v>14.7</v>
      </c>
      <c r="E25" s="294">
        <f t="shared" ref="E25:F25" si="22">MIN(E14:E23)</f>
        <v>194</v>
      </c>
      <c r="F25" s="295">
        <f t="shared" si="22"/>
        <v>8.2800000000000011</v>
      </c>
      <c r="G25" s="293">
        <f>MIN(G14:G23)</f>
        <v>14.6</v>
      </c>
      <c r="H25" s="294">
        <f t="shared" ref="H25:I25" si="23">MIN(H14:H23)</f>
        <v>194</v>
      </c>
      <c r="I25" s="295">
        <f t="shared" si="23"/>
        <v>8.2000000000000011</v>
      </c>
      <c r="J25" s="293">
        <f>MIN(J14:J23)</f>
        <v>14.6</v>
      </c>
      <c r="K25" s="294">
        <f t="shared" ref="K25:L25" si="24">MIN(K14:K23)</f>
        <v>191</v>
      </c>
      <c r="L25" s="295">
        <f t="shared" si="24"/>
        <v>8.2800000000000011</v>
      </c>
    </row>
    <row r="26" spans="2:14" s="31" customFormat="1" ht="26.1" customHeight="1" thickBot="1">
      <c r="B26" s="550" t="s">
        <v>91</v>
      </c>
      <c r="C26" s="551"/>
      <c r="D26" s="307">
        <f>D24-D25</f>
        <v>9.9999999999999645E-2</v>
      </c>
      <c r="E26" s="308">
        <f t="shared" ref="E26:F26" si="25">E24-E25</f>
        <v>5</v>
      </c>
      <c r="F26" s="309">
        <f t="shared" si="25"/>
        <v>0.22999999999999865</v>
      </c>
      <c r="G26" s="307">
        <f>G24-G25</f>
        <v>9.9999999999999645E-2</v>
      </c>
      <c r="H26" s="308">
        <f t="shared" ref="H26:I26" si="26">H24-H25</f>
        <v>6</v>
      </c>
      <c r="I26" s="309">
        <f t="shared" si="26"/>
        <v>0.21999999999999886</v>
      </c>
      <c r="J26" s="307">
        <f>J24-J25</f>
        <v>0.19999999999999929</v>
      </c>
      <c r="K26" s="308">
        <f t="shared" ref="K26:L26" si="27">K24-K25</f>
        <v>5</v>
      </c>
      <c r="L26" s="309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552" t="s">
        <v>86</v>
      </c>
      <c r="E29" s="555"/>
      <c r="F29" s="553"/>
      <c r="H29" s="552" t="s">
        <v>156</v>
      </c>
      <c r="I29" s="555"/>
      <c r="J29" s="553"/>
      <c r="L29" s="552" t="s">
        <v>157</v>
      </c>
      <c r="M29" s="555"/>
      <c r="N29" s="553"/>
    </row>
    <row r="30" spans="2:14" s="31" customFormat="1" ht="26.1" customHeight="1">
      <c r="D30" s="97" t="s">
        <v>161</v>
      </c>
      <c r="E30" s="99" t="s">
        <v>162</v>
      </c>
      <c r="F30" s="98" t="s">
        <v>90</v>
      </c>
      <c r="H30" s="97" t="s">
        <v>161</v>
      </c>
      <c r="I30" s="99" t="s">
        <v>162</v>
      </c>
      <c r="J30" s="98" t="s">
        <v>90</v>
      </c>
      <c r="L30" s="97" t="s">
        <v>161</v>
      </c>
      <c r="M30" s="99" t="s">
        <v>162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14</vt:i4>
      </vt:variant>
    </vt:vector>
  </HeadingPairs>
  <TitlesOfParts>
    <vt:vector size="33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CategoryA_Area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2023-09-19T05:57:52Z</cp:lastPrinted>
  <dcterms:created xsi:type="dcterms:W3CDTF">2006-03-22T01:28:03Z</dcterms:created>
  <dcterms:modified xsi:type="dcterms:W3CDTF">2023-09-20T12:41:13Z</dcterms:modified>
</cp:coreProperties>
</file>