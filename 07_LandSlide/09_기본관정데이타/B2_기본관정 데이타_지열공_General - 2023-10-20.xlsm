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7352C57-D3BA-4DD3-87C7-487E185E234C}" xr6:coauthVersionLast="47" xr6:coauthVersionMax="47" xr10:uidLastSave="{00000000-0000-0000-0000-000000000000}"/>
  <bookViews>
    <workbookView xWindow="7095" yWindow="1395" windowWidth="28275" windowHeight="18525" tabRatio="589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210" r:id="rId17"/>
    <sheet name="Q1" sheetId="100" r:id="rId18"/>
    <sheet name="Q2" sheetId="117" r:id="rId19"/>
    <sheet name="Q3" sheetId="115" r:id="rId20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" i="55" l="1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5" i="52"/>
  <c r="F5" i="52"/>
  <c r="E5" i="52"/>
  <c r="E17" i="210"/>
  <c r="E19" i="210" s="1"/>
  <c r="F19" i="210" s="1"/>
  <c r="G19" i="210" s="1"/>
  <c r="C19" i="210"/>
  <c r="C18" i="210"/>
  <c r="C17" i="210"/>
  <c r="C16" i="210"/>
  <c r="C15" i="210"/>
  <c r="C8" i="210"/>
  <c r="C7" i="210"/>
  <c r="C12" i="210" s="1"/>
  <c r="A13" i="210" s="1"/>
  <c r="A12" i="210" s="1"/>
  <c r="C6" i="210"/>
  <c r="C5" i="210"/>
  <c r="C4" i="210"/>
  <c r="C3" i="210"/>
  <c r="C2" i="210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D30" i="210"/>
  <c r="K30" i="210" s="1"/>
  <c r="D26" i="210"/>
  <c r="C22" i="210"/>
  <c r="K16" i="210"/>
  <c r="K17" i="210" s="1"/>
  <c r="K18" i="210" s="1"/>
  <c r="L18" i="210" s="1"/>
  <c r="H26" i="210" s="1"/>
  <c r="G14" i="210"/>
  <c r="G13" i="210"/>
  <c r="F13" i="210"/>
  <c r="E13" i="210"/>
  <c r="D13" i="210"/>
  <c r="L12" i="210"/>
  <c r="H11" i="210"/>
  <c r="F11" i="210"/>
  <c r="E11" i="210"/>
  <c r="H10" i="210"/>
  <c r="H9" i="210"/>
  <c r="C9" i="210"/>
  <c r="G7" i="210"/>
  <c r="E7" i="210"/>
  <c r="F21" i="210"/>
  <c r="C42" i="23"/>
  <c r="C43" i="23" s="1"/>
  <c r="B42" i="23"/>
  <c r="B43" i="23" s="1"/>
  <c r="O4" i="52"/>
  <c r="E13" i="55"/>
  <c r="D13" i="55"/>
  <c r="B2" i="23"/>
  <c r="S6" i="54"/>
  <c r="T6" i="54" a="1"/>
  <c r="F17" i="210" l="1"/>
  <c r="G17" i="210" s="1"/>
  <c r="H19" i="210"/>
  <c r="C14" i="210"/>
  <c r="B49" i="23"/>
  <c r="B46" i="23"/>
  <c r="B47" i="23" s="1"/>
  <c r="C49" i="23"/>
  <c r="C46" i="23"/>
  <c r="C47" i="23" s="1"/>
  <c r="T6" i="54"/>
  <c r="F4" i="52"/>
  <c r="E4" i="52"/>
  <c r="F5" i="210" l="1"/>
  <c r="F6" i="210"/>
  <c r="F7" i="210"/>
  <c r="J26" i="210"/>
  <c r="E7" i="55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10" l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0" l="1"/>
  <c r="G21" i="210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210" l="1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E684B8F8-08A3-4F97-A847-C77C95D0C0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AD18E518-9215-45C3-ABB0-25429C54D2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A098FFAC-D8C2-4E55-95CD-9B1B3D388C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F6EFF9-662F-4102-B97E-A79F886C09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373668C-CCFF-4CF7-B8B2-F3A1DD15B7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F9E51B79-1B61-44A5-A3E7-720424A15D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65D4554-C2D5-4828-8035-BE350783B6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F9913B8-B8BF-4296-AFCD-440BADF00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9E409A31-44F9-4B4C-9525-F75EFC889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E1D93CB-C223-435F-B5BE-2887ADFF61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4A57ABB-4264-4F01-8803-B35789EA9AC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7F0023-EB2C-4507-944C-3C79655208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735D7AC-7107-4FF0-8578-DBDF53274E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8BCE440-55C2-4F12-8589-F50E4C04697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47A5D5F-20B8-4C3B-BA45-8E6C8CB841F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17675D0-3018-48E9-9387-FD7C5EC80F9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E63E772-2A72-46D0-81E3-80B4B46783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A00A90D-53AB-4A2C-A1C3-C9A51B650D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2900938-5F40-4B6F-B58A-532309EBF6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7C27951-3B65-46F0-B7A6-EF65C02F9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9962FA9-6B7D-4AA3-8D14-AA36066837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F17BBB1-0F7D-487A-A476-A9CB7DC352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E282284-6B65-42DF-9D3C-423AC43596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5A488A8-F49F-4C81-8185-B69055761D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F45CF4B-7ABD-4BF8-9167-E5F6E7F39D1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BE12BA37-3005-4947-887B-7B337A14F2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51B5CC6-2397-4381-9AAC-3189FB1EF2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<sst xmlns="http://schemas.openxmlformats.org/spreadsheetml/2006/main" count="990" uniqueCount="680">
  <si>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</si>
  <si>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</si>
  <si>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</si>
  <si>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</si>
  <si>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</si>
  <si>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</si>
  <si>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</si>
  <si>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</si>
  <si>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</si>
  <si>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</si>
  <si>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</si>
  <si>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</si>
  <si>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</si>
  <si>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</si>
  <si>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</si>
  <si>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</si>
  <si>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</si>
  <si>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</si>
  <si>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</si>
  <si>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</si>
  <si>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</si>
  <si>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</si>
  <si>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</si>
  <si>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</si>
  <si>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</si>
  <si>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</si>
  <si>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</si>
  <si>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</si>
  <si>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</si>
  <si>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</si>
  <si>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</si>
  <si>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</si>
  <si>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</si>
  <si>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</si>
  <si>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</si>
  <si>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</si>
  <si>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</si>
  <si>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</si>
  <si>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</si>
  <si>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</si>
  <si>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</si>
  <si>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</si>
  <si>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</si>
  <si>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</si>
  <si>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</si>
  <si>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</si>
  <si>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</si>
  <si>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</si>
  <si>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</si>
  <si>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</si>
  <si>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</si>
  <si>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</si>
  <si>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</si>
  <si>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</si>
  <si>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</si>
  <si>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</si>
  <si>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</si>
  <si>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</si>
  <si>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</si>
  <si>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</si>
  <si>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</si>
  <si>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</si>
  <si>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</si>
  <si>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</si>
  <si>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</si>
  <si>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</si>
  <si>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</si>
  <si>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</si>
  <si>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</si>
  <si>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</si>
  <si>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</si>
  <si>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</si>
  <si>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</si>
  <si>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</si>
  <si>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</si>
  <si>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</si>
  <si>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</si>
  <si>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</si>
  <si>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</si>
  <si>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</si>
  <si>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</si>
  <si>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</si>
  <si>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</si>
  <si>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</si>
  <si>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</si>
  <si>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</si>
  <si>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</si>
  <si>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</si>
  <si>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</si>
  <si>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</si>
  <si>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</si>
  <si>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</si>
  <si>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</si>
  <si>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</si>
  <si>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</si>
  <si>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</si>
  <si>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</si>
  <si>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</si>
  <si>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</si>
  <si>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</si>
  <si>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</si>
  <si>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</si>
  <si>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</si>
  <si>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</si>
  <si>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</si>
  <si>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</si>
  <si>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</si>
  <si>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</si>
  <si>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</si>
  <si>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</si>
  <si>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</si>
  <si>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</si>
  <si>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</si>
  <si>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</si>
  <si>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</si>
  <si>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</si>
  <si>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</si>
  <si>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</si>
  <si>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</si>
  <si>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</si>
  <si>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</si>
  <si>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</si>
  <si>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</si>
  <si>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</si>
  <si>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</si>
  <si>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</si>
  <si>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</si>
  <si>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</si>
  <si>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</si>
  <si>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</si>
  <si>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</si>
  <si>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</si>
  <si>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</si>
  <si>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</si>
  <si>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</si>
  <si>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</si>
  <si>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</si>
  <si>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</si>
  <si>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</si>
  <si>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</si>
  <si>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</si>
  <si>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</si>
  <si>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</si>
  <si>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</si>
  <si>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</si>
  <si>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</si>
  <si>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</si>
  <si>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</si>
  <si>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</si>
  <si>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</si>
  <si>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</si>
  <si>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</si>
  <si>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</si>
  <si>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</si>
  <si>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</si>
  <si>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</si>
  <si>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</si>
  <si>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</si>
  <si>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</si>
  <si>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</si>
  <si>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</si>
  <si>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</si>
  <si>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</si>
  <si>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</si>
  <si>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</si>
  <si>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</si>
  <si>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</si>
  <si>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</si>
  <si>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</si>
  <si>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</si>
  <si>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</si>
  <si>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</si>
  <si>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</si>
  <si>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</si>
  <si>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</si>
  <si>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</si>
  <si>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</si>
  <si>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</si>
  <si>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</si>
  <si>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</si>
  <si>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</si>
  <si>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</si>
  <si>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</si>
  <si>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</si>
  <si>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</si>
  <si>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</si>
  <si>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</si>
  <si>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</si>
  <si>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</si>
  <si>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</si>
  <si>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</si>
  <si>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</si>
  <si>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</si>
  <si>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</si>
  <si>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</si>
  <si>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</si>
  <si>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</si>
  <si>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</si>
  <si>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</si>
  <si>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</si>
  <si>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</si>
  <si>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</si>
  <si>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</si>
  <si>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</si>
  <si>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</si>
  <si>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</si>
  <si>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</si>
  <si>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</si>
  <si>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</si>
  <si>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</si>
  <si>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</si>
  <si>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</si>
  <si>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</si>
  <si>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</si>
  <si>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</si>
  <si>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</si>
  <si>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</si>
  <si>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</si>
  <si>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</si>
  <si>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</si>
  <si>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</si>
  <si>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</si>
  <si>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</si>
  <si>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</si>
  <si>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</si>
  <si>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</si>
  <si>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</si>
  <si>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</si>
  <si>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</si>
  <si>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</si>
  <si>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</si>
  <si>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</si>
  <si>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</si>
  <si>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</si>
  <si>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</si>
  <si>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</si>
  <si>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</si>
  <si>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</si>
  <si>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</si>
  <si>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</si>
  <si>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</si>
  <si>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</si>
  <si>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</si>
  <si>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</si>
  <si>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</si>
  <si>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</si>
  <si>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</si>
  <si>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</si>
  <si>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</si>
  <si>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</si>
  <si>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</si>
  <si>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</si>
  <si>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</si>
  <si>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</si>
  <si>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</si>
  <si>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</si>
  <si>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</si>
  <si>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</si>
  <si>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</si>
  <si>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</si>
  <si>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</si>
  <si>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</si>
  <si>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</si>
  <si>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</si>
  <si>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</si>
  <si>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</si>
  <si>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</si>
  <si>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</si>
  <si>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</si>
  <si>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</si>
  <si>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</si>
  <si>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</si>
  <si>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</si>
  <si>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</si>
  <si>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</si>
  <si>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</si>
  <si>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</si>
  <si>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</si>
  <si>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</si>
  <si>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</si>
  <si>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</si>
  <si>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</si>
  <si>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</si>
  <si>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</si>
  <si>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</si>
  <si>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</si>
  <si>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</si>
  <si>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</si>
  <si>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</si>
  <si>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</si>
  <si>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</si>
  <si>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</si>
  <si>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</si>
  <si>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</si>
  <si>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</si>
  <si>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</si>
  <si>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</si>
  <si>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</si>
  <si>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</si>
  <si>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</si>
  <si>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</si>
  <si>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</si>
  <si>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</si>
  <si>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</si>
  <si>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</si>
  <si>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</si>
  <si>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</si>
  <si>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</si>
  <si>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</si>
  <si>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</si>
  <si>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</si>
  <si>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</si>
  <si>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</si>
  <si>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</si>
  <si>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</si>
  <si>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</si>
  <si>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</si>
  <si>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</si>
  <si>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</si>
  <si>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</si>
  <si>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</si>
  <si>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</si>
  <si>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</si>
  <si>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</si>
  <si>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</si>
  <si>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</si>
  <si>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</si>
  <si>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</si>
  <si>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</si>
  <si>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</si>
  <si>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</si>
  <si>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</si>
  <si>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</si>
  <si>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</si>
  <si>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</si>
  <si>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</si>
  <si>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</si>
  <si>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</si>
  <si>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</si>
  <si>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</si>
  <si>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</si>
  <si>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</si>
  <si>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</si>
  <si>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</si>
  <si>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</si>
  <si>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</si>
  <si>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</si>
  <si>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</si>
  <si>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</si>
  <si>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</si>
  <si>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</si>
  <si>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</si>
  <si>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</si>
  <si>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</si>
  <si>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</si>
  <si>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</si>
  <si>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</si>
  <si>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</si>
  <si>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</si>
  <si>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</si>
  <si>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</si>
  <si>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</si>
  <si>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</si>
  <si>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</si>
  <si>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</si>
  <si>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</si>
  <si>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</si>
  <si>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</si>
  <si>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</si>
  <si>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</si>
  <si>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</si>
  <si>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</si>
  <si>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</si>
  <si>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</si>
  <si>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</si>
  <si>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</si>
  <si>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</si>
  <si>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</si>
  <si>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</si>
  <si>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</si>
  <si>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</si>
  <si>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</si>
  <si>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</si>
  <si>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</si>
  <si>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</si>
  <si>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</si>
  <si>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</si>
  <si>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</si>
  <si>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</si>
  <si>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</si>
  <si>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</si>
  <si>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</si>
  <si>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</si>
  <si>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</si>
  <si>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</si>
  <si>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</si>
  <si>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</si>
  <si>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</si>
  <si>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</si>
  <si>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</si>
  <si>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</si>
  <si>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</si>
  <si>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</si>
  <si>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</si>
  <si>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</si>
  <si>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</si>
  <si>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</si>
  <si>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</si>
  <si>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</si>
  <si>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</si>
  <si>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</si>
  <si>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</si>
  <si>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</si>
  <si>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</si>
  <si>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</si>
  <si>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</si>
  <si>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</si>
  <si>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</si>
  <si>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</si>
  <si>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</si>
  <si>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</si>
  <si>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</si>
  <si>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</si>
  <si>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</si>
  <si>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</si>
  <si>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</si>
  <si>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</si>
  <si>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</si>
  <si>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</si>
  <si>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</si>
  <si>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</si>
  <si>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</si>
  <si>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</si>
  <si>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</si>
  <si>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</si>
  <si>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</si>
  <si>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</si>
  <si>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</si>
  <si>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</si>
  <si>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</si>
  <si>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</si>
  <si>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</si>
  <si>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</si>
  <si>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</si>
  <si>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</si>
  <si>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</si>
  <si>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</si>
  <si>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</si>
  <si>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</si>
  <si>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</si>
  <si>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</si>
  <si>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</si>
  <si>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</si>
  <si>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</si>
  <si>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</si>
  <si>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</si>
  <si>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</si>
  <si>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</si>
  <si>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</si>
  <si>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</si>
  <si>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</si>
  <si>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</si>
  <si>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</si>
  <si>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</si>
  <si>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</si>
  <si>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</si>
  <si>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</si>
  <si>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</si>
  <si>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</si>
  <si>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</si>
  <si>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</si>
  <si>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</si>
  <si>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</si>
  <si>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</si>
  <si>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</si>
  <si>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</si>
  <si>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</si>
  <si>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</si>
  <si>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</si>
  <si>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</si>
  <si>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</si>
  <si>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</si>
  <si>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</si>
  <si>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</si>
  <si>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</si>
  <si>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</si>
  <si>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</si>
  <si>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</si>
  <si>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</si>
  <si>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</si>
  <si>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</si>
  <si>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</si>
  <si>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</si>
  <si>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</si>
  <si>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</si>
  <si>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</si>
  <si>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</si>
  <si>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</si>
  <si>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</si>
  <si>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</si>
  <si>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</si>
  <si>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</si>
  <si>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</si>
  <si>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</si>
  <si>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</si>
  <si>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</si>
  <si>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</si>
  <si>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</si>
  <si>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</si>
  <si>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</si>
  <si>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</si>
  <si>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</si>
  <si>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</si>
  <si>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</si>
  <si>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</si>
  <si>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</si>
  <si>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</si>
  <si>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</si>
  <si>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</si>
  <si>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</si>
  <si>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</si>
  <si>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</si>
  <si>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</si>
  <si>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</si>
  <si>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</si>
  <si>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</si>
  <si>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</si>
  <si>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</si>
  <si>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</si>
  <si>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</si>
  <si>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</si>
  <si>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</si>
  <si>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</si>
  <si>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</si>
  <si>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</si>
  <si>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</si>
  <si>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</si>
  <si>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</si>
  <si>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</si>
  <si>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</si>
  <si>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</si>
  <si>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</si>
  <si>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</si>
  <si>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</si>
  <si>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</si>
  <si>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</si>
  <si>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</si>
  <si>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</si>
  <si>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</si>
  <si>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</si>
  <si>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</si>
  <si>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</si>
  <si>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</si>
  <si>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</si>
  <si>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</si>
  <si>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</si>
  <si>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</si>
  <si>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</si>
  <si>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</si>
  <si>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</si>
  <si>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</si>
  <si>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</si>
  <si>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</si>
  <si>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</si>
  <si>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</si>
  <si>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</si>
  <si>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</si>
  <si>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</si>
  <si>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</si>
  <si>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</si>
  <si>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</si>
  <si>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</si>
  <si>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</si>
  <si>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</si>
  <si>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</si>
  <si>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</si>
  <si>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</si>
  <si>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</si>
  <si>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</si>
  <si>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</si>
  <si>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</si>
  <si>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</si>
  <si>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</si>
  <si>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</si>
  <si>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</si>
  <si>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</si>
  <si>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</si>
  <si>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</si>
  <si>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</si>
  <si>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</si>
  <si>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</si>
  <si>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</si>
  <si>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</si>
  <si>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</si>
  <si>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</si>
  <si>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</si>
  <si>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</si>
  <si>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</si>
  <si>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</si>
  <si>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</si>
  <si>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</si>
  <si>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</si>
  <si>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</si>
  <si>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</si>
  <si>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</si>
  <si>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</si>
  <si>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</si>
  <si>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</si>
  <si>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</si>
  <si>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</si>
  <si>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</si>
  <si>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</si>
  <si>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</si>
  <si>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</si>
  <si>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</si>
  <si>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</si>
  <si>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</si>
  <si>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</si>
  <si>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</si>
  <si>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</si>
  <si>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</si>
  <si>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</si>
  <si>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</si>
  <si>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</si>
  <si>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</si>
  <si>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</si>
  <si>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</si>
  <si>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</si>
  <si>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</si>
  <si>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</si>
  <si>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</si>
  <si>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</si>
  <si>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</si>
  <si>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</si>
  <si>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</si>
  <si>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</si>
  <si>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</si>
  <si>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</si>
  <si>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</si>
  <si>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</si>
  <si>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</si>
  <si>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</si>
  <si>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</si>
  <si>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</si>
  <si>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</si>
  <si>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SkinFactor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</si>
  <si>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</si>
  <si>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</si>
  <si>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</si>
  <si>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</si>
  <si>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</si>
  <si>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</si>
  <si>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</si>
  <si>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</si>
  <si>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</si>
  <si>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</si>
  <si>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</si>
  <si>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금강서해/부남방조제</t>
  </si>
  <si>
    <t>A2_ge_OriginalSaveFile.xlsm</t>
    <phoneticPr fontId="7" type="noConversion"/>
  </si>
  <si>
    <t>W2</t>
    <phoneticPr fontId="7" type="noConversion"/>
  </si>
  <si>
    <t>(합)수도건설</t>
  </si>
  <si>
    <t>(합)수도건설</t>
    <phoneticPr fontId="7" type="noConversion"/>
  </si>
  <si>
    <t>충남 서산시 읍내동 40</t>
    <phoneticPr fontId="7" type="noConversion"/>
  </si>
  <si>
    <t>서산, 호수공원 연장허가</t>
    <phoneticPr fontId="7" type="noConversion"/>
  </si>
  <si>
    <t>150 ㎥/일</t>
  </si>
  <si>
    <t>200 m</t>
  </si>
  <si>
    <t>7.5 Hp</t>
  </si>
  <si>
    <t>5 Hp</t>
  </si>
  <si>
    <t>5년</t>
    <phoneticPr fontId="7" type="noConversion"/>
  </si>
  <si>
    <t>중간정도</t>
    <phoneticPr fontId="7" type="noConversion"/>
  </si>
  <si>
    <t>86 m</t>
  </si>
  <si>
    <t>146 m</t>
  </si>
  <si>
    <t>0 m</t>
  </si>
  <si>
    <t>121.9 m</t>
  </si>
  <si>
    <t>143 m</t>
  </si>
  <si>
    <t>5.12 m</t>
  </si>
  <si>
    <t>4.11 m</t>
  </si>
  <si>
    <t>62.4 m</t>
  </si>
  <si>
    <t>31.05 m</t>
  </si>
  <si>
    <t>금산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</si>
</sst>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8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29" fillId="6" borderId="117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996.8</c:v>
                </c:pt>
                <c:pt idx="1">
                  <c:v>1131</c:v>
                </c:pt>
                <c:pt idx="2">
                  <c:v>877.6</c:v>
                </c:pt>
                <c:pt idx="3">
                  <c:v>1325.6</c:v>
                </c:pt>
                <c:pt idx="4">
                  <c:v>967.6</c:v>
                </c:pt>
                <c:pt idx="5">
                  <c:v>1397.2</c:v>
                </c:pt>
                <c:pt idx="6">
                  <c:v>982.6</c:v>
                </c:pt>
                <c:pt idx="7">
                  <c:v>1758.2</c:v>
                </c:pt>
                <c:pt idx="8">
                  <c:v>1290.0999999999999</c:v>
                </c:pt>
                <c:pt idx="9">
                  <c:v>948.7</c:v>
                </c:pt>
                <c:pt idx="10">
                  <c:v>1167.5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1359.8</c:v>
                </c:pt>
                <c:pt idx="1">
                  <c:v>768.5</c:v>
                </c:pt>
                <c:pt idx="2">
                  <c:v>1011.8</c:v>
                </c:pt>
                <c:pt idx="3">
                  <c:v>1302.0999999999999</c:v>
                </c:pt>
                <c:pt idx="4">
                  <c:v>1568.5</c:v>
                </c:pt>
                <c:pt idx="5">
                  <c:v>1715.6</c:v>
                </c:pt>
                <c:pt idx="6">
                  <c:v>1231.4000000000001</c:v>
                </c:pt>
                <c:pt idx="7">
                  <c:v>1432.8</c:v>
                </c:pt>
                <c:pt idx="8">
                  <c:v>879.3</c:v>
                </c:pt>
                <c:pt idx="9">
                  <c:v>1390.7</c:v>
                </c:pt>
                <c:pt idx="10">
                  <c:v>1766.4</c:v>
                </c:pt>
                <c:pt idx="11">
                  <c:v>1503.5</c:v>
                </c:pt>
                <c:pt idx="12">
                  <c:v>1375</c:v>
                </c:pt>
                <c:pt idx="13">
                  <c:v>1349.9</c:v>
                </c:pt>
                <c:pt idx="14">
                  <c:v>1586.1</c:v>
                </c:pt>
                <c:pt idx="15">
                  <c:v>902.2</c:v>
                </c:pt>
                <c:pt idx="16">
                  <c:v>1128.5999999999999</c:v>
                </c:pt>
                <c:pt idx="17">
                  <c:v>1403.7</c:v>
                </c:pt>
                <c:pt idx="18">
                  <c:v>1798.5</c:v>
                </c:pt>
                <c:pt idx="19">
                  <c:v>1434.5</c:v>
                </c:pt>
                <c:pt idx="20">
                  <c:v>996.8</c:v>
                </c:pt>
                <c:pt idx="21">
                  <c:v>1131</c:v>
                </c:pt>
                <c:pt idx="22">
                  <c:v>877.6</c:v>
                </c:pt>
                <c:pt idx="23">
                  <c:v>1325.6</c:v>
                </c:pt>
                <c:pt idx="24">
                  <c:v>967.6</c:v>
                </c:pt>
                <c:pt idx="25">
                  <c:v>1397.2</c:v>
                </c:pt>
                <c:pt idx="26">
                  <c:v>982.6</c:v>
                </c:pt>
                <c:pt idx="27">
                  <c:v>1758.2</c:v>
                </c:pt>
                <c:pt idx="28">
                  <c:v>1290.0999999999999</c:v>
                </c:pt>
                <c:pt idx="29">
                  <c:v>948.7</c:v>
                </c:pt>
                <c:pt idx="30">
                  <c:v>1286.0999999999999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24.1</c:v>
                </c:pt>
                <c:pt idx="1">
                  <c:v>34.700000000000003</c:v>
                </c:pt>
                <c:pt idx="2">
                  <c:v>60.7</c:v>
                </c:pt>
                <c:pt idx="3">
                  <c:v>89</c:v>
                </c:pt>
                <c:pt idx="4">
                  <c:v>64</c:v>
                </c:pt>
                <c:pt idx="5">
                  <c:v>113.3</c:v>
                </c:pt>
                <c:pt idx="6">
                  <c:v>258.60000000000002</c:v>
                </c:pt>
                <c:pt idx="7">
                  <c:v>245</c:v>
                </c:pt>
                <c:pt idx="8">
                  <c:v>121.6</c:v>
                </c:pt>
                <c:pt idx="9">
                  <c:v>77.900000000000006</c:v>
                </c:pt>
                <c:pt idx="10">
                  <c:v>52.3</c:v>
                </c:pt>
                <c:pt idx="11">
                  <c:v>26.4</c:v>
                </c:pt>
                <c:pt idx="12">
                  <c:v>97.3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6.emf"/><Relationship Id="rId1" Type="http://schemas.openxmlformats.org/officeDocument/2006/relationships/image" Target="../media/image67.emf"/><Relationship Id="rId4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10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10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10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3" name="CommandButton8" hidden="1">
              <a:extLst>
                <a:ext uri="{63B3BB69-23CF-44E3-9099-C40C66FF867C}">
                  <a14:compatExt spid="_x0000_s360453"/>
                </a:ext>
                <a:ext uri="{FF2B5EF4-FFF2-40B4-BE49-F238E27FC236}">
                  <a16:creationId xmlns:a16="http://schemas.microsoft.com/office/drawing/2014/main" id="{00000000-0008-0000-1000-000005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398</v>
      </c>
      <c r="B1" s="427" t="s">
        <v>198</v>
      </c>
      <c r="C1" s="427" t="s">
        <v>532</v>
      </c>
      <c r="D1" s="427" t="s">
        <v>531</v>
      </c>
      <c r="F1" s="427" t="s">
        <v>398</v>
      </c>
      <c r="G1" s="427" t="s">
        <v>198</v>
      </c>
      <c r="H1" s="427" t="s">
        <v>532</v>
      </c>
      <c r="I1" s="427" t="s">
        <v>531</v>
      </c>
      <c r="K1" s="427" t="s">
        <v>398</v>
      </c>
      <c r="L1" s="427" t="s">
        <v>198</v>
      </c>
      <c r="M1" s="427" t="s">
        <v>532</v>
      </c>
      <c r="N1" s="427" t="s">
        <v>531</v>
      </c>
      <c r="P1" s="427" t="s">
        <v>398</v>
      </c>
      <c r="Q1" s="427" t="s">
        <v>532</v>
      </c>
    </row>
    <row r="2" spans="1:17">
      <c r="A2" s="427" t="s">
        <v>620</v>
      </c>
      <c r="B2" s="427" t="s">
        <v>619</v>
      </c>
      <c r="C2" s="427">
        <v>116</v>
      </c>
      <c r="D2" s="427">
        <v>14</v>
      </c>
      <c r="F2" s="427" t="s">
        <v>618</v>
      </c>
      <c r="G2" s="427" t="s">
        <v>617</v>
      </c>
      <c r="H2" s="427">
        <v>105</v>
      </c>
      <c r="I2" s="427">
        <v>38</v>
      </c>
      <c r="K2" s="427" t="s">
        <v>616</v>
      </c>
      <c r="L2" s="427" t="s">
        <v>615</v>
      </c>
      <c r="M2" s="427">
        <v>226</v>
      </c>
      <c r="N2" s="427">
        <v>54</v>
      </c>
      <c r="P2" s="427" t="s">
        <v>614</v>
      </c>
      <c r="Q2" s="427" t="s">
        <v>613</v>
      </c>
    </row>
    <row r="3" spans="1:17">
      <c r="A3" s="427" t="s">
        <v>612</v>
      </c>
      <c r="B3" s="427" t="s">
        <v>611</v>
      </c>
      <c r="C3" s="427">
        <v>108</v>
      </c>
      <c r="D3" s="427">
        <v>14</v>
      </c>
      <c r="F3" s="427" t="s">
        <v>610</v>
      </c>
      <c r="G3" s="427" t="s">
        <v>609</v>
      </c>
      <c r="H3" s="427">
        <v>100</v>
      </c>
      <c r="I3" s="427">
        <v>38</v>
      </c>
      <c r="K3" s="427" t="s">
        <v>608</v>
      </c>
      <c r="L3" s="427" t="s">
        <v>607</v>
      </c>
      <c r="M3" s="427">
        <v>221</v>
      </c>
      <c r="N3" s="427">
        <v>54</v>
      </c>
      <c r="P3" s="427" t="s">
        <v>606</v>
      </c>
      <c r="Q3" s="427" t="s">
        <v>605</v>
      </c>
    </row>
    <row r="4" spans="1:17">
      <c r="A4" s="427" t="s">
        <v>604</v>
      </c>
      <c r="B4" s="427" t="s">
        <v>603</v>
      </c>
      <c r="C4" s="427">
        <v>201</v>
      </c>
      <c r="D4" s="427">
        <v>22</v>
      </c>
      <c r="F4" s="427" t="s">
        <v>602</v>
      </c>
      <c r="G4" s="427" t="s">
        <v>601</v>
      </c>
      <c r="H4" s="427">
        <v>106</v>
      </c>
      <c r="I4" s="427">
        <v>38</v>
      </c>
      <c r="K4" s="427" t="s">
        <v>600</v>
      </c>
      <c r="L4" s="427" t="s">
        <v>599</v>
      </c>
      <c r="M4" s="427">
        <v>131</v>
      </c>
      <c r="N4" s="427">
        <v>54</v>
      </c>
      <c r="P4" s="427" t="s">
        <v>598</v>
      </c>
      <c r="Q4" s="427" t="s">
        <v>597</v>
      </c>
    </row>
    <row r="5" spans="1:17">
      <c r="A5" s="427" t="s">
        <v>596</v>
      </c>
      <c r="B5" s="427" t="s">
        <v>595</v>
      </c>
      <c r="C5" s="427">
        <v>102</v>
      </c>
      <c r="D5" s="427">
        <v>22</v>
      </c>
      <c r="F5" s="427" t="s">
        <v>594</v>
      </c>
      <c r="G5" s="427" t="s">
        <v>593</v>
      </c>
      <c r="H5" s="427">
        <v>104</v>
      </c>
      <c r="I5" s="427">
        <v>38</v>
      </c>
      <c r="K5" s="427" t="s">
        <v>592</v>
      </c>
      <c r="L5" s="427" t="s">
        <v>591</v>
      </c>
      <c r="M5" s="427">
        <v>135</v>
      </c>
      <c r="N5" s="427">
        <v>54</v>
      </c>
      <c r="P5" s="427" t="s">
        <v>590</v>
      </c>
      <c r="Q5" s="427" t="s">
        <v>589</v>
      </c>
    </row>
    <row r="6" spans="1:17">
      <c r="A6" s="427" t="s">
        <v>588</v>
      </c>
      <c r="B6" s="427" t="s">
        <v>587</v>
      </c>
      <c r="C6" s="427">
        <v>112</v>
      </c>
      <c r="D6" s="427">
        <v>22</v>
      </c>
      <c r="F6" s="427" t="s">
        <v>586</v>
      </c>
      <c r="G6" s="427" t="s">
        <v>585</v>
      </c>
      <c r="H6" s="427">
        <v>93</v>
      </c>
      <c r="I6" s="427">
        <v>38</v>
      </c>
      <c r="K6" s="427" t="s">
        <v>584</v>
      </c>
      <c r="L6" s="427" t="s">
        <v>583</v>
      </c>
      <c r="M6" s="427">
        <v>127</v>
      </c>
      <c r="N6" s="427">
        <v>54</v>
      </c>
      <c r="P6" s="427" t="s">
        <v>582</v>
      </c>
      <c r="Q6" s="427" t="s">
        <v>581</v>
      </c>
    </row>
    <row r="7" spans="1:17">
      <c r="A7" s="427" t="s">
        <v>580</v>
      </c>
      <c r="B7" s="427" t="s">
        <v>579</v>
      </c>
      <c r="C7" s="427">
        <v>98</v>
      </c>
      <c r="D7" s="427">
        <v>32</v>
      </c>
      <c r="F7" s="427" t="s">
        <v>578</v>
      </c>
      <c r="G7" s="427" t="s">
        <v>577</v>
      </c>
      <c r="H7" s="427">
        <v>214</v>
      </c>
      <c r="I7" s="427">
        <v>38</v>
      </c>
      <c r="K7" s="427" t="s">
        <v>576</v>
      </c>
      <c r="L7" s="427" t="s">
        <v>575</v>
      </c>
      <c r="M7" s="427">
        <v>133</v>
      </c>
      <c r="N7" s="427">
        <v>28</v>
      </c>
      <c r="P7" s="427" t="s">
        <v>574</v>
      </c>
      <c r="Q7" s="427" t="s">
        <v>573</v>
      </c>
    </row>
    <row r="8" spans="1:17">
      <c r="A8" s="427" t="s">
        <v>572</v>
      </c>
      <c r="B8" s="427" t="s">
        <v>571</v>
      </c>
      <c r="C8" s="427">
        <v>119</v>
      </c>
      <c r="D8" s="427">
        <v>32</v>
      </c>
      <c r="F8" s="427" t="s">
        <v>570</v>
      </c>
      <c r="G8" s="427" t="s">
        <v>569</v>
      </c>
      <c r="H8" s="427">
        <v>90</v>
      </c>
      <c r="I8" s="427">
        <v>38</v>
      </c>
      <c r="K8" s="427" t="s">
        <v>568</v>
      </c>
      <c r="L8" s="427" t="s">
        <v>567</v>
      </c>
      <c r="M8" s="427">
        <v>239</v>
      </c>
      <c r="N8" s="427">
        <v>132</v>
      </c>
    </row>
    <row r="9" spans="1:17">
      <c r="A9" s="427" t="s">
        <v>566</v>
      </c>
      <c r="B9" s="427" t="s">
        <v>565</v>
      </c>
      <c r="C9" s="427">
        <v>202</v>
      </c>
      <c r="D9" s="427">
        <v>32</v>
      </c>
      <c r="F9" s="427" t="s">
        <v>564</v>
      </c>
      <c r="G9" s="427" t="s">
        <v>563</v>
      </c>
      <c r="H9" s="427">
        <v>121</v>
      </c>
      <c r="I9" s="427">
        <v>38</v>
      </c>
      <c r="K9" s="427" t="s">
        <v>562</v>
      </c>
      <c r="L9" s="427" t="s">
        <v>561</v>
      </c>
      <c r="M9" s="427">
        <v>238</v>
      </c>
      <c r="N9" s="427">
        <v>60</v>
      </c>
    </row>
    <row r="10" spans="1:17">
      <c r="A10" s="427" t="s">
        <v>560</v>
      </c>
      <c r="B10" s="427" t="s">
        <v>559</v>
      </c>
      <c r="C10" s="427">
        <v>203</v>
      </c>
      <c r="D10" s="427">
        <v>32</v>
      </c>
      <c r="F10" s="427" t="s">
        <v>558</v>
      </c>
      <c r="G10" s="427" t="s">
        <v>557</v>
      </c>
      <c r="H10" s="427">
        <v>114</v>
      </c>
      <c r="I10" s="427">
        <v>38</v>
      </c>
      <c r="K10" s="427" t="s">
        <v>556</v>
      </c>
      <c r="L10" s="427" t="s">
        <v>555</v>
      </c>
      <c r="M10" s="427">
        <v>235</v>
      </c>
      <c r="N10" s="427">
        <v>60</v>
      </c>
    </row>
    <row r="11" spans="1:17">
      <c r="A11" s="427" t="s">
        <v>554</v>
      </c>
      <c r="B11" s="427" t="s">
        <v>553</v>
      </c>
      <c r="C11" s="427">
        <v>99</v>
      </c>
      <c r="D11" s="427">
        <v>32</v>
      </c>
      <c r="F11" s="427" t="s">
        <v>552</v>
      </c>
      <c r="G11" s="427" t="s">
        <v>551</v>
      </c>
      <c r="H11" s="427">
        <v>211</v>
      </c>
      <c r="I11" s="427">
        <v>38</v>
      </c>
      <c r="K11" s="427" t="s">
        <v>550</v>
      </c>
      <c r="L11" s="427" t="s">
        <v>549</v>
      </c>
      <c r="M11" s="427">
        <v>236</v>
      </c>
      <c r="N11" s="427">
        <v>60</v>
      </c>
    </row>
    <row r="12" spans="1:17">
      <c r="F12" s="427" t="s">
        <v>548</v>
      </c>
      <c r="G12" s="427" t="s">
        <v>547</v>
      </c>
      <c r="H12" s="427">
        <v>217</v>
      </c>
      <c r="I12" s="427">
        <v>38</v>
      </c>
      <c r="K12" s="427" t="s">
        <v>546</v>
      </c>
      <c r="L12" s="427" t="s">
        <v>545</v>
      </c>
      <c r="M12" s="427">
        <v>129</v>
      </c>
      <c r="N12" s="427">
        <v>60</v>
      </c>
    </row>
    <row r="13" spans="1:17">
      <c r="F13" s="427" t="s">
        <v>544</v>
      </c>
      <c r="G13" s="427" t="s">
        <v>543</v>
      </c>
      <c r="H13" s="427">
        <v>95</v>
      </c>
      <c r="I13" s="427">
        <v>38</v>
      </c>
      <c r="K13" s="427" t="s">
        <v>542</v>
      </c>
      <c r="L13" s="427" t="s">
        <v>541</v>
      </c>
      <c r="M13" s="427">
        <v>232</v>
      </c>
      <c r="N13" s="427">
        <v>60</v>
      </c>
    </row>
    <row r="14" spans="1:17">
      <c r="F14" s="427" t="s">
        <v>540</v>
      </c>
      <c r="G14" s="427" t="s">
        <v>539</v>
      </c>
      <c r="H14" s="427">
        <v>101</v>
      </c>
      <c r="I14" s="427">
        <v>38</v>
      </c>
      <c r="K14" s="427" t="s">
        <v>538</v>
      </c>
      <c r="L14" s="427" t="s">
        <v>537</v>
      </c>
      <c r="M14" s="427">
        <v>177</v>
      </c>
      <c r="N14" s="427">
        <v>60</v>
      </c>
    </row>
    <row r="15" spans="1:17">
      <c r="F15" s="427" t="s">
        <v>536</v>
      </c>
      <c r="G15" s="427" t="s">
        <v>535</v>
      </c>
      <c r="H15" s="427">
        <v>216</v>
      </c>
      <c r="I15" s="427">
        <v>38</v>
      </c>
    </row>
    <row r="16" spans="1:17">
      <c r="F16" s="427" t="s">
        <v>534</v>
      </c>
      <c r="G16" s="427" t="s">
        <v>533</v>
      </c>
      <c r="H16" s="427">
        <v>212</v>
      </c>
      <c r="I16" s="427">
        <v>38</v>
      </c>
    </row>
    <row r="22" spans="1:14">
      <c r="A22" s="427" t="s">
        <v>398</v>
      </c>
      <c r="B22" s="427" t="s">
        <v>198</v>
      </c>
      <c r="C22" s="427" t="s">
        <v>532</v>
      </c>
      <c r="D22" s="427" t="s">
        <v>531</v>
      </c>
      <c r="F22" s="427" t="s">
        <v>398</v>
      </c>
      <c r="G22" s="427" t="s">
        <v>198</v>
      </c>
      <c r="H22" s="427" t="s">
        <v>532</v>
      </c>
      <c r="I22" s="427" t="s">
        <v>531</v>
      </c>
      <c r="K22" s="427" t="s">
        <v>398</v>
      </c>
      <c r="L22" s="427" t="s">
        <v>198</v>
      </c>
      <c r="M22" s="427" t="s">
        <v>532</v>
      </c>
      <c r="N22" s="427" t="s">
        <v>531</v>
      </c>
    </row>
    <row r="23" spans="1:14">
      <c r="A23" s="427" t="s">
        <v>530</v>
      </c>
      <c r="B23" s="427" t="s">
        <v>529</v>
      </c>
      <c r="C23" s="427">
        <v>156</v>
      </c>
      <c r="D23" s="427">
        <v>26</v>
      </c>
      <c r="F23" s="427" t="s">
        <v>528</v>
      </c>
      <c r="G23" s="427" t="s">
        <v>527</v>
      </c>
      <c r="H23" s="427">
        <v>143</v>
      </c>
      <c r="I23" s="427">
        <v>19</v>
      </c>
      <c r="K23" s="427" t="s">
        <v>526</v>
      </c>
      <c r="L23" s="427" t="s">
        <v>525</v>
      </c>
      <c r="M23" s="427">
        <v>185</v>
      </c>
      <c r="N23" s="427">
        <v>125</v>
      </c>
    </row>
    <row r="24" spans="1:14">
      <c r="A24" s="427" t="s">
        <v>524</v>
      </c>
      <c r="B24" s="427" t="s">
        <v>523</v>
      </c>
      <c r="C24" s="427">
        <v>172</v>
      </c>
      <c r="D24" s="427">
        <v>67</v>
      </c>
      <c r="F24" s="427" t="s">
        <v>522</v>
      </c>
      <c r="G24" s="427" t="s">
        <v>521</v>
      </c>
      <c r="H24" s="427">
        <v>176</v>
      </c>
      <c r="I24" s="427">
        <v>19</v>
      </c>
      <c r="K24" s="427" t="s">
        <v>520</v>
      </c>
      <c r="L24" s="427" t="s">
        <v>519</v>
      </c>
      <c r="M24" s="427">
        <v>189</v>
      </c>
      <c r="N24" s="427">
        <v>125</v>
      </c>
    </row>
    <row r="25" spans="1:14">
      <c r="A25" s="427" t="s">
        <v>518</v>
      </c>
      <c r="B25" s="427" t="s">
        <v>517</v>
      </c>
      <c r="C25" s="427">
        <v>251</v>
      </c>
      <c r="D25" s="427">
        <v>67</v>
      </c>
      <c r="F25" s="427" t="s">
        <v>516</v>
      </c>
      <c r="G25" s="427" t="s">
        <v>515</v>
      </c>
      <c r="H25" s="427">
        <v>152</v>
      </c>
      <c r="I25" s="427">
        <v>30</v>
      </c>
      <c r="K25" s="427" t="s">
        <v>509</v>
      </c>
      <c r="L25" s="427" t="s">
        <v>514</v>
      </c>
      <c r="M25" s="427">
        <v>188</v>
      </c>
      <c r="N25" s="427">
        <v>125</v>
      </c>
    </row>
    <row r="26" spans="1:14">
      <c r="A26" s="427" t="s">
        <v>513</v>
      </c>
      <c r="B26" s="427" t="s">
        <v>512</v>
      </c>
      <c r="C26" s="427">
        <v>140</v>
      </c>
      <c r="D26" s="427">
        <v>67</v>
      </c>
      <c r="F26" s="427" t="s">
        <v>511</v>
      </c>
      <c r="G26" s="427" t="s">
        <v>510</v>
      </c>
      <c r="H26" s="427">
        <v>159</v>
      </c>
      <c r="I26" s="427">
        <v>17</v>
      </c>
      <c r="K26" s="427" t="s">
        <v>646</v>
      </c>
      <c r="L26" s="427" t="s">
        <v>508</v>
      </c>
      <c r="M26" s="427">
        <v>187</v>
      </c>
      <c r="N26" s="427">
        <v>125</v>
      </c>
    </row>
    <row r="27" spans="1:14">
      <c r="A27" s="427" t="s">
        <v>507</v>
      </c>
      <c r="B27" s="427" t="s">
        <v>506</v>
      </c>
      <c r="C27" s="427">
        <v>247</v>
      </c>
      <c r="D27" s="427">
        <v>67</v>
      </c>
      <c r="F27" s="427" t="s">
        <v>505</v>
      </c>
      <c r="G27" s="427" t="s">
        <v>504</v>
      </c>
      <c r="H27" s="427">
        <v>283</v>
      </c>
      <c r="I27" s="427">
        <v>95</v>
      </c>
      <c r="K27" s="427" t="s">
        <v>503</v>
      </c>
      <c r="L27" s="427" t="s">
        <v>502</v>
      </c>
      <c r="M27" s="427">
        <v>265</v>
      </c>
      <c r="N27" s="427">
        <v>125</v>
      </c>
    </row>
    <row r="28" spans="1:14">
      <c r="A28" s="427" t="s">
        <v>501</v>
      </c>
      <c r="B28" s="427" t="s">
        <v>500</v>
      </c>
      <c r="C28" s="427">
        <v>243</v>
      </c>
      <c r="D28" s="427">
        <v>67</v>
      </c>
      <c r="F28" s="427" t="s">
        <v>499</v>
      </c>
      <c r="G28" s="427" t="s">
        <v>498</v>
      </c>
      <c r="H28" s="427">
        <v>279</v>
      </c>
      <c r="I28" s="427">
        <v>95</v>
      </c>
      <c r="K28" s="427" t="s">
        <v>497</v>
      </c>
      <c r="L28" s="427" t="s">
        <v>496</v>
      </c>
      <c r="M28" s="427">
        <v>184</v>
      </c>
      <c r="N28" s="427">
        <v>125</v>
      </c>
    </row>
    <row r="29" spans="1:14">
      <c r="A29" s="427" t="s">
        <v>495</v>
      </c>
      <c r="B29" s="427" t="s">
        <v>494</v>
      </c>
      <c r="C29" s="427">
        <v>254</v>
      </c>
      <c r="D29" s="427">
        <v>67</v>
      </c>
      <c r="F29" s="427" t="s">
        <v>493</v>
      </c>
      <c r="G29" s="427" t="s">
        <v>492</v>
      </c>
      <c r="H29" s="427">
        <v>273</v>
      </c>
      <c r="I29" s="427">
        <v>95</v>
      </c>
    </row>
    <row r="30" spans="1:14">
      <c r="A30" s="427" t="s">
        <v>491</v>
      </c>
      <c r="B30" s="427" t="s">
        <v>490</v>
      </c>
      <c r="C30" s="427">
        <v>244</v>
      </c>
      <c r="D30" s="427">
        <v>67</v>
      </c>
      <c r="F30" s="427" t="s">
        <v>489</v>
      </c>
      <c r="G30" s="427" t="s">
        <v>488</v>
      </c>
      <c r="H30" s="427">
        <v>271</v>
      </c>
      <c r="I30" s="427">
        <v>95</v>
      </c>
    </row>
    <row r="31" spans="1:14">
      <c r="A31" s="427" t="s">
        <v>487</v>
      </c>
      <c r="B31" s="427" t="s">
        <v>486</v>
      </c>
      <c r="C31" s="427">
        <v>248</v>
      </c>
      <c r="D31" s="427">
        <v>67</v>
      </c>
      <c r="F31" s="427" t="s">
        <v>485</v>
      </c>
      <c r="G31" s="427" t="s">
        <v>484</v>
      </c>
      <c r="H31" s="427">
        <v>137</v>
      </c>
      <c r="I31" s="427">
        <v>95</v>
      </c>
    </row>
    <row r="32" spans="1:14">
      <c r="A32" s="427" t="s">
        <v>483</v>
      </c>
      <c r="B32" s="427" t="s">
        <v>482</v>
      </c>
      <c r="C32" s="427">
        <v>146</v>
      </c>
      <c r="D32" s="427">
        <v>67</v>
      </c>
      <c r="F32" s="427" t="s">
        <v>481</v>
      </c>
      <c r="G32" s="427" t="s">
        <v>480</v>
      </c>
      <c r="H32" s="427">
        <v>136</v>
      </c>
      <c r="I32" s="427">
        <v>95</v>
      </c>
    </row>
    <row r="33" spans="1:9">
      <c r="A33" s="427" t="s">
        <v>479</v>
      </c>
      <c r="B33" s="427" t="s">
        <v>478</v>
      </c>
      <c r="C33" s="427">
        <v>245</v>
      </c>
      <c r="D33" s="427">
        <v>67</v>
      </c>
      <c r="F33" s="427" t="s">
        <v>477</v>
      </c>
      <c r="G33" s="427" t="s">
        <v>476</v>
      </c>
      <c r="H33" s="427">
        <v>277</v>
      </c>
      <c r="I33" s="427">
        <v>95</v>
      </c>
    </row>
    <row r="34" spans="1:9">
      <c r="A34" s="427" t="s">
        <v>475</v>
      </c>
      <c r="B34" s="427" t="s">
        <v>474</v>
      </c>
      <c r="C34" s="427">
        <v>259</v>
      </c>
      <c r="D34" s="427">
        <v>78</v>
      </c>
      <c r="F34" s="427" t="s">
        <v>473</v>
      </c>
      <c r="G34" s="427" t="s">
        <v>472</v>
      </c>
      <c r="H34" s="427">
        <v>272</v>
      </c>
      <c r="I34" s="427">
        <v>95</v>
      </c>
    </row>
    <row r="35" spans="1:9">
      <c r="A35" s="427" t="s">
        <v>471</v>
      </c>
      <c r="B35" s="427" t="s">
        <v>470</v>
      </c>
      <c r="C35" s="427">
        <v>262</v>
      </c>
      <c r="D35" s="427">
        <v>78</v>
      </c>
      <c r="F35" s="427" t="s">
        <v>469</v>
      </c>
      <c r="G35" s="427" t="s">
        <v>468</v>
      </c>
      <c r="H35" s="427">
        <v>281</v>
      </c>
      <c r="I35" s="427">
        <v>95</v>
      </c>
    </row>
    <row r="36" spans="1:9">
      <c r="A36" s="427" t="s">
        <v>467</v>
      </c>
      <c r="B36" s="427" t="s">
        <v>466</v>
      </c>
      <c r="C36" s="427">
        <v>266</v>
      </c>
      <c r="D36" s="427">
        <v>78</v>
      </c>
      <c r="F36" s="427" t="s">
        <v>465</v>
      </c>
      <c r="G36" s="427" t="s">
        <v>464</v>
      </c>
      <c r="H36" s="427">
        <v>115</v>
      </c>
      <c r="I36" s="427">
        <v>95</v>
      </c>
    </row>
    <row r="37" spans="1:9">
      <c r="A37" s="427" t="s">
        <v>463</v>
      </c>
      <c r="B37" s="427" t="s">
        <v>462</v>
      </c>
      <c r="C37" s="427">
        <v>165</v>
      </c>
      <c r="D37" s="427">
        <v>78</v>
      </c>
      <c r="F37" s="427" t="s">
        <v>461</v>
      </c>
      <c r="G37" s="427" t="s">
        <v>460</v>
      </c>
      <c r="H37" s="427">
        <v>130</v>
      </c>
      <c r="I37" s="427">
        <v>95</v>
      </c>
    </row>
    <row r="38" spans="1:9">
      <c r="A38" s="427" t="s">
        <v>459</v>
      </c>
      <c r="B38" s="427" t="s">
        <v>458</v>
      </c>
      <c r="C38" s="427">
        <v>164</v>
      </c>
      <c r="D38" s="427">
        <v>78</v>
      </c>
      <c r="F38" s="427" t="s">
        <v>457</v>
      </c>
      <c r="G38" s="427" t="s">
        <v>456</v>
      </c>
      <c r="H38" s="427">
        <v>278</v>
      </c>
      <c r="I38" s="427">
        <v>95</v>
      </c>
    </row>
    <row r="39" spans="1:9">
      <c r="A39" s="427" t="s">
        <v>455</v>
      </c>
      <c r="B39" s="427" t="s">
        <v>454</v>
      </c>
      <c r="C39" s="427">
        <v>258</v>
      </c>
      <c r="D39" s="427">
        <v>78</v>
      </c>
      <c r="F39" s="427" t="s">
        <v>453</v>
      </c>
      <c r="G39" s="427" t="s">
        <v>452</v>
      </c>
      <c r="H39" s="427">
        <v>276</v>
      </c>
      <c r="I39" s="427">
        <v>95</v>
      </c>
    </row>
    <row r="40" spans="1:9">
      <c r="A40" s="427" t="s">
        <v>451</v>
      </c>
      <c r="B40" s="427" t="s">
        <v>450</v>
      </c>
      <c r="C40" s="427">
        <v>174</v>
      </c>
      <c r="D40" s="427">
        <v>78</v>
      </c>
      <c r="F40" s="427" t="s">
        <v>449</v>
      </c>
      <c r="G40" s="427" t="s">
        <v>448</v>
      </c>
      <c r="H40" s="427">
        <v>138</v>
      </c>
      <c r="I40" s="427">
        <v>95</v>
      </c>
    </row>
    <row r="41" spans="1:9">
      <c r="A41" s="427" t="s">
        <v>447</v>
      </c>
      <c r="B41" s="427" t="s">
        <v>446</v>
      </c>
      <c r="C41" s="427">
        <v>168</v>
      </c>
      <c r="D41" s="427">
        <v>78</v>
      </c>
      <c r="F41" s="427" t="s">
        <v>445</v>
      </c>
      <c r="G41" s="427" t="s">
        <v>444</v>
      </c>
      <c r="H41" s="427">
        <v>294</v>
      </c>
      <c r="I41" s="427">
        <v>110</v>
      </c>
    </row>
    <row r="42" spans="1:9">
      <c r="A42" s="427" t="s">
        <v>443</v>
      </c>
      <c r="B42" s="427" t="s">
        <v>442</v>
      </c>
      <c r="C42" s="427">
        <v>252</v>
      </c>
      <c r="D42" s="427">
        <v>78</v>
      </c>
      <c r="F42" s="427" t="s">
        <v>441</v>
      </c>
      <c r="G42" s="427" t="s">
        <v>440</v>
      </c>
      <c r="H42" s="427">
        <v>284</v>
      </c>
      <c r="I42" s="427">
        <v>110</v>
      </c>
    </row>
    <row r="43" spans="1:9">
      <c r="A43" s="427" t="s">
        <v>439</v>
      </c>
      <c r="B43" s="427" t="s">
        <v>438</v>
      </c>
      <c r="C43" s="427">
        <v>170</v>
      </c>
      <c r="D43" s="427">
        <v>78</v>
      </c>
      <c r="F43" s="427" t="s">
        <v>437</v>
      </c>
      <c r="G43" s="427" t="s">
        <v>436</v>
      </c>
      <c r="H43" s="427">
        <v>253</v>
      </c>
      <c r="I43" s="427">
        <v>110</v>
      </c>
    </row>
    <row r="44" spans="1:9">
      <c r="A44" s="427" t="s">
        <v>435</v>
      </c>
      <c r="B44" s="427" t="s">
        <v>434</v>
      </c>
      <c r="C44" s="427">
        <v>260</v>
      </c>
      <c r="D44" s="427">
        <v>78</v>
      </c>
      <c r="F44" s="427" t="s">
        <v>433</v>
      </c>
      <c r="G44" s="427" t="s">
        <v>432</v>
      </c>
      <c r="H44" s="427">
        <v>295</v>
      </c>
      <c r="I44" s="427">
        <v>110</v>
      </c>
    </row>
    <row r="45" spans="1:9">
      <c r="A45" s="427" t="s">
        <v>431</v>
      </c>
      <c r="B45" s="427" t="s">
        <v>430</v>
      </c>
      <c r="C45" s="427">
        <v>256</v>
      </c>
      <c r="D45" s="427">
        <v>78</v>
      </c>
      <c r="F45" s="427" t="s">
        <v>429</v>
      </c>
      <c r="G45" s="427" t="s">
        <v>428</v>
      </c>
      <c r="H45" s="427">
        <v>288</v>
      </c>
      <c r="I45" s="427">
        <v>110</v>
      </c>
    </row>
    <row r="46" spans="1:9">
      <c r="A46" s="427" t="s">
        <v>427</v>
      </c>
      <c r="B46" s="427" t="s">
        <v>426</v>
      </c>
      <c r="C46" s="427">
        <v>175</v>
      </c>
      <c r="D46" s="427">
        <v>78</v>
      </c>
      <c r="F46" s="427" t="s">
        <v>425</v>
      </c>
      <c r="G46" s="427" t="s">
        <v>424</v>
      </c>
      <c r="H46" s="427">
        <v>255</v>
      </c>
      <c r="I46" s="427">
        <v>110</v>
      </c>
    </row>
    <row r="47" spans="1:9">
      <c r="A47" s="427" t="s">
        <v>423</v>
      </c>
      <c r="B47" s="427" t="s">
        <v>422</v>
      </c>
      <c r="C47" s="427">
        <v>268</v>
      </c>
      <c r="D47" s="427">
        <v>78</v>
      </c>
      <c r="F47" s="427" t="s">
        <v>421</v>
      </c>
      <c r="G47" s="427" t="s">
        <v>420</v>
      </c>
      <c r="H47" s="427">
        <v>289</v>
      </c>
      <c r="I47" s="427">
        <v>110</v>
      </c>
    </row>
    <row r="48" spans="1:9">
      <c r="A48" s="427" t="s">
        <v>419</v>
      </c>
      <c r="B48" s="427" t="s">
        <v>418</v>
      </c>
      <c r="C48" s="427">
        <v>261</v>
      </c>
      <c r="D48" s="427">
        <v>78</v>
      </c>
      <c r="F48" s="427" t="s">
        <v>417</v>
      </c>
      <c r="G48" s="427" t="s">
        <v>416</v>
      </c>
      <c r="H48" s="427">
        <v>257</v>
      </c>
      <c r="I48" s="427">
        <v>110</v>
      </c>
    </row>
    <row r="49" spans="1:9">
      <c r="A49" s="427" t="s">
        <v>415</v>
      </c>
      <c r="B49" s="427" t="s">
        <v>414</v>
      </c>
      <c r="C49" s="427">
        <v>169</v>
      </c>
      <c r="D49" s="427">
        <v>78</v>
      </c>
      <c r="F49" s="427" t="s">
        <v>413</v>
      </c>
      <c r="G49" s="427" t="s">
        <v>412</v>
      </c>
      <c r="H49" s="427">
        <v>263</v>
      </c>
      <c r="I49" s="427">
        <v>110</v>
      </c>
    </row>
    <row r="50" spans="1:9">
      <c r="F50" s="427" t="s">
        <v>411</v>
      </c>
      <c r="G50" s="427" t="s">
        <v>410</v>
      </c>
      <c r="H50" s="427">
        <v>192</v>
      </c>
      <c r="I50" s="427">
        <v>110</v>
      </c>
    </row>
    <row r="51" spans="1:9">
      <c r="F51" s="427" t="s">
        <v>409</v>
      </c>
      <c r="G51" s="427" t="s">
        <v>408</v>
      </c>
      <c r="H51" s="427">
        <v>155</v>
      </c>
      <c r="I51" s="427">
        <v>110</v>
      </c>
    </row>
    <row r="52" spans="1:9">
      <c r="F52" s="427" t="s">
        <v>407</v>
      </c>
      <c r="G52" s="427" t="s">
        <v>406</v>
      </c>
      <c r="H52" s="427">
        <v>162</v>
      </c>
      <c r="I52" s="427">
        <v>110</v>
      </c>
    </row>
    <row r="53" spans="1:9">
      <c r="F53" s="427" t="s">
        <v>405</v>
      </c>
      <c r="G53" s="427" t="s">
        <v>404</v>
      </c>
      <c r="H53" s="427">
        <v>264</v>
      </c>
      <c r="I53" s="427">
        <v>110</v>
      </c>
    </row>
    <row r="54" spans="1:9">
      <c r="F54" s="427" t="s">
        <v>403</v>
      </c>
      <c r="G54" s="427" t="s">
        <v>402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8" sqref="R8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396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624</v>
      </c>
      <c r="T2" s="508" t="s">
        <v>638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627</v>
      </c>
      <c r="E4" s="501" t="s">
        <v>628</v>
      </c>
      <c r="F4" s="501" t="s">
        <v>629</v>
      </c>
      <c r="G4" s="501" t="s">
        <v>630</v>
      </c>
      <c r="H4" s="501" t="s">
        <v>631</v>
      </c>
      <c r="I4" s="501" t="s">
        <v>632</v>
      </c>
      <c r="J4" s="501" t="s">
        <v>633</v>
      </c>
      <c r="K4" s="501" t="s">
        <v>634</v>
      </c>
      <c r="L4" s="501" t="s">
        <v>635</v>
      </c>
      <c r="M4" s="501" t="s">
        <v>636</v>
      </c>
      <c r="N4" s="502" t="s">
        <v>637</v>
      </c>
      <c r="O4" s="503" t="s">
        <v>44</v>
      </c>
      <c r="P4" s="502" t="s">
        <v>45</v>
      </c>
      <c r="S4" s="509" t="s">
        <v>621</v>
      </c>
      <c r="T4" s="510" t="s">
        <v>622</v>
      </c>
    </row>
    <row r="5" spans="2:23" ht="22.5" customHeight="1">
      <c r="B5" s="446">
        <v>1993</v>
      </c>
      <c r="C5" s="447">
        <v>13.3</v>
      </c>
      <c r="D5" s="447">
        <v>72.5</v>
      </c>
      <c r="E5" s="447">
        <v>44.5</v>
      </c>
      <c r="F5" s="447">
        <v>37</v>
      </c>
      <c r="G5" s="447">
        <v>132</v>
      </c>
      <c r="H5" s="447">
        <v>212</v>
      </c>
      <c r="I5" s="447">
        <v>302.5</v>
      </c>
      <c r="J5" s="448">
        <v>281</v>
      </c>
      <c r="K5" s="447">
        <v>100.5</v>
      </c>
      <c r="L5" s="447">
        <v>49.5</v>
      </c>
      <c r="M5" s="447">
        <v>94.5</v>
      </c>
      <c r="N5" s="449">
        <v>20.5</v>
      </c>
      <c r="O5" s="430">
        <f>ROUND(SUM(C5:N5),1)</f>
        <v>1359.8</v>
      </c>
      <c r="P5" s="431">
        <f>ROUND(O5/12,1)</f>
        <v>113.3</v>
      </c>
      <c r="Q5" s="68"/>
      <c r="R5" s="133"/>
      <c r="S5" s="428" t="s">
        <v>623</v>
      </c>
      <c r="T5" s="429" t="s">
        <v>679</v>
      </c>
      <c r="V5" s="133"/>
      <c r="W5" s="132"/>
    </row>
    <row r="6" spans="2:23" ht="22.5" customHeight="1" thickBot="1">
      <c r="B6" s="61">
        <v>1994</v>
      </c>
      <c r="C6" s="450">
        <v>18.7</v>
      </c>
      <c r="D6" s="450">
        <v>12.5</v>
      </c>
      <c r="E6" s="450">
        <v>35</v>
      </c>
      <c r="F6" s="450">
        <v>22.8</v>
      </c>
      <c r="G6" s="450">
        <v>115</v>
      </c>
      <c r="H6" s="450">
        <v>89</v>
      </c>
      <c r="I6" s="450">
        <v>118.9</v>
      </c>
      <c r="J6" s="451">
        <v>196</v>
      </c>
      <c r="K6" s="450">
        <v>20</v>
      </c>
      <c r="L6" s="450">
        <v>99</v>
      </c>
      <c r="M6" s="450">
        <v>20.5</v>
      </c>
      <c r="N6" s="452">
        <v>21.1</v>
      </c>
      <c r="O6" s="432">
        <f t="shared" ref="O6:O34" si="0">ROUND(SUM(C6:N6),1)</f>
        <v>768.5</v>
      </c>
      <c r="P6" s="433">
        <f t="shared" ref="P6:P34" si="1">ROUND(O6/12,1)</f>
        <v>64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GEUMSAN</v>
      </c>
      <c r="V6" s="133"/>
      <c r="W6" s="132"/>
    </row>
    <row r="7" spans="2:23" ht="22.5" customHeight="1">
      <c r="B7" s="61">
        <v>1995</v>
      </c>
      <c r="C7" s="450">
        <v>23.2</v>
      </c>
      <c r="D7" s="450">
        <v>17.100000000000001</v>
      </c>
      <c r="E7" s="450">
        <v>46.9</v>
      </c>
      <c r="F7" s="450">
        <v>65.5</v>
      </c>
      <c r="G7" s="450">
        <v>35.5</v>
      </c>
      <c r="H7" s="450">
        <v>54</v>
      </c>
      <c r="I7" s="450">
        <v>83.5</v>
      </c>
      <c r="J7" s="450">
        <v>579.5</v>
      </c>
      <c r="K7" s="450">
        <v>47.5</v>
      </c>
      <c r="L7" s="450">
        <v>23.5</v>
      </c>
      <c r="M7" s="450">
        <v>31</v>
      </c>
      <c r="N7" s="452">
        <v>4.5999999999999996</v>
      </c>
      <c r="O7" s="432">
        <f t="shared" si="0"/>
        <v>1011.8</v>
      </c>
      <c r="P7" s="433">
        <f t="shared" si="1"/>
        <v>84.3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25.4</v>
      </c>
      <c r="D8" s="450">
        <v>2.9</v>
      </c>
      <c r="E8" s="450">
        <v>123</v>
      </c>
      <c r="F8" s="450">
        <v>42.5</v>
      </c>
      <c r="G8" s="450">
        <v>37.5</v>
      </c>
      <c r="H8" s="450">
        <v>546</v>
      </c>
      <c r="I8" s="450">
        <v>174</v>
      </c>
      <c r="J8" s="450">
        <v>130</v>
      </c>
      <c r="K8" s="450">
        <v>12.5</v>
      </c>
      <c r="L8" s="450">
        <v>75.5</v>
      </c>
      <c r="M8" s="450">
        <v>89.8</v>
      </c>
      <c r="N8" s="452">
        <v>43</v>
      </c>
      <c r="O8" s="432">
        <f t="shared" si="0"/>
        <v>1302.0999999999999</v>
      </c>
      <c r="P8" s="433">
        <f t="shared" si="1"/>
        <v>108.5</v>
      </c>
      <c r="Q8" s="68"/>
      <c r="T8"/>
      <c r="V8" s="133"/>
      <c r="W8" s="132"/>
    </row>
    <row r="9" spans="2:23" ht="22.5" customHeight="1">
      <c r="B9" s="61">
        <v>1997</v>
      </c>
      <c r="C9" s="450">
        <v>21.3</v>
      </c>
      <c r="D9" s="450">
        <v>48.2</v>
      </c>
      <c r="E9" s="450">
        <v>34</v>
      </c>
      <c r="F9" s="450">
        <v>58</v>
      </c>
      <c r="G9" s="450">
        <v>170.5</v>
      </c>
      <c r="H9" s="450">
        <v>238.5</v>
      </c>
      <c r="I9" s="450">
        <v>444.5</v>
      </c>
      <c r="J9" s="450">
        <v>246.5</v>
      </c>
      <c r="K9" s="450">
        <v>89</v>
      </c>
      <c r="L9" s="450">
        <v>9</v>
      </c>
      <c r="M9" s="450">
        <v>160</v>
      </c>
      <c r="N9" s="452">
        <v>49</v>
      </c>
      <c r="O9" s="432">
        <f t="shared" si="0"/>
        <v>1568.5</v>
      </c>
      <c r="P9" s="433">
        <f t="shared" si="1"/>
        <v>130.69999999999999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38.4</v>
      </c>
      <c r="D10" s="450">
        <v>53.9</v>
      </c>
      <c r="E10" s="450">
        <v>25.6</v>
      </c>
      <c r="F10" s="450">
        <v>177.5</v>
      </c>
      <c r="G10" s="450">
        <v>98.5</v>
      </c>
      <c r="H10" s="450">
        <v>278.5</v>
      </c>
      <c r="I10" s="450">
        <v>184</v>
      </c>
      <c r="J10" s="450">
        <v>520</v>
      </c>
      <c r="K10" s="450">
        <v>237.3</v>
      </c>
      <c r="L10" s="450">
        <v>49</v>
      </c>
      <c r="M10" s="450">
        <v>46.1</v>
      </c>
      <c r="N10" s="452">
        <v>6.8</v>
      </c>
      <c r="O10" s="432">
        <f t="shared" si="0"/>
        <v>1715.6</v>
      </c>
      <c r="P10" s="433">
        <f t="shared" si="1"/>
        <v>143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5.3</v>
      </c>
      <c r="D11" s="450">
        <v>22.9</v>
      </c>
      <c r="E11" s="450">
        <v>73</v>
      </c>
      <c r="F11" s="450">
        <v>91.5</v>
      </c>
      <c r="G11" s="450">
        <v>117.5</v>
      </c>
      <c r="H11" s="450">
        <v>198</v>
      </c>
      <c r="I11" s="450">
        <v>114.5</v>
      </c>
      <c r="J11" s="450">
        <v>167.5</v>
      </c>
      <c r="K11" s="450">
        <v>289.5</v>
      </c>
      <c r="L11" s="450">
        <v>125</v>
      </c>
      <c r="M11" s="450">
        <v>16.399999999999999</v>
      </c>
      <c r="N11" s="452">
        <v>10.3</v>
      </c>
      <c r="O11" s="432">
        <f t="shared" si="0"/>
        <v>1231.4000000000001</v>
      </c>
      <c r="P11" s="433">
        <f t="shared" si="1"/>
        <v>102.6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36.200000000000003</v>
      </c>
      <c r="D12" s="450">
        <v>2.9</v>
      </c>
      <c r="E12" s="450">
        <v>24.5</v>
      </c>
      <c r="F12" s="450">
        <v>73.7</v>
      </c>
      <c r="G12" s="450">
        <v>29</v>
      </c>
      <c r="H12" s="450">
        <v>244.5</v>
      </c>
      <c r="I12" s="450">
        <v>344</v>
      </c>
      <c r="J12" s="450">
        <v>372</v>
      </c>
      <c r="K12" s="450">
        <v>223</v>
      </c>
      <c r="L12" s="450">
        <v>34.5</v>
      </c>
      <c r="M12" s="450">
        <v>42</v>
      </c>
      <c r="N12" s="452">
        <v>6.5</v>
      </c>
      <c r="O12" s="432">
        <f t="shared" si="0"/>
        <v>1432.8</v>
      </c>
      <c r="P12" s="433">
        <f t="shared" si="1"/>
        <v>119.4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63.2</v>
      </c>
      <c r="D13" s="450">
        <v>76.5</v>
      </c>
      <c r="E13" s="450">
        <v>17</v>
      </c>
      <c r="F13" s="450">
        <v>22.5</v>
      </c>
      <c r="G13" s="450">
        <v>22.5</v>
      </c>
      <c r="H13" s="450">
        <v>212.5</v>
      </c>
      <c r="I13" s="450">
        <v>203</v>
      </c>
      <c r="J13" s="450">
        <v>43</v>
      </c>
      <c r="K13" s="450">
        <v>87</v>
      </c>
      <c r="L13" s="450">
        <v>96</v>
      </c>
      <c r="M13" s="450">
        <v>12</v>
      </c>
      <c r="N13" s="452">
        <v>24.1</v>
      </c>
      <c r="O13" s="432">
        <f t="shared" si="0"/>
        <v>879.3</v>
      </c>
      <c r="P13" s="433">
        <f t="shared" si="1"/>
        <v>73.3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71.5</v>
      </c>
      <c r="D14" s="450">
        <v>7.7</v>
      </c>
      <c r="E14" s="450">
        <v>52</v>
      </c>
      <c r="F14" s="450">
        <v>149.5</v>
      </c>
      <c r="G14" s="450">
        <v>127.5</v>
      </c>
      <c r="H14" s="450">
        <v>57</v>
      </c>
      <c r="I14" s="450">
        <v>139.5</v>
      </c>
      <c r="J14" s="450">
        <v>551</v>
      </c>
      <c r="K14" s="450">
        <v>98.5</v>
      </c>
      <c r="L14" s="450">
        <v>55.5</v>
      </c>
      <c r="M14" s="450">
        <v>23.2</v>
      </c>
      <c r="N14" s="452">
        <v>57.8</v>
      </c>
      <c r="O14" s="432">
        <f t="shared" si="0"/>
        <v>1390.7</v>
      </c>
      <c r="P14" s="433">
        <f t="shared" si="1"/>
        <v>115.9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22.4</v>
      </c>
      <c r="D15" s="450">
        <v>66</v>
      </c>
      <c r="E15" s="450">
        <v>44</v>
      </c>
      <c r="F15" s="450">
        <v>202.5</v>
      </c>
      <c r="G15" s="450">
        <v>164</v>
      </c>
      <c r="H15" s="450">
        <v>138</v>
      </c>
      <c r="I15" s="450">
        <v>575</v>
      </c>
      <c r="J15" s="450">
        <v>280.5</v>
      </c>
      <c r="K15" s="450">
        <v>192</v>
      </c>
      <c r="L15" s="450">
        <v>22.5</v>
      </c>
      <c r="M15" s="450">
        <v>42.5</v>
      </c>
      <c r="N15" s="452">
        <v>17</v>
      </c>
      <c r="O15" s="432">
        <f t="shared" si="0"/>
        <v>1766.4</v>
      </c>
      <c r="P15" s="433">
        <f t="shared" si="1"/>
        <v>147.19999999999999</v>
      </c>
    </row>
    <row r="16" spans="2:23" ht="22.5" customHeight="1">
      <c r="B16" s="61">
        <v>2004</v>
      </c>
      <c r="C16" s="450">
        <v>11.2</v>
      </c>
      <c r="D16" s="450">
        <v>27.3</v>
      </c>
      <c r="E16" s="450">
        <v>33</v>
      </c>
      <c r="F16" s="450">
        <v>75.5</v>
      </c>
      <c r="G16" s="450">
        <v>90.5</v>
      </c>
      <c r="H16" s="450">
        <v>323.5</v>
      </c>
      <c r="I16" s="450">
        <v>406</v>
      </c>
      <c r="J16" s="450">
        <v>330.5</v>
      </c>
      <c r="K16" s="450">
        <v>126</v>
      </c>
      <c r="L16" s="450">
        <v>2.5</v>
      </c>
      <c r="M16" s="450">
        <v>43</v>
      </c>
      <c r="N16" s="452">
        <v>34.5</v>
      </c>
      <c r="O16" s="432">
        <f t="shared" si="0"/>
        <v>1503.5</v>
      </c>
      <c r="P16" s="433">
        <f t="shared" si="1"/>
        <v>125.3</v>
      </c>
    </row>
    <row r="17" spans="2:16" ht="22.5" customHeight="1">
      <c r="B17" s="61">
        <v>2005</v>
      </c>
      <c r="C17" s="450">
        <v>9.4</v>
      </c>
      <c r="D17" s="450">
        <v>34</v>
      </c>
      <c r="E17" s="450">
        <v>51</v>
      </c>
      <c r="F17" s="450">
        <v>31.5</v>
      </c>
      <c r="G17" s="450">
        <v>65.5</v>
      </c>
      <c r="H17" s="450">
        <v>191</v>
      </c>
      <c r="I17" s="450">
        <v>411.5</v>
      </c>
      <c r="J17" s="450">
        <v>387</v>
      </c>
      <c r="K17" s="450">
        <v>118</v>
      </c>
      <c r="L17" s="450">
        <v>23</v>
      </c>
      <c r="M17" s="450">
        <v>30.5</v>
      </c>
      <c r="N17" s="452">
        <v>22.6</v>
      </c>
      <c r="O17" s="432">
        <f t="shared" si="0"/>
        <v>1375</v>
      </c>
      <c r="P17" s="433">
        <f t="shared" si="1"/>
        <v>114.6</v>
      </c>
    </row>
    <row r="18" spans="2:16" ht="22.5" customHeight="1">
      <c r="B18" s="61">
        <v>2006</v>
      </c>
      <c r="C18" s="450">
        <v>28</v>
      </c>
      <c r="D18" s="450">
        <v>41.1</v>
      </c>
      <c r="E18" s="450">
        <v>8.4</v>
      </c>
      <c r="F18" s="450">
        <v>112</v>
      </c>
      <c r="G18" s="450">
        <v>93.5</v>
      </c>
      <c r="H18" s="450">
        <v>73</v>
      </c>
      <c r="I18" s="450">
        <v>681.5</v>
      </c>
      <c r="J18" s="450">
        <v>118</v>
      </c>
      <c r="K18" s="450">
        <v>40.5</v>
      </c>
      <c r="L18" s="450">
        <v>54</v>
      </c>
      <c r="M18" s="450">
        <v>71</v>
      </c>
      <c r="N18" s="452">
        <v>28.9</v>
      </c>
      <c r="O18" s="432">
        <f t="shared" si="0"/>
        <v>1349.9</v>
      </c>
      <c r="P18" s="433">
        <f t="shared" si="1"/>
        <v>112.5</v>
      </c>
    </row>
    <row r="19" spans="2:16" ht="22.5" customHeight="1">
      <c r="B19" s="61">
        <v>2007</v>
      </c>
      <c r="C19" s="450">
        <v>13.7</v>
      </c>
      <c r="D19" s="450">
        <v>57</v>
      </c>
      <c r="E19" s="450">
        <v>129</v>
      </c>
      <c r="F19" s="450">
        <v>27.5</v>
      </c>
      <c r="G19" s="450">
        <v>104</v>
      </c>
      <c r="H19" s="450">
        <v>180</v>
      </c>
      <c r="I19" s="450">
        <v>252</v>
      </c>
      <c r="J19" s="450">
        <v>343.5</v>
      </c>
      <c r="K19" s="450">
        <v>398.5</v>
      </c>
      <c r="L19" s="450">
        <v>32</v>
      </c>
      <c r="M19" s="450">
        <v>13.5</v>
      </c>
      <c r="N19" s="452">
        <v>35.4</v>
      </c>
      <c r="O19" s="432">
        <f t="shared" si="0"/>
        <v>1586.1</v>
      </c>
      <c r="P19" s="433">
        <f t="shared" si="1"/>
        <v>132.19999999999999</v>
      </c>
    </row>
    <row r="20" spans="2:16" ht="22.5" customHeight="1">
      <c r="B20" s="61">
        <v>2008</v>
      </c>
      <c r="C20" s="450">
        <v>32.4</v>
      </c>
      <c r="D20" s="450">
        <v>6.1</v>
      </c>
      <c r="E20" s="450">
        <v>28.3</v>
      </c>
      <c r="F20" s="450">
        <v>37.6</v>
      </c>
      <c r="G20" s="450">
        <v>84.5</v>
      </c>
      <c r="H20" s="450">
        <v>190.5</v>
      </c>
      <c r="I20" s="450">
        <v>202</v>
      </c>
      <c r="J20" s="450">
        <v>210</v>
      </c>
      <c r="K20" s="450">
        <v>35.9</v>
      </c>
      <c r="L20" s="450">
        <v>40.1</v>
      </c>
      <c r="M20" s="450">
        <v>15.1</v>
      </c>
      <c r="N20" s="452">
        <v>19.7</v>
      </c>
      <c r="O20" s="432">
        <f t="shared" si="0"/>
        <v>902.2</v>
      </c>
      <c r="P20" s="433">
        <f t="shared" si="1"/>
        <v>75.2</v>
      </c>
    </row>
    <row r="21" spans="2:16" ht="22.5" customHeight="1">
      <c r="B21" s="61">
        <v>2009</v>
      </c>
      <c r="C21" s="450">
        <v>13.2</v>
      </c>
      <c r="D21" s="450">
        <v>41.5</v>
      </c>
      <c r="E21" s="450">
        <v>43</v>
      </c>
      <c r="F21" s="450">
        <v>36</v>
      </c>
      <c r="G21" s="450">
        <v>120.3</v>
      </c>
      <c r="H21" s="450">
        <v>116.3</v>
      </c>
      <c r="I21" s="450">
        <v>515.5</v>
      </c>
      <c r="J21" s="450">
        <v>97</v>
      </c>
      <c r="K21" s="450">
        <v>54.5</v>
      </c>
      <c r="L21" s="450">
        <v>24</v>
      </c>
      <c r="M21" s="450">
        <v>29</v>
      </c>
      <c r="N21" s="452">
        <v>38.299999999999997</v>
      </c>
      <c r="O21" s="432">
        <f t="shared" si="0"/>
        <v>1128.5999999999999</v>
      </c>
      <c r="P21" s="433">
        <f t="shared" si="1"/>
        <v>94.1</v>
      </c>
    </row>
    <row r="22" spans="2:16" ht="22.5" customHeight="1">
      <c r="B22" s="61">
        <v>2010</v>
      </c>
      <c r="C22" s="450">
        <v>33.6</v>
      </c>
      <c r="D22" s="450">
        <v>74.5</v>
      </c>
      <c r="E22" s="450">
        <v>83.8</v>
      </c>
      <c r="F22" s="450">
        <v>73.7</v>
      </c>
      <c r="G22" s="450">
        <v>114.5</v>
      </c>
      <c r="H22" s="450">
        <v>62.5</v>
      </c>
      <c r="I22" s="450">
        <v>278.5</v>
      </c>
      <c r="J22" s="450">
        <v>495.6</v>
      </c>
      <c r="K22" s="450">
        <v>110.3</v>
      </c>
      <c r="L22" s="450">
        <v>20.2</v>
      </c>
      <c r="M22" s="450">
        <v>20</v>
      </c>
      <c r="N22" s="452">
        <v>36.5</v>
      </c>
      <c r="O22" s="432">
        <f t="shared" si="0"/>
        <v>1403.7</v>
      </c>
      <c r="P22" s="433">
        <f t="shared" si="1"/>
        <v>117</v>
      </c>
    </row>
    <row r="23" spans="2:16" ht="22.5" customHeight="1">
      <c r="B23" s="61">
        <v>2011</v>
      </c>
      <c r="C23" s="450">
        <v>2.2000000000000002</v>
      </c>
      <c r="D23" s="450">
        <v>63.5</v>
      </c>
      <c r="E23" s="450">
        <v>21.5</v>
      </c>
      <c r="F23" s="450">
        <v>132.9</v>
      </c>
      <c r="G23" s="450">
        <v>130.6</v>
      </c>
      <c r="H23" s="450">
        <v>237.8</v>
      </c>
      <c r="I23" s="450">
        <v>571.20000000000005</v>
      </c>
      <c r="J23" s="450">
        <v>403</v>
      </c>
      <c r="K23" s="450">
        <v>77.8</v>
      </c>
      <c r="L23" s="450">
        <v>52.2</v>
      </c>
      <c r="M23" s="450">
        <v>98</v>
      </c>
      <c r="N23" s="452">
        <v>7.8</v>
      </c>
      <c r="O23" s="432">
        <f t="shared" si="0"/>
        <v>1798.5</v>
      </c>
      <c r="P23" s="433">
        <f t="shared" si="1"/>
        <v>149.9</v>
      </c>
    </row>
    <row r="24" spans="2:16" ht="22.5" customHeight="1">
      <c r="B24" s="61">
        <v>2012</v>
      </c>
      <c r="C24" s="450">
        <v>23.7</v>
      </c>
      <c r="D24" s="450">
        <v>1.1000000000000001</v>
      </c>
      <c r="E24" s="450">
        <v>83.6</v>
      </c>
      <c r="F24" s="450">
        <v>75.900000000000006</v>
      </c>
      <c r="G24" s="450">
        <v>21.7</v>
      </c>
      <c r="H24" s="450">
        <v>115.7</v>
      </c>
      <c r="I24" s="450">
        <v>239.2</v>
      </c>
      <c r="J24" s="450">
        <v>497.5</v>
      </c>
      <c r="K24" s="450">
        <v>219.5</v>
      </c>
      <c r="L24" s="450">
        <v>46.6</v>
      </c>
      <c r="M24" s="450">
        <v>47.3</v>
      </c>
      <c r="N24" s="452">
        <v>62.7</v>
      </c>
      <c r="O24" s="432">
        <f t="shared" si="0"/>
        <v>1434.5</v>
      </c>
      <c r="P24" s="433">
        <f t="shared" si="1"/>
        <v>119.5</v>
      </c>
    </row>
    <row r="25" spans="2:16" ht="22.5" customHeight="1">
      <c r="B25" s="61">
        <v>2013</v>
      </c>
      <c r="C25" s="450">
        <v>37</v>
      </c>
      <c r="D25" s="450">
        <v>43.8</v>
      </c>
      <c r="E25" s="450">
        <v>64.599999999999994</v>
      </c>
      <c r="F25" s="450">
        <v>86.4</v>
      </c>
      <c r="G25" s="450">
        <v>79.5</v>
      </c>
      <c r="H25" s="450">
        <v>117.7</v>
      </c>
      <c r="I25" s="450">
        <v>216.9</v>
      </c>
      <c r="J25" s="450">
        <v>159.5</v>
      </c>
      <c r="K25" s="450">
        <v>80.8</v>
      </c>
      <c r="L25" s="450">
        <v>32.6</v>
      </c>
      <c r="M25" s="450">
        <v>53.9</v>
      </c>
      <c r="N25" s="452">
        <v>24.1</v>
      </c>
      <c r="O25" s="432">
        <f t="shared" si="0"/>
        <v>996.8</v>
      </c>
      <c r="P25" s="433">
        <f t="shared" si="1"/>
        <v>83.1</v>
      </c>
    </row>
    <row r="26" spans="2:16" ht="22.5" customHeight="1">
      <c r="B26" s="61">
        <v>2014</v>
      </c>
      <c r="C26" s="450">
        <v>4.0999999999999996</v>
      </c>
      <c r="D26" s="450">
        <v>2.7</v>
      </c>
      <c r="E26" s="450">
        <v>97.9</v>
      </c>
      <c r="F26" s="450">
        <v>88.7</v>
      </c>
      <c r="G26" s="450">
        <v>26</v>
      </c>
      <c r="H26" s="450">
        <v>45.6</v>
      </c>
      <c r="I26" s="450">
        <v>105.8</v>
      </c>
      <c r="J26" s="450">
        <v>426.4</v>
      </c>
      <c r="K26" s="450">
        <v>91.2</v>
      </c>
      <c r="L26" s="450">
        <v>141.19999999999999</v>
      </c>
      <c r="M26" s="450">
        <v>70.099999999999994</v>
      </c>
      <c r="N26" s="452">
        <v>31.3</v>
      </c>
      <c r="O26" s="432">
        <f t="shared" si="0"/>
        <v>1131</v>
      </c>
      <c r="P26" s="433">
        <f t="shared" si="1"/>
        <v>94.3</v>
      </c>
    </row>
    <row r="27" spans="2:16" ht="22.5" customHeight="1">
      <c r="B27" s="61">
        <v>2015</v>
      </c>
      <c r="C27" s="450">
        <v>37.6</v>
      </c>
      <c r="D27" s="450">
        <v>23.4</v>
      </c>
      <c r="E27" s="450">
        <v>46.6</v>
      </c>
      <c r="F27" s="450">
        <v>93.5</v>
      </c>
      <c r="G27" s="450">
        <v>29.5</v>
      </c>
      <c r="H27" s="450">
        <v>143.69999999999999</v>
      </c>
      <c r="I27" s="450">
        <v>162.30000000000001</v>
      </c>
      <c r="J27" s="450">
        <v>83.6</v>
      </c>
      <c r="K27" s="450">
        <v>18.600000000000001</v>
      </c>
      <c r="L27" s="450">
        <v>93.5</v>
      </c>
      <c r="M27" s="450">
        <v>109.6</v>
      </c>
      <c r="N27" s="452">
        <v>35.700000000000003</v>
      </c>
      <c r="O27" s="432">
        <f t="shared" si="0"/>
        <v>877.6</v>
      </c>
      <c r="P27" s="433">
        <f t="shared" si="1"/>
        <v>73.099999999999994</v>
      </c>
    </row>
    <row r="28" spans="2:16" ht="22.5" customHeight="1">
      <c r="B28" s="61">
        <v>2016</v>
      </c>
      <c r="C28" s="450">
        <v>11.1</v>
      </c>
      <c r="D28" s="450">
        <v>46</v>
      </c>
      <c r="E28" s="450">
        <v>54.5</v>
      </c>
      <c r="F28" s="450">
        <v>171.7</v>
      </c>
      <c r="G28" s="450">
        <v>70.5</v>
      </c>
      <c r="H28" s="450">
        <v>87.4</v>
      </c>
      <c r="I28" s="450">
        <v>377.9</v>
      </c>
      <c r="J28" s="450">
        <v>105.6</v>
      </c>
      <c r="K28" s="450">
        <v>160.9</v>
      </c>
      <c r="L28" s="450">
        <v>157.19999999999999</v>
      </c>
      <c r="M28" s="450">
        <v>33.200000000000003</v>
      </c>
      <c r="N28" s="452">
        <v>49.6</v>
      </c>
      <c r="O28" s="432">
        <f t="shared" si="0"/>
        <v>1325.6</v>
      </c>
      <c r="P28" s="433">
        <f t="shared" si="1"/>
        <v>110.5</v>
      </c>
    </row>
    <row r="29" spans="2:16" ht="22.5" customHeight="1">
      <c r="B29" s="61">
        <v>2017</v>
      </c>
      <c r="C29" s="450">
        <v>13.6</v>
      </c>
      <c r="D29" s="450">
        <v>54.6</v>
      </c>
      <c r="E29" s="450">
        <v>29.8</v>
      </c>
      <c r="F29" s="450">
        <v>76.099999999999994</v>
      </c>
      <c r="G29" s="450">
        <v>31.8</v>
      </c>
      <c r="H29" s="450">
        <v>48.3</v>
      </c>
      <c r="I29" s="450">
        <v>305.5</v>
      </c>
      <c r="J29" s="450">
        <v>222.3</v>
      </c>
      <c r="K29" s="450">
        <v>105.6</v>
      </c>
      <c r="L29" s="450">
        <v>35.1</v>
      </c>
      <c r="M29" s="450">
        <v>15.6</v>
      </c>
      <c r="N29" s="452">
        <v>29.3</v>
      </c>
      <c r="O29" s="432">
        <f t="shared" si="0"/>
        <v>967.6</v>
      </c>
      <c r="P29" s="433">
        <f t="shared" si="1"/>
        <v>80.599999999999994</v>
      </c>
    </row>
    <row r="30" spans="2:16" ht="22.5" customHeight="1">
      <c r="B30" s="61">
        <v>2018</v>
      </c>
      <c r="C30" s="450">
        <v>25.7</v>
      </c>
      <c r="D30" s="450">
        <v>28.1</v>
      </c>
      <c r="E30" s="450">
        <v>91.5</v>
      </c>
      <c r="F30" s="450">
        <v>142.4</v>
      </c>
      <c r="G30" s="450">
        <v>110.4</v>
      </c>
      <c r="H30" s="450">
        <v>104.3</v>
      </c>
      <c r="I30" s="450">
        <v>163.5</v>
      </c>
      <c r="J30" s="450">
        <v>410.4</v>
      </c>
      <c r="K30" s="450">
        <v>135.19999999999999</v>
      </c>
      <c r="L30" s="450">
        <v>112.6</v>
      </c>
      <c r="M30" s="450">
        <v>45.5</v>
      </c>
      <c r="N30" s="452">
        <v>27.6</v>
      </c>
      <c r="O30" s="432">
        <f t="shared" si="0"/>
        <v>1397.2</v>
      </c>
      <c r="P30" s="433">
        <f t="shared" si="1"/>
        <v>116.4</v>
      </c>
    </row>
    <row r="31" spans="2:16" ht="22.5" customHeight="1">
      <c r="B31" s="61">
        <v>2019</v>
      </c>
      <c r="C31" s="450">
        <v>6.4</v>
      </c>
      <c r="D31" s="450">
        <v>41.5</v>
      </c>
      <c r="E31" s="450">
        <v>33</v>
      </c>
      <c r="F31" s="450">
        <v>93</v>
      </c>
      <c r="G31" s="450">
        <v>44.2</v>
      </c>
      <c r="H31" s="450">
        <v>101</v>
      </c>
      <c r="I31" s="450">
        <v>141.1</v>
      </c>
      <c r="J31" s="450">
        <v>105.8</v>
      </c>
      <c r="K31" s="450">
        <v>236.4</v>
      </c>
      <c r="L31" s="450">
        <v>99.3</v>
      </c>
      <c r="M31" s="450">
        <v>47.9</v>
      </c>
      <c r="N31" s="452">
        <v>33</v>
      </c>
      <c r="O31" s="432">
        <f t="shared" si="0"/>
        <v>982.6</v>
      </c>
      <c r="P31" s="433">
        <f t="shared" si="1"/>
        <v>81.900000000000006</v>
      </c>
    </row>
    <row r="32" spans="2:16" ht="22.5" customHeight="1">
      <c r="B32" s="61">
        <v>2020</v>
      </c>
      <c r="C32" s="450">
        <v>80.8</v>
      </c>
      <c r="D32" s="450">
        <v>83.9</v>
      </c>
      <c r="E32" s="450">
        <v>20.5</v>
      </c>
      <c r="F32" s="450">
        <v>35.6</v>
      </c>
      <c r="G32" s="450">
        <v>80.5</v>
      </c>
      <c r="H32" s="450">
        <v>234</v>
      </c>
      <c r="I32" s="450">
        <v>628</v>
      </c>
      <c r="J32" s="450">
        <v>373.4</v>
      </c>
      <c r="K32" s="450">
        <v>167.2</v>
      </c>
      <c r="L32" s="450">
        <v>4.0999999999999996</v>
      </c>
      <c r="M32" s="450">
        <v>41.9</v>
      </c>
      <c r="N32" s="452">
        <v>8.3000000000000007</v>
      </c>
      <c r="O32" s="432">
        <f t="shared" si="0"/>
        <v>1758.2</v>
      </c>
      <c r="P32" s="433">
        <f t="shared" si="1"/>
        <v>146.5</v>
      </c>
    </row>
    <row r="33" spans="2:16" ht="22.5" customHeight="1">
      <c r="B33" s="61">
        <v>2021</v>
      </c>
      <c r="C33" s="450">
        <v>23.5</v>
      </c>
      <c r="D33" s="450">
        <v>19.3</v>
      </c>
      <c r="E33" s="450">
        <v>88</v>
      </c>
      <c r="F33" s="450">
        <v>39.299999999999997</v>
      </c>
      <c r="G33" s="450">
        <v>162.69999999999999</v>
      </c>
      <c r="H33" s="450">
        <v>105.6</v>
      </c>
      <c r="I33" s="450">
        <v>300.8</v>
      </c>
      <c r="J33" s="450">
        <v>297.2</v>
      </c>
      <c r="K33" s="450">
        <v>151.9</v>
      </c>
      <c r="L33" s="450">
        <v>44</v>
      </c>
      <c r="M33" s="450">
        <v>50.7</v>
      </c>
      <c r="N33" s="452">
        <v>7.1</v>
      </c>
      <c r="O33" s="432">
        <f t="shared" si="0"/>
        <v>1290.0999999999999</v>
      </c>
      <c r="P33" s="433">
        <f t="shared" si="1"/>
        <v>107.5</v>
      </c>
    </row>
    <row r="34" spans="2:16" ht="22.5" customHeight="1" thickBot="1">
      <c r="B34" s="453">
        <v>2022</v>
      </c>
      <c r="C34" s="454">
        <v>1.5</v>
      </c>
      <c r="D34" s="454">
        <v>4.0999999999999996</v>
      </c>
      <c r="E34" s="454">
        <v>80.599999999999994</v>
      </c>
      <c r="F34" s="454">
        <v>63.3</v>
      </c>
      <c r="G34" s="454">
        <v>4.7</v>
      </c>
      <c r="H34" s="454">
        <v>145.4</v>
      </c>
      <c r="I34" s="454">
        <v>183.7</v>
      </c>
      <c r="J34" s="454">
        <v>265.7</v>
      </c>
      <c r="K34" s="454">
        <v>68.2</v>
      </c>
      <c r="L34" s="454">
        <v>59.3</v>
      </c>
      <c r="M34" s="454">
        <v>54.2</v>
      </c>
      <c r="N34" s="455">
        <v>18</v>
      </c>
      <c r="O34" s="434">
        <f t="shared" si="0"/>
        <v>948.7</v>
      </c>
      <c r="P34" s="435">
        <f t="shared" si="1"/>
        <v>79.099999999999994</v>
      </c>
    </row>
    <row r="35" spans="2:16" ht="22.5" customHeight="1">
      <c r="B35" s="456" t="s">
        <v>36</v>
      </c>
      <c r="C35" s="457">
        <f>MAX(C5:C34)</f>
        <v>80.8</v>
      </c>
      <c r="D35" s="457">
        <f t="shared" ref="D35:N35" si="2">MAX(D5:D34)</f>
        <v>83.9</v>
      </c>
      <c r="E35" s="457">
        <f t="shared" si="2"/>
        <v>129</v>
      </c>
      <c r="F35" s="457">
        <f t="shared" si="2"/>
        <v>202.5</v>
      </c>
      <c r="G35" s="457">
        <f t="shared" si="2"/>
        <v>170.5</v>
      </c>
      <c r="H35" s="457">
        <f t="shared" si="2"/>
        <v>546</v>
      </c>
      <c r="I35" s="457">
        <f t="shared" si="2"/>
        <v>681.5</v>
      </c>
      <c r="J35" s="457">
        <f t="shared" si="2"/>
        <v>579.5</v>
      </c>
      <c r="K35" s="457">
        <f t="shared" si="2"/>
        <v>398.5</v>
      </c>
      <c r="L35" s="457">
        <f t="shared" si="2"/>
        <v>157.19999999999999</v>
      </c>
      <c r="M35" s="457">
        <f t="shared" si="2"/>
        <v>160</v>
      </c>
      <c r="N35" s="437">
        <f t="shared" si="2"/>
        <v>62.7</v>
      </c>
      <c r="O35" s="436">
        <f t="shared" ref="O35" si="3">MAX(O5:O34)</f>
        <v>1798.5</v>
      </c>
      <c r="P35" s="437">
        <f>MAX(P5:P34)</f>
        <v>149.9</v>
      </c>
    </row>
    <row r="36" spans="2:16" ht="22.5" customHeight="1">
      <c r="B36" s="458" t="s">
        <v>37</v>
      </c>
      <c r="C36" s="459">
        <f>ROUND(MIN(C5:C34),1)</f>
        <v>1.5</v>
      </c>
      <c r="D36" s="459">
        <f t="shared" ref="D36:N36" si="4">ROUND(MIN(D5:D34),1)</f>
        <v>1.1000000000000001</v>
      </c>
      <c r="E36" s="459">
        <f t="shared" si="4"/>
        <v>8.4</v>
      </c>
      <c r="F36" s="459">
        <f t="shared" si="4"/>
        <v>22.5</v>
      </c>
      <c r="G36" s="459">
        <f t="shared" si="4"/>
        <v>4.7</v>
      </c>
      <c r="H36" s="459">
        <f t="shared" si="4"/>
        <v>45.6</v>
      </c>
      <c r="I36" s="459">
        <f t="shared" si="4"/>
        <v>83.5</v>
      </c>
      <c r="J36" s="459">
        <f t="shared" si="4"/>
        <v>43</v>
      </c>
      <c r="K36" s="459">
        <f t="shared" si="4"/>
        <v>12.5</v>
      </c>
      <c r="L36" s="459">
        <f t="shared" si="4"/>
        <v>2.5</v>
      </c>
      <c r="M36" s="459">
        <f t="shared" si="4"/>
        <v>12</v>
      </c>
      <c r="N36" s="433">
        <f t="shared" si="4"/>
        <v>4.5999999999999996</v>
      </c>
      <c r="O36" s="438">
        <f>ROUND(MIN(O5:O34),1)</f>
        <v>768.5</v>
      </c>
      <c r="P36" s="439">
        <f>ROUND(MIN(P5:P34),1)</f>
        <v>64</v>
      </c>
    </row>
    <row r="37" spans="2:16" ht="22.5" customHeight="1" thickBot="1">
      <c r="B37" s="460" t="s">
        <v>45</v>
      </c>
      <c r="C37" s="461">
        <f>ROUND(AVERAGE(C5:C34),1)</f>
        <v>24.9</v>
      </c>
      <c r="D37" s="461">
        <f t="shared" ref="D37:N37" si="5">ROUND(AVERAGE(D5:D34),1)</f>
        <v>35.9</v>
      </c>
      <c r="E37" s="461">
        <f t="shared" si="5"/>
        <v>53.6</v>
      </c>
      <c r="F37" s="461">
        <f t="shared" si="5"/>
        <v>81.2</v>
      </c>
      <c r="G37" s="461">
        <f t="shared" si="5"/>
        <v>83.8</v>
      </c>
      <c r="H37" s="461">
        <f t="shared" si="5"/>
        <v>163</v>
      </c>
      <c r="I37" s="461">
        <f t="shared" si="5"/>
        <v>294.2</v>
      </c>
      <c r="J37" s="461">
        <f t="shared" si="5"/>
        <v>290</v>
      </c>
      <c r="K37" s="461">
        <f t="shared" si="5"/>
        <v>126.5</v>
      </c>
      <c r="L37" s="461">
        <f t="shared" si="5"/>
        <v>57.1</v>
      </c>
      <c r="M37" s="461">
        <f t="shared" si="5"/>
        <v>48.9</v>
      </c>
      <c r="N37" s="462">
        <f t="shared" si="5"/>
        <v>27</v>
      </c>
      <c r="O37" s="514">
        <f>ROUND(AVERAGE(O5:O34),1)</f>
        <v>1286.0999999999999</v>
      </c>
      <c r="P37" s="441">
        <f>ROUND(AVERAGE(P5:P34),1)</f>
        <v>107.2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37</v>
      </c>
      <c r="D41" s="464">
        <f t="shared" si="6"/>
        <v>43.8</v>
      </c>
      <c r="E41" s="464">
        <f t="shared" si="6"/>
        <v>64.599999999999994</v>
      </c>
      <c r="F41" s="464">
        <f t="shared" si="6"/>
        <v>86.4</v>
      </c>
      <c r="G41" s="464">
        <f t="shared" si="6"/>
        <v>79.5</v>
      </c>
      <c r="H41" s="464">
        <f t="shared" si="6"/>
        <v>117.7</v>
      </c>
      <c r="I41" s="464">
        <f t="shared" si="6"/>
        <v>216.9</v>
      </c>
      <c r="J41" s="464">
        <f t="shared" si="6"/>
        <v>159.5</v>
      </c>
      <c r="K41" s="464">
        <f t="shared" si="6"/>
        <v>80.8</v>
      </c>
      <c r="L41" s="464">
        <f t="shared" si="6"/>
        <v>32.6</v>
      </c>
      <c r="M41" s="464">
        <f t="shared" si="6"/>
        <v>53.9</v>
      </c>
      <c r="N41" s="439">
        <f t="shared" si="6"/>
        <v>24.1</v>
      </c>
      <c r="O41" s="438">
        <f>ROUND(SUM(C41:N41),1)</f>
        <v>996.8</v>
      </c>
      <c r="P41" s="439">
        <f>ROUND(O41/12,1)</f>
        <v>83.1</v>
      </c>
    </row>
    <row r="42" spans="2:16" ht="22.5" customHeight="1">
      <c r="B42" s="463">
        <f t="shared" ref="B42:N42" si="7">B26</f>
        <v>2014</v>
      </c>
      <c r="C42" s="464">
        <f t="shared" si="7"/>
        <v>4.0999999999999996</v>
      </c>
      <c r="D42" s="464">
        <f t="shared" si="7"/>
        <v>2.7</v>
      </c>
      <c r="E42" s="464">
        <f t="shared" si="7"/>
        <v>97.9</v>
      </c>
      <c r="F42" s="464">
        <f t="shared" si="7"/>
        <v>88.7</v>
      </c>
      <c r="G42" s="464">
        <f t="shared" si="7"/>
        <v>26</v>
      </c>
      <c r="H42" s="464">
        <f t="shared" si="7"/>
        <v>45.6</v>
      </c>
      <c r="I42" s="464">
        <f t="shared" si="7"/>
        <v>105.8</v>
      </c>
      <c r="J42" s="464">
        <f t="shared" si="7"/>
        <v>426.4</v>
      </c>
      <c r="K42" s="464">
        <f t="shared" si="7"/>
        <v>91.2</v>
      </c>
      <c r="L42" s="464">
        <f t="shared" si="7"/>
        <v>141.19999999999999</v>
      </c>
      <c r="M42" s="464">
        <f t="shared" si="7"/>
        <v>70.099999999999994</v>
      </c>
      <c r="N42" s="439">
        <f t="shared" si="7"/>
        <v>31.3</v>
      </c>
      <c r="O42" s="438">
        <f t="shared" ref="O42:O50" si="8">ROUND(SUM(C42:N42),1)</f>
        <v>1131</v>
      </c>
      <c r="P42" s="439">
        <f t="shared" ref="P42:P50" si="9">ROUND(O42/12,1)</f>
        <v>94.3</v>
      </c>
    </row>
    <row r="43" spans="2:16" ht="22.5" customHeight="1">
      <c r="B43" s="463">
        <f t="shared" ref="B43:N43" si="10">B27</f>
        <v>2015</v>
      </c>
      <c r="C43" s="464">
        <f t="shared" si="10"/>
        <v>37.6</v>
      </c>
      <c r="D43" s="464">
        <f t="shared" si="10"/>
        <v>23.4</v>
      </c>
      <c r="E43" s="464">
        <f t="shared" si="10"/>
        <v>46.6</v>
      </c>
      <c r="F43" s="464">
        <f t="shared" si="10"/>
        <v>93.5</v>
      </c>
      <c r="G43" s="464">
        <f t="shared" si="10"/>
        <v>29.5</v>
      </c>
      <c r="H43" s="464">
        <f t="shared" si="10"/>
        <v>143.69999999999999</v>
      </c>
      <c r="I43" s="464">
        <f t="shared" si="10"/>
        <v>162.30000000000001</v>
      </c>
      <c r="J43" s="464">
        <f t="shared" si="10"/>
        <v>83.6</v>
      </c>
      <c r="K43" s="464">
        <f t="shared" si="10"/>
        <v>18.600000000000001</v>
      </c>
      <c r="L43" s="464">
        <f t="shared" si="10"/>
        <v>93.5</v>
      </c>
      <c r="M43" s="464">
        <f t="shared" si="10"/>
        <v>109.6</v>
      </c>
      <c r="N43" s="439">
        <f t="shared" si="10"/>
        <v>35.700000000000003</v>
      </c>
      <c r="O43" s="438">
        <f t="shared" si="8"/>
        <v>877.6</v>
      </c>
      <c r="P43" s="439">
        <f t="shared" si="9"/>
        <v>73.099999999999994</v>
      </c>
    </row>
    <row r="44" spans="2:16" ht="22.5" customHeight="1">
      <c r="B44" s="463">
        <f t="shared" ref="B44:N44" si="11">B28</f>
        <v>2016</v>
      </c>
      <c r="C44" s="464">
        <f t="shared" si="11"/>
        <v>11.1</v>
      </c>
      <c r="D44" s="464">
        <f t="shared" si="11"/>
        <v>46</v>
      </c>
      <c r="E44" s="464">
        <f t="shared" si="11"/>
        <v>54.5</v>
      </c>
      <c r="F44" s="464">
        <f t="shared" si="11"/>
        <v>171.7</v>
      </c>
      <c r="G44" s="464">
        <f t="shared" si="11"/>
        <v>70.5</v>
      </c>
      <c r="H44" s="464">
        <f t="shared" si="11"/>
        <v>87.4</v>
      </c>
      <c r="I44" s="464">
        <f t="shared" si="11"/>
        <v>377.9</v>
      </c>
      <c r="J44" s="464">
        <f t="shared" si="11"/>
        <v>105.6</v>
      </c>
      <c r="K44" s="464">
        <f t="shared" si="11"/>
        <v>160.9</v>
      </c>
      <c r="L44" s="464">
        <f t="shared" si="11"/>
        <v>157.19999999999999</v>
      </c>
      <c r="M44" s="464">
        <f t="shared" si="11"/>
        <v>33.200000000000003</v>
      </c>
      <c r="N44" s="439">
        <f t="shared" si="11"/>
        <v>49.6</v>
      </c>
      <c r="O44" s="438">
        <f t="shared" si="8"/>
        <v>1325.6</v>
      </c>
      <c r="P44" s="439">
        <f t="shared" si="9"/>
        <v>110.5</v>
      </c>
    </row>
    <row r="45" spans="2:16" ht="22.5" customHeight="1">
      <c r="B45" s="463">
        <f t="shared" ref="B45:N45" si="12">B29</f>
        <v>2017</v>
      </c>
      <c r="C45" s="464">
        <f t="shared" si="12"/>
        <v>13.6</v>
      </c>
      <c r="D45" s="464">
        <f t="shared" si="12"/>
        <v>54.6</v>
      </c>
      <c r="E45" s="464">
        <f t="shared" si="12"/>
        <v>29.8</v>
      </c>
      <c r="F45" s="464">
        <f t="shared" si="12"/>
        <v>76.099999999999994</v>
      </c>
      <c r="G45" s="464">
        <f t="shared" si="12"/>
        <v>31.8</v>
      </c>
      <c r="H45" s="464">
        <f t="shared" si="12"/>
        <v>48.3</v>
      </c>
      <c r="I45" s="464">
        <f t="shared" si="12"/>
        <v>305.5</v>
      </c>
      <c r="J45" s="464">
        <f t="shared" si="12"/>
        <v>222.3</v>
      </c>
      <c r="K45" s="464">
        <f t="shared" si="12"/>
        <v>105.6</v>
      </c>
      <c r="L45" s="464">
        <f t="shared" si="12"/>
        <v>35.1</v>
      </c>
      <c r="M45" s="464">
        <f t="shared" si="12"/>
        <v>15.6</v>
      </c>
      <c r="N45" s="439">
        <f t="shared" si="12"/>
        <v>29.3</v>
      </c>
      <c r="O45" s="438">
        <f t="shared" si="8"/>
        <v>967.6</v>
      </c>
      <c r="P45" s="439">
        <f t="shared" si="9"/>
        <v>80.599999999999994</v>
      </c>
    </row>
    <row r="46" spans="2:16" ht="22.5" customHeight="1">
      <c r="B46" s="463">
        <f t="shared" ref="B46:N46" si="13">B30</f>
        <v>2018</v>
      </c>
      <c r="C46" s="464">
        <f t="shared" si="13"/>
        <v>25.7</v>
      </c>
      <c r="D46" s="464">
        <f t="shared" si="13"/>
        <v>28.1</v>
      </c>
      <c r="E46" s="464">
        <f t="shared" si="13"/>
        <v>91.5</v>
      </c>
      <c r="F46" s="464">
        <f t="shared" si="13"/>
        <v>142.4</v>
      </c>
      <c r="G46" s="464">
        <f t="shared" si="13"/>
        <v>110.4</v>
      </c>
      <c r="H46" s="464">
        <f t="shared" si="13"/>
        <v>104.3</v>
      </c>
      <c r="I46" s="464">
        <f t="shared" si="13"/>
        <v>163.5</v>
      </c>
      <c r="J46" s="464">
        <f t="shared" si="13"/>
        <v>410.4</v>
      </c>
      <c r="K46" s="464">
        <f t="shared" si="13"/>
        <v>135.19999999999999</v>
      </c>
      <c r="L46" s="464">
        <f t="shared" si="13"/>
        <v>112.6</v>
      </c>
      <c r="M46" s="464">
        <f t="shared" si="13"/>
        <v>45.5</v>
      </c>
      <c r="N46" s="439">
        <f t="shared" si="13"/>
        <v>27.6</v>
      </c>
      <c r="O46" s="438">
        <f t="shared" si="8"/>
        <v>1397.2</v>
      </c>
      <c r="P46" s="439">
        <f t="shared" si="9"/>
        <v>116.4</v>
      </c>
    </row>
    <row r="47" spans="2:16" ht="22.5" customHeight="1">
      <c r="B47" s="463">
        <f t="shared" ref="B47:N47" si="14">B31</f>
        <v>2019</v>
      </c>
      <c r="C47" s="464">
        <f t="shared" si="14"/>
        <v>6.4</v>
      </c>
      <c r="D47" s="464">
        <f t="shared" si="14"/>
        <v>41.5</v>
      </c>
      <c r="E47" s="464">
        <f t="shared" si="14"/>
        <v>33</v>
      </c>
      <c r="F47" s="464">
        <f t="shared" si="14"/>
        <v>93</v>
      </c>
      <c r="G47" s="464">
        <f t="shared" si="14"/>
        <v>44.2</v>
      </c>
      <c r="H47" s="464">
        <f t="shared" si="14"/>
        <v>101</v>
      </c>
      <c r="I47" s="464">
        <f t="shared" si="14"/>
        <v>141.1</v>
      </c>
      <c r="J47" s="464">
        <f t="shared" si="14"/>
        <v>105.8</v>
      </c>
      <c r="K47" s="464">
        <f t="shared" si="14"/>
        <v>236.4</v>
      </c>
      <c r="L47" s="464">
        <f t="shared" si="14"/>
        <v>99.3</v>
      </c>
      <c r="M47" s="464">
        <f t="shared" si="14"/>
        <v>47.9</v>
      </c>
      <c r="N47" s="439">
        <f t="shared" si="14"/>
        <v>33</v>
      </c>
      <c r="O47" s="438">
        <f t="shared" si="8"/>
        <v>982.6</v>
      </c>
      <c r="P47" s="439">
        <f t="shared" si="9"/>
        <v>81.900000000000006</v>
      </c>
    </row>
    <row r="48" spans="2:16" ht="22.5" customHeight="1">
      <c r="B48" s="463">
        <f t="shared" ref="B48:N48" si="15">B32</f>
        <v>2020</v>
      </c>
      <c r="C48" s="464">
        <f t="shared" si="15"/>
        <v>80.8</v>
      </c>
      <c r="D48" s="464">
        <f t="shared" si="15"/>
        <v>83.9</v>
      </c>
      <c r="E48" s="464">
        <f t="shared" si="15"/>
        <v>20.5</v>
      </c>
      <c r="F48" s="464">
        <f t="shared" si="15"/>
        <v>35.6</v>
      </c>
      <c r="G48" s="464">
        <f t="shared" si="15"/>
        <v>80.5</v>
      </c>
      <c r="H48" s="464">
        <f t="shared" si="15"/>
        <v>234</v>
      </c>
      <c r="I48" s="464">
        <f t="shared" si="15"/>
        <v>628</v>
      </c>
      <c r="J48" s="464">
        <f t="shared" si="15"/>
        <v>373.4</v>
      </c>
      <c r="K48" s="464">
        <f t="shared" si="15"/>
        <v>167.2</v>
      </c>
      <c r="L48" s="464">
        <f t="shared" si="15"/>
        <v>4.0999999999999996</v>
      </c>
      <c r="M48" s="464">
        <f t="shared" si="15"/>
        <v>41.9</v>
      </c>
      <c r="N48" s="439">
        <f t="shared" si="15"/>
        <v>8.3000000000000007</v>
      </c>
      <c r="O48" s="438">
        <f t="shared" si="8"/>
        <v>1758.2</v>
      </c>
      <c r="P48" s="439">
        <f t="shared" si="9"/>
        <v>146.5</v>
      </c>
    </row>
    <row r="49" spans="2:16" ht="22.5" customHeight="1">
      <c r="B49" s="463">
        <f t="shared" ref="B49:N49" si="16">B33</f>
        <v>2021</v>
      </c>
      <c r="C49" s="464">
        <f t="shared" si="16"/>
        <v>23.5</v>
      </c>
      <c r="D49" s="464">
        <f t="shared" si="16"/>
        <v>19.3</v>
      </c>
      <c r="E49" s="464">
        <f t="shared" si="16"/>
        <v>88</v>
      </c>
      <c r="F49" s="464">
        <f t="shared" si="16"/>
        <v>39.299999999999997</v>
      </c>
      <c r="G49" s="464">
        <f t="shared" si="16"/>
        <v>162.69999999999999</v>
      </c>
      <c r="H49" s="464">
        <f t="shared" si="16"/>
        <v>105.6</v>
      </c>
      <c r="I49" s="464">
        <f t="shared" si="16"/>
        <v>300.8</v>
      </c>
      <c r="J49" s="464">
        <f t="shared" si="16"/>
        <v>297.2</v>
      </c>
      <c r="K49" s="464">
        <f t="shared" si="16"/>
        <v>151.9</v>
      </c>
      <c r="L49" s="464">
        <f t="shared" si="16"/>
        <v>44</v>
      </c>
      <c r="M49" s="464">
        <f t="shared" si="16"/>
        <v>50.7</v>
      </c>
      <c r="N49" s="439">
        <f t="shared" si="16"/>
        <v>7.1</v>
      </c>
      <c r="O49" s="438">
        <f t="shared" si="8"/>
        <v>1290.0999999999999</v>
      </c>
      <c r="P49" s="439">
        <f t="shared" si="9"/>
        <v>107.5</v>
      </c>
    </row>
    <row r="50" spans="2:16" ht="22.5" customHeight="1" thickBot="1">
      <c r="B50" s="465">
        <f t="shared" ref="B50:N50" si="17">B34</f>
        <v>2022</v>
      </c>
      <c r="C50" s="466">
        <f t="shared" si="17"/>
        <v>1.5</v>
      </c>
      <c r="D50" s="466">
        <f t="shared" si="17"/>
        <v>4.0999999999999996</v>
      </c>
      <c r="E50" s="466">
        <f>E34</f>
        <v>80.599999999999994</v>
      </c>
      <c r="F50" s="466">
        <f t="shared" si="17"/>
        <v>63.3</v>
      </c>
      <c r="G50" s="466">
        <f t="shared" si="17"/>
        <v>4.7</v>
      </c>
      <c r="H50" s="466">
        <f t="shared" si="17"/>
        <v>145.4</v>
      </c>
      <c r="I50" s="466">
        <f t="shared" si="17"/>
        <v>183.7</v>
      </c>
      <c r="J50" s="466">
        <f t="shared" si="17"/>
        <v>265.7</v>
      </c>
      <c r="K50" s="466">
        <f t="shared" si="17"/>
        <v>68.2</v>
      </c>
      <c r="L50" s="466">
        <f t="shared" si="17"/>
        <v>59.3</v>
      </c>
      <c r="M50" s="466">
        <f t="shared" si="17"/>
        <v>54.2</v>
      </c>
      <c r="N50" s="441">
        <f t="shared" si="17"/>
        <v>18</v>
      </c>
      <c r="O50" s="440">
        <f t="shared" si="8"/>
        <v>948.7</v>
      </c>
      <c r="P50" s="441">
        <f t="shared" si="9"/>
        <v>79.099999999999994</v>
      </c>
    </row>
    <row r="51" spans="2:16" ht="22.5" customHeight="1">
      <c r="B51" s="467" t="s">
        <v>46</v>
      </c>
      <c r="C51" s="468">
        <f>MAX(C41:C50)</f>
        <v>80.8</v>
      </c>
      <c r="D51" s="468">
        <f t="shared" ref="D51:P51" si="18">MAX(D41:D50)</f>
        <v>83.9</v>
      </c>
      <c r="E51" s="468">
        <f t="shared" si="18"/>
        <v>97.9</v>
      </c>
      <c r="F51" s="468">
        <f t="shared" si="18"/>
        <v>171.7</v>
      </c>
      <c r="G51" s="468">
        <f t="shared" si="18"/>
        <v>162.69999999999999</v>
      </c>
      <c r="H51" s="468">
        <f t="shared" si="18"/>
        <v>234</v>
      </c>
      <c r="I51" s="468">
        <f t="shared" si="18"/>
        <v>628</v>
      </c>
      <c r="J51" s="468">
        <f t="shared" si="18"/>
        <v>426.4</v>
      </c>
      <c r="K51" s="468">
        <f t="shared" si="18"/>
        <v>236.4</v>
      </c>
      <c r="L51" s="468">
        <f t="shared" si="18"/>
        <v>157.19999999999999</v>
      </c>
      <c r="M51" s="468">
        <f t="shared" si="18"/>
        <v>109.6</v>
      </c>
      <c r="N51" s="443">
        <f t="shared" si="18"/>
        <v>49.6</v>
      </c>
      <c r="O51" s="442">
        <f t="shared" si="18"/>
        <v>1758.2</v>
      </c>
      <c r="P51" s="443">
        <f t="shared" si="18"/>
        <v>146.5</v>
      </c>
    </row>
    <row r="52" spans="2:16" ht="22.5" customHeight="1">
      <c r="B52" s="463" t="s">
        <v>47</v>
      </c>
      <c r="C52" s="464">
        <f>MIN(C41:C50)</f>
        <v>1.5</v>
      </c>
      <c r="D52" s="464">
        <f t="shared" ref="D52:P52" si="19">MIN(D41:D50)</f>
        <v>2.7</v>
      </c>
      <c r="E52" s="464">
        <f t="shared" si="19"/>
        <v>20.5</v>
      </c>
      <c r="F52" s="464">
        <f t="shared" si="19"/>
        <v>35.6</v>
      </c>
      <c r="G52" s="464">
        <f t="shared" si="19"/>
        <v>4.7</v>
      </c>
      <c r="H52" s="464">
        <f t="shared" si="19"/>
        <v>45.6</v>
      </c>
      <c r="I52" s="464">
        <f t="shared" si="19"/>
        <v>105.8</v>
      </c>
      <c r="J52" s="464">
        <f t="shared" si="19"/>
        <v>83.6</v>
      </c>
      <c r="K52" s="464">
        <f t="shared" si="19"/>
        <v>18.600000000000001</v>
      </c>
      <c r="L52" s="464">
        <f t="shared" si="19"/>
        <v>4.0999999999999996</v>
      </c>
      <c r="M52" s="464">
        <f t="shared" si="19"/>
        <v>15.6</v>
      </c>
      <c r="N52" s="439">
        <f t="shared" si="19"/>
        <v>7.1</v>
      </c>
      <c r="O52" s="438">
        <f>MIN(O41:O50)</f>
        <v>877.6</v>
      </c>
      <c r="P52" s="439">
        <f t="shared" si="19"/>
        <v>73.099999999999994</v>
      </c>
    </row>
    <row r="53" spans="2:16" ht="22.5" customHeight="1" thickBot="1">
      <c r="B53" s="465" t="s">
        <v>30</v>
      </c>
      <c r="C53" s="466">
        <f>ROUND(AVERAGE(C41:C50),1)</f>
        <v>24.1</v>
      </c>
      <c r="D53" s="466">
        <f t="shared" ref="D53:N53" si="20">ROUND(AVERAGE(D41:D50),1)</f>
        <v>34.700000000000003</v>
      </c>
      <c r="E53" s="466">
        <f t="shared" si="20"/>
        <v>60.7</v>
      </c>
      <c r="F53" s="466">
        <f t="shared" si="20"/>
        <v>89</v>
      </c>
      <c r="G53" s="466">
        <f t="shared" si="20"/>
        <v>64</v>
      </c>
      <c r="H53" s="466">
        <f t="shared" si="20"/>
        <v>113.3</v>
      </c>
      <c r="I53" s="466">
        <f t="shared" si="20"/>
        <v>258.60000000000002</v>
      </c>
      <c r="J53" s="466">
        <f t="shared" si="20"/>
        <v>245</v>
      </c>
      <c r="K53" s="466">
        <f t="shared" si="20"/>
        <v>121.6</v>
      </c>
      <c r="L53" s="466">
        <f t="shared" si="20"/>
        <v>77.900000000000006</v>
      </c>
      <c r="M53" s="466">
        <f t="shared" si="20"/>
        <v>52.3</v>
      </c>
      <c r="N53" s="441">
        <f t="shared" si="20"/>
        <v>26.4</v>
      </c>
      <c r="O53" s="440">
        <f>ROUND(AVERAGE(O41:O50),1)</f>
        <v>1167.5</v>
      </c>
      <c r="P53" s="441">
        <f>ROUND(AVERAGE(P41:P50),1)</f>
        <v>97.3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13.3</v>
      </c>
      <c r="D3" s="75">
        <f>All!D5</f>
        <v>72.5</v>
      </c>
      <c r="E3" s="75">
        <f>All!E5</f>
        <v>44.5</v>
      </c>
      <c r="F3" s="75">
        <f>All!F5</f>
        <v>37</v>
      </c>
      <c r="G3" s="75">
        <f>All!G5</f>
        <v>132</v>
      </c>
      <c r="H3" s="75">
        <f>All!H5</f>
        <v>212</v>
      </c>
      <c r="I3" s="75">
        <f>All!I5</f>
        <v>302.5</v>
      </c>
      <c r="J3" s="75">
        <f>All!J5</f>
        <v>281</v>
      </c>
      <c r="K3" s="75">
        <f>All!K5</f>
        <v>100.5</v>
      </c>
      <c r="L3" s="75">
        <f>All!L5</f>
        <v>49.5</v>
      </c>
      <c r="M3" s="75">
        <f>All!M5</f>
        <v>94.5</v>
      </c>
      <c r="N3" s="75">
        <f>All!N5</f>
        <v>20.5</v>
      </c>
      <c r="O3" s="75">
        <f>All!O5</f>
        <v>1359.8</v>
      </c>
      <c r="P3" s="76">
        <f>All!P5</f>
        <v>113.3</v>
      </c>
    </row>
    <row r="4" spans="2:16">
      <c r="B4" s="74">
        <f>All!B6</f>
        <v>1994</v>
      </c>
      <c r="C4" s="75">
        <f>All!C6</f>
        <v>18.7</v>
      </c>
      <c r="D4" s="75">
        <f>All!D6</f>
        <v>12.5</v>
      </c>
      <c r="E4" s="75">
        <f>All!E6</f>
        <v>35</v>
      </c>
      <c r="F4" s="75">
        <f>All!F6</f>
        <v>22.8</v>
      </c>
      <c r="G4" s="75">
        <f>All!G6</f>
        <v>115</v>
      </c>
      <c r="H4" s="75">
        <f>All!H6</f>
        <v>89</v>
      </c>
      <c r="I4" s="75">
        <f>All!I6</f>
        <v>118.9</v>
      </c>
      <c r="J4" s="75">
        <f>All!J6</f>
        <v>196</v>
      </c>
      <c r="K4" s="75">
        <f>All!K6</f>
        <v>20</v>
      </c>
      <c r="L4" s="75">
        <f>All!L6</f>
        <v>99</v>
      </c>
      <c r="M4" s="75">
        <f>All!M6</f>
        <v>20.5</v>
      </c>
      <c r="N4" s="75">
        <f>All!N6</f>
        <v>21.1</v>
      </c>
      <c r="O4" s="75">
        <f>All!O6</f>
        <v>768.5</v>
      </c>
      <c r="P4" s="76">
        <f>All!P6</f>
        <v>64</v>
      </c>
    </row>
    <row r="5" spans="2:16">
      <c r="B5" s="74">
        <f>All!B7</f>
        <v>1995</v>
      </c>
      <c r="C5" s="75">
        <f>All!C7</f>
        <v>23.2</v>
      </c>
      <c r="D5" s="75">
        <f>All!D7</f>
        <v>17.100000000000001</v>
      </c>
      <c r="E5" s="75">
        <f>All!E7</f>
        <v>46.9</v>
      </c>
      <c r="F5" s="75">
        <f>All!F7</f>
        <v>65.5</v>
      </c>
      <c r="G5" s="75">
        <f>All!G7</f>
        <v>35.5</v>
      </c>
      <c r="H5" s="75">
        <f>All!H7</f>
        <v>54</v>
      </c>
      <c r="I5" s="75">
        <f>All!I7</f>
        <v>83.5</v>
      </c>
      <c r="J5" s="75">
        <f>All!J7</f>
        <v>579.5</v>
      </c>
      <c r="K5" s="75">
        <f>All!K7</f>
        <v>47.5</v>
      </c>
      <c r="L5" s="75">
        <f>All!L7</f>
        <v>23.5</v>
      </c>
      <c r="M5" s="75">
        <f>All!M7</f>
        <v>31</v>
      </c>
      <c r="N5" s="75">
        <f>All!N7</f>
        <v>4.5999999999999996</v>
      </c>
      <c r="O5" s="75">
        <f>All!O7</f>
        <v>1011.8</v>
      </c>
      <c r="P5" s="76">
        <f>All!P7</f>
        <v>84.3</v>
      </c>
    </row>
    <row r="6" spans="2:16">
      <c r="B6" s="74">
        <f>All!B8</f>
        <v>1996</v>
      </c>
      <c r="C6" s="75">
        <f>All!C8</f>
        <v>25.4</v>
      </c>
      <c r="D6" s="75">
        <f>All!D8</f>
        <v>2.9</v>
      </c>
      <c r="E6" s="75">
        <f>All!E8</f>
        <v>123</v>
      </c>
      <c r="F6" s="75">
        <f>All!F8</f>
        <v>42.5</v>
      </c>
      <c r="G6" s="75">
        <f>All!G8</f>
        <v>37.5</v>
      </c>
      <c r="H6" s="75">
        <f>All!H8</f>
        <v>546</v>
      </c>
      <c r="I6" s="75">
        <f>All!I8</f>
        <v>174</v>
      </c>
      <c r="J6" s="75">
        <f>All!J8</f>
        <v>130</v>
      </c>
      <c r="K6" s="75">
        <f>All!K8</f>
        <v>12.5</v>
      </c>
      <c r="L6" s="75">
        <f>All!L8</f>
        <v>75.5</v>
      </c>
      <c r="M6" s="75">
        <f>All!M8</f>
        <v>89.8</v>
      </c>
      <c r="N6" s="75">
        <f>All!N8</f>
        <v>43</v>
      </c>
      <c r="O6" s="75">
        <f>All!O8</f>
        <v>1302.0999999999999</v>
      </c>
      <c r="P6" s="76">
        <f>All!P8</f>
        <v>108.5</v>
      </c>
    </row>
    <row r="7" spans="2:16">
      <c r="B7" s="74">
        <f>All!B9</f>
        <v>1997</v>
      </c>
      <c r="C7" s="75">
        <f>All!C9</f>
        <v>21.3</v>
      </c>
      <c r="D7" s="75">
        <f>All!D9</f>
        <v>48.2</v>
      </c>
      <c r="E7" s="75">
        <f>All!E9</f>
        <v>34</v>
      </c>
      <c r="F7" s="75">
        <f>All!F9</f>
        <v>58</v>
      </c>
      <c r="G7" s="75">
        <f>All!G9</f>
        <v>170.5</v>
      </c>
      <c r="H7" s="75">
        <f>All!H9</f>
        <v>238.5</v>
      </c>
      <c r="I7" s="75">
        <f>All!I9</f>
        <v>444.5</v>
      </c>
      <c r="J7" s="75">
        <f>All!J9</f>
        <v>246.5</v>
      </c>
      <c r="K7" s="75">
        <f>All!K9</f>
        <v>89</v>
      </c>
      <c r="L7" s="75">
        <f>All!L9</f>
        <v>9</v>
      </c>
      <c r="M7" s="75">
        <f>All!M9</f>
        <v>160</v>
      </c>
      <c r="N7" s="75">
        <f>All!N9</f>
        <v>49</v>
      </c>
      <c r="O7" s="75">
        <f>All!O9</f>
        <v>1568.5</v>
      </c>
      <c r="P7" s="76">
        <f>All!P9</f>
        <v>130.69999999999999</v>
      </c>
    </row>
    <row r="8" spans="2:16">
      <c r="B8" s="74">
        <f>All!B10</f>
        <v>1998</v>
      </c>
      <c r="C8" s="75">
        <f>All!C10</f>
        <v>38.4</v>
      </c>
      <c r="D8" s="75">
        <f>All!D10</f>
        <v>53.9</v>
      </c>
      <c r="E8" s="75">
        <f>All!E10</f>
        <v>25.6</v>
      </c>
      <c r="F8" s="75">
        <f>All!F10</f>
        <v>177.5</v>
      </c>
      <c r="G8" s="75">
        <f>All!G10</f>
        <v>98.5</v>
      </c>
      <c r="H8" s="75">
        <f>All!H10</f>
        <v>278.5</v>
      </c>
      <c r="I8" s="75">
        <f>All!I10</f>
        <v>184</v>
      </c>
      <c r="J8" s="75">
        <f>All!J10</f>
        <v>520</v>
      </c>
      <c r="K8" s="75">
        <f>All!K10</f>
        <v>237.3</v>
      </c>
      <c r="L8" s="75">
        <f>All!L10</f>
        <v>49</v>
      </c>
      <c r="M8" s="75">
        <f>All!M10</f>
        <v>46.1</v>
      </c>
      <c r="N8" s="75">
        <f>All!N10</f>
        <v>6.8</v>
      </c>
      <c r="O8" s="75">
        <f>All!O10</f>
        <v>1715.6</v>
      </c>
      <c r="P8" s="76">
        <f>All!P10</f>
        <v>143</v>
      </c>
    </row>
    <row r="9" spans="2:16">
      <c r="B9" s="74">
        <f>All!B11</f>
        <v>1999</v>
      </c>
      <c r="C9" s="75">
        <f>All!C11</f>
        <v>5.3</v>
      </c>
      <c r="D9" s="75">
        <f>All!D11</f>
        <v>22.9</v>
      </c>
      <c r="E9" s="75">
        <f>All!E11</f>
        <v>73</v>
      </c>
      <c r="F9" s="75">
        <f>All!F11</f>
        <v>91.5</v>
      </c>
      <c r="G9" s="75">
        <f>All!G11</f>
        <v>117.5</v>
      </c>
      <c r="H9" s="75">
        <f>All!H11</f>
        <v>198</v>
      </c>
      <c r="I9" s="75">
        <f>All!I11</f>
        <v>114.5</v>
      </c>
      <c r="J9" s="75">
        <f>All!J11</f>
        <v>167.5</v>
      </c>
      <c r="K9" s="75">
        <f>All!K11</f>
        <v>289.5</v>
      </c>
      <c r="L9" s="75">
        <f>All!L11</f>
        <v>125</v>
      </c>
      <c r="M9" s="75">
        <f>All!M11</f>
        <v>16.399999999999999</v>
      </c>
      <c r="N9" s="75">
        <f>All!N11</f>
        <v>10.3</v>
      </c>
      <c r="O9" s="75">
        <f>All!O11</f>
        <v>1231.4000000000001</v>
      </c>
      <c r="P9" s="76">
        <f>All!P11</f>
        <v>102.6</v>
      </c>
    </row>
    <row r="10" spans="2:16">
      <c r="B10" s="74">
        <f>All!B12</f>
        <v>2000</v>
      </c>
      <c r="C10" s="75">
        <f>All!C12</f>
        <v>36.200000000000003</v>
      </c>
      <c r="D10" s="75">
        <f>All!D12</f>
        <v>2.9</v>
      </c>
      <c r="E10" s="75">
        <f>All!E12</f>
        <v>24.5</v>
      </c>
      <c r="F10" s="75">
        <f>All!F12</f>
        <v>73.7</v>
      </c>
      <c r="G10" s="75">
        <f>All!G12</f>
        <v>29</v>
      </c>
      <c r="H10" s="75">
        <f>All!H12</f>
        <v>244.5</v>
      </c>
      <c r="I10" s="75">
        <f>All!I12</f>
        <v>344</v>
      </c>
      <c r="J10" s="75">
        <f>All!J12</f>
        <v>372</v>
      </c>
      <c r="K10" s="75">
        <f>All!K12</f>
        <v>223</v>
      </c>
      <c r="L10" s="75">
        <f>All!L12</f>
        <v>34.5</v>
      </c>
      <c r="M10" s="75">
        <f>All!M12</f>
        <v>42</v>
      </c>
      <c r="N10" s="75">
        <f>All!N12</f>
        <v>6.5</v>
      </c>
      <c r="O10" s="75">
        <f>All!O12</f>
        <v>1432.8</v>
      </c>
      <c r="P10" s="76">
        <f>All!P12</f>
        <v>119.4</v>
      </c>
    </row>
    <row r="11" spans="2:16">
      <c r="B11" s="74">
        <f>All!B13</f>
        <v>2001</v>
      </c>
      <c r="C11" s="75">
        <f>All!C13</f>
        <v>63.2</v>
      </c>
      <c r="D11" s="75">
        <f>All!D13</f>
        <v>76.5</v>
      </c>
      <c r="E11" s="75">
        <f>All!E13</f>
        <v>17</v>
      </c>
      <c r="F11" s="75">
        <f>All!F13</f>
        <v>22.5</v>
      </c>
      <c r="G11" s="75">
        <f>All!G13</f>
        <v>22.5</v>
      </c>
      <c r="H11" s="75">
        <f>All!H13</f>
        <v>212.5</v>
      </c>
      <c r="I11" s="75">
        <f>All!I13</f>
        <v>203</v>
      </c>
      <c r="J11" s="75">
        <f>All!J13</f>
        <v>43</v>
      </c>
      <c r="K11" s="75">
        <f>All!K13</f>
        <v>87</v>
      </c>
      <c r="L11" s="75">
        <f>All!L13</f>
        <v>96</v>
      </c>
      <c r="M11" s="75">
        <f>All!M13</f>
        <v>12</v>
      </c>
      <c r="N11" s="75">
        <f>All!N13</f>
        <v>24.1</v>
      </c>
      <c r="O11" s="75">
        <f>All!O13</f>
        <v>879.3</v>
      </c>
      <c r="P11" s="76">
        <f>All!P13</f>
        <v>73.3</v>
      </c>
    </row>
    <row r="12" spans="2:16">
      <c r="B12" s="74">
        <f>All!B14</f>
        <v>2002</v>
      </c>
      <c r="C12" s="75">
        <f>All!C14</f>
        <v>71.5</v>
      </c>
      <c r="D12" s="75">
        <f>All!D14</f>
        <v>7.7</v>
      </c>
      <c r="E12" s="75">
        <f>All!E14</f>
        <v>52</v>
      </c>
      <c r="F12" s="75">
        <f>All!F14</f>
        <v>149.5</v>
      </c>
      <c r="G12" s="75">
        <f>All!G14</f>
        <v>127.5</v>
      </c>
      <c r="H12" s="75">
        <f>All!H14</f>
        <v>57</v>
      </c>
      <c r="I12" s="75">
        <f>All!I14</f>
        <v>139.5</v>
      </c>
      <c r="J12" s="75">
        <f>All!J14</f>
        <v>551</v>
      </c>
      <c r="K12" s="75">
        <f>All!K14</f>
        <v>98.5</v>
      </c>
      <c r="L12" s="75">
        <f>All!L14</f>
        <v>55.5</v>
      </c>
      <c r="M12" s="75">
        <f>All!M14</f>
        <v>23.2</v>
      </c>
      <c r="N12" s="75">
        <f>All!N14</f>
        <v>57.8</v>
      </c>
      <c r="O12" s="75">
        <f>All!O14</f>
        <v>1390.7</v>
      </c>
      <c r="P12" s="76">
        <f>All!P14</f>
        <v>115.9</v>
      </c>
    </row>
    <row r="13" spans="2:16">
      <c r="B13" s="74">
        <f>All!B15</f>
        <v>2003</v>
      </c>
      <c r="C13" s="75">
        <f>All!C15</f>
        <v>22.4</v>
      </c>
      <c r="D13" s="75">
        <f>All!D15</f>
        <v>66</v>
      </c>
      <c r="E13" s="75">
        <f>All!E15</f>
        <v>44</v>
      </c>
      <c r="F13" s="75">
        <f>All!F15</f>
        <v>202.5</v>
      </c>
      <c r="G13" s="75">
        <f>All!G15</f>
        <v>164</v>
      </c>
      <c r="H13" s="75">
        <f>All!H15</f>
        <v>138</v>
      </c>
      <c r="I13" s="75">
        <f>All!I15</f>
        <v>575</v>
      </c>
      <c r="J13" s="75">
        <f>All!J15</f>
        <v>280.5</v>
      </c>
      <c r="K13" s="75">
        <f>All!K15</f>
        <v>192</v>
      </c>
      <c r="L13" s="75">
        <f>All!L15</f>
        <v>22.5</v>
      </c>
      <c r="M13" s="75">
        <f>All!M15</f>
        <v>42.5</v>
      </c>
      <c r="N13" s="75">
        <f>All!N15</f>
        <v>17</v>
      </c>
      <c r="O13" s="75">
        <f>All!O15</f>
        <v>1766.4</v>
      </c>
      <c r="P13" s="76">
        <f>All!P15</f>
        <v>147.19999999999999</v>
      </c>
    </row>
    <row r="14" spans="2:16">
      <c r="B14" s="74">
        <f>All!B16</f>
        <v>2004</v>
      </c>
      <c r="C14" s="75">
        <f>All!C16</f>
        <v>11.2</v>
      </c>
      <c r="D14" s="75">
        <f>All!D16</f>
        <v>27.3</v>
      </c>
      <c r="E14" s="75">
        <f>All!E16</f>
        <v>33</v>
      </c>
      <c r="F14" s="75">
        <f>All!F16</f>
        <v>75.5</v>
      </c>
      <c r="G14" s="75">
        <f>All!G16</f>
        <v>90.5</v>
      </c>
      <c r="H14" s="75">
        <f>All!H16</f>
        <v>323.5</v>
      </c>
      <c r="I14" s="75">
        <f>All!I16</f>
        <v>406</v>
      </c>
      <c r="J14" s="75">
        <f>All!J16</f>
        <v>330.5</v>
      </c>
      <c r="K14" s="75">
        <f>All!K16</f>
        <v>126</v>
      </c>
      <c r="L14" s="75">
        <f>All!L16</f>
        <v>2.5</v>
      </c>
      <c r="M14" s="75">
        <f>All!M16</f>
        <v>43</v>
      </c>
      <c r="N14" s="75">
        <f>All!N16</f>
        <v>34.5</v>
      </c>
      <c r="O14" s="75">
        <f>All!O16</f>
        <v>1503.5</v>
      </c>
      <c r="P14" s="76">
        <f>All!P16</f>
        <v>125.3</v>
      </c>
    </row>
    <row r="15" spans="2:16">
      <c r="B15" s="74">
        <f>All!B17</f>
        <v>2005</v>
      </c>
      <c r="C15" s="75">
        <f>All!C17</f>
        <v>9.4</v>
      </c>
      <c r="D15" s="75">
        <f>All!D17</f>
        <v>34</v>
      </c>
      <c r="E15" s="75">
        <f>All!E17</f>
        <v>51</v>
      </c>
      <c r="F15" s="75">
        <f>All!F17</f>
        <v>31.5</v>
      </c>
      <c r="G15" s="75">
        <f>All!G17</f>
        <v>65.5</v>
      </c>
      <c r="H15" s="75">
        <f>All!H17</f>
        <v>191</v>
      </c>
      <c r="I15" s="75">
        <f>All!I17</f>
        <v>411.5</v>
      </c>
      <c r="J15" s="75">
        <f>All!J17</f>
        <v>387</v>
      </c>
      <c r="K15" s="75">
        <f>All!K17</f>
        <v>118</v>
      </c>
      <c r="L15" s="75">
        <f>All!L17</f>
        <v>23</v>
      </c>
      <c r="M15" s="75">
        <f>All!M17</f>
        <v>30.5</v>
      </c>
      <c r="N15" s="75">
        <f>All!N17</f>
        <v>22.6</v>
      </c>
      <c r="O15" s="75">
        <f>All!O17</f>
        <v>1375</v>
      </c>
      <c r="P15" s="76">
        <f>All!P17</f>
        <v>114.6</v>
      </c>
    </row>
    <row r="16" spans="2:16">
      <c r="B16" s="74">
        <f>All!B18</f>
        <v>2006</v>
      </c>
      <c r="C16" s="75">
        <f>All!C18</f>
        <v>28</v>
      </c>
      <c r="D16" s="75">
        <f>All!D18</f>
        <v>41.1</v>
      </c>
      <c r="E16" s="75">
        <f>All!E18</f>
        <v>8.4</v>
      </c>
      <c r="F16" s="75">
        <f>All!F18</f>
        <v>112</v>
      </c>
      <c r="G16" s="75">
        <f>All!G18</f>
        <v>93.5</v>
      </c>
      <c r="H16" s="75">
        <f>All!H18</f>
        <v>73</v>
      </c>
      <c r="I16" s="75">
        <f>All!I18</f>
        <v>681.5</v>
      </c>
      <c r="J16" s="75">
        <f>All!J18</f>
        <v>118</v>
      </c>
      <c r="K16" s="75">
        <f>All!K18</f>
        <v>40.5</v>
      </c>
      <c r="L16" s="75">
        <f>All!L18</f>
        <v>54</v>
      </c>
      <c r="M16" s="75">
        <f>All!M18</f>
        <v>71</v>
      </c>
      <c r="N16" s="75">
        <f>All!N18</f>
        <v>28.9</v>
      </c>
      <c r="O16" s="75">
        <f>All!O18</f>
        <v>1349.9</v>
      </c>
      <c r="P16" s="76">
        <f>All!P18</f>
        <v>112.5</v>
      </c>
    </row>
    <row r="17" spans="2:16">
      <c r="B17" s="74">
        <f>All!B19</f>
        <v>2007</v>
      </c>
      <c r="C17" s="75">
        <f>All!C19</f>
        <v>13.7</v>
      </c>
      <c r="D17" s="75">
        <f>All!D19</f>
        <v>57</v>
      </c>
      <c r="E17" s="75">
        <f>All!E19</f>
        <v>129</v>
      </c>
      <c r="F17" s="75">
        <f>All!F19</f>
        <v>27.5</v>
      </c>
      <c r="G17" s="75">
        <f>All!G19</f>
        <v>104</v>
      </c>
      <c r="H17" s="75">
        <f>All!H19</f>
        <v>180</v>
      </c>
      <c r="I17" s="75">
        <f>All!I19</f>
        <v>252</v>
      </c>
      <c r="J17" s="75">
        <f>All!J19</f>
        <v>343.5</v>
      </c>
      <c r="K17" s="75">
        <f>All!K19</f>
        <v>398.5</v>
      </c>
      <c r="L17" s="75">
        <f>All!L19</f>
        <v>32</v>
      </c>
      <c r="M17" s="75">
        <f>All!M19</f>
        <v>13.5</v>
      </c>
      <c r="N17" s="75">
        <f>All!N19</f>
        <v>35.4</v>
      </c>
      <c r="O17" s="75">
        <f>All!O19</f>
        <v>1586.1</v>
      </c>
      <c r="P17" s="76">
        <f>All!P19</f>
        <v>132.19999999999999</v>
      </c>
    </row>
    <row r="18" spans="2:16">
      <c r="B18" s="74">
        <f>All!B20</f>
        <v>2008</v>
      </c>
      <c r="C18" s="75">
        <f>All!C20</f>
        <v>32.4</v>
      </c>
      <c r="D18" s="75">
        <f>All!D20</f>
        <v>6.1</v>
      </c>
      <c r="E18" s="75">
        <f>All!E20</f>
        <v>28.3</v>
      </c>
      <c r="F18" s="75">
        <f>All!F20</f>
        <v>37.6</v>
      </c>
      <c r="G18" s="75">
        <f>All!G20</f>
        <v>84.5</v>
      </c>
      <c r="H18" s="75">
        <f>All!H20</f>
        <v>190.5</v>
      </c>
      <c r="I18" s="75">
        <f>All!I20</f>
        <v>202</v>
      </c>
      <c r="J18" s="75">
        <f>All!J20</f>
        <v>210</v>
      </c>
      <c r="K18" s="75">
        <f>All!K20</f>
        <v>35.9</v>
      </c>
      <c r="L18" s="75">
        <f>All!L20</f>
        <v>40.1</v>
      </c>
      <c r="M18" s="75">
        <f>All!M20</f>
        <v>15.1</v>
      </c>
      <c r="N18" s="75">
        <f>All!N20</f>
        <v>19.7</v>
      </c>
      <c r="O18" s="75">
        <f>All!O20</f>
        <v>902.2</v>
      </c>
      <c r="P18" s="76">
        <f>All!P20</f>
        <v>75.2</v>
      </c>
    </row>
    <row r="19" spans="2:16">
      <c r="B19" s="74">
        <f>All!B21</f>
        <v>2009</v>
      </c>
      <c r="C19" s="75">
        <f>All!C21</f>
        <v>13.2</v>
      </c>
      <c r="D19" s="75">
        <f>All!D21</f>
        <v>41.5</v>
      </c>
      <c r="E19" s="75">
        <f>All!E21</f>
        <v>43</v>
      </c>
      <c r="F19" s="75">
        <f>All!F21</f>
        <v>36</v>
      </c>
      <c r="G19" s="75">
        <f>All!G21</f>
        <v>120.3</v>
      </c>
      <c r="H19" s="75">
        <f>All!H21</f>
        <v>116.3</v>
      </c>
      <c r="I19" s="75">
        <f>All!I21</f>
        <v>515.5</v>
      </c>
      <c r="J19" s="75">
        <f>All!J21</f>
        <v>97</v>
      </c>
      <c r="K19" s="75">
        <f>All!K21</f>
        <v>54.5</v>
      </c>
      <c r="L19" s="75">
        <f>All!L21</f>
        <v>24</v>
      </c>
      <c r="M19" s="75">
        <f>All!M21</f>
        <v>29</v>
      </c>
      <c r="N19" s="75">
        <f>All!N21</f>
        <v>38.299999999999997</v>
      </c>
      <c r="O19" s="75">
        <f>All!O21</f>
        <v>1128.5999999999999</v>
      </c>
      <c r="P19" s="76">
        <f>All!P21</f>
        <v>94.1</v>
      </c>
    </row>
    <row r="20" spans="2:16">
      <c r="B20" s="74">
        <f>All!B22</f>
        <v>2010</v>
      </c>
      <c r="C20" s="75">
        <f>All!C22</f>
        <v>33.6</v>
      </c>
      <c r="D20" s="75">
        <f>All!D22</f>
        <v>74.5</v>
      </c>
      <c r="E20" s="75">
        <f>All!E22</f>
        <v>83.8</v>
      </c>
      <c r="F20" s="75">
        <f>All!F22</f>
        <v>73.7</v>
      </c>
      <c r="G20" s="75">
        <f>All!G22</f>
        <v>114.5</v>
      </c>
      <c r="H20" s="75">
        <f>All!H22</f>
        <v>62.5</v>
      </c>
      <c r="I20" s="75">
        <f>All!I22</f>
        <v>278.5</v>
      </c>
      <c r="J20" s="75">
        <f>All!J22</f>
        <v>495.6</v>
      </c>
      <c r="K20" s="75">
        <f>All!K22</f>
        <v>110.3</v>
      </c>
      <c r="L20" s="75">
        <f>All!L22</f>
        <v>20.2</v>
      </c>
      <c r="M20" s="75">
        <f>All!M22</f>
        <v>20</v>
      </c>
      <c r="N20" s="75">
        <f>All!N22</f>
        <v>36.5</v>
      </c>
      <c r="O20" s="75">
        <f>All!O22</f>
        <v>1403.7</v>
      </c>
      <c r="P20" s="76">
        <f>All!P22</f>
        <v>117</v>
      </c>
    </row>
    <row r="21" spans="2:16">
      <c r="B21" s="74">
        <f>All!B23</f>
        <v>2011</v>
      </c>
      <c r="C21" s="75">
        <f>All!C23</f>
        <v>2.2000000000000002</v>
      </c>
      <c r="D21" s="75">
        <f>All!D23</f>
        <v>63.5</v>
      </c>
      <c r="E21" s="75">
        <f>All!E23</f>
        <v>21.5</v>
      </c>
      <c r="F21" s="75">
        <f>All!F23</f>
        <v>132.9</v>
      </c>
      <c r="G21" s="75">
        <f>All!G23</f>
        <v>130.6</v>
      </c>
      <c r="H21" s="75">
        <f>All!H23</f>
        <v>237.8</v>
      </c>
      <c r="I21" s="75">
        <f>All!I23</f>
        <v>571.20000000000005</v>
      </c>
      <c r="J21" s="75">
        <f>All!J23</f>
        <v>403</v>
      </c>
      <c r="K21" s="75">
        <f>All!K23</f>
        <v>77.8</v>
      </c>
      <c r="L21" s="75">
        <f>All!L23</f>
        <v>52.2</v>
      </c>
      <c r="M21" s="75">
        <f>All!M23</f>
        <v>98</v>
      </c>
      <c r="N21" s="75">
        <f>All!N23</f>
        <v>7.8</v>
      </c>
      <c r="O21" s="75">
        <f>All!O23</f>
        <v>1798.5</v>
      </c>
      <c r="P21" s="76">
        <f>All!P23</f>
        <v>149.9</v>
      </c>
    </row>
    <row r="22" spans="2:16">
      <c r="B22" s="74">
        <f>All!B24</f>
        <v>2012</v>
      </c>
      <c r="C22" s="75">
        <f>All!C24</f>
        <v>23.7</v>
      </c>
      <c r="D22" s="75">
        <f>All!D24</f>
        <v>1.1000000000000001</v>
      </c>
      <c r="E22" s="75">
        <f>All!E24</f>
        <v>83.6</v>
      </c>
      <c r="F22" s="75">
        <f>All!F24</f>
        <v>75.900000000000006</v>
      </c>
      <c r="G22" s="75">
        <f>All!G24</f>
        <v>21.7</v>
      </c>
      <c r="H22" s="75">
        <f>All!H24</f>
        <v>115.7</v>
      </c>
      <c r="I22" s="75">
        <f>All!I24</f>
        <v>239.2</v>
      </c>
      <c r="J22" s="75">
        <f>All!J24</f>
        <v>497.5</v>
      </c>
      <c r="K22" s="75">
        <f>All!K24</f>
        <v>219.5</v>
      </c>
      <c r="L22" s="75">
        <f>All!L24</f>
        <v>46.6</v>
      </c>
      <c r="M22" s="75">
        <f>All!M24</f>
        <v>47.3</v>
      </c>
      <c r="N22" s="75">
        <f>All!N24</f>
        <v>62.7</v>
      </c>
      <c r="O22" s="75">
        <f>All!O24</f>
        <v>1434.5</v>
      </c>
      <c r="P22" s="76">
        <f>All!P24</f>
        <v>119.5</v>
      </c>
    </row>
    <row r="23" spans="2:16" s="355" customFormat="1">
      <c r="B23" s="352">
        <f>All!B25</f>
        <v>2013</v>
      </c>
      <c r="C23" s="353">
        <f>All!C25</f>
        <v>37</v>
      </c>
      <c r="D23" s="353">
        <f>All!D25</f>
        <v>43.8</v>
      </c>
      <c r="E23" s="353">
        <f>All!E25</f>
        <v>64.599999999999994</v>
      </c>
      <c r="F23" s="353">
        <f>All!F25</f>
        <v>86.4</v>
      </c>
      <c r="G23" s="353">
        <f>All!G25</f>
        <v>79.5</v>
      </c>
      <c r="H23" s="353">
        <f>All!H25</f>
        <v>117.7</v>
      </c>
      <c r="I23" s="353">
        <f>All!I25</f>
        <v>216.9</v>
      </c>
      <c r="J23" s="353">
        <f>All!J25</f>
        <v>159.5</v>
      </c>
      <c r="K23" s="353">
        <f>All!K25</f>
        <v>80.8</v>
      </c>
      <c r="L23" s="353">
        <f>All!L25</f>
        <v>32.6</v>
      </c>
      <c r="M23" s="353">
        <f>All!M25</f>
        <v>53.9</v>
      </c>
      <c r="N23" s="353">
        <f>All!N25</f>
        <v>24.1</v>
      </c>
      <c r="O23" s="353">
        <f>All!O25</f>
        <v>996.8</v>
      </c>
      <c r="P23" s="354">
        <f>All!P25</f>
        <v>83.1</v>
      </c>
    </row>
    <row r="24" spans="2:16">
      <c r="B24" s="74">
        <f>All!B26</f>
        <v>2014</v>
      </c>
      <c r="C24" s="75">
        <f>All!C26</f>
        <v>4.0999999999999996</v>
      </c>
      <c r="D24" s="75">
        <f>All!D26</f>
        <v>2.7</v>
      </c>
      <c r="E24" s="75">
        <f>All!E26</f>
        <v>97.9</v>
      </c>
      <c r="F24" s="75">
        <f>All!F26</f>
        <v>88.7</v>
      </c>
      <c r="G24" s="75">
        <f>All!G26</f>
        <v>26</v>
      </c>
      <c r="H24" s="75">
        <f>All!H26</f>
        <v>45.6</v>
      </c>
      <c r="I24" s="75">
        <f>All!I26</f>
        <v>105.8</v>
      </c>
      <c r="J24" s="75">
        <f>All!J26</f>
        <v>426.4</v>
      </c>
      <c r="K24" s="75">
        <f>All!K26</f>
        <v>91.2</v>
      </c>
      <c r="L24" s="75">
        <f>All!L26</f>
        <v>141.19999999999999</v>
      </c>
      <c r="M24" s="75">
        <f>All!M26</f>
        <v>70.099999999999994</v>
      </c>
      <c r="N24" s="75">
        <f>All!N26</f>
        <v>31.3</v>
      </c>
      <c r="O24" s="75">
        <f>All!O26</f>
        <v>1131</v>
      </c>
      <c r="P24" s="76">
        <f>All!P26</f>
        <v>94.3</v>
      </c>
    </row>
    <row r="25" spans="2:16">
      <c r="B25" s="74">
        <f>All!B27</f>
        <v>2015</v>
      </c>
      <c r="C25" s="75">
        <f>All!C27</f>
        <v>37.6</v>
      </c>
      <c r="D25" s="75">
        <f>All!D27</f>
        <v>23.4</v>
      </c>
      <c r="E25" s="75">
        <f>All!E27</f>
        <v>46.6</v>
      </c>
      <c r="F25" s="75">
        <f>All!F27</f>
        <v>93.5</v>
      </c>
      <c r="G25" s="75">
        <f>All!G27</f>
        <v>29.5</v>
      </c>
      <c r="H25" s="75">
        <f>All!H27</f>
        <v>143.69999999999999</v>
      </c>
      <c r="I25" s="75">
        <f>All!I27</f>
        <v>162.30000000000001</v>
      </c>
      <c r="J25" s="75">
        <f>All!J27</f>
        <v>83.6</v>
      </c>
      <c r="K25" s="75">
        <f>All!K27</f>
        <v>18.600000000000001</v>
      </c>
      <c r="L25" s="75">
        <f>All!L27</f>
        <v>93.5</v>
      </c>
      <c r="M25" s="75">
        <f>All!M27</f>
        <v>109.6</v>
      </c>
      <c r="N25" s="75">
        <f>All!N27</f>
        <v>35.700000000000003</v>
      </c>
      <c r="O25" s="75">
        <f>All!O27</f>
        <v>877.6</v>
      </c>
      <c r="P25" s="76">
        <f>All!P27</f>
        <v>73.099999999999994</v>
      </c>
    </row>
    <row r="26" spans="2:16">
      <c r="B26" s="74">
        <f>All!B28</f>
        <v>2016</v>
      </c>
      <c r="C26" s="75">
        <f>All!C28</f>
        <v>11.1</v>
      </c>
      <c r="D26" s="75">
        <f>All!D28</f>
        <v>46</v>
      </c>
      <c r="E26" s="75">
        <f>All!E28</f>
        <v>54.5</v>
      </c>
      <c r="F26" s="75">
        <f>All!F28</f>
        <v>171.7</v>
      </c>
      <c r="G26" s="75">
        <f>All!G28</f>
        <v>70.5</v>
      </c>
      <c r="H26" s="75">
        <f>All!H28</f>
        <v>87.4</v>
      </c>
      <c r="I26" s="75">
        <f>All!I28</f>
        <v>377.9</v>
      </c>
      <c r="J26" s="75">
        <f>All!J28</f>
        <v>105.6</v>
      </c>
      <c r="K26" s="75">
        <f>All!K28</f>
        <v>160.9</v>
      </c>
      <c r="L26" s="75">
        <f>All!L28</f>
        <v>157.19999999999999</v>
      </c>
      <c r="M26" s="75">
        <f>All!M28</f>
        <v>33.200000000000003</v>
      </c>
      <c r="N26" s="75">
        <f>All!N28</f>
        <v>49.6</v>
      </c>
      <c r="O26" s="75">
        <f>All!O28</f>
        <v>1325.6</v>
      </c>
      <c r="P26" s="76">
        <f>All!P28</f>
        <v>110.5</v>
      </c>
    </row>
    <row r="27" spans="2:16">
      <c r="B27" s="74">
        <f>All!B29</f>
        <v>2017</v>
      </c>
      <c r="C27" s="75">
        <f>All!C29</f>
        <v>13.6</v>
      </c>
      <c r="D27" s="75">
        <f>All!D29</f>
        <v>54.6</v>
      </c>
      <c r="E27" s="75">
        <f>All!E29</f>
        <v>29.8</v>
      </c>
      <c r="F27" s="75">
        <f>All!F29</f>
        <v>76.099999999999994</v>
      </c>
      <c r="G27" s="75">
        <f>All!G29</f>
        <v>31.8</v>
      </c>
      <c r="H27" s="75">
        <f>All!H29</f>
        <v>48.3</v>
      </c>
      <c r="I27" s="75">
        <f>All!I29</f>
        <v>305.5</v>
      </c>
      <c r="J27" s="75">
        <f>All!J29</f>
        <v>222.3</v>
      </c>
      <c r="K27" s="75">
        <f>All!K29</f>
        <v>105.6</v>
      </c>
      <c r="L27" s="75">
        <f>All!L29</f>
        <v>35.1</v>
      </c>
      <c r="M27" s="75">
        <f>All!M29</f>
        <v>15.6</v>
      </c>
      <c r="N27" s="75">
        <f>All!N29</f>
        <v>29.3</v>
      </c>
      <c r="O27" s="75">
        <f>All!O29</f>
        <v>967.6</v>
      </c>
      <c r="P27" s="76">
        <f>All!P29</f>
        <v>80.599999999999994</v>
      </c>
    </row>
    <row r="28" spans="2:16">
      <c r="B28" s="74">
        <f>All!B30</f>
        <v>2018</v>
      </c>
      <c r="C28" s="75">
        <f>All!C30</f>
        <v>25.7</v>
      </c>
      <c r="D28" s="75">
        <f>All!D30</f>
        <v>28.1</v>
      </c>
      <c r="E28" s="75">
        <f>All!E30</f>
        <v>91.5</v>
      </c>
      <c r="F28" s="75">
        <f>All!F30</f>
        <v>142.4</v>
      </c>
      <c r="G28" s="75">
        <f>All!G30</f>
        <v>110.4</v>
      </c>
      <c r="H28" s="75">
        <f>All!H30</f>
        <v>104.3</v>
      </c>
      <c r="I28" s="75">
        <f>All!I30</f>
        <v>163.5</v>
      </c>
      <c r="J28" s="75">
        <f>All!J30</f>
        <v>410.4</v>
      </c>
      <c r="K28" s="75">
        <f>All!K30</f>
        <v>135.19999999999999</v>
      </c>
      <c r="L28" s="75">
        <f>All!L30</f>
        <v>112.6</v>
      </c>
      <c r="M28" s="75">
        <f>All!M30</f>
        <v>45.5</v>
      </c>
      <c r="N28" s="75">
        <f>All!N30</f>
        <v>27.6</v>
      </c>
      <c r="O28" s="75">
        <f>All!O30</f>
        <v>1397.2</v>
      </c>
      <c r="P28" s="76">
        <f>All!P30</f>
        <v>116.4</v>
      </c>
    </row>
    <row r="29" spans="2:16">
      <c r="B29" s="74">
        <f>All!B31</f>
        <v>2019</v>
      </c>
      <c r="C29" s="75">
        <f>All!C31</f>
        <v>6.4</v>
      </c>
      <c r="D29" s="75">
        <f>All!D31</f>
        <v>41.5</v>
      </c>
      <c r="E29" s="75">
        <f>All!E31</f>
        <v>33</v>
      </c>
      <c r="F29" s="75">
        <f>All!F31</f>
        <v>93</v>
      </c>
      <c r="G29" s="75">
        <f>All!G31</f>
        <v>44.2</v>
      </c>
      <c r="H29" s="75">
        <f>All!H31</f>
        <v>101</v>
      </c>
      <c r="I29" s="75">
        <f>All!I31</f>
        <v>141.1</v>
      </c>
      <c r="J29" s="75">
        <f>All!J31</f>
        <v>105.8</v>
      </c>
      <c r="K29" s="75">
        <f>All!K31</f>
        <v>236.4</v>
      </c>
      <c r="L29" s="75">
        <f>All!L31</f>
        <v>99.3</v>
      </c>
      <c r="M29" s="75">
        <f>All!M31</f>
        <v>47.9</v>
      </c>
      <c r="N29" s="75">
        <f>All!N31</f>
        <v>33</v>
      </c>
      <c r="O29" s="75">
        <f>All!O31</f>
        <v>982.6</v>
      </c>
      <c r="P29" s="76">
        <f>All!P31</f>
        <v>81.900000000000006</v>
      </c>
    </row>
    <row r="30" spans="2:16">
      <c r="B30" s="74">
        <f>All!B32</f>
        <v>2020</v>
      </c>
      <c r="C30" s="75">
        <f>All!C32</f>
        <v>80.8</v>
      </c>
      <c r="D30" s="75">
        <f>All!D32</f>
        <v>83.9</v>
      </c>
      <c r="E30" s="75">
        <f>All!E32</f>
        <v>20.5</v>
      </c>
      <c r="F30" s="75">
        <f>All!F32</f>
        <v>35.6</v>
      </c>
      <c r="G30" s="75">
        <f>All!G32</f>
        <v>80.5</v>
      </c>
      <c r="H30" s="75">
        <f>All!H32</f>
        <v>234</v>
      </c>
      <c r="I30" s="75">
        <f>All!I32</f>
        <v>628</v>
      </c>
      <c r="J30" s="75">
        <f>All!J32</f>
        <v>373.4</v>
      </c>
      <c r="K30" s="75">
        <f>All!K32</f>
        <v>167.2</v>
      </c>
      <c r="L30" s="75">
        <f>All!L32</f>
        <v>4.0999999999999996</v>
      </c>
      <c r="M30" s="75">
        <f>All!M32</f>
        <v>41.9</v>
      </c>
      <c r="N30" s="75">
        <f>All!N32</f>
        <v>8.3000000000000007</v>
      </c>
      <c r="O30" s="75">
        <f>All!O32</f>
        <v>1758.2</v>
      </c>
      <c r="P30" s="76">
        <f>All!P32</f>
        <v>146.5</v>
      </c>
    </row>
    <row r="31" spans="2:16">
      <c r="B31" s="74">
        <f>All!B33</f>
        <v>2021</v>
      </c>
      <c r="C31" s="75">
        <f>All!C33</f>
        <v>23.5</v>
      </c>
      <c r="D31" s="75">
        <f>All!D33</f>
        <v>19.3</v>
      </c>
      <c r="E31" s="75">
        <f>All!E33</f>
        <v>88</v>
      </c>
      <c r="F31" s="75">
        <f>All!F33</f>
        <v>39.299999999999997</v>
      </c>
      <c r="G31" s="75">
        <f>All!G33</f>
        <v>162.69999999999999</v>
      </c>
      <c r="H31" s="75">
        <f>All!H33</f>
        <v>105.6</v>
      </c>
      <c r="I31" s="75">
        <f>All!I33</f>
        <v>300.8</v>
      </c>
      <c r="J31" s="75">
        <f>All!J33</f>
        <v>297.2</v>
      </c>
      <c r="K31" s="75">
        <f>All!K33</f>
        <v>151.9</v>
      </c>
      <c r="L31" s="75">
        <f>All!L33</f>
        <v>44</v>
      </c>
      <c r="M31" s="75">
        <f>All!M33</f>
        <v>50.7</v>
      </c>
      <c r="N31" s="75">
        <f>All!N33</f>
        <v>7.1</v>
      </c>
      <c r="O31" s="75">
        <f>All!O33</f>
        <v>1290.0999999999999</v>
      </c>
      <c r="P31" s="76">
        <f>All!P33</f>
        <v>107.5</v>
      </c>
    </row>
    <row r="32" spans="2:16">
      <c r="B32" s="74">
        <f>All!B34</f>
        <v>2022</v>
      </c>
      <c r="C32" s="75">
        <f>All!C34</f>
        <v>1.5</v>
      </c>
      <c r="D32" s="75">
        <f>All!D34</f>
        <v>4.0999999999999996</v>
      </c>
      <c r="E32" s="75">
        <f>All!E34</f>
        <v>80.599999999999994</v>
      </c>
      <c r="F32" s="75">
        <f>All!F34</f>
        <v>63.3</v>
      </c>
      <c r="G32" s="75">
        <f>All!G34</f>
        <v>4.7</v>
      </c>
      <c r="H32" s="75">
        <f>All!H34</f>
        <v>145.4</v>
      </c>
      <c r="I32" s="75">
        <f>All!I34</f>
        <v>183.7</v>
      </c>
      <c r="J32" s="75">
        <f>All!J34</f>
        <v>265.7</v>
      </c>
      <c r="K32" s="75">
        <f>All!K34</f>
        <v>68.2</v>
      </c>
      <c r="L32" s="75">
        <f>All!L34</f>
        <v>59.3</v>
      </c>
      <c r="M32" s="75">
        <f>All!M34</f>
        <v>54.2</v>
      </c>
      <c r="N32" s="75">
        <f>All!N34</f>
        <v>18</v>
      </c>
      <c r="O32" s="75">
        <f>All!O34</f>
        <v>948.7</v>
      </c>
      <c r="P32" s="76">
        <f>All!P34</f>
        <v>79.099999999999994</v>
      </c>
    </row>
    <row r="33" spans="2:17">
      <c r="B33" s="77" t="s">
        <v>173</v>
      </c>
      <c r="C33" s="78">
        <f>ROUND(SUM(C23:C32)/10,1)</f>
        <v>24.1</v>
      </c>
      <c r="D33" s="78">
        <f t="shared" ref="D33:P33" si="0">ROUND(SUM(D23:D32)/10,1)</f>
        <v>34.700000000000003</v>
      </c>
      <c r="E33" s="78">
        <f t="shared" si="0"/>
        <v>60.7</v>
      </c>
      <c r="F33" s="78">
        <f t="shared" si="0"/>
        <v>89</v>
      </c>
      <c r="G33" s="78">
        <f t="shared" si="0"/>
        <v>64</v>
      </c>
      <c r="H33" s="78">
        <f t="shared" si="0"/>
        <v>113.3</v>
      </c>
      <c r="I33" s="78">
        <f t="shared" si="0"/>
        <v>258.60000000000002</v>
      </c>
      <c r="J33" s="78">
        <f t="shared" si="0"/>
        <v>245</v>
      </c>
      <c r="K33" s="78">
        <f t="shared" si="0"/>
        <v>121.6</v>
      </c>
      <c r="L33" s="78">
        <f t="shared" si="0"/>
        <v>77.900000000000006</v>
      </c>
      <c r="M33" s="78">
        <f t="shared" si="0"/>
        <v>52.3</v>
      </c>
      <c r="N33" s="78">
        <f t="shared" si="0"/>
        <v>26.4</v>
      </c>
      <c r="O33" s="78">
        <f t="shared" si="0"/>
        <v>1167.5</v>
      </c>
      <c r="P33" s="79">
        <f t="shared" si="0"/>
        <v>97.3</v>
      </c>
    </row>
    <row r="34" spans="2:17" ht="17.25" thickBot="1">
      <c r="B34" s="116" t="s">
        <v>172</v>
      </c>
      <c r="C34" s="80">
        <f>All!C37</f>
        <v>24.9</v>
      </c>
      <c r="D34" s="80">
        <f>All!D37</f>
        <v>35.9</v>
      </c>
      <c r="E34" s="80">
        <f>All!E37</f>
        <v>53.6</v>
      </c>
      <c r="F34" s="80">
        <f>All!F37</f>
        <v>81.2</v>
      </c>
      <c r="G34" s="80">
        <f>All!G37</f>
        <v>83.8</v>
      </c>
      <c r="H34" s="80">
        <f>All!H37</f>
        <v>163</v>
      </c>
      <c r="I34" s="80">
        <f>All!I37</f>
        <v>294.2</v>
      </c>
      <c r="J34" s="80">
        <f>All!J37</f>
        <v>290</v>
      </c>
      <c r="K34" s="80">
        <f>All!K37</f>
        <v>126.5</v>
      </c>
      <c r="L34" s="80">
        <f>All!L37</f>
        <v>57.1</v>
      </c>
      <c r="M34" s="80">
        <f>All!M37</f>
        <v>48.9</v>
      </c>
      <c r="N34" s="80">
        <f>All!N37</f>
        <v>27</v>
      </c>
      <c r="O34" s="80">
        <f>All!O37</f>
        <v>1286.0999999999999</v>
      </c>
      <c r="P34" s="81">
        <f>All!P37</f>
        <v>107.2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996.8</v>
      </c>
      <c r="D38" s="88" t="s">
        <v>30</v>
      </c>
      <c r="E38" s="89">
        <f>All!C53</f>
        <v>24.1</v>
      </c>
      <c r="F38" s="89">
        <f>All!D53</f>
        <v>34.700000000000003</v>
      </c>
      <c r="G38" s="89">
        <f>All!E53</f>
        <v>60.7</v>
      </c>
      <c r="H38" s="89">
        <f>All!F53</f>
        <v>89</v>
      </c>
      <c r="I38" s="89">
        <f>All!G53</f>
        <v>64</v>
      </c>
      <c r="J38" s="89">
        <f>All!H53</f>
        <v>113.3</v>
      </c>
      <c r="K38" s="89">
        <f>All!I53</f>
        <v>258.60000000000002</v>
      </c>
      <c r="L38" s="89">
        <f>All!J53</f>
        <v>245</v>
      </c>
      <c r="M38" s="89">
        <f>All!K53</f>
        <v>121.6</v>
      </c>
      <c r="N38" s="89">
        <f>All!L53</f>
        <v>77.900000000000006</v>
      </c>
      <c r="O38" s="89">
        <f>All!M53</f>
        <v>52.3</v>
      </c>
      <c r="P38" s="89">
        <f>All!N53</f>
        <v>26.4</v>
      </c>
      <c r="Q38" s="140">
        <f>All!P53</f>
        <v>97.3</v>
      </c>
    </row>
    <row r="39" spans="2:17">
      <c r="B39" s="74">
        <f t="shared" ref="B39:B48" si="1">B24</f>
        <v>2014</v>
      </c>
      <c r="C39" s="76">
        <f t="shared" ref="C39:C48" si="2">O24</f>
        <v>1131</v>
      </c>
    </row>
    <row r="40" spans="2:17">
      <c r="B40" s="74">
        <f t="shared" si="1"/>
        <v>2015</v>
      </c>
      <c r="C40" s="76">
        <f t="shared" si="2"/>
        <v>877.6</v>
      </c>
    </row>
    <row r="41" spans="2:17">
      <c r="B41" s="74">
        <f t="shared" si="1"/>
        <v>2016</v>
      </c>
      <c r="C41" s="76">
        <f t="shared" si="2"/>
        <v>1325.6</v>
      </c>
    </row>
    <row r="42" spans="2:17">
      <c r="B42" s="74">
        <f t="shared" si="1"/>
        <v>2017</v>
      </c>
      <c r="C42" s="76">
        <f t="shared" si="2"/>
        <v>967.6</v>
      </c>
    </row>
    <row r="43" spans="2:17">
      <c r="B43" s="74">
        <f t="shared" si="1"/>
        <v>2018</v>
      </c>
      <c r="C43" s="76">
        <f t="shared" si="2"/>
        <v>1397.2</v>
      </c>
    </row>
    <row r="44" spans="2:17">
      <c r="B44" s="74">
        <f t="shared" si="1"/>
        <v>2019</v>
      </c>
      <c r="C44" s="76">
        <f t="shared" si="2"/>
        <v>982.6</v>
      </c>
    </row>
    <row r="45" spans="2:17">
      <c r="B45" s="74">
        <f t="shared" si="1"/>
        <v>2020</v>
      </c>
      <c r="C45" s="76">
        <f t="shared" si="2"/>
        <v>1758.2</v>
      </c>
    </row>
    <row r="46" spans="2:17">
      <c r="B46" s="74">
        <f t="shared" si="1"/>
        <v>2021</v>
      </c>
      <c r="C46" s="76">
        <f t="shared" si="2"/>
        <v>1290.0999999999999</v>
      </c>
    </row>
    <row r="47" spans="2:17">
      <c r="B47" s="74">
        <f t="shared" si="1"/>
        <v>2022</v>
      </c>
      <c r="C47" s="76">
        <f t="shared" si="2"/>
        <v>948.7</v>
      </c>
    </row>
    <row r="48" spans="2:17" ht="17.25" thickBot="1">
      <c r="B48" s="82" t="str">
        <f t="shared" si="1"/>
        <v>10년평균</v>
      </c>
      <c r="C48" s="83">
        <f t="shared" si="2"/>
        <v>1167.5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1359.8</v>
      </c>
    </row>
    <row r="53" spans="2:3">
      <c r="B53" s="111">
        <f t="shared" ref="B53:B81" si="3">B4</f>
        <v>1994</v>
      </c>
      <c r="C53" s="112">
        <f t="shared" ref="C53:C81" si="4">O4</f>
        <v>768.5</v>
      </c>
    </row>
    <row r="54" spans="2:3">
      <c r="B54" s="111">
        <f t="shared" si="3"/>
        <v>1995</v>
      </c>
      <c r="C54" s="112">
        <f t="shared" si="4"/>
        <v>1011.8</v>
      </c>
    </row>
    <row r="55" spans="2:3">
      <c r="B55" s="111">
        <f t="shared" si="3"/>
        <v>1996</v>
      </c>
      <c r="C55" s="112">
        <f t="shared" si="4"/>
        <v>1302.0999999999999</v>
      </c>
    </row>
    <row r="56" spans="2:3">
      <c r="B56" s="111">
        <f t="shared" si="3"/>
        <v>1997</v>
      </c>
      <c r="C56" s="112">
        <f t="shared" si="4"/>
        <v>1568.5</v>
      </c>
    </row>
    <row r="57" spans="2:3">
      <c r="B57" s="111">
        <f t="shared" si="3"/>
        <v>1998</v>
      </c>
      <c r="C57" s="112">
        <f t="shared" si="4"/>
        <v>1715.6</v>
      </c>
    </row>
    <row r="58" spans="2:3">
      <c r="B58" s="111">
        <f t="shared" si="3"/>
        <v>1999</v>
      </c>
      <c r="C58" s="112">
        <f t="shared" si="4"/>
        <v>1231.4000000000001</v>
      </c>
    </row>
    <row r="59" spans="2:3">
      <c r="B59" s="111">
        <f t="shared" si="3"/>
        <v>2000</v>
      </c>
      <c r="C59" s="112">
        <f t="shared" si="4"/>
        <v>1432.8</v>
      </c>
    </row>
    <row r="60" spans="2:3">
      <c r="B60" s="111">
        <f t="shared" si="3"/>
        <v>2001</v>
      </c>
      <c r="C60" s="112">
        <f t="shared" si="4"/>
        <v>879.3</v>
      </c>
    </row>
    <row r="61" spans="2:3">
      <c r="B61" s="111">
        <f t="shared" si="3"/>
        <v>2002</v>
      </c>
      <c r="C61" s="112">
        <f t="shared" si="4"/>
        <v>1390.7</v>
      </c>
    </row>
    <row r="62" spans="2:3">
      <c r="B62" s="111">
        <f t="shared" si="3"/>
        <v>2003</v>
      </c>
      <c r="C62" s="112">
        <f t="shared" si="4"/>
        <v>1766.4</v>
      </c>
    </row>
    <row r="63" spans="2:3">
      <c r="B63" s="111">
        <f t="shared" si="3"/>
        <v>2004</v>
      </c>
      <c r="C63" s="112">
        <f t="shared" si="4"/>
        <v>1503.5</v>
      </c>
    </row>
    <row r="64" spans="2:3">
      <c r="B64" s="111">
        <f t="shared" si="3"/>
        <v>2005</v>
      </c>
      <c r="C64" s="112">
        <f t="shared" si="4"/>
        <v>1375</v>
      </c>
    </row>
    <row r="65" spans="2:3">
      <c r="B65" s="111">
        <f t="shared" si="3"/>
        <v>2006</v>
      </c>
      <c r="C65" s="112">
        <f t="shared" si="4"/>
        <v>1349.9</v>
      </c>
    </row>
    <row r="66" spans="2:3">
      <c r="B66" s="111">
        <f t="shared" si="3"/>
        <v>2007</v>
      </c>
      <c r="C66" s="112">
        <f t="shared" si="4"/>
        <v>1586.1</v>
      </c>
    </row>
    <row r="67" spans="2:3">
      <c r="B67" s="111">
        <f t="shared" si="3"/>
        <v>2008</v>
      </c>
      <c r="C67" s="112">
        <f t="shared" si="4"/>
        <v>902.2</v>
      </c>
    </row>
    <row r="68" spans="2:3">
      <c r="B68" s="111">
        <f t="shared" si="3"/>
        <v>2009</v>
      </c>
      <c r="C68" s="112">
        <f t="shared" si="4"/>
        <v>1128.5999999999999</v>
      </c>
    </row>
    <row r="69" spans="2:3">
      <c r="B69" s="111">
        <f t="shared" si="3"/>
        <v>2010</v>
      </c>
      <c r="C69" s="112">
        <f t="shared" si="4"/>
        <v>1403.7</v>
      </c>
    </row>
    <row r="70" spans="2:3">
      <c r="B70" s="111">
        <f t="shared" si="3"/>
        <v>2011</v>
      </c>
      <c r="C70" s="112">
        <f t="shared" si="4"/>
        <v>1798.5</v>
      </c>
    </row>
    <row r="71" spans="2:3">
      <c r="B71" s="111">
        <f t="shared" si="3"/>
        <v>2012</v>
      </c>
      <c r="C71" s="112">
        <f t="shared" si="4"/>
        <v>1434.5</v>
      </c>
    </row>
    <row r="72" spans="2:3">
      <c r="B72" s="111">
        <f t="shared" si="3"/>
        <v>2013</v>
      </c>
      <c r="C72" s="112">
        <f t="shared" si="4"/>
        <v>996.8</v>
      </c>
    </row>
    <row r="73" spans="2:3">
      <c r="B73" s="111">
        <f t="shared" si="3"/>
        <v>2014</v>
      </c>
      <c r="C73" s="112">
        <f t="shared" si="4"/>
        <v>1131</v>
      </c>
    </row>
    <row r="74" spans="2:3">
      <c r="B74" s="111">
        <f t="shared" si="3"/>
        <v>2015</v>
      </c>
      <c r="C74" s="112">
        <f t="shared" si="4"/>
        <v>877.6</v>
      </c>
    </row>
    <row r="75" spans="2:3">
      <c r="B75" s="111">
        <f t="shared" si="3"/>
        <v>2016</v>
      </c>
      <c r="C75" s="112">
        <f t="shared" si="4"/>
        <v>1325.6</v>
      </c>
    </row>
    <row r="76" spans="2:3">
      <c r="B76" s="111">
        <f t="shared" si="3"/>
        <v>2017</v>
      </c>
      <c r="C76" s="112">
        <f t="shared" si="4"/>
        <v>967.6</v>
      </c>
    </row>
    <row r="77" spans="2:3">
      <c r="B77" s="111">
        <f t="shared" si="3"/>
        <v>2018</v>
      </c>
      <c r="C77" s="112">
        <f t="shared" si="4"/>
        <v>1397.2</v>
      </c>
    </row>
    <row r="78" spans="2:3">
      <c r="B78" s="111">
        <f>B29</f>
        <v>2019</v>
      </c>
      <c r="C78" s="112">
        <f t="shared" si="4"/>
        <v>982.6</v>
      </c>
    </row>
    <row r="79" spans="2:3">
      <c r="B79" s="111">
        <f t="shared" si="3"/>
        <v>2020</v>
      </c>
      <c r="C79" s="112">
        <f t="shared" si="4"/>
        <v>1758.2</v>
      </c>
    </row>
    <row r="80" spans="2:3">
      <c r="B80" s="111">
        <f t="shared" si="3"/>
        <v>2021</v>
      </c>
      <c r="C80" s="112">
        <f t="shared" si="4"/>
        <v>1290.0999999999999</v>
      </c>
    </row>
    <row r="81" spans="2:3">
      <c r="B81" s="111">
        <f t="shared" si="3"/>
        <v>2022</v>
      </c>
      <c r="C81" s="112">
        <f t="shared" si="4"/>
        <v>948.7</v>
      </c>
    </row>
    <row r="82" spans="2:3" ht="17.25" thickBot="1">
      <c r="B82" s="88" t="str">
        <f>B34</f>
        <v>30년평균</v>
      </c>
      <c r="C82" s="113">
        <f>O34</f>
        <v>1286.0999999999999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topLeftCell="A7" zoomScaleNormal="100" workbookViewId="0">
      <selection activeCell="I25" sqref="I25:J25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금산기상청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37</v>
      </c>
      <c r="D5" s="327">
        <f>All!D41</f>
        <v>43.8</v>
      </c>
      <c r="E5" s="327">
        <f>All!E41</f>
        <v>64.599999999999994</v>
      </c>
      <c r="F5" s="327">
        <f>All!F41</f>
        <v>86.4</v>
      </c>
      <c r="G5" s="327">
        <f>All!G41</f>
        <v>79.5</v>
      </c>
      <c r="H5" s="327">
        <f>All!H41</f>
        <v>117.7</v>
      </c>
      <c r="I5" s="327">
        <f>All!I41</f>
        <v>216.9</v>
      </c>
      <c r="J5" s="327">
        <f>All!J41</f>
        <v>159.5</v>
      </c>
      <c r="K5" s="327">
        <f>All!K41</f>
        <v>80.8</v>
      </c>
      <c r="L5" s="327">
        <f>All!L41</f>
        <v>32.6</v>
      </c>
      <c r="M5" s="327">
        <f>All!M41</f>
        <v>53.9</v>
      </c>
      <c r="N5" s="328">
        <f>All!N41</f>
        <v>24.1</v>
      </c>
      <c r="O5" s="477">
        <f>All!O41</f>
        <v>996.8</v>
      </c>
      <c r="P5" s="328">
        <f>All!P41</f>
        <v>83.1</v>
      </c>
    </row>
    <row r="6" spans="2:16" ht="22.15" customHeight="1">
      <c r="B6" s="344">
        <f>All!B42</f>
        <v>2014</v>
      </c>
      <c r="C6" s="339">
        <f>All!C42</f>
        <v>4.0999999999999996</v>
      </c>
      <c r="D6" s="327">
        <f>All!D42</f>
        <v>2.7</v>
      </c>
      <c r="E6" s="327">
        <f>All!E42</f>
        <v>97.9</v>
      </c>
      <c r="F6" s="327">
        <f>All!F42</f>
        <v>88.7</v>
      </c>
      <c r="G6" s="327">
        <f>All!G42</f>
        <v>26</v>
      </c>
      <c r="H6" s="327">
        <f>All!H42</f>
        <v>45.6</v>
      </c>
      <c r="I6" s="327">
        <f>All!I42</f>
        <v>105.8</v>
      </c>
      <c r="J6" s="327">
        <f>All!J42</f>
        <v>426.4</v>
      </c>
      <c r="K6" s="327">
        <f>All!K42</f>
        <v>91.2</v>
      </c>
      <c r="L6" s="327">
        <f>All!L42</f>
        <v>141.19999999999999</v>
      </c>
      <c r="M6" s="327">
        <f>All!M42</f>
        <v>70.099999999999994</v>
      </c>
      <c r="N6" s="328">
        <f>All!N42</f>
        <v>31.3</v>
      </c>
      <c r="O6" s="477">
        <f>All!O42</f>
        <v>1131</v>
      </c>
      <c r="P6" s="328">
        <f>All!P42</f>
        <v>94.3</v>
      </c>
    </row>
    <row r="7" spans="2:16" ht="22.15" customHeight="1">
      <c r="B7" s="345">
        <f>All!B43</f>
        <v>2015</v>
      </c>
      <c r="C7" s="339">
        <f>All!C43</f>
        <v>37.6</v>
      </c>
      <c r="D7" s="327">
        <f>All!D43</f>
        <v>23.4</v>
      </c>
      <c r="E7" s="327">
        <f>All!E43</f>
        <v>46.6</v>
      </c>
      <c r="F7" s="327">
        <f>All!F43</f>
        <v>93.5</v>
      </c>
      <c r="G7" s="327">
        <f>All!G43</f>
        <v>29.5</v>
      </c>
      <c r="H7" s="327">
        <f>All!H43</f>
        <v>143.69999999999999</v>
      </c>
      <c r="I7" s="327">
        <f>All!I43</f>
        <v>162.30000000000001</v>
      </c>
      <c r="J7" s="327">
        <f>All!J43</f>
        <v>83.6</v>
      </c>
      <c r="K7" s="327">
        <f>All!K43</f>
        <v>18.600000000000001</v>
      </c>
      <c r="L7" s="327">
        <f>All!L43</f>
        <v>93.5</v>
      </c>
      <c r="M7" s="327">
        <f>All!M43</f>
        <v>109.6</v>
      </c>
      <c r="N7" s="328">
        <f>All!N43</f>
        <v>35.700000000000003</v>
      </c>
      <c r="O7" s="476">
        <f>All!O43</f>
        <v>877.6</v>
      </c>
      <c r="P7" s="328">
        <f>All!P43</f>
        <v>73.099999999999994</v>
      </c>
    </row>
    <row r="8" spans="2:16" ht="22.15" customHeight="1">
      <c r="B8" s="344">
        <f>All!B44</f>
        <v>2016</v>
      </c>
      <c r="C8" s="339">
        <f>All!C44</f>
        <v>11.1</v>
      </c>
      <c r="D8" s="327">
        <f>All!D44</f>
        <v>46</v>
      </c>
      <c r="E8" s="327">
        <f>All!E44</f>
        <v>54.5</v>
      </c>
      <c r="F8" s="327">
        <f>All!F44</f>
        <v>171.7</v>
      </c>
      <c r="G8" s="327">
        <f>All!G44</f>
        <v>70.5</v>
      </c>
      <c r="H8" s="327">
        <f>All!H44</f>
        <v>87.4</v>
      </c>
      <c r="I8" s="327">
        <f>All!I44</f>
        <v>377.9</v>
      </c>
      <c r="J8" s="327">
        <f>All!J44</f>
        <v>105.6</v>
      </c>
      <c r="K8" s="327">
        <f>All!K44</f>
        <v>160.9</v>
      </c>
      <c r="L8" s="327">
        <f>All!L44</f>
        <v>157.19999999999999</v>
      </c>
      <c r="M8" s="327">
        <f>All!M44</f>
        <v>33.200000000000003</v>
      </c>
      <c r="N8" s="328">
        <f>All!N44</f>
        <v>49.6</v>
      </c>
      <c r="O8" s="477">
        <f>All!O44</f>
        <v>1325.6</v>
      </c>
      <c r="P8" s="328">
        <f>All!P44</f>
        <v>110.5</v>
      </c>
    </row>
    <row r="9" spans="2:16" ht="22.15" customHeight="1">
      <c r="B9" s="344">
        <f>All!B45</f>
        <v>2017</v>
      </c>
      <c r="C9" s="339">
        <f>All!C45</f>
        <v>13.6</v>
      </c>
      <c r="D9" s="327">
        <f>All!D45</f>
        <v>54.6</v>
      </c>
      <c r="E9" s="327">
        <f>All!E45</f>
        <v>29.8</v>
      </c>
      <c r="F9" s="327">
        <f>All!F45</f>
        <v>76.099999999999994</v>
      </c>
      <c r="G9" s="327">
        <f>All!G45</f>
        <v>31.8</v>
      </c>
      <c r="H9" s="327">
        <f>All!H45</f>
        <v>48.3</v>
      </c>
      <c r="I9" s="327">
        <f>All!I45</f>
        <v>305.5</v>
      </c>
      <c r="J9" s="327">
        <f>All!J45</f>
        <v>222.3</v>
      </c>
      <c r="K9" s="327">
        <f>All!K45</f>
        <v>105.6</v>
      </c>
      <c r="L9" s="327">
        <f>All!L45</f>
        <v>35.1</v>
      </c>
      <c r="M9" s="327">
        <f>All!M45</f>
        <v>15.6</v>
      </c>
      <c r="N9" s="328">
        <f>All!N45</f>
        <v>29.3</v>
      </c>
      <c r="O9" s="477">
        <f>All!O45</f>
        <v>967.6</v>
      </c>
      <c r="P9" s="328">
        <f>All!P45</f>
        <v>80.599999999999994</v>
      </c>
    </row>
    <row r="10" spans="2:16" ht="22.15" customHeight="1">
      <c r="B10" s="344">
        <f>All!B46</f>
        <v>2018</v>
      </c>
      <c r="C10" s="339">
        <f>All!C46</f>
        <v>25.7</v>
      </c>
      <c r="D10" s="327">
        <f>All!D46</f>
        <v>28.1</v>
      </c>
      <c r="E10" s="327">
        <f>All!E46</f>
        <v>91.5</v>
      </c>
      <c r="F10" s="327">
        <f>All!F46</f>
        <v>142.4</v>
      </c>
      <c r="G10" s="327">
        <f>All!G46</f>
        <v>110.4</v>
      </c>
      <c r="H10" s="327">
        <f>All!H46</f>
        <v>104.3</v>
      </c>
      <c r="I10" s="327">
        <f>All!I46</f>
        <v>163.5</v>
      </c>
      <c r="J10" s="327">
        <f>All!J46</f>
        <v>410.4</v>
      </c>
      <c r="K10" s="327">
        <f>All!K46</f>
        <v>135.19999999999999</v>
      </c>
      <c r="L10" s="327">
        <f>All!L46</f>
        <v>112.6</v>
      </c>
      <c r="M10" s="327">
        <f>All!M46</f>
        <v>45.5</v>
      </c>
      <c r="N10" s="328">
        <f>All!N46</f>
        <v>27.6</v>
      </c>
      <c r="O10" s="477">
        <f>All!O46</f>
        <v>1397.2</v>
      </c>
      <c r="P10" s="328">
        <f>All!P46</f>
        <v>116.4</v>
      </c>
    </row>
    <row r="11" spans="2:16" ht="22.15" customHeight="1">
      <c r="B11" s="344">
        <f>All!B47</f>
        <v>2019</v>
      </c>
      <c r="C11" s="339">
        <f>All!C47</f>
        <v>6.4</v>
      </c>
      <c r="D11" s="327">
        <f>All!D47</f>
        <v>41.5</v>
      </c>
      <c r="E11" s="327">
        <f>All!E47</f>
        <v>33</v>
      </c>
      <c r="F11" s="327">
        <f>All!F47</f>
        <v>93</v>
      </c>
      <c r="G11" s="327">
        <f>All!G47</f>
        <v>44.2</v>
      </c>
      <c r="H11" s="327">
        <f>All!H47</f>
        <v>101</v>
      </c>
      <c r="I11" s="327">
        <f>All!I47</f>
        <v>141.1</v>
      </c>
      <c r="J11" s="327">
        <f>All!J47</f>
        <v>105.8</v>
      </c>
      <c r="K11" s="327">
        <f>All!K47</f>
        <v>236.4</v>
      </c>
      <c r="L11" s="327">
        <f>All!L47</f>
        <v>99.3</v>
      </c>
      <c r="M11" s="327">
        <f>All!M47</f>
        <v>47.9</v>
      </c>
      <c r="N11" s="328">
        <f>All!N47</f>
        <v>33</v>
      </c>
      <c r="O11" s="477">
        <f>All!O47</f>
        <v>982.6</v>
      </c>
      <c r="P11" s="328">
        <f>All!P47</f>
        <v>81.900000000000006</v>
      </c>
    </row>
    <row r="12" spans="2:16" ht="22.15" customHeight="1">
      <c r="B12" s="344">
        <f>All!B48</f>
        <v>2020</v>
      </c>
      <c r="C12" s="339">
        <f>All!C48</f>
        <v>80.8</v>
      </c>
      <c r="D12" s="327">
        <f>All!D48</f>
        <v>83.9</v>
      </c>
      <c r="E12" s="327">
        <f>All!E48</f>
        <v>20.5</v>
      </c>
      <c r="F12" s="327">
        <f>All!F48</f>
        <v>35.6</v>
      </c>
      <c r="G12" s="327">
        <f>All!G48</f>
        <v>80.5</v>
      </c>
      <c r="H12" s="327">
        <f>All!H48</f>
        <v>234</v>
      </c>
      <c r="I12" s="327">
        <f>All!I48</f>
        <v>628</v>
      </c>
      <c r="J12" s="327">
        <f>All!J48</f>
        <v>373.4</v>
      </c>
      <c r="K12" s="327">
        <f>All!K48</f>
        <v>167.2</v>
      </c>
      <c r="L12" s="327">
        <f>All!L48</f>
        <v>4.0999999999999996</v>
      </c>
      <c r="M12" s="327">
        <f>All!M48</f>
        <v>41.9</v>
      </c>
      <c r="N12" s="328">
        <f>All!N48</f>
        <v>8.3000000000000007</v>
      </c>
      <c r="O12" s="477">
        <f>All!O48</f>
        <v>1758.2</v>
      </c>
      <c r="P12" s="328">
        <f>All!P48</f>
        <v>146.5</v>
      </c>
    </row>
    <row r="13" spans="2:16" ht="22.15" customHeight="1">
      <c r="B13" s="344">
        <f>All!B49</f>
        <v>2021</v>
      </c>
      <c r="C13" s="339">
        <f>All!C49</f>
        <v>23.5</v>
      </c>
      <c r="D13" s="327">
        <f>All!D49</f>
        <v>19.3</v>
      </c>
      <c r="E13" s="327">
        <f>All!E49</f>
        <v>88</v>
      </c>
      <c r="F13" s="327">
        <f>All!F49</f>
        <v>39.299999999999997</v>
      </c>
      <c r="G13" s="327">
        <f>All!G49</f>
        <v>162.69999999999999</v>
      </c>
      <c r="H13" s="327">
        <f>All!H49</f>
        <v>105.6</v>
      </c>
      <c r="I13" s="327">
        <f>All!I49</f>
        <v>300.8</v>
      </c>
      <c r="J13" s="327">
        <f>All!J49</f>
        <v>297.2</v>
      </c>
      <c r="K13" s="327">
        <f>All!K49</f>
        <v>151.9</v>
      </c>
      <c r="L13" s="327">
        <f>All!L49</f>
        <v>44</v>
      </c>
      <c r="M13" s="327">
        <f>All!M49</f>
        <v>50.7</v>
      </c>
      <c r="N13" s="328">
        <f>All!N49</f>
        <v>7.1</v>
      </c>
      <c r="O13" s="477">
        <f>All!O49</f>
        <v>1290.0999999999999</v>
      </c>
      <c r="P13" s="328">
        <f>All!P49</f>
        <v>107.5</v>
      </c>
    </row>
    <row r="14" spans="2:16" ht="22.15" customHeight="1" thickBot="1">
      <c r="B14" s="527">
        <f>All!B50</f>
        <v>2022</v>
      </c>
      <c r="C14" s="340">
        <f>All!C50</f>
        <v>1.5</v>
      </c>
      <c r="D14" s="329">
        <f>All!D50</f>
        <v>4.0999999999999996</v>
      </c>
      <c r="E14" s="329">
        <f>All!E50</f>
        <v>80.599999999999994</v>
      </c>
      <c r="F14" s="329">
        <f>All!F50</f>
        <v>63.3</v>
      </c>
      <c r="G14" s="329">
        <f>All!G50</f>
        <v>4.7</v>
      </c>
      <c r="H14" s="329">
        <f>All!H50</f>
        <v>145.4</v>
      </c>
      <c r="I14" s="329">
        <f>All!I50</f>
        <v>183.7</v>
      </c>
      <c r="J14" s="329">
        <f>All!J50</f>
        <v>265.7</v>
      </c>
      <c r="K14" s="329">
        <f>All!K50</f>
        <v>68.2</v>
      </c>
      <c r="L14" s="329">
        <f>All!L50</f>
        <v>59.3</v>
      </c>
      <c r="M14" s="329">
        <f>All!M50</f>
        <v>54.2</v>
      </c>
      <c r="N14" s="330">
        <f>All!N50</f>
        <v>18</v>
      </c>
      <c r="O14" s="480">
        <f>All!O50</f>
        <v>948.7</v>
      </c>
      <c r="P14" s="330">
        <f>All!P50</f>
        <v>79.099999999999994</v>
      </c>
    </row>
    <row r="15" spans="2:16" ht="22.15" customHeight="1">
      <c r="B15" s="347" t="s">
        <v>21</v>
      </c>
      <c r="C15" s="341">
        <f>All!C51</f>
        <v>80.8</v>
      </c>
      <c r="D15" s="331">
        <f>All!D51</f>
        <v>83.9</v>
      </c>
      <c r="E15" s="331">
        <f>All!E51</f>
        <v>97.9</v>
      </c>
      <c r="F15" s="331">
        <f>All!F51</f>
        <v>171.7</v>
      </c>
      <c r="G15" s="331">
        <f>All!G51</f>
        <v>162.69999999999999</v>
      </c>
      <c r="H15" s="331">
        <f>All!H51</f>
        <v>234</v>
      </c>
      <c r="I15" s="331">
        <f>All!I51</f>
        <v>628</v>
      </c>
      <c r="J15" s="331">
        <f>All!J51</f>
        <v>426.4</v>
      </c>
      <c r="K15" s="331">
        <f>All!K51</f>
        <v>236.4</v>
      </c>
      <c r="L15" s="331">
        <f>All!L51</f>
        <v>157.19999999999999</v>
      </c>
      <c r="M15" s="331">
        <f>All!M51</f>
        <v>109.6</v>
      </c>
      <c r="N15" s="332">
        <f>All!N51</f>
        <v>49.6</v>
      </c>
      <c r="O15" s="478">
        <f>All!O51</f>
        <v>1758.2</v>
      </c>
      <c r="P15" s="332">
        <f>All!P51</f>
        <v>146.5</v>
      </c>
    </row>
    <row r="16" spans="2:16" ht="22.15" customHeight="1">
      <c r="B16" s="344" t="s">
        <v>22</v>
      </c>
      <c r="C16" s="339">
        <f>All!C52</f>
        <v>1.5</v>
      </c>
      <c r="D16" s="327">
        <f>All!D52</f>
        <v>2.7</v>
      </c>
      <c r="E16" s="327">
        <f>All!E52</f>
        <v>20.5</v>
      </c>
      <c r="F16" s="327">
        <f>All!F52</f>
        <v>35.6</v>
      </c>
      <c r="G16" s="327">
        <f>All!G52</f>
        <v>4.7</v>
      </c>
      <c r="H16" s="327">
        <f>All!H52</f>
        <v>45.6</v>
      </c>
      <c r="I16" s="327">
        <f>All!I52</f>
        <v>105.8</v>
      </c>
      <c r="J16" s="327">
        <f>All!J52</f>
        <v>83.6</v>
      </c>
      <c r="K16" s="327">
        <f>All!K52</f>
        <v>18.600000000000001</v>
      </c>
      <c r="L16" s="327">
        <f>All!L52</f>
        <v>4.0999999999999996</v>
      </c>
      <c r="M16" s="327">
        <f>All!M52</f>
        <v>15.6</v>
      </c>
      <c r="N16" s="328">
        <f>All!N52</f>
        <v>7.1</v>
      </c>
      <c r="O16" s="479">
        <f>All!O52</f>
        <v>877.6</v>
      </c>
      <c r="P16" s="328">
        <f>All!P52</f>
        <v>73.099999999999994</v>
      </c>
    </row>
    <row r="17" spans="1:16" ht="22.15" customHeight="1" thickBot="1">
      <c r="B17" s="346" t="s">
        <v>20</v>
      </c>
      <c r="C17" s="340">
        <f>All!C53</f>
        <v>24.1</v>
      </c>
      <c r="D17" s="329">
        <f>All!D53</f>
        <v>34.700000000000003</v>
      </c>
      <c r="E17" s="336">
        <f>All!E53</f>
        <v>60.7</v>
      </c>
      <c r="F17" s="329">
        <f>All!F53</f>
        <v>89</v>
      </c>
      <c r="G17" s="337">
        <f>All!G53</f>
        <v>64</v>
      </c>
      <c r="H17" s="337">
        <f>All!H53</f>
        <v>113.3</v>
      </c>
      <c r="I17" s="337">
        <f>All!I53</f>
        <v>258.60000000000002</v>
      </c>
      <c r="J17" s="337">
        <f>All!J53</f>
        <v>245</v>
      </c>
      <c r="K17" s="337">
        <f>All!K53</f>
        <v>121.6</v>
      </c>
      <c r="L17" s="329">
        <f>All!L53</f>
        <v>77.900000000000006</v>
      </c>
      <c r="M17" s="329">
        <f>All!M53</f>
        <v>52.3</v>
      </c>
      <c r="N17" s="330">
        <f>All!N53</f>
        <v>26.4</v>
      </c>
      <c r="O17" s="480">
        <f>All!O53</f>
        <v>1167.5</v>
      </c>
      <c r="P17" s="338">
        <f>All!P53</f>
        <v>97.3</v>
      </c>
    </row>
    <row r="18" spans="1:16" ht="29.25" customHeight="1" thickBot="1">
      <c r="B18" s="91" t="s">
        <v>23</v>
      </c>
      <c r="C18" s="342">
        <f>All!C37</f>
        <v>24.9</v>
      </c>
      <c r="D18" s="333">
        <f>All!D37</f>
        <v>35.9</v>
      </c>
      <c r="E18" s="333">
        <f>All!E37</f>
        <v>53.6</v>
      </c>
      <c r="F18" s="333">
        <f>All!F37</f>
        <v>81.2</v>
      </c>
      <c r="G18" s="333">
        <f>All!G37</f>
        <v>83.8</v>
      </c>
      <c r="H18" s="333">
        <f>All!H37</f>
        <v>163</v>
      </c>
      <c r="I18" s="334">
        <f>All!I37</f>
        <v>294.2</v>
      </c>
      <c r="J18" s="334">
        <f>All!J37</f>
        <v>290</v>
      </c>
      <c r="K18" s="334">
        <f>All!K37</f>
        <v>126.5</v>
      </c>
      <c r="L18" s="334">
        <f>All!L37</f>
        <v>57.1</v>
      </c>
      <c r="M18" s="334">
        <f>All!M37</f>
        <v>48.9</v>
      </c>
      <c r="N18" s="335">
        <f>All!N37</f>
        <v>27</v>
      </c>
      <c r="O18" s="482">
        <f>All!O37</f>
        <v>1286.0999999999999</v>
      </c>
      <c r="P18" s="335">
        <f>All!P37</f>
        <v>107.2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802.50000000000011</v>
      </c>
      <c r="F20" s="92"/>
    </row>
    <row r="21" spans="1:16">
      <c r="B21" s="349" t="s">
        <v>165</v>
      </c>
      <c r="D21" s="129">
        <f>O17</f>
        <v>1167.5</v>
      </c>
    </row>
    <row r="22" spans="1:16" ht="17.25" thickBot="1">
      <c r="B22" s="126"/>
      <c r="C22" s="127"/>
      <c r="D22" s="130">
        <f>D20/D21</f>
        <v>0.68736616702355469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877.6</v>
      </c>
      <c r="D24" s="373"/>
      <c r="E24" s="374"/>
      <c r="H24" s="351" t="s">
        <v>183</v>
      </c>
      <c r="I24" s="563" t="s">
        <v>657</v>
      </c>
      <c r="J24" s="564"/>
      <c r="K24" s="486">
        <f>INDEX(Location[recharge], MATCH(I24,Location[name],0))</f>
        <v>0.128</v>
      </c>
      <c r="L24" s="487">
        <f>INDEX(Location[ratio], MATCH(I24,Location[name],0))</f>
        <v>0.64</v>
      </c>
    </row>
    <row r="25" spans="1:16" ht="21.95" customHeight="1">
      <c r="B25" s="323" t="s">
        <v>25</v>
      </c>
      <c r="C25" s="375">
        <f>O18</f>
        <v>1286.0999999999999</v>
      </c>
      <c r="D25" s="376"/>
      <c r="E25" s="377"/>
      <c r="H25" s="351" t="s">
        <v>184</v>
      </c>
      <c r="I25" s="565" t="s">
        <v>193</v>
      </c>
      <c r="J25" s="566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0.64</v>
      </c>
      <c r="D26" s="379">
        <f>L25</f>
        <v>0.64</v>
      </c>
      <c r="E26" s="380">
        <f>L26</f>
        <v>0.65</v>
      </c>
      <c r="H26" s="351" t="s">
        <v>185</v>
      </c>
      <c r="I26" s="567" t="s">
        <v>257</v>
      </c>
      <c r="J26" s="568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4011699</v>
      </c>
      <c r="D27" s="376"/>
      <c r="E27" s="382"/>
    </row>
    <row r="28" spans="1:16" ht="21.95" customHeight="1" thickBot="1">
      <c r="B28" s="325" t="s">
        <v>27</v>
      </c>
      <c r="C28" s="383">
        <f>K24</f>
        <v>0.128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16.46208</v>
      </c>
      <c r="D30" s="123">
        <f>max*rf_2/10</f>
        <v>21.349260000000001</v>
      </c>
      <c r="E30" s="124">
        <f>max*rf_3/10</f>
        <v>16.333469999999998</v>
      </c>
    </row>
    <row r="31" spans="1:16" ht="22.15" customHeight="1">
      <c r="E31" s="93"/>
      <c r="J31" s="420" t="s">
        <v>376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69" t="s">
        <v>648</v>
      </c>
      <c r="B37" s="570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649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650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651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652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653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654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655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656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398</v>
      </c>
      <c r="D19" s="30" t="s">
        <v>625</v>
      </c>
      <c r="G19" s="423" t="s">
        <v>378</v>
      </c>
    </row>
    <row r="20" spans="1:7">
      <c r="A20" s="30" t="s">
        <v>391</v>
      </c>
      <c r="D20" s="30">
        <v>150</v>
      </c>
      <c r="G20" s="423" t="s">
        <v>379</v>
      </c>
    </row>
    <row r="21" spans="1:7">
      <c r="A21" s="30" t="s">
        <v>392</v>
      </c>
      <c r="D21" s="30">
        <v>200</v>
      </c>
      <c r="G21" s="423" t="s">
        <v>380</v>
      </c>
    </row>
    <row r="22" spans="1:7">
      <c r="A22" s="30" t="s">
        <v>393</v>
      </c>
      <c r="D22" s="30">
        <v>250</v>
      </c>
      <c r="G22" s="423" t="s">
        <v>381</v>
      </c>
    </row>
    <row r="23" spans="1:7">
      <c r="A23" s="30" t="s">
        <v>394</v>
      </c>
      <c r="G23" s="423" t="s">
        <v>382</v>
      </c>
    </row>
    <row r="24" spans="1:7">
      <c r="A24" s="30" t="s">
        <v>395</v>
      </c>
      <c r="G24" s="423" t="s">
        <v>383</v>
      </c>
    </row>
    <row r="25" spans="1:7">
      <c r="A25" s="30" t="s">
        <v>396</v>
      </c>
      <c r="G25" s="423" t="s">
        <v>384</v>
      </c>
    </row>
    <row r="26" spans="1:7">
      <c r="A26" s="30" t="s">
        <v>397</v>
      </c>
      <c r="G26" s="423" t="s">
        <v>385</v>
      </c>
    </row>
    <row r="27" spans="1:7">
      <c r="G27" s="423" t="s">
        <v>386</v>
      </c>
    </row>
    <row r="28" spans="1:7">
      <c r="G28" s="423" t="s">
        <v>387</v>
      </c>
    </row>
    <row r="29" spans="1:7">
      <c r="G29" s="423" t="s">
        <v>388</v>
      </c>
    </row>
    <row r="30" spans="1:7">
      <c r="G30" s="423" t="s">
        <v>389</v>
      </c>
    </row>
    <row r="31" spans="1:7">
      <c r="G31" s="526" t="s">
        <v>661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E5" sqref="E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371</v>
      </c>
      <c r="H5" s="250" t="s">
        <v>372</v>
      </c>
      <c r="I5" s="250" t="s">
        <v>373</v>
      </c>
      <c r="J5" s="250" t="s">
        <v>374</v>
      </c>
      <c r="K5" s="251" t="s">
        <v>375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M25" sqref="M2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640</v>
      </c>
      <c r="AJ4" s="184" t="s">
        <v>639</v>
      </c>
      <c r="AK4" s="184" t="s">
        <v>641</v>
      </c>
      <c r="AL4" s="184" t="s">
        <v>642</v>
      </c>
      <c r="AM4" s="184" t="s">
        <v>643</v>
      </c>
      <c r="AN4" s="175" t="s">
        <v>644</v>
      </c>
    </row>
    <row r="5" spans="1:40" ht="23.1" customHeight="1">
      <c r="A5" s="169" t="s">
        <v>228</v>
      </c>
      <c r="B5" s="223">
        <v>5.12</v>
      </c>
      <c r="C5" s="223">
        <v>62.4</v>
      </c>
      <c r="D5" s="255">
        <v>7.3669872175887692</v>
      </c>
      <c r="E5" s="255">
        <v>55.033012782411227</v>
      </c>
      <c r="F5" s="255">
        <v>57.28</v>
      </c>
      <c r="G5" s="223">
        <v>250</v>
      </c>
      <c r="H5" s="223">
        <v>0.125</v>
      </c>
      <c r="I5" s="223">
        <v>200</v>
      </c>
      <c r="J5" s="223">
        <v>12</v>
      </c>
      <c r="K5" s="223">
        <v>150</v>
      </c>
      <c r="L5" s="255">
        <v>3.9230466098093886</v>
      </c>
      <c r="M5" s="223">
        <v>5</v>
      </c>
      <c r="N5" s="223">
        <v>188</v>
      </c>
      <c r="O5" s="253">
        <v>1.7010000000000001</v>
      </c>
      <c r="P5" s="253">
        <v>1.41</v>
      </c>
      <c r="Q5" s="253">
        <v>1.5554999999999999</v>
      </c>
      <c r="R5" s="223">
        <v>7.8950000000000006E-2</v>
      </c>
      <c r="S5" s="256">
        <v>4.0840000000000001E-4</v>
      </c>
      <c r="T5" s="253">
        <v>8.2699999999999996E-3</v>
      </c>
      <c r="U5" s="223">
        <v>0.70830000000000004</v>
      </c>
      <c r="V5" s="254">
        <v>70.2</v>
      </c>
      <c r="W5" s="254">
        <v>86</v>
      </c>
      <c r="X5" s="254">
        <v>77.900000000000006</v>
      </c>
      <c r="Y5" s="223">
        <v>-2.6320000000000001</v>
      </c>
      <c r="Z5" s="253">
        <v>1.738</v>
      </c>
      <c r="AA5" s="223">
        <v>172</v>
      </c>
      <c r="AB5" s="223">
        <v>155.44</v>
      </c>
      <c r="AC5" s="223">
        <v>94</v>
      </c>
      <c r="AD5" s="223">
        <v>23.97</v>
      </c>
      <c r="AE5" s="223">
        <v>50.97</v>
      </c>
      <c r="AF5" s="223">
        <v>5.2939999999999997E-4</v>
      </c>
      <c r="AG5" s="223">
        <v>0.20400280000000001</v>
      </c>
      <c r="AH5" s="512">
        <v>0.90116279069767447</v>
      </c>
      <c r="AI5" s="223">
        <v>1.855</v>
      </c>
      <c r="AJ5" s="223">
        <v>5.0000000000000001E-4</v>
      </c>
      <c r="AK5" s="223" t="s">
        <v>645</v>
      </c>
      <c r="AL5" s="223">
        <v>2.4439000000000002</v>
      </c>
      <c r="AM5" s="223">
        <v>2.4466000000000001</v>
      </c>
      <c r="AN5" s="248">
        <v>1.5707</v>
      </c>
    </row>
    <row r="6" spans="1:40" ht="23.1" customHeight="1">
      <c r="A6" s="169" t="s">
        <v>229</v>
      </c>
      <c r="B6" s="223">
        <v>4.1100000000000003</v>
      </c>
      <c r="C6" s="223">
        <v>31.05</v>
      </c>
      <c r="D6" s="255">
        <v>6.0423220881656654</v>
      </c>
      <c r="E6" s="255">
        <v>25.007677911834335</v>
      </c>
      <c r="F6" s="255">
        <v>26.94</v>
      </c>
      <c r="G6" s="223">
        <v>250</v>
      </c>
      <c r="H6" s="223">
        <v>0.125</v>
      </c>
      <c r="I6" s="223">
        <v>200</v>
      </c>
      <c r="J6" s="223">
        <v>12</v>
      </c>
      <c r="K6" s="223">
        <v>150</v>
      </c>
      <c r="L6" s="255">
        <v>2.4016265739595473</v>
      </c>
      <c r="M6" s="223">
        <v>7.5</v>
      </c>
      <c r="N6" s="223">
        <v>188</v>
      </c>
      <c r="O6" s="253">
        <v>3.774</v>
      </c>
      <c r="P6" s="253">
        <v>2.7360000000000002</v>
      </c>
      <c r="Q6" s="253">
        <v>3.2549999999999999</v>
      </c>
      <c r="R6" s="223">
        <v>0.12239999999999999</v>
      </c>
      <c r="S6" s="256">
        <v>3.4900000000000003E-4</v>
      </c>
      <c r="T6" s="253">
        <v>1.7309999999999999E-2</v>
      </c>
      <c r="U6" s="223">
        <v>0.70830000000000004</v>
      </c>
      <c r="V6" s="254">
        <v>75.400000000000006</v>
      </c>
      <c r="W6" s="254">
        <v>92.3</v>
      </c>
      <c r="X6" s="254">
        <v>121.9</v>
      </c>
      <c r="Y6" s="223">
        <v>-2.9298000000000002</v>
      </c>
      <c r="Z6" s="253">
        <v>2.3410000000000002</v>
      </c>
      <c r="AA6" s="223">
        <v>172</v>
      </c>
      <c r="AB6" s="223">
        <v>155.46</v>
      </c>
      <c r="AC6" s="223">
        <v>94</v>
      </c>
      <c r="AD6" s="223">
        <v>11.27</v>
      </c>
      <c r="AE6" s="223">
        <v>23.97</v>
      </c>
      <c r="AF6" s="223">
        <v>2.4929999999999999E-4</v>
      </c>
      <c r="AG6" s="223">
        <v>9.5885499999999999E-2</v>
      </c>
      <c r="AH6" s="512">
        <v>0.90116279069767447</v>
      </c>
      <c r="AI6" s="223">
        <v>1.855</v>
      </c>
      <c r="AJ6" s="223">
        <v>5.0000000000000001E-4</v>
      </c>
      <c r="AK6" s="223" t="s">
        <v>286</v>
      </c>
      <c r="AL6" s="223">
        <v>8.6219999999999999</v>
      </c>
      <c r="AM6" s="223">
        <v>8.6264000000000003</v>
      </c>
      <c r="AN6" s="248">
        <v>1.9558</v>
      </c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N18" sqref="N18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160</v>
      </c>
      <c r="F7" s="404">
        <v>392.86000000000047</v>
      </c>
      <c r="G7" s="404">
        <v>142</v>
      </c>
      <c r="H7" s="404">
        <v>307.09000000000049</v>
      </c>
      <c r="I7" s="404">
        <v>18</v>
      </c>
      <c r="J7" s="404">
        <v>85.77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6"/>
  <sheetViews>
    <sheetView tabSelected="1" zoomScaleNormal="100" workbookViewId="0">
      <selection activeCell="J19" sqref="J19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663</v>
      </c>
      <c r="F1" s="32"/>
      <c r="J1" s="60"/>
    </row>
    <row r="2" spans="1:18" s="67" customFormat="1" ht="23.1" customHeight="1">
      <c r="A2" s="609" t="s">
        <v>0</v>
      </c>
      <c r="B2" s="610" t="s">
        <v>39</v>
      </c>
      <c r="C2" s="610" t="s">
        <v>6</v>
      </c>
      <c r="D2" s="610" t="s">
        <v>38</v>
      </c>
      <c r="E2" s="610" t="s">
        <v>203</v>
      </c>
      <c r="F2" s="610" t="s">
        <v>202</v>
      </c>
      <c r="G2" s="611" t="s">
        <v>1</v>
      </c>
      <c r="H2" s="611" t="s">
        <v>2</v>
      </c>
      <c r="I2" s="611" t="s">
        <v>171</v>
      </c>
      <c r="J2" s="612" t="s">
        <v>273</v>
      </c>
      <c r="K2" s="611" t="s">
        <v>272</v>
      </c>
      <c r="L2" s="611" t="s">
        <v>3</v>
      </c>
      <c r="M2" s="611" t="s">
        <v>4</v>
      </c>
      <c r="N2" s="611" t="s">
        <v>5</v>
      </c>
      <c r="O2" s="611" t="s">
        <v>271</v>
      </c>
      <c r="P2" s="613" t="s">
        <v>270</v>
      </c>
      <c r="Q2" s="610" t="s">
        <v>158</v>
      </c>
      <c r="R2" s="614" t="s">
        <v>92</v>
      </c>
    </row>
    <row r="3" spans="1:18" s="67" customFormat="1" ht="27" customHeight="1">
      <c r="A3" s="615"/>
      <c r="B3" s="616"/>
      <c r="C3" s="616"/>
      <c r="D3" s="616"/>
      <c r="E3" s="616"/>
      <c r="F3" s="616"/>
      <c r="G3" s="617"/>
      <c r="H3" s="617"/>
      <c r="I3" s="617"/>
      <c r="J3" s="618"/>
      <c r="K3" s="617"/>
      <c r="L3" s="617"/>
      <c r="M3" s="617"/>
      <c r="N3" s="617"/>
      <c r="O3" s="617"/>
      <c r="P3" s="619"/>
      <c r="Q3" s="616"/>
      <c r="R3" s="620"/>
    </row>
    <row r="4" spans="1:18" ht="23.1" customHeight="1">
      <c r="A4" s="621" t="s">
        <v>359</v>
      </c>
      <c r="B4" s="622" t="s">
        <v>660</v>
      </c>
      <c r="C4" s="623"/>
      <c r="D4" s="622" t="s">
        <v>662</v>
      </c>
      <c r="E4" s="622" t="str">
        <f>Recharge!$I$24</f>
        <v>금강서해/부남방조제</v>
      </c>
      <c r="F4" s="622" t="str">
        <f>All!$B$2</f>
        <v>금산기상청</v>
      </c>
      <c r="G4" s="622">
        <v>250</v>
      </c>
      <c r="H4" s="622">
        <v>200</v>
      </c>
      <c r="I4" s="622">
        <v>150</v>
      </c>
      <c r="J4" s="622">
        <v>150</v>
      </c>
      <c r="K4" s="622">
        <v>200</v>
      </c>
      <c r="L4" s="622">
        <v>5</v>
      </c>
      <c r="M4" s="622">
        <v>102</v>
      </c>
      <c r="N4" s="624">
        <v>50</v>
      </c>
      <c r="O4" s="625">
        <f>ROUND(water!$F$7, 1)</f>
        <v>392.9</v>
      </c>
      <c r="P4" s="626">
        <v>4011699</v>
      </c>
      <c r="Q4" s="622"/>
      <c r="R4" s="627"/>
    </row>
    <row r="5" spans="1:18" ht="23.1" customHeight="1" thickBot="1">
      <c r="A5" s="628" t="s">
        <v>659</v>
      </c>
      <c r="B5" s="629" t="s">
        <v>660</v>
      </c>
      <c r="C5" s="630"/>
      <c r="D5" s="629" t="s">
        <v>662</v>
      </c>
      <c r="E5" s="629" t="str">
        <f>Recharge!$I$24</f>
        <v>금강서해/부남방조제</v>
      </c>
      <c r="F5" s="629" t="str">
        <f>All!$B$2</f>
        <v>금산기상청</v>
      </c>
      <c r="G5" s="629">
        <v>250</v>
      </c>
      <c r="H5" s="629">
        <v>200</v>
      </c>
      <c r="I5" s="629">
        <v>150</v>
      </c>
      <c r="J5" s="629">
        <v>150</v>
      </c>
      <c r="K5" s="629">
        <v>200</v>
      </c>
      <c r="L5" s="629">
        <v>5</v>
      </c>
      <c r="M5" s="629">
        <v>102</v>
      </c>
      <c r="N5" s="631">
        <v>50</v>
      </c>
      <c r="O5" s="632">
        <f>ROUND(water!$F$7, 1)</f>
        <v>392.9</v>
      </c>
      <c r="P5" s="633">
        <v>4011699</v>
      </c>
      <c r="Q5" s="629"/>
      <c r="R5" s="634"/>
    </row>
    <row r="6" spans="1:18" ht="23.25" customHeight="1" thickBot="1">
      <c r="A6" s="141"/>
      <c r="J6" s="171"/>
      <c r="P6" s="172"/>
    </row>
    <row r="7" spans="1:18" ht="23.25" customHeight="1" thickBot="1">
      <c r="I7" s="528">
        <f>SUM(I4:I6)</f>
        <v>300</v>
      </c>
    </row>
    <row r="11" spans="1:18">
      <c r="Q11" s="30" t="s">
        <v>121</v>
      </c>
    </row>
    <row r="16" spans="1:18">
      <c r="N1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B2261965-51D7-45F9-AD84-152F1D918652}">
      <formula1>INDIRECT("Tcorp[조사자]")</formula1>
    </dataValidation>
    <dataValidation type="list" allowBlank="1" showInputMessage="1" showErrorMessage="1" sqref="E4:E5" xr:uid="{1C43CA58-80ED-4863-92C6-111B6F8E9D4A}">
      <formula1>INDIRECT("Location[name]")</formula1>
    </dataValidation>
    <dataValidation type="list" allowBlank="1" showInputMessage="1" showErrorMessage="1" sqref="F4:F5" xr:uid="{86E7334F-50DD-4E9B-B5F1-0282EBF2B8DC}">
      <formula1>INDIRECT("Tarea[area]")</formula1>
    </dataValidation>
    <dataValidation type="list" allowBlank="1" showInputMessage="1" showErrorMessage="1" sqref="G4:G5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F11" sqref="F11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172</v>
      </c>
      <c r="I3" s="230">
        <v>155.44</v>
      </c>
      <c r="J3" s="196">
        <v>150</v>
      </c>
      <c r="K3" s="231">
        <v>0.90116279069767447</v>
      </c>
      <c r="M3" s="234" t="s">
        <v>207</v>
      </c>
      <c r="N3" s="235">
        <v>0.90116279069767447</v>
      </c>
      <c r="O3" s="236">
        <v>0.90116279069767447</v>
      </c>
      <c r="Q3" s="242" t="s">
        <v>228</v>
      </c>
      <c r="R3" s="243">
        <v>5.2939999999999997E-4</v>
      </c>
      <c r="S3" s="244">
        <v>0.20400280000000001</v>
      </c>
    </row>
    <row r="4" spans="7:19" ht="20.100000000000001" customHeight="1">
      <c r="G4" s="208" t="s">
        <v>229</v>
      </c>
      <c r="H4" s="196">
        <v>172</v>
      </c>
      <c r="I4" s="230">
        <v>155.46</v>
      </c>
      <c r="J4" s="196">
        <v>150</v>
      </c>
      <c r="K4" s="231">
        <v>0.90116279069767447</v>
      </c>
      <c r="M4" s="234" t="s">
        <v>214</v>
      </c>
      <c r="N4" s="237">
        <v>155.44</v>
      </c>
      <c r="O4" s="238">
        <v>155.46</v>
      </c>
      <c r="Q4" s="242" t="s">
        <v>229</v>
      </c>
      <c r="R4" s="243">
        <v>2.4929999999999999E-4</v>
      </c>
      <c r="S4" s="244">
        <v>9.5885499999999999E-2</v>
      </c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150</v>
      </c>
      <c r="O5" s="241">
        <v>150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579" t="s">
        <v>228</v>
      </c>
      <c r="G27" s="577">
        <v>172</v>
      </c>
      <c r="H27" s="258">
        <v>50.97</v>
      </c>
      <c r="I27" s="578">
        <v>155.44</v>
      </c>
    </row>
    <row r="28" spans="6:19" ht="15.95" customHeight="1">
      <c r="F28" s="571"/>
      <c r="G28" s="572"/>
      <c r="H28" s="196">
        <v>23.97</v>
      </c>
      <c r="I28" s="573"/>
      <c r="K28" s="30"/>
    </row>
    <row r="29" spans="6:19" ht="15.95" customHeight="1">
      <c r="F29" s="571" t="s">
        <v>229</v>
      </c>
      <c r="G29" s="572">
        <v>172</v>
      </c>
      <c r="H29" s="196">
        <v>23.97</v>
      </c>
      <c r="I29" s="573">
        <v>155.46</v>
      </c>
    </row>
    <row r="30" spans="6:19" ht="15.95" customHeight="1">
      <c r="F30" s="571"/>
      <c r="G30" s="572"/>
      <c r="H30" s="196">
        <v>11.27</v>
      </c>
      <c r="I30" s="573"/>
    </row>
    <row r="31" spans="6:19" ht="15.95" customHeight="1">
      <c r="F31" s="571"/>
      <c r="G31" s="572"/>
      <c r="H31" s="196"/>
      <c r="I31" s="573"/>
    </row>
    <row r="32" spans="6:19" ht="15.95" customHeight="1">
      <c r="F32" s="571"/>
      <c r="G32" s="572"/>
      <c r="H32" s="196"/>
      <c r="I32" s="573"/>
    </row>
    <row r="33" spans="6:9" ht="15.95" customHeight="1">
      <c r="F33" s="571"/>
      <c r="G33" s="572"/>
      <c r="H33" s="196"/>
      <c r="I33" s="573"/>
    </row>
    <row r="34" spans="6:9" ht="15.95" customHeight="1">
      <c r="F34" s="571"/>
      <c r="G34" s="572"/>
      <c r="H34" s="196"/>
      <c r="I34" s="573"/>
    </row>
    <row r="35" spans="6:9" ht="15.95" customHeight="1">
      <c r="F35" s="571"/>
      <c r="G35" s="572"/>
      <c r="H35" s="196"/>
      <c r="I35" s="573"/>
    </row>
    <row r="36" spans="6:9" ht="15.95" customHeight="1">
      <c r="F36" s="571"/>
      <c r="G36" s="572"/>
      <c r="H36" s="196"/>
      <c r="I36" s="573"/>
    </row>
    <row r="37" spans="6:9" ht="15.95" customHeight="1">
      <c r="F37" s="571"/>
      <c r="G37" s="572"/>
      <c r="H37" s="196"/>
      <c r="I37" s="573"/>
    </row>
    <row r="38" spans="6:9" ht="15.95" customHeight="1">
      <c r="F38" s="571"/>
      <c r="G38" s="572"/>
      <c r="H38" s="196"/>
      <c r="I38" s="573"/>
    </row>
    <row r="39" spans="6:9" ht="15.95" customHeight="1">
      <c r="F39" s="571"/>
      <c r="G39" s="572"/>
      <c r="H39" s="196"/>
      <c r="I39" s="573"/>
    </row>
    <row r="40" spans="6:9" ht="15.95" customHeight="1">
      <c r="F40" s="571"/>
      <c r="G40" s="572"/>
      <c r="H40" s="196"/>
      <c r="I40" s="573"/>
    </row>
    <row r="41" spans="6:9" ht="15.95" customHeight="1">
      <c r="F41" s="571"/>
      <c r="G41" s="572"/>
      <c r="H41" s="196"/>
      <c r="I41" s="573"/>
    </row>
    <row r="42" spans="6:9" ht="15.95" customHeight="1">
      <c r="F42" s="571"/>
      <c r="G42" s="572"/>
      <c r="H42" s="196"/>
      <c r="I42" s="573"/>
    </row>
    <row r="43" spans="6:9" ht="15.95" customHeight="1">
      <c r="F43" s="571"/>
      <c r="G43" s="572"/>
      <c r="H43" s="196"/>
      <c r="I43" s="573"/>
    </row>
    <row r="44" spans="6:9" ht="15.95" customHeight="1">
      <c r="F44" s="571"/>
      <c r="G44" s="572"/>
      <c r="H44" s="196"/>
      <c r="I44" s="573"/>
    </row>
    <row r="45" spans="6:9" ht="15.95" customHeight="1">
      <c r="F45" s="571"/>
      <c r="G45" s="572"/>
      <c r="H45" s="196"/>
      <c r="I45" s="573"/>
    </row>
    <row r="46" spans="6:9" ht="15.95" customHeight="1">
      <c r="F46" s="571"/>
      <c r="G46" s="572"/>
      <c r="H46" s="196"/>
      <c r="I46" s="573"/>
    </row>
    <row r="47" spans="6:9" ht="15.95" customHeight="1">
      <c r="F47" s="571"/>
      <c r="G47" s="572"/>
      <c r="H47" s="196"/>
      <c r="I47" s="573"/>
    </row>
    <row r="48" spans="6:9" ht="15.95" customHeight="1">
      <c r="F48" s="571"/>
      <c r="G48" s="572"/>
      <c r="H48" s="196"/>
      <c r="I48" s="573"/>
    </row>
    <row r="49" spans="6:9" ht="15.95" customHeight="1">
      <c r="F49" s="571"/>
      <c r="G49" s="572"/>
      <c r="H49" s="196"/>
      <c r="I49" s="573"/>
    </row>
    <row r="50" spans="6:9" ht="15.95" customHeight="1" thickBot="1">
      <c r="F50" s="574"/>
      <c r="G50" s="575"/>
      <c r="H50" s="189"/>
      <c r="I50" s="576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150</v>
      </c>
      <c r="F3" s="196">
        <v>5.12</v>
      </c>
      <c r="G3" s="196">
        <v>62.4</v>
      </c>
      <c r="H3" s="196">
        <v>57.28</v>
      </c>
      <c r="I3" s="196">
        <v>0.125</v>
      </c>
      <c r="J3" s="209">
        <v>3.9230466098093886</v>
      </c>
      <c r="K3" s="30"/>
      <c r="L3" s="208">
        <v>150</v>
      </c>
      <c r="M3" s="196">
        <v>0.125</v>
      </c>
      <c r="N3" s="196">
        <v>0.125</v>
      </c>
      <c r="O3" s="196">
        <v>188</v>
      </c>
      <c r="P3" s="196">
        <v>1.7010000000000001</v>
      </c>
      <c r="Q3" s="197">
        <v>7.8950000000000006E-2</v>
      </c>
      <c r="S3" s="212">
        <v>62.4</v>
      </c>
      <c r="T3" s="213">
        <v>7.3669872175887692</v>
      </c>
      <c r="U3" s="209">
        <v>55.033012782411227</v>
      </c>
    </row>
    <row r="4" spans="4:21" ht="20.100000000000001" customHeight="1">
      <c r="D4" s="208" t="s">
        <v>229</v>
      </c>
      <c r="E4" s="196">
        <v>150</v>
      </c>
      <c r="F4" s="196">
        <v>4.1100000000000003</v>
      </c>
      <c r="G4" s="196">
        <v>31.05</v>
      </c>
      <c r="H4" s="196">
        <v>26.94</v>
      </c>
      <c r="I4" s="196">
        <v>0.125</v>
      </c>
      <c r="J4" s="209">
        <v>2.4016265739595473</v>
      </c>
      <c r="K4" s="30"/>
      <c r="L4" s="208">
        <v>150</v>
      </c>
      <c r="M4" s="196">
        <v>0.125</v>
      </c>
      <c r="N4" s="196">
        <v>0.125</v>
      </c>
      <c r="O4" s="196">
        <v>188</v>
      </c>
      <c r="P4" s="196">
        <v>3.774</v>
      </c>
      <c r="Q4" s="197">
        <v>0.12239999999999999</v>
      </c>
      <c r="S4" s="212">
        <v>31.05</v>
      </c>
      <c r="T4" s="213">
        <v>6.0423220881656654</v>
      </c>
      <c r="U4" s="209">
        <v>25.007677911834335</v>
      </c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 t="s">
        <v>229</v>
      </c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1.5554999999999999</v>
      </c>
      <c r="F22" s="203">
        <v>3.2549999999999999</v>
      </c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8.2699999999999996E-3</v>
      </c>
      <c r="F23" s="203">
        <v>1.7309999999999999E-2</v>
      </c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4.0840000000000001E-4</v>
      </c>
      <c r="F24" s="558">
        <v>3.4900000000000003E-4</v>
      </c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0.70830000000000004</v>
      </c>
      <c r="F25" s="203">
        <v>0.70830000000000004</v>
      </c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57.28</v>
      </c>
      <c r="F26" s="213">
        <v>26.94</v>
      </c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188</v>
      </c>
      <c r="F27" s="189">
        <v>188</v>
      </c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399</v>
      </c>
      <c r="I30" s="148"/>
      <c r="J30" s="149"/>
      <c r="K30" s="30"/>
      <c r="L30" s="30"/>
      <c r="M30" s="30"/>
      <c r="N30" s="30"/>
      <c r="P30" s="45" t="s">
        <v>400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580" t="s">
        <v>228</v>
      </c>
      <c r="D32" s="223" t="s">
        <v>265</v>
      </c>
      <c r="E32" s="203">
        <v>1.7010000000000001</v>
      </c>
      <c r="F32" s="559">
        <v>4.0840000000000001E-4</v>
      </c>
      <c r="G32" s="30"/>
      <c r="H32" s="561" t="s">
        <v>228</v>
      </c>
      <c r="I32" s="230">
        <v>70.2</v>
      </c>
      <c r="J32" s="230">
        <v>86</v>
      </c>
      <c r="K32" s="230">
        <v>77.900000000000006</v>
      </c>
      <c r="L32" s="230">
        <v>78</v>
      </c>
      <c r="M32" s="230">
        <v>86</v>
      </c>
      <c r="N32" s="562">
        <v>70.2</v>
      </c>
      <c r="P32" s="169" t="s">
        <v>228</v>
      </c>
      <c r="Q32" s="203">
        <v>-2.6320000000000001</v>
      </c>
      <c r="R32" s="204">
        <v>1.738</v>
      </c>
    </row>
    <row r="33" spans="3:18" ht="20.100000000000001" customHeight="1">
      <c r="C33" s="580"/>
      <c r="D33" s="223" t="s">
        <v>266</v>
      </c>
      <c r="E33" s="203">
        <v>1.41</v>
      </c>
      <c r="F33" s="197"/>
      <c r="G33" s="30"/>
      <c r="H33" s="561" t="s">
        <v>229</v>
      </c>
      <c r="I33" s="230">
        <v>75.400000000000006</v>
      </c>
      <c r="J33" s="230">
        <v>92.3</v>
      </c>
      <c r="K33" s="230">
        <v>121.9</v>
      </c>
      <c r="L33" s="230">
        <v>96.5</v>
      </c>
      <c r="M33" s="230">
        <v>121.9</v>
      </c>
      <c r="N33" s="562">
        <v>75.400000000000006</v>
      </c>
      <c r="P33" s="169" t="s">
        <v>229</v>
      </c>
      <c r="Q33" s="203">
        <v>-2.9298000000000002</v>
      </c>
      <c r="R33" s="204">
        <v>2.3410000000000002</v>
      </c>
    </row>
    <row r="34" spans="3:18" ht="20.100000000000001" customHeight="1">
      <c r="C34" s="580"/>
      <c r="D34" s="223" t="s">
        <v>267</v>
      </c>
      <c r="E34" s="267">
        <v>1.5554999999999999</v>
      </c>
      <c r="F34" s="560">
        <v>4.0840000000000001E-4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580" t="s">
        <v>229</v>
      </c>
      <c r="D35" s="223" t="s">
        <v>265</v>
      </c>
      <c r="E35" s="203">
        <v>3.774</v>
      </c>
      <c r="F35" s="559">
        <v>3.4900000000000003E-4</v>
      </c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580"/>
      <c r="D36" s="223" t="s">
        <v>266</v>
      </c>
      <c r="E36" s="203">
        <v>2.7360000000000002</v>
      </c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580"/>
      <c r="D37" s="223" t="s">
        <v>267</v>
      </c>
      <c r="E37" s="267">
        <v>3.2549999999999999</v>
      </c>
      <c r="F37" s="560">
        <v>3.4900000000000003E-4</v>
      </c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580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580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580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580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580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580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580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580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580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80"/>
      <c r="D47" s="223"/>
      <c r="E47" s="203"/>
      <c r="F47" s="197"/>
    </row>
    <row r="48" spans="3:18" ht="20.100000000000001" customHeight="1">
      <c r="C48" s="580"/>
      <c r="D48" s="223"/>
      <c r="E48" s="203"/>
      <c r="F48" s="197"/>
    </row>
    <row r="49" spans="3:6" ht="20.100000000000001" customHeight="1">
      <c r="C49" s="580"/>
      <c r="D49" s="223"/>
      <c r="E49" s="267"/>
      <c r="F49" s="273"/>
    </row>
    <row r="50" spans="3:6" ht="20.100000000000001" customHeight="1">
      <c r="C50" s="580"/>
      <c r="D50" s="223"/>
      <c r="E50" s="196"/>
      <c r="F50" s="197"/>
    </row>
    <row r="51" spans="3:6" ht="20.100000000000001" customHeight="1">
      <c r="C51" s="580"/>
      <c r="D51" s="223"/>
      <c r="E51" s="196"/>
      <c r="F51" s="197"/>
    </row>
    <row r="52" spans="3:6" ht="20.100000000000001" customHeight="1">
      <c r="C52" s="580"/>
      <c r="D52" s="223"/>
      <c r="E52" s="196"/>
      <c r="F52" s="197"/>
    </row>
    <row r="53" spans="3:6" ht="20.100000000000001" customHeight="1">
      <c r="C53" s="580"/>
      <c r="D53" s="223"/>
      <c r="E53" s="196"/>
      <c r="F53" s="197"/>
    </row>
    <row r="54" spans="3:6" ht="20.100000000000001" customHeight="1">
      <c r="C54" s="580"/>
      <c r="D54" s="223"/>
      <c r="E54" s="196"/>
      <c r="F54" s="197"/>
    </row>
    <row r="55" spans="3:6" ht="20.100000000000001" customHeight="1">
      <c r="C55" s="580"/>
      <c r="D55" s="223"/>
      <c r="E55" s="196"/>
      <c r="F55" s="197"/>
    </row>
    <row r="56" spans="3:6" ht="20.100000000000001" customHeight="1">
      <c r="C56" s="580"/>
      <c r="D56" s="223"/>
      <c r="E56" s="196"/>
      <c r="F56" s="197"/>
    </row>
    <row r="57" spans="3:6" ht="20.100000000000001" customHeight="1">
      <c r="C57" s="580"/>
      <c r="D57" s="223"/>
      <c r="E57" s="196"/>
      <c r="F57" s="197"/>
    </row>
    <row r="58" spans="3:6" ht="20.100000000000001" customHeight="1">
      <c r="C58" s="580"/>
      <c r="D58" s="223"/>
      <c r="E58" s="196"/>
      <c r="F58" s="197"/>
    </row>
    <row r="59" spans="3:6" ht="20.100000000000001" customHeight="1">
      <c r="C59" s="580"/>
      <c r="D59" s="223"/>
      <c r="E59" s="196"/>
      <c r="F59" s="197"/>
    </row>
    <row r="60" spans="3:6" ht="20.100000000000001" customHeight="1">
      <c r="C60" s="580"/>
      <c r="D60" s="223"/>
      <c r="E60" s="196"/>
      <c r="F60" s="197"/>
    </row>
    <row r="61" spans="3:6" ht="20.100000000000001" customHeight="1">
      <c r="C61" s="580"/>
      <c r="D61" s="223"/>
      <c r="E61" s="196"/>
      <c r="F61" s="197"/>
    </row>
    <row r="62" spans="3:6" ht="20.100000000000001" customHeight="1">
      <c r="C62" s="580"/>
      <c r="D62" s="223"/>
      <c r="E62" s="196"/>
      <c r="F62" s="197"/>
    </row>
    <row r="63" spans="3:6" ht="20.100000000000001" customHeight="1">
      <c r="C63" s="580"/>
      <c r="D63" s="223"/>
      <c r="E63" s="196"/>
      <c r="F63" s="197"/>
    </row>
    <row r="64" spans="3:6" ht="20.100000000000001" customHeight="1">
      <c r="C64" s="580"/>
      <c r="D64" s="223"/>
      <c r="E64" s="196"/>
      <c r="F64" s="197"/>
    </row>
    <row r="65" spans="3:6" ht="20.100000000000001" customHeight="1">
      <c r="C65" s="580"/>
      <c r="D65" s="223"/>
      <c r="E65" s="196"/>
      <c r="F65" s="197"/>
    </row>
    <row r="66" spans="3:6" ht="20.100000000000001" customHeight="1">
      <c r="C66" s="580"/>
      <c r="D66" s="223"/>
      <c r="E66" s="196"/>
      <c r="F66" s="197"/>
    </row>
    <row r="67" spans="3:6" ht="20.100000000000001" customHeight="1" thickBot="1">
      <c r="C67" s="581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584" t="s">
        <v>668</v>
      </c>
      <c r="E4" s="199">
        <v>150</v>
      </c>
      <c r="F4" s="199">
        <v>1.5555000000000001</v>
      </c>
      <c r="G4" s="586">
        <v>2.4051999999999998</v>
      </c>
      <c r="H4" s="584">
        <v>0.03</v>
      </c>
      <c r="I4" s="199">
        <v>188</v>
      </c>
      <c r="J4" s="588">
        <v>188</v>
      </c>
      <c r="K4" s="199">
        <v>299</v>
      </c>
      <c r="L4" s="588">
        <v>300.5</v>
      </c>
      <c r="M4" s="199">
        <v>6.4000000000000003E-3</v>
      </c>
      <c r="N4" s="586">
        <v>6.1000000000000004E-3</v>
      </c>
      <c r="O4" s="582" t="s">
        <v>250</v>
      </c>
    </row>
    <row r="5" spans="3:15" ht="20.100000000000001" customHeight="1">
      <c r="C5" s="198" t="s">
        <v>229</v>
      </c>
      <c r="D5" s="585"/>
      <c r="E5" s="199">
        <v>150</v>
      </c>
      <c r="F5" s="199">
        <v>3.2549999999999999</v>
      </c>
      <c r="G5" s="587"/>
      <c r="H5" s="585"/>
      <c r="I5" s="199">
        <v>188</v>
      </c>
      <c r="J5" s="589"/>
      <c r="K5" s="199">
        <v>302</v>
      </c>
      <c r="L5" s="589"/>
      <c r="M5" s="199">
        <v>5.7999999999999996E-3</v>
      </c>
      <c r="N5" s="587"/>
      <c r="O5" s="583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F5" sqref="F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4011699</v>
      </c>
      <c r="E4" s="163">
        <v>1276.3</v>
      </c>
      <c r="F4" s="163">
        <v>1795.5529411331509</v>
      </c>
      <c r="G4" s="164">
        <v>0.64</v>
      </c>
      <c r="H4" s="163">
        <v>1149.1538823252165</v>
      </c>
      <c r="I4" s="165">
        <v>392.9</v>
      </c>
      <c r="J4" s="163">
        <v>300</v>
      </c>
      <c r="K4" s="166">
        <v>456.25388232521652</v>
      </c>
      <c r="M4" s="162">
        <f>D4</f>
        <v>4011699</v>
      </c>
      <c r="N4" s="163">
        <f>E4</f>
        <v>1276.3</v>
      </c>
      <c r="O4" s="163">
        <f>F4</f>
        <v>1795.5529411331509</v>
      </c>
      <c r="P4" s="163">
        <f>H4</f>
        <v>1149.1538823252165</v>
      </c>
      <c r="Q4" s="165">
        <f>I4</f>
        <v>392.9</v>
      </c>
      <c r="R4" s="163">
        <f>J4</f>
        <v>300</v>
      </c>
      <c r="S4" s="166">
        <f>K4</f>
        <v>456.25388232521652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4011699</v>
      </c>
      <c r="E8" s="163">
        <v>1276.3</v>
      </c>
      <c r="F8" s="163">
        <v>1795.5529411331509</v>
      </c>
      <c r="G8" s="164">
        <v>0.64</v>
      </c>
      <c r="H8" s="163">
        <v>1149.1538823252165</v>
      </c>
      <c r="I8" s="165">
        <v>392.9</v>
      </c>
      <c r="J8" s="163">
        <v>756.25388232521652</v>
      </c>
      <c r="K8" s="166">
        <v>300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200</v>
      </c>
      <c r="F12" s="199">
        <v>150</v>
      </c>
      <c r="G12" s="549">
        <v>5.12</v>
      </c>
      <c r="H12" s="549">
        <v>62.4</v>
      </c>
      <c r="I12" s="310">
        <v>1.5555000000000001</v>
      </c>
      <c r="J12" s="550">
        <v>4.0840000000000001E-4</v>
      </c>
      <c r="L12" s="198" t="s">
        <v>228</v>
      </c>
      <c r="M12" s="199">
        <v>200</v>
      </c>
      <c r="N12" s="199">
        <v>150</v>
      </c>
      <c r="O12" s="549">
        <v>5.12</v>
      </c>
      <c r="P12" s="549">
        <v>62.4</v>
      </c>
      <c r="Q12" s="213">
        <v>57.28</v>
      </c>
      <c r="R12" s="310">
        <v>1.5555000000000001</v>
      </c>
      <c r="S12" s="550">
        <v>4.0840000000000001E-4</v>
      </c>
    </row>
    <row r="13" spans="4:19" s="30" customFormat="1" ht="20.100000000000001" customHeight="1">
      <c r="D13" s="270" t="s">
        <v>229</v>
      </c>
      <c r="E13" s="271">
        <v>200</v>
      </c>
      <c r="F13" s="271">
        <v>150</v>
      </c>
      <c r="G13" s="551">
        <v>4.1100000000000003</v>
      </c>
      <c r="H13" s="551">
        <v>31.05</v>
      </c>
      <c r="I13" s="552">
        <v>3.2549999999999999</v>
      </c>
      <c r="J13" s="553">
        <v>3.4900000000000003E-4</v>
      </c>
      <c r="L13" s="270" t="s">
        <v>229</v>
      </c>
      <c r="M13" s="271">
        <v>200</v>
      </c>
      <c r="N13" s="271">
        <v>150</v>
      </c>
      <c r="O13" s="551">
        <v>4.1100000000000003</v>
      </c>
      <c r="P13" s="551">
        <v>31.05</v>
      </c>
      <c r="Q13" s="554">
        <v>26.94</v>
      </c>
      <c r="R13" s="552">
        <v>3.2549999999999999</v>
      </c>
      <c r="S13" s="553">
        <v>3.4900000000000003E-4</v>
      </c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670</v>
      </c>
      <c r="F28" s="199" t="s">
        <v>671</v>
      </c>
      <c r="G28" s="200" t="s">
        <v>672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647</v>
      </c>
    </row>
    <row r="29" spans="4:19" s="30" customFormat="1" ht="20.100000000000001" customHeight="1" thickBot="1">
      <c r="D29" s="198" t="s">
        <v>229</v>
      </c>
      <c r="E29" s="199" t="s">
        <v>673</v>
      </c>
      <c r="F29" s="199" t="s">
        <v>674</v>
      </c>
      <c r="G29" s="200" t="s">
        <v>672</v>
      </c>
      <c r="I29" s="198" t="s">
        <v>229</v>
      </c>
      <c r="J29" s="199">
        <v>117</v>
      </c>
      <c r="K29" s="200">
        <v>141</v>
      </c>
      <c r="M29" s="170">
        <f>MAX(K28:K40)</f>
        <v>141</v>
      </c>
      <c r="N29" s="249" t="s">
        <v>669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377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 t="s">
        <v>229</v>
      </c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664</v>
      </c>
      <c r="E45" s="193" t="s">
        <v>664</v>
      </c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 t="s">
        <v>229</v>
      </c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665</v>
      </c>
      <c r="E50" s="193" t="s">
        <v>665</v>
      </c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 t="s">
        <v>229</v>
      </c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667</v>
      </c>
      <c r="E55" s="193" t="s">
        <v>666</v>
      </c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 t="s">
        <v>229</v>
      </c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675</v>
      </c>
      <c r="E60" s="193" t="s">
        <v>676</v>
      </c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 t="s">
        <v>229</v>
      </c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677</v>
      </c>
      <c r="E65" s="193" t="s">
        <v>678</v>
      </c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충남 서산시 읍내동 40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635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6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6">
        <f>Well!Q4</f>
        <v>0</v>
      </c>
      <c r="D5" s="7" t="s">
        <v>53</v>
      </c>
      <c r="E5" s="555">
        <v>1.7010000000000001</v>
      </c>
      <c r="F5" s="28">
        <f>$E$5/$C$14</f>
        <v>9.0478723404255317E-3</v>
      </c>
      <c r="G5" s="557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637" t="str">
        <f>Well!D4</f>
        <v>충남 서산시 읍내동 40</v>
      </c>
      <c r="D6" s="7" t="s">
        <v>56</v>
      </c>
      <c r="E6" s="556">
        <v>1.41</v>
      </c>
      <c r="F6" s="28">
        <f>$E$6/$C$14</f>
        <v>7.4999999999999997E-3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638">
        <f>Well!H4</f>
        <v>200</v>
      </c>
      <c r="D7" s="142" t="s">
        <v>59</v>
      </c>
      <c r="E7" s="139">
        <f>ROUND((E5+E6)/2,4)</f>
        <v>1.5555000000000001</v>
      </c>
      <c r="F7" s="29">
        <f>$E$7/$C$14</f>
        <v>8.2739361702127666E-3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639">
        <f>Well!G4</f>
        <v>250</v>
      </c>
    </row>
    <row r="9" spans="1:13" ht="20.100000000000001" customHeight="1" thickBot="1">
      <c r="B9" s="6" t="s">
        <v>60</v>
      </c>
      <c r="C9" s="640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641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641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594" t="s">
        <v>116</v>
      </c>
      <c r="K11" s="595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642">
        <f>C7-C9</f>
        <v>188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200</v>
      </c>
      <c r="B13" s="6" t="s">
        <v>66</v>
      </c>
      <c r="C13" s="642"/>
      <c r="D13" s="131" t="str">
        <f>All!B2</f>
        <v>금산기상청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640">
        <f>C7-IF(C20&gt;C9,C20,C9)</f>
        <v>188</v>
      </c>
      <c r="G14" s="122">
        <f>max</f>
        <v>1286.0999999999999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638">
        <f>Well!I4</f>
        <v>150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643">
        <f>Well!J4</f>
        <v>150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638">
        <f>Well!L4</f>
        <v>5</v>
      </c>
      <c r="E17" s="312">
        <f>Well!P4</f>
        <v>4011699</v>
      </c>
      <c r="F17" s="137">
        <f>(max*rf_1*E17/1000)</f>
        <v>660409.09873920004</v>
      </c>
      <c r="G17" s="136">
        <f>F17*allow_ratio</f>
        <v>422661.82319308806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638">
        <f>Well!M4</f>
        <v>102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644">
        <f>Well!N4</f>
        <v>50</v>
      </c>
      <c r="E19" s="312">
        <f>E17</f>
        <v>4011699</v>
      </c>
      <c r="F19" s="134">
        <f>(max*rf_1*E19/1000)/365</f>
        <v>1809.3399965457536</v>
      </c>
      <c r="G19" s="135">
        <f>F19*allow_ratio</f>
        <v>1157.9775977892823</v>
      </c>
      <c r="H19" s="118">
        <f>G19-F21</f>
        <v>765.07759778928232</v>
      </c>
    </row>
    <row r="20" spans="2:12" ht="20.100000000000001" customHeight="1">
      <c r="B20" s="18" t="s">
        <v>76</v>
      </c>
      <c r="C20" s="645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46">
        <v>62.4</v>
      </c>
      <c r="D21" s="13"/>
      <c r="E21" s="313">
        <f>Well!$I$7</f>
        <v>300</v>
      </c>
      <c r="F21" s="314">
        <f>Well!O4</f>
        <v>392.9</v>
      </c>
      <c r="G21" s="136">
        <f>G19-E21-F21</f>
        <v>465.07759778928232</v>
      </c>
    </row>
    <row r="22" spans="2:12" ht="20.100000000000001" customHeight="1" thickBot="1">
      <c r="B22" s="27" t="s">
        <v>163</v>
      </c>
      <c r="C22" s="647">
        <f>C21-C20</f>
        <v>57.28</v>
      </c>
      <c r="E22" s="596">
        <f>E21+F21</f>
        <v>692.9</v>
      </c>
      <c r="F22" s="597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626</v>
      </c>
      <c r="C25" s="591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592" t="s">
        <v>102</v>
      </c>
      <c r="C26" s="416" t="s">
        <v>103</v>
      </c>
      <c r="D26" s="360">
        <f>C20</f>
        <v>5.12</v>
      </c>
      <c r="E26" s="361">
        <f>Recharge!C30</f>
        <v>16.46208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>
        <f>(E7/C14)/864</f>
        <v>9.5763150118203324E-6</v>
      </c>
      <c r="K26" s="359" t="s">
        <v>647</v>
      </c>
    </row>
    <row r="27" spans="2:12" ht="25.5" customHeight="1">
      <c r="B27" s="592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592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592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592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593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0392B-1F24-4792-9F18-C3B9FAF3104D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10" t="e">
        <f>Well!#REF!</f>
        <v>#REF!</v>
      </c>
      <c r="H2"/>
      <c r="I2" s="138" t="s">
        <v>658</v>
      </c>
      <c r="J2"/>
      <c r="K2"/>
      <c r="L2"/>
      <c r="M2"/>
    </row>
    <row r="3" spans="1:13" ht="20.100000000000001" customHeight="1">
      <c r="B3" s="2" t="s">
        <v>6</v>
      </c>
      <c r="C3" s="635" t="e">
        <f>Well!#REF!</f>
        <v>#REF!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36" t="e">
        <f>Well!#REF!</f>
        <v>#REF!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36" t="e">
        <f>Well!#REF!</f>
        <v>#REF!</v>
      </c>
      <c r="D5" s="7" t="s">
        <v>53</v>
      </c>
      <c r="E5" s="555">
        <v>1.7010000000000001</v>
      </c>
      <c r="F5" s="28" t="e">
        <f>$E$5/$C$14</f>
        <v>#REF!</v>
      </c>
      <c r="G5" s="557">
        <v>4.0840000000000001E-4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637" t="e">
        <f>Well!#REF!</f>
        <v>#REF!</v>
      </c>
      <c r="D6" s="7" t="s">
        <v>56</v>
      </c>
      <c r="E6" s="556">
        <v>1.41</v>
      </c>
      <c r="F6" s="28" t="e">
        <f>$E$6/$C$14</f>
        <v>#REF!</v>
      </c>
      <c r="G6" s="10" t="s">
        <v>57</v>
      </c>
      <c r="H6" s="370">
        <v>1.738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638" t="e">
        <f>Well!#REF!</f>
        <v>#REF!</v>
      </c>
      <c r="D7" s="142" t="s">
        <v>59</v>
      </c>
      <c r="E7" s="139">
        <f>ROUND((E5+E6)/2,4)</f>
        <v>1.5555000000000001</v>
      </c>
      <c r="F7" s="29" t="e">
        <f>$E$7/$C$14</f>
        <v>#REF!</v>
      </c>
      <c r="G7" s="371">
        <f>G5</f>
        <v>4.0840000000000001E-4</v>
      </c>
      <c r="H7" s="366">
        <v>7.8950000000000006E-2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639" t="e">
        <f>Well!#REF!</f>
        <v>#REF!</v>
      </c>
    </row>
    <row r="9" spans="1:13" ht="20.100000000000001" customHeight="1" thickBot="1">
      <c r="B9" s="6" t="s">
        <v>60</v>
      </c>
      <c r="C9" s="640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86</v>
      </c>
    </row>
    <row r="10" spans="1:13" ht="20.100000000000001" customHeight="1" thickBot="1">
      <c r="B10" s="6" t="s">
        <v>61</v>
      </c>
      <c r="C10" s="641">
        <v>5</v>
      </c>
      <c r="D10" s="369" t="s">
        <v>62</v>
      </c>
      <c r="E10" s="119">
        <v>70.2</v>
      </c>
      <c r="F10" s="120">
        <v>86</v>
      </c>
      <c r="G10" s="389">
        <v>77.900000000000006</v>
      </c>
      <c r="H10" s="492">
        <f>MIN(E10,F10,G10)</f>
        <v>70.2</v>
      </c>
      <c r="I10" s="12"/>
    </row>
    <row r="11" spans="1:13" ht="20.100000000000001" customHeight="1" thickBot="1">
      <c r="B11" s="6" t="s">
        <v>63</v>
      </c>
      <c r="C11" s="641">
        <v>7</v>
      </c>
      <c r="D11" s="143" t="s">
        <v>64</v>
      </c>
      <c r="E11" s="121">
        <f>ROUND(AVERAGE(E10:G10),1)</f>
        <v>78</v>
      </c>
      <c r="F11" s="365">
        <f>ROUND((E10+F10)/2,1)</f>
        <v>78.099999999999994</v>
      </c>
      <c r="H11" s="491">
        <f>ROUND(AVERAGE(E10:G10),1)</f>
        <v>78</v>
      </c>
      <c r="I11" s="12"/>
      <c r="J11" s="594" t="s">
        <v>116</v>
      </c>
      <c r="K11" s="595"/>
    </row>
    <row r="12" spans="1:13" ht="20.100000000000001" customHeight="1" thickBot="1">
      <c r="A12" s="13" t="e">
        <f>IF(A13&lt;&gt;C7,"CHECK","OK")</f>
        <v>#REF!</v>
      </c>
      <c r="B12" s="6" t="s">
        <v>65</v>
      </c>
      <c r="C12" s="642" t="e">
        <f>C7-C9</f>
        <v>#REF!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 t="e">
        <f>C10+C11+C12+C13</f>
        <v>#REF!</v>
      </c>
      <c r="B13" s="6" t="s">
        <v>66</v>
      </c>
      <c r="C13" s="642"/>
      <c r="D13" s="131" t="str">
        <f>All!B2</f>
        <v>금산기상청</v>
      </c>
      <c r="E13" s="131" t="str">
        <f>Recharge!I24</f>
        <v>금강서해/부남방조제</v>
      </c>
      <c r="F13" s="122">
        <f>rf_1</f>
        <v>0.128</v>
      </c>
      <c r="G13" s="122">
        <f>allow_ratio</f>
        <v>0.64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640" t="e">
        <f>C7-IF(C20&gt;C9,C20,C9)</f>
        <v>#REF!</v>
      </c>
      <c r="G14" s="122">
        <f>max</f>
        <v>1286.0999999999999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638" t="e">
        <f>Well!#REF!</f>
        <v>#REF!</v>
      </c>
      <c r="E15" s="34">
        <v>2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643" t="e">
        <f>Well!#REF!</f>
        <v>#REF!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19.88</v>
      </c>
      <c r="L16" s="390"/>
    </row>
    <row r="17" spans="2:12" ht="20.100000000000001" customHeight="1" thickBot="1">
      <c r="B17" s="6" t="s">
        <v>70</v>
      </c>
      <c r="C17" s="638" t="e">
        <f>Well!#REF!</f>
        <v>#REF!</v>
      </c>
      <c r="E17" s="312" t="e">
        <f>Well!#REF!</f>
        <v>#REF!</v>
      </c>
      <c r="F17" s="137" t="e">
        <f>(max*rf_1*E17/1000)</f>
        <v>#REF!</v>
      </c>
      <c r="G17" s="136" t="e">
        <f>F17*allow_ratio</f>
        <v>#REF!</v>
      </c>
      <c r="J17" s="386" t="s">
        <v>114</v>
      </c>
      <c r="K17" s="394">
        <f>K16-K15</f>
        <v>16.88</v>
      </c>
      <c r="L17" s="390"/>
    </row>
    <row r="18" spans="2:12" ht="20.100000000000001" customHeight="1" thickBot="1">
      <c r="B18" s="6" t="s">
        <v>71</v>
      </c>
      <c r="C18" s="638" t="e">
        <f>Well!#REF!</f>
        <v>#REF!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6.4109380934295477E-3</v>
      </c>
      <c r="L18" s="392">
        <f>K18*100</f>
        <v>0.64109380934295479</v>
      </c>
    </row>
    <row r="19" spans="2:12" ht="20.100000000000001" customHeight="1" thickBot="1">
      <c r="B19" s="17" t="s">
        <v>75</v>
      </c>
      <c r="C19" s="644" t="e">
        <f>Well!#REF!</f>
        <v>#REF!</v>
      </c>
      <c r="E19" s="312" t="e">
        <f>E17</f>
        <v>#REF!</v>
      </c>
      <c r="F19" s="134" t="e">
        <f>(max*rf_1*E19/1000)/365</f>
        <v>#REF!</v>
      </c>
      <c r="G19" s="135" t="e">
        <f>F19*allow_ratio</f>
        <v>#REF!</v>
      </c>
      <c r="H19" s="118" t="e">
        <f>G19-F21</f>
        <v>#REF!</v>
      </c>
    </row>
    <row r="20" spans="2:12" ht="20.100000000000001" customHeight="1">
      <c r="B20" s="18" t="s">
        <v>76</v>
      </c>
      <c r="C20" s="645">
        <v>5.12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646">
        <v>62.4</v>
      </c>
      <c r="D21" s="13"/>
      <c r="E21" s="313">
        <f>Well!$I$7</f>
        <v>300</v>
      </c>
      <c r="F21" s="314" t="e">
        <f>Well!#REF!</f>
        <v>#REF!</v>
      </c>
      <c r="G21" s="136" t="e">
        <f>G19-E21-F21</f>
        <v>#REF!</v>
      </c>
    </row>
    <row r="22" spans="2:12" ht="20.100000000000001" customHeight="1" thickBot="1">
      <c r="B22" s="27" t="s">
        <v>163</v>
      </c>
      <c r="C22" s="647">
        <f>C21-C20</f>
        <v>57.28</v>
      </c>
      <c r="E22" s="596" t="e">
        <f>E21+F21</f>
        <v>#REF!</v>
      </c>
      <c r="F22" s="597"/>
      <c r="G22" s="16"/>
      <c r="I22" s="15"/>
    </row>
    <row r="23" spans="2:12" ht="20.100000000000001" customHeight="1" thickBot="1">
      <c r="B23" s="252" t="s">
        <v>231</v>
      </c>
      <c r="C23" s="525">
        <v>3.92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0" t="s">
        <v>626</v>
      </c>
      <c r="C25" s="591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592" t="s">
        <v>49</v>
      </c>
      <c r="C26" s="416" t="s">
        <v>103</v>
      </c>
      <c r="D26" s="360">
        <f>C20</f>
        <v>5.12</v>
      </c>
      <c r="E26" s="361">
        <f>Recharge!C30</f>
        <v>16.46208</v>
      </c>
      <c r="F26" s="362" t="s">
        <v>182</v>
      </c>
      <c r="G26" s="360" t="s">
        <v>401</v>
      </c>
      <c r="H26" s="363">
        <f>L18</f>
        <v>0.64109380934295479</v>
      </c>
      <c r="I26" s="360" t="s">
        <v>182</v>
      </c>
      <c r="J26" s="364" t="e">
        <f>(E7/C14)/864</f>
        <v>#REF!</v>
      </c>
      <c r="K26" s="359" t="s">
        <v>647</v>
      </c>
    </row>
    <row r="27" spans="2:12" ht="25.5" customHeight="1">
      <c r="B27" s="592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390</v>
      </c>
    </row>
    <row r="28" spans="2:12" ht="25.5" customHeight="1">
      <c r="B28" s="592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592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592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593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4" name="CommandButton5"/>
      </mc:Fallback>
    </mc:AlternateContent>
    <mc:AlternateContent xmlns:mc="http://schemas.openxmlformats.org/markup-compatibility/2006">
      <mc:Choice Requires="x14">
        <control shapeId="360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6" name="Frame1"/>
      </mc:Fallback>
    </mc:AlternateContent>
    <mc:AlternateContent xmlns:mc="http://schemas.openxmlformats.org/markup-compatibility/2006">
      <mc:Choice Requires="x14">
        <control shapeId="360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8" name="CommandButton6"/>
      </mc:Fallback>
    </mc:AlternateContent>
    <mc:AlternateContent xmlns:mc="http://schemas.openxmlformats.org/markup-compatibility/2006">
      <mc:Choice Requires="x14">
        <control shapeId="360453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3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DA89C37-FB1F-4598-8B95-6E2135032B66}">
          <x14:formula1>
            <xm:f>drastic!$G$4:$G$14</xm:f>
          </x14:formula1>
          <xm:sqref>I26</xm:sqref>
        </x14:dataValidation>
        <x14:dataValidation type="list" allowBlank="1" showInputMessage="1" showErrorMessage="1" xr:uid="{CBFE1B05-2445-46EF-86FB-EADDA1F5A9E2}">
          <x14:formula1>
            <xm:f>drastic!$D$4:$D$14</xm:f>
          </x14:formula1>
          <xm:sqref>G26</xm:sqref>
        </x14:dataValidation>
        <x14:dataValidation type="list" allowBlank="1" showInputMessage="1" showErrorMessage="1" xr:uid="{2B799EC3-A1AC-4EE5-A6EA-3E6A670D2DA2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0" t="s">
        <v>85</v>
      </c>
      <c r="C12" s="601"/>
      <c r="D12" s="602" t="s">
        <v>86</v>
      </c>
      <c r="E12" s="603"/>
      <c r="F12" s="601"/>
      <c r="H12" s="600" t="s">
        <v>86</v>
      </c>
      <c r="I12" s="603"/>
      <c r="J12" s="601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04" t="s">
        <v>36</v>
      </c>
      <c r="C24" s="605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04" t="s">
        <v>37</v>
      </c>
      <c r="C25" s="605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598" t="s">
        <v>91</v>
      </c>
      <c r="C26" s="599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00" t="s">
        <v>85</v>
      </c>
      <c r="C12" s="601"/>
      <c r="D12" s="600" t="s">
        <v>86</v>
      </c>
      <c r="E12" s="603"/>
      <c r="F12" s="601"/>
      <c r="G12" s="606" t="s">
        <v>156</v>
      </c>
      <c r="H12" s="607"/>
      <c r="I12" s="608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04" t="s">
        <v>36</v>
      </c>
      <c r="C24" s="605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04" t="s">
        <v>37</v>
      </c>
      <c r="C25" s="605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598" t="s">
        <v>91</v>
      </c>
      <c r="C26" s="599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0" t="s">
        <v>86</v>
      </c>
      <c r="E29" s="603"/>
      <c r="F29" s="601"/>
      <c r="H29" s="600" t="s">
        <v>156</v>
      </c>
      <c r="I29" s="603"/>
      <c r="J29" s="601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0" t="s">
        <v>85</v>
      </c>
      <c r="C12" s="601"/>
      <c r="D12" s="606" t="s">
        <v>86</v>
      </c>
      <c r="E12" s="607"/>
      <c r="F12" s="608"/>
      <c r="G12" s="606" t="s">
        <v>156</v>
      </c>
      <c r="H12" s="607"/>
      <c r="I12" s="608"/>
      <c r="J12" s="606" t="s">
        <v>157</v>
      </c>
      <c r="K12" s="607"/>
      <c r="L12" s="608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04" t="s">
        <v>36</v>
      </c>
      <c r="C24" s="605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04" t="s">
        <v>37</v>
      </c>
      <c r="C25" s="605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598" t="s">
        <v>91</v>
      </c>
      <c r="C26" s="599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0" t="s">
        <v>86</v>
      </c>
      <c r="E29" s="603"/>
      <c r="F29" s="601"/>
      <c r="H29" s="600" t="s">
        <v>156</v>
      </c>
      <c r="I29" s="603"/>
      <c r="J29" s="601"/>
      <c r="L29" s="600" t="s">
        <v>157</v>
      </c>
      <c r="M29" s="603"/>
      <c r="N29" s="601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13</vt:i4>
      </vt:variant>
    </vt:vector>
  </HeadingPairs>
  <TitlesOfParts>
    <vt:vector size="33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2023-10-20T02:28:36Z</dcterms:modified>
</cp:coreProperties>
</file>