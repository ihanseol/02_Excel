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661D09F-C580-4C2E-B737-6049B01DE2E5}" xr6:coauthVersionLast="47" xr6:coauthVersionMax="47" xr10:uidLastSave="{00000000-0000-0000-0000-000000000000}"/>
  <bookViews>
    <workbookView xWindow="6345" yWindow="960" windowWidth="29325" windowHeight="19140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75" l="1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<sst xmlns="http://schemas.openxmlformats.org/spreadsheetml/2006/main" count="557" uniqueCount="388">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</sst>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55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7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4" borderId="8" xfId="0" applyNumberFormat="1" applyFont="1" applyFill="1" applyBorder="1" applyAlignment="1">
      <alignment horizontal="center" vertical="center"/>
    </xf>
    <xf numFmtId="193" fontId="28" fillId="24" borderId="9" xfId="0" applyNumberFormat="1" applyFont="1" applyFill="1" applyBorder="1" applyAlignment="1">
      <alignment horizontal="center" vertical="center"/>
    </xf>
    <xf numFmtId="193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76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77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2" fillId="27" borderId="54" xfId="16" applyFont="1" applyFill="1" applyBorder="1" applyAlignment="1">
      <alignment horizontal="center" vertical="center"/>
    </xf>
    <xf numFmtId="0" fontId="42" fillId="27" borderId="56" xfId="16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184" fontId="42" fillId="21" borderId="50" xfId="16" applyNumberFormat="1" applyFont="1" applyFill="1" applyBorder="1" applyAlignment="1">
      <alignment horizontal="center" vertical="center"/>
    </xf>
    <xf numFmtId="184" fontId="15" fillId="22" borderId="35" xfId="16" applyNumberFormat="1" applyFont="1" applyFill="1" applyBorder="1">
      <alignment vertical="center"/>
    </xf>
    <xf numFmtId="0" fontId="29" fillId="7" borderId="50" xfId="16" applyFont="1" applyFill="1" applyBorder="1" applyAlignment="1">
      <alignment horizontal="center" vertical="center"/>
    </xf>
    <xf numFmtId="0" fontId="34" fillId="0" borderId="0" xfId="16" applyFont="1">
      <alignment vertical="center"/>
    </xf>
    <xf numFmtId="183" fontId="34" fillId="0" borderId="50" xfId="16" applyNumberFormat="1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34" fillId="0" borderId="58" xfId="16" applyFont="1" applyBorder="1" applyAlignment="1">
      <alignment horizontal="center" vertical="center"/>
    </xf>
    <xf numFmtId="185" fontId="34" fillId="0" borderId="35" xfId="16" applyNumberFormat="1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12" Type="http://schemas.openxmlformats.org/officeDocument/2006/relationships/image" Target="../media/image2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11" Type="http://schemas.openxmlformats.org/officeDocument/2006/relationships/image" Target="../media/image33.emf"/><Relationship Id="rId5" Type="http://schemas.openxmlformats.org/officeDocument/2006/relationships/image" Target="../media/image24.emf"/><Relationship Id="rId10" Type="http://schemas.openxmlformats.org/officeDocument/2006/relationships/image" Target="../media/image32.emf"/><Relationship Id="rId4" Type="http://schemas.openxmlformats.org/officeDocument/2006/relationships/image" Target="../media/image25.emf"/><Relationship Id="rId9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7" Type="http://schemas.openxmlformats.org/officeDocument/2006/relationships/image" Target="../media/image4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1104900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506" t="s">
        <v>366</v>
      </c>
      <c r="C2" s="506"/>
      <c r="D2" s="506"/>
      <c r="E2" s="506"/>
      <c r="F2" s="506"/>
      <c r="G2" s="506"/>
      <c r="H2" s="506"/>
      <c r="I2" s="506"/>
      <c r="J2" s="506"/>
      <c r="K2" s="506"/>
      <c r="L2" s="506"/>
    </row>
    <row r="3" spans="2:23" ht="17.25" thickBot="1">
      <c r="I3"/>
      <c r="J3"/>
      <c r="K3"/>
    </row>
    <row r="4" spans="2:23" s="68" customFormat="1" ht="22.5" customHeight="1">
      <c r="B4" s="140" t="s">
        <v>41</v>
      </c>
      <c r="C4" s="142" t="s">
        <v>42</v>
      </c>
      <c r="D4" s="142" t="s">
        <v>32</v>
      </c>
      <c r="E4" s="142" t="s">
        <v>33</v>
      </c>
      <c r="F4" s="142" t="s">
        <v>34</v>
      </c>
      <c r="G4" s="142" t="s">
        <v>35</v>
      </c>
      <c r="H4" s="142" t="s">
        <v>12</v>
      </c>
      <c r="I4" s="142" t="s">
        <v>13</v>
      </c>
      <c r="J4" s="142" t="s">
        <v>14</v>
      </c>
      <c r="K4" s="142" t="s">
        <v>15</v>
      </c>
      <c r="L4" s="142" t="s">
        <v>16</v>
      </c>
      <c r="M4" s="142" t="s">
        <v>17</v>
      </c>
      <c r="N4" s="143" t="s">
        <v>18</v>
      </c>
      <c r="O4" s="191" t="s">
        <v>44</v>
      </c>
      <c r="P4" s="143" t="s">
        <v>45</v>
      </c>
    </row>
    <row r="5" spans="2:23" ht="22.5" customHeight="1">
      <c r="B5" s="144">
        <v>1992</v>
      </c>
      <c r="C5" s="145">
        <v>13.2</v>
      </c>
      <c r="D5" s="145">
        <v>18.7</v>
      </c>
      <c r="E5" s="145">
        <v>46.1</v>
      </c>
      <c r="F5" s="145">
        <v>102.9</v>
      </c>
      <c r="G5" s="145">
        <v>109.1</v>
      </c>
      <c r="H5" s="145">
        <v>46.7</v>
      </c>
      <c r="I5" s="145">
        <v>161.5</v>
      </c>
      <c r="J5" s="145">
        <v>415.4</v>
      </c>
      <c r="K5" s="145">
        <v>179</v>
      </c>
      <c r="L5" s="145">
        <v>15.5</v>
      </c>
      <c r="M5" s="145">
        <v>60</v>
      </c>
      <c r="N5" s="146">
        <v>54.5</v>
      </c>
      <c r="O5" s="192">
        <f>ROUND(SUM(C5:N5),1)</f>
        <v>1222.5999999999999</v>
      </c>
      <c r="P5" s="147">
        <f>ROUND(O5/12,1)</f>
        <v>101.9</v>
      </c>
      <c r="Q5" s="69"/>
      <c r="R5" s="135"/>
      <c r="S5" s="134"/>
      <c r="T5" s="135"/>
      <c r="U5" s="134"/>
      <c r="V5" s="135"/>
      <c r="W5" s="134"/>
    </row>
    <row r="6" spans="2:23" ht="22.5" customHeight="1">
      <c r="B6" s="148">
        <v>1993</v>
      </c>
      <c r="C6" s="141">
        <v>4.8</v>
      </c>
      <c r="D6" s="141">
        <v>73</v>
      </c>
      <c r="E6" s="141">
        <v>25.5</v>
      </c>
      <c r="F6" s="141">
        <v>34.5</v>
      </c>
      <c r="G6" s="141">
        <v>116</v>
      </c>
      <c r="H6" s="141">
        <v>260</v>
      </c>
      <c r="I6" s="141">
        <v>273.5</v>
      </c>
      <c r="J6" s="141">
        <v>284</v>
      </c>
      <c r="K6" s="141">
        <v>98.5</v>
      </c>
      <c r="L6" s="141">
        <v>34</v>
      </c>
      <c r="M6" s="141">
        <v>89.5</v>
      </c>
      <c r="N6" s="149">
        <v>21.9</v>
      </c>
      <c r="O6" s="193">
        <f t="shared" ref="O6:O34" si="0">ROUND(SUM(C6:N6),1)</f>
        <v>1315.2</v>
      </c>
      <c r="P6" s="150">
        <f t="shared" ref="P6:P34" si="1">ROUND(O6/12,1)</f>
        <v>109.6</v>
      </c>
      <c r="Q6" s="69"/>
      <c r="R6" s="135"/>
      <c r="S6" s="134"/>
      <c r="T6" s="135"/>
      <c r="U6" s="134"/>
      <c r="V6" s="135"/>
      <c r="W6" s="134"/>
    </row>
    <row r="7" spans="2:23" ht="22.5" customHeight="1">
      <c r="B7" s="148">
        <v>1994</v>
      </c>
      <c r="C7" s="141">
        <v>18.5</v>
      </c>
      <c r="D7" s="141">
        <v>14.4</v>
      </c>
      <c r="E7" s="141">
        <v>54.4</v>
      </c>
      <c r="F7" s="141">
        <v>41</v>
      </c>
      <c r="G7" s="141">
        <v>137</v>
      </c>
      <c r="H7" s="141">
        <v>137.5</v>
      </c>
      <c r="I7" s="141">
        <v>96.5</v>
      </c>
      <c r="J7" s="141">
        <v>286.5</v>
      </c>
      <c r="K7" s="141">
        <v>34</v>
      </c>
      <c r="L7" s="141">
        <v>162</v>
      </c>
      <c r="M7" s="141">
        <v>23</v>
      </c>
      <c r="N7" s="149">
        <v>25</v>
      </c>
      <c r="O7" s="193">
        <f t="shared" si="0"/>
        <v>1029.8</v>
      </c>
      <c r="P7" s="150">
        <f t="shared" si="1"/>
        <v>85.8</v>
      </c>
      <c r="Q7" s="69"/>
      <c r="R7" s="135"/>
      <c r="S7" s="134"/>
      <c r="T7" s="135"/>
      <c r="U7" s="134"/>
      <c r="V7" s="135"/>
      <c r="W7" s="134"/>
    </row>
    <row r="8" spans="2:23" ht="22.5" customHeight="1">
      <c r="B8" s="148">
        <v>1995</v>
      </c>
      <c r="C8" s="141">
        <v>22.6</v>
      </c>
      <c r="D8" s="141">
        <v>23.5</v>
      </c>
      <c r="E8" s="141">
        <v>24.4</v>
      </c>
      <c r="F8" s="141">
        <v>62</v>
      </c>
      <c r="G8" s="141">
        <v>59.5</v>
      </c>
      <c r="H8" s="141">
        <v>34.5</v>
      </c>
      <c r="I8" s="141">
        <v>171.5</v>
      </c>
      <c r="J8" s="141">
        <v>839</v>
      </c>
      <c r="K8" s="141">
        <v>46.5</v>
      </c>
      <c r="L8" s="141">
        <v>22</v>
      </c>
      <c r="M8" s="141">
        <v>15</v>
      </c>
      <c r="N8" s="149">
        <v>5.7</v>
      </c>
      <c r="O8" s="193">
        <f t="shared" si="0"/>
        <v>1326.2</v>
      </c>
      <c r="P8" s="150">
        <f t="shared" si="1"/>
        <v>110.5</v>
      </c>
      <c r="Q8" s="69"/>
      <c r="R8" s="201" t="s">
        <v>282</v>
      </c>
      <c r="S8" s="134"/>
      <c r="T8" s="135"/>
      <c r="U8" s="134"/>
      <c r="V8" s="135"/>
      <c r="W8" s="134"/>
    </row>
    <row r="9" spans="2:23" ht="22.5" customHeight="1">
      <c r="B9" s="148">
        <v>1996</v>
      </c>
      <c r="C9" s="141">
        <v>26.4</v>
      </c>
      <c r="D9" s="141">
        <v>2.8</v>
      </c>
      <c r="E9" s="141">
        <v>131</v>
      </c>
      <c r="F9" s="141">
        <v>45</v>
      </c>
      <c r="G9" s="141">
        <v>33</v>
      </c>
      <c r="H9" s="141">
        <v>289</v>
      </c>
      <c r="I9" s="141">
        <v>235</v>
      </c>
      <c r="J9" s="141">
        <v>67</v>
      </c>
      <c r="K9" s="141">
        <v>16</v>
      </c>
      <c r="L9" s="141">
        <v>90.5</v>
      </c>
      <c r="M9" s="141">
        <v>76</v>
      </c>
      <c r="N9" s="149">
        <v>35</v>
      </c>
      <c r="O9" s="193">
        <f t="shared" si="0"/>
        <v>1046.7</v>
      </c>
      <c r="P9" s="150">
        <f t="shared" si="1"/>
        <v>87.2</v>
      </c>
      <c r="Q9" s="69"/>
      <c r="R9" s="135"/>
      <c r="S9" s="134"/>
      <c r="T9" s="135"/>
      <c r="U9" s="134"/>
      <c r="V9" s="135"/>
      <c r="W9" s="134"/>
    </row>
    <row r="10" spans="2:23" ht="22.5" customHeight="1">
      <c r="B10" s="148">
        <v>1997</v>
      </c>
      <c r="C10" s="141">
        <v>9</v>
      </c>
      <c r="D10" s="141">
        <v>54.9</v>
      </c>
      <c r="E10" s="141">
        <v>44</v>
      </c>
      <c r="F10" s="141">
        <v>70</v>
      </c>
      <c r="G10" s="141">
        <v>229.5</v>
      </c>
      <c r="H10" s="141">
        <v>236.5</v>
      </c>
      <c r="I10" s="141">
        <v>404.5</v>
      </c>
      <c r="J10" s="141">
        <v>263</v>
      </c>
      <c r="K10" s="141">
        <v>24.5</v>
      </c>
      <c r="L10" s="141">
        <v>8</v>
      </c>
      <c r="M10" s="141">
        <v>219.5</v>
      </c>
      <c r="N10" s="149">
        <v>39.5</v>
      </c>
      <c r="O10" s="193">
        <f t="shared" si="0"/>
        <v>1602.9</v>
      </c>
      <c r="P10" s="150">
        <f t="shared" si="1"/>
        <v>133.6</v>
      </c>
      <c r="Q10" s="69"/>
      <c r="R10" s="135"/>
      <c r="S10" s="134"/>
      <c r="T10" s="135"/>
      <c r="U10" s="134"/>
      <c r="V10" s="135"/>
      <c r="W10" s="134"/>
    </row>
    <row r="11" spans="2:23" ht="22.5" customHeight="1">
      <c r="B11" s="148">
        <v>1998</v>
      </c>
      <c r="C11" s="141">
        <v>40.6</v>
      </c>
      <c r="D11" s="141">
        <v>47</v>
      </c>
      <c r="E11" s="141">
        <v>45</v>
      </c>
      <c r="F11" s="141">
        <v>200.5</v>
      </c>
      <c r="G11" s="141">
        <v>130.5</v>
      </c>
      <c r="H11" s="141">
        <v>324</v>
      </c>
      <c r="I11" s="141">
        <v>323</v>
      </c>
      <c r="J11" s="141">
        <v>451.3</v>
      </c>
      <c r="K11" s="141">
        <v>313.10000000000002</v>
      </c>
      <c r="L11" s="141">
        <v>75.5</v>
      </c>
      <c r="M11" s="141">
        <v>46.3</v>
      </c>
      <c r="N11" s="149">
        <v>3.5</v>
      </c>
      <c r="O11" s="193">
        <f t="shared" si="0"/>
        <v>2000.3</v>
      </c>
      <c r="P11" s="150">
        <f t="shared" si="1"/>
        <v>166.7</v>
      </c>
      <c r="R11" s="135"/>
      <c r="S11" s="134"/>
      <c r="T11" s="135"/>
      <c r="U11" s="134"/>
      <c r="V11" s="135"/>
      <c r="W11" s="134"/>
    </row>
    <row r="12" spans="2:23" ht="22.5" customHeight="1">
      <c r="B12" s="148">
        <v>1999</v>
      </c>
      <c r="C12" s="141">
        <v>3.5</v>
      </c>
      <c r="D12" s="141">
        <v>10</v>
      </c>
      <c r="E12" s="141">
        <v>75.7</v>
      </c>
      <c r="F12" s="141">
        <v>92.5</v>
      </c>
      <c r="G12" s="141">
        <v>127.5</v>
      </c>
      <c r="H12" s="141">
        <v>203</v>
      </c>
      <c r="I12" s="141">
        <v>149</v>
      </c>
      <c r="J12" s="141">
        <v>119.5</v>
      </c>
      <c r="K12" s="141">
        <v>426</v>
      </c>
      <c r="L12" s="141">
        <v>290</v>
      </c>
      <c r="M12" s="141">
        <v>15.5</v>
      </c>
      <c r="N12" s="149">
        <v>17.399999999999999</v>
      </c>
      <c r="O12" s="193">
        <f t="shared" si="0"/>
        <v>1529.6</v>
      </c>
      <c r="P12" s="150">
        <f t="shared" si="1"/>
        <v>127.5</v>
      </c>
      <c r="R12" s="135"/>
      <c r="S12" s="134"/>
      <c r="T12" s="135"/>
      <c r="U12" s="134"/>
      <c r="V12" s="135"/>
      <c r="W12" s="134"/>
    </row>
    <row r="13" spans="2:23" ht="22.5" customHeight="1">
      <c r="B13" s="148">
        <v>2000</v>
      </c>
      <c r="C13" s="141">
        <v>41.4</v>
      </c>
      <c r="D13" s="141">
        <v>2.2999999999999998</v>
      </c>
      <c r="E13" s="141">
        <v>14.1</v>
      </c>
      <c r="F13" s="141">
        <v>62</v>
      </c>
      <c r="G13" s="141">
        <v>40</v>
      </c>
      <c r="H13" s="141">
        <v>248.5</v>
      </c>
      <c r="I13" s="141">
        <v>248.5</v>
      </c>
      <c r="J13" s="141">
        <v>543</v>
      </c>
      <c r="K13" s="141">
        <v>238.5</v>
      </c>
      <c r="L13" s="141">
        <v>39</v>
      </c>
      <c r="M13" s="141">
        <v>29.5</v>
      </c>
      <c r="N13" s="149">
        <v>13.8</v>
      </c>
      <c r="O13" s="193">
        <f t="shared" si="0"/>
        <v>1520.6</v>
      </c>
      <c r="P13" s="150">
        <f t="shared" si="1"/>
        <v>126.7</v>
      </c>
      <c r="R13" s="135"/>
      <c r="S13" s="134"/>
      <c r="T13" s="135"/>
      <c r="U13" s="134"/>
      <c r="V13" s="135"/>
      <c r="W13" s="134"/>
    </row>
    <row r="14" spans="2:23" ht="22.5" customHeight="1">
      <c r="B14" s="148">
        <v>2001</v>
      </c>
      <c r="C14" s="141">
        <v>65</v>
      </c>
      <c r="D14" s="141">
        <v>69.5</v>
      </c>
      <c r="E14" s="141">
        <v>9.8000000000000007</v>
      </c>
      <c r="F14" s="141">
        <v>25</v>
      </c>
      <c r="G14" s="141">
        <v>23.5</v>
      </c>
      <c r="H14" s="141">
        <v>132</v>
      </c>
      <c r="I14" s="141">
        <v>216</v>
      </c>
      <c r="J14" s="141">
        <v>98</v>
      </c>
      <c r="K14" s="141">
        <v>10.5</v>
      </c>
      <c r="L14" s="141">
        <v>76.5</v>
      </c>
      <c r="M14" s="141">
        <v>10.5</v>
      </c>
      <c r="N14" s="149">
        <v>16.3</v>
      </c>
      <c r="O14" s="193">
        <f t="shared" si="0"/>
        <v>752.6</v>
      </c>
      <c r="P14" s="150">
        <f t="shared" si="1"/>
        <v>62.7</v>
      </c>
      <c r="R14" s="135"/>
      <c r="S14" s="134"/>
      <c r="T14" s="135"/>
      <c r="U14" s="134"/>
      <c r="V14" s="135"/>
      <c r="W14" s="134"/>
    </row>
    <row r="15" spans="2:23" ht="22.5" customHeight="1">
      <c r="B15" s="148">
        <v>2002</v>
      </c>
      <c r="C15" s="141">
        <v>72.3</v>
      </c>
      <c r="D15" s="141">
        <v>6</v>
      </c>
      <c r="E15" s="141">
        <v>32.5</v>
      </c>
      <c r="F15" s="141">
        <v>142.5</v>
      </c>
      <c r="G15" s="141">
        <v>159</v>
      </c>
      <c r="H15" s="141">
        <v>70.5</v>
      </c>
      <c r="I15" s="141">
        <v>208</v>
      </c>
      <c r="J15" s="141">
        <v>358.5</v>
      </c>
      <c r="K15" s="141">
        <v>57.5</v>
      </c>
      <c r="L15" s="141">
        <v>78.5</v>
      </c>
      <c r="M15" s="141">
        <v>31.5</v>
      </c>
      <c r="N15" s="149">
        <v>57.2</v>
      </c>
      <c r="O15" s="193">
        <f t="shared" si="0"/>
        <v>1274</v>
      </c>
      <c r="P15" s="150">
        <f t="shared" si="1"/>
        <v>106.2</v>
      </c>
    </row>
    <row r="16" spans="2:23" ht="22.5" customHeight="1">
      <c r="B16" s="148">
        <v>2003</v>
      </c>
      <c r="C16" s="141">
        <v>24.2</v>
      </c>
      <c r="D16" s="141">
        <v>59</v>
      </c>
      <c r="E16" s="141">
        <v>52</v>
      </c>
      <c r="F16" s="141">
        <v>208.5</v>
      </c>
      <c r="G16" s="141">
        <v>144.5</v>
      </c>
      <c r="H16" s="141">
        <v>228</v>
      </c>
      <c r="I16" s="141">
        <v>626.5</v>
      </c>
      <c r="J16" s="141">
        <v>202</v>
      </c>
      <c r="K16" s="141">
        <v>167.5</v>
      </c>
      <c r="L16" s="141">
        <v>24.5</v>
      </c>
      <c r="M16" s="141">
        <v>29.5</v>
      </c>
      <c r="N16" s="149">
        <v>13.8</v>
      </c>
      <c r="O16" s="193">
        <f t="shared" si="0"/>
        <v>1780</v>
      </c>
      <c r="P16" s="150">
        <f t="shared" si="1"/>
        <v>148.30000000000001</v>
      </c>
    </row>
    <row r="17" spans="2:16" ht="22.5" customHeight="1">
      <c r="B17" s="148">
        <v>2004</v>
      </c>
      <c r="C17" s="141">
        <v>18.100000000000001</v>
      </c>
      <c r="D17" s="141">
        <v>26.2</v>
      </c>
      <c r="E17" s="141">
        <v>63.1</v>
      </c>
      <c r="F17" s="141">
        <v>73.5</v>
      </c>
      <c r="G17" s="141">
        <v>109</v>
      </c>
      <c r="H17" s="141">
        <v>388</v>
      </c>
      <c r="I17" s="141">
        <v>296</v>
      </c>
      <c r="J17" s="141">
        <v>249</v>
      </c>
      <c r="K17" s="141">
        <v>176.5</v>
      </c>
      <c r="L17" s="141">
        <v>1</v>
      </c>
      <c r="M17" s="141">
        <v>50.5</v>
      </c>
      <c r="N17" s="149">
        <v>43</v>
      </c>
      <c r="O17" s="193">
        <f t="shared" si="0"/>
        <v>1493.9</v>
      </c>
      <c r="P17" s="150">
        <f t="shared" si="1"/>
        <v>124.5</v>
      </c>
    </row>
    <row r="18" spans="2:16" ht="22.5" customHeight="1">
      <c r="B18" s="148">
        <v>2005</v>
      </c>
      <c r="C18" s="141">
        <v>6</v>
      </c>
      <c r="D18" s="141">
        <v>39</v>
      </c>
      <c r="E18" s="141">
        <v>26.5</v>
      </c>
      <c r="F18" s="141">
        <v>75</v>
      </c>
      <c r="G18" s="141">
        <v>65.5</v>
      </c>
      <c r="H18" s="141">
        <v>186</v>
      </c>
      <c r="I18" s="141">
        <v>448.5</v>
      </c>
      <c r="J18" s="141">
        <v>381.5</v>
      </c>
      <c r="K18" s="141">
        <v>225.5</v>
      </c>
      <c r="L18" s="141">
        <v>30.5</v>
      </c>
      <c r="M18" s="141">
        <v>21</v>
      </c>
      <c r="N18" s="149">
        <v>22</v>
      </c>
      <c r="O18" s="193">
        <f t="shared" si="0"/>
        <v>1527</v>
      </c>
      <c r="P18" s="150">
        <f t="shared" si="1"/>
        <v>127.3</v>
      </c>
    </row>
    <row r="19" spans="2:16" ht="22.5" customHeight="1">
      <c r="B19" s="148">
        <v>2006</v>
      </c>
      <c r="C19" s="141">
        <v>30.2</v>
      </c>
      <c r="D19" s="141">
        <v>29.5</v>
      </c>
      <c r="E19" s="141">
        <v>7.8</v>
      </c>
      <c r="F19" s="141">
        <v>99</v>
      </c>
      <c r="G19" s="141">
        <v>81.5</v>
      </c>
      <c r="H19" s="141">
        <v>111</v>
      </c>
      <c r="I19" s="141">
        <v>503</v>
      </c>
      <c r="J19" s="141">
        <v>83.5</v>
      </c>
      <c r="K19" s="141">
        <v>37.5</v>
      </c>
      <c r="L19" s="141">
        <v>15</v>
      </c>
      <c r="M19" s="141">
        <v>51</v>
      </c>
      <c r="N19" s="149">
        <v>27.5</v>
      </c>
      <c r="O19" s="193">
        <f t="shared" si="0"/>
        <v>1076.5</v>
      </c>
      <c r="P19" s="150">
        <f t="shared" si="1"/>
        <v>89.7</v>
      </c>
    </row>
    <row r="20" spans="2:16" ht="22.5" customHeight="1">
      <c r="B20" s="148">
        <v>2007</v>
      </c>
      <c r="C20" s="141">
        <v>21.8</v>
      </c>
      <c r="D20" s="141">
        <v>47.8</v>
      </c>
      <c r="E20" s="141">
        <v>159</v>
      </c>
      <c r="F20" s="141">
        <v>28</v>
      </c>
      <c r="G20" s="141">
        <v>104</v>
      </c>
      <c r="H20" s="141">
        <v>101</v>
      </c>
      <c r="I20" s="141">
        <v>286</v>
      </c>
      <c r="J20" s="141">
        <v>319.5</v>
      </c>
      <c r="K20" s="141">
        <v>502.5</v>
      </c>
      <c r="L20" s="141">
        <v>37</v>
      </c>
      <c r="M20" s="141">
        <v>13</v>
      </c>
      <c r="N20" s="149">
        <v>31.7</v>
      </c>
      <c r="O20" s="193">
        <f t="shared" si="0"/>
        <v>1651.3</v>
      </c>
      <c r="P20" s="150">
        <f t="shared" si="1"/>
        <v>137.6</v>
      </c>
    </row>
    <row r="21" spans="2:16" ht="22.5" customHeight="1">
      <c r="B21" s="148">
        <v>2008</v>
      </c>
      <c r="C21" s="141">
        <v>39.6</v>
      </c>
      <c r="D21" s="141">
        <v>11.2</v>
      </c>
      <c r="E21" s="141">
        <v>42.2</v>
      </c>
      <c r="F21" s="141">
        <v>38.799999999999997</v>
      </c>
      <c r="G21" s="141">
        <v>51.6</v>
      </c>
      <c r="H21" s="141">
        <v>260</v>
      </c>
      <c r="I21" s="141">
        <v>194.3</v>
      </c>
      <c r="J21" s="141">
        <v>154</v>
      </c>
      <c r="K21" s="141">
        <v>48.8</v>
      </c>
      <c r="L21" s="141">
        <v>24.1</v>
      </c>
      <c r="M21" s="141">
        <v>14.1</v>
      </c>
      <c r="N21" s="149">
        <v>23.4</v>
      </c>
      <c r="O21" s="193">
        <f t="shared" si="0"/>
        <v>902.1</v>
      </c>
      <c r="P21" s="150">
        <f t="shared" si="1"/>
        <v>75.2</v>
      </c>
    </row>
    <row r="22" spans="2:16" ht="22.5" customHeight="1">
      <c r="B22" s="148">
        <v>2009</v>
      </c>
      <c r="C22" s="141">
        <v>10.6</v>
      </c>
      <c r="D22" s="141">
        <v>23.6</v>
      </c>
      <c r="E22" s="141">
        <v>63.9</v>
      </c>
      <c r="F22" s="141">
        <v>51</v>
      </c>
      <c r="G22" s="141">
        <v>135.5</v>
      </c>
      <c r="H22" s="141">
        <v>113.2</v>
      </c>
      <c r="I22" s="141">
        <v>408</v>
      </c>
      <c r="J22" s="141">
        <v>140.19999999999999</v>
      </c>
      <c r="K22" s="141">
        <v>30.5</v>
      </c>
      <c r="L22" s="141">
        <v>23.7</v>
      </c>
      <c r="M22" s="141">
        <v>54.5</v>
      </c>
      <c r="N22" s="149">
        <v>34.9</v>
      </c>
      <c r="O22" s="193">
        <f t="shared" si="0"/>
        <v>1089.5999999999999</v>
      </c>
      <c r="P22" s="150">
        <f t="shared" si="1"/>
        <v>90.8</v>
      </c>
    </row>
    <row r="23" spans="2:16" ht="22.5" customHeight="1">
      <c r="B23" s="148">
        <v>2010</v>
      </c>
      <c r="C23" s="141">
        <v>37.1</v>
      </c>
      <c r="D23" s="141">
        <v>89.5</v>
      </c>
      <c r="E23" s="141">
        <v>94.9</v>
      </c>
      <c r="F23" s="141">
        <v>69.599999999999994</v>
      </c>
      <c r="G23" s="141">
        <v>140.69999999999999</v>
      </c>
      <c r="H23" s="141">
        <v>36.1</v>
      </c>
      <c r="I23" s="141">
        <v>262.10000000000002</v>
      </c>
      <c r="J23" s="141">
        <v>431.1</v>
      </c>
      <c r="K23" s="141">
        <v>149.80000000000001</v>
      </c>
      <c r="L23" s="141">
        <v>17.8</v>
      </c>
      <c r="M23" s="141">
        <v>18.600000000000001</v>
      </c>
      <c r="N23" s="149">
        <v>31</v>
      </c>
      <c r="O23" s="193">
        <f t="shared" si="0"/>
        <v>1378.3</v>
      </c>
      <c r="P23" s="150">
        <f t="shared" si="1"/>
        <v>114.9</v>
      </c>
    </row>
    <row r="24" spans="2:16" ht="22.5" customHeight="1">
      <c r="B24" s="148">
        <v>2011</v>
      </c>
      <c r="C24" s="141">
        <v>3.7</v>
      </c>
      <c r="D24" s="141">
        <v>60.7</v>
      </c>
      <c r="E24" s="141">
        <v>16</v>
      </c>
      <c r="F24" s="141">
        <v>70</v>
      </c>
      <c r="G24" s="141">
        <v>111.2</v>
      </c>
      <c r="H24" s="141">
        <v>316</v>
      </c>
      <c r="I24" s="141">
        <v>599.6</v>
      </c>
      <c r="J24" s="141">
        <v>618.1</v>
      </c>
      <c r="K24" s="141">
        <v>104.2</v>
      </c>
      <c r="L24" s="141">
        <v>26.6</v>
      </c>
      <c r="M24" s="141">
        <v>81.599999999999994</v>
      </c>
      <c r="N24" s="149">
        <v>7</v>
      </c>
      <c r="O24" s="193">
        <f t="shared" si="0"/>
        <v>2014.7</v>
      </c>
      <c r="P24" s="150">
        <f t="shared" si="1"/>
        <v>167.9</v>
      </c>
    </row>
    <row r="25" spans="2:16" ht="22.5" customHeight="1">
      <c r="B25" s="148">
        <v>2012</v>
      </c>
      <c r="C25" s="141">
        <v>16</v>
      </c>
      <c r="D25" s="141">
        <v>3.2</v>
      </c>
      <c r="E25" s="141">
        <v>60.2</v>
      </c>
      <c r="F25" s="141">
        <v>109.3</v>
      </c>
      <c r="G25" s="141">
        <v>19.5</v>
      </c>
      <c r="H25" s="141">
        <v>71.3</v>
      </c>
      <c r="I25" s="141">
        <v>302.89999999999998</v>
      </c>
      <c r="J25" s="141">
        <v>573.29999999999995</v>
      </c>
      <c r="K25" s="141">
        <v>186.2</v>
      </c>
      <c r="L25" s="141">
        <v>83</v>
      </c>
      <c r="M25" s="141">
        <v>60.7</v>
      </c>
      <c r="N25" s="149">
        <v>60.2</v>
      </c>
      <c r="O25" s="193">
        <f t="shared" si="0"/>
        <v>1545.8</v>
      </c>
      <c r="P25" s="150">
        <f t="shared" si="1"/>
        <v>128.80000000000001</v>
      </c>
    </row>
    <row r="26" spans="2:16" ht="22.5" customHeight="1">
      <c r="B26" s="148">
        <v>2013</v>
      </c>
      <c r="C26" s="141">
        <v>45.4</v>
      </c>
      <c r="D26" s="141">
        <v>58.7</v>
      </c>
      <c r="E26" s="141">
        <v>50.3</v>
      </c>
      <c r="F26" s="141">
        <v>93.7</v>
      </c>
      <c r="G26" s="141">
        <v>159</v>
      </c>
      <c r="H26" s="141">
        <v>151.69999999999999</v>
      </c>
      <c r="I26" s="141">
        <v>240.4</v>
      </c>
      <c r="J26" s="141">
        <v>119.5</v>
      </c>
      <c r="K26" s="141">
        <v>184.8</v>
      </c>
      <c r="L26" s="141">
        <v>17.5</v>
      </c>
      <c r="M26" s="141">
        <v>79.400000000000006</v>
      </c>
      <c r="N26" s="149">
        <v>35.9</v>
      </c>
      <c r="O26" s="193">
        <f t="shared" si="0"/>
        <v>1236.3</v>
      </c>
      <c r="P26" s="150">
        <f t="shared" si="1"/>
        <v>103</v>
      </c>
    </row>
    <row r="27" spans="2:16" ht="22.5" customHeight="1">
      <c r="B27" s="148">
        <v>2014</v>
      </c>
      <c r="C27" s="141">
        <v>2.2000000000000002</v>
      </c>
      <c r="D27" s="141">
        <v>15.3</v>
      </c>
      <c r="E27" s="141">
        <v>69.3</v>
      </c>
      <c r="F27" s="141">
        <v>94.1</v>
      </c>
      <c r="G27" s="141">
        <v>61.5</v>
      </c>
      <c r="H27" s="141">
        <v>77.8</v>
      </c>
      <c r="I27" s="141">
        <v>174.7</v>
      </c>
      <c r="J27" s="141">
        <v>225.1</v>
      </c>
      <c r="K27" s="141">
        <v>157.5</v>
      </c>
      <c r="L27" s="141">
        <v>170.5</v>
      </c>
      <c r="M27" s="141">
        <v>42.4</v>
      </c>
      <c r="N27" s="149">
        <v>51.7</v>
      </c>
      <c r="O27" s="193">
        <f t="shared" si="0"/>
        <v>1142.0999999999999</v>
      </c>
      <c r="P27" s="150">
        <f t="shared" si="1"/>
        <v>95.2</v>
      </c>
    </row>
    <row r="28" spans="2:16" ht="22.5" customHeight="1">
      <c r="B28" s="148">
        <v>2015</v>
      </c>
      <c r="C28" s="141">
        <v>35.4</v>
      </c>
      <c r="D28" s="141">
        <v>35.6</v>
      </c>
      <c r="E28" s="141">
        <v>42.4</v>
      </c>
      <c r="F28" s="141">
        <v>99.5</v>
      </c>
      <c r="G28" s="141">
        <v>53.5</v>
      </c>
      <c r="H28" s="141">
        <v>92.7</v>
      </c>
      <c r="I28" s="141">
        <v>119.9</v>
      </c>
      <c r="J28" s="141">
        <v>56.9</v>
      </c>
      <c r="K28" s="141">
        <v>22</v>
      </c>
      <c r="L28" s="141">
        <v>104</v>
      </c>
      <c r="M28" s="141">
        <v>130</v>
      </c>
      <c r="N28" s="149">
        <v>56.9</v>
      </c>
      <c r="O28" s="193">
        <f t="shared" si="0"/>
        <v>848.8</v>
      </c>
      <c r="P28" s="150">
        <f t="shared" si="1"/>
        <v>70.7</v>
      </c>
    </row>
    <row r="29" spans="2:16" ht="22.5" customHeight="1">
      <c r="B29" s="148">
        <v>2016</v>
      </c>
      <c r="C29" s="141">
        <v>6.6</v>
      </c>
      <c r="D29" s="141">
        <v>59.6</v>
      </c>
      <c r="E29" s="141">
        <v>19</v>
      </c>
      <c r="F29" s="141">
        <v>164.6</v>
      </c>
      <c r="G29" s="141">
        <v>121.6</v>
      </c>
      <c r="H29" s="141">
        <v>49.4</v>
      </c>
      <c r="I29" s="141">
        <v>341.1</v>
      </c>
      <c r="J29" s="141">
        <v>33.4</v>
      </c>
      <c r="K29" s="141">
        <v>133.69999999999999</v>
      </c>
      <c r="L29" s="141">
        <v>120.1</v>
      </c>
      <c r="M29" s="141">
        <v>17.100000000000001</v>
      </c>
      <c r="N29" s="149">
        <v>63.1</v>
      </c>
      <c r="O29" s="193">
        <f t="shared" si="0"/>
        <v>1129.3</v>
      </c>
      <c r="P29" s="150">
        <f t="shared" si="1"/>
        <v>94.1</v>
      </c>
    </row>
    <row r="30" spans="2:16" ht="22.5" customHeight="1">
      <c r="B30" s="148">
        <v>2017</v>
      </c>
      <c r="C30" s="141">
        <v>16</v>
      </c>
      <c r="D30" s="141">
        <v>28.5</v>
      </c>
      <c r="E30" s="141">
        <v>8.8000000000000007</v>
      </c>
      <c r="F30" s="141">
        <v>78.400000000000006</v>
      </c>
      <c r="G30" s="141">
        <v>35.799999999999997</v>
      </c>
      <c r="H30" s="141">
        <v>51.4</v>
      </c>
      <c r="I30" s="141">
        <v>326.7</v>
      </c>
      <c r="J30" s="141">
        <v>358.5</v>
      </c>
      <c r="K30" s="141">
        <v>97.1</v>
      </c>
      <c r="L30" s="141">
        <v>51.9</v>
      </c>
      <c r="M30" s="141">
        <v>22.8</v>
      </c>
      <c r="N30" s="149">
        <v>36.1</v>
      </c>
      <c r="O30" s="193">
        <f t="shared" si="0"/>
        <v>1112</v>
      </c>
      <c r="P30" s="150">
        <f t="shared" si="1"/>
        <v>92.7</v>
      </c>
    </row>
    <row r="31" spans="2:16" ht="22.5" customHeight="1">
      <c r="B31" s="148">
        <v>2018</v>
      </c>
      <c r="C31" s="141">
        <v>25</v>
      </c>
      <c r="D31" s="141">
        <v>43.1</v>
      </c>
      <c r="E31" s="141">
        <v>99.3</v>
      </c>
      <c r="F31" s="141">
        <v>156.5</v>
      </c>
      <c r="G31" s="141">
        <v>116.1</v>
      </c>
      <c r="H31" s="141">
        <v>107.1</v>
      </c>
      <c r="I31" s="141">
        <v>278.8</v>
      </c>
      <c r="J31" s="141">
        <v>277</v>
      </c>
      <c r="K31" s="141">
        <v>98.3</v>
      </c>
      <c r="L31" s="141">
        <v>159.19999999999999</v>
      </c>
      <c r="M31" s="141">
        <v>66</v>
      </c>
      <c r="N31" s="149">
        <v>31.5</v>
      </c>
      <c r="O31" s="193">
        <f t="shared" si="0"/>
        <v>1457.9</v>
      </c>
      <c r="P31" s="150">
        <f t="shared" si="1"/>
        <v>121.5</v>
      </c>
    </row>
    <row r="32" spans="2:16" ht="22.5" customHeight="1">
      <c r="B32" s="148">
        <v>2019</v>
      </c>
      <c r="C32" s="141">
        <v>0.5</v>
      </c>
      <c r="D32" s="141">
        <v>37.6</v>
      </c>
      <c r="E32" s="141">
        <v>35</v>
      </c>
      <c r="F32" s="141">
        <v>73.7</v>
      </c>
      <c r="G32" s="141">
        <v>44.3</v>
      </c>
      <c r="H32" s="141">
        <v>59.9</v>
      </c>
      <c r="I32" s="141">
        <v>216.7</v>
      </c>
      <c r="J32" s="141">
        <v>102.1</v>
      </c>
      <c r="K32" s="141">
        <v>191.9</v>
      </c>
      <c r="L32" s="141">
        <v>85.6</v>
      </c>
      <c r="M32" s="141">
        <v>113.5</v>
      </c>
      <c r="N32" s="149">
        <v>31.2</v>
      </c>
      <c r="O32" s="193">
        <f t="shared" si="0"/>
        <v>992</v>
      </c>
      <c r="P32" s="150">
        <f t="shared" si="1"/>
        <v>82.7</v>
      </c>
    </row>
    <row r="33" spans="2:16" ht="22.5" customHeight="1">
      <c r="B33" s="148">
        <v>2020</v>
      </c>
      <c r="C33" s="141">
        <v>79.599999999999994</v>
      </c>
      <c r="D33" s="141">
        <v>92.4</v>
      </c>
      <c r="E33" s="141">
        <v>19.3</v>
      </c>
      <c r="F33" s="141">
        <v>17.7</v>
      </c>
      <c r="G33" s="141">
        <v>108.5</v>
      </c>
      <c r="H33" s="141">
        <v>188.4</v>
      </c>
      <c r="I33" s="141">
        <v>492.6</v>
      </c>
      <c r="J33" s="141">
        <v>367.8</v>
      </c>
      <c r="K33" s="141">
        <v>208.9</v>
      </c>
      <c r="L33" s="141">
        <v>4.4000000000000004</v>
      </c>
      <c r="M33" s="141">
        <v>41.8</v>
      </c>
      <c r="N33" s="149">
        <v>3.4</v>
      </c>
      <c r="O33" s="193">
        <f t="shared" si="0"/>
        <v>1624.8</v>
      </c>
      <c r="P33" s="150">
        <f t="shared" si="1"/>
        <v>135.4</v>
      </c>
    </row>
    <row r="34" spans="2:16" ht="22.5" customHeight="1" thickBot="1">
      <c r="B34" s="151">
        <v>2021</v>
      </c>
      <c r="C34" s="152">
        <v>32.1</v>
      </c>
      <c r="D34" s="152">
        <v>18.100000000000001</v>
      </c>
      <c r="E34" s="152">
        <v>95.7</v>
      </c>
      <c r="F34" s="152">
        <v>42.3</v>
      </c>
      <c r="G34" s="152">
        <v>136.9</v>
      </c>
      <c r="H34" s="152">
        <v>76.900000000000006</v>
      </c>
      <c r="I34" s="152">
        <v>187.7</v>
      </c>
      <c r="J34" s="152">
        <v>227.6</v>
      </c>
      <c r="K34" s="152">
        <v>187.1</v>
      </c>
      <c r="L34" s="152">
        <v>36.9</v>
      </c>
      <c r="M34" s="152">
        <v>73.400000000000006</v>
      </c>
      <c r="N34" s="153">
        <v>8.6999999999999993</v>
      </c>
      <c r="O34" s="194">
        <f t="shared" si="0"/>
        <v>1123.4000000000001</v>
      </c>
      <c r="P34" s="154">
        <f t="shared" si="1"/>
        <v>93.6</v>
      </c>
    </row>
    <row r="35" spans="2:16" ht="22.5" customHeight="1">
      <c r="B35" s="155" t="s">
        <v>36</v>
      </c>
      <c r="C35" s="156">
        <f>MAX(C5:C34)</f>
        <v>79.599999999999994</v>
      </c>
      <c r="D35" s="156">
        <f t="shared" ref="D35:N35" si="2">MAX(D5:D34)</f>
        <v>92.4</v>
      </c>
      <c r="E35" s="156">
        <f t="shared" si="2"/>
        <v>159</v>
      </c>
      <c r="F35" s="156">
        <f t="shared" si="2"/>
        <v>208.5</v>
      </c>
      <c r="G35" s="156">
        <f t="shared" si="2"/>
        <v>229.5</v>
      </c>
      <c r="H35" s="156">
        <f t="shared" si="2"/>
        <v>388</v>
      </c>
      <c r="I35" s="156">
        <f t="shared" si="2"/>
        <v>626.5</v>
      </c>
      <c r="J35" s="156">
        <f t="shared" si="2"/>
        <v>839</v>
      </c>
      <c r="K35" s="156">
        <f t="shared" si="2"/>
        <v>502.5</v>
      </c>
      <c r="L35" s="156">
        <f t="shared" si="2"/>
        <v>290</v>
      </c>
      <c r="M35" s="156">
        <f t="shared" si="2"/>
        <v>219.5</v>
      </c>
      <c r="N35" s="157">
        <f t="shared" si="2"/>
        <v>63.1</v>
      </c>
      <c r="O35" s="195">
        <f t="shared" ref="O35" si="3">MAX(O5:O34)</f>
        <v>2014.7</v>
      </c>
      <c r="P35" s="157">
        <f>MAX(P5:P34)</f>
        <v>167.9</v>
      </c>
    </row>
    <row r="36" spans="2:16" ht="22.5" customHeight="1">
      <c r="B36" s="158" t="s">
        <v>37</v>
      </c>
      <c r="C36" s="159">
        <f>ROUND(MIN(C5:C34),1)</f>
        <v>0.5</v>
      </c>
      <c r="D36" s="159">
        <f t="shared" ref="D36:N36" si="4">ROUND(MIN(D5:D34),1)</f>
        <v>2.2999999999999998</v>
      </c>
      <c r="E36" s="159">
        <f t="shared" si="4"/>
        <v>7.8</v>
      </c>
      <c r="F36" s="159">
        <f t="shared" si="4"/>
        <v>17.7</v>
      </c>
      <c r="G36" s="159">
        <f t="shared" si="4"/>
        <v>19.5</v>
      </c>
      <c r="H36" s="159">
        <f t="shared" si="4"/>
        <v>34.5</v>
      </c>
      <c r="I36" s="159">
        <f t="shared" si="4"/>
        <v>96.5</v>
      </c>
      <c r="J36" s="159">
        <f t="shared" si="4"/>
        <v>33.4</v>
      </c>
      <c r="K36" s="159">
        <f t="shared" si="4"/>
        <v>10.5</v>
      </c>
      <c r="L36" s="159">
        <f t="shared" si="4"/>
        <v>1</v>
      </c>
      <c r="M36" s="159">
        <f t="shared" si="4"/>
        <v>10.5</v>
      </c>
      <c r="N36" s="160">
        <f t="shared" si="4"/>
        <v>3.4</v>
      </c>
      <c r="O36" s="173">
        <f>ROUND(MIN(O5:O34),1)</f>
        <v>752.6</v>
      </c>
      <c r="P36" s="161">
        <f>ROUND(MIN(P5:P34),1)</f>
        <v>62.7</v>
      </c>
    </row>
    <row r="37" spans="2:16" ht="22.5" customHeight="1" thickBot="1">
      <c r="B37" s="162" t="s">
        <v>45</v>
      </c>
      <c r="C37" s="163">
        <f>ROUND(AVERAGE(C5:C34),1)</f>
        <v>25.6</v>
      </c>
      <c r="D37" s="163">
        <f t="shared" ref="D37:N37" si="5">ROUND(AVERAGE(D5:D34),1)</f>
        <v>36.700000000000003</v>
      </c>
      <c r="E37" s="163">
        <f t="shared" si="5"/>
        <v>50.9</v>
      </c>
      <c r="F37" s="163">
        <f t="shared" si="5"/>
        <v>84</v>
      </c>
      <c r="G37" s="163">
        <f t="shared" si="5"/>
        <v>98.8</v>
      </c>
      <c r="H37" s="163">
        <f t="shared" si="5"/>
        <v>154.9</v>
      </c>
      <c r="I37" s="163">
        <f t="shared" si="5"/>
        <v>293.10000000000002</v>
      </c>
      <c r="J37" s="163">
        <f t="shared" si="5"/>
        <v>288.2</v>
      </c>
      <c r="K37" s="163">
        <f t="shared" si="5"/>
        <v>145.1</v>
      </c>
      <c r="L37" s="163">
        <f t="shared" si="5"/>
        <v>64.2</v>
      </c>
      <c r="M37" s="163">
        <f t="shared" si="5"/>
        <v>53.2</v>
      </c>
      <c r="N37" s="164">
        <f t="shared" si="5"/>
        <v>30.1</v>
      </c>
      <c r="O37" s="177">
        <f>ROUND(AVERAGE(O5:O34),1)</f>
        <v>1324.9</v>
      </c>
      <c r="P37" s="165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67" t="s">
        <v>40</v>
      </c>
      <c r="C40" s="168" t="s">
        <v>31</v>
      </c>
      <c r="D40" s="168" t="s">
        <v>32</v>
      </c>
      <c r="E40" s="168" t="s">
        <v>33</v>
      </c>
      <c r="F40" s="168" t="s">
        <v>34</v>
      </c>
      <c r="G40" s="168" t="s">
        <v>35</v>
      </c>
      <c r="H40" s="168" t="s">
        <v>12</v>
      </c>
      <c r="I40" s="168" t="s">
        <v>13</v>
      </c>
      <c r="J40" s="168" t="s">
        <v>14</v>
      </c>
      <c r="K40" s="168" t="s">
        <v>15</v>
      </c>
      <c r="L40" s="168" t="s">
        <v>16</v>
      </c>
      <c r="M40" s="168" t="s">
        <v>17</v>
      </c>
      <c r="N40" s="169" t="s">
        <v>18</v>
      </c>
      <c r="O40" s="170" t="s">
        <v>43</v>
      </c>
      <c r="P40" s="169" t="s">
        <v>30</v>
      </c>
    </row>
    <row r="41" spans="2:16" ht="22.5" customHeight="1">
      <c r="B41" s="171">
        <f>B25</f>
        <v>2012</v>
      </c>
      <c r="C41" s="166">
        <f t="shared" ref="C41:N41" si="6">C25</f>
        <v>16</v>
      </c>
      <c r="D41" s="166">
        <f t="shared" si="6"/>
        <v>3.2</v>
      </c>
      <c r="E41" s="166">
        <f t="shared" si="6"/>
        <v>60.2</v>
      </c>
      <c r="F41" s="166">
        <f t="shared" si="6"/>
        <v>109.3</v>
      </c>
      <c r="G41" s="166">
        <f t="shared" si="6"/>
        <v>19.5</v>
      </c>
      <c r="H41" s="166">
        <f t="shared" si="6"/>
        <v>71.3</v>
      </c>
      <c r="I41" s="166">
        <f t="shared" si="6"/>
        <v>302.89999999999998</v>
      </c>
      <c r="J41" s="166">
        <f t="shared" si="6"/>
        <v>573.29999999999995</v>
      </c>
      <c r="K41" s="166">
        <f t="shared" si="6"/>
        <v>186.2</v>
      </c>
      <c r="L41" s="166">
        <f t="shared" si="6"/>
        <v>83</v>
      </c>
      <c r="M41" s="166">
        <f t="shared" si="6"/>
        <v>60.7</v>
      </c>
      <c r="N41" s="172">
        <f t="shared" si="6"/>
        <v>60.2</v>
      </c>
      <c r="O41" s="173">
        <f>ROUND(SUM(C41:N41),1)</f>
        <v>1545.8</v>
      </c>
      <c r="P41" s="161">
        <f>ROUND(O41/12,1)</f>
        <v>128.80000000000001</v>
      </c>
    </row>
    <row r="42" spans="2:16" ht="22.5" customHeight="1">
      <c r="B42" s="171">
        <f t="shared" ref="B42:N42" si="7">B26</f>
        <v>2013</v>
      </c>
      <c r="C42" s="166">
        <f t="shared" si="7"/>
        <v>45.4</v>
      </c>
      <c r="D42" s="166">
        <f t="shared" si="7"/>
        <v>58.7</v>
      </c>
      <c r="E42" s="166">
        <f t="shared" si="7"/>
        <v>50.3</v>
      </c>
      <c r="F42" s="166">
        <f t="shared" si="7"/>
        <v>93.7</v>
      </c>
      <c r="G42" s="166">
        <f t="shared" si="7"/>
        <v>159</v>
      </c>
      <c r="H42" s="166">
        <f t="shared" si="7"/>
        <v>151.69999999999999</v>
      </c>
      <c r="I42" s="166">
        <f t="shared" si="7"/>
        <v>240.4</v>
      </c>
      <c r="J42" s="166">
        <f t="shared" si="7"/>
        <v>119.5</v>
      </c>
      <c r="K42" s="166">
        <f t="shared" si="7"/>
        <v>184.8</v>
      </c>
      <c r="L42" s="166">
        <f t="shared" si="7"/>
        <v>17.5</v>
      </c>
      <c r="M42" s="166">
        <f t="shared" si="7"/>
        <v>79.400000000000006</v>
      </c>
      <c r="N42" s="172">
        <f t="shared" si="7"/>
        <v>35.9</v>
      </c>
      <c r="O42" s="173">
        <f t="shared" ref="O42:O50" si="8">ROUND(SUM(C42:N42),1)</f>
        <v>1236.3</v>
      </c>
      <c r="P42" s="161">
        <f t="shared" ref="P42:P50" si="9">ROUND(O42/12,1)</f>
        <v>103</v>
      </c>
    </row>
    <row r="43" spans="2:16" ht="22.5" customHeight="1">
      <c r="B43" s="171">
        <f t="shared" ref="B43:N43" si="10">B27</f>
        <v>2014</v>
      </c>
      <c r="C43" s="166">
        <f t="shared" si="10"/>
        <v>2.2000000000000002</v>
      </c>
      <c r="D43" s="166">
        <f t="shared" si="10"/>
        <v>15.3</v>
      </c>
      <c r="E43" s="166">
        <f t="shared" si="10"/>
        <v>69.3</v>
      </c>
      <c r="F43" s="166">
        <f t="shared" si="10"/>
        <v>94.1</v>
      </c>
      <c r="G43" s="166">
        <f t="shared" si="10"/>
        <v>61.5</v>
      </c>
      <c r="H43" s="166">
        <f t="shared" si="10"/>
        <v>77.8</v>
      </c>
      <c r="I43" s="166">
        <f t="shared" si="10"/>
        <v>174.7</v>
      </c>
      <c r="J43" s="166">
        <f t="shared" si="10"/>
        <v>225.1</v>
      </c>
      <c r="K43" s="166">
        <f t="shared" si="10"/>
        <v>157.5</v>
      </c>
      <c r="L43" s="166">
        <f t="shared" si="10"/>
        <v>170.5</v>
      </c>
      <c r="M43" s="166">
        <f t="shared" si="10"/>
        <v>42.4</v>
      </c>
      <c r="N43" s="172">
        <f t="shared" si="10"/>
        <v>51.7</v>
      </c>
      <c r="O43" s="173">
        <f t="shared" si="8"/>
        <v>1142.0999999999999</v>
      </c>
      <c r="P43" s="161">
        <f t="shared" si="9"/>
        <v>95.2</v>
      </c>
    </row>
    <row r="44" spans="2:16" ht="22.5" customHeight="1">
      <c r="B44" s="171">
        <f t="shared" ref="B44:N44" si="11">B28</f>
        <v>2015</v>
      </c>
      <c r="C44" s="166">
        <f t="shared" si="11"/>
        <v>35.4</v>
      </c>
      <c r="D44" s="166">
        <f t="shared" si="11"/>
        <v>35.6</v>
      </c>
      <c r="E44" s="166">
        <f t="shared" si="11"/>
        <v>42.4</v>
      </c>
      <c r="F44" s="166">
        <f t="shared" si="11"/>
        <v>99.5</v>
      </c>
      <c r="G44" s="166">
        <f t="shared" si="11"/>
        <v>53.5</v>
      </c>
      <c r="H44" s="166">
        <f t="shared" si="11"/>
        <v>92.7</v>
      </c>
      <c r="I44" s="166">
        <f t="shared" si="11"/>
        <v>119.9</v>
      </c>
      <c r="J44" s="166">
        <f t="shared" si="11"/>
        <v>56.9</v>
      </c>
      <c r="K44" s="166">
        <f t="shared" si="11"/>
        <v>22</v>
      </c>
      <c r="L44" s="166">
        <f t="shared" si="11"/>
        <v>104</v>
      </c>
      <c r="M44" s="166">
        <f t="shared" si="11"/>
        <v>130</v>
      </c>
      <c r="N44" s="172">
        <f t="shared" si="11"/>
        <v>56.9</v>
      </c>
      <c r="O44" s="173">
        <f t="shared" si="8"/>
        <v>848.8</v>
      </c>
      <c r="P44" s="161">
        <f t="shared" si="9"/>
        <v>70.7</v>
      </c>
    </row>
    <row r="45" spans="2:16" ht="22.5" customHeight="1">
      <c r="B45" s="171">
        <f t="shared" ref="B45:N45" si="12">B29</f>
        <v>2016</v>
      </c>
      <c r="C45" s="166">
        <f t="shared" si="12"/>
        <v>6.6</v>
      </c>
      <c r="D45" s="166">
        <f t="shared" si="12"/>
        <v>59.6</v>
      </c>
      <c r="E45" s="166">
        <f t="shared" si="12"/>
        <v>19</v>
      </c>
      <c r="F45" s="166">
        <f t="shared" si="12"/>
        <v>164.6</v>
      </c>
      <c r="G45" s="166">
        <f t="shared" si="12"/>
        <v>121.6</v>
      </c>
      <c r="H45" s="166">
        <f t="shared" si="12"/>
        <v>49.4</v>
      </c>
      <c r="I45" s="166">
        <f t="shared" si="12"/>
        <v>341.1</v>
      </c>
      <c r="J45" s="166">
        <f t="shared" si="12"/>
        <v>33.4</v>
      </c>
      <c r="K45" s="166">
        <f t="shared" si="12"/>
        <v>133.69999999999999</v>
      </c>
      <c r="L45" s="166">
        <f t="shared" si="12"/>
        <v>120.1</v>
      </c>
      <c r="M45" s="166">
        <f t="shared" si="12"/>
        <v>17.100000000000001</v>
      </c>
      <c r="N45" s="172">
        <f t="shared" si="12"/>
        <v>63.1</v>
      </c>
      <c r="O45" s="173">
        <f t="shared" si="8"/>
        <v>1129.3</v>
      </c>
      <c r="P45" s="161">
        <f t="shared" si="9"/>
        <v>94.1</v>
      </c>
    </row>
    <row r="46" spans="2:16" ht="22.5" customHeight="1">
      <c r="B46" s="171">
        <f t="shared" ref="B46:N46" si="13">B30</f>
        <v>2017</v>
      </c>
      <c r="C46" s="166">
        <f t="shared" si="13"/>
        <v>16</v>
      </c>
      <c r="D46" s="166">
        <f t="shared" si="13"/>
        <v>28.5</v>
      </c>
      <c r="E46" s="166">
        <f t="shared" si="13"/>
        <v>8.8000000000000007</v>
      </c>
      <c r="F46" s="166">
        <f t="shared" si="13"/>
        <v>78.400000000000006</v>
      </c>
      <c r="G46" s="166">
        <f t="shared" si="13"/>
        <v>35.799999999999997</v>
      </c>
      <c r="H46" s="166">
        <f t="shared" si="13"/>
        <v>51.4</v>
      </c>
      <c r="I46" s="166">
        <f t="shared" si="13"/>
        <v>326.7</v>
      </c>
      <c r="J46" s="166">
        <f t="shared" si="13"/>
        <v>358.5</v>
      </c>
      <c r="K46" s="166">
        <f t="shared" si="13"/>
        <v>97.1</v>
      </c>
      <c r="L46" s="166">
        <f t="shared" si="13"/>
        <v>51.9</v>
      </c>
      <c r="M46" s="166">
        <f t="shared" si="13"/>
        <v>22.8</v>
      </c>
      <c r="N46" s="172">
        <f t="shared" si="13"/>
        <v>36.1</v>
      </c>
      <c r="O46" s="173">
        <f t="shared" si="8"/>
        <v>1112</v>
      </c>
      <c r="P46" s="161">
        <f t="shared" si="9"/>
        <v>92.7</v>
      </c>
    </row>
    <row r="47" spans="2:16" ht="22.5" customHeight="1">
      <c r="B47" s="171">
        <f t="shared" ref="B47:N47" si="14">B31</f>
        <v>2018</v>
      </c>
      <c r="C47" s="166">
        <f t="shared" si="14"/>
        <v>25</v>
      </c>
      <c r="D47" s="166">
        <f t="shared" si="14"/>
        <v>43.1</v>
      </c>
      <c r="E47" s="166">
        <f t="shared" si="14"/>
        <v>99.3</v>
      </c>
      <c r="F47" s="166">
        <f t="shared" si="14"/>
        <v>156.5</v>
      </c>
      <c r="G47" s="166">
        <f t="shared" si="14"/>
        <v>116.1</v>
      </c>
      <c r="H47" s="166">
        <f t="shared" si="14"/>
        <v>107.1</v>
      </c>
      <c r="I47" s="166">
        <f t="shared" si="14"/>
        <v>278.8</v>
      </c>
      <c r="J47" s="166">
        <f t="shared" si="14"/>
        <v>277</v>
      </c>
      <c r="K47" s="166">
        <f t="shared" si="14"/>
        <v>98.3</v>
      </c>
      <c r="L47" s="166">
        <f t="shared" si="14"/>
        <v>159.19999999999999</v>
      </c>
      <c r="M47" s="166">
        <f t="shared" si="14"/>
        <v>66</v>
      </c>
      <c r="N47" s="172">
        <f t="shared" si="14"/>
        <v>31.5</v>
      </c>
      <c r="O47" s="173">
        <f t="shared" si="8"/>
        <v>1457.9</v>
      </c>
      <c r="P47" s="161">
        <f t="shared" si="9"/>
        <v>121.5</v>
      </c>
    </row>
    <row r="48" spans="2:16" ht="22.5" customHeight="1">
      <c r="B48" s="171">
        <f t="shared" ref="B48:N48" si="15">B32</f>
        <v>2019</v>
      </c>
      <c r="C48" s="166">
        <f t="shared" si="15"/>
        <v>0.5</v>
      </c>
      <c r="D48" s="166">
        <f t="shared" si="15"/>
        <v>37.6</v>
      </c>
      <c r="E48" s="166">
        <f t="shared" si="15"/>
        <v>35</v>
      </c>
      <c r="F48" s="166">
        <f t="shared" si="15"/>
        <v>73.7</v>
      </c>
      <c r="G48" s="166">
        <f t="shared" si="15"/>
        <v>44.3</v>
      </c>
      <c r="H48" s="166">
        <f t="shared" si="15"/>
        <v>59.9</v>
      </c>
      <c r="I48" s="166">
        <f t="shared" si="15"/>
        <v>216.7</v>
      </c>
      <c r="J48" s="166">
        <f t="shared" si="15"/>
        <v>102.1</v>
      </c>
      <c r="K48" s="166">
        <f t="shared" si="15"/>
        <v>191.9</v>
      </c>
      <c r="L48" s="166">
        <f t="shared" si="15"/>
        <v>85.6</v>
      </c>
      <c r="M48" s="166">
        <f t="shared" si="15"/>
        <v>113.5</v>
      </c>
      <c r="N48" s="172">
        <f t="shared" si="15"/>
        <v>31.2</v>
      </c>
      <c r="O48" s="173">
        <f t="shared" si="8"/>
        <v>992</v>
      </c>
      <c r="P48" s="161">
        <f t="shared" si="9"/>
        <v>82.7</v>
      </c>
    </row>
    <row r="49" spans="2:16" ht="22.5" customHeight="1">
      <c r="B49" s="171">
        <f t="shared" ref="B49:N49" si="16">B33</f>
        <v>2020</v>
      </c>
      <c r="C49" s="166">
        <f t="shared" si="16"/>
        <v>79.599999999999994</v>
      </c>
      <c r="D49" s="166">
        <f t="shared" si="16"/>
        <v>92.4</v>
      </c>
      <c r="E49" s="166">
        <f t="shared" si="16"/>
        <v>19.3</v>
      </c>
      <c r="F49" s="166">
        <f t="shared" si="16"/>
        <v>17.7</v>
      </c>
      <c r="G49" s="166">
        <f t="shared" si="16"/>
        <v>108.5</v>
      </c>
      <c r="H49" s="166">
        <f t="shared" si="16"/>
        <v>188.4</v>
      </c>
      <c r="I49" s="166">
        <f t="shared" si="16"/>
        <v>492.6</v>
      </c>
      <c r="J49" s="166">
        <f t="shared" si="16"/>
        <v>367.8</v>
      </c>
      <c r="K49" s="166">
        <f t="shared" si="16"/>
        <v>208.9</v>
      </c>
      <c r="L49" s="166">
        <f t="shared" si="16"/>
        <v>4.4000000000000004</v>
      </c>
      <c r="M49" s="166">
        <f t="shared" si="16"/>
        <v>41.8</v>
      </c>
      <c r="N49" s="172">
        <f t="shared" si="16"/>
        <v>3.4</v>
      </c>
      <c r="O49" s="173">
        <f t="shared" si="8"/>
        <v>1624.8</v>
      </c>
      <c r="P49" s="161">
        <f t="shared" si="9"/>
        <v>135.4</v>
      </c>
    </row>
    <row r="50" spans="2:16" ht="22.5" customHeight="1" thickBot="1">
      <c r="B50" s="174">
        <f t="shared" ref="B50:N50" si="17">B34</f>
        <v>2021</v>
      </c>
      <c r="C50" s="175">
        <f t="shared" si="17"/>
        <v>32.1</v>
      </c>
      <c r="D50" s="175">
        <f t="shared" si="17"/>
        <v>18.100000000000001</v>
      </c>
      <c r="E50" s="175">
        <f>E34</f>
        <v>95.7</v>
      </c>
      <c r="F50" s="175">
        <f t="shared" si="17"/>
        <v>42.3</v>
      </c>
      <c r="G50" s="175">
        <f t="shared" si="17"/>
        <v>136.9</v>
      </c>
      <c r="H50" s="175">
        <f t="shared" si="17"/>
        <v>76.900000000000006</v>
      </c>
      <c r="I50" s="175">
        <f t="shared" si="17"/>
        <v>187.7</v>
      </c>
      <c r="J50" s="175">
        <f t="shared" si="17"/>
        <v>227.6</v>
      </c>
      <c r="K50" s="175">
        <f t="shared" si="17"/>
        <v>187.1</v>
      </c>
      <c r="L50" s="175">
        <f t="shared" si="17"/>
        <v>36.9</v>
      </c>
      <c r="M50" s="175">
        <f t="shared" si="17"/>
        <v>73.400000000000006</v>
      </c>
      <c r="N50" s="176">
        <f t="shared" si="17"/>
        <v>8.6999999999999993</v>
      </c>
      <c r="O50" s="177">
        <f t="shared" si="8"/>
        <v>1123.4000000000001</v>
      </c>
      <c r="P50" s="165">
        <f t="shared" si="9"/>
        <v>93.6</v>
      </c>
    </row>
    <row r="51" spans="2:16" ht="22.5" customHeight="1">
      <c r="B51" s="178" t="s">
        <v>46</v>
      </c>
      <c r="C51" s="179">
        <f>MAX(C41:C50)</f>
        <v>79.599999999999994</v>
      </c>
      <c r="D51" s="179">
        <f t="shared" ref="D51:P51" si="18">MAX(D41:D50)</f>
        <v>92.4</v>
      </c>
      <c r="E51" s="179">
        <f t="shared" si="18"/>
        <v>99.3</v>
      </c>
      <c r="F51" s="179">
        <f t="shared" si="18"/>
        <v>164.6</v>
      </c>
      <c r="G51" s="179">
        <f t="shared" si="18"/>
        <v>159</v>
      </c>
      <c r="H51" s="179">
        <f t="shared" si="18"/>
        <v>188.4</v>
      </c>
      <c r="I51" s="179">
        <f t="shared" si="18"/>
        <v>492.6</v>
      </c>
      <c r="J51" s="179">
        <f t="shared" si="18"/>
        <v>573.29999999999995</v>
      </c>
      <c r="K51" s="179">
        <f t="shared" si="18"/>
        <v>208.9</v>
      </c>
      <c r="L51" s="179">
        <f t="shared" si="18"/>
        <v>170.5</v>
      </c>
      <c r="M51" s="179">
        <f t="shared" si="18"/>
        <v>130</v>
      </c>
      <c r="N51" s="180">
        <f t="shared" si="18"/>
        <v>63.1</v>
      </c>
      <c r="O51" s="181">
        <f t="shared" si="18"/>
        <v>1624.8</v>
      </c>
      <c r="P51" s="182">
        <f t="shared" si="18"/>
        <v>135.4</v>
      </c>
    </row>
    <row r="52" spans="2:16" ht="22.5" customHeight="1">
      <c r="B52" s="183" t="s">
        <v>47</v>
      </c>
      <c r="C52" s="184">
        <f>MIN(C41:C50)</f>
        <v>0.5</v>
      </c>
      <c r="D52" s="184">
        <f t="shared" ref="D52:P52" si="19">MIN(D41:D50)</f>
        <v>3.2</v>
      </c>
      <c r="E52" s="184">
        <f t="shared" si="19"/>
        <v>8.8000000000000007</v>
      </c>
      <c r="F52" s="184">
        <f t="shared" si="19"/>
        <v>17.7</v>
      </c>
      <c r="G52" s="184">
        <f t="shared" si="19"/>
        <v>19.5</v>
      </c>
      <c r="H52" s="184">
        <f t="shared" si="19"/>
        <v>49.4</v>
      </c>
      <c r="I52" s="184">
        <f t="shared" si="19"/>
        <v>119.9</v>
      </c>
      <c r="J52" s="184">
        <f t="shared" si="19"/>
        <v>33.4</v>
      </c>
      <c r="K52" s="184">
        <f t="shared" si="19"/>
        <v>22</v>
      </c>
      <c r="L52" s="184">
        <f t="shared" si="19"/>
        <v>4.4000000000000004</v>
      </c>
      <c r="M52" s="184">
        <f t="shared" si="19"/>
        <v>17.100000000000001</v>
      </c>
      <c r="N52" s="185">
        <f t="shared" si="19"/>
        <v>3.4</v>
      </c>
      <c r="O52" s="173">
        <f>MIN(O41:O50)</f>
        <v>848.8</v>
      </c>
      <c r="P52" s="161">
        <f t="shared" si="19"/>
        <v>70.7</v>
      </c>
    </row>
    <row r="53" spans="2:16" ht="22.5" customHeight="1" thickBot="1">
      <c r="B53" s="186" t="s">
        <v>30</v>
      </c>
      <c r="C53" s="187">
        <f>ROUND(AVERAGE(C41:C50),1)</f>
        <v>25.9</v>
      </c>
      <c r="D53" s="187">
        <f t="shared" ref="D53:N53" si="20">ROUND(AVERAGE(D41:D50),1)</f>
        <v>39.200000000000003</v>
      </c>
      <c r="E53" s="187">
        <f t="shared" si="20"/>
        <v>49.9</v>
      </c>
      <c r="F53" s="187">
        <f t="shared" si="20"/>
        <v>93</v>
      </c>
      <c r="G53" s="187">
        <f t="shared" si="20"/>
        <v>85.7</v>
      </c>
      <c r="H53" s="187">
        <f t="shared" si="20"/>
        <v>92.7</v>
      </c>
      <c r="I53" s="187">
        <f t="shared" si="20"/>
        <v>268.2</v>
      </c>
      <c r="J53" s="187">
        <f t="shared" si="20"/>
        <v>234.1</v>
      </c>
      <c r="K53" s="187">
        <f t="shared" si="20"/>
        <v>146.80000000000001</v>
      </c>
      <c r="L53" s="187">
        <f t="shared" si="20"/>
        <v>83.3</v>
      </c>
      <c r="M53" s="187">
        <f t="shared" si="20"/>
        <v>64.7</v>
      </c>
      <c r="N53" s="188">
        <f t="shared" si="20"/>
        <v>37.9</v>
      </c>
      <c r="O53" s="177">
        <f>ROUND(AVERAGE(O41:O50),1)</f>
        <v>1221.2</v>
      </c>
      <c r="P53" s="165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0"/>
    <col min="2" max="2" width="8.88671875" style="88"/>
    <col min="3" max="3" width="8" style="88" customWidth="1"/>
    <col min="4" max="16384" width="8.88671875" style="70"/>
  </cols>
  <sheetData>
    <row r="1" spans="2:16" ht="17.25" thickBot="1">
      <c r="I1"/>
      <c r="J1"/>
      <c r="K1"/>
    </row>
    <row r="2" spans="2:16">
      <c r="B2" s="72"/>
      <c r="C2" s="73" t="s">
        <v>7</v>
      </c>
      <c r="D2" s="73" t="s">
        <v>8</v>
      </c>
      <c r="E2" s="73" t="s">
        <v>9</v>
      </c>
      <c r="F2" s="73" t="s">
        <v>10</v>
      </c>
      <c r="G2" s="73" t="s">
        <v>11</v>
      </c>
      <c r="H2" s="73" t="s">
        <v>12</v>
      </c>
      <c r="I2" s="73" t="s">
        <v>13</v>
      </c>
      <c r="J2" s="73" t="s">
        <v>14</v>
      </c>
      <c r="K2" s="73" t="s">
        <v>15</v>
      </c>
      <c r="L2" s="73" t="s">
        <v>16</v>
      </c>
      <c r="M2" s="73" t="s">
        <v>17</v>
      </c>
      <c r="N2" s="73" t="s">
        <v>18</v>
      </c>
      <c r="O2" s="73" t="s">
        <v>28</v>
      </c>
      <c r="P2" s="74" t="s">
        <v>20</v>
      </c>
    </row>
    <row r="3" spans="2:16">
      <c r="B3" s="75">
        <f>All!B5</f>
        <v>1992</v>
      </c>
      <c r="C3" s="76">
        <f>All!C5</f>
        <v>13.2</v>
      </c>
      <c r="D3" s="76">
        <f>All!D5</f>
        <v>18.7</v>
      </c>
      <c r="E3" s="76">
        <f>All!E5</f>
        <v>46.1</v>
      </c>
      <c r="F3" s="76">
        <f>All!F5</f>
        <v>102.9</v>
      </c>
      <c r="G3" s="76">
        <f>All!G5</f>
        <v>109.1</v>
      </c>
      <c r="H3" s="76">
        <f>All!H5</f>
        <v>46.7</v>
      </c>
      <c r="I3" s="76">
        <f>All!I5</f>
        <v>161.5</v>
      </c>
      <c r="J3" s="76">
        <f>All!J5</f>
        <v>415.4</v>
      </c>
      <c r="K3" s="76">
        <f>All!K5</f>
        <v>179</v>
      </c>
      <c r="L3" s="76">
        <f>All!L5</f>
        <v>15.5</v>
      </c>
      <c r="M3" s="76">
        <f>All!M5</f>
        <v>60</v>
      </c>
      <c r="N3" s="76">
        <f>All!N5</f>
        <v>54.5</v>
      </c>
      <c r="O3" s="76">
        <f>All!O5</f>
        <v>1222.5999999999999</v>
      </c>
      <c r="P3" s="77">
        <f>All!P5</f>
        <v>101.9</v>
      </c>
    </row>
    <row r="4" spans="2:16">
      <c r="B4" s="75">
        <f>All!B6</f>
        <v>1993</v>
      </c>
      <c r="C4" s="76">
        <f>All!C6</f>
        <v>4.8</v>
      </c>
      <c r="D4" s="76">
        <f>All!D6</f>
        <v>73</v>
      </c>
      <c r="E4" s="76">
        <f>All!E6</f>
        <v>25.5</v>
      </c>
      <c r="F4" s="76">
        <f>All!F6</f>
        <v>34.5</v>
      </c>
      <c r="G4" s="76">
        <f>All!G6</f>
        <v>116</v>
      </c>
      <c r="H4" s="76">
        <f>All!H6</f>
        <v>260</v>
      </c>
      <c r="I4" s="76">
        <f>All!I6</f>
        <v>273.5</v>
      </c>
      <c r="J4" s="76">
        <f>All!J6</f>
        <v>284</v>
      </c>
      <c r="K4" s="76">
        <f>All!K6</f>
        <v>98.5</v>
      </c>
      <c r="L4" s="76">
        <f>All!L6</f>
        <v>34</v>
      </c>
      <c r="M4" s="76">
        <f>All!M6</f>
        <v>89.5</v>
      </c>
      <c r="N4" s="76">
        <f>All!N6</f>
        <v>21.9</v>
      </c>
      <c r="O4" s="76">
        <f>All!O6</f>
        <v>1315.2</v>
      </c>
      <c r="P4" s="77">
        <f>All!P6</f>
        <v>109.6</v>
      </c>
    </row>
    <row r="5" spans="2:16">
      <c r="B5" s="75">
        <f>All!B7</f>
        <v>1994</v>
      </c>
      <c r="C5" s="76">
        <f>All!C7</f>
        <v>18.5</v>
      </c>
      <c r="D5" s="76">
        <f>All!D7</f>
        <v>14.4</v>
      </c>
      <c r="E5" s="76">
        <f>All!E7</f>
        <v>54.4</v>
      </c>
      <c r="F5" s="76">
        <f>All!F7</f>
        <v>41</v>
      </c>
      <c r="G5" s="76">
        <f>All!G7</f>
        <v>137</v>
      </c>
      <c r="H5" s="76">
        <f>All!H7</f>
        <v>137.5</v>
      </c>
      <c r="I5" s="76">
        <f>All!I7</f>
        <v>96.5</v>
      </c>
      <c r="J5" s="76">
        <f>All!J7</f>
        <v>286.5</v>
      </c>
      <c r="K5" s="76">
        <f>All!K7</f>
        <v>34</v>
      </c>
      <c r="L5" s="76">
        <f>All!L7</f>
        <v>162</v>
      </c>
      <c r="M5" s="76">
        <f>All!M7</f>
        <v>23</v>
      </c>
      <c r="N5" s="76">
        <f>All!N7</f>
        <v>25</v>
      </c>
      <c r="O5" s="76">
        <f>All!O7</f>
        <v>1029.8</v>
      </c>
      <c r="P5" s="77">
        <f>All!P7</f>
        <v>85.8</v>
      </c>
    </row>
    <row r="6" spans="2:16">
      <c r="B6" s="75">
        <f>All!B8</f>
        <v>1995</v>
      </c>
      <c r="C6" s="76">
        <f>All!C8</f>
        <v>22.6</v>
      </c>
      <c r="D6" s="76">
        <f>All!D8</f>
        <v>23.5</v>
      </c>
      <c r="E6" s="76">
        <f>All!E8</f>
        <v>24.4</v>
      </c>
      <c r="F6" s="76">
        <f>All!F8</f>
        <v>62</v>
      </c>
      <c r="G6" s="76">
        <f>All!G8</f>
        <v>59.5</v>
      </c>
      <c r="H6" s="76">
        <f>All!H8</f>
        <v>34.5</v>
      </c>
      <c r="I6" s="76">
        <f>All!I8</f>
        <v>171.5</v>
      </c>
      <c r="J6" s="76">
        <f>All!J8</f>
        <v>839</v>
      </c>
      <c r="K6" s="76">
        <f>All!K8</f>
        <v>46.5</v>
      </c>
      <c r="L6" s="76">
        <f>All!L8</f>
        <v>22</v>
      </c>
      <c r="M6" s="76">
        <f>All!M8</f>
        <v>15</v>
      </c>
      <c r="N6" s="76">
        <f>All!N8</f>
        <v>5.7</v>
      </c>
      <c r="O6" s="76">
        <f>All!O8</f>
        <v>1326.2</v>
      </c>
      <c r="P6" s="77">
        <f>All!P8</f>
        <v>110.5</v>
      </c>
    </row>
    <row r="7" spans="2:16">
      <c r="B7" s="75">
        <f>All!B9</f>
        <v>1996</v>
      </c>
      <c r="C7" s="76">
        <f>All!C9</f>
        <v>26.4</v>
      </c>
      <c r="D7" s="76">
        <f>All!D9</f>
        <v>2.8</v>
      </c>
      <c r="E7" s="76">
        <f>All!E9</f>
        <v>131</v>
      </c>
      <c r="F7" s="76">
        <f>All!F9</f>
        <v>45</v>
      </c>
      <c r="G7" s="76">
        <f>All!G9</f>
        <v>33</v>
      </c>
      <c r="H7" s="76">
        <f>All!H9</f>
        <v>289</v>
      </c>
      <c r="I7" s="76">
        <f>All!I9</f>
        <v>235</v>
      </c>
      <c r="J7" s="76">
        <f>All!J9</f>
        <v>67</v>
      </c>
      <c r="K7" s="76">
        <f>All!K9</f>
        <v>16</v>
      </c>
      <c r="L7" s="76">
        <f>All!L9</f>
        <v>90.5</v>
      </c>
      <c r="M7" s="76">
        <f>All!M9</f>
        <v>76</v>
      </c>
      <c r="N7" s="76">
        <f>All!N9</f>
        <v>35</v>
      </c>
      <c r="O7" s="76">
        <f>All!O9</f>
        <v>1046.7</v>
      </c>
      <c r="P7" s="77">
        <f>All!P9</f>
        <v>87.2</v>
      </c>
    </row>
    <row r="8" spans="2:16">
      <c r="B8" s="75">
        <f>All!B10</f>
        <v>1997</v>
      </c>
      <c r="C8" s="76">
        <f>All!C10</f>
        <v>9</v>
      </c>
      <c r="D8" s="76">
        <f>All!D10</f>
        <v>54.9</v>
      </c>
      <c r="E8" s="76">
        <f>All!E10</f>
        <v>44</v>
      </c>
      <c r="F8" s="76">
        <f>All!F10</f>
        <v>70</v>
      </c>
      <c r="G8" s="76">
        <f>All!G10</f>
        <v>229.5</v>
      </c>
      <c r="H8" s="76">
        <f>All!H10</f>
        <v>236.5</v>
      </c>
      <c r="I8" s="76">
        <f>All!I10</f>
        <v>404.5</v>
      </c>
      <c r="J8" s="76">
        <f>All!J10</f>
        <v>263</v>
      </c>
      <c r="K8" s="76">
        <f>All!K10</f>
        <v>24.5</v>
      </c>
      <c r="L8" s="76">
        <f>All!L10</f>
        <v>8</v>
      </c>
      <c r="M8" s="76">
        <f>All!M10</f>
        <v>219.5</v>
      </c>
      <c r="N8" s="76">
        <f>All!N10</f>
        <v>39.5</v>
      </c>
      <c r="O8" s="76">
        <f>All!O10</f>
        <v>1602.9</v>
      </c>
      <c r="P8" s="77">
        <f>All!P10</f>
        <v>133.6</v>
      </c>
    </row>
    <row r="9" spans="2:16">
      <c r="B9" s="75">
        <f>All!B11</f>
        <v>1998</v>
      </c>
      <c r="C9" s="76">
        <f>All!C11</f>
        <v>40.6</v>
      </c>
      <c r="D9" s="76">
        <f>All!D11</f>
        <v>47</v>
      </c>
      <c r="E9" s="76">
        <f>All!E11</f>
        <v>45</v>
      </c>
      <c r="F9" s="76">
        <f>All!F11</f>
        <v>200.5</v>
      </c>
      <c r="G9" s="76">
        <f>All!G11</f>
        <v>130.5</v>
      </c>
      <c r="H9" s="76">
        <f>All!H11</f>
        <v>324</v>
      </c>
      <c r="I9" s="76">
        <f>All!I11</f>
        <v>323</v>
      </c>
      <c r="J9" s="76">
        <f>All!J11</f>
        <v>451.3</v>
      </c>
      <c r="K9" s="76">
        <f>All!K11</f>
        <v>313.10000000000002</v>
      </c>
      <c r="L9" s="76">
        <f>All!L11</f>
        <v>75.5</v>
      </c>
      <c r="M9" s="76">
        <f>All!M11</f>
        <v>46.3</v>
      </c>
      <c r="N9" s="76">
        <f>All!N11</f>
        <v>3.5</v>
      </c>
      <c r="O9" s="76">
        <f>All!O11</f>
        <v>2000.3</v>
      </c>
      <c r="P9" s="77">
        <f>All!P11</f>
        <v>166.7</v>
      </c>
    </row>
    <row r="10" spans="2:16">
      <c r="B10" s="75">
        <f>All!B12</f>
        <v>1999</v>
      </c>
      <c r="C10" s="76">
        <f>All!C12</f>
        <v>3.5</v>
      </c>
      <c r="D10" s="76">
        <f>All!D12</f>
        <v>10</v>
      </c>
      <c r="E10" s="76">
        <f>All!E12</f>
        <v>75.7</v>
      </c>
      <c r="F10" s="76">
        <f>All!F12</f>
        <v>92.5</v>
      </c>
      <c r="G10" s="76">
        <f>All!G12</f>
        <v>127.5</v>
      </c>
      <c r="H10" s="76">
        <f>All!H12</f>
        <v>203</v>
      </c>
      <c r="I10" s="76">
        <f>All!I12</f>
        <v>149</v>
      </c>
      <c r="J10" s="76">
        <f>All!J12</f>
        <v>119.5</v>
      </c>
      <c r="K10" s="76">
        <f>All!K12</f>
        <v>426</v>
      </c>
      <c r="L10" s="76">
        <f>All!L12</f>
        <v>290</v>
      </c>
      <c r="M10" s="76">
        <f>All!M12</f>
        <v>15.5</v>
      </c>
      <c r="N10" s="76">
        <f>All!N12</f>
        <v>17.399999999999999</v>
      </c>
      <c r="O10" s="76">
        <f>All!O12</f>
        <v>1529.6</v>
      </c>
      <c r="P10" s="77">
        <f>All!P12</f>
        <v>127.5</v>
      </c>
    </row>
    <row r="11" spans="2:16">
      <c r="B11" s="75">
        <f>All!B13</f>
        <v>2000</v>
      </c>
      <c r="C11" s="76">
        <f>All!C13</f>
        <v>41.4</v>
      </c>
      <c r="D11" s="76">
        <f>All!D13</f>
        <v>2.2999999999999998</v>
      </c>
      <c r="E11" s="76">
        <f>All!E13</f>
        <v>14.1</v>
      </c>
      <c r="F11" s="76">
        <f>All!F13</f>
        <v>62</v>
      </c>
      <c r="G11" s="76">
        <f>All!G13</f>
        <v>40</v>
      </c>
      <c r="H11" s="76">
        <f>All!H13</f>
        <v>248.5</v>
      </c>
      <c r="I11" s="76">
        <f>All!I13</f>
        <v>248.5</v>
      </c>
      <c r="J11" s="76">
        <f>All!J13</f>
        <v>543</v>
      </c>
      <c r="K11" s="76">
        <f>All!K13</f>
        <v>238.5</v>
      </c>
      <c r="L11" s="76">
        <f>All!L13</f>
        <v>39</v>
      </c>
      <c r="M11" s="76">
        <f>All!M13</f>
        <v>29.5</v>
      </c>
      <c r="N11" s="76">
        <f>All!N13</f>
        <v>13.8</v>
      </c>
      <c r="O11" s="76">
        <f>All!O13</f>
        <v>1520.6</v>
      </c>
      <c r="P11" s="77">
        <f>All!P13</f>
        <v>126.7</v>
      </c>
    </row>
    <row r="12" spans="2:16">
      <c r="B12" s="75">
        <f>All!B14</f>
        <v>2001</v>
      </c>
      <c r="C12" s="76">
        <f>All!C14</f>
        <v>65</v>
      </c>
      <c r="D12" s="76">
        <f>All!D14</f>
        <v>69.5</v>
      </c>
      <c r="E12" s="76">
        <f>All!E14</f>
        <v>9.8000000000000007</v>
      </c>
      <c r="F12" s="76">
        <f>All!F14</f>
        <v>25</v>
      </c>
      <c r="G12" s="76">
        <f>All!G14</f>
        <v>23.5</v>
      </c>
      <c r="H12" s="76">
        <f>All!H14</f>
        <v>132</v>
      </c>
      <c r="I12" s="76">
        <f>All!I14</f>
        <v>216</v>
      </c>
      <c r="J12" s="76">
        <f>All!J14</f>
        <v>98</v>
      </c>
      <c r="K12" s="76">
        <f>All!K14</f>
        <v>10.5</v>
      </c>
      <c r="L12" s="76">
        <f>All!L14</f>
        <v>76.5</v>
      </c>
      <c r="M12" s="76">
        <f>All!M14</f>
        <v>10.5</v>
      </c>
      <c r="N12" s="76">
        <f>All!N14</f>
        <v>16.3</v>
      </c>
      <c r="O12" s="76">
        <f>All!O14</f>
        <v>752.6</v>
      </c>
      <c r="P12" s="77">
        <f>All!P14</f>
        <v>62.7</v>
      </c>
    </row>
    <row r="13" spans="2:16">
      <c r="B13" s="75">
        <f>All!B15</f>
        <v>2002</v>
      </c>
      <c r="C13" s="76">
        <f>All!C15</f>
        <v>72.3</v>
      </c>
      <c r="D13" s="76">
        <f>All!D15</f>
        <v>6</v>
      </c>
      <c r="E13" s="76">
        <f>All!E15</f>
        <v>32.5</v>
      </c>
      <c r="F13" s="76">
        <f>All!F15</f>
        <v>142.5</v>
      </c>
      <c r="G13" s="76">
        <f>All!G15</f>
        <v>159</v>
      </c>
      <c r="H13" s="76">
        <f>All!H15</f>
        <v>70.5</v>
      </c>
      <c r="I13" s="76">
        <f>All!I15</f>
        <v>208</v>
      </c>
      <c r="J13" s="76">
        <f>All!J15</f>
        <v>358.5</v>
      </c>
      <c r="K13" s="76">
        <f>All!K15</f>
        <v>57.5</v>
      </c>
      <c r="L13" s="76">
        <f>All!L15</f>
        <v>78.5</v>
      </c>
      <c r="M13" s="76">
        <f>All!M15</f>
        <v>31.5</v>
      </c>
      <c r="N13" s="76">
        <f>All!N15</f>
        <v>57.2</v>
      </c>
      <c r="O13" s="76">
        <f>All!O15</f>
        <v>1274</v>
      </c>
      <c r="P13" s="77">
        <f>All!P15</f>
        <v>106.2</v>
      </c>
    </row>
    <row r="14" spans="2:16">
      <c r="B14" s="75">
        <f>All!B16</f>
        <v>2003</v>
      </c>
      <c r="C14" s="76">
        <f>All!C16</f>
        <v>24.2</v>
      </c>
      <c r="D14" s="76">
        <f>All!D16</f>
        <v>59</v>
      </c>
      <c r="E14" s="76">
        <f>All!E16</f>
        <v>52</v>
      </c>
      <c r="F14" s="76">
        <f>All!F16</f>
        <v>208.5</v>
      </c>
      <c r="G14" s="76">
        <f>All!G16</f>
        <v>144.5</v>
      </c>
      <c r="H14" s="76">
        <f>All!H16</f>
        <v>228</v>
      </c>
      <c r="I14" s="76">
        <f>All!I16</f>
        <v>626.5</v>
      </c>
      <c r="J14" s="76">
        <f>All!J16</f>
        <v>202</v>
      </c>
      <c r="K14" s="76">
        <f>All!K16</f>
        <v>167.5</v>
      </c>
      <c r="L14" s="76">
        <f>All!L16</f>
        <v>24.5</v>
      </c>
      <c r="M14" s="76">
        <f>All!M16</f>
        <v>29.5</v>
      </c>
      <c r="N14" s="76">
        <f>All!N16</f>
        <v>13.8</v>
      </c>
      <c r="O14" s="76">
        <f>All!O16</f>
        <v>1780</v>
      </c>
      <c r="P14" s="77">
        <f>All!P16</f>
        <v>148.30000000000001</v>
      </c>
    </row>
    <row r="15" spans="2:16">
      <c r="B15" s="75">
        <f>All!B17</f>
        <v>2004</v>
      </c>
      <c r="C15" s="76">
        <f>All!C17</f>
        <v>18.100000000000001</v>
      </c>
      <c r="D15" s="76">
        <f>All!D17</f>
        <v>26.2</v>
      </c>
      <c r="E15" s="76">
        <f>All!E17</f>
        <v>63.1</v>
      </c>
      <c r="F15" s="76">
        <f>All!F17</f>
        <v>73.5</v>
      </c>
      <c r="G15" s="76">
        <f>All!G17</f>
        <v>109</v>
      </c>
      <c r="H15" s="76">
        <f>All!H17</f>
        <v>388</v>
      </c>
      <c r="I15" s="76">
        <f>All!I17</f>
        <v>296</v>
      </c>
      <c r="J15" s="76">
        <f>All!J17</f>
        <v>249</v>
      </c>
      <c r="K15" s="76">
        <f>All!K17</f>
        <v>176.5</v>
      </c>
      <c r="L15" s="76">
        <f>All!L17</f>
        <v>1</v>
      </c>
      <c r="M15" s="76">
        <f>All!M17</f>
        <v>50.5</v>
      </c>
      <c r="N15" s="76">
        <f>All!N17</f>
        <v>43</v>
      </c>
      <c r="O15" s="76">
        <f>All!O17</f>
        <v>1493.9</v>
      </c>
      <c r="P15" s="77">
        <f>All!P17</f>
        <v>124.5</v>
      </c>
    </row>
    <row r="16" spans="2:16">
      <c r="B16" s="75">
        <f>All!B18</f>
        <v>2005</v>
      </c>
      <c r="C16" s="76">
        <f>All!C18</f>
        <v>6</v>
      </c>
      <c r="D16" s="76">
        <f>All!D18</f>
        <v>39</v>
      </c>
      <c r="E16" s="76">
        <f>All!E18</f>
        <v>26.5</v>
      </c>
      <c r="F16" s="76">
        <f>All!F18</f>
        <v>75</v>
      </c>
      <c r="G16" s="76">
        <f>All!G18</f>
        <v>65.5</v>
      </c>
      <c r="H16" s="76">
        <f>All!H18</f>
        <v>186</v>
      </c>
      <c r="I16" s="76">
        <f>All!I18</f>
        <v>448.5</v>
      </c>
      <c r="J16" s="76">
        <f>All!J18</f>
        <v>381.5</v>
      </c>
      <c r="K16" s="76">
        <f>All!K18</f>
        <v>225.5</v>
      </c>
      <c r="L16" s="76">
        <f>All!L18</f>
        <v>30.5</v>
      </c>
      <c r="M16" s="76">
        <f>All!M18</f>
        <v>21</v>
      </c>
      <c r="N16" s="76">
        <f>All!N18</f>
        <v>22</v>
      </c>
      <c r="O16" s="76">
        <f>All!O18</f>
        <v>1527</v>
      </c>
      <c r="P16" s="77">
        <f>All!P18</f>
        <v>127.3</v>
      </c>
    </row>
    <row r="17" spans="2:16">
      <c r="B17" s="75">
        <f>All!B19</f>
        <v>2006</v>
      </c>
      <c r="C17" s="76">
        <f>All!C19</f>
        <v>30.2</v>
      </c>
      <c r="D17" s="76">
        <f>All!D19</f>
        <v>29.5</v>
      </c>
      <c r="E17" s="76">
        <f>All!E19</f>
        <v>7.8</v>
      </c>
      <c r="F17" s="76">
        <f>All!F19</f>
        <v>99</v>
      </c>
      <c r="G17" s="76">
        <f>All!G19</f>
        <v>81.5</v>
      </c>
      <c r="H17" s="76">
        <f>All!H19</f>
        <v>111</v>
      </c>
      <c r="I17" s="76">
        <f>All!I19</f>
        <v>503</v>
      </c>
      <c r="J17" s="76">
        <f>All!J19</f>
        <v>83.5</v>
      </c>
      <c r="K17" s="76">
        <f>All!K19</f>
        <v>37.5</v>
      </c>
      <c r="L17" s="76">
        <f>All!L19</f>
        <v>15</v>
      </c>
      <c r="M17" s="76">
        <f>All!M19</f>
        <v>51</v>
      </c>
      <c r="N17" s="76">
        <f>All!N19</f>
        <v>27.5</v>
      </c>
      <c r="O17" s="76">
        <f>All!O19</f>
        <v>1076.5</v>
      </c>
      <c r="P17" s="77">
        <f>All!P19</f>
        <v>89.7</v>
      </c>
    </row>
    <row r="18" spans="2:16">
      <c r="B18" s="75">
        <f>All!B20</f>
        <v>2007</v>
      </c>
      <c r="C18" s="76">
        <f>All!C20</f>
        <v>21.8</v>
      </c>
      <c r="D18" s="76">
        <f>All!D20</f>
        <v>47.8</v>
      </c>
      <c r="E18" s="76">
        <f>All!E20</f>
        <v>159</v>
      </c>
      <c r="F18" s="76">
        <f>All!F20</f>
        <v>28</v>
      </c>
      <c r="G18" s="76">
        <f>All!G20</f>
        <v>104</v>
      </c>
      <c r="H18" s="76">
        <f>All!H20</f>
        <v>101</v>
      </c>
      <c r="I18" s="76">
        <f>All!I20</f>
        <v>286</v>
      </c>
      <c r="J18" s="76">
        <f>All!J20</f>
        <v>319.5</v>
      </c>
      <c r="K18" s="76">
        <f>All!K20</f>
        <v>502.5</v>
      </c>
      <c r="L18" s="76">
        <f>All!L20</f>
        <v>37</v>
      </c>
      <c r="M18" s="76">
        <f>All!M20</f>
        <v>13</v>
      </c>
      <c r="N18" s="76">
        <f>All!N20</f>
        <v>31.7</v>
      </c>
      <c r="O18" s="76">
        <f>All!O20</f>
        <v>1651.3</v>
      </c>
      <c r="P18" s="77">
        <f>All!P20</f>
        <v>137.6</v>
      </c>
    </row>
    <row r="19" spans="2:16">
      <c r="B19" s="75">
        <f>All!B21</f>
        <v>2008</v>
      </c>
      <c r="C19" s="76">
        <f>All!C21</f>
        <v>39.6</v>
      </c>
      <c r="D19" s="76">
        <f>All!D21</f>
        <v>11.2</v>
      </c>
      <c r="E19" s="76">
        <f>All!E21</f>
        <v>42.2</v>
      </c>
      <c r="F19" s="76">
        <f>All!F21</f>
        <v>38.799999999999997</v>
      </c>
      <c r="G19" s="76">
        <f>All!G21</f>
        <v>51.6</v>
      </c>
      <c r="H19" s="76">
        <f>All!H21</f>
        <v>260</v>
      </c>
      <c r="I19" s="76">
        <f>All!I21</f>
        <v>194.3</v>
      </c>
      <c r="J19" s="76">
        <f>All!J21</f>
        <v>154</v>
      </c>
      <c r="K19" s="76">
        <f>All!K21</f>
        <v>48.8</v>
      </c>
      <c r="L19" s="76">
        <f>All!L21</f>
        <v>24.1</v>
      </c>
      <c r="M19" s="76">
        <f>All!M21</f>
        <v>14.1</v>
      </c>
      <c r="N19" s="76">
        <f>All!N21</f>
        <v>23.4</v>
      </c>
      <c r="O19" s="76">
        <f>All!O21</f>
        <v>902.1</v>
      </c>
      <c r="P19" s="77">
        <f>All!P21</f>
        <v>75.2</v>
      </c>
    </row>
    <row r="20" spans="2:16">
      <c r="B20" s="75">
        <f>All!B22</f>
        <v>2009</v>
      </c>
      <c r="C20" s="76">
        <f>All!C22</f>
        <v>10.6</v>
      </c>
      <c r="D20" s="76">
        <f>All!D22</f>
        <v>23.6</v>
      </c>
      <c r="E20" s="76">
        <f>All!E22</f>
        <v>63.9</v>
      </c>
      <c r="F20" s="76">
        <f>All!F22</f>
        <v>51</v>
      </c>
      <c r="G20" s="76">
        <f>All!G22</f>
        <v>135.5</v>
      </c>
      <c r="H20" s="76">
        <f>All!H22</f>
        <v>113.2</v>
      </c>
      <c r="I20" s="76">
        <f>All!I22</f>
        <v>408</v>
      </c>
      <c r="J20" s="76">
        <f>All!J22</f>
        <v>140.19999999999999</v>
      </c>
      <c r="K20" s="76">
        <f>All!K22</f>
        <v>30.5</v>
      </c>
      <c r="L20" s="76">
        <f>All!L22</f>
        <v>23.7</v>
      </c>
      <c r="M20" s="76">
        <f>All!M22</f>
        <v>54.5</v>
      </c>
      <c r="N20" s="76">
        <f>All!N22</f>
        <v>34.9</v>
      </c>
      <c r="O20" s="76">
        <f>All!O22</f>
        <v>1089.5999999999999</v>
      </c>
      <c r="P20" s="77">
        <f>All!P22</f>
        <v>90.8</v>
      </c>
    </row>
    <row r="21" spans="2:16">
      <c r="B21" s="75">
        <f>All!B23</f>
        <v>2010</v>
      </c>
      <c r="C21" s="76">
        <f>All!C23</f>
        <v>37.1</v>
      </c>
      <c r="D21" s="76">
        <f>All!D23</f>
        <v>89.5</v>
      </c>
      <c r="E21" s="76">
        <f>All!E23</f>
        <v>94.9</v>
      </c>
      <c r="F21" s="76">
        <f>All!F23</f>
        <v>69.599999999999994</v>
      </c>
      <c r="G21" s="76">
        <f>All!G23</f>
        <v>140.69999999999999</v>
      </c>
      <c r="H21" s="76">
        <f>All!H23</f>
        <v>36.1</v>
      </c>
      <c r="I21" s="76">
        <f>All!I23</f>
        <v>262.10000000000002</v>
      </c>
      <c r="J21" s="76">
        <f>All!J23</f>
        <v>431.1</v>
      </c>
      <c r="K21" s="76">
        <f>All!K23</f>
        <v>149.80000000000001</v>
      </c>
      <c r="L21" s="76">
        <f>All!L23</f>
        <v>17.8</v>
      </c>
      <c r="M21" s="76">
        <f>All!M23</f>
        <v>18.600000000000001</v>
      </c>
      <c r="N21" s="76">
        <f>All!N23</f>
        <v>31</v>
      </c>
      <c r="O21" s="76">
        <f>All!O23</f>
        <v>1378.3</v>
      </c>
      <c r="P21" s="77">
        <f>All!P23</f>
        <v>114.9</v>
      </c>
    </row>
    <row r="22" spans="2:16">
      <c r="B22" s="75">
        <f>All!B24</f>
        <v>2011</v>
      </c>
      <c r="C22" s="76">
        <f>All!C24</f>
        <v>3.7</v>
      </c>
      <c r="D22" s="76">
        <f>All!D24</f>
        <v>60.7</v>
      </c>
      <c r="E22" s="76">
        <f>All!E24</f>
        <v>16</v>
      </c>
      <c r="F22" s="76">
        <f>All!F24</f>
        <v>70</v>
      </c>
      <c r="G22" s="76">
        <f>All!G24</f>
        <v>111.2</v>
      </c>
      <c r="H22" s="76">
        <f>All!H24</f>
        <v>316</v>
      </c>
      <c r="I22" s="76">
        <f>All!I24</f>
        <v>599.6</v>
      </c>
      <c r="J22" s="76">
        <f>All!J24</f>
        <v>618.1</v>
      </c>
      <c r="K22" s="76">
        <f>All!K24</f>
        <v>104.2</v>
      </c>
      <c r="L22" s="76">
        <f>All!L24</f>
        <v>26.6</v>
      </c>
      <c r="M22" s="76">
        <f>All!M24</f>
        <v>81.599999999999994</v>
      </c>
      <c r="N22" s="76">
        <f>All!N24</f>
        <v>7</v>
      </c>
      <c r="O22" s="76">
        <f>All!O24</f>
        <v>2014.7</v>
      </c>
      <c r="P22" s="77">
        <f>All!P24</f>
        <v>167.9</v>
      </c>
    </row>
    <row r="23" spans="2:16" s="450" customFormat="1">
      <c r="B23" s="447">
        <f>All!B25</f>
        <v>2012</v>
      </c>
      <c r="C23" s="448">
        <f>All!C25</f>
        <v>16</v>
      </c>
      <c r="D23" s="448">
        <f>All!D25</f>
        <v>3.2</v>
      </c>
      <c r="E23" s="448">
        <f>All!E25</f>
        <v>60.2</v>
      </c>
      <c r="F23" s="448">
        <f>All!F25</f>
        <v>109.3</v>
      </c>
      <c r="G23" s="448">
        <f>All!G25</f>
        <v>19.5</v>
      </c>
      <c r="H23" s="448">
        <f>All!H25</f>
        <v>71.3</v>
      </c>
      <c r="I23" s="448">
        <f>All!I25</f>
        <v>302.89999999999998</v>
      </c>
      <c r="J23" s="448">
        <f>All!J25</f>
        <v>573.29999999999995</v>
      </c>
      <c r="K23" s="448">
        <f>All!K25</f>
        <v>186.2</v>
      </c>
      <c r="L23" s="448">
        <f>All!L25</f>
        <v>83</v>
      </c>
      <c r="M23" s="448">
        <f>All!M25</f>
        <v>60.7</v>
      </c>
      <c r="N23" s="448">
        <f>All!N25</f>
        <v>60.2</v>
      </c>
      <c r="O23" s="448">
        <f>All!O25</f>
        <v>1545.8</v>
      </c>
      <c r="P23" s="449">
        <f>All!P25</f>
        <v>128.80000000000001</v>
      </c>
    </row>
    <row r="24" spans="2:16">
      <c r="B24" s="75">
        <f>All!B26</f>
        <v>2013</v>
      </c>
      <c r="C24" s="76">
        <f>All!C26</f>
        <v>45.4</v>
      </c>
      <c r="D24" s="76">
        <f>All!D26</f>
        <v>58.7</v>
      </c>
      <c r="E24" s="76">
        <f>All!E26</f>
        <v>50.3</v>
      </c>
      <c r="F24" s="76">
        <f>All!F26</f>
        <v>93.7</v>
      </c>
      <c r="G24" s="76">
        <f>All!G26</f>
        <v>159</v>
      </c>
      <c r="H24" s="76">
        <f>All!H26</f>
        <v>151.69999999999999</v>
      </c>
      <c r="I24" s="76">
        <f>All!I26</f>
        <v>240.4</v>
      </c>
      <c r="J24" s="76">
        <f>All!J26</f>
        <v>119.5</v>
      </c>
      <c r="K24" s="76">
        <f>All!K26</f>
        <v>184.8</v>
      </c>
      <c r="L24" s="76">
        <f>All!L26</f>
        <v>17.5</v>
      </c>
      <c r="M24" s="76">
        <f>All!M26</f>
        <v>79.400000000000006</v>
      </c>
      <c r="N24" s="76">
        <f>All!N26</f>
        <v>35.9</v>
      </c>
      <c r="O24" s="76">
        <f>All!O26</f>
        <v>1236.3</v>
      </c>
      <c r="P24" s="77">
        <f>All!P26</f>
        <v>103</v>
      </c>
    </row>
    <row r="25" spans="2:16">
      <c r="B25" s="75">
        <f>All!B27</f>
        <v>2014</v>
      </c>
      <c r="C25" s="76">
        <f>All!C27</f>
        <v>2.2000000000000002</v>
      </c>
      <c r="D25" s="76">
        <f>All!D27</f>
        <v>15.3</v>
      </c>
      <c r="E25" s="76">
        <f>All!E27</f>
        <v>69.3</v>
      </c>
      <c r="F25" s="76">
        <f>All!F27</f>
        <v>94.1</v>
      </c>
      <c r="G25" s="76">
        <f>All!G27</f>
        <v>61.5</v>
      </c>
      <c r="H25" s="76">
        <f>All!H27</f>
        <v>77.8</v>
      </c>
      <c r="I25" s="76">
        <f>All!I27</f>
        <v>174.7</v>
      </c>
      <c r="J25" s="76">
        <f>All!J27</f>
        <v>225.1</v>
      </c>
      <c r="K25" s="76">
        <f>All!K27</f>
        <v>157.5</v>
      </c>
      <c r="L25" s="76">
        <f>All!L27</f>
        <v>170.5</v>
      </c>
      <c r="M25" s="76">
        <f>All!M27</f>
        <v>42.4</v>
      </c>
      <c r="N25" s="76">
        <f>All!N27</f>
        <v>51.7</v>
      </c>
      <c r="O25" s="76">
        <f>All!O27</f>
        <v>1142.0999999999999</v>
      </c>
      <c r="P25" s="77">
        <f>All!P27</f>
        <v>95.2</v>
      </c>
    </row>
    <row r="26" spans="2:16">
      <c r="B26" s="75">
        <f>All!B28</f>
        <v>2015</v>
      </c>
      <c r="C26" s="76">
        <f>All!C28</f>
        <v>35.4</v>
      </c>
      <c r="D26" s="76">
        <f>All!D28</f>
        <v>35.6</v>
      </c>
      <c r="E26" s="76">
        <f>All!E28</f>
        <v>42.4</v>
      </c>
      <c r="F26" s="76">
        <f>All!F28</f>
        <v>99.5</v>
      </c>
      <c r="G26" s="76">
        <f>All!G28</f>
        <v>53.5</v>
      </c>
      <c r="H26" s="76">
        <f>All!H28</f>
        <v>92.7</v>
      </c>
      <c r="I26" s="76">
        <f>All!I28</f>
        <v>119.9</v>
      </c>
      <c r="J26" s="76">
        <f>All!J28</f>
        <v>56.9</v>
      </c>
      <c r="K26" s="76">
        <f>All!K28</f>
        <v>22</v>
      </c>
      <c r="L26" s="76">
        <f>All!L28</f>
        <v>104</v>
      </c>
      <c r="M26" s="76">
        <f>All!M28</f>
        <v>130</v>
      </c>
      <c r="N26" s="76">
        <f>All!N28</f>
        <v>56.9</v>
      </c>
      <c r="O26" s="76">
        <f>All!O28</f>
        <v>848.8</v>
      </c>
      <c r="P26" s="77">
        <f>All!P28</f>
        <v>70.7</v>
      </c>
    </row>
    <row r="27" spans="2:16">
      <c r="B27" s="75">
        <f>All!B29</f>
        <v>2016</v>
      </c>
      <c r="C27" s="76">
        <f>All!C29</f>
        <v>6.6</v>
      </c>
      <c r="D27" s="76">
        <f>All!D29</f>
        <v>59.6</v>
      </c>
      <c r="E27" s="76">
        <f>All!E29</f>
        <v>19</v>
      </c>
      <c r="F27" s="76">
        <f>All!F29</f>
        <v>164.6</v>
      </c>
      <c r="G27" s="76">
        <f>All!G29</f>
        <v>121.6</v>
      </c>
      <c r="H27" s="76">
        <f>All!H29</f>
        <v>49.4</v>
      </c>
      <c r="I27" s="76">
        <f>All!I29</f>
        <v>341.1</v>
      </c>
      <c r="J27" s="76">
        <f>All!J29</f>
        <v>33.4</v>
      </c>
      <c r="K27" s="76">
        <f>All!K29</f>
        <v>133.69999999999999</v>
      </c>
      <c r="L27" s="76">
        <f>All!L29</f>
        <v>120.1</v>
      </c>
      <c r="M27" s="76">
        <f>All!M29</f>
        <v>17.100000000000001</v>
      </c>
      <c r="N27" s="76">
        <f>All!N29</f>
        <v>63.1</v>
      </c>
      <c r="O27" s="76">
        <f>All!O29</f>
        <v>1129.3</v>
      </c>
      <c r="P27" s="77">
        <f>All!P29</f>
        <v>94.1</v>
      </c>
    </row>
    <row r="28" spans="2:16">
      <c r="B28" s="75">
        <f>All!B30</f>
        <v>2017</v>
      </c>
      <c r="C28" s="76">
        <f>All!C30</f>
        <v>16</v>
      </c>
      <c r="D28" s="76">
        <f>All!D30</f>
        <v>28.5</v>
      </c>
      <c r="E28" s="76">
        <f>All!E30</f>
        <v>8.8000000000000007</v>
      </c>
      <c r="F28" s="76">
        <f>All!F30</f>
        <v>78.400000000000006</v>
      </c>
      <c r="G28" s="76">
        <f>All!G30</f>
        <v>35.799999999999997</v>
      </c>
      <c r="H28" s="76">
        <f>All!H30</f>
        <v>51.4</v>
      </c>
      <c r="I28" s="76">
        <f>All!I30</f>
        <v>326.7</v>
      </c>
      <c r="J28" s="76">
        <f>All!J30</f>
        <v>358.5</v>
      </c>
      <c r="K28" s="76">
        <f>All!K30</f>
        <v>97.1</v>
      </c>
      <c r="L28" s="76">
        <f>All!L30</f>
        <v>51.9</v>
      </c>
      <c r="M28" s="76">
        <f>All!M30</f>
        <v>22.8</v>
      </c>
      <c r="N28" s="76">
        <f>All!N30</f>
        <v>36.1</v>
      </c>
      <c r="O28" s="76">
        <f>All!O30</f>
        <v>1112</v>
      </c>
      <c r="P28" s="77">
        <f>All!P30</f>
        <v>92.7</v>
      </c>
    </row>
    <row r="29" spans="2:16">
      <c r="B29" s="75">
        <f>All!B31</f>
        <v>2018</v>
      </c>
      <c r="C29" s="76">
        <f>All!C31</f>
        <v>25</v>
      </c>
      <c r="D29" s="76">
        <f>All!D31</f>
        <v>43.1</v>
      </c>
      <c r="E29" s="76">
        <f>All!E31</f>
        <v>99.3</v>
      </c>
      <c r="F29" s="76">
        <f>All!F31</f>
        <v>156.5</v>
      </c>
      <c r="G29" s="76">
        <f>All!G31</f>
        <v>116.1</v>
      </c>
      <c r="H29" s="76">
        <f>All!H31</f>
        <v>107.1</v>
      </c>
      <c r="I29" s="76">
        <f>All!I31</f>
        <v>278.8</v>
      </c>
      <c r="J29" s="76">
        <f>All!J31</f>
        <v>277</v>
      </c>
      <c r="K29" s="76">
        <f>All!K31</f>
        <v>98.3</v>
      </c>
      <c r="L29" s="76">
        <f>All!L31</f>
        <v>159.19999999999999</v>
      </c>
      <c r="M29" s="76">
        <f>All!M31</f>
        <v>66</v>
      </c>
      <c r="N29" s="76">
        <f>All!N31</f>
        <v>31.5</v>
      </c>
      <c r="O29" s="76">
        <f>All!O31</f>
        <v>1457.9</v>
      </c>
      <c r="P29" s="77">
        <f>All!P31</f>
        <v>121.5</v>
      </c>
    </row>
    <row r="30" spans="2:16">
      <c r="B30" s="75">
        <f>All!B32</f>
        <v>2019</v>
      </c>
      <c r="C30" s="76">
        <f>All!C32</f>
        <v>0.5</v>
      </c>
      <c r="D30" s="76">
        <f>All!D32</f>
        <v>37.6</v>
      </c>
      <c r="E30" s="76">
        <f>All!E32</f>
        <v>35</v>
      </c>
      <c r="F30" s="76">
        <f>All!F32</f>
        <v>73.7</v>
      </c>
      <c r="G30" s="76">
        <f>All!G32</f>
        <v>44.3</v>
      </c>
      <c r="H30" s="76">
        <f>All!H32</f>
        <v>59.9</v>
      </c>
      <c r="I30" s="76">
        <f>All!I32</f>
        <v>216.7</v>
      </c>
      <c r="J30" s="76">
        <f>All!J32</f>
        <v>102.1</v>
      </c>
      <c r="K30" s="76">
        <f>All!K32</f>
        <v>191.9</v>
      </c>
      <c r="L30" s="76">
        <f>All!L32</f>
        <v>85.6</v>
      </c>
      <c r="M30" s="76">
        <f>All!M32</f>
        <v>113.5</v>
      </c>
      <c r="N30" s="76">
        <f>All!N32</f>
        <v>31.2</v>
      </c>
      <c r="O30" s="76">
        <f>All!O32</f>
        <v>992</v>
      </c>
      <c r="P30" s="77">
        <f>All!P32</f>
        <v>82.7</v>
      </c>
    </row>
    <row r="31" spans="2:16">
      <c r="B31" s="75">
        <f>All!B33</f>
        <v>2020</v>
      </c>
      <c r="C31" s="76">
        <f>All!C33</f>
        <v>79.599999999999994</v>
      </c>
      <c r="D31" s="76">
        <f>All!D33</f>
        <v>92.4</v>
      </c>
      <c r="E31" s="76">
        <f>All!E33</f>
        <v>19.3</v>
      </c>
      <c r="F31" s="76">
        <f>All!F33</f>
        <v>17.7</v>
      </c>
      <c r="G31" s="76">
        <f>All!G33</f>
        <v>108.5</v>
      </c>
      <c r="H31" s="76">
        <f>All!H33</f>
        <v>188.4</v>
      </c>
      <c r="I31" s="76">
        <f>All!I33</f>
        <v>492.6</v>
      </c>
      <c r="J31" s="76">
        <f>All!J33</f>
        <v>367.8</v>
      </c>
      <c r="K31" s="76">
        <f>All!K33</f>
        <v>208.9</v>
      </c>
      <c r="L31" s="76">
        <f>All!L33</f>
        <v>4.4000000000000004</v>
      </c>
      <c r="M31" s="76">
        <f>All!M33</f>
        <v>41.8</v>
      </c>
      <c r="N31" s="76">
        <f>All!N33</f>
        <v>3.4</v>
      </c>
      <c r="O31" s="76">
        <f>All!O33</f>
        <v>1624.8</v>
      </c>
      <c r="P31" s="77">
        <f>All!P33</f>
        <v>135.4</v>
      </c>
    </row>
    <row r="32" spans="2:16">
      <c r="B32" s="75">
        <f>All!B34</f>
        <v>2021</v>
      </c>
      <c r="C32" s="76">
        <f>All!C34</f>
        <v>32.1</v>
      </c>
      <c r="D32" s="76">
        <f>All!D34</f>
        <v>18.100000000000001</v>
      </c>
      <c r="E32" s="76">
        <f>All!E34</f>
        <v>95.7</v>
      </c>
      <c r="F32" s="76">
        <f>All!F34</f>
        <v>42.3</v>
      </c>
      <c r="G32" s="76">
        <f>All!G34</f>
        <v>136.9</v>
      </c>
      <c r="H32" s="76">
        <f>All!H34</f>
        <v>76.900000000000006</v>
      </c>
      <c r="I32" s="76">
        <f>All!I34</f>
        <v>187.7</v>
      </c>
      <c r="J32" s="76">
        <f>All!J34</f>
        <v>227.6</v>
      </c>
      <c r="K32" s="76">
        <f>All!K34</f>
        <v>187.1</v>
      </c>
      <c r="L32" s="76">
        <f>All!L34</f>
        <v>36.9</v>
      </c>
      <c r="M32" s="76">
        <f>All!M34</f>
        <v>73.400000000000006</v>
      </c>
      <c r="N32" s="76">
        <f>All!N34</f>
        <v>8.6999999999999993</v>
      </c>
      <c r="O32" s="76">
        <f>All!O34</f>
        <v>1123.4000000000001</v>
      </c>
      <c r="P32" s="77">
        <f>All!P34</f>
        <v>93.6</v>
      </c>
    </row>
    <row r="33" spans="2:17">
      <c r="B33" s="78" t="s">
        <v>174</v>
      </c>
      <c r="C33" s="79">
        <f>ROUND(SUM(C23:C32)/10,1)</f>
        <v>25.9</v>
      </c>
      <c r="D33" s="79">
        <f t="shared" ref="D33:P33" si="0">ROUND(SUM(D23:D32)/10,1)</f>
        <v>39.200000000000003</v>
      </c>
      <c r="E33" s="79">
        <f t="shared" si="0"/>
        <v>49.9</v>
      </c>
      <c r="F33" s="79">
        <f t="shared" si="0"/>
        <v>93</v>
      </c>
      <c r="G33" s="79">
        <f t="shared" si="0"/>
        <v>85.7</v>
      </c>
      <c r="H33" s="79">
        <f t="shared" si="0"/>
        <v>92.7</v>
      </c>
      <c r="I33" s="79">
        <f t="shared" si="0"/>
        <v>268.2</v>
      </c>
      <c r="J33" s="79">
        <f t="shared" si="0"/>
        <v>234.1</v>
      </c>
      <c r="K33" s="79">
        <f t="shared" si="0"/>
        <v>146.80000000000001</v>
      </c>
      <c r="L33" s="79">
        <f t="shared" si="0"/>
        <v>83.3</v>
      </c>
      <c r="M33" s="79">
        <f t="shared" si="0"/>
        <v>64.7</v>
      </c>
      <c r="N33" s="79">
        <f t="shared" si="0"/>
        <v>37.9</v>
      </c>
      <c r="O33" s="79">
        <f t="shared" si="0"/>
        <v>1221.2</v>
      </c>
      <c r="P33" s="80">
        <f t="shared" si="0"/>
        <v>101.8</v>
      </c>
    </row>
    <row r="34" spans="2:17" ht="17.25" thickBot="1">
      <c r="B34" s="117" t="s">
        <v>173</v>
      </c>
      <c r="C34" s="81">
        <f>All!C37</f>
        <v>25.6</v>
      </c>
      <c r="D34" s="81">
        <f>All!D37</f>
        <v>36.700000000000003</v>
      </c>
      <c r="E34" s="81">
        <f>All!E37</f>
        <v>50.9</v>
      </c>
      <c r="F34" s="81">
        <f>All!F37</f>
        <v>84</v>
      </c>
      <c r="G34" s="81">
        <f>All!G37</f>
        <v>98.8</v>
      </c>
      <c r="H34" s="81">
        <f>All!H37</f>
        <v>154.9</v>
      </c>
      <c r="I34" s="81">
        <f>All!I37</f>
        <v>293.10000000000002</v>
      </c>
      <c r="J34" s="81">
        <f>All!J37</f>
        <v>288.2</v>
      </c>
      <c r="K34" s="81">
        <f>All!K37</f>
        <v>145.1</v>
      </c>
      <c r="L34" s="81">
        <f>All!L37</f>
        <v>64.2</v>
      </c>
      <c r="M34" s="81">
        <f>All!M37</f>
        <v>53.2</v>
      </c>
      <c r="N34" s="81">
        <f>All!N37</f>
        <v>30.1</v>
      </c>
      <c r="O34" s="81">
        <f>All!O37</f>
        <v>1324.9</v>
      </c>
      <c r="P34" s="82">
        <f>All!P37</f>
        <v>110.4</v>
      </c>
    </row>
    <row r="36" spans="2:17" ht="17.25" thickBot="1"/>
    <row r="37" spans="2:17">
      <c r="B37" s="72" t="s">
        <v>29</v>
      </c>
      <c r="C37" s="74" t="s">
        <v>160</v>
      </c>
      <c r="D37" s="85"/>
      <c r="E37" s="86" t="s">
        <v>31</v>
      </c>
      <c r="F37" s="86" t="s">
        <v>32</v>
      </c>
      <c r="G37" s="86" t="s">
        <v>33</v>
      </c>
      <c r="H37" s="86" t="s">
        <v>34</v>
      </c>
      <c r="I37" s="86" t="s">
        <v>35</v>
      </c>
      <c r="J37" s="86" t="s">
        <v>12</v>
      </c>
      <c r="K37" s="91" t="s">
        <v>13</v>
      </c>
      <c r="L37" s="91" t="s">
        <v>14</v>
      </c>
      <c r="M37" s="91" t="s">
        <v>15</v>
      </c>
      <c r="N37" s="86" t="s">
        <v>16</v>
      </c>
      <c r="O37" s="86" t="s">
        <v>17</v>
      </c>
      <c r="P37" s="86" t="s">
        <v>18</v>
      </c>
      <c r="Q37" s="87" t="s">
        <v>30</v>
      </c>
    </row>
    <row r="38" spans="2:17" ht="17.25" thickBot="1">
      <c r="B38" s="75">
        <f>B23</f>
        <v>2012</v>
      </c>
      <c r="C38" s="77">
        <f>O23</f>
        <v>1545.8</v>
      </c>
      <c r="D38" s="89" t="s">
        <v>30</v>
      </c>
      <c r="E38" s="90">
        <f>All!C53</f>
        <v>25.9</v>
      </c>
      <c r="F38" s="90">
        <f>All!D53</f>
        <v>39.200000000000003</v>
      </c>
      <c r="G38" s="90">
        <f>All!E53</f>
        <v>49.9</v>
      </c>
      <c r="H38" s="90">
        <f>All!F53</f>
        <v>93</v>
      </c>
      <c r="I38" s="90">
        <f>All!G53</f>
        <v>85.7</v>
      </c>
      <c r="J38" s="90">
        <f>All!H53</f>
        <v>92.7</v>
      </c>
      <c r="K38" s="90">
        <f>All!I53</f>
        <v>268.2</v>
      </c>
      <c r="L38" s="90">
        <f>All!J53</f>
        <v>234.1</v>
      </c>
      <c r="M38" s="90">
        <f>All!K53</f>
        <v>146.80000000000001</v>
      </c>
      <c r="N38" s="90">
        <f>All!L53</f>
        <v>83.3</v>
      </c>
      <c r="O38" s="90">
        <f>All!M53</f>
        <v>64.7</v>
      </c>
      <c r="P38" s="90">
        <f>All!N53</f>
        <v>37.9</v>
      </c>
      <c r="Q38" s="197">
        <f>All!P53</f>
        <v>101.8</v>
      </c>
    </row>
    <row r="39" spans="2:17">
      <c r="B39" s="75">
        <f t="shared" ref="B39:B48" si="1">B24</f>
        <v>2013</v>
      </c>
      <c r="C39" s="77">
        <f t="shared" ref="C39:C48" si="2">O24</f>
        <v>1236.3</v>
      </c>
    </row>
    <row r="40" spans="2:17">
      <c r="B40" s="75">
        <f t="shared" si="1"/>
        <v>2014</v>
      </c>
      <c r="C40" s="77">
        <f t="shared" si="2"/>
        <v>1142.0999999999999</v>
      </c>
    </row>
    <row r="41" spans="2:17">
      <c r="B41" s="75">
        <f t="shared" si="1"/>
        <v>2015</v>
      </c>
      <c r="C41" s="77">
        <f t="shared" si="2"/>
        <v>848.8</v>
      </c>
    </row>
    <row r="42" spans="2:17">
      <c r="B42" s="75">
        <f t="shared" si="1"/>
        <v>2016</v>
      </c>
      <c r="C42" s="77">
        <f t="shared" si="2"/>
        <v>1129.3</v>
      </c>
    </row>
    <row r="43" spans="2:17">
      <c r="B43" s="75">
        <f t="shared" si="1"/>
        <v>2017</v>
      </c>
      <c r="C43" s="77">
        <f t="shared" si="2"/>
        <v>1112</v>
      </c>
    </row>
    <row r="44" spans="2:17">
      <c r="B44" s="75">
        <f t="shared" si="1"/>
        <v>2018</v>
      </c>
      <c r="C44" s="77">
        <f t="shared" si="2"/>
        <v>1457.9</v>
      </c>
    </row>
    <row r="45" spans="2:17">
      <c r="B45" s="75">
        <f t="shared" si="1"/>
        <v>2019</v>
      </c>
      <c r="C45" s="77">
        <f t="shared" si="2"/>
        <v>992</v>
      </c>
    </row>
    <row r="46" spans="2:17">
      <c r="B46" s="75">
        <f t="shared" si="1"/>
        <v>2020</v>
      </c>
      <c r="C46" s="77">
        <f t="shared" si="2"/>
        <v>1624.8</v>
      </c>
    </row>
    <row r="47" spans="2:17">
      <c r="B47" s="75">
        <f t="shared" si="1"/>
        <v>2021</v>
      </c>
      <c r="C47" s="77">
        <f t="shared" si="2"/>
        <v>1123.4000000000001</v>
      </c>
    </row>
    <row r="48" spans="2:17" ht="17.25" thickBot="1">
      <c r="B48" s="83" t="str">
        <f t="shared" si="1"/>
        <v>10년평균</v>
      </c>
      <c r="C48" s="84">
        <f t="shared" si="2"/>
        <v>1221.2</v>
      </c>
    </row>
    <row r="50" spans="2:3" ht="17.25" thickBot="1"/>
    <row r="51" spans="2:3">
      <c r="B51" s="115" t="s">
        <v>175</v>
      </c>
      <c r="C51" s="116" t="s">
        <v>160</v>
      </c>
    </row>
    <row r="52" spans="2:3">
      <c r="B52" s="112">
        <f>B3</f>
        <v>1992</v>
      </c>
      <c r="C52" s="113">
        <f>O3</f>
        <v>1222.5999999999999</v>
      </c>
    </row>
    <row r="53" spans="2:3">
      <c r="B53" s="112">
        <f t="shared" ref="B53:B81" si="3">B4</f>
        <v>1993</v>
      </c>
      <c r="C53" s="113">
        <f t="shared" ref="C53:C81" si="4">O4</f>
        <v>1315.2</v>
      </c>
    </row>
    <row r="54" spans="2:3">
      <c r="B54" s="112">
        <f t="shared" si="3"/>
        <v>1994</v>
      </c>
      <c r="C54" s="113">
        <f t="shared" si="4"/>
        <v>1029.8</v>
      </c>
    </row>
    <row r="55" spans="2:3">
      <c r="B55" s="112">
        <f t="shared" si="3"/>
        <v>1995</v>
      </c>
      <c r="C55" s="113">
        <f t="shared" si="4"/>
        <v>1326.2</v>
      </c>
    </row>
    <row r="56" spans="2:3">
      <c r="B56" s="112">
        <f t="shared" si="3"/>
        <v>1996</v>
      </c>
      <c r="C56" s="113">
        <f t="shared" si="4"/>
        <v>1046.7</v>
      </c>
    </row>
    <row r="57" spans="2:3">
      <c r="B57" s="112">
        <f t="shared" si="3"/>
        <v>1997</v>
      </c>
      <c r="C57" s="113">
        <f t="shared" si="4"/>
        <v>1602.9</v>
      </c>
    </row>
    <row r="58" spans="2:3">
      <c r="B58" s="112">
        <f t="shared" si="3"/>
        <v>1998</v>
      </c>
      <c r="C58" s="113">
        <f t="shared" si="4"/>
        <v>2000.3</v>
      </c>
    </row>
    <row r="59" spans="2:3">
      <c r="B59" s="112">
        <f t="shared" si="3"/>
        <v>1999</v>
      </c>
      <c r="C59" s="113">
        <f t="shared" si="4"/>
        <v>1529.6</v>
      </c>
    </row>
    <row r="60" spans="2:3">
      <c r="B60" s="112">
        <f t="shared" si="3"/>
        <v>2000</v>
      </c>
      <c r="C60" s="113">
        <f t="shared" si="4"/>
        <v>1520.6</v>
      </c>
    </row>
    <row r="61" spans="2:3">
      <c r="B61" s="112">
        <f t="shared" si="3"/>
        <v>2001</v>
      </c>
      <c r="C61" s="113">
        <f t="shared" si="4"/>
        <v>752.6</v>
      </c>
    </row>
    <row r="62" spans="2:3">
      <c r="B62" s="112">
        <f t="shared" si="3"/>
        <v>2002</v>
      </c>
      <c r="C62" s="113">
        <f t="shared" si="4"/>
        <v>1274</v>
      </c>
    </row>
    <row r="63" spans="2:3">
      <c r="B63" s="112">
        <f t="shared" si="3"/>
        <v>2003</v>
      </c>
      <c r="C63" s="113">
        <f t="shared" si="4"/>
        <v>1780</v>
      </c>
    </row>
    <row r="64" spans="2:3">
      <c r="B64" s="112">
        <f t="shared" si="3"/>
        <v>2004</v>
      </c>
      <c r="C64" s="113">
        <f t="shared" si="4"/>
        <v>1493.9</v>
      </c>
    </row>
    <row r="65" spans="2:3">
      <c r="B65" s="112">
        <f t="shared" si="3"/>
        <v>2005</v>
      </c>
      <c r="C65" s="113">
        <f t="shared" si="4"/>
        <v>1527</v>
      </c>
    </row>
    <row r="66" spans="2:3">
      <c r="B66" s="112">
        <f t="shared" si="3"/>
        <v>2006</v>
      </c>
      <c r="C66" s="113">
        <f t="shared" si="4"/>
        <v>1076.5</v>
      </c>
    </row>
    <row r="67" spans="2:3">
      <c r="B67" s="112">
        <f t="shared" si="3"/>
        <v>2007</v>
      </c>
      <c r="C67" s="113">
        <f t="shared" si="4"/>
        <v>1651.3</v>
      </c>
    </row>
    <row r="68" spans="2:3">
      <c r="B68" s="112">
        <f t="shared" si="3"/>
        <v>2008</v>
      </c>
      <c r="C68" s="113">
        <f t="shared" si="4"/>
        <v>902.1</v>
      </c>
    </row>
    <row r="69" spans="2:3">
      <c r="B69" s="112">
        <f t="shared" si="3"/>
        <v>2009</v>
      </c>
      <c r="C69" s="113">
        <f t="shared" si="4"/>
        <v>1089.5999999999999</v>
      </c>
    </row>
    <row r="70" spans="2:3">
      <c r="B70" s="112">
        <f t="shared" si="3"/>
        <v>2010</v>
      </c>
      <c r="C70" s="113">
        <f t="shared" si="4"/>
        <v>1378.3</v>
      </c>
    </row>
    <row r="71" spans="2:3">
      <c r="B71" s="112">
        <f t="shared" si="3"/>
        <v>2011</v>
      </c>
      <c r="C71" s="113">
        <f t="shared" si="4"/>
        <v>2014.7</v>
      </c>
    </row>
    <row r="72" spans="2:3">
      <c r="B72" s="112">
        <f t="shared" si="3"/>
        <v>2012</v>
      </c>
      <c r="C72" s="113">
        <f t="shared" si="4"/>
        <v>1545.8</v>
      </c>
    </row>
    <row r="73" spans="2:3">
      <c r="B73" s="112">
        <f t="shared" si="3"/>
        <v>2013</v>
      </c>
      <c r="C73" s="113">
        <f t="shared" si="4"/>
        <v>1236.3</v>
      </c>
    </row>
    <row r="74" spans="2:3">
      <c r="B74" s="112">
        <f t="shared" si="3"/>
        <v>2014</v>
      </c>
      <c r="C74" s="113">
        <f t="shared" si="4"/>
        <v>1142.0999999999999</v>
      </c>
    </row>
    <row r="75" spans="2:3">
      <c r="B75" s="112">
        <f t="shared" si="3"/>
        <v>2015</v>
      </c>
      <c r="C75" s="113">
        <f t="shared" si="4"/>
        <v>848.8</v>
      </c>
    </row>
    <row r="76" spans="2:3">
      <c r="B76" s="112">
        <f t="shared" si="3"/>
        <v>2016</v>
      </c>
      <c r="C76" s="113">
        <f t="shared" si="4"/>
        <v>1129.3</v>
      </c>
    </row>
    <row r="77" spans="2:3">
      <c r="B77" s="112">
        <f t="shared" si="3"/>
        <v>2017</v>
      </c>
      <c r="C77" s="113">
        <f t="shared" si="4"/>
        <v>1112</v>
      </c>
    </row>
    <row r="78" spans="2:3">
      <c r="B78" s="112">
        <f>B29</f>
        <v>2018</v>
      </c>
      <c r="C78" s="113">
        <f t="shared" si="4"/>
        <v>1457.9</v>
      </c>
    </row>
    <row r="79" spans="2:3">
      <c r="B79" s="112">
        <f t="shared" si="3"/>
        <v>2019</v>
      </c>
      <c r="C79" s="113">
        <f t="shared" si="4"/>
        <v>992</v>
      </c>
    </row>
    <row r="80" spans="2:3">
      <c r="B80" s="112">
        <f t="shared" si="3"/>
        <v>2020</v>
      </c>
      <c r="C80" s="113">
        <f t="shared" si="4"/>
        <v>1624.8</v>
      </c>
    </row>
    <row r="81" spans="2:3">
      <c r="B81" s="112">
        <f t="shared" si="3"/>
        <v>2021</v>
      </c>
      <c r="C81" s="113">
        <f t="shared" si="4"/>
        <v>1123.4000000000001</v>
      </c>
    </row>
    <row r="82" spans="2:3" ht="17.25" thickBot="1">
      <c r="B82" s="89" t="str">
        <f>B34</f>
        <v>30년평균</v>
      </c>
      <c r="C82" s="114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0" customWidth="1"/>
    <col min="2" max="2" width="19.21875" style="70" customWidth="1"/>
    <col min="3" max="16" width="8.77734375" style="70" customWidth="1"/>
    <col min="17" max="16384" width="8.88671875" style="70"/>
  </cols>
  <sheetData>
    <row r="2" spans="2:16" ht="20.25" customHeight="1">
      <c r="B2" s="71" t="s">
        <v>386</v>
      </c>
    </row>
    <row r="3" spans="2:16" ht="17.25" thickBot="1">
      <c r="I3" s="349"/>
      <c r="J3" s="349"/>
      <c r="K3" s="349"/>
    </row>
    <row r="4" spans="2:16" ht="29.25" customHeight="1">
      <c r="B4" s="438"/>
      <c r="C4" s="428" t="s">
        <v>7</v>
      </c>
      <c r="D4" s="414" t="s">
        <v>8</v>
      </c>
      <c r="E4" s="414" t="s">
        <v>9</v>
      </c>
      <c r="F4" s="414" t="s">
        <v>10</v>
      </c>
      <c r="G4" s="414" t="s">
        <v>11</v>
      </c>
      <c r="H4" s="414" t="s">
        <v>12</v>
      </c>
      <c r="I4" s="414" t="s">
        <v>13</v>
      </c>
      <c r="J4" s="414" t="s">
        <v>14</v>
      </c>
      <c r="K4" s="414" t="s">
        <v>15</v>
      </c>
      <c r="L4" s="414" t="s">
        <v>16</v>
      </c>
      <c r="M4" s="414" t="s">
        <v>17</v>
      </c>
      <c r="N4" s="415" t="s">
        <v>18</v>
      </c>
      <c r="O4" s="428" t="s">
        <v>19</v>
      </c>
      <c r="P4" s="415" t="s">
        <v>20</v>
      </c>
    </row>
    <row r="5" spans="2:16" ht="22.15" customHeight="1">
      <c r="B5" s="439">
        <f>All!B41</f>
        <v>2012</v>
      </c>
      <c r="C5" s="429">
        <f>All!C41</f>
        <v>16</v>
      </c>
      <c r="D5" s="416">
        <f>All!D41</f>
        <v>3.2</v>
      </c>
      <c r="E5" s="416">
        <f>All!E41</f>
        <v>60.2</v>
      </c>
      <c r="F5" s="416">
        <f>All!F41</f>
        <v>109.3</v>
      </c>
      <c r="G5" s="416">
        <f>All!G41</f>
        <v>19.5</v>
      </c>
      <c r="H5" s="416">
        <f>All!H41</f>
        <v>71.3</v>
      </c>
      <c r="I5" s="416">
        <f>All!I41</f>
        <v>302.89999999999998</v>
      </c>
      <c r="J5" s="416">
        <f>All!J41</f>
        <v>573.29999999999995</v>
      </c>
      <c r="K5" s="416">
        <f>All!K41</f>
        <v>186.2</v>
      </c>
      <c r="L5" s="416">
        <f>All!L41</f>
        <v>83</v>
      </c>
      <c r="M5" s="416">
        <f>All!M41</f>
        <v>60.7</v>
      </c>
      <c r="N5" s="417">
        <f>All!N41</f>
        <v>60.2</v>
      </c>
      <c r="O5" s="429">
        <f>All!O41</f>
        <v>1545.8</v>
      </c>
      <c r="P5" s="417">
        <f>All!P41</f>
        <v>128.80000000000001</v>
      </c>
    </row>
    <row r="6" spans="2:16" ht="22.15" customHeight="1">
      <c r="B6" s="439">
        <f>All!B42</f>
        <v>2013</v>
      </c>
      <c r="C6" s="429">
        <f>All!C42</f>
        <v>45.4</v>
      </c>
      <c r="D6" s="416">
        <f>All!D42</f>
        <v>58.7</v>
      </c>
      <c r="E6" s="416">
        <f>All!E42</f>
        <v>50.3</v>
      </c>
      <c r="F6" s="416">
        <f>All!F42</f>
        <v>93.7</v>
      </c>
      <c r="G6" s="416">
        <f>All!G42</f>
        <v>159</v>
      </c>
      <c r="H6" s="416">
        <f>All!H42</f>
        <v>151.69999999999999</v>
      </c>
      <c r="I6" s="416">
        <f>All!I42</f>
        <v>240.4</v>
      </c>
      <c r="J6" s="416">
        <f>All!J42</f>
        <v>119.5</v>
      </c>
      <c r="K6" s="416">
        <f>All!K42</f>
        <v>184.8</v>
      </c>
      <c r="L6" s="416">
        <f>All!L42</f>
        <v>17.5</v>
      </c>
      <c r="M6" s="416">
        <f>All!M42</f>
        <v>79.400000000000006</v>
      </c>
      <c r="N6" s="417">
        <f>All!N42</f>
        <v>35.9</v>
      </c>
      <c r="O6" s="429">
        <f>All!O42</f>
        <v>1236.3</v>
      </c>
      <c r="P6" s="417">
        <f>All!P42</f>
        <v>103</v>
      </c>
    </row>
    <row r="7" spans="2:16" ht="22.15" customHeight="1">
      <c r="B7" s="439">
        <f>All!B43</f>
        <v>2014</v>
      </c>
      <c r="C7" s="429">
        <f>All!C43</f>
        <v>2.2000000000000002</v>
      </c>
      <c r="D7" s="416">
        <f>All!D43</f>
        <v>15.3</v>
      </c>
      <c r="E7" s="416">
        <f>All!E43</f>
        <v>69.3</v>
      </c>
      <c r="F7" s="416">
        <f>All!F43</f>
        <v>94.1</v>
      </c>
      <c r="G7" s="416">
        <f>All!G43</f>
        <v>61.5</v>
      </c>
      <c r="H7" s="416">
        <f>All!H43</f>
        <v>77.8</v>
      </c>
      <c r="I7" s="416">
        <f>All!I43</f>
        <v>174.7</v>
      </c>
      <c r="J7" s="416">
        <f>All!J43</f>
        <v>225.1</v>
      </c>
      <c r="K7" s="416">
        <f>All!K43</f>
        <v>157.5</v>
      </c>
      <c r="L7" s="416">
        <f>All!L43</f>
        <v>170.5</v>
      </c>
      <c r="M7" s="416">
        <f>All!M43</f>
        <v>42.4</v>
      </c>
      <c r="N7" s="417">
        <f>All!N43</f>
        <v>51.7</v>
      </c>
      <c r="O7" s="429">
        <f>All!O43</f>
        <v>1142.0999999999999</v>
      </c>
      <c r="P7" s="417">
        <f>All!P43</f>
        <v>95.2</v>
      </c>
    </row>
    <row r="8" spans="2:16" ht="22.15" customHeight="1">
      <c r="B8" s="439">
        <f>All!B44</f>
        <v>2015</v>
      </c>
      <c r="C8" s="429">
        <f>All!C44</f>
        <v>35.4</v>
      </c>
      <c r="D8" s="416">
        <f>All!D44</f>
        <v>35.6</v>
      </c>
      <c r="E8" s="416">
        <f>All!E44</f>
        <v>42.4</v>
      </c>
      <c r="F8" s="416">
        <f>All!F44</f>
        <v>99.5</v>
      </c>
      <c r="G8" s="416">
        <f>All!G44</f>
        <v>53.5</v>
      </c>
      <c r="H8" s="416">
        <f>All!H44</f>
        <v>92.7</v>
      </c>
      <c r="I8" s="416">
        <f>All!I44</f>
        <v>119.9</v>
      </c>
      <c r="J8" s="416">
        <f>All!J44</f>
        <v>56.9</v>
      </c>
      <c r="K8" s="416">
        <f>All!K44</f>
        <v>22</v>
      </c>
      <c r="L8" s="416">
        <f>All!L44</f>
        <v>104</v>
      </c>
      <c r="M8" s="416">
        <f>All!M44</f>
        <v>130</v>
      </c>
      <c r="N8" s="417">
        <f>All!N44</f>
        <v>56.9</v>
      </c>
      <c r="O8" s="429">
        <f>All!O44</f>
        <v>848.8</v>
      </c>
      <c r="P8" s="417">
        <f>All!P44</f>
        <v>70.7</v>
      </c>
    </row>
    <row r="9" spans="2:16" ht="22.15" customHeight="1">
      <c r="B9" s="440">
        <f>All!B45</f>
        <v>2016</v>
      </c>
      <c r="C9" s="429">
        <f>All!C45</f>
        <v>6.6</v>
      </c>
      <c r="D9" s="416">
        <f>All!D45</f>
        <v>59.6</v>
      </c>
      <c r="E9" s="416">
        <f>All!E45</f>
        <v>19</v>
      </c>
      <c r="F9" s="416">
        <f>All!F45</f>
        <v>164.6</v>
      </c>
      <c r="G9" s="416">
        <f>All!G45</f>
        <v>121.6</v>
      </c>
      <c r="H9" s="416">
        <f>All!H45</f>
        <v>49.4</v>
      </c>
      <c r="I9" s="416">
        <f>All!I45</f>
        <v>341.1</v>
      </c>
      <c r="J9" s="416">
        <f>All!J45</f>
        <v>33.4</v>
      </c>
      <c r="K9" s="416">
        <f>All!K45</f>
        <v>133.69999999999999</v>
      </c>
      <c r="L9" s="416">
        <f>All!L45</f>
        <v>120.1</v>
      </c>
      <c r="M9" s="416">
        <f>All!M45</f>
        <v>17.100000000000001</v>
      </c>
      <c r="N9" s="417">
        <f>All!N45</f>
        <v>63.1</v>
      </c>
      <c r="O9" s="430">
        <f>All!O45</f>
        <v>1129.3</v>
      </c>
      <c r="P9" s="417">
        <f>All!P45</f>
        <v>94.1</v>
      </c>
    </row>
    <row r="10" spans="2:16" ht="22.15" customHeight="1">
      <c r="B10" s="439">
        <f>All!B46</f>
        <v>2017</v>
      </c>
      <c r="C10" s="429">
        <f>All!C46</f>
        <v>16</v>
      </c>
      <c r="D10" s="416">
        <f>All!D46</f>
        <v>28.5</v>
      </c>
      <c r="E10" s="416">
        <f>All!E46</f>
        <v>8.8000000000000007</v>
      </c>
      <c r="F10" s="416">
        <f>All!F46</f>
        <v>78.400000000000006</v>
      </c>
      <c r="G10" s="416">
        <f>All!G46</f>
        <v>35.799999999999997</v>
      </c>
      <c r="H10" s="416">
        <f>All!H46</f>
        <v>51.4</v>
      </c>
      <c r="I10" s="416">
        <f>All!I46</f>
        <v>326.7</v>
      </c>
      <c r="J10" s="416">
        <f>All!J46</f>
        <v>358.5</v>
      </c>
      <c r="K10" s="416">
        <f>All!K46</f>
        <v>97.1</v>
      </c>
      <c r="L10" s="416">
        <f>All!L46</f>
        <v>51.9</v>
      </c>
      <c r="M10" s="416">
        <f>All!M46</f>
        <v>22.8</v>
      </c>
      <c r="N10" s="417">
        <f>All!N46</f>
        <v>36.1</v>
      </c>
      <c r="O10" s="429">
        <f>All!O46</f>
        <v>1112</v>
      </c>
      <c r="P10" s="417">
        <f>All!P46</f>
        <v>92.7</v>
      </c>
    </row>
    <row r="11" spans="2:16" ht="22.15" customHeight="1">
      <c r="B11" s="439">
        <f>All!B47</f>
        <v>2018</v>
      </c>
      <c r="C11" s="429">
        <f>All!C47</f>
        <v>25</v>
      </c>
      <c r="D11" s="416">
        <f>All!D47</f>
        <v>43.1</v>
      </c>
      <c r="E11" s="416">
        <f>All!E47</f>
        <v>99.3</v>
      </c>
      <c r="F11" s="416">
        <f>All!F47</f>
        <v>156.5</v>
      </c>
      <c r="G11" s="416">
        <f>All!G47</f>
        <v>116.1</v>
      </c>
      <c r="H11" s="416">
        <f>All!H47</f>
        <v>107.1</v>
      </c>
      <c r="I11" s="416">
        <f>All!I47</f>
        <v>278.8</v>
      </c>
      <c r="J11" s="416">
        <f>All!J47</f>
        <v>277</v>
      </c>
      <c r="K11" s="416">
        <f>All!K47</f>
        <v>98.3</v>
      </c>
      <c r="L11" s="416">
        <f>All!L47</f>
        <v>159.19999999999999</v>
      </c>
      <c r="M11" s="416">
        <f>All!M47</f>
        <v>66</v>
      </c>
      <c r="N11" s="417">
        <f>All!N47</f>
        <v>31.5</v>
      </c>
      <c r="O11" s="429">
        <f>All!O47</f>
        <v>1457.9</v>
      </c>
      <c r="P11" s="417">
        <f>All!P47</f>
        <v>121.5</v>
      </c>
    </row>
    <row r="12" spans="2:16" ht="22.15" customHeight="1">
      <c r="B12" s="440">
        <f>All!B48</f>
        <v>2019</v>
      </c>
      <c r="C12" s="429">
        <f>All!C48</f>
        <v>0.5</v>
      </c>
      <c r="D12" s="416">
        <f>All!D48</f>
        <v>37.6</v>
      </c>
      <c r="E12" s="416">
        <f>All!E48</f>
        <v>35</v>
      </c>
      <c r="F12" s="416">
        <f>All!F48</f>
        <v>73.7</v>
      </c>
      <c r="G12" s="416">
        <f>All!G48</f>
        <v>44.3</v>
      </c>
      <c r="H12" s="416">
        <f>All!H48</f>
        <v>59.9</v>
      </c>
      <c r="I12" s="416">
        <f>All!I48</f>
        <v>216.7</v>
      </c>
      <c r="J12" s="416">
        <f>All!J48</f>
        <v>102.1</v>
      </c>
      <c r="K12" s="416">
        <f>All!K48</f>
        <v>191.9</v>
      </c>
      <c r="L12" s="416">
        <f>All!L48</f>
        <v>85.6</v>
      </c>
      <c r="M12" s="416">
        <f>All!M48</f>
        <v>113.5</v>
      </c>
      <c r="N12" s="417">
        <f>All!N48</f>
        <v>31.2</v>
      </c>
      <c r="O12" s="430">
        <f>All!O48</f>
        <v>992</v>
      </c>
      <c r="P12" s="417">
        <f>All!P48</f>
        <v>82.7</v>
      </c>
    </row>
    <row r="13" spans="2:16" ht="22.15" customHeight="1">
      <c r="B13" s="439">
        <f>All!B49</f>
        <v>2020</v>
      </c>
      <c r="C13" s="429">
        <f>All!C49</f>
        <v>79.599999999999994</v>
      </c>
      <c r="D13" s="416">
        <f>All!D49</f>
        <v>92.4</v>
      </c>
      <c r="E13" s="416">
        <f>All!E49</f>
        <v>19.3</v>
      </c>
      <c r="F13" s="416">
        <f>All!F49</f>
        <v>17.7</v>
      </c>
      <c r="G13" s="416">
        <f>All!G49</f>
        <v>108.5</v>
      </c>
      <c r="H13" s="416">
        <f>All!H49</f>
        <v>188.4</v>
      </c>
      <c r="I13" s="416">
        <f>All!I49</f>
        <v>492.6</v>
      </c>
      <c r="J13" s="416">
        <f>All!J49</f>
        <v>367.8</v>
      </c>
      <c r="K13" s="416">
        <f>All!K49</f>
        <v>208.9</v>
      </c>
      <c r="L13" s="416">
        <f>All!L49</f>
        <v>4.4000000000000004</v>
      </c>
      <c r="M13" s="416">
        <f>All!M49</f>
        <v>41.8</v>
      </c>
      <c r="N13" s="417">
        <f>All!N49</f>
        <v>3.4</v>
      </c>
      <c r="O13" s="429">
        <f>All!O49</f>
        <v>1624.8</v>
      </c>
      <c r="P13" s="417">
        <f>All!P49</f>
        <v>135.4</v>
      </c>
    </row>
    <row r="14" spans="2:16" ht="22.15" customHeight="1" thickBot="1">
      <c r="B14" s="441">
        <f>All!B50</f>
        <v>2021</v>
      </c>
      <c r="C14" s="431">
        <f>All!C50</f>
        <v>32.1</v>
      </c>
      <c r="D14" s="418">
        <f>All!D50</f>
        <v>18.100000000000001</v>
      </c>
      <c r="E14" s="418">
        <f>All!E50</f>
        <v>95.7</v>
      </c>
      <c r="F14" s="418">
        <f>All!F50</f>
        <v>42.3</v>
      </c>
      <c r="G14" s="418">
        <f>All!G50</f>
        <v>136.9</v>
      </c>
      <c r="H14" s="418">
        <f>All!H50</f>
        <v>76.900000000000006</v>
      </c>
      <c r="I14" s="418">
        <f>All!I50</f>
        <v>187.7</v>
      </c>
      <c r="J14" s="418">
        <f>All!J50</f>
        <v>227.6</v>
      </c>
      <c r="K14" s="418">
        <f>All!K50</f>
        <v>187.1</v>
      </c>
      <c r="L14" s="418">
        <f>All!L50</f>
        <v>36.9</v>
      </c>
      <c r="M14" s="418">
        <f>All!M50</f>
        <v>73.400000000000006</v>
      </c>
      <c r="N14" s="419">
        <f>All!N50</f>
        <v>8.6999999999999993</v>
      </c>
      <c r="O14" s="431">
        <f>All!O50</f>
        <v>1123.4000000000001</v>
      </c>
      <c r="P14" s="419">
        <f>All!P50</f>
        <v>93.6</v>
      </c>
    </row>
    <row r="15" spans="2:16" ht="22.15" customHeight="1">
      <c r="B15" s="442" t="s">
        <v>21</v>
      </c>
      <c r="C15" s="436">
        <f>All!C51</f>
        <v>79.599999999999994</v>
      </c>
      <c r="D15" s="420">
        <f>All!D51</f>
        <v>92.4</v>
      </c>
      <c r="E15" s="420">
        <f>All!E51</f>
        <v>99.3</v>
      </c>
      <c r="F15" s="420">
        <f>All!F51</f>
        <v>164.6</v>
      </c>
      <c r="G15" s="420">
        <f>All!G51</f>
        <v>159</v>
      </c>
      <c r="H15" s="420">
        <f>All!H51</f>
        <v>188.4</v>
      </c>
      <c r="I15" s="420">
        <f>All!I51</f>
        <v>492.6</v>
      </c>
      <c r="J15" s="420">
        <f>All!J51</f>
        <v>573.29999999999995</v>
      </c>
      <c r="K15" s="420">
        <f>All!K51</f>
        <v>208.9</v>
      </c>
      <c r="L15" s="420">
        <f>All!L51</f>
        <v>170.5</v>
      </c>
      <c r="M15" s="420">
        <f>All!M51</f>
        <v>130</v>
      </c>
      <c r="N15" s="421">
        <f>All!N51</f>
        <v>63.1</v>
      </c>
      <c r="O15" s="432">
        <f>All!O51</f>
        <v>1624.8</v>
      </c>
      <c r="P15" s="421">
        <f>All!P51</f>
        <v>135.4</v>
      </c>
    </row>
    <row r="16" spans="2:16" ht="22.15" customHeight="1">
      <c r="B16" s="439" t="s">
        <v>22</v>
      </c>
      <c r="C16" s="429">
        <f>All!C52</f>
        <v>0.5</v>
      </c>
      <c r="D16" s="416">
        <f>All!D52</f>
        <v>3.2</v>
      </c>
      <c r="E16" s="416">
        <f>All!E52</f>
        <v>8.8000000000000007</v>
      </c>
      <c r="F16" s="416">
        <f>All!F52</f>
        <v>17.7</v>
      </c>
      <c r="G16" s="416">
        <f>All!G52</f>
        <v>19.5</v>
      </c>
      <c r="H16" s="416">
        <f>All!H52</f>
        <v>49.4</v>
      </c>
      <c r="I16" s="416">
        <f>All!I52</f>
        <v>119.9</v>
      </c>
      <c r="J16" s="416">
        <f>All!J52</f>
        <v>33.4</v>
      </c>
      <c r="K16" s="416">
        <f>All!K52</f>
        <v>22</v>
      </c>
      <c r="L16" s="416">
        <f>All!L52</f>
        <v>4.4000000000000004</v>
      </c>
      <c r="M16" s="416">
        <f>All!M52</f>
        <v>17.100000000000001</v>
      </c>
      <c r="N16" s="417">
        <f>All!N52</f>
        <v>3.4</v>
      </c>
      <c r="O16" s="433">
        <f>All!O52</f>
        <v>848.8</v>
      </c>
      <c r="P16" s="417">
        <f>All!P52</f>
        <v>70.7</v>
      </c>
    </row>
    <row r="17" spans="1:16" ht="22.15" customHeight="1" thickBot="1">
      <c r="B17" s="441" t="s">
        <v>20</v>
      </c>
      <c r="C17" s="431">
        <f>All!C53</f>
        <v>25.9</v>
      </c>
      <c r="D17" s="418">
        <f>All!D53</f>
        <v>39.200000000000003</v>
      </c>
      <c r="E17" s="425">
        <f>All!E53</f>
        <v>49.9</v>
      </c>
      <c r="F17" s="418">
        <f>All!F53</f>
        <v>93</v>
      </c>
      <c r="G17" s="426">
        <f>All!G53</f>
        <v>85.7</v>
      </c>
      <c r="H17" s="426">
        <f>All!H53</f>
        <v>92.7</v>
      </c>
      <c r="I17" s="426">
        <f>All!I53</f>
        <v>268.2</v>
      </c>
      <c r="J17" s="426">
        <f>All!J53</f>
        <v>234.1</v>
      </c>
      <c r="K17" s="426">
        <f>All!K53</f>
        <v>146.80000000000001</v>
      </c>
      <c r="L17" s="418">
        <f>All!L53</f>
        <v>83.3</v>
      </c>
      <c r="M17" s="418">
        <f>All!M53</f>
        <v>64.7</v>
      </c>
      <c r="N17" s="419">
        <f>All!N53</f>
        <v>37.9</v>
      </c>
      <c r="O17" s="434">
        <f>All!O53</f>
        <v>1221.2</v>
      </c>
      <c r="P17" s="427">
        <f>All!P53</f>
        <v>101.8</v>
      </c>
    </row>
    <row r="18" spans="1:16" ht="29.25" customHeight="1" thickBot="1">
      <c r="B18" s="92" t="s">
        <v>23</v>
      </c>
      <c r="C18" s="437">
        <f>All!C37</f>
        <v>25.6</v>
      </c>
      <c r="D18" s="422">
        <f>All!D37</f>
        <v>36.700000000000003</v>
      </c>
      <c r="E18" s="422">
        <f>All!E37</f>
        <v>50.9</v>
      </c>
      <c r="F18" s="422">
        <f>All!F37</f>
        <v>84</v>
      </c>
      <c r="G18" s="422">
        <f>All!G37</f>
        <v>98.8</v>
      </c>
      <c r="H18" s="422">
        <f>All!H37</f>
        <v>154.9</v>
      </c>
      <c r="I18" s="423">
        <f>All!I37</f>
        <v>293.10000000000002</v>
      </c>
      <c r="J18" s="423">
        <f>All!J37</f>
        <v>288.2</v>
      </c>
      <c r="K18" s="423">
        <f>All!K37</f>
        <v>145.1</v>
      </c>
      <c r="L18" s="423">
        <f>All!L37</f>
        <v>64.2</v>
      </c>
      <c r="M18" s="423">
        <f>All!M37</f>
        <v>53.2</v>
      </c>
      <c r="N18" s="424">
        <f>All!N37</f>
        <v>30.1</v>
      </c>
      <c r="O18" s="435">
        <f>All!O37</f>
        <v>1324.9</v>
      </c>
      <c r="P18" s="424">
        <f>All!P37</f>
        <v>110.4</v>
      </c>
    </row>
    <row r="19" spans="1:16" ht="22.15" customHeight="1" thickBot="1"/>
    <row r="20" spans="1:16">
      <c r="B20" s="443" t="s">
        <v>24</v>
      </c>
      <c r="C20" s="127"/>
      <c r="D20" s="130">
        <f>SUM(G17:K17)</f>
        <v>827.5</v>
      </c>
      <c r="F20" s="93"/>
    </row>
    <row r="21" spans="1:16">
      <c r="B21" s="444" t="s">
        <v>166</v>
      </c>
      <c r="D21" s="131">
        <f>O17</f>
        <v>1221.2</v>
      </c>
    </row>
    <row r="22" spans="1:16" ht="17.25" thickBot="1">
      <c r="B22" s="128"/>
      <c r="C22" s="129"/>
      <c r="D22" s="132">
        <f>D20/D21</f>
        <v>0.6776121847363249</v>
      </c>
    </row>
    <row r="23" spans="1:16" ht="33.75" customHeight="1" thickBot="1">
      <c r="C23" s="408" t="s">
        <v>187</v>
      </c>
      <c r="D23" s="408" t="s">
        <v>188</v>
      </c>
      <c r="E23" s="408" t="s">
        <v>189</v>
      </c>
    </row>
    <row r="24" spans="1:16" ht="21.95" customHeight="1" thickBot="1">
      <c r="B24" s="409" t="s">
        <v>94</v>
      </c>
      <c r="C24" s="488">
        <f>O16</f>
        <v>848.8</v>
      </c>
      <c r="D24" s="489"/>
      <c r="E24" s="490"/>
      <c r="H24" s="446" t="s">
        <v>184</v>
      </c>
      <c r="I24" s="507" t="s">
        <v>367</v>
      </c>
      <c r="J24" s="508"/>
      <c r="K24" s="350">
        <f>INDEX(Location[recharge], MATCH(I24,Location[name],0))</f>
        <v>0.16300000000000001</v>
      </c>
      <c r="L24" s="351">
        <f>INDEX(Location[ratio], MATCH(I24,Location[name],0))</f>
        <v>0.67</v>
      </c>
    </row>
    <row r="25" spans="1:16" ht="21.95" customHeight="1" thickBot="1">
      <c r="B25" s="410" t="s">
        <v>25</v>
      </c>
      <c r="C25" s="491">
        <f>O18</f>
        <v>1324.9</v>
      </c>
      <c r="D25" s="492"/>
      <c r="E25" s="493"/>
      <c r="H25" s="446" t="s">
        <v>185</v>
      </c>
      <c r="I25" s="509" t="s">
        <v>194</v>
      </c>
      <c r="J25" s="510"/>
      <c r="K25" s="504">
        <f>INDEX(Location[recharge], MATCH(I25,Location[name],0))</f>
        <v>0.16600000000000001</v>
      </c>
      <c r="L25" s="505">
        <f>INDEX(Location[ratio], MATCH(I25,Location[name],0))</f>
        <v>0.64</v>
      </c>
    </row>
    <row r="26" spans="1:16" ht="21.95" customHeight="1" thickBot="1">
      <c r="B26" s="411" t="s">
        <v>165</v>
      </c>
      <c r="C26" s="494">
        <f>L24</f>
        <v>0.67</v>
      </c>
      <c r="D26" s="495">
        <f>L25</f>
        <v>0.64</v>
      </c>
      <c r="E26" s="496">
        <f>L26</f>
        <v>0.65</v>
      </c>
      <c r="H26" s="446" t="s">
        <v>186</v>
      </c>
      <c r="I26" s="511" t="s">
        <v>258</v>
      </c>
      <c r="J26" s="512"/>
      <c r="K26" s="502">
        <f>INDEX(Location[recharge], MATCH(I26,Location[name],0))</f>
        <v>0.127</v>
      </c>
      <c r="L26" s="503">
        <f>INDEX(Location[ratio], MATCH(I26,Location[name],0))</f>
        <v>0.65</v>
      </c>
    </row>
    <row r="27" spans="1:16" ht="21.95" customHeight="1">
      <c r="B27" s="410" t="s">
        <v>26</v>
      </c>
      <c r="C27" s="497">
        <f>Well!P4</f>
        <v>1202219</v>
      </c>
      <c r="D27" s="492"/>
      <c r="E27" s="498"/>
    </row>
    <row r="28" spans="1:16" ht="21.95" customHeight="1" thickBot="1">
      <c r="B28" s="412" t="s">
        <v>27</v>
      </c>
      <c r="C28" s="499">
        <f>K24</f>
        <v>0.16300000000000001</v>
      </c>
      <c r="D28" s="500">
        <f>K25</f>
        <v>0.16600000000000001</v>
      </c>
      <c r="E28" s="501">
        <f>K26</f>
        <v>0.127</v>
      </c>
    </row>
    <row r="29" spans="1:16" ht="17.25" thickBot="1">
      <c r="E29" s="94"/>
    </row>
    <row r="30" spans="1:16" ht="22.15" customHeight="1" thickBot="1">
      <c r="B30" s="413" t="s">
        <v>167</v>
      </c>
      <c r="C30" s="125">
        <f>max*rf_1/10</f>
        <v>21.595870000000001</v>
      </c>
      <c r="D30" s="125">
        <f>max*rf_2/10</f>
        <v>21.993340000000003</v>
      </c>
      <c r="E30" s="126">
        <f>max*rf_3/10</f>
        <v>16.826230000000002</v>
      </c>
    </row>
    <row r="31" spans="1:16" ht="22.15" customHeight="1">
      <c r="E31" s="94"/>
    </row>
    <row r="32" spans="1:16" ht="17.25" customHeight="1">
      <c r="A32" s="445" t="s">
        <v>168</v>
      </c>
      <c r="B32" s="349"/>
      <c r="C32" s="349"/>
      <c r="D32" s="349"/>
    </row>
    <row r="33" spans="1:6" ht="17.25" customHeight="1">
      <c r="A33" s="445" t="s">
        <v>169</v>
      </c>
    </row>
    <row r="34" spans="1:6" ht="17.25" customHeight="1">
      <c r="C34" s="349"/>
      <c r="D34" s="349"/>
    </row>
    <row r="35" spans="1:6" ht="17.25" customHeight="1"/>
    <row r="6836" spans="2430:2430">
      <c r="COL6836" s="352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6" customWidth="1"/>
    <col min="2" max="2" width="14.5546875" style="31" customWidth="1"/>
    <col min="3" max="3" width="4.77734375" style="36" customWidth="1"/>
    <col min="4" max="4" width="31.5546875" style="36" customWidth="1"/>
    <col min="5" max="5" width="8.88671875" style="37"/>
    <col min="6" max="6" width="8.88671875" style="36"/>
    <col min="7" max="7" width="36" style="36" customWidth="1"/>
    <col min="8" max="16384" width="8.88671875" style="36"/>
  </cols>
  <sheetData>
    <row r="2" spans="1:11" s="45" customFormat="1">
      <c r="A2" s="45" t="s">
        <v>150</v>
      </c>
      <c r="B2" s="46" t="s">
        <v>146</v>
      </c>
      <c r="D2" s="45" t="s">
        <v>149</v>
      </c>
      <c r="E2" s="47" t="s">
        <v>147</v>
      </c>
      <c r="G2" s="45" t="s">
        <v>148</v>
      </c>
    </row>
    <row r="3" spans="1:11">
      <c r="A3" s="36" t="s">
        <v>122</v>
      </c>
      <c r="I3"/>
      <c r="J3"/>
      <c r="K3"/>
    </row>
    <row r="4" spans="1:11" s="41" customFormat="1">
      <c r="A4" s="40" t="s">
        <v>133</v>
      </c>
      <c r="B4" s="48">
        <v>2</v>
      </c>
      <c r="D4" s="40" t="s">
        <v>135</v>
      </c>
      <c r="E4" s="52">
        <v>10</v>
      </c>
      <c r="G4" s="40" t="s">
        <v>151</v>
      </c>
      <c r="H4" s="56">
        <v>1</v>
      </c>
      <c r="I4"/>
      <c r="J4"/>
      <c r="K4"/>
    </row>
    <row r="5" spans="1:11">
      <c r="A5" s="38" t="s">
        <v>124</v>
      </c>
      <c r="B5" s="49">
        <v>3</v>
      </c>
      <c r="D5" s="38" t="s">
        <v>136</v>
      </c>
      <c r="E5" s="53">
        <v>10</v>
      </c>
      <c r="G5" s="38" t="s">
        <v>152</v>
      </c>
      <c r="H5" s="57">
        <v>3</v>
      </c>
      <c r="I5"/>
      <c r="J5"/>
      <c r="K5"/>
    </row>
    <row r="6" spans="1:11" s="41" customFormat="1">
      <c r="A6" s="42" t="s">
        <v>125</v>
      </c>
      <c r="B6" s="50">
        <v>4</v>
      </c>
      <c r="D6" s="42" t="s">
        <v>137</v>
      </c>
      <c r="E6" s="54">
        <v>9</v>
      </c>
      <c r="G6" s="42" t="s">
        <v>123</v>
      </c>
      <c r="H6" s="58">
        <v>3</v>
      </c>
      <c r="I6"/>
      <c r="J6"/>
      <c r="K6"/>
    </row>
    <row r="7" spans="1:11">
      <c r="A7" s="38" t="s">
        <v>126</v>
      </c>
      <c r="B7" s="49">
        <v>5</v>
      </c>
      <c r="D7" s="38" t="s">
        <v>138</v>
      </c>
      <c r="E7" s="53">
        <v>8</v>
      </c>
      <c r="G7" s="38" t="s">
        <v>128</v>
      </c>
      <c r="H7" s="57">
        <v>6</v>
      </c>
    </row>
    <row r="8" spans="1:11" s="41" customFormat="1">
      <c r="A8" s="42" t="s">
        <v>127</v>
      </c>
      <c r="B8" s="50">
        <v>6</v>
      </c>
      <c r="D8" s="42" t="s">
        <v>139</v>
      </c>
      <c r="E8" s="54">
        <v>7</v>
      </c>
      <c r="G8" s="42" t="s">
        <v>153</v>
      </c>
      <c r="H8" s="58">
        <v>6</v>
      </c>
    </row>
    <row r="9" spans="1:11">
      <c r="A9" s="38" t="s">
        <v>134</v>
      </c>
      <c r="B9" s="49">
        <v>6</v>
      </c>
      <c r="D9" s="38" t="s">
        <v>140</v>
      </c>
      <c r="E9" s="53">
        <v>6</v>
      </c>
      <c r="G9" s="38" t="s">
        <v>154</v>
      </c>
      <c r="H9" s="57">
        <v>6</v>
      </c>
    </row>
    <row r="10" spans="1:11" s="41" customFormat="1">
      <c r="A10" s="42" t="s">
        <v>132</v>
      </c>
      <c r="B10" s="50">
        <v>6</v>
      </c>
      <c r="D10" s="42" t="s">
        <v>141</v>
      </c>
      <c r="E10" s="54">
        <v>5</v>
      </c>
      <c r="G10" s="42" t="s">
        <v>155</v>
      </c>
      <c r="H10" s="58">
        <v>6</v>
      </c>
    </row>
    <row r="11" spans="1:11">
      <c r="A11" s="38" t="s">
        <v>129</v>
      </c>
      <c r="B11" s="49">
        <v>8</v>
      </c>
      <c r="D11" s="38" t="s">
        <v>142</v>
      </c>
      <c r="E11" s="53">
        <v>4</v>
      </c>
      <c r="G11" s="38" t="s">
        <v>124</v>
      </c>
      <c r="H11" s="57">
        <v>4</v>
      </c>
    </row>
    <row r="12" spans="1:11" s="41" customFormat="1">
      <c r="A12" s="42" t="s">
        <v>130</v>
      </c>
      <c r="B12" s="50">
        <v>9</v>
      </c>
      <c r="D12" s="42" t="s">
        <v>143</v>
      </c>
      <c r="E12" s="54">
        <v>3</v>
      </c>
      <c r="G12" s="42" t="s">
        <v>129</v>
      </c>
      <c r="H12" s="58">
        <v>8</v>
      </c>
    </row>
    <row r="13" spans="1:11">
      <c r="A13" s="39" t="s">
        <v>131</v>
      </c>
      <c r="B13" s="51">
        <v>10</v>
      </c>
      <c r="D13" s="38" t="s">
        <v>144</v>
      </c>
      <c r="E13" s="53">
        <v>2</v>
      </c>
      <c r="G13" s="38" t="s">
        <v>130</v>
      </c>
      <c r="H13" s="57">
        <v>9</v>
      </c>
    </row>
    <row r="14" spans="1:11" s="41" customFormat="1">
      <c r="B14" s="43"/>
      <c r="D14" s="44" t="s">
        <v>145</v>
      </c>
      <c r="E14" s="55">
        <v>1</v>
      </c>
      <c r="G14" s="44" t="s">
        <v>131</v>
      </c>
      <c r="H14" s="59">
        <v>10</v>
      </c>
    </row>
    <row r="16" spans="1:11">
      <c r="A16" s="334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8" customWidth="1"/>
    <col min="2" max="2" width="11.5546875" style="198" customWidth="1"/>
    <col min="3" max="3" width="13" style="198" customWidth="1"/>
    <col min="4" max="16384" width="8.88671875" style="203"/>
  </cols>
  <sheetData>
    <row r="1" spans="1:12" ht="18" customHeight="1">
      <c r="A1" s="198" t="s">
        <v>199</v>
      </c>
      <c r="B1" s="198" t="s">
        <v>200</v>
      </c>
      <c r="C1" s="198" t="s">
        <v>201</v>
      </c>
    </row>
    <row r="2" spans="1:12" ht="18" customHeight="1">
      <c r="A2" s="198" t="s">
        <v>198</v>
      </c>
      <c r="B2" s="202">
        <v>0.13600000000000001</v>
      </c>
      <c r="C2" s="202">
        <v>0.66</v>
      </c>
    </row>
    <row r="3" spans="1:12" ht="18" customHeight="1">
      <c r="A3" s="198" t="s">
        <v>190</v>
      </c>
      <c r="B3" s="202">
        <v>0.151</v>
      </c>
      <c r="C3" s="202">
        <v>0.65</v>
      </c>
    </row>
    <row r="4" spans="1:12" ht="18" customHeight="1">
      <c r="A4" s="198" t="s">
        <v>180</v>
      </c>
      <c r="B4" s="202">
        <v>0.16700000000000001</v>
      </c>
      <c r="C4" s="202">
        <v>0.65</v>
      </c>
      <c r="J4" s="203" t="s">
        <v>192</v>
      </c>
      <c r="K4" s="203">
        <f>INDEX(Location[recharge],MATCH(J4,Location[name],0))</f>
        <v>0.16600000000000001</v>
      </c>
      <c r="L4" s="203">
        <f>INDEX(Location[ratio], MATCH(J4,Location[name]))</f>
        <v>0.65</v>
      </c>
    </row>
    <row r="5" spans="1:12" ht="18" customHeight="1">
      <c r="A5" s="198" t="s">
        <v>181</v>
      </c>
      <c r="B5" s="202">
        <v>0.17299999999999999</v>
      </c>
      <c r="C5" s="202">
        <v>0.66849999999999998</v>
      </c>
    </row>
    <row r="6" spans="1:12" ht="18" customHeight="1">
      <c r="A6" s="198" t="s">
        <v>191</v>
      </c>
      <c r="B6" s="202">
        <v>0.16300000000000001</v>
      </c>
      <c r="C6" s="202">
        <v>0.67</v>
      </c>
    </row>
    <row r="7" spans="1:12" ht="18" customHeight="1">
      <c r="A7" s="198" t="s">
        <v>193</v>
      </c>
      <c r="B7" s="202">
        <v>0.16600000000000001</v>
      </c>
      <c r="C7" s="202">
        <v>0.64</v>
      </c>
      <c r="E7" s="203" t="s">
        <v>202</v>
      </c>
    </row>
    <row r="8" spans="1:12" ht="18" customHeight="1">
      <c r="A8" s="198" t="s">
        <v>194</v>
      </c>
      <c r="B8" s="202">
        <v>0.16600000000000001</v>
      </c>
      <c r="C8" s="202">
        <v>0.64</v>
      </c>
    </row>
    <row r="9" spans="1:12" ht="18" customHeight="1">
      <c r="A9" s="198" t="s">
        <v>182</v>
      </c>
      <c r="B9" s="202">
        <v>0.125</v>
      </c>
      <c r="C9" s="202">
        <v>0.67</v>
      </c>
    </row>
    <row r="10" spans="1:12" ht="18" customHeight="1">
      <c r="A10" s="198" t="s">
        <v>195</v>
      </c>
      <c r="B10" s="202">
        <v>0.127</v>
      </c>
      <c r="C10" s="202">
        <v>0.65</v>
      </c>
    </row>
    <row r="11" spans="1:12" ht="18" customHeight="1">
      <c r="A11" s="198" t="s">
        <v>196</v>
      </c>
      <c r="B11" s="202">
        <v>0.128</v>
      </c>
      <c r="C11" s="202">
        <v>0.64</v>
      </c>
    </row>
    <row r="12" spans="1:12" ht="18" customHeight="1">
      <c r="A12" s="198" t="s">
        <v>197</v>
      </c>
      <c r="B12" s="202">
        <v>0.17499999999999999</v>
      </c>
      <c r="C12" s="202">
        <v>0.67</v>
      </c>
    </row>
    <row r="13" spans="1:12" ht="18" customHeight="1">
      <c r="A13" s="198" t="s">
        <v>210</v>
      </c>
      <c r="B13" s="202">
        <v>0.13</v>
      </c>
      <c r="C13" s="202">
        <v>0.63</v>
      </c>
    </row>
    <row r="14" spans="1:12" ht="18" customHeight="1">
      <c r="A14" s="198" t="s">
        <v>211</v>
      </c>
      <c r="B14" s="202">
        <v>0.13400000000000001</v>
      </c>
      <c r="C14" s="202">
        <v>0.65</v>
      </c>
    </row>
    <row r="15" spans="1:12" ht="18" customHeight="1">
      <c r="A15" s="198" t="s">
        <v>212</v>
      </c>
      <c r="B15" s="202">
        <v>0.16500000000000001</v>
      </c>
      <c r="C15" s="202">
        <v>0.62</v>
      </c>
    </row>
    <row r="16" spans="1:12" ht="18" customHeight="1">
      <c r="A16" s="198" t="s">
        <v>259</v>
      </c>
      <c r="B16" s="202">
        <v>0.16300000000000001</v>
      </c>
      <c r="C16" s="202">
        <v>0.223</v>
      </c>
    </row>
    <row r="17" spans="1:3" ht="18" customHeight="1">
      <c r="A17" s="198" t="s">
        <v>363</v>
      </c>
      <c r="B17" s="202">
        <v>0.114</v>
      </c>
      <c r="C17" s="202">
        <v>0.68</v>
      </c>
    </row>
    <row r="18" spans="1:3" ht="18" customHeight="1">
      <c r="B18" s="202"/>
      <c r="C18" s="202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06" t="s">
        <v>315</v>
      </c>
    </row>
    <row r="4" spans="3:11" ht="40.5" customHeight="1">
      <c r="C4" s="311" t="s">
        <v>308</v>
      </c>
      <c r="D4" s="312" t="s">
        <v>280</v>
      </c>
      <c r="E4" s="312" t="s">
        <v>309</v>
      </c>
      <c r="F4" s="313" t="s">
        <v>314</v>
      </c>
      <c r="G4" s="312" t="s">
        <v>300</v>
      </c>
      <c r="H4" s="312" t="s">
        <v>310</v>
      </c>
      <c r="I4" s="312" t="s">
        <v>311</v>
      </c>
      <c r="J4" s="312" t="s">
        <v>312</v>
      </c>
      <c r="K4" s="314" t="s">
        <v>313</v>
      </c>
    </row>
    <row r="5" spans="3:11" ht="97.5" customHeight="1">
      <c r="C5" s="227" t="s">
        <v>229</v>
      </c>
      <c r="D5" s="310" t="s">
        <v>316</v>
      </c>
      <c r="E5" s="310" t="s">
        <v>317</v>
      </c>
      <c r="F5" s="310" t="s">
        <v>318</v>
      </c>
      <c r="G5" s="310" t="s">
        <v>375</v>
      </c>
      <c r="H5" s="310" t="s">
        <v>376</v>
      </c>
      <c r="I5" s="310" t="s">
        <v>377</v>
      </c>
      <c r="J5" s="310" t="s">
        <v>378</v>
      </c>
      <c r="K5" s="315" t="s">
        <v>379</v>
      </c>
    </row>
    <row r="6" spans="3:11" ht="97.5" customHeight="1">
      <c r="C6" s="227" t="s">
        <v>230</v>
      </c>
      <c r="D6" s="310"/>
      <c r="E6" s="310"/>
      <c r="F6" s="310"/>
      <c r="G6" s="310"/>
      <c r="H6" s="310"/>
      <c r="I6" s="310"/>
      <c r="J6" s="310"/>
      <c r="K6" s="315"/>
    </row>
    <row r="7" spans="3:11" ht="97.5" customHeight="1">
      <c r="C7" s="227" t="s">
        <v>231</v>
      </c>
      <c r="D7" s="310"/>
      <c r="E7" s="310"/>
      <c r="F7" s="310"/>
      <c r="G7" s="310"/>
      <c r="H7" s="310"/>
      <c r="I7" s="310"/>
      <c r="J7" s="310"/>
      <c r="K7" s="315"/>
    </row>
    <row r="8" spans="3:11" ht="97.5" customHeight="1">
      <c r="C8" s="227" t="s">
        <v>360</v>
      </c>
      <c r="D8" s="310"/>
      <c r="E8" s="310"/>
      <c r="F8" s="310"/>
      <c r="G8" s="310"/>
      <c r="H8" s="310"/>
      <c r="I8" s="310"/>
      <c r="J8" s="310"/>
      <c r="K8" s="315"/>
    </row>
    <row r="9" spans="3:11" ht="97.5" customHeight="1">
      <c r="C9" s="227" t="s">
        <v>361</v>
      </c>
      <c r="D9" s="310"/>
      <c r="E9" s="310"/>
      <c r="F9" s="310"/>
      <c r="G9" s="310"/>
      <c r="H9" s="310"/>
      <c r="I9" s="310"/>
      <c r="J9" s="310"/>
      <c r="K9" s="315"/>
    </row>
    <row r="10" spans="3:11" ht="97.5" customHeight="1">
      <c r="C10" s="227" t="s">
        <v>362</v>
      </c>
      <c r="D10" s="310"/>
      <c r="E10" s="310"/>
      <c r="F10" s="310"/>
      <c r="G10" s="310"/>
      <c r="H10" s="310"/>
      <c r="I10" s="310"/>
      <c r="J10" s="310"/>
      <c r="K10" s="315"/>
    </row>
    <row r="11" spans="3:11" ht="97.5" customHeight="1">
      <c r="C11" s="227">
        <v>7</v>
      </c>
      <c r="D11" s="283"/>
      <c r="E11" s="283"/>
      <c r="F11" s="283"/>
      <c r="G11" s="283"/>
      <c r="H11" s="283"/>
      <c r="I11" s="283"/>
      <c r="J11" s="283"/>
      <c r="K11" s="308"/>
    </row>
    <row r="12" spans="3:11" ht="97.5" customHeight="1">
      <c r="C12" s="227">
        <v>8</v>
      </c>
      <c r="D12" s="283"/>
      <c r="E12" s="283"/>
      <c r="F12" s="283"/>
      <c r="G12" s="283"/>
      <c r="H12" s="283"/>
      <c r="I12" s="283"/>
      <c r="J12" s="283"/>
      <c r="K12" s="308"/>
    </row>
    <row r="13" spans="3:11" ht="97.5" customHeight="1">
      <c r="C13" s="227">
        <v>9</v>
      </c>
      <c r="D13" s="283"/>
      <c r="E13" s="283"/>
      <c r="F13" s="283"/>
      <c r="G13" s="283"/>
      <c r="H13" s="283"/>
      <c r="I13" s="283"/>
      <c r="J13" s="283"/>
      <c r="K13" s="308"/>
    </row>
    <row r="14" spans="3:11" ht="97.5" customHeight="1">
      <c r="C14" s="227">
        <v>10</v>
      </c>
      <c r="D14" s="283"/>
      <c r="E14" s="283"/>
      <c r="F14" s="283"/>
      <c r="G14" s="283"/>
      <c r="H14" s="283"/>
      <c r="I14" s="283"/>
      <c r="J14" s="283"/>
      <c r="K14" s="308"/>
    </row>
    <row r="15" spans="3:11" ht="97.5" customHeight="1">
      <c r="C15" s="227">
        <v>11</v>
      </c>
      <c r="D15" s="283"/>
      <c r="E15" s="283"/>
      <c r="F15" s="283"/>
      <c r="G15" s="283"/>
      <c r="H15" s="283"/>
      <c r="I15" s="283"/>
      <c r="J15" s="283"/>
      <c r="K15" s="308"/>
    </row>
    <row r="16" spans="3:11" ht="97.5" customHeight="1">
      <c r="C16" s="227">
        <v>12</v>
      </c>
      <c r="D16" s="283"/>
      <c r="E16" s="283"/>
      <c r="F16" s="283"/>
      <c r="G16" s="283"/>
      <c r="H16" s="283"/>
      <c r="I16" s="283"/>
      <c r="J16" s="283"/>
      <c r="K16" s="308"/>
    </row>
    <row r="17" spans="3:11" ht="97.5" customHeight="1">
      <c r="C17" s="227">
        <v>13</v>
      </c>
      <c r="D17" s="283"/>
      <c r="E17" s="283"/>
      <c r="F17" s="283"/>
      <c r="G17" s="283"/>
      <c r="H17" s="283"/>
      <c r="I17" s="283"/>
      <c r="J17" s="283"/>
      <c r="K17" s="308"/>
    </row>
    <row r="18" spans="3:11" ht="97.5" customHeight="1">
      <c r="C18" s="227">
        <v>14</v>
      </c>
      <c r="D18" s="283"/>
      <c r="E18" s="283"/>
      <c r="F18" s="283"/>
      <c r="G18" s="283"/>
      <c r="H18" s="283"/>
      <c r="I18" s="283"/>
      <c r="J18" s="283"/>
      <c r="K18" s="308"/>
    </row>
    <row r="19" spans="3:11" ht="97.5" customHeight="1" thickBot="1">
      <c r="C19" s="228">
        <v>15</v>
      </c>
      <c r="D19" s="284"/>
      <c r="E19" s="284"/>
      <c r="F19" s="284"/>
      <c r="G19" s="284"/>
      <c r="H19" s="284"/>
      <c r="I19" s="284"/>
      <c r="J19" s="284"/>
      <c r="K19" s="3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2" customFormat="1" ht="72.75" customHeight="1" thickTop="1">
      <c r="A4" s="319" t="s">
        <v>288</v>
      </c>
      <c r="B4" s="320" t="s">
        <v>329</v>
      </c>
      <c r="C4" s="320" t="s">
        <v>330</v>
      </c>
      <c r="D4" s="320" t="s">
        <v>339</v>
      </c>
      <c r="E4" s="320" t="s">
        <v>347</v>
      </c>
      <c r="F4" s="320" t="s">
        <v>346</v>
      </c>
      <c r="G4" s="320" t="s">
        <v>331</v>
      </c>
      <c r="H4" s="321" t="s">
        <v>321</v>
      </c>
      <c r="I4" s="320" t="s">
        <v>332</v>
      </c>
      <c r="J4" s="320" t="s">
        <v>333</v>
      </c>
      <c r="K4" s="320" t="s">
        <v>337</v>
      </c>
      <c r="L4" s="320" t="s">
        <v>336</v>
      </c>
      <c r="M4" s="320" t="s">
        <v>334</v>
      </c>
      <c r="N4" s="320" t="s">
        <v>327</v>
      </c>
      <c r="O4" s="321" t="s">
        <v>322</v>
      </c>
      <c r="P4" s="321" t="s">
        <v>323</v>
      </c>
      <c r="Q4" s="320" t="s">
        <v>335</v>
      </c>
      <c r="R4" s="320" t="s">
        <v>340</v>
      </c>
      <c r="S4" s="320" t="s">
        <v>341</v>
      </c>
      <c r="T4" s="321" t="s">
        <v>326</v>
      </c>
      <c r="U4" s="320" t="s">
        <v>338</v>
      </c>
      <c r="V4" s="321" t="s">
        <v>324</v>
      </c>
      <c r="W4" s="321" t="s">
        <v>325</v>
      </c>
      <c r="X4" s="321" t="s">
        <v>328</v>
      </c>
      <c r="Y4" s="320" t="s">
        <v>344</v>
      </c>
      <c r="Z4" s="320" t="s">
        <v>345</v>
      </c>
      <c r="AA4" s="320" t="s">
        <v>352</v>
      </c>
      <c r="AB4" s="320" t="s">
        <v>353</v>
      </c>
      <c r="AC4" s="320" t="s">
        <v>348</v>
      </c>
      <c r="AD4" s="320" t="s">
        <v>342</v>
      </c>
      <c r="AE4" s="320" t="s">
        <v>343</v>
      </c>
      <c r="AF4" s="320" t="s">
        <v>349</v>
      </c>
      <c r="AG4" s="321" t="s">
        <v>350</v>
      </c>
      <c r="AH4" s="332" t="s">
        <v>351</v>
      </c>
    </row>
    <row r="5" spans="1:34" ht="23.1" customHeight="1">
      <c r="A5" s="323" t="s">
        <v>229</v>
      </c>
      <c r="B5" s="283">
        <v>2.33</v>
      </c>
      <c r="C5" s="283">
        <v>6.24</v>
      </c>
      <c r="D5" s="330">
        <v>3.6435159521025189</v>
      </c>
      <c r="E5" s="330">
        <v>2.5964840478974813</v>
      </c>
      <c r="F5" s="330">
        <v>3.91</v>
      </c>
      <c r="G5" s="283">
        <v>200</v>
      </c>
      <c r="H5" s="283">
        <v>0.1</v>
      </c>
      <c r="I5" s="283">
        <v>80</v>
      </c>
      <c r="J5" s="283">
        <v>24</v>
      </c>
      <c r="K5" s="283">
        <v>178</v>
      </c>
      <c r="L5" s="330">
        <v>1.435958718904685</v>
      </c>
      <c r="M5" s="283">
        <v>5</v>
      </c>
      <c r="N5" s="283">
        <v>56</v>
      </c>
      <c r="O5" s="328">
        <v>27.5</v>
      </c>
      <c r="P5" s="328">
        <v>12.46</v>
      </c>
      <c r="Q5" s="328">
        <v>19.98</v>
      </c>
      <c r="R5" s="283">
        <v>0.50749999999999995</v>
      </c>
      <c r="S5" s="331">
        <v>8.3819999999999999E-4</v>
      </c>
      <c r="T5" s="328">
        <v>0.35677999999999999</v>
      </c>
      <c r="U5" s="283">
        <v>0.70830000000000004</v>
      </c>
      <c r="V5" s="329">
        <v>84.1</v>
      </c>
      <c r="W5" s="329">
        <v>103</v>
      </c>
      <c r="X5" s="329">
        <v>194.9</v>
      </c>
      <c r="Y5" s="283">
        <v>-3.1303999999999998</v>
      </c>
      <c r="Z5" s="328">
        <v>2.2879999999999998</v>
      </c>
      <c r="AA5" s="283">
        <v>204</v>
      </c>
      <c r="AB5" s="283">
        <v>185.34</v>
      </c>
      <c r="AC5" s="283">
        <v>112</v>
      </c>
      <c r="AD5" s="283">
        <v>1.63</v>
      </c>
      <c r="AE5" s="283">
        <v>3.47</v>
      </c>
      <c r="AF5" s="283">
        <v>2.6400000000000001E-5</v>
      </c>
      <c r="AG5" s="283">
        <v>1.15499E-2</v>
      </c>
      <c r="AH5" s="333">
        <v>0.90686274509803921</v>
      </c>
    </row>
    <row r="6" spans="1:34" ht="23.1" customHeight="1">
      <c r="A6" s="323"/>
      <c r="B6" s="283"/>
      <c r="C6" s="283"/>
      <c r="D6" s="330"/>
      <c r="E6" s="330"/>
      <c r="F6" s="330"/>
      <c r="G6" s="283"/>
      <c r="H6" s="283"/>
      <c r="I6" s="283"/>
      <c r="J6" s="283"/>
      <c r="K6" s="283"/>
      <c r="L6" s="330"/>
      <c r="M6" s="283"/>
      <c r="N6" s="283"/>
      <c r="O6" s="328"/>
      <c r="P6" s="328"/>
      <c r="Q6" s="328"/>
      <c r="R6" s="283"/>
      <c r="S6" s="331"/>
      <c r="T6" s="328"/>
      <c r="U6" s="283"/>
      <c r="V6" s="329"/>
      <c r="W6" s="329"/>
      <c r="X6" s="329"/>
      <c r="Y6" s="283"/>
      <c r="Z6" s="328"/>
      <c r="AA6" s="283"/>
      <c r="AB6" s="283"/>
      <c r="AC6" s="283"/>
      <c r="AD6" s="283"/>
      <c r="AE6" s="283"/>
      <c r="AF6" s="283">
        <v>4.0079999999999998E-4</v>
      </c>
      <c r="AG6" s="283">
        <v>5.0910299999999999E-2</v>
      </c>
      <c r="AH6" s="333">
        <v>0.89090909090909087</v>
      </c>
    </row>
    <row r="7" spans="1:34" ht="23.1" customHeight="1">
      <c r="A7" s="323"/>
      <c r="B7" s="283"/>
      <c r="C7" s="283"/>
      <c r="D7" s="330"/>
      <c r="E7" s="330"/>
      <c r="F7" s="330"/>
      <c r="G7" s="283"/>
      <c r="H7" s="283"/>
      <c r="I7" s="283"/>
      <c r="J7" s="283"/>
      <c r="K7" s="283"/>
      <c r="L7" s="330"/>
      <c r="M7" s="283"/>
      <c r="N7" s="283"/>
      <c r="O7" s="328"/>
      <c r="P7" s="328"/>
      <c r="Q7" s="328"/>
      <c r="R7" s="283"/>
      <c r="S7" s="331"/>
      <c r="T7" s="328"/>
      <c r="U7" s="283"/>
      <c r="V7" s="329"/>
      <c r="W7" s="329"/>
      <c r="X7" s="329"/>
      <c r="Y7" s="283"/>
      <c r="Z7" s="328"/>
      <c r="AA7" s="283"/>
      <c r="AB7" s="283"/>
      <c r="AC7" s="283"/>
      <c r="AD7" s="283"/>
      <c r="AE7" s="283"/>
      <c r="AF7" s="283">
        <v>2.163E-4</v>
      </c>
      <c r="AG7" s="283">
        <v>3.9691200000000003E-2</v>
      </c>
      <c r="AH7" s="333">
        <v>0.89873417721518989</v>
      </c>
    </row>
    <row r="8" spans="1:34" ht="23.1" customHeight="1">
      <c r="A8" s="323"/>
      <c r="B8" s="283"/>
      <c r="C8" s="283"/>
      <c r="D8" s="330"/>
      <c r="E8" s="330"/>
      <c r="F8" s="330"/>
      <c r="G8" s="283"/>
      <c r="H8" s="283"/>
      <c r="I8" s="283"/>
      <c r="J8" s="283"/>
      <c r="K8" s="283"/>
      <c r="L8" s="330"/>
      <c r="M8" s="283"/>
      <c r="N8" s="283"/>
      <c r="O8" s="328"/>
      <c r="P8" s="328"/>
      <c r="Q8" s="328"/>
      <c r="R8" s="283"/>
      <c r="S8" s="331"/>
      <c r="T8" s="328"/>
      <c r="U8" s="283"/>
      <c r="V8" s="329"/>
      <c r="W8" s="329"/>
      <c r="X8" s="329"/>
      <c r="Y8" s="283"/>
      <c r="Z8" s="328"/>
      <c r="AA8" s="283"/>
      <c r="AB8" s="283"/>
      <c r="AC8" s="283"/>
      <c r="AD8" s="283"/>
      <c r="AE8" s="283"/>
      <c r="AF8" s="283">
        <v>1.9139999999999999E-4</v>
      </c>
      <c r="AG8" s="283">
        <v>4.0216399999999999E-2</v>
      </c>
      <c r="AH8" s="333">
        <v>0.89411764705882357</v>
      </c>
    </row>
    <row r="9" spans="1:34" ht="23.1" customHeight="1">
      <c r="A9" s="323"/>
      <c r="B9" s="283"/>
      <c r="C9" s="283"/>
      <c r="D9" s="330"/>
      <c r="E9" s="330"/>
      <c r="F9" s="330"/>
      <c r="G9" s="283"/>
      <c r="H9" s="283"/>
      <c r="I9" s="283"/>
      <c r="J9" s="283"/>
      <c r="K9" s="283"/>
      <c r="L9" s="330"/>
      <c r="M9" s="283"/>
      <c r="N9" s="283"/>
      <c r="O9" s="328"/>
      <c r="P9" s="328"/>
      <c r="Q9" s="328"/>
      <c r="R9" s="283"/>
      <c r="S9" s="331"/>
      <c r="T9" s="328"/>
      <c r="U9" s="283"/>
      <c r="V9" s="329"/>
      <c r="W9" s="329"/>
      <c r="X9" s="329"/>
      <c r="Y9" s="283"/>
      <c r="Z9" s="328"/>
      <c r="AA9" s="283"/>
      <c r="AB9" s="283"/>
      <c r="AC9" s="283"/>
      <c r="AD9" s="283"/>
      <c r="AE9" s="283"/>
      <c r="AF9" s="283">
        <v>2.108E-4</v>
      </c>
      <c r="AG9" s="283">
        <v>4.1404400000000001E-2</v>
      </c>
      <c r="AH9" s="333">
        <v>0.89156626506024095</v>
      </c>
    </row>
    <row r="10" spans="1:34" ht="23.1" customHeight="1">
      <c r="A10" s="323"/>
      <c r="B10" s="283"/>
      <c r="C10" s="283"/>
      <c r="D10" s="330"/>
      <c r="E10" s="330"/>
      <c r="F10" s="330"/>
      <c r="G10" s="283"/>
      <c r="H10" s="283"/>
      <c r="I10" s="283"/>
      <c r="J10" s="283"/>
      <c r="K10" s="283"/>
      <c r="L10" s="330"/>
      <c r="M10" s="283"/>
      <c r="N10" s="283"/>
      <c r="O10" s="328"/>
      <c r="P10" s="328"/>
      <c r="Q10" s="328"/>
      <c r="R10" s="283"/>
      <c r="S10" s="331"/>
      <c r="T10" s="328"/>
      <c r="U10" s="283"/>
      <c r="V10" s="329"/>
      <c r="W10" s="329"/>
      <c r="X10" s="329"/>
      <c r="Y10" s="283"/>
      <c r="Z10" s="328"/>
      <c r="AA10" s="283"/>
      <c r="AB10" s="283"/>
      <c r="AC10" s="283"/>
      <c r="AD10" s="283"/>
      <c r="AE10" s="283"/>
      <c r="AF10" s="283">
        <v>2.3379999999999999E-4</v>
      </c>
      <c r="AG10" s="283">
        <v>4.19589E-2</v>
      </c>
      <c r="AH10" s="333">
        <v>0.89610389610389607</v>
      </c>
    </row>
    <row r="11" spans="1:34" ht="23.1" customHeight="1">
      <c r="A11" s="323"/>
      <c r="B11" s="283"/>
      <c r="C11" s="283"/>
      <c r="D11" s="283"/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3"/>
      <c r="AA11" s="283"/>
      <c r="AB11" s="283"/>
      <c r="AC11" s="283"/>
      <c r="AD11" s="283"/>
      <c r="AE11" s="283"/>
      <c r="AF11" s="283"/>
      <c r="AG11" s="283"/>
      <c r="AH11" s="324"/>
    </row>
    <row r="12" spans="1:34" ht="23.1" customHeight="1">
      <c r="A12" s="323"/>
      <c r="B12" s="283"/>
      <c r="C12" s="283"/>
      <c r="D12" s="283"/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324"/>
    </row>
    <row r="13" spans="1:34" ht="23.1" customHeight="1">
      <c r="A13" s="323"/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3"/>
      <c r="P13" s="283"/>
      <c r="Q13" s="283"/>
      <c r="R13" s="283"/>
      <c r="S13" s="283"/>
      <c r="T13" s="283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324"/>
    </row>
    <row r="14" spans="1:34" ht="23.1" customHeight="1">
      <c r="A14" s="323"/>
      <c r="B14" s="283"/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  <c r="O14" s="283"/>
      <c r="P14" s="283"/>
      <c r="Q14" s="283"/>
      <c r="R14" s="283"/>
      <c r="S14" s="283"/>
      <c r="T14" s="283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324"/>
    </row>
    <row r="15" spans="1:34" ht="23.1" customHeight="1">
      <c r="A15" s="323"/>
      <c r="B15" s="283"/>
      <c r="C15" s="283"/>
      <c r="D15" s="283"/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3"/>
      <c r="T15" s="283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324"/>
    </row>
    <row r="16" spans="1:34" ht="23.1" customHeight="1">
      <c r="A16" s="323"/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283"/>
      <c r="P16" s="283"/>
      <c r="Q16" s="283"/>
      <c r="R16" s="283"/>
      <c r="S16" s="283"/>
      <c r="T16" s="283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324"/>
    </row>
    <row r="17" spans="1:34" ht="23.1" customHeight="1">
      <c r="A17" s="323"/>
      <c r="B17" s="283"/>
      <c r="C17" s="283"/>
      <c r="D17" s="283"/>
      <c r="E17" s="283"/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3"/>
      <c r="S17" s="283"/>
      <c r="T17" s="283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324"/>
    </row>
    <row r="18" spans="1:34" ht="23.1" customHeight="1">
      <c r="A18" s="323"/>
      <c r="B18" s="283"/>
      <c r="C18" s="283"/>
      <c r="D18" s="283"/>
      <c r="E18" s="283"/>
      <c r="F18" s="283"/>
      <c r="G18" s="283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324"/>
    </row>
    <row r="19" spans="1:34" ht="23.1" customHeight="1" thickBot="1">
      <c r="A19" s="325"/>
      <c r="B19" s="326"/>
      <c r="C19" s="326"/>
      <c r="D19" s="326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6"/>
      <c r="AG19" s="326"/>
      <c r="AH19" s="32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N12" sqref="N12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8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0"/>
      <c r="E1" s="33" t="s">
        <v>372</v>
      </c>
      <c r="F1" s="33"/>
      <c r="J1" s="61"/>
    </row>
    <row r="2" spans="1:18" s="68" customFormat="1" ht="23.1" customHeight="1">
      <c r="A2" s="523" t="s">
        <v>0</v>
      </c>
      <c r="B2" s="513" t="s">
        <v>39</v>
      </c>
      <c r="C2" s="513" t="s">
        <v>6</v>
      </c>
      <c r="D2" s="513" t="s">
        <v>38</v>
      </c>
      <c r="E2" s="513" t="s">
        <v>204</v>
      </c>
      <c r="F2" s="513" t="s">
        <v>203</v>
      </c>
      <c r="G2" s="517" t="s">
        <v>1</v>
      </c>
      <c r="H2" s="517" t="s">
        <v>2</v>
      </c>
      <c r="I2" s="517" t="s">
        <v>172</v>
      </c>
      <c r="J2" s="521" t="s">
        <v>274</v>
      </c>
      <c r="K2" s="517" t="s">
        <v>273</v>
      </c>
      <c r="L2" s="517" t="s">
        <v>3</v>
      </c>
      <c r="M2" s="517" t="s">
        <v>4</v>
      </c>
      <c r="N2" s="517" t="s">
        <v>5</v>
      </c>
      <c r="O2" s="517" t="s">
        <v>272</v>
      </c>
      <c r="P2" s="519" t="s">
        <v>271</v>
      </c>
      <c r="Q2" s="513" t="s">
        <v>159</v>
      </c>
      <c r="R2" s="515" t="s">
        <v>92</v>
      </c>
    </row>
    <row r="3" spans="1:18" s="68" customFormat="1" ht="27" customHeight="1">
      <c r="A3" s="524"/>
      <c r="B3" s="514"/>
      <c r="C3" s="514"/>
      <c r="D3" s="514"/>
      <c r="E3" s="514"/>
      <c r="F3" s="514"/>
      <c r="G3" s="518"/>
      <c r="H3" s="518"/>
      <c r="I3" s="518"/>
      <c r="J3" s="522"/>
      <c r="K3" s="518"/>
      <c r="L3" s="518"/>
      <c r="M3" s="518"/>
      <c r="N3" s="518"/>
      <c r="O3" s="518"/>
      <c r="P3" s="520"/>
      <c r="Q3" s="514"/>
      <c r="R3" s="516"/>
    </row>
    <row r="4" spans="1:18" ht="23.1" customHeight="1" thickBot="1">
      <c r="A4" s="462" t="s">
        <v>385</v>
      </c>
      <c r="B4" s="463" t="s">
        <v>368</v>
      </c>
      <c r="C4" s="464"/>
      <c r="D4" s="463" t="s">
        <v>369</v>
      </c>
      <c r="E4" s="463" t="s">
        <v>370</v>
      </c>
      <c r="F4" s="463" t="s">
        <v>371</v>
      </c>
      <c r="G4" s="463">
        <v>250</v>
      </c>
      <c r="H4" s="463">
        <v>80</v>
      </c>
      <c r="I4" s="463">
        <v>178</v>
      </c>
      <c r="J4" s="463">
        <v>178</v>
      </c>
      <c r="K4" s="463">
        <v>250</v>
      </c>
      <c r="L4" s="463">
        <v>5</v>
      </c>
      <c r="M4" s="463">
        <v>60</v>
      </c>
      <c r="N4" s="465">
        <v>50</v>
      </c>
      <c r="O4" s="466">
        <v>179.3</v>
      </c>
      <c r="P4" s="467">
        <v>1202219</v>
      </c>
      <c r="Q4" s="463"/>
      <c r="R4" s="468"/>
    </row>
    <row r="5" spans="1:18" ht="23.25" customHeight="1" thickBot="1">
      <c r="A5" s="198"/>
      <c r="J5" s="229"/>
      <c r="P5" s="230"/>
    </row>
    <row r="6" spans="1:18" ht="23.25" customHeight="1" thickBot="1">
      <c r="I6" s="250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04" customWidth="1"/>
    <col min="10" max="10" width="11.77734375" style="31" customWidth="1"/>
    <col min="11" max="11" width="11.77734375" style="205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6" t="s">
        <v>233</v>
      </c>
    </row>
    <row r="2" spans="7:19" ht="29.25" customHeight="1">
      <c r="G2" s="286" t="s">
        <v>209</v>
      </c>
      <c r="H2" s="287" t="s">
        <v>206</v>
      </c>
      <c r="I2" s="288" t="s">
        <v>215</v>
      </c>
      <c r="J2" s="287" t="s">
        <v>207</v>
      </c>
      <c r="K2" s="289" t="s">
        <v>208</v>
      </c>
      <c r="M2" s="292"/>
      <c r="N2" s="293" t="s">
        <v>213</v>
      </c>
      <c r="O2" s="289" t="s">
        <v>214</v>
      </c>
      <c r="Q2" s="286" t="s">
        <v>209</v>
      </c>
      <c r="R2" s="293" t="s">
        <v>217</v>
      </c>
      <c r="S2" s="289" t="s">
        <v>218</v>
      </c>
    </row>
    <row r="3" spans="7:19" ht="20.100000000000001" customHeight="1">
      <c r="G3" s="268" t="s">
        <v>229</v>
      </c>
      <c r="H3" s="256">
        <v>204</v>
      </c>
      <c r="I3" s="290">
        <v>185.34</v>
      </c>
      <c r="J3" s="256">
        <v>178</v>
      </c>
      <c r="K3" s="291">
        <v>0.90686274509803921</v>
      </c>
      <c r="M3" s="294" t="s">
        <v>208</v>
      </c>
      <c r="N3" s="295">
        <v>0.90686274509803921</v>
      </c>
      <c r="O3" s="296">
        <v>0.90686274509803921</v>
      </c>
      <c r="Q3" s="302" t="s">
        <v>229</v>
      </c>
      <c r="R3" s="303">
        <v>2.6400000000000001E-5</v>
      </c>
      <c r="S3" s="304">
        <v>1.15499E-2</v>
      </c>
    </row>
    <row r="4" spans="7:19" ht="20.100000000000001" customHeight="1">
      <c r="G4" s="268"/>
      <c r="H4" s="256"/>
      <c r="I4" s="290"/>
      <c r="J4" s="256"/>
      <c r="K4" s="291"/>
      <c r="M4" s="294" t="s">
        <v>215</v>
      </c>
      <c r="N4" s="297">
        <v>185.34</v>
      </c>
      <c r="O4" s="298">
        <v>185.34</v>
      </c>
      <c r="Q4" s="302"/>
      <c r="R4" s="303"/>
      <c r="S4" s="304"/>
    </row>
    <row r="5" spans="7:19" ht="20.100000000000001" customHeight="1" thickBot="1">
      <c r="G5" s="268"/>
      <c r="H5" s="256"/>
      <c r="I5" s="290"/>
      <c r="J5" s="256"/>
      <c r="K5" s="291"/>
      <c r="M5" s="299" t="s">
        <v>216</v>
      </c>
      <c r="N5" s="300">
        <v>178</v>
      </c>
      <c r="O5" s="301">
        <v>178</v>
      </c>
      <c r="Q5" s="302"/>
      <c r="R5" s="303"/>
      <c r="S5" s="304"/>
    </row>
    <row r="6" spans="7:19" ht="20.100000000000001" customHeight="1">
      <c r="G6" s="268"/>
      <c r="H6" s="256"/>
      <c r="I6" s="256"/>
      <c r="J6" s="256"/>
      <c r="K6" s="257"/>
      <c r="Q6" s="302"/>
      <c r="R6" s="303"/>
      <c r="S6" s="304"/>
    </row>
    <row r="7" spans="7:19" ht="20.100000000000001" customHeight="1">
      <c r="G7" s="268"/>
      <c r="H7" s="256"/>
      <c r="I7" s="256"/>
      <c r="J7" s="256"/>
      <c r="K7" s="257"/>
      <c r="Q7" s="302"/>
      <c r="R7" s="303"/>
      <c r="S7" s="304"/>
    </row>
    <row r="8" spans="7:19" ht="20.100000000000001" customHeight="1">
      <c r="G8" s="268"/>
      <c r="H8" s="256"/>
      <c r="I8" s="256"/>
      <c r="J8" s="256"/>
      <c r="K8" s="257"/>
      <c r="Q8" s="268"/>
      <c r="R8" s="256"/>
      <c r="S8" s="257"/>
    </row>
    <row r="9" spans="7:19" ht="20.100000000000001" customHeight="1">
      <c r="G9" s="268"/>
      <c r="H9" s="256"/>
      <c r="I9" s="256"/>
      <c r="J9" s="256"/>
      <c r="K9" s="257"/>
      <c r="Q9" s="268"/>
      <c r="R9" s="256"/>
      <c r="S9" s="257"/>
    </row>
    <row r="10" spans="7:19" ht="20.100000000000001" customHeight="1">
      <c r="G10" s="268"/>
      <c r="H10" s="256"/>
      <c r="I10" s="256"/>
      <c r="J10" s="256"/>
      <c r="K10" s="257"/>
      <c r="Q10" s="268"/>
      <c r="R10" s="256"/>
      <c r="S10" s="257"/>
    </row>
    <row r="11" spans="7:19" ht="20.100000000000001" customHeight="1">
      <c r="G11" s="268"/>
      <c r="H11" s="256"/>
      <c r="I11" s="256"/>
      <c r="J11" s="256"/>
      <c r="K11" s="257"/>
      <c r="Q11" s="268"/>
      <c r="R11" s="256"/>
      <c r="S11" s="257"/>
    </row>
    <row r="12" spans="7:19" ht="20.100000000000001" customHeight="1">
      <c r="G12" s="268"/>
      <c r="H12" s="256"/>
      <c r="I12" s="256"/>
      <c r="J12" s="256"/>
      <c r="K12" s="257"/>
      <c r="Q12" s="268"/>
      <c r="R12" s="256"/>
      <c r="S12" s="257"/>
    </row>
    <row r="13" spans="7:19" ht="20.100000000000001" customHeight="1">
      <c r="G13" s="268"/>
      <c r="H13" s="256"/>
      <c r="I13" s="256"/>
      <c r="J13" s="256"/>
      <c r="K13" s="257"/>
      <c r="Q13" s="268"/>
      <c r="R13" s="256"/>
      <c r="S13" s="257"/>
    </row>
    <row r="14" spans="7:19" ht="20.100000000000001" customHeight="1">
      <c r="G14" s="268"/>
      <c r="H14" s="256"/>
      <c r="I14" s="256"/>
      <c r="J14" s="256"/>
      <c r="K14" s="257"/>
      <c r="Q14" s="268"/>
      <c r="R14" s="256"/>
      <c r="S14" s="257"/>
    </row>
    <row r="15" spans="7:19" ht="20.100000000000001" customHeight="1">
      <c r="G15" s="268"/>
      <c r="H15" s="256"/>
      <c r="I15" s="256"/>
      <c r="J15" s="256"/>
      <c r="K15" s="257"/>
      <c r="Q15" s="268"/>
      <c r="R15" s="256"/>
      <c r="S15" s="257"/>
    </row>
    <row r="16" spans="7:19" ht="20.100000000000001" customHeight="1">
      <c r="G16" s="268"/>
      <c r="H16" s="256"/>
      <c r="I16" s="256"/>
      <c r="J16" s="256"/>
      <c r="K16" s="257"/>
      <c r="Q16" s="268"/>
      <c r="R16" s="256"/>
      <c r="S16" s="257"/>
    </row>
    <row r="17" spans="6:19" ht="20.100000000000001" customHeight="1">
      <c r="G17" s="268"/>
      <c r="H17" s="256"/>
      <c r="I17" s="256"/>
      <c r="J17" s="256"/>
      <c r="K17" s="257"/>
      <c r="Q17" s="268"/>
      <c r="R17" s="256"/>
      <c r="S17" s="257"/>
    </row>
    <row r="18" spans="6:19" ht="20.100000000000001" customHeight="1">
      <c r="G18" s="268"/>
      <c r="H18" s="256"/>
      <c r="I18" s="256"/>
      <c r="J18" s="256"/>
      <c r="K18" s="257"/>
      <c r="Q18" s="268"/>
      <c r="R18" s="256"/>
      <c r="S18" s="257"/>
    </row>
    <row r="19" spans="6:19" ht="20.100000000000001" customHeight="1" thickBot="1">
      <c r="G19" s="270"/>
      <c r="H19" s="247"/>
      <c r="I19" s="247"/>
      <c r="J19" s="247"/>
      <c r="K19" s="248"/>
      <c r="Q19" s="270"/>
      <c r="R19" s="247"/>
      <c r="S19" s="248"/>
    </row>
    <row r="22" spans="6:19" ht="20.100000000000001" customHeight="1">
      <c r="M22" s="204"/>
      <c r="N22" s="204"/>
      <c r="O22" s="204"/>
      <c r="P22" s="204"/>
      <c r="Q22" s="204"/>
      <c r="R22" s="204"/>
      <c r="S22" s="204"/>
    </row>
    <row r="23" spans="6:19" ht="20.100000000000001" customHeight="1">
      <c r="M23" s="290"/>
      <c r="N23" s="290"/>
      <c r="O23" s="290"/>
      <c r="P23" s="339"/>
      <c r="Q23" s="340"/>
      <c r="R23" s="204"/>
      <c r="S23" s="204"/>
    </row>
    <row r="24" spans="6:19" ht="20.100000000000001" customHeight="1">
      <c r="M24" s="256"/>
      <c r="N24" s="256"/>
      <c r="O24" s="256"/>
      <c r="P24" s="341"/>
      <c r="Q24" s="342"/>
      <c r="R24" s="204"/>
      <c r="S24" s="204"/>
    </row>
    <row r="25" spans="6:19" ht="20.100000000000001" customHeight="1" thickBot="1">
      <c r="M25" s="204"/>
      <c r="N25" s="204"/>
      <c r="O25" s="204"/>
      <c r="P25" s="204"/>
      <c r="Q25" s="204"/>
      <c r="R25" s="204"/>
      <c r="S25" s="204"/>
    </row>
    <row r="26" spans="6:19" ht="27" customHeight="1" thickBot="1">
      <c r="G26" s="336" t="s">
        <v>241</v>
      </c>
      <c r="H26" s="337"/>
      <c r="I26" s="338"/>
    </row>
    <row r="27" spans="6:19" ht="15.95" customHeight="1">
      <c r="F27" s="529" t="s">
        <v>229</v>
      </c>
      <c r="G27" s="525">
        <v>204</v>
      </c>
      <c r="H27" s="335">
        <v>3.47</v>
      </c>
      <c r="I27" s="527">
        <v>185.34</v>
      </c>
    </row>
    <row r="28" spans="6:19" ht="15.95" customHeight="1">
      <c r="F28" s="530"/>
      <c r="G28" s="526"/>
      <c r="H28" s="256">
        <v>1.63</v>
      </c>
      <c r="I28" s="528"/>
      <c r="K28" s="31"/>
    </row>
    <row r="29" spans="6:19" ht="15.95" customHeight="1">
      <c r="F29" s="530"/>
      <c r="G29" s="526"/>
      <c r="H29" s="256"/>
      <c r="I29" s="528"/>
    </row>
    <row r="30" spans="6:19" ht="15.95" customHeight="1">
      <c r="F30" s="530"/>
      <c r="G30" s="526"/>
      <c r="H30" s="256"/>
      <c r="I30" s="528"/>
    </row>
    <row r="31" spans="6:19" ht="15.95" customHeight="1">
      <c r="F31" s="530"/>
      <c r="G31" s="526"/>
      <c r="H31" s="256"/>
      <c r="I31" s="528"/>
    </row>
    <row r="32" spans="6:19" ht="15.95" customHeight="1">
      <c r="F32" s="530"/>
      <c r="G32" s="526"/>
      <c r="H32" s="256"/>
      <c r="I32" s="528"/>
    </row>
    <row r="33" spans="6:9" ht="15.95" customHeight="1">
      <c r="F33" s="530"/>
      <c r="G33" s="526"/>
      <c r="H33" s="256"/>
      <c r="I33" s="528"/>
    </row>
    <row r="34" spans="6:9" ht="15.95" customHeight="1">
      <c r="F34" s="530"/>
      <c r="G34" s="526"/>
      <c r="H34" s="256"/>
      <c r="I34" s="528"/>
    </row>
    <row r="35" spans="6:9" ht="15.95" customHeight="1">
      <c r="F35" s="530"/>
      <c r="G35" s="526"/>
      <c r="H35" s="256"/>
      <c r="I35" s="528"/>
    </row>
    <row r="36" spans="6:9" ht="15.95" customHeight="1">
      <c r="F36" s="530"/>
      <c r="G36" s="526"/>
      <c r="H36" s="256"/>
      <c r="I36" s="528"/>
    </row>
    <row r="37" spans="6:9" ht="15.95" customHeight="1">
      <c r="F37" s="530"/>
      <c r="G37" s="526"/>
      <c r="H37" s="256"/>
      <c r="I37" s="528"/>
    </row>
    <row r="38" spans="6:9" ht="15.95" customHeight="1">
      <c r="F38" s="530"/>
      <c r="G38" s="526"/>
      <c r="H38" s="256"/>
      <c r="I38" s="528"/>
    </row>
    <row r="39" spans="6:9" ht="15.95" customHeight="1">
      <c r="F39" s="530"/>
      <c r="G39" s="526"/>
      <c r="H39" s="256"/>
      <c r="I39" s="528"/>
    </row>
    <row r="40" spans="6:9" ht="15.95" customHeight="1">
      <c r="F40" s="530"/>
      <c r="G40" s="526"/>
      <c r="H40" s="256"/>
      <c r="I40" s="528"/>
    </row>
    <row r="41" spans="6:9" ht="15.95" customHeight="1">
      <c r="F41" s="530"/>
      <c r="G41" s="526"/>
      <c r="H41" s="256"/>
      <c r="I41" s="528"/>
    </row>
    <row r="42" spans="6:9" ht="15.95" customHeight="1">
      <c r="F42" s="530"/>
      <c r="G42" s="526"/>
      <c r="H42" s="256"/>
      <c r="I42" s="528"/>
    </row>
    <row r="43" spans="6:9" ht="15.95" customHeight="1">
      <c r="F43" s="530"/>
      <c r="G43" s="526"/>
      <c r="H43" s="256"/>
      <c r="I43" s="528"/>
    </row>
    <row r="44" spans="6:9" ht="15.95" customHeight="1">
      <c r="F44" s="530"/>
      <c r="G44" s="526"/>
      <c r="H44" s="256"/>
      <c r="I44" s="528"/>
    </row>
    <row r="45" spans="6:9" ht="15.95" customHeight="1">
      <c r="F45" s="530"/>
      <c r="G45" s="526"/>
      <c r="H45" s="256"/>
      <c r="I45" s="528"/>
    </row>
    <row r="46" spans="6:9" ht="15.95" customHeight="1">
      <c r="F46" s="530"/>
      <c r="G46" s="526"/>
      <c r="H46" s="256"/>
      <c r="I46" s="528"/>
    </row>
    <row r="47" spans="6:9" ht="15.95" customHeight="1">
      <c r="F47" s="530"/>
      <c r="G47" s="526"/>
      <c r="H47" s="256"/>
      <c r="I47" s="528"/>
    </row>
    <row r="48" spans="6:9" ht="15.95" customHeight="1">
      <c r="F48" s="530"/>
      <c r="G48" s="526"/>
      <c r="H48" s="256"/>
      <c r="I48" s="528"/>
    </row>
    <row r="49" spans="6:9" ht="15.95" customHeight="1">
      <c r="F49" s="530"/>
      <c r="G49" s="526"/>
      <c r="H49" s="256"/>
      <c r="I49" s="528"/>
    </row>
    <row r="50" spans="6:9" ht="15.95" customHeight="1" thickBot="1">
      <c r="F50" s="531"/>
      <c r="G50" s="532"/>
      <c r="H50" s="247"/>
      <c r="I50" s="533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6" customWidth="1"/>
    <col min="2" max="2" width="8.88671875" style="36"/>
    <col min="3" max="3" width="5.6640625" style="36" customWidth="1"/>
    <col min="4" max="4" width="20.6640625" style="36" customWidth="1"/>
    <col min="5" max="5" width="10.109375" style="36" customWidth="1"/>
    <col min="6" max="6" width="10.33203125" style="36" customWidth="1"/>
    <col min="7" max="7" width="10.109375" style="36" customWidth="1"/>
    <col min="8" max="8" width="10.21875" style="36" customWidth="1"/>
    <col min="9" max="9" width="11.109375" style="36" customWidth="1"/>
    <col min="10" max="10" width="11" style="36" customWidth="1"/>
    <col min="11" max="11" width="10.88671875" style="36" customWidth="1"/>
    <col min="12" max="12" width="10" style="36" customWidth="1"/>
    <col min="13" max="13" width="8.88671875" style="36"/>
    <col min="14" max="14" width="9.88671875" style="36" customWidth="1"/>
    <col min="15" max="15" width="9.44140625" style="36" customWidth="1"/>
    <col min="16" max="16" width="11.109375" style="36" customWidth="1"/>
    <col min="17" max="17" width="13" style="36" customWidth="1"/>
    <col min="18" max="16384" width="8.88671875" style="36"/>
  </cols>
  <sheetData>
    <row r="1" spans="4:21" ht="20.100000000000001" customHeight="1" thickBot="1">
      <c r="D1" s="206" t="s">
        <v>320</v>
      </c>
      <c r="L1" s="206" t="s">
        <v>236</v>
      </c>
      <c r="S1" s="206" t="s">
        <v>237</v>
      </c>
    </row>
    <row r="2" spans="4:21" ht="36.75" customHeight="1">
      <c r="D2" s="265" t="s">
        <v>219</v>
      </c>
      <c r="E2" s="266" t="s">
        <v>216</v>
      </c>
      <c r="F2" s="266" t="s">
        <v>223</v>
      </c>
      <c r="G2" s="266" t="s">
        <v>224</v>
      </c>
      <c r="H2" s="266" t="s">
        <v>164</v>
      </c>
      <c r="I2" s="266" t="s">
        <v>225</v>
      </c>
      <c r="J2" s="267" t="s">
        <v>226</v>
      </c>
      <c r="L2" s="265" t="s">
        <v>216</v>
      </c>
      <c r="M2" s="266" t="s">
        <v>220</v>
      </c>
      <c r="N2" s="266" t="s">
        <v>221</v>
      </c>
      <c r="O2" s="266" t="s">
        <v>222</v>
      </c>
      <c r="P2" s="266" t="s">
        <v>239</v>
      </c>
      <c r="Q2" s="267" t="s">
        <v>240</v>
      </c>
      <c r="S2" s="265" t="s">
        <v>224</v>
      </c>
      <c r="T2" s="266" t="s">
        <v>227</v>
      </c>
      <c r="U2" s="267" t="s">
        <v>228</v>
      </c>
    </row>
    <row r="3" spans="4:21" ht="20.100000000000001" customHeight="1">
      <c r="D3" s="268" t="s">
        <v>229</v>
      </c>
      <c r="E3" s="256">
        <v>178</v>
      </c>
      <c r="F3" s="256">
        <v>2.33</v>
      </c>
      <c r="G3" s="256">
        <v>6.24</v>
      </c>
      <c r="H3" s="256">
        <v>3.91</v>
      </c>
      <c r="I3" s="256">
        <v>0.1</v>
      </c>
      <c r="J3" s="269">
        <v>1.435958718904685</v>
      </c>
      <c r="K3" s="31"/>
      <c r="L3" s="268">
        <v>178</v>
      </c>
      <c r="M3" s="256">
        <v>0.1</v>
      </c>
      <c r="N3" s="256">
        <v>0.1</v>
      </c>
      <c r="O3" s="256">
        <v>56</v>
      </c>
      <c r="P3" s="256">
        <v>27.5</v>
      </c>
      <c r="Q3" s="257">
        <v>0.50749999999999995</v>
      </c>
      <c r="S3" s="272">
        <v>6.24</v>
      </c>
      <c r="T3" s="273">
        <v>3.6435159521025189</v>
      </c>
      <c r="U3" s="269">
        <v>2.5964840478974813</v>
      </c>
    </row>
    <row r="4" spans="4:21" ht="20.100000000000001" customHeight="1">
      <c r="D4" s="268"/>
      <c r="E4" s="256"/>
      <c r="F4" s="256"/>
      <c r="G4" s="256"/>
      <c r="H4" s="256"/>
      <c r="I4" s="256"/>
      <c r="J4" s="269"/>
      <c r="K4" s="31"/>
      <c r="L4" s="268"/>
      <c r="M4" s="256"/>
      <c r="N4" s="256"/>
      <c r="O4" s="256"/>
      <c r="P4" s="256"/>
      <c r="Q4" s="257"/>
      <c r="S4" s="272"/>
      <c r="T4" s="273"/>
      <c r="U4" s="269"/>
    </row>
    <row r="5" spans="4:21" ht="20.100000000000001" customHeight="1">
      <c r="D5" s="268"/>
      <c r="E5" s="256"/>
      <c r="F5" s="256"/>
      <c r="G5" s="256"/>
      <c r="H5" s="256"/>
      <c r="I5" s="256"/>
      <c r="J5" s="269"/>
      <c r="K5" s="31"/>
      <c r="L5" s="268"/>
      <c r="M5" s="256"/>
      <c r="N5" s="256"/>
      <c r="O5" s="256"/>
      <c r="P5" s="256"/>
      <c r="Q5" s="257"/>
      <c r="S5" s="272"/>
      <c r="T5" s="273"/>
      <c r="U5" s="269"/>
    </row>
    <row r="6" spans="4:21" ht="20.100000000000001" customHeight="1">
      <c r="D6" s="268"/>
      <c r="E6" s="256"/>
      <c r="F6" s="256"/>
      <c r="G6" s="256"/>
      <c r="H6" s="256"/>
      <c r="I6" s="256"/>
      <c r="J6" s="269"/>
      <c r="K6" s="31"/>
      <c r="L6" s="268"/>
      <c r="M6" s="256"/>
      <c r="N6" s="256"/>
      <c r="O6" s="256"/>
      <c r="P6" s="256"/>
      <c r="Q6" s="257"/>
      <c r="S6" s="272"/>
      <c r="T6" s="273"/>
      <c r="U6" s="269"/>
    </row>
    <row r="7" spans="4:21" ht="20.100000000000001" customHeight="1">
      <c r="D7" s="268"/>
      <c r="E7" s="256"/>
      <c r="F7" s="256"/>
      <c r="G7" s="256"/>
      <c r="H7" s="256"/>
      <c r="I7" s="256"/>
      <c r="J7" s="269"/>
      <c r="K7" s="31"/>
      <c r="L7" s="268"/>
      <c r="M7" s="256"/>
      <c r="N7" s="256"/>
      <c r="O7" s="256"/>
      <c r="P7" s="256"/>
      <c r="Q7" s="257"/>
      <c r="S7" s="272"/>
      <c r="T7" s="273"/>
      <c r="U7" s="269"/>
    </row>
    <row r="8" spans="4:21" ht="20.100000000000001" customHeight="1">
      <c r="D8" s="268"/>
      <c r="E8" s="256"/>
      <c r="F8" s="256"/>
      <c r="G8" s="256"/>
      <c r="H8" s="256"/>
      <c r="I8" s="256"/>
      <c r="J8" s="269"/>
      <c r="K8" s="31"/>
      <c r="L8" s="268"/>
      <c r="M8" s="256"/>
      <c r="N8" s="256"/>
      <c r="O8" s="256"/>
      <c r="P8" s="256"/>
      <c r="Q8" s="257"/>
      <c r="S8" s="268"/>
      <c r="T8" s="273"/>
      <c r="U8" s="269"/>
    </row>
    <row r="9" spans="4:21" ht="20.100000000000001" customHeight="1">
      <c r="D9" s="268"/>
      <c r="E9" s="256"/>
      <c r="F9" s="256"/>
      <c r="G9" s="256"/>
      <c r="H9" s="256"/>
      <c r="I9" s="256"/>
      <c r="J9" s="269"/>
      <c r="K9" s="31"/>
      <c r="L9" s="268"/>
      <c r="M9" s="256"/>
      <c r="N9" s="256"/>
      <c r="O9" s="256"/>
      <c r="P9" s="256"/>
      <c r="Q9" s="257"/>
      <c r="S9" s="268"/>
      <c r="T9" s="273"/>
      <c r="U9" s="269"/>
    </row>
    <row r="10" spans="4:21" ht="20.100000000000001" customHeight="1">
      <c r="D10" s="268"/>
      <c r="E10" s="256"/>
      <c r="F10" s="256"/>
      <c r="G10" s="256"/>
      <c r="H10" s="256"/>
      <c r="I10" s="256"/>
      <c r="J10" s="269"/>
      <c r="K10" s="31"/>
      <c r="L10" s="268"/>
      <c r="M10" s="256"/>
      <c r="N10" s="256"/>
      <c r="O10" s="256"/>
      <c r="P10" s="256"/>
      <c r="Q10" s="257"/>
      <c r="S10" s="268"/>
      <c r="T10" s="273"/>
      <c r="U10" s="269"/>
    </row>
    <row r="11" spans="4:21" ht="20.100000000000001" customHeight="1">
      <c r="D11" s="268"/>
      <c r="E11" s="256"/>
      <c r="F11" s="256"/>
      <c r="G11" s="256"/>
      <c r="H11" s="256"/>
      <c r="I11" s="256"/>
      <c r="J11" s="269"/>
      <c r="K11" s="31"/>
      <c r="L11" s="268"/>
      <c r="M11" s="256"/>
      <c r="N11" s="256"/>
      <c r="O11" s="256"/>
      <c r="P11" s="256"/>
      <c r="Q11" s="257"/>
      <c r="S11" s="268"/>
      <c r="T11" s="273"/>
      <c r="U11" s="269"/>
    </row>
    <row r="12" spans="4:21" ht="20.100000000000001" customHeight="1">
      <c r="D12" s="268"/>
      <c r="E12" s="256"/>
      <c r="F12" s="256"/>
      <c r="G12" s="256"/>
      <c r="H12" s="256"/>
      <c r="I12" s="256"/>
      <c r="J12" s="269"/>
      <c r="K12" s="31"/>
      <c r="L12" s="268"/>
      <c r="M12" s="256"/>
      <c r="N12" s="256"/>
      <c r="O12" s="256"/>
      <c r="P12" s="256"/>
      <c r="Q12" s="257"/>
      <c r="S12" s="268"/>
      <c r="T12" s="273"/>
      <c r="U12" s="269"/>
    </row>
    <row r="13" spans="4:21" ht="20.100000000000001" customHeight="1">
      <c r="D13" s="268"/>
      <c r="E13" s="256"/>
      <c r="F13" s="256"/>
      <c r="G13" s="256"/>
      <c r="H13" s="256"/>
      <c r="I13" s="256"/>
      <c r="J13" s="269"/>
      <c r="K13" s="31"/>
      <c r="L13" s="268"/>
      <c r="M13" s="256"/>
      <c r="N13" s="256"/>
      <c r="O13" s="256"/>
      <c r="P13" s="256"/>
      <c r="Q13" s="257"/>
      <c r="S13" s="268"/>
      <c r="T13" s="273"/>
      <c r="U13" s="269"/>
    </row>
    <row r="14" spans="4:21" ht="20.100000000000001" customHeight="1">
      <c r="D14" s="268"/>
      <c r="E14" s="256"/>
      <c r="F14" s="256"/>
      <c r="G14" s="256"/>
      <c r="H14" s="256"/>
      <c r="I14" s="256"/>
      <c r="J14" s="269"/>
      <c r="K14" s="31"/>
      <c r="L14" s="268"/>
      <c r="M14" s="256"/>
      <c r="N14" s="256"/>
      <c r="O14" s="256"/>
      <c r="P14" s="256"/>
      <c r="Q14" s="257"/>
      <c r="S14" s="268"/>
      <c r="T14" s="273"/>
      <c r="U14" s="269"/>
    </row>
    <row r="15" spans="4:21" ht="20.100000000000001" customHeight="1">
      <c r="D15" s="268"/>
      <c r="E15" s="256"/>
      <c r="F15" s="256"/>
      <c r="G15" s="256"/>
      <c r="H15" s="256"/>
      <c r="I15" s="256"/>
      <c r="J15" s="269"/>
      <c r="K15" s="31"/>
      <c r="L15" s="268"/>
      <c r="M15" s="256"/>
      <c r="N15" s="256"/>
      <c r="O15" s="256"/>
      <c r="P15" s="256"/>
      <c r="Q15" s="257"/>
      <c r="S15" s="268"/>
      <c r="T15" s="273"/>
      <c r="U15" s="269"/>
    </row>
    <row r="16" spans="4:21" ht="20.100000000000001" customHeight="1" thickBot="1">
      <c r="D16" s="270"/>
      <c r="E16" s="247"/>
      <c r="F16" s="247"/>
      <c r="G16" s="247"/>
      <c r="H16" s="247"/>
      <c r="I16" s="247"/>
      <c r="J16" s="271"/>
      <c r="K16" s="31"/>
      <c r="L16" s="270"/>
      <c r="M16" s="247"/>
      <c r="N16" s="247"/>
      <c r="O16" s="247"/>
      <c r="P16" s="247"/>
      <c r="Q16" s="248"/>
      <c r="S16" s="270"/>
      <c r="T16" s="274"/>
      <c r="U16" s="271"/>
    </row>
    <row r="17" spans="3:21" ht="20.100000000000001" customHeight="1">
      <c r="D17" s="31"/>
      <c r="E17" s="31"/>
      <c r="F17" s="31"/>
      <c r="G17" s="31"/>
      <c r="H17" s="31"/>
      <c r="I17" s="31"/>
      <c r="J17" s="207"/>
      <c r="K17" s="31"/>
      <c r="L17" s="31"/>
      <c r="M17" s="31"/>
      <c r="N17" s="31"/>
      <c r="O17" s="31"/>
      <c r="P17" s="31"/>
      <c r="Q17" s="31"/>
      <c r="S17" s="31"/>
      <c r="T17" s="207"/>
      <c r="U17" s="207"/>
    </row>
    <row r="18" spans="3:21" ht="20.100000000000001" customHeight="1">
      <c r="D18" s="31"/>
      <c r="E18" s="31"/>
      <c r="F18" s="31"/>
      <c r="G18" s="31"/>
      <c r="H18" s="31"/>
      <c r="I18" s="31"/>
      <c r="J18" s="207"/>
      <c r="K18" s="31"/>
      <c r="L18" s="31"/>
      <c r="M18" s="31"/>
      <c r="N18" s="31"/>
      <c r="O18" s="31"/>
      <c r="P18" s="31"/>
      <c r="Q18" s="31"/>
      <c r="S18" s="31"/>
      <c r="T18" s="207"/>
      <c r="U18" s="207"/>
    </row>
    <row r="19" spans="3:21" ht="20.100000000000001" customHeight="1">
      <c r="H19" s="208"/>
      <c r="J19" s="209"/>
      <c r="K19" s="209"/>
      <c r="L19" s="209"/>
      <c r="M19" s="209"/>
      <c r="N19" s="209"/>
      <c r="O19" s="209"/>
      <c r="P19" s="209"/>
      <c r="S19" s="31"/>
      <c r="T19" s="207"/>
      <c r="U19" s="207"/>
    </row>
    <row r="20" spans="3:21" s="31" customFormat="1" ht="26.25" customHeight="1" thickBot="1">
      <c r="D20" s="46" t="s">
        <v>253</v>
      </c>
      <c r="F20" s="46"/>
      <c r="H20" s="205"/>
      <c r="T20" s="207"/>
      <c r="U20" s="207"/>
    </row>
    <row r="21" spans="3:21" s="47" customFormat="1" ht="36" customHeight="1">
      <c r="D21" s="275" t="s">
        <v>283</v>
      </c>
      <c r="E21" s="276" t="s">
        <v>229</v>
      </c>
      <c r="F21" s="277"/>
      <c r="G21" s="276"/>
      <c r="H21" s="278"/>
      <c r="I21" s="276"/>
      <c r="J21" s="276"/>
      <c r="K21" s="276"/>
      <c r="L21" s="276"/>
      <c r="M21" s="276"/>
      <c r="N21" s="276"/>
      <c r="O21" s="276"/>
      <c r="P21" s="279"/>
      <c r="Q21" s="46"/>
      <c r="S21" s="46"/>
      <c r="T21" s="211"/>
      <c r="U21" s="211"/>
    </row>
    <row r="22" spans="3:21" s="31" customFormat="1" ht="23.1" customHeight="1">
      <c r="D22" s="305" t="s">
        <v>257</v>
      </c>
      <c r="E22" s="263">
        <v>19.98</v>
      </c>
      <c r="F22" s="263"/>
      <c r="G22" s="263"/>
      <c r="H22" s="263"/>
      <c r="I22" s="263"/>
      <c r="J22" s="343"/>
      <c r="K22" s="344"/>
      <c r="L22" s="344"/>
      <c r="M22" s="344"/>
      <c r="N22" s="344"/>
      <c r="O22" s="344"/>
      <c r="P22" s="345"/>
      <c r="T22" s="207"/>
      <c r="U22" s="207"/>
    </row>
    <row r="23" spans="3:21" s="31" customFormat="1" ht="23.1" customHeight="1">
      <c r="D23" s="305" t="s">
        <v>234</v>
      </c>
      <c r="E23" s="263">
        <v>0.35677999999999999</v>
      </c>
      <c r="F23" s="263"/>
      <c r="G23" s="263"/>
      <c r="H23" s="263"/>
      <c r="I23" s="263"/>
      <c r="J23" s="343"/>
      <c r="K23" s="344"/>
      <c r="L23" s="344"/>
      <c r="M23" s="344"/>
      <c r="N23" s="344"/>
      <c r="O23" s="344"/>
      <c r="P23" s="345"/>
      <c r="T23" s="207"/>
      <c r="U23" s="207"/>
    </row>
    <row r="24" spans="3:21" s="31" customFormat="1" ht="23.1" customHeight="1">
      <c r="D24" s="305" t="s">
        <v>235</v>
      </c>
      <c r="E24" s="256">
        <v>8.3819999999999999E-4</v>
      </c>
      <c r="F24" s="256"/>
      <c r="G24" s="256"/>
      <c r="H24" s="256"/>
      <c r="I24" s="256"/>
      <c r="J24" s="344"/>
      <c r="K24" s="344"/>
      <c r="L24" s="344"/>
      <c r="M24" s="344"/>
      <c r="N24" s="344"/>
      <c r="O24" s="344"/>
      <c r="P24" s="345"/>
      <c r="T24" s="207"/>
      <c r="U24" s="207"/>
    </row>
    <row r="25" spans="3:21" s="31" customFormat="1" ht="23.1" customHeight="1">
      <c r="D25" s="305" t="s">
        <v>256</v>
      </c>
      <c r="E25" s="256">
        <v>0.70830000000000004</v>
      </c>
      <c r="F25" s="256"/>
      <c r="G25" s="256"/>
      <c r="H25" s="256"/>
      <c r="I25" s="256"/>
      <c r="J25" s="344"/>
      <c r="K25" s="344"/>
      <c r="L25" s="344"/>
      <c r="M25" s="344"/>
      <c r="N25" s="344"/>
      <c r="O25" s="344"/>
      <c r="P25" s="345"/>
      <c r="T25" s="207"/>
      <c r="U25" s="207"/>
    </row>
    <row r="26" spans="3:21" s="31" customFormat="1" ht="23.1" customHeight="1">
      <c r="D26" s="305" t="s">
        <v>255</v>
      </c>
      <c r="E26" s="256">
        <v>3.91</v>
      </c>
      <c r="F26" s="256"/>
      <c r="G26" s="256"/>
      <c r="H26" s="256"/>
      <c r="I26" s="256"/>
      <c r="J26" s="344"/>
      <c r="K26" s="344"/>
      <c r="L26" s="344"/>
      <c r="M26" s="344"/>
      <c r="N26" s="344"/>
      <c r="O26" s="344"/>
      <c r="P26" s="345"/>
      <c r="T26" s="207"/>
      <c r="U26" s="207"/>
    </row>
    <row r="27" spans="3:21" s="31" customFormat="1" ht="23.1" customHeight="1" thickBot="1">
      <c r="D27" s="306" t="s">
        <v>254</v>
      </c>
      <c r="E27" s="247">
        <v>56</v>
      </c>
      <c r="F27" s="247"/>
      <c r="G27" s="247"/>
      <c r="H27" s="247"/>
      <c r="I27" s="247"/>
      <c r="J27" s="346"/>
      <c r="K27" s="346"/>
      <c r="L27" s="346"/>
      <c r="M27" s="346"/>
      <c r="N27" s="346"/>
      <c r="O27" s="346"/>
      <c r="P27" s="347"/>
      <c r="T27" s="207"/>
      <c r="U27" s="207"/>
    </row>
    <row r="28" spans="3:21" ht="20.100000000000001" customHeight="1">
      <c r="D28" s="37"/>
      <c r="E28" s="37"/>
      <c r="F28" s="209"/>
      <c r="G28" s="37"/>
      <c r="H28" s="208"/>
      <c r="T28" s="210"/>
      <c r="U28" s="210"/>
    </row>
    <row r="29" spans="3:21" ht="20.100000000000001" customHeight="1">
      <c r="D29" s="31"/>
      <c r="E29" s="31"/>
      <c r="F29" s="31"/>
      <c r="G29" s="31"/>
      <c r="H29" s="31"/>
      <c r="I29" s="31"/>
      <c r="J29" s="207"/>
      <c r="K29" s="31"/>
      <c r="L29" s="31"/>
      <c r="M29" s="31"/>
      <c r="N29" s="31"/>
      <c r="O29" s="31"/>
      <c r="P29" s="31"/>
      <c r="Q29" s="31"/>
      <c r="T29" s="210"/>
      <c r="U29" s="210"/>
    </row>
    <row r="30" spans="3:21" ht="32.25" customHeight="1" thickBot="1">
      <c r="D30" s="31"/>
      <c r="E30" s="31"/>
      <c r="F30" s="31"/>
      <c r="G30" s="31"/>
      <c r="H30" s="46" t="s">
        <v>354</v>
      </c>
      <c r="I30" s="206"/>
      <c r="J30" s="207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0" t="s">
        <v>219</v>
      </c>
      <c r="D31" s="281" t="s">
        <v>238</v>
      </c>
      <c r="E31" s="281" t="s">
        <v>286</v>
      </c>
      <c r="F31" s="282" t="s">
        <v>287</v>
      </c>
      <c r="H31" s="280" t="s">
        <v>260</v>
      </c>
      <c r="I31" s="281" t="s">
        <v>261</v>
      </c>
      <c r="J31" s="285" t="s">
        <v>262</v>
      </c>
      <c r="K31" s="281" t="s">
        <v>263</v>
      </c>
      <c r="L31" s="281" t="s">
        <v>264</v>
      </c>
      <c r="M31" s="282" t="s">
        <v>265</v>
      </c>
      <c r="O31" s="253" t="s">
        <v>288</v>
      </c>
      <c r="P31" s="254" t="s">
        <v>289</v>
      </c>
      <c r="Q31" s="255" t="s">
        <v>290</v>
      </c>
    </row>
    <row r="32" spans="3:21" ht="20.100000000000001" customHeight="1">
      <c r="C32" s="534" t="s">
        <v>229</v>
      </c>
      <c r="D32" s="283" t="s">
        <v>266</v>
      </c>
      <c r="E32" s="263">
        <v>27.5</v>
      </c>
      <c r="F32" s="257">
        <v>8.3819999999999999E-4</v>
      </c>
      <c r="G32" s="31"/>
      <c r="H32" s="227" t="s">
        <v>229</v>
      </c>
      <c r="I32" s="290">
        <v>84.1</v>
      </c>
      <c r="J32" s="290">
        <v>103</v>
      </c>
      <c r="K32" s="290">
        <v>194.9</v>
      </c>
      <c r="L32" s="256">
        <v>127.3</v>
      </c>
      <c r="M32" s="257">
        <v>194.9</v>
      </c>
      <c r="N32" s="31"/>
      <c r="O32" s="227" t="s">
        <v>229</v>
      </c>
      <c r="P32" s="263">
        <v>-3.1303999999999998</v>
      </c>
      <c r="Q32" s="264">
        <v>2.2879999999999998</v>
      </c>
    </row>
    <row r="33" spans="3:17" ht="20.100000000000001" customHeight="1">
      <c r="C33" s="534"/>
      <c r="D33" s="283" t="s">
        <v>267</v>
      </c>
      <c r="E33" s="263">
        <v>12.46</v>
      </c>
      <c r="F33" s="257"/>
      <c r="G33" s="31"/>
      <c r="H33" s="227"/>
      <c r="I33" s="290"/>
      <c r="J33" s="290"/>
      <c r="K33" s="290"/>
      <c r="L33" s="256"/>
      <c r="M33" s="257"/>
      <c r="N33" s="31"/>
      <c r="O33" s="227"/>
      <c r="P33" s="263"/>
      <c r="Q33" s="264"/>
    </row>
    <row r="34" spans="3:17" ht="20.100000000000001" customHeight="1">
      <c r="C34" s="534"/>
      <c r="D34" s="283" t="s">
        <v>268</v>
      </c>
      <c r="E34" s="348">
        <v>19.98</v>
      </c>
      <c r="F34" s="356">
        <v>8.3819999999999999E-4</v>
      </c>
      <c r="G34" s="31"/>
      <c r="H34" s="227"/>
      <c r="I34" s="290"/>
      <c r="J34" s="290"/>
      <c r="K34" s="290"/>
      <c r="L34" s="256"/>
      <c r="M34" s="257"/>
      <c r="N34" s="31"/>
      <c r="O34" s="227"/>
      <c r="P34" s="263"/>
      <c r="Q34" s="264"/>
    </row>
    <row r="35" spans="3:17" ht="20.100000000000001" customHeight="1">
      <c r="C35" s="534"/>
      <c r="D35" s="283"/>
      <c r="E35" s="263"/>
      <c r="F35" s="257"/>
      <c r="G35" s="31"/>
      <c r="H35" s="227"/>
      <c r="I35" s="290"/>
      <c r="J35" s="290"/>
      <c r="K35" s="290"/>
      <c r="L35" s="256"/>
      <c r="M35" s="257"/>
      <c r="N35" s="31"/>
      <c r="O35" s="227"/>
      <c r="P35" s="263"/>
      <c r="Q35" s="264"/>
    </row>
    <row r="36" spans="3:17" ht="20.100000000000001" customHeight="1">
      <c r="C36" s="534"/>
      <c r="D36" s="283"/>
      <c r="E36" s="263"/>
      <c r="F36" s="257"/>
      <c r="G36" s="31"/>
      <c r="H36" s="227"/>
      <c r="I36" s="290"/>
      <c r="J36" s="290"/>
      <c r="K36" s="290"/>
      <c r="L36" s="256"/>
      <c r="M36" s="257"/>
      <c r="N36" s="31"/>
      <c r="O36" s="227"/>
      <c r="P36" s="263"/>
      <c r="Q36" s="264"/>
    </row>
    <row r="37" spans="3:17" ht="20.100000000000001" customHeight="1">
      <c r="C37" s="534"/>
      <c r="D37" s="283"/>
      <c r="E37" s="348"/>
      <c r="F37" s="356"/>
      <c r="G37" s="31"/>
      <c r="H37" s="227"/>
      <c r="I37" s="290"/>
      <c r="J37" s="290"/>
      <c r="K37" s="290"/>
      <c r="L37" s="256"/>
      <c r="M37" s="257"/>
      <c r="N37" s="31"/>
      <c r="O37" s="227"/>
      <c r="P37" s="263"/>
      <c r="Q37" s="264"/>
    </row>
    <row r="38" spans="3:17" ht="20.100000000000001" customHeight="1">
      <c r="C38" s="534"/>
      <c r="D38" s="283"/>
      <c r="E38" s="263"/>
      <c r="F38" s="257"/>
      <c r="G38" s="31"/>
      <c r="H38" s="227"/>
      <c r="I38" s="256"/>
      <c r="J38" s="256"/>
      <c r="K38" s="256"/>
      <c r="L38" s="256"/>
      <c r="M38" s="257"/>
      <c r="N38" s="31"/>
      <c r="O38" s="227"/>
      <c r="P38" s="256"/>
      <c r="Q38" s="257"/>
    </row>
    <row r="39" spans="3:17" ht="20.100000000000001" customHeight="1">
      <c r="C39" s="534"/>
      <c r="D39" s="283"/>
      <c r="E39" s="263"/>
      <c r="F39" s="257"/>
      <c r="G39" s="31"/>
      <c r="H39" s="227"/>
      <c r="I39" s="256"/>
      <c r="J39" s="256"/>
      <c r="K39" s="256"/>
      <c r="L39" s="256"/>
      <c r="M39" s="257"/>
      <c r="N39" s="31"/>
      <c r="O39" s="227"/>
      <c r="P39" s="256"/>
      <c r="Q39" s="257"/>
    </row>
    <row r="40" spans="3:17" ht="20.100000000000001" customHeight="1">
      <c r="C40" s="534"/>
      <c r="D40" s="283"/>
      <c r="E40" s="348"/>
      <c r="F40" s="356"/>
      <c r="G40" s="31"/>
      <c r="H40" s="227"/>
      <c r="I40" s="256"/>
      <c r="J40" s="256"/>
      <c r="K40" s="256"/>
      <c r="L40" s="256"/>
      <c r="M40" s="257"/>
      <c r="N40" s="31"/>
      <c r="O40" s="227"/>
      <c r="P40" s="256"/>
      <c r="Q40" s="257"/>
    </row>
    <row r="41" spans="3:17" ht="20.100000000000001" customHeight="1">
      <c r="C41" s="534"/>
      <c r="D41" s="283"/>
      <c r="E41" s="263"/>
      <c r="F41" s="257"/>
      <c r="G41" s="31"/>
      <c r="H41" s="227"/>
      <c r="I41" s="256"/>
      <c r="J41" s="256"/>
      <c r="K41" s="256"/>
      <c r="L41" s="256"/>
      <c r="M41" s="257"/>
      <c r="N41" s="31"/>
      <c r="O41" s="227"/>
      <c r="P41" s="256"/>
      <c r="Q41" s="257"/>
    </row>
    <row r="42" spans="3:17" ht="20.100000000000001" customHeight="1">
      <c r="C42" s="534"/>
      <c r="D42" s="283"/>
      <c r="E42" s="263"/>
      <c r="F42" s="257"/>
      <c r="G42" s="31"/>
      <c r="H42" s="227"/>
      <c r="I42" s="256"/>
      <c r="J42" s="256"/>
      <c r="K42" s="256"/>
      <c r="L42" s="256"/>
      <c r="M42" s="257"/>
      <c r="N42" s="31"/>
      <c r="O42" s="227"/>
      <c r="P42" s="256"/>
      <c r="Q42" s="257"/>
    </row>
    <row r="43" spans="3:17" ht="20.100000000000001" customHeight="1">
      <c r="C43" s="534"/>
      <c r="D43" s="283"/>
      <c r="E43" s="348"/>
      <c r="F43" s="356"/>
      <c r="G43" s="31"/>
      <c r="H43" s="227"/>
      <c r="I43" s="256"/>
      <c r="J43" s="256"/>
      <c r="K43" s="256"/>
      <c r="L43" s="256"/>
      <c r="M43" s="257"/>
      <c r="N43" s="31"/>
      <c r="O43" s="227"/>
      <c r="P43" s="256"/>
      <c r="Q43" s="257"/>
    </row>
    <row r="44" spans="3:17" ht="20.100000000000001" customHeight="1">
      <c r="C44" s="534"/>
      <c r="D44" s="283"/>
      <c r="E44" s="263"/>
      <c r="F44" s="257"/>
      <c r="G44" s="31"/>
      <c r="H44" s="227"/>
      <c r="I44" s="256"/>
      <c r="J44" s="256"/>
      <c r="K44" s="256"/>
      <c r="L44" s="256"/>
      <c r="M44" s="257"/>
      <c r="N44" s="31"/>
      <c r="O44" s="227"/>
      <c r="P44" s="256"/>
      <c r="Q44" s="257"/>
    </row>
    <row r="45" spans="3:17" ht="20.100000000000001" customHeight="1" thickBot="1">
      <c r="C45" s="534"/>
      <c r="D45" s="283"/>
      <c r="E45" s="263"/>
      <c r="F45" s="257"/>
      <c r="G45" s="31"/>
      <c r="H45" s="228"/>
      <c r="I45" s="247"/>
      <c r="J45" s="247"/>
      <c r="K45" s="247"/>
      <c r="L45" s="247"/>
      <c r="M45" s="248"/>
      <c r="N45" s="31"/>
      <c r="O45" s="228"/>
      <c r="P45" s="247"/>
      <c r="Q45" s="248"/>
    </row>
    <row r="46" spans="3:17" ht="20.100000000000001" customHeight="1">
      <c r="C46" s="534"/>
      <c r="D46" s="283"/>
      <c r="E46" s="348"/>
      <c r="F46" s="356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534"/>
      <c r="D47" s="283"/>
      <c r="E47" s="263"/>
      <c r="F47" s="257"/>
    </row>
    <row r="48" spans="3:17" ht="20.100000000000001" customHeight="1">
      <c r="C48" s="534"/>
      <c r="D48" s="283"/>
      <c r="E48" s="263"/>
      <c r="F48" s="257"/>
    </row>
    <row r="49" spans="3:6" ht="20.100000000000001" customHeight="1">
      <c r="C49" s="534"/>
      <c r="D49" s="283"/>
      <c r="E49" s="348"/>
      <c r="F49" s="356"/>
    </row>
    <row r="50" spans="3:6" ht="20.100000000000001" customHeight="1">
      <c r="C50" s="534"/>
      <c r="D50" s="283"/>
      <c r="E50" s="256"/>
      <c r="F50" s="257"/>
    </row>
    <row r="51" spans="3:6" ht="20.100000000000001" customHeight="1">
      <c r="C51" s="534"/>
      <c r="D51" s="283"/>
      <c r="E51" s="256"/>
      <c r="F51" s="257"/>
    </row>
    <row r="52" spans="3:6" ht="20.100000000000001" customHeight="1">
      <c r="C52" s="534"/>
      <c r="D52" s="283"/>
      <c r="E52" s="256"/>
      <c r="F52" s="257"/>
    </row>
    <row r="53" spans="3:6" ht="20.100000000000001" customHeight="1">
      <c r="C53" s="534"/>
      <c r="D53" s="283"/>
      <c r="E53" s="256"/>
      <c r="F53" s="257"/>
    </row>
    <row r="54" spans="3:6" ht="20.100000000000001" customHeight="1">
      <c r="C54" s="534"/>
      <c r="D54" s="283"/>
      <c r="E54" s="256"/>
      <c r="F54" s="257"/>
    </row>
    <row r="55" spans="3:6" ht="20.100000000000001" customHeight="1">
      <c r="C55" s="534"/>
      <c r="D55" s="283"/>
      <c r="E55" s="256"/>
      <c r="F55" s="257"/>
    </row>
    <row r="56" spans="3:6" ht="20.100000000000001" customHeight="1">
      <c r="C56" s="534"/>
      <c r="D56" s="283"/>
      <c r="E56" s="256"/>
      <c r="F56" s="257"/>
    </row>
    <row r="57" spans="3:6" ht="20.100000000000001" customHeight="1">
      <c r="C57" s="534"/>
      <c r="D57" s="283"/>
      <c r="E57" s="256"/>
      <c r="F57" s="257"/>
    </row>
    <row r="58" spans="3:6" ht="20.100000000000001" customHeight="1">
      <c r="C58" s="534"/>
      <c r="D58" s="283"/>
      <c r="E58" s="256"/>
      <c r="F58" s="257"/>
    </row>
    <row r="59" spans="3:6" ht="20.100000000000001" customHeight="1">
      <c r="C59" s="534"/>
      <c r="D59" s="283"/>
      <c r="E59" s="256"/>
      <c r="F59" s="257"/>
    </row>
    <row r="60" spans="3:6" ht="20.100000000000001" customHeight="1">
      <c r="C60" s="534"/>
      <c r="D60" s="283"/>
      <c r="E60" s="256"/>
      <c r="F60" s="257"/>
    </row>
    <row r="61" spans="3:6" ht="20.100000000000001" customHeight="1">
      <c r="C61" s="534"/>
      <c r="D61" s="283"/>
      <c r="E61" s="256"/>
      <c r="F61" s="257"/>
    </row>
    <row r="62" spans="3:6" ht="20.100000000000001" customHeight="1">
      <c r="C62" s="534"/>
      <c r="D62" s="283"/>
      <c r="E62" s="256"/>
      <c r="F62" s="257"/>
    </row>
    <row r="63" spans="3:6" ht="20.100000000000001" customHeight="1">
      <c r="C63" s="534"/>
      <c r="D63" s="283"/>
      <c r="E63" s="256"/>
      <c r="F63" s="257"/>
    </row>
    <row r="64" spans="3:6" ht="20.100000000000001" customHeight="1">
      <c r="C64" s="534"/>
      <c r="D64" s="283"/>
      <c r="E64" s="256"/>
      <c r="F64" s="257"/>
    </row>
    <row r="65" spans="3:6" ht="20.100000000000001" customHeight="1">
      <c r="C65" s="534"/>
      <c r="D65" s="283"/>
      <c r="E65" s="256"/>
      <c r="F65" s="257"/>
    </row>
    <row r="66" spans="3:6" ht="20.100000000000001" customHeight="1">
      <c r="C66" s="534"/>
      <c r="D66" s="283"/>
      <c r="E66" s="256"/>
      <c r="F66" s="257"/>
    </row>
    <row r="67" spans="3:6" ht="20.100000000000001" customHeight="1" thickBot="1">
      <c r="C67" s="535"/>
      <c r="D67" s="284"/>
      <c r="E67" s="247"/>
      <c r="F67" s="248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2" t="s">
        <v>252</v>
      </c>
    </row>
    <row r="3" spans="3:15" s="46" customFormat="1" ht="28.5" customHeight="1">
      <c r="C3" s="393" t="s">
        <v>219</v>
      </c>
      <c r="D3" s="394" t="s">
        <v>242</v>
      </c>
      <c r="E3" s="394" t="s">
        <v>216</v>
      </c>
      <c r="F3" s="394" t="s">
        <v>243</v>
      </c>
      <c r="G3" s="394" t="s">
        <v>247</v>
      </c>
      <c r="H3" s="394" t="s">
        <v>249</v>
      </c>
      <c r="I3" s="394" t="s">
        <v>222</v>
      </c>
      <c r="J3" s="394" t="s">
        <v>250</v>
      </c>
      <c r="K3" s="394" t="s">
        <v>119</v>
      </c>
      <c r="L3" s="394" t="s">
        <v>248</v>
      </c>
      <c r="M3" s="394" t="s">
        <v>244</v>
      </c>
      <c r="N3" s="394" t="s">
        <v>245</v>
      </c>
      <c r="O3" s="395" t="s">
        <v>246</v>
      </c>
    </row>
    <row r="4" spans="3:15" ht="20.100000000000001" customHeight="1">
      <c r="C4" s="259" t="s">
        <v>229</v>
      </c>
      <c r="D4" s="259" t="s">
        <v>284</v>
      </c>
      <c r="E4" s="259">
        <v>178</v>
      </c>
      <c r="F4" s="259">
        <v>19.98</v>
      </c>
      <c r="G4" s="396">
        <v>19.98</v>
      </c>
      <c r="H4" s="259">
        <v>0.03</v>
      </c>
      <c r="I4" s="259">
        <v>56</v>
      </c>
      <c r="J4" s="397">
        <v>56</v>
      </c>
      <c r="K4" s="259">
        <v>199</v>
      </c>
      <c r="L4" s="397">
        <v>199</v>
      </c>
      <c r="M4" s="259">
        <v>1.21E-2</v>
      </c>
      <c r="N4" s="396">
        <v>1.21E-2</v>
      </c>
      <c r="O4" s="259" t="s">
        <v>251</v>
      </c>
    </row>
    <row r="5" spans="3:15" ht="20.100000000000001" customHeight="1">
      <c r="C5" s="259"/>
      <c r="D5" s="259"/>
      <c r="E5" s="259"/>
      <c r="F5" s="259"/>
      <c r="G5" s="396"/>
      <c r="H5" s="259"/>
      <c r="I5" s="259"/>
      <c r="J5" s="397"/>
      <c r="K5" s="259"/>
      <c r="L5" s="397"/>
      <c r="M5" s="259"/>
      <c r="N5" s="396"/>
      <c r="O5" s="259"/>
    </row>
    <row r="6" spans="3:15" ht="20.100000000000001" customHeight="1">
      <c r="C6" s="259"/>
      <c r="D6" s="259"/>
      <c r="E6" s="259"/>
      <c r="F6" s="259"/>
      <c r="G6" s="396"/>
      <c r="H6" s="259"/>
      <c r="I6" s="259"/>
      <c r="J6" s="397"/>
      <c r="K6" s="259"/>
      <c r="L6" s="397"/>
      <c r="M6" s="259"/>
      <c r="N6" s="396"/>
      <c r="O6" s="259"/>
    </row>
    <row r="7" spans="3:15" ht="20.100000000000001" customHeight="1">
      <c r="C7" s="259"/>
      <c r="D7" s="259"/>
      <c r="E7" s="259"/>
      <c r="F7" s="259"/>
      <c r="G7" s="396"/>
      <c r="H7" s="259"/>
      <c r="I7" s="259"/>
      <c r="J7" s="397"/>
      <c r="K7" s="259"/>
      <c r="L7" s="397"/>
      <c r="M7" s="259"/>
      <c r="N7" s="396"/>
      <c r="O7" s="259"/>
    </row>
    <row r="8" spans="3:15" ht="20.100000000000001" customHeight="1">
      <c r="C8" s="259"/>
      <c r="D8" s="259"/>
      <c r="E8" s="259"/>
      <c r="F8" s="259"/>
      <c r="G8" s="396"/>
      <c r="H8" s="259"/>
      <c r="I8" s="259"/>
      <c r="J8" s="397"/>
      <c r="K8" s="259"/>
      <c r="L8" s="397"/>
      <c r="M8" s="259"/>
      <c r="N8" s="396"/>
      <c r="O8" s="259"/>
    </row>
    <row r="9" spans="3:15" ht="20.100000000000001" customHeight="1">
      <c r="C9" s="259"/>
      <c r="D9" s="259"/>
      <c r="E9" s="259"/>
      <c r="F9" s="259"/>
      <c r="G9" s="396"/>
      <c r="H9" s="259"/>
      <c r="I9" s="259"/>
      <c r="J9" s="397"/>
      <c r="K9" s="259"/>
      <c r="L9" s="397"/>
      <c r="M9" s="259"/>
      <c r="N9" s="396"/>
      <c r="O9" s="259"/>
    </row>
    <row r="10" spans="3:15" ht="20.100000000000001" customHeight="1">
      <c r="C10" s="259"/>
      <c r="D10" s="307"/>
      <c r="E10" s="259"/>
      <c r="F10" s="259"/>
      <c r="G10" s="307"/>
      <c r="H10" s="307"/>
      <c r="I10" s="259"/>
      <c r="J10" s="307"/>
      <c r="K10" s="259"/>
      <c r="L10" s="307"/>
      <c r="M10" s="259"/>
      <c r="N10" s="307"/>
      <c r="O10" s="307"/>
    </row>
    <row r="11" spans="3:15" ht="20.100000000000001" customHeight="1">
      <c r="C11" s="259"/>
      <c r="D11" s="307"/>
      <c r="E11" s="259"/>
      <c r="F11" s="259"/>
      <c r="G11" s="307"/>
      <c r="H11" s="307"/>
      <c r="I11" s="259"/>
      <c r="J11" s="307"/>
      <c r="K11" s="259"/>
      <c r="L11" s="307"/>
      <c r="M11" s="259"/>
      <c r="N11" s="307"/>
      <c r="O11" s="307"/>
    </row>
    <row r="12" spans="3:15" ht="20.100000000000001" customHeight="1">
      <c r="C12" s="259"/>
      <c r="D12" s="307"/>
      <c r="E12" s="259"/>
      <c r="F12" s="259"/>
      <c r="G12" s="307"/>
      <c r="H12" s="307"/>
      <c r="I12" s="259"/>
      <c r="J12" s="307"/>
      <c r="K12" s="259"/>
      <c r="L12" s="307"/>
      <c r="M12" s="259"/>
      <c r="N12" s="307"/>
      <c r="O12" s="307"/>
    </row>
    <row r="13" spans="3:15" ht="20.100000000000001" customHeight="1">
      <c r="C13" s="259"/>
      <c r="D13" s="307"/>
      <c r="E13" s="259"/>
      <c r="F13" s="259"/>
      <c r="G13" s="307"/>
      <c r="H13" s="307"/>
      <c r="I13" s="259"/>
      <c r="J13" s="307"/>
      <c r="K13" s="259"/>
      <c r="L13" s="307"/>
      <c r="M13" s="259"/>
      <c r="N13" s="307"/>
      <c r="O13" s="307"/>
    </row>
    <row r="14" spans="3:15" ht="20.100000000000001" customHeight="1">
      <c r="C14" s="259"/>
      <c r="D14" s="307"/>
      <c r="E14" s="259"/>
      <c r="F14" s="259"/>
      <c r="G14" s="307"/>
      <c r="H14" s="307"/>
      <c r="I14" s="259"/>
      <c r="J14" s="307"/>
      <c r="K14" s="259"/>
      <c r="L14" s="307"/>
      <c r="M14" s="259"/>
      <c r="N14" s="307"/>
      <c r="O14" s="307"/>
    </row>
    <row r="15" spans="3:15" ht="20.100000000000001" customHeight="1">
      <c r="C15" s="259"/>
      <c r="D15" s="307"/>
      <c r="E15" s="259"/>
      <c r="F15" s="259"/>
      <c r="G15" s="307"/>
      <c r="H15" s="307"/>
      <c r="I15" s="259"/>
      <c r="J15" s="307"/>
      <c r="K15" s="259"/>
      <c r="L15" s="307"/>
      <c r="M15" s="259"/>
      <c r="N15" s="307"/>
      <c r="O15" s="307"/>
    </row>
    <row r="16" spans="3:15" ht="20.100000000000001" customHeight="1">
      <c r="C16" s="259"/>
      <c r="D16" s="307"/>
      <c r="E16" s="259"/>
      <c r="F16" s="259"/>
      <c r="G16" s="307"/>
      <c r="H16" s="307"/>
      <c r="I16" s="259"/>
      <c r="J16" s="307"/>
      <c r="K16" s="259"/>
      <c r="L16" s="307"/>
      <c r="M16" s="259"/>
      <c r="N16" s="307"/>
      <c r="O16" s="307"/>
    </row>
    <row r="17" spans="3:15" ht="20.100000000000001" customHeight="1">
      <c r="C17" s="259"/>
      <c r="D17" s="307"/>
      <c r="E17" s="259"/>
      <c r="F17" s="259"/>
      <c r="G17" s="307"/>
      <c r="H17" s="307"/>
      <c r="I17" s="259"/>
      <c r="J17" s="307"/>
      <c r="K17" s="259"/>
      <c r="L17" s="307"/>
      <c r="M17" s="259"/>
      <c r="N17" s="307"/>
      <c r="O17" s="30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O13" sqref="O13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8" max="18" width="13" customWidth="1"/>
  </cols>
  <sheetData>
    <row r="2" spans="4:19" s="215" customFormat="1" ht="27.75" customHeight="1" thickBot="1">
      <c r="D2" s="206" t="s">
        <v>270</v>
      </c>
    </row>
    <row r="3" spans="4:19" s="46" customFormat="1" ht="42.75" customHeight="1">
      <c r="D3" s="217" t="s">
        <v>291</v>
      </c>
      <c r="E3" s="218" t="s">
        <v>292</v>
      </c>
      <c r="F3" s="218" t="s">
        <v>293</v>
      </c>
      <c r="G3" s="218" t="s">
        <v>294</v>
      </c>
      <c r="H3" s="218" t="s">
        <v>295</v>
      </c>
      <c r="I3" s="218" t="s">
        <v>296</v>
      </c>
      <c r="J3" s="218" t="s">
        <v>276</v>
      </c>
      <c r="K3" s="219" t="s">
        <v>277</v>
      </c>
      <c r="M3" s="217" t="s">
        <v>291</v>
      </c>
      <c r="N3" s="218" t="s">
        <v>292</v>
      </c>
      <c r="O3" s="218" t="s">
        <v>293</v>
      </c>
      <c r="P3" s="218" t="s">
        <v>295</v>
      </c>
      <c r="Q3" s="218" t="s">
        <v>296</v>
      </c>
      <c r="R3" s="218" t="s">
        <v>276</v>
      </c>
      <c r="S3" s="219" t="s">
        <v>277</v>
      </c>
    </row>
    <row r="4" spans="4:19" s="216" customFormat="1" ht="33.75" customHeight="1" thickBot="1">
      <c r="D4" s="220">
        <v>1202219</v>
      </c>
      <c r="E4" s="221">
        <v>1324.9</v>
      </c>
      <c r="F4" s="221">
        <v>711.31411604191794</v>
      </c>
      <c r="G4" s="222">
        <v>0.67</v>
      </c>
      <c r="H4" s="221">
        <v>476.58045774808505</v>
      </c>
      <c r="I4" s="223">
        <v>179.3</v>
      </c>
      <c r="J4" s="221">
        <v>178</v>
      </c>
      <c r="K4" s="224">
        <v>119.28045774808504</v>
      </c>
      <c r="M4" s="220">
        <f>D4</f>
        <v>1202219</v>
      </c>
      <c r="N4" s="221">
        <f>E4</f>
        <v>1324.9</v>
      </c>
      <c r="O4" s="221">
        <f>F4</f>
        <v>711.31411604191794</v>
      </c>
      <c r="P4" s="221">
        <f>H4</f>
        <v>476.58045774808505</v>
      </c>
      <c r="Q4" s="223">
        <f>I4</f>
        <v>179.3</v>
      </c>
      <c r="R4" s="221">
        <f>J4</f>
        <v>178</v>
      </c>
      <c r="S4" s="224">
        <f>K4</f>
        <v>119.28045774808504</v>
      </c>
    </row>
    <row r="6" spans="4:19" ht="20.100000000000001" customHeight="1" thickBot="1"/>
    <row r="7" spans="4:19" ht="62.25" customHeight="1">
      <c r="D7" s="217" t="s">
        <v>291</v>
      </c>
      <c r="E7" s="218" t="s">
        <v>292</v>
      </c>
      <c r="F7" s="218" t="s">
        <v>293</v>
      </c>
      <c r="G7" s="218" t="s">
        <v>294</v>
      </c>
      <c r="H7" s="218" t="s">
        <v>295</v>
      </c>
      <c r="I7" s="218" t="s">
        <v>296</v>
      </c>
      <c r="J7" s="218" t="s">
        <v>297</v>
      </c>
      <c r="K7" s="219" t="s">
        <v>276</v>
      </c>
    </row>
    <row r="8" spans="4:19" ht="31.5" customHeight="1" thickBot="1">
      <c r="D8" s="220">
        <v>1202219</v>
      </c>
      <c r="E8" s="221">
        <v>1324.9</v>
      </c>
      <c r="F8" s="221">
        <v>711.31411604191794</v>
      </c>
      <c r="G8" s="222">
        <v>0.67</v>
      </c>
      <c r="H8" s="221">
        <v>476.58045774808505</v>
      </c>
      <c r="I8" s="223">
        <v>179.3</v>
      </c>
      <c r="J8" s="221">
        <v>297.28045774808504</v>
      </c>
      <c r="K8" s="224">
        <v>178</v>
      </c>
    </row>
    <row r="10" spans="4:19" ht="30.75" customHeight="1" thickBot="1">
      <c r="D10" s="206" t="s">
        <v>305</v>
      </c>
    </row>
    <row r="11" spans="4:19" s="46" customFormat="1" ht="39" customHeight="1">
      <c r="D11" s="217" t="s">
        <v>298</v>
      </c>
      <c r="E11" s="225" t="s">
        <v>299</v>
      </c>
      <c r="F11" s="225" t="s">
        <v>300</v>
      </c>
      <c r="G11" s="225" t="s">
        <v>301</v>
      </c>
      <c r="H11" s="225" t="s">
        <v>302</v>
      </c>
      <c r="I11" s="225" t="s">
        <v>303</v>
      </c>
      <c r="J11" s="226" t="s">
        <v>304</v>
      </c>
    </row>
    <row r="12" spans="4:19" s="31" customFormat="1" ht="20.100000000000001" customHeight="1">
      <c r="D12" s="258" t="s">
        <v>229</v>
      </c>
      <c r="E12" s="259">
        <v>80</v>
      </c>
      <c r="F12" s="259">
        <v>178</v>
      </c>
      <c r="G12" s="259">
        <v>2.33</v>
      </c>
      <c r="H12" s="259">
        <v>6.24</v>
      </c>
      <c r="I12" s="259">
        <v>19.98</v>
      </c>
      <c r="J12" s="260">
        <v>8.3819999999999999E-4</v>
      </c>
    </row>
    <row r="13" spans="4:19" s="31" customFormat="1" ht="20.100000000000001" customHeight="1">
      <c r="D13" s="353"/>
      <c r="E13" s="354"/>
      <c r="F13" s="354"/>
      <c r="G13" s="354"/>
      <c r="H13" s="354"/>
      <c r="I13" s="354"/>
      <c r="J13" s="355"/>
    </row>
    <row r="14" spans="4:19" s="31" customFormat="1" ht="20.100000000000001" customHeight="1">
      <c r="D14" s="258"/>
      <c r="E14" s="259"/>
      <c r="F14" s="259"/>
      <c r="G14" s="259"/>
      <c r="H14" s="259"/>
      <c r="I14" s="259"/>
      <c r="J14" s="260"/>
    </row>
    <row r="15" spans="4:19" s="31" customFormat="1" ht="20.100000000000001" customHeight="1">
      <c r="D15" s="353"/>
      <c r="E15" s="354"/>
      <c r="F15" s="354"/>
      <c r="G15" s="354"/>
      <c r="H15" s="354"/>
      <c r="I15" s="354"/>
      <c r="J15" s="355"/>
    </row>
    <row r="16" spans="4:19" s="31" customFormat="1" ht="20.100000000000001" customHeight="1">
      <c r="D16" s="258"/>
      <c r="E16" s="259"/>
      <c r="F16" s="259"/>
      <c r="G16" s="259"/>
      <c r="H16" s="259"/>
      <c r="I16" s="259"/>
      <c r="J16" s="260"/>
    </row>
    <row r="17" spans="4:10" s="31" customFormat="1" ht="20.100000000000001" customHeight="1">
      <c r="D17" s="353"/>
      <c r="E17" s="354"/>
      <c r="F17" s="354"/>
      <c r="G17" s="354"/>
      <c r="H17" s="354"/>
      <c r="I17" s="354"/>
      <c r="J17" s="355"/>
    </row>
    <row r="18" spans="4:10" s="31" customFormat="1" ht="20.100000000000001" customHeight="1">
      <c r="D18" s="258"/>
      <c r="E18" s="259"/>
      <c r="F18" s="259"/>
      <c r="G18" s="259"/>
      <c r="H18" s="259"/>
      <c r="I18" s="259"/>
      <c r="J18" s="260"/>
    </row>
    <row r="19" spans="4:10" s="31" customFormat="1" ht="20.100000000000001" customHeight="1">
      <c r="D19" s="258"/>
      <c r="E19" s="259"/>
      <c r="F19" s="259"/>
      <c r="G19" s="259"/>
      <c r="H19" s="259"/>
      <c r="I19" s="259"/>
      <c r="J19" s="260"/>
    </row>
    <row r="20" spans="4:10" s="31" customFormat="1" ht="20.100000000000001" customHeight="1">
      <c r="D20" s="258"/>
      <c r="E20" s="259"/>
      <c r="F20" s="259"/>
      <c r="G20" s="259"/>
      <c r="H20" s="259"/>
      <c r="I20" s="259"/>
      <c r="J20" s="260"/>
    </row>
    <row r="21" spans="4:10" s="31" customFormat="1" ht="20.100000000000001" customHeight="1">
      <c r="D21" s="258"/>
      <c r="E21" s="259"/>
      <c r="F21" s="259"/>
      <c r="G21" s="259"/>
      <c r="H21" s="259"/>
      <c r="I21" s="259"/>
      <c r="J21" s="260"/>
    </row>
    <row r="22" spans="4:10" s="31" customFormat="1" ht="20.100000000000001" customHeight="1">
      <c r="D22" s="258"/>
      <c r="E22" s="259"/>
      <c r="F22" s="259"/>
      <c r="G22" s="259"/>
      <c r="H22" s="259"/>
      <c r="I22" s="259"/>
      <c r="J22" s="260"/>
    </row>
    <row r="23" spans="4:10" s="31" customFormat="1" ht="20.100000000000001" customHeight="1">
      <c r="D23" s="258"/>
      <c r="E23" s="259"/>
      <c r="F23" s="259"/>
      <c r="G23" s="259"/>
      <c r="H23" s="259"/>
      <c r="I23" s="259"/>
      <c r="J23" s="260"/>
    </row>
    <row r="24" spans="4:10" s="31" customFormat="1" ht="20.100000000000001" customHeight="1" thickBot="1">
      <c r="D24" s="251"/>
      <c r="E24" s="252"/>
      <c r="F24" s="252"/>
      <c r="G24" s="252"/>
      <c r="H24" s="252"/>
      <c r="I24" s="252"/>
      <c r="J24" s="261"/>
    </row>
    <row r="25" spans="4:10" s="31" customFormat="1" ht="20.100000000000001" customHeight="1">
      <c r="D25" s="262"/>
      <c r="E25" s="262"/>
      <c r="F25" s="262"/>
      <c r="G25" s="262"/>
      <c r="H25" s="262"/>
      <c r="I25" s="262"/>
      <c r="J25" s="262"/>
    </row>
    <row r="26" spans="4:10" ht="20.100000000000001" customHeight="1" thickBot="1"/>
    <row r="27" spans="4:10" ht="31.5" customHeight="1">
      <c r="D27" s="217" t="s">
        <v>280</v>
      </c>
      <c r="E27" s="225" t="s">
        <v>278</v>
      </c>
      <c r="F27" s="226" t="s">
        <v>279</v>
      </c>
      <c r="H27" s="217" t="s">
        <v>280</v>
      </c>
      <c r="I27" s="225" t="s">
        <v>306</v>
      </c>
      <c r="J27" s="226" t="s">
        <v>307</v>
      </c>
    </row>
    <row r="28" spans="4:10" s="31" customFormat="1" ht="20.100000000000001" customHeight="1">
      <c r="D28" s="258" t="s">
        <v>229</v>
      </c>
      <c r="E28" s="259" t="s">
        <v>380</v>
      </c>
      <c r="F28" s="260"/>
      <c r="G28" s="262"/>
      <c r="H28" s="258" t="s">
        <v>229</v>
      </c>
      <c r="I28" s="259">
        <v>140</v>
      </c>
      <c r="J28" s="260">
        <v>159</v>
      </c>
    </row>
    <row r="29" spans="4:10" s="31" customFormat="1" ht="20.100000000000001" customHeight="1">
      <c r="D29" s="258"/>
      <c r="E29" s="259"/>
      <c r="F29" s="260"/>
      <c r="G29" s="262"/>
      <c r="H29" s="258"/>
      <c r="I29" s="259"/>
      <c r="J29" s="260"/>
    </row>
    <row r="30" spans="4:10" s="31" customFormat="1" ht="20.100000000000001" customHeight="1">
      <c r="D30" s="258"/>
      <c r="E30" s="259"/>
      <c r="F30" s="260"/>
      <c r="G30" s="262"/>
      <c r="H30" s="258"/>
      <c r="I30" s="259"/>
      <c r="J30" s="260"/>
    </row>
    <row r="31" spans="4:10" s="31" customFormat="1" ht="20.100000000000001" customHeight="1">
      <c r="D31" s="258"/>
      <c r="E31" s="259"/>
      <c r="F31" s="260"/>
      <c r="G31" s="262"/>
      <c r="H31" s="258"/>
      <c r="I31" s="259"/>
      <c r="J31" s="260"/>
    </row>
    <row r="32" spans="4:10" s="31" customFormat="1" ht="20.100000000000001" customHeight="1">
      <c r="D32" s="258"/>
      <c r="E32" s="259"/>
      <c r="F32" s="260"/>
      <c r="G32" s="262"/>
      <c r="H32" s="258"/>
      <c r="I32" s="259"/>
      <c r="J32" s="260"/>
    </row>
    <row r="33" spans="4:15" s="31" customFormat="1" ht="20.100000000000001" customHeight="1">
      <c r="D33" s="258"/>
      <c r="E33" s="259"/>
      <c r="F33" s="260"/>
      <c r="G33" s="262"/>
      <c r="H33" s="258"/>
      <c r="I33" s="259"/>
      <c r="J33" s="260"/>
    </row>
    <row r="34" spans="4:15" s="31" customFormat="1" ht="20.100000000000001" customHeight="1">
      <c r="D34" s="258"/>
      <c r="E34" s="259"/>
      <c r="F34" s="260"/>
      <c r="G34" s="262"/>
      <c r="H34" s="258"/>
      <c r="I34" s="259"/>
      <c r="J34" s="260"/>
    </row>
    <row r="35" spans="4:15" s="31" customFormat="1" ht="20.100000000000001" customHeight="1">
      <c r="D35" s="258"/>
      <c r="E35" s="259"/>
      <c r="F35" s="260"/>
      <c r="G35" s="262"/>
      <c r="H35" s="258"/>
      <c r="I35" s="259"/>
      <c r="J35" s="260"/>
    </row>
    <row r="36" spans="4:15" s="31" customFormat="1" ht="20.100000000000001" customHeight="1">
      <c r="D36" s="258"/>
      <c r="E36" s="259"/>
      <c r="F36" s="260"/>
      <c r="G36" s="262"/>
      <c r="H36" s="258"/>
      <c r="I36" s="259"/>
      <c r="J36" s="260"/>
    </row>
    <row r="37" spans="4:15" s="31" customFormat="1" ht="20.100000000000001" customHeight="1">
      <c r="D37" s="258"/>
      <c r="E37" s="259"/>
      <c r="F37" s="260"/>
      <c r="G37" s="262"/>
      <c r="H37" s="258"/>
      <c r="I37" s="259"/>
      <c r="J37" s="260"/>
    </row>
    <row r="38" spans="4:15" s="31" customFormat="1" ht="20.100000000000001" customHeight="1">
      <c r="D38" s="258"/>
      <c r="E38" s="259"/>
      <c r="F38" s="260"/>
      <c r="G38" s="262"/>
      <c r="H38" s="258"/>
      <c r="I38" s="259"/>
      <c r="J38" s="260"/>
    </row>
    <row r="39" spans="4:15" s="31" customFormat="1" ht="20.100000000000001" customHeight="1">
      <c r="D39" s="258"/>
      <c r="E39" s="259"/>
      <c r="F39" s="260"/>
      <c r="G39" s="262"/>
      <c r="H39" s="258"/>
      <c r="I39" s="259"/>
      <c r="J39" s="260"/>
    </row>
    <row r="40" spans="4:15" s="31" customFormat="1" ht="19.5" customHeight="1" thickBot="1">
      <c r="D40" s="251"/>
      <c r="E40" s="252"/>
      <c r="F40" s="261"/>
      <c r="G40" s="262"/>
      <c r="H40" s="251"/>
      <c r="I40" s="252"/>
      <c r="J40" s="261"/>
    </row>
    <row r="41" spans="4:15" ht="20.100000000000001" customHeight="1">
      <c r="D41" s="213"/>
      <c r="L41" s="334" t="s">
        <v>355</v>
      </c>
    </row>
    <row r="42" spans="4:15" ht="20.100000000000001" customHeight="1">
      <c r="D42" s="213"/>
    </row>
    <row r="43" spans="4:15" ht="20.100000000000001" customHeight="1" thickBot="1">
      <c r="D43" s="214" t="s">
        <v>269</v>
      </c>
    </row>
    <row r="44" spans="4:15" s="31" customFormat="1" ht="31.5" customHeight="1">
      <c r="D44" s="217" t="s">
        <v>229</v>
      </c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</row>
    <row r="45" spans="4:15" s="249" customFormat="1" ht="30" customHeight="1" thickBot="1">
      <c r="D45" s="251" t="s">
        <v>381</v>
      </c>
      <c r="E45" s="252"/>
      <c r="F45" s="252"/>
      <c r="G45" s="247"/>
      <c r="H45" s="247"/>
      <c r="I45" s="247"/>
      <c r="J45" s="247"/>
      <c r="K45" s="247"/>
      <c r="L45" s="247"/>
      <c r="M45" s="247"/>
      <c r="N45" s="247"/>
      <c r="O45" s="247"/>
    </row>
    <row r="46" spans="4:15" ht="20.100000000000001" customHeight="1">
      <c r="D46" s="213"/>
    </row>
    <row r="47" spans="4:15" ht="20.100000000000001" customHeight="1">
      <c r="D47" s="213"/>
    </row>
    <row r="48" spans="4:15" ht="22.5" customHeight="1" thickBot="1">
      <c r="D48" s="214" t="s">
        <v>281</v>
      </c>
    </row>
    <row r="49" spans="4:15" s="31" customFormat="1" ht="36.75" customHeight="1">
      <c r="D49" s="217" t="s">
        <v>229</v>
      </c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</row>
    <row r="50" spans="4:15" s="249" customFormat="1" ht="30" customHeight="1" thickBot="1">
      <c r="D50" s="251" t="s">
        <v>382</v>
      </c>
      <c r="E50" s="252"/>
      <c r="F50" s="252"/>
      <c r="G50" s="247"/>
      <c r="H50" s="247"/>
      <c r="I50" s="247"/>
      <c r="J50" s="247"/>
      <c r="K50" s="247"/>
      <c r="L50" s="247"/>
      <c r="M50" s="247"/>
      <c r="N50" s="247"/>
      <c r="O50" s="247"/>
    </row>
    <row r="51" spans="4:15" ht="20.100000000000001" customHeight="1">
      <c r="D51" s="213"/>
    </row>
    <row r="52" spans="4:15" ht="20.100000000000001" customHeight="1">
      <c r="D52" s="213"/>
    </row>
    <row r="53" spans="4:15" ht="20.100000000000001" customHeight="1" thickBot="1">
      <c r="D53" s="214" t="s">
        <v>285</v>
      </c>
    </row>
    <row r="54" spans="4:15" s="31" customFormat="1" ht="40.5" customHeight="1">
      <c r="D54" s="217" t="s">
        <v>229</v>
      </c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</row>
    <row r="55" spans="4:15" s="249" customFormat="1" ht="30" customHeight="1" thickBot="1">
      <c r="D55" s="251" t="s">
        <v>364</v>
      </c>
      <c r="E55" s="252"/>
      <c r="F55" s="252"/>
      <c r="G55" s="247"/>
      <c r="H55" s="247"/>
      <c r="I55" s="247"/>
      <c r="J55" s="247"/>
      <c r="K55" s="247"/>
      <c r="L55" s="247"/>
      <c r="M55" s="247"/>
      <c r="N55" s="247"/>
      <c r="O55" s="247"/>
    </row>
    <row r="58" spans="4:15" ht="20.100000000000001" customHeight="1" thickBot="1">
      <c r="D58" s="214" t="s">
        <v>223</v>
      </c>
    </row>
    <row r="59" spans="4:15" ht="36.75" customHeight="1">
      <c r="D59" s="217" t="s">
        <v>229</v>
      </c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</row>
    <row r="60" spans="4:15" ht="30" customHeight="1" thickBot="1">
      <c r="D60" s="251" t="s">
        <v>383</v>
      </c>
      <c r="E60" s="252"/>
      <c r="F60" s="252"/>
      <c r="G60" s="247"/>
      <c r="H60" s="247"/>
      <c r="I60" s="247"/>
      <c r="J60" s="247"/>
      <c r="K60" s="247"/>
      <c r="L60" s="247"/>
      <c r="M60" s="247"/>
      <c r="N60" s="247"/>
      <c r="O60" s="247"/>
    </row>
    <row r="63" spans="4:15" ht="20.100000000000001" customHeight="1" thickBot="1">
      <c r="D63" s="214" t="s">
        <v>224</v>
      </c>
    </row>
    <row r="64" spans="4:15" ht="36.75" customHeight="1">
      <c r="D64" s="217" t="s">
        <v>229</v>
      </c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</row>
    <row r="65" spans="4:15" ht="30" customHeight="1" thickBot="1">
      <c r="D65" s="251" t="s">
        <v>384</v>
      </c>
      <c r="E65" s="252"/>
      <c r="F65" s="252"/>
      <c r="G65" s="247"/>
      <c r="H65" s="247"/>
      <c r="I65" s="247"/>
      <c r="J65" s="247"/>
      <c r="K65" s="247"/>
      <c r="L65" s="247"/>
      <c r="M65" s="247"/>
      <c r="N65" s="247"/>
      <c r="O65" s="247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N26" sqref="N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16" t="str">
        <f>Well!D4</f>
        <v>논산시 광석면 오강리 116-3</v>
      </c>
      <c r="H2"/>
      <c r="I2" s="189" t="s">
        <v>205</v>
      </c>
      <c r="J2"/>
      <c r="K2"/>
      <c r="L2"/>
      <c r="M2"/>
    </row>
    <row r="3" spans="1:13" ht="20.100000000000001" customHeight="1">
      <c r="B3" s="2" t="s">
        <v>48</v>
      </c>
      <c r="C3" s="451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5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52">
        <f>Well!Q4</f>
        <v>0</v>
      </c>
      <c r="D5" s="7" t="s">
        <v>53</v>
      </c>
      <c r="E5" s="398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53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486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54">
        <f>Well!H4</f>
        <v>80</v>
      </c>
      <c r="D7" s="199" t="s">
        <v>59</v>
      </c>
      <c r="E7" s="190">
        <f>(E5+E6)/2</f>
        <v>19.98</v>
      </c>
      <c r="F7" s="30">
        <f>$E$7/$C$14</f>
        <v>0.35678571428571432</v>
      </c>
      <c r="G7" s="487">
        <f>G5</f>
        <v>8.3819999999999999E-4</v>
      </c>
      <c r="H7" s="479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481">
        <f>Well!G4</f>
        <v>250</v>
      </c>
    </row>
    <row r="9" spans="1:13" ht="20.100000000000001" customHeight="1" thickBot="1">
      <c r="B9" s="6" t="s">
        <v>60</v>
      </c>
      <c r="C9" s="455">
        <f>C10+C11</f>
        <v>24</v>
      </c>
      <c r="D9" s="11"/>
      <c r="E9" s="482" t="s">
        <v>109</v>
      </c>
      <c r="F9" s="483" t="s">
        <v>110</v>
      </c>
      <c r="G9" s="484" t="s">
        <v>111</v>
      </c>
    </row>
    <row r="10" spans="1:13" ht="20.100000000000001" customHeight="1" thickBot="1">
      <c r="B10" s="6" t="s">
        <v>61</v>
      </c>
      <c r="C10" s="456">
        <v>5</v>
      </c>
      <c r="D10" s="485" t="s">
        <v>62</v>
      </c>
      <c r="E10" s="120">
        <v>84.1</v>
      </c>
      <c r="F10" s="121">
        <v>103</v>
      </c>
      <c r="G10" s="122">
        <v>194.9</v>
      </c>
      <c r="H10" s="12"/>
      <c r="I10" s="13"/>
    </row>
    <row r="11" spans="1:13" ht="20.100000000000001" customHeight="1" thickBot="1">
      <c r="B11" s="6" t="s">
        <v>63</v>
      </c>
      <c r="C11" s="456">
        <v>19</v>
      </c>
      <c r="D11" s="200" t="s">
        <v>64</v>
      </c>
      <c r="E11" s="123">
        <f>ROUND(AVERAGE(E10:G10),1)</f>
        <v>127.3</v>
      </c>
      <c r="F11" s="478">
        <f>ROUND((E10+F10)/2,1)</f>
        <v>93.6</v>
      </c>
      <c r="G11" s="196">
        <f>MAX(E10,F10,G10)</f>
        <v>194.9</v>
      </c>
      <c r="H11" s="12"/>
      <c r="I11" s="13"/>
      <c r="J11" s="549" t="s">
        <v>117</v>
      </c>
      <c r="K11" s="550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57">
        <f>C7-C9</f>
        <v>56</v>
      </c>
      <c r="H12" s="15"/>
      <c r="J12" s="551" t="s">
        <v>119</v>
      </c>
      <c r="K12" s="552">
        <v>19</v>
      </c>
      <c r="L12" s="553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57"/>
      <c r="E13" s="133" t="str">
        <f>Recharge!I24</f>
        <v>금강/금강공주</v>
      </c>
      <c r="F13" s="124">
        <f>rf_1</f>
        <v>0.16300000000000001</v>
      </c>
      <c r="G13" s="124">
        <f>allow_ratio</f>
        <v>0.67</v>
      </c>
      <c r="H13" s="16"/>
      <c r="J13" s="551" t="s">
        <v>112</v>
      </c>
      <c r="K13" s="554">
        <v>303</v>
      </c>
      <c r="L13" s="555"/>
    </row>
    <row r="14" spans="1:13" ht="20.100000000000001" customHeight="1">
      <c r="B14" s="6" t="s">
        <v>67</v>
      </c>
      <c r="C14" s="455">
        <f>C7-IF(C20&gt;C9,C20,C9)</f>
        <v>56</v>
      </c>
      <c r="G14" s="124">
        <f>max</f>
        <v>1324.9</v>
      </c>
      <c r="H14" s="16"/>
      <c r="J14" s="551" t="s">
        <v>113</v>
      </c>
      <c r="K14" s="554">
        <v>10</v>
      </c>
      <c r="L14" s="555"/>
    </row>
    <row r="15" spans="1:13" ht="20.100000000000001" customHeight="1" thickBot="1">
      <c r="B15" s="6" t="s">
        <v>68</v>
      </c>
      <c r="C15" s="454">
        <f>Well!I4</f>
        <v>178</v>
      </c>
      <c r="E15" s="35">
        <v>1</v>
      </c>
      <c r="J15" s="551" t="s">
        <v>114</v>
      </c>
      <c r="K15" s="554">
        <v>4</v>
      </c>
      <c r="L15" s="555"/>
    </row>
    <row r="16" spans="1:13" ht="20.100000000000001" customHeight="1">
      <c r="B16" s="6" t="s">
        <v>69</v>
      </c>
      <c r="C16" s="480">
        <f>Well!J4</f>
        <v>178</v>
      </c>
      <c r="E16" s="109" t="s">
        <v>275</v>
      </c>
      <c r="F16" s="110" t="s">
        <v>96</v>
      </c>
      <c r="G16" s="111" t="s">
        <v>95</v>
      </c>
      <c r="H16" s="16"/>
      <c r="J16" s="551" t="s">
        <v>120</v>
      </c>
      <c r="K16" s="556">
        <f>K14-C20</f>
        <v>7.67</v>
      </c>
      <c r="L16" s="555"/>
    </row>
    <row r="17" spans="2:12" ht="20.100000000000001" customHeight="1" thickBot="1">
      <c r="B17" s="6" t="s">
        <v>70</v>
      </c>
      <c r="C17" s="454">
        <f>Well!L4</f>
        <v>5</v>
      </c>
      <c r="E17" s="399">
        <f>Well!P4</f>
        <v>1202219</v>
      </c>
      <c r="F17" s="139">
        <f>(max*rf_1*E17/1000)</f>
        <v>259629.65235530003</v>
      </c>
      <c r="G17" s="138">
        <f>F17*allow_ratio</f>
        <v>173951.86707805103</v>
      </c>
      <c r="J17" s="551" t="s">
        <v>115</v>
      </c>
      <c r="K17" s="556">
        <f>K16-K15</f>
        <v>3.67</v>
      </c>
      <c r="L17" s="555"/>
    </row>
    <row r="18" spans="2:12" ht="20.100000000000001" customHeight="1" thickBot="1">
      <c r="B18" s="6" t="s">
        <v>71</v>
      </c>
      <c r="C18" s="454">
        <f>Well!M4</f>
        <v>60</v>
      </c>
      <c r="E18" s="2" t="s">
        <v>72</v>
      </c>
      <c r="F18" s="27" t="s">
        <v>73</v>
      </c>
      <c r="G18" s="26" t="s">
        <v>74</v>
      </c>
      <c r="H18" s="118" t="s">
        <v>171</v>
      </c>
      <c r="I18" s="25"/>
      <c r="J18" s="557" t="s">
        <v>116</v>
      </c>
      <c r="K18" s="558">
        <f>(K17/K13)</f>
        <v>1.2112211221122111E-2</v>
      </c>
      <c r="L18" s="559">
        <f>K18*100</f>
        <v>1.2112211221122111</v>
      </c>
    </row>
    <row r="19" spans="2:12" ht="20.100000000000001" customHeight="1" thickBot="1">
      <c r="B19" s="18" t="s">
        <v>75</v>
      </c>
      <c r="C19" s="458">
        <f>Well!N4</f>
        <v>50</v>
      </c>
      <c r="E19" s="399">
        <f>E17</f>
        <v>1202219</v>
      </c>
      <c r="F19" s="136">
        <f>(max*rf_1*E19/1000)/365</f>
        <v>711.31411604191794</v>
      </c>
      <c r="G19" s="137">
        <f>F19*allow_ratio</f>
        <v>476.58045774808505</v>
      </c>
      <c r="H19" s="119">
        <f>G19-F21</f>
        <v>297.28045774808504</v>
      </c>
    </row>
    <row r="20" spans="2:12" ht="20.100000000000001" customHeight="1">
      <c r="B20" s="19" t="s">
        <v>76</v>
      </c>
      <c r="C20" s="459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460">
        <v>6.24</v>
      </c>
      <c r="D21" s="14"/>
      <c r="E21" s="400">
        <f>Well!$I$6</f>
        <v>178</v>
      </c>
      <c r="F21" s="401">
        <f>Well!O4</f>
        <v>179.3</v>
      </c>
      <c r="G21" s="138">
        <f>G19-E21-F21</f>
        <v>119.28045774808504</v>
      </c>
    </row>
    <row r="22" spans="2:12" ht="20.100000000000001" customHeight="1" thickBot="1">
      <c r="B22" s="28" t="s">
        <v>164</v>
      </c>
      <c r="C22" s="461">
        <f>C21-C20</f>
        <v>3.91</v>
      </c>
      <c r="E22" s="536">
        <f>E21+F21</f>
        <v>357.3</v>
      </c>
      <c r="F22" s="537"/>
      <c r="G22" s="17"/>
      <c r="I22" s="16"/>
    </row>
    <row r="23" spans="2:12" ht="20.100000000000001" customHeight="1" thickBot="1">
      <c r="B23" s="317" t="s">
        <v>232</v>
      </c>
      <c r="C23" s="318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560" t="s">
        <v>97</v>
      </c>
      <c r="C25" s="561"/>
      <c r="D25" s="402" t="s">
        <v>106</v>
      </c>
      <c r="E25" s="402" t="s">
        <v>107</v>
      </c>
      <c r="F25" s="402" t="s">
        <v>98</v>
      </c>
      <c r="G25" s="402" t="s">
        <v>99</v>
      </c>
      <c r="H25" s="402" t="s">
        <v>121</v>
      </c>
      <c r="I25" s="402" t="s">
        <v>100</v>
      </c>
      <c r="J25" s="402" t="s">
        <v>101</v>
      </c>
      <c r="K25" s="568" t="s">
        <v>102</v>
      </c>
    </row>
    <row r="26" spans="2:12" ht="25.5" customHeight="1">
      <c r="B26" s="562" t="s">
        <v>103</v>
      </c>
      <c r="C26" s="563" t="s">
        <v>104</v>
      </c>
      <c r="D26" s="473">
        <f>C20</f>
        <v>2.33</v>
      </c>
      <c r="E26" s="474">
        <f>Recharge!C30</f>
        <v>21.595870000000001</v>
      </c>
      <c r="F26" s="475" t="s">
        <v>183</v>
      </c>
      <c r="G26" s="473" t="s">
        <v>373</v>
      </c>
      <c r="H26" s="476">
        <f>L18</f>
        <v>1.2112211221122111</v>
      </c>
      <c r="I26" s="569" t="s">
        <v>183</v>
      </c>
      <c r="J26" s="477">
        <f>(E7/C14)/864</f>
        <v>4.1294642857142859E-4</v>
      </c>
      <c r="K26" s="472" t="s">
        <v>374</v>
      </c>
    </row>
    <row r="27" spans="2:12" ht="25.5" customHeight="1">
      <c r="B27" s="562"/>
      <c r="C27" s="564" t="s">
        <v>105</v>
      </c>
      <c r="D27" s="403">
        <v>9</v>
      </c>
      <c r="E27" s="403">
        <v>8</v>
      </c>
      <c r="F27" s="403">
        <v>3</v>
      </c>
      <c r="G27" s="403">
        <v>3</v>
      </c>
      <c r="H27" s="403">
        <v>10</v>
      </c>
      <c r="I27" s="403">
        <v>4</v>
      </c>
      <c r="J27" s="403">
        <v>6</v>
      </c>
      <c r="K27" s="472" t="s">
        <v>365</v>
      </c>
    </row>
    <row r="28" spans="2:12" ht="25.5" customHeight="1">
      <c r="B28" s="562"/>
      <c r="C28" s="565" t="s">
        <v>176</v>
      </c>
      <c r="D28" s="469">
        <v>5</v>
      </c>
      <c r="E28" s="469">
        <v>4</v>
      </c>
      <c r="F28" s="469">
        <v>3</v>
      </c>
      <c r="G28" s="469">
        <v>2</v>
      </c>
      <c r="H28" s="469">
        <v>1</v>
      </c>
      <c r="I28" s="469">
        <v>5</v>
      </c>
      <c r="J28" s="469">
        <v>3</v>
      </c>
      <c r="K28" s="470"/>
    </row>
    <row r="29" spans="2:12" ht="25.5" customHeight="1">
      <c r="B29" s="562"/>
      <c r="C29" s="565" t="s">
        <v>177</v>
      </c>
      <c r="D29" s="471">
        <v>5</v>
      </c>
      <c r="E29" s="471">
        <v>4</v>
      </c>
      <c r="F29" s="471">
        <v>3</v>
      </c>
      <c r="G29" s="471">
        <v>5</v>
      </c>
      <c r="H29" s="471">
        <v>3</v>
      </c>
      <c r="I29" s="471">
        <v>4</v>
      </c>
      <c r="J29" s="471">
        <v>2</v>
      </c>
      <c r="K29" s="470"/>
    </row>
    <row r="30" spans="2:12" ht="25.5" customHeight="1">
      <c r="B30" s="562"/>
      <c r="C30" s="563" t="s">
        <v>178</v>
      </c>
      <c r="D30" s="404">
        <f>D27*D28</f>
        <v>45</v>
      </c>
      <c r="E30" s="404">
        <f t="shared" ref="E30:J30" si="0">E27*E28</f>
        <v>32</v>
      </c>
      <c r="F30" s="404">
        <f t="shared" si="0"/>
        <v>9</v>
      </c>
      <c r="G30" s="404">
        <f t="shared" si="0"/>
        <v>6</v>
      </c>
      <c r="H30" s="404">
        <f t="shared" si="0"/>
        <v>10</v>
      </c>
      <c r="I30" s="404">
        <f t="shared" si="0"/>
        <v>20</v>
      </c>
      <c r="J30" s="404">
        <f t="shared" si="0"/>
        <v>18</v>
      </c>
      <c r="K30" s="405">
        <f>SUM(D30:J30)</f>
        <v>140</v>
      </c>
    </row>
    <row r="31" spans="2:12" ht="25.5" customHeight="1" thickBot="1">
      <c r="B31" s="566"/>
      <c r="C31" s="567" t="s">
        <v>179</v>
      </c>
      <c r="D31" s="406">
        <f t="shared" ref="D31:J31" si="1">D27*D29</f>
        <v>45</v>
      </c>
      <c r="E31" s="406">
        <f t="shared" si="1"/>
        <v>32</v>
      </c>
      <c r="F31" s="406">
        <f t="shared" si="1"/>
        <v>9</v>
      </c>
      <c r="G31" s="406">
        <f t="shared" si="1"/>
        <v>15</v>
      </c>
      <c r="H31" s="406">
        <f t="shared" si="1"/>
        <v>30</v>
      </c>
      <c r="I31" s="406">
        <f t="shared" si="1"/>
        <v>16</v>
      </c>
      <c r="J31" s="406">
        <f t="shared" si="1"/>
        <v>12</v>
      </c>
      <c r="K31" s="407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autoPict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autoPict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autoPict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6"/>
    <col min="2" max="2" width="16.6640625" style="36" customWidth="1"/>
    <col min="3" max="4" width="14.6640625" style="36" customWidth="1"/>
    <col min="5" max="5" width="12" style="37" customWidth="1"/>
    <col min="6" max="6" width="12.33203125" style="37" customWidth="1"/>
    <col min="7" max="7" width="8.88671875" style="36"/>
    <col min="8" max="8" width="9.88671875" style="36" customWidth="1"/>
    <col min="9" max="9" width="8.33203125" style="36" customWidth="1"/>
    <col min="10" max="10" width="8.77734375" style="36" customWidth="1"/>
    <col min="11" max="16384" width="8.88671875" style="36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7" customFormat="1" ht="26.1" customHeight="1">
      <c r="B4" s="105" t="s">
        <v>357</v>
      </c>
      <c r="C4" s="106" t="s">
        <v>86</v>
      </c>
      <c r="E4" s="106"/>
      <c r="F4" s="106"/>
    </row>
    <row r="5" spans="2:14" s="32" customFormat="1" ht="26.1" customHeight="1" thickBot="1">
      <c r="E5" s="31"/>
      <c r="F5" s="31"/>
    </row>
    <row r="6" spans="2:14" s="32" customFormat="1" ht="26.1" customHeight="1">
      <c r="B6" s="231" t="s">
        <v>81</v>
      </c>
      <c r="C6" s="244">
        <v>44753.861111111109</v>
      </c>
      <c r="D6" s="95"/>
      <c r="E6" s="31"/>
      <c r="F6" s="31"/>
    </row>
    <row r="7" spans="2:14" s="32" customFormat="1" ht="26.1" customHeight="1" thickBot="1">
      <c r="B7" s="234" t="s">
        <v>82</v>
      </c>
      <c r="C7" s="239">
        <v>14.6</v>
      </c>
      <c r="D7" s="95"/>
      <c r="E7" s="31"/>
      <c r="F7" s="31"/>
    </row>
    <row r="8" spans="2:14" s="32" customFormat="1" ht="26.1" customHeight="1">
      <c r="B8" s="231" t="s">
        <v>83</v>
      </c>
      <c r="C8" s="245">
        <v>211</v>
      </c>
      <c r="D8" s="95"/>
      <c r="E8" s="31"/>
      <c r="F8" s="31"/>
    </row>
    <row r="9" spans="2:14" s="32" customFormat="1" ht="26.1" customHeight="1" thickBot="1">
      <c r="B9" s="234" t="s">
        <v>84</v>
      </c>
      <c r="C9" s="246">
        <v>6.7</v>
      </c>
      <c r="D9" s="95"/>
      <c r="E9" s="31"/>
      <c r="F9" s="31"/>
    </row>
    <row r="10" spans="2:14" s="32" customFormat="1" ht="26.1" customHeight="1">
      <c r="B10" s="96"/>
      <c r="C10" s="97"/>
      <c r="D10" s="95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540" t="s">
        <v>85</v>
      </c>
      <c r="C12" s="541"/>
      <c r="D12" s="542" t="s">
        <v>86</v>
      </c>
      <c r="E12" s="543"/>
      <c r="F12" s="541"/>
      <c r="H12" s="540" t="s">
        <v>86</v>
      </c>
      <c r="I12" s="543"/>
      <c r="J12" s="541"/>
      <c r="L12"/>
      <c r="M12"/>
      <c r="N12"/>
    </row>
    <row r="13" spans="2:14" s="31" customFormat="1" ht="26.1" customHeight="1">
      <c r="B13" s="357" t="s">
        <v>81</v>
      </c>
      <c r="C13" s="358" t="s">
        <v>87</v>
      </c>
      <c r="D13" s="380" t="s">
        <v>88</v>
      </c>
      <c r="E13" s="381" t="s">
        <v>89</v>
      </c>
      <c r="F13" s="358" t="s">
        <v>90</v>
      </c>
      <c r="H13" s="98" t="s">
        <v>88</v>
      </c>
      <c r="I13" s="100" t="s">
        <v>89</v>
      </c>
      <c r="J13" s="99" t="s">
        <v>90</v>
      </c>
      <c r="L13"/>
      <c r="M13"/>
      <c r="N13"/>
    </row>
    <row r="14" spans="2:14" s="31" customFormat="1" ht="26.1" customHeight="1">
      <c r="B14" s="382">
        <f>$C$6+C14/1440</f>
        <v>44753.864583333328</v>
      </c>
      <c r="C14" s="363">
        <v>5</v>
      </c>
      <c r="D14" s="383">
        <f t="shared" ref="D14:D20" si="0">baseTemp+H14</f>
        <v>14.799999999999999</v>
      </c>
      <c r="E14" s="384">
        <f>$C$8+I14</f>
        <v>208</v>
      </c>
      <c r="F14" s="385">
        <f>$C$9+J14</f>
        <v>6.59</v>
      </c>
      <c r="H14" s="62">
        <v>0.2</v>
      </c>
      <c r="I14" s="63">
        <v>-3</v>
      </c>
      <c r="J14" s="64">
        <v>-0.11</v>
      </c>
      <c r="L14"/>
      <c r="M14"/>
      <c r="N14"/>
    </row>
    <row r="15" spans="2:14" s="31" customFormat="1" ht="26.1" customHeight="1">
      <c r="B15" s="386">
        <f t="shared" ref="B15:B23" si="1">$C$6+C15/1440</f>
        <v>44753.881944444445</v>
      </c>
      <c r="C15" s="369">
        <v>30</v>
      </c>
      <c r="D15" s="387">
        <f t="shared" si="0"/>
        <v>14.4</v>
      </c>
      <c r="E15" s="388">
        <f t="shared" ref="E15:E20" si="2">$C$8+I15</f>
        <v>214</v>
      </c>
      <c r="F15" s="389">
        <f t="shared" ref="F15:F20" si="3">$C$9+J15</f>
        <v>6.8</v>
      </c>
      <c r="H15" s="62">
        <v>-0.2</v>
      </c>
      <c r="I15" s="63">
        <v>3</v>
      </c>
      <c r="J15" s="64">
        <v>0.1</v>
      </c>
      <c r="L15"/>
      <c r="M15"/>
      <c r="N15"/>
    </row>
    <row r="16" spans="2:14" s="31" customFormat="1" ht="26.1" customHeight="1">
      <c r="B16" s="386">
        <f t="shared" si="1"/>
        <v>44753.902777777774</v>
      </c>
      <c r="C16" s="369">
        <v>60</v>
      </c>
      <c r="D16" s="387">
        <f t="shared" si="0"/>
        <v>14.4</v>
      </c>
      <c r="E16" s="388">
        <f t="shared" si="2"/>
        <v>213</v>
      </c>
      <c r="F16" s="389">
        <f t="shared" si="3"/>
        <v>6.61</v>
      </c>
      <c r="H16" s="62">
        <v>-0.2</v>
      </c>
      <c r="I16" s="63">
        <v>2</v>
      </c>
      <c r="J16" s="64">
        <v>-0.09</v>
      </c>
      <c r="L16"/>
      <c r="M16"/>
      <c r="N16"/>
    </row>
    <row r="17" spans="2:14" s="31" customFormat="1" ht="26.1" customHeight="1">
      <c r="B17" s="386">
        <f t="shared" si="1"/>
        <v>44753.944444444445</v>
      </c>
      <c r="C17" s="369">
        <v>120</v>
      </c>
      <c r="D17" s="387">
        <f t="shared" si="0"/>
        <v>14.9</v>
      </c>
      <c r="E17" s="388">
        <f t="shared" si="2"/>
        <v>209</v>
      </c>
      <c r="F17" s="389">
        <f t="shared" si="3"/>
        <v>6.58</v>
      </c>
      <c r="H17" s="62">
        <v>0.3</v>
      </c>
      <c r="I17" s="63">
        <v>-2</v>
      </c>
      <c r="J17" s="64">
        <v>-0.12</v>
      </c>
      <c r="L17"/>
      <c r="M17"/>
      <c r="N17"/>
    </row>
    <row r="18" spans="2:14" s="31" customFormat="1" ht="26.1" customHeight="1">
      <c r="B18" s="386">
        <f t="shared" si="1"/>
        <v>44754.027777777774</v>
      </c>
      <c r="C18" s="369">
        <v>240</v>
      </c>
      <c r="D18" s="387">
        <f t="shared" si="0"/>
        <v>14.299999999999999</v>
      </c>
      <c r="E18" s="388">
        <f t="shared" si="2"/>
        <v>210</v>
      </c>
      <c r="F18" s="389">
        <f t="shared" si="3"/>
        <v>6.63</v>
      </c>
      <c r="H18" s="62">
        <v>-0.3</v>
      </c>
      <c r="I18" s="63">
        <v>-1</v>
      </c>
      <c r="J18" s="64">
        <v>-7.0000000000000007E-2</v>
      </c>
      <c r="L18"/>
      <c r="M18"/>
      <c r="N18"/>
    </row>
    <row r="19" spans="2:14" s="31" customFormat="1" ht="26.1" customHeight="1">
      <c r="B19" s="386">
        <f t="shared" si="1"/>
        <v>44754.194444444445</v>
      </c>
      <c r="C19" s="369">
        <v>480</v>
      </c>
      <c r="D19" s="390">
        <f t="shared" si="0"/>
        <v>14.799999999999999</v>
      </c>
      <c r="E19" s="388">
        <f t="shared" si="2"/>
        <v>213</v>
      </c>
      <c r="F19" s="389">
        <f t="shared" si="3"/>
        <v>6.6000000000000005</v>
      </c>
      <c r="H19" s="62">
        <v>0.2</v>
      </c>
      <c r="I19" s="63">
        <v>2</v>
      </c>
      <c r="J19" s="64">
        <v>-0.1</v>
      </c>
      <c r="L19"/>
      <c r="M19"/>
      <c r="N19"/>
    </row>
    <row r="20" spans="2:14" s="32" customFormat="1" ht="26.1" customHeight="1">
      <c r="B20" s="386">
        <f t="shared" si="1"/>
        <v>44754.861111111109</v>
      </c>
      <c r="C20" s="369">
        <v>1440</v>
      </c>
      <c r="D20" s="387">
        <f t="shared" si="0"/>
        <v>14.799999999999999</v>
      </c>
      <c r="E20" s="388">
        <f t="shared" si="2"/>
        <v>208</v>
      </c>
      <c r="F20" s="389">
        <f t="shared" si="3"/>
        <v>6.79</v>
      </c>
      <c r="H20" s="62">
        <v>0.2</v>
      </c>
      <c r="I20" s="63">
        <v>-3</v>
      </c>
      <c r="J20" s="64">
        <v>0.09</v>
      </c>
      <c r="L20"/>
      <c r="M20"/>
      <c r="N20"/>
    </row>
    <row r="21" spans="2:14" s="32" customFormat="1" ht="26.1" customHeight="1">
      <c r="B21" s="386">
        <f t="shared" si="1"/>
        <v>44755.027777777774</v>
      </c>
      <c r="C21" s="369">
        <v>1680</v>
      </c>
      <c r="D21" s="387">
        <f>$D$20</f>
        <v>14.799999999999999</v>
      </c>
      <c r="E21" s="388">
        <f>$E$20</f>
        <v>208</v>
      </c>
      <c r="F21" s="389">
        <f>$F$20</f>
        <v>6.79</v>
      </c>
      <c r="H21" s="62">
        <v>0.1</v>
      </c>
      <c r="I21" s="63">
        <v>-1</v>
      </c>
      <c r="J21" s="64">
        <v>-0.11</v>
      </c>
      <c r="L21"/>
      <c r="M21"/>
      <c r="N21"/>
    </row>
    <row r="22" spans="2:14" s="32" customFormat="1" ht="26.1" customHeight="1">
      <c r="B22" s="386">
        <f t="shared" si="1"/>
        <v>44755.194444444445</v>
      </c>
      <c r="C22" s="369">
        <v>1920</v>
      </c>
      <c r="D22" s="387">
        <f t="shared" ref="D22:D23" si="4">$D$20</f>
        <v>14.799999999999999</v>
      </c>
      <c r="E22" s="388">
        <f t="shared" ref="E22:E23" si="5">$E$20</f>
        <v>208</v>
      </c>
      <c r="F22" s="389">
        <f t="shared" ref="F22:F23" si="6">$F$20</f>
        <v>6.79</v>
      </c>
      <c r="H22" s="62">
        <v>0.2</v>
      </c>
      <c r="I22" s="63">
        <v>-1</v>
      </c>
      <c r="J22" s="64">
        <v>0.12</v>
      </c>
      <c r="L22"/>
      <c r="M22"/>
      <c r="N22"/>
    </row>
    <row r="23" spans="2:14" s="32" customFormat="1" ht="26.1" customHeight="1" thickBot="1">
      <c r="B23" s="386">
        <f t="shared" si="1"/>
        <v>44755.861111111109</v>
      </c>
      <c r="C23" s="369">
        <v>2880</v>
      </c>
      <c r="D23" s="387">
        <f t="shared" si="4"/>
        <v>14.799999999999999</v>
      </c>
      <c r="E23" s="388">
        <f t="shared" si="5"/>
        <v>208</v>
      </c>
      <c r="F23" s="389">
        <f t="shared" si="6"/>
        <v>6.79</v>
      </c>
      <c r="H23" s="67">
        <v>-0.1</v>
      </c>
      <c r="I23" s="65">
        <v>-1</v>
      </c>
      <c r="J23" s="66">
        <v>0.12</v>
      </c>
      <c r="L23"/>
      <c r="M23"/>
      <c r="N23"/>
    </row>
    <row r="24" spans="2:14" s="32" customFormat="1" ht="26.1" customHeight="1">
      <c r="B24" s="544" t="s">
        <v>36</v>
      </c>
      <c r="C24" s="545"/>
      <c r="D24" s="380">
        <f>MAX(D14:D23)</f>
        <v>14.9</v>
      </c>
      <c r="E24" s="381">
        <f t="shared" ref="E24:F24" si="7">MAX(E14:E23)</f>
        <v>214</v>
      </c>
      <c r="F24" s="358">
        <f t="shared" si="7"/>
        <v>6.8</v>
      </c>
      <c r="H24" s="31"/>
      <c r="I24" s="31"/>
      <c r="J24" s="31"/>
    </row>
    <row r="25" spans="2:14" s="32" customFormat="1" ht="26.1" customHeight="1">
      <c r="B25" s="544" t="s">
        <v>37</v>
      </c>
      <c r="C25" s="545"/>
      <c r="D25" s="380">
        <f>MIN(D14:D23)</f>
        <v>14.299999999999999</v>
      </c>
      <c r="E25" s="381">
        <f t="shared" ref="E25:F25" si="8">MIN(E14:E23)</f>
        <v>208</v>
      </c>
      <c r="F25" s="358">
        <f t="shared" si="8"/>
        <v>6.58</v>
      </c>
      <c r="H25" s="31"/>
      <c r="I25" s="31"/>
      <c r="J25" s="31"/>
    </row>
    <row r="26" spans="2:14" s="32" customFormat="1" ht="26.1" customHeight="1" thickBot="1">
      <c r="B26" s="538" t="s">
        <v>91</v>
      </c>
      <c r="C26" s="539"/>
      <c r="D26" s="391">
        <f>D24-D25</f>
        <v>0.60000000000000142</v>
      </c>
      <c r="E26" s="392">
        <f t="shared" ref="E26:F26" si="9">E24-E25</f>
        <v>6</v>
      </c>
      <c r="F26" s="372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6"/>
    <col min="2" max="2" width="13.109375" style="36" customWidth="1"/>
    <col min="3" max="3" width="11.6640625" style="36" bestFit="1" customWidth="1"/>
    <col min="4" max="4" width="8.77734375" style="36" customWidth="1"/>
    <col min="5" max="6" width="8.77734375" style="37" customWidth="1"/>
    <col min="7" max="13" width="8.77734375" style="36" customWidth="1"/>
    <col min="14" max="16384" width="8.88671875" style="36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5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37" t="s">
        <v>81</v>
      </c>
      <c r="C6" s="238">
        <v>44753.861111111109</v>
      </c>
      <c r="D6" s="95"/>
      <c r="E6" s="31"/>
      <c r="F6" s="31"/>
    </row>
    <row r="7" spans="2:9" s="32" customFormat="1" ht="26.1" customHeight="1" thickBot="1">
      <c r="B7" s="234" t="s">
        <v>82</v>
      </c>
      <c r="C7" s="239">
        <v>14</v>
      </c>
      <c r="D7" s="95"/>
      <c r="E7" s="31"/>
      <c r="F7" s="31"/>
    </row>
    <row r="8" spans="2:9" s="32" customFormat="1" ht="26.1" customHeight="1">
      <c r="B8" s="231" t="s">
        <v>83</v>
      </c>
      <c r="C8" s="232">
        <v>226</v>
      </c>
      <c r="D8" s="233">
        <v>229</v>
      </c>
      <c r="E8" s="31"/>
      <c r="F8" s="31"/>
    </row>
    <row r="9" spans="2:9" s="32" customFormat="1" ht="26.1" customHeight="1" thickBot="1">
      <c r="B9" s="234" t="s">
        <v>84</v>
      </c>
      <c r="C9" s="235">
        <v>7.9</v>
      </c>
      <c r="D9" s="236">
        <v>7.8</v>
      </c>
      <c r="E9" s="31"/>
      <c r="F9" s="31"/>
    </row>
    <row r="10" spans="2:9" s="32" customFormat="1" ht="26.1" customHeight="1">
      <c r="B10" s="96"/>
      <c r="C10" s="97"/>
      <c r="D10" s="95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540" t="s">
        <v>85</v>
      </c>
      <c r="C12" s="541"/>
      <c r="D12" s="540" t="s">
        <v>86</v>
      </c>
      <c r="E12" s="543"/>
      <c r="F12" s="541"/>
      <c r="G12" s="546" t="s">
        <v>157</v>
      </c>
      <c r="H12" s="547"/>
      <c r="I12" s="548"/>
    </row>
    <row r="13" spans="2:9" s="31" customFormat="1" ht="26.1" customHeight="1">
      <c r="B13" s="357" t="s">
        <v>81</v>
      </c>
      <c r="C13" s="358" t="s">
        <v>87</v>
      </c>
      <c r="D13" s="376" t="s">
        <v>88</v>
      </c>
      <c r="E13" s="377" t="s">
        <v>89</v>
      </c>
      <c r="F13" s="378" t="s">
        <v>90</v>
      </c>
      <c r="G13" s="359" t="s">
        <v>88</v>
      </c>
      <c r="H13" s="360" t="s">
        <v>89</v>
      </c>
      <c r="I13" s="361" t="s">
        <v>90</v>
      </c>
    </row>
    <row r="14" spans="2:9" s="31" customFormat="1" ht="26.1" customHeight="1">
      <c r="B14" s="362">
        <f>$C$6+C14/1440</f>
        <v>44753.864583333328</v>
      </c>
      <c r="C14" s="363">
        <v>5</v>
      </c>
      <c r="D14" s="367">
        <f t="shared" ref="D14:D23" si="0">baseTemp+D31</f>
        <v>14</v>
      </c>
      <c r="E14" s="365">
        <f t="shared" ref="E14:E20" si="1">$C$8+E31</f>
        <v>223</v>
      </c>
      <c r="F14" s="366">
        <f t="shared" ref="F14:F20" si="2">$C$9+F31</f>
        <v>7.83</v>
      </c>
      <c r="G14" s="367">
        <f t="shared" ref="G14:G20" si="3">baseTemp+H31</f>
        <v>14</v>
      </c>
      <c r="H14" s="365">
        <f>$D$8+I31</f>
        <v>232</v>
      </c>
      <c r="I14" s="366">
        <f>$D$9+J31</f>
        <v>7.89</v>
      </c>
    </row>
    <row r="15" spans="2:9" s="31" customFormat="1" ht="26.1" customHeight="1">
      <c r="B15" s="368">
        <f t="shared" ref="B15:B23" si="4">$C$6+C15/1440</f>
        <v>44753.881944444445</v>
      </c>
      <c r="C15" s="369">
        <v>30</v>
      </c>
      <c r="D15" s="367">
        <f t="shared" si="0"/>
        <v>14.1</v>
      </c>
      <c r="E15" s="365">
        <f t="shared" si="1"/>
        <v>224</v>
      </c>
      <c r="F15" s="366">
        <f t="shared" si="2"/>
        <v>7.82</v>
      </c>
      <c r="G15" s="367">
        <f t="shared" si="3"/>
        <v>14</v>
      </c>
      <c r="H15" s="365">
        <f t="shared" ref="H15:H20" si="5">$D$8+I32</f>
        <v>226</v>
      </c>
      <c r="I15" s="366">
        <f t="shared" ref="I15:I20" si="6">$D$9+J32</f>
        <v>7.71</v>
      </c>
    </row>
    <row r="16" spans="2:9" s="31" customFormat="1" ht="26.1" customHeight="1">
      <c r="B16" s="368">
        <f t="shared" si="4"/>
        <v>44753.902777777774</v>
      </c>
      <c r="C16" s="369">
        <v>60</v>
      </c>
      <c r="D16" s="367">
        <f t="shared" si="0"/>
        <v>14</v>
      </c>
      <c r="E16" s="365">
        <f t="shared" si="1"/>
        <v>228</v>
      </c>
      <c r="F16" s="366">
        <f t="shared" si="2"/>
        <v>8.01</v>
      </c>
      <c r="G16" s="367">
        <f t="shared" si="3"/>
        <v>13.9</v>
      </c>
      <c r="H16" s="365">
        <f t="shared" si="5"/>
        <v>232</v>
      </c>
      <c r="I16" s="366">
        <f t="shared" si="6"/>
        <v>7.7</v>
      </c>
    </row>
    <row r="17" spans="2:10" s="31" customFormat="1" ht="26.1" customHeight="1">
      <c r="B17" s="368">
        <f t="shared" si="4"/>
        <v>44753.944444444445</v>
      </c>
      <c r="C17" s="369">
        <v>120</v>
      </c>
      <c r="D17" s="367">
        <f t="shared" si="0"/>
        <v>14</v>
      </c>
      <c r="E17" s="365">
        <f t="shared" si="1"/>
        <v>228</v>
      </c>
      <c r="F17" s="366">
        <f t="shared" si="2"/>
        <v>8.01</v>
      </c>
      <c r="G17" s="367">
        <f t="shared" si="3"/>
        <v>13.9</v>
      </c>
      <c r="H17" s="365">
        <f t="shared" si="5"/>
        <v>228</v>
      </c>
      <c r="I17" s="366">
        <f t="shared" si="6"/>
        <v>7.7</v>
      </c>
    </row>
    <row r="18" spans="2:10" s="31" customFormat="1" ht="26.1" customHeight="1">
      <c r="B18" s="368">
        <f t="shared" si="4"/>
        <v>44754.027777777774</v>
      </c>
      <c r="C18" s="369">
        <v>240</v>
      </c>
      <c r="D18" s="367">
        <f t="shared" si="0"/>
        <v>14.1</v>
      </c>
      <c r="E18" s="365">
        <f t="shared" si="1"/>
        <v>227</v>
      </c>
      <c r="F18" s="366">
        <f t="shared" si="2"/>
        <v>8.01</v>
      </c>
      <c r="G18" s="367">
        <f t="shared" si="3"/>
        <v>13.9</v>
      </c>
      <c r="H18" s="365">
        <f t="shared" si="5"/>
        <v>230</v>
      </c>
      <c r="I18" s="366">
        <f t="shared" si="6"/>
        <v>7.7</v>
      </c>
    </row>
    <row r="19" spans="2:10" s="31" customFormat="1" ht="26.1" customHeight="1">
      <c r="B19" s="368">
        <f t="shared" si="4"/>
        <v>44754.194444444445</v>
      </c>
      <c r="C19" s="369">
        <v>480</v>
      </c>
      <c r="D19" s="367">
        <f t="shared" si="0"/>
        <v>14</v>
      </c>
      <c r="E19" s="365">
        <f t="shared" si="1"/>
        <v>225</v>
      </c>
      <c r="F19" s="366">
        <f t="shared" si="2"/>
        <v>7.78</v>
      </c>
      <c r="G19" s="367">
        <f t="shared" si="3"/>
        <v>13.9</v>
      </c>
      <c r="H19" s="365">
        <f t="shared" si="5"/>
        <v>228</v>
      </c>
      <c r="I19" s="366">
        <f t="shared" si="6"/>
        <v>7.92</v>
      </c>
    </row>
    <row r="20" spans="2:10" s="32" customFormat="1" ht="26.1" customHeight="1">
      <c r="B20" s="368">
        <f t="shared" si="4"/>
        <v>44754.861111111109</v>
      </c>
      <c r="C20" s="369">
        <v>1440</v>
      </c>
      <c r="D20" s="367">
        <f t="shared" si="0"/>
        <v>14.1</v>
      </c>
      <c r="E20" s="365">
        <f t="shared" si="1"/>
        <v>227</v>
      </c>
      <c r="F20" s="366">
        <f t="shared" si="2"/>
        <v>7.9700000000000006</v>
      </c>
      <c r="G20" s="367">
        <f t="shared" si="3"/>
        <v>13.9</v>
      </c>
      <c r="H20" s="365">
        <f t="shared" si="5"/>
        <v>227</v>
      </c>
      <c r="I20" s="366">
        <f t="shared" si="6"/>
        <v>7.7299999999999995</v>
      </c>
    </row>
    <row r="21" spans="2:10" s="32" customFormat="1" ht="26.1" customHeight="1">
      <c r="B21" s="368">
        <f t="shared" si="4"/>
        <v>44755.027777777774</v>
      </c>
      <c r="C21" s="369">
        <v>1680</v>
      </c>
      <c r="D21" s="367">
        <f t="shared" si="0"/>
        <v>14</v>
      </c>
      <c r="E21" s="365">
        <f>$E$20</f>
        <v>227</v>
      </c>
      <c r="F21" s="366">
        <f>$F$20</f>
        <v>7.9700000000000006</v>
      </c>
      <c r="G21" s="367">
        <f>$G$20</f>
        <v>13.9</v>
      </c>
      <c r="H21" s="365">
        <f>$H$20</f>
        <v>227</v>
      </c>
      <c r="I21" s="366">
        <f>$I$20</f>
        <v>7.7299999999999995</v>
      </c>
    </row>
    <row r="22" spans="2:10" s="32" customFormat="1" ht="26.1" customHeight="1">
      <c r="B22" s="368">
        <f t="shared" si="4"/>
        <v>44755.194444444445</v>
      </c>
      <c r="C22" s="369">
        <v>1920</v>
      </c>
      <c r="D22" s="367">
        <f t="shared" si="0"/>
        <v>14</v>
      </c>
      <c r="E22" s="365">
        <f t="shared" ref="E22:E23" si="7">$E$20</f>
        <v>227</v>
      </c>
      <c r="F22" s="366">
        <f t="shared" ref="F22:F23" si="8">$F$20</f>
        <v>7.9700000000000006</v>
      </c>
      <c r="G22" s="367">
        <f t="shared" ref="G22:G23" si="9">$G$20</f>
        <v>13.9</v>
      </c>
      <c r="H22" s="365">
        <f t="shared" ref="H22:H23" si="10">$H$20</f>
        <v>227</v>
      </c>
      <c r="I22" s="366">
        <f t="shared" ref="I22:I23" si="11">$I$20</f>
        <v>7.7299999999999995</v>
      </c>
    </row>
    <row r="23" spans="2:10" s="32" customFormat="1" ht="26.1" customHeight="1">
      <c r="B23" s="370">
        <f t="shared" si="4"/>
        <v>44755.861111111109</v>
      </c>
      <c r="C23" s="371">
        <v>2880</v>
      </c>
      <c r="D23" s="367">
        <f t="shared" si="0"/>
        <v>14</v>
      </c>
      <c r="E23" s="365">
        <f t="shared" si="7"/>
        <v>227</v>
      </c>
      <c r="F23" s="366">
        <f t="shared" si="8"/>
        <v>7.9700000000000006</v>
      </c>
      <c r="G23" s="367">
        <f t="shared" si="9"/>
        <v>13.9</v>
      </c>
      <c r="H23" s="365">
        <f t="shared" si="10"/>
        <v>227</v>
      </c>
      <c r="I23" s="366">
        <f t="shared" si="11"/>
        <v>7.7299999999999995</v>
      </c>
    </row>
    <row r="24" spans="2:10" s="32" customFormat="1" ht="26.1" customHeight="1">
      <c r="B24" s="544" t="s">
        <v>36</v>
      </c>
      <c r="C24" s="545"/>
      <c r="D24" s="359">
        <f>MAX(D14:D23)</f>
        <v>14.1</v>
      </c>
      <c r="E24" s="360">
        <f t="shared" ref="E24:F24" si="12">MAX(E14:E23)</f>
        <v>228</v>
      </c>
      <c r="F24" s="361">
        <f t="shared" si="12"/>
        <v>8.01</v>
      </c>
      <c r="G24" s="359">
        <f>MAX(G14:G23)</f>
        <v>14</v>
      </c>
      <c r="H24" s="360">
        <f t="shared" ref="H24:I24" si="13">MAX(H14:H23)</f>
        <v>232</v>
      </c>
      <c r="I24" s="361">
        <f t="shared" si="13"/>
        <v>7.92</v>
      </c>
      <c r="J24" s="31"/>
    </row>
    <row r="25" spans="2:10" s="32" customFormat="1" ht="26.1" customHeight="1">
      <c r="B25" s="544" t="s">
        <v>37</v>
      </c>
      <c r="C25" s="545"/>
      <c r="D25" s="359">
        <f>MIN(D14:D23)</f>
        <v>14</v>
      </c>
      <c r="E25" s="360">
        <f t="shared" ref="E25:F25" si="14">MIN(E14:E23)</f>
        <v>223</v>
      </c>
      <c r="F25" s="379">
        <f t="shared" si="14"/>
        <v>7.78</v>
      </c>
      <c r="G25" s="359">
        <f>MIN(G14:G23)</f>
        <v>13.9</v>
      </c>
      <c r="H25" s="360">
        <f t="shared" ref="H25:I25" si="15">MIN(H14:H23)</f>
        <v>226</v>
      </c>
      <c r="I25" s="361">
        <f t="shared" si="15"/>
        <v>7.7</v>
      </c>
      <c r="J25" s="31"/>
    </row>
    <row r="26" spans="2:10" s="32" customFormat="1" ht="26.1" customHeight="1" thickBot="1">
      <c r="B26" s="538" t="s">
        <v>91</v>
      </c>
      <c r="C26" s="539"/>
      <c r="D26" s="373">
        <f>D24-D25</f>
        <v>9.9999999999999645E-2</v>
      </c>
      <c r="E26" s="374">
        <f t="shared" ref="E26:F26" si="16">E24-E25</f>
        <v>5</v>
      </c>
      <c r="F26" s="375">
        <f t="shared" si="16"/>
        <v>0.22999999999999954</v>
      </c>
      <c r="G26" s="373">
        <f>G24-G25</f>
        <v>9.9999999999999645E-2</v>
      </c>
      <c r="H26" s="374">
        <f t="shared" ref="H26:I26" si="17">H24-H25</f>
        <v>6</v>
      </c>
      <c r="I26" s="375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540" t="s">
        <v>86</v>
      </c>
      <c r="E29" s="543"/>
      <c r="F29" s="541"/>
      <c r="H29" s="540" t="s">
        <v>157</v>
      </c>
      <c r="I29" s="543"/>
      <c r="J29" s="541"/>
    </row>
    <row r="30" spans="2:10" s="32" customFormat="1" ht="18" customHeight="1">
      <c r="D30" s="98" t="s">
        <v>88</v>
      </c>
      <c r="E30" s="100" t="s">
        <v>89</v>
      </c>
      <c r="F30" s="99" t="s">
        <v>90</v>
      </c>
      <c r="H30" s="98" t="s">
        <v>88</v>
      </c>
      <c r="I30" s="100" t="s">
        <v>89</v>
      </c>
      <c r="J30" s="99" t="s">
        <v>90</v>
      </c>
    </row>
    <row r="31" spans="2:10" s="32" customFormat="1" ht="18" customHeight="1">
      <c r="D31" s="101">
        <v>0</v>
      </c>
      <c r="E31" s="63">
        <v>-3</v>
      </c>
      <c r="F31" s="102">
        <v>-7.0000000000000007E-2</v>
      </c>
      <c r="H31" s="101">
        <v>0</v>
      </c>
      <c r="I31" s="63">
        <v>3</v>
      </c>
      <c r="J31" s="102">
        <v>0.09</v>
      </c>
    </row>
    <row r="32" spans="2:10" s="32" customFormat="1" ht="18" customHeight="1">
      <c r="D32" s="101">
        <v>0.1</v>
      </c>
      <c r="E32" s="63">
        <v>-2</v>
      </c>
      <c r="F32" s="102">
        <v>-0.08</v>
      </c>
      <c r="H32" s="101">
        <v>0</v>
      </c>
      <c r="I32" s="63">
        <v>-3</v>
      </c>
      <c r="J32" s="102">
        <v>-0.09</v>
      </c>
    </row>
    <row r="33" spans="4:10" s="32" customFormat="1" ht="18" customHeight="1">
      <c r="D33" s="101">
        <v>0</v>
      </c>
      <c r="E33" s="63">
        <v>2</v>
      </c>
      <c r="F33" s="102">
        <v>0.11</v>
      </c>
      <c r="H33" s="101">
        <v>-0.1</v>
      </c>
      <c r="I33" s="63">
        <v>3</v>
      </c>
      <c r="J33" s="102">
        <v>-0.1</v>
      </c>
    </row>
    <row r="34" spans="4:10" s="32" customFormat="1" ht="18" customHeight="1">
      <c r="D34" s="101">
        <v>0</v>
      </c>
      <c r="E34" s="63">
        <v>2</v>
      </c>
      <c r="F34" s="102">
        <v>0.11</v>
      </c>
      <c r="H34" s="101">
        <v>-0.1</v>
      </c>
      <c r="I34" s="63">
        <v>-1</v>
      </c>
      <c r="J34" s="102">
        <v>-0.1</v>
      </c>
    </row>
    <row r="35" spans="4:10" s="32" customFormat="1" ht="18" customHeight="1">
      <c r="D35" s="101">
        <v>0.1</v>
      </c>
      <c r="E35" s="63">
        <v>1</v>
      </c>
      <c r="F35" s="102">
        <v>0.11</v>
      </c>
      <c r="H35" s="101">
        <v>-0.1</v>
      </c>
      <c r="I35" s="63">
        <v>1</v>
      </c>
      <c r="J35" s="102">
        <v>-0.1</v>
      </c>
    </row>
    <row r="36" spans="4:10" s="32" customFormat="1" ht="18" customHeight="1">
      <c r="D36" s="101">
        <v>0</v>
      </c>
      <c r="E36" s="63">
        <v>-1</v>
      </c>
      <c r="F36" s="102">
        <v>-0.12</v>
      </c>
      <c r="H36" s="101">
        <v>-0.1</v>
      </c>
      <c r="I36" s="63">
        <v>-1</v>
      </c>
      <c r="J36" s="102">
        <v>0.12</v>
      </c>
    </row>
    <row r="37" spans="4:10" s="32" customFormat="1" ht="18" customHeight="1">
      <c r="D37" s="101">
        <v>0.1</v>
      </c>
      <c r="E37" s="63">
        <v>1</v>
      </c>
      <c r="F37" s="102">
        <v>7.0000000000000007E-2</v>
      </c>
      <c r="H37" s="101">
        <v>-0.1</v>
      </c>
      <c r="I37" s="63">
        <v>-2</v>
      </c>
      <c r="J37" s="102">
        <v>-7.0000000000000007E-2</v>
      </c>
    </row>
    <row r="38" spans="4:10" ht="18" customHeight="1">
      <c r="D38" s="101">
        <v>0</v>
      </c>
      <c r="E38" s="63">
        <v>-1</v>
      </c>
      <c r="F38" s="102">
        <v>0.12</v>
      </c>
      <c r="H38" s="101">
        <v>0.1</v>
      </c>
      <c r="I38" s="63">
        <v>-1</v>
      </c>
      <c r="J38" s="102">
        <v>0.08</v>
      </c>
    </row>
    <row r="39" spans="4:10" ht="18" customHeight="1">
      <c r="D39" s="101">
        <v>0</v>
      </c>
      <c r="E39" s="63">
        <v>1</v>
      </c>
      <c r="F39" s="102">
        <v>0.11</v>
      </c>
      <c r="H39" s="101">
        <v>-0.1</v>
      </c>
      <c r="I39" s="63">
        <v>-2</v>
      </c>
      <c r="J39" s="102">
        <v>0.09</v>
      </c>
    </row>
    <row r="40" spans="4:10" ht="18" customHeight="1" thickBot="1">
      <c r="D40" s="103">
        <v>0</v>
      </c>
      <c r="E40" s="65">
        <v>-3</v>
      </c>
      <c r="F40" s="104">
        <v>-0.11</v>
      </c>
      <c r="H40" s="103">
        <v>-0.1</v>
      </c>
      <c r="I40" s="65">
        <v>-2</v>
      </c>
      <c r="J40" s="104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6"/>
    <col min="2" max="2" width="13.109375" style="36" customWidth="1"/>
    <col min="3" max="3" width="10.77734375" style="36" bestFit="1" customWidth="1"/>
    <col min="4" max="4" width="7.33203125" style="36" customWidth="1"/>
    <col min="5" max="6" width="7.33203125" style="37" customWidth="1"/>
    <col min="7" max="12" width="7.33203125" style="36" customWidth="1"/>
    <col min="13" max="23" width="6.77734375" style="36" customWidth="1"/>
    <col min="24" max="16384" width="8.88671875" style="36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5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37" t="s">
        <v>81</v>
      </c>
      <c r="C6" s="238">
        <v>44717.430555555555</v>
      </c>
      <c r="D6" s="95"/>
      <c r="E6" s="95"/>
      <c r="F6" s="31"/>
    </row>
    <row r="7" spans="2:12" s="32" customFormat="1" ht="26.1" customHeight="1" thickBot="1">
      <c r="B7" s="240" t="s">
        <v>82</v>
      </c>
      <c r="C7" s="241">
        <v>14.7</v>
      </c>
      <c r="D7" s="95"/>
      <c r="E7" s="95"/>
      <c r="F7" s="31"/>
    </row>
    <row r="8" spans="2:12" s="32" customFormat="1" ht="26.1" customHeight="1">
      <c r="B8" s="231" t="s">
        <v>83</v>
      </c>
      <c r="C8" s="232">
        <v>197</v>
      </c>
      <c r="D8" s="242">
        <v>197</v>
      </c>
      <c r="E8" s="233">
        <v>194</v>
      </c>
      <c r="F8" s="31"/>
    </row>
    <row r="9" spans="2:12" s="32" customFormat="1" ht="26.1" customHeight="1" thickBot="1">
      <c r="B9" s="234" t="s">
        <v>84</v>
      </c>
      <c r="C9" s="235">
        <v>8.4</v>
      </c>
      <c r="D9" s="243">
        <v>8.3000000000000007</v>
      </c>
      <c r="E9" s="236">
        <v>8.4</v>
      </c>
      <c r="F9" s="31"/>
    </row>
    <row r="10" spans="2:12" s="32" customFormat="1" ht="26.1" customHeight="1">
      <c r="B10" s="96"/>
      <c r="C10" s="97"/>
      <c r="D10" s="95"/>
      <c r="E10" s="95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540" t="s">
        <v>85</v>
      </c>
      <c r="C12" s="541"/>
      <c r="D12" s="546" t="s">
        <v>86</v>
      </c>
      <c r="E12" s="547"/>
      <c r="F12" s="548"/>
      <c r="G12" s="546" t="s">
        <v>157</v>
      </c>
      <c r="H12" s="547"/>
      <c r="I12" s="548"/>
      <c r="J12" s="546" t="s">
        <v>158</v>
      </c>
      <c r="K12" s="547"/>
      <c r="L12" s="548"/>
    </row>
    <row r="13" spans="2:12" s="31" customFormat="1" ht="26.1" customHeight="1">
      <c r="B13" s="357" t="s">
        <v>81</v>
      </c>
      <c r="C13" s="358" t="s">
        <v>87</v>
      </c>
      <c r="D13" s="359" t="s">
        <v>161</v>
      </c>
      <c r="E13" s="360" t="s">
        <v>170</v>
      </c>
      <c r="F13" s="361" t="s">
        <v>90</v>
      </c>
      <c r="G13" s="359" t="s">
        <v>161</v>
      </c>
      <c r="H13" s="360" t="s">
        <v>170</v>
      </c>
      <c r="I13" s="361" t="s">
        <v>90</v>
      </c>
      <c r="J13" s="359" t="s">
        <v>161</v>
      </c>
      <c r="K13" s="360" t="s">
        <v>170</v>
      </c>
      <c r="L13" s="361" t="s">
        <v>90</v>
      </c>
    </row>
    <row r="14" spans="2:12" s="31" customFormat="1" ht="26.1" customHeight="1">
      <c r="B14" s="362">
        <f>$C$6+C14/1440</f>
        <v>44717.434027777774</v>
      </c>
      <c r="C14" s="363">
        <v>5</v>
      </c>
      <c r="D14" s="364">
        <f t="shared" ref="D14:D20" si="0">baseTemp+D31</f>
        <v>14.7</v>
      </c>
      <c r="E14" s="365">
        <f t="shared" ref="E14:E20" si="1">$C$8+E31</f>
        <v>194</v>
      </c>
      <c r="F14" s="366">
        <f t="shared" ref="F14:F20" si="2">$C$9+F31</f>
        <v>8.33</v>
      </c>
      <c r="G14" s="367">
        <f t="shared" ref="G14:G20" si="3">baseTemp+H31</f>
        <v>14.7</v>
      </c>
      <c r="H14" s="365">
        <f>$D$8+I31</f>
        <v>200</v>
      </c>
      <c r="I14" s="366">
        <f>$D$9+J31</f>
        <v>8.39</v>
      </c>
      <c r="J14" s="367">
        <f t="shared" ref="J14:J20" si="4">baseTemp+L31</f>
        <v>14.7</v>
      </c>
      <c r="K14" s="365">
        <f>$E$8+M31</f>
        <v>195</v>
      </c>
      <c r="L14" s="366">
        <f>$E$9+N31</f>
        <v>8.2800000000000011</v>
      </c>
    </row>
    <row r="15" spans="2:12" s="31" customFormat="1" ht="26.1" customHeight="1">
      <c r="B15" s="368">
        <f t="shared" ref="B15:B23" si="5">$C$6+C15/1440</f>
        <v>44717.451388888891</v>
      </c>
      <c r="C15" s="369">
        <v>30</v>
      </c>
      <c r="D15" s="364">
        <f t="shared" si="0"/>
        <v>14.799999999999999</v>
      </c>
      <c r="E15" s="365">
        <f t="shared" si="1"/>
        <v>195</v>
      </c>
      <c r="F15" s="366">
        <f t="shared" si="2"/>
        <v>8.32</v>
      </c>
      <c r="G15" s="367">
        <f t="shared" si="3"/>
        <v>14.7</v>
      </c>
      <c r="H15" s="365">
        <f t="shared" ref="H15:H20" si="6">$D$8+I32</f>
        <v>194</v>
      </c>
      <c r="I15" s="366">
        <f t="shared" ref="I15:I20" si="7">$D$9+J32</f>
        <v>8.2100000000000009</v>
      </c>
      <c r="J15" s="367">
        <f t="shared" si="4"/>
        <v>14.7</v>
      </c>
      <c r="K15" s="365">
        <f t="shared" ref="K15:K20" si="8">$E$8+M32</f>
        <v>192</v>
      </c>
      <c r="L15" s="366">
        <f t="shared" ref="L15:L20" si="9">$E$9+N32</f>
        <v>8.49</v>
      </c>
    </row>
    <row r="16" spans="2:12" s="31" customFormat="1" ht="26.1" customHeight="1">
      <c r="B16" s="368">
        <f t="shared" si="5"/>
        <v>44717.472222222219</v>
      </c>
      <c r="C16" s="369">
        <v>60</v>
      </c>
      <c r="D16" s="364">
        <f t="shared" si="0"/>
        <v>14.7</v>
      </c>
      <c r="E16" s="365">
        <f t="shared" si="1"/>
        <v>199</v>
      </c>
      <c r="F16" s="366">
        <f t="shared" si="2"/>
        <v>8.51</v>
      </c>
      <c r="G16" s="367">
        <f t="shared" si="3"/>
        <v>14.6</v>
      </c>
      <c r="H16" s="365">
        <f t="shared" si="6"/>
        <v>200</v>
      </c>
      <c r="I16" s="366">
        <f t="shared" si="7"/>
        <v>8.2000000000000011</v>
      </c>
      <c r="J16" s="367">
        <f t="shared" si="4"/>
        <v>14.799999999999999</v>
      </c>
      <c r="K16" s="365">
        <f t="shared" si="8"/>
        <v>193</v>
      </c>
      <c r="L16" s="366">
        <f t="shared" si="9"/>
        <v>8.51</v>
      </c>
    </row>
    <row r="17" spans="2:14" s="31" customFormat="1" ht="26.1" customHeight="1">
      <c r="B17" s="368">
        <f t="shared" si="5"/>
        <v>44717.513888888891</v>
      </c>
      <c r="C17" s="369">
        <v>120</v>
      </c>
      <c r="D17" s="364">
        <f t="shared" si="0"/>
        <v>14.7</v>
      </c>
      <c r="E17" s="365">
        <f t="shared" si="1"/>
        <v>199</v>
      </c>
      <c r="F17" s="366">
        <f t="shared" si="2"/>
        <v>8.51</v>
      </c>
      <c r="G17" s="367">
        <f t="shared" si="3"/>
        <v>14.6</v>
      </c>
      <c r="H17" s="365">
        <f t="shared" si="6"/>
        <v>196</v>
      </c>
      <c r="I17" s="366">
        <f t="shared" si="7"/>
        <v>8.2000000000000011</v>
      </c>
      <c r="J17" s="367">
        <f t="shared" si="4"/>
        <v>14.799999999999999</v>
      </c>
      <c r="K17" s="365">
        <f t="shared" si="8"/>
        <v>196</v>
      </c>
      <c r="L17" s="366">
        <f t="shared" si="9"/>
        <v>8.3000000000000007</v>
      </c>
    </row>
    <row r="18" spans="2:14" s="31" customFormat="1" ht="26.1" customHeight="1">
      <c r="B18" s="368">
        <f t="shared" si="5"/>
        <v>44717.597222222219</v>
      </c>
      <c r="C18" s="369">
        <v>240</v>
      </c>
      <c r="D18" s="364">
        <f t="shared" si="0"/>
        <v>14.799999999999999</v>
      </c>
      <c r="E18" s="365">
        <f t="shared" si="1"/>
        <v>198</v>
      </c>
      <c r="F18" s="366">
        <f t="shared" si="2"/>
        <v>8.51</v>
      </c>
      <c r="G18" s="367">
        <f t="shared" si="3"/>
        <v>14.6</v>
      </c>
      <c r="H18" s="365">
        <f t="shared" si="6"/>
        <v>198</v>
      </c>
      <c r="I18" s="366">
        <f t="shared" si="7"/>
        <v>8.2000000000000011</v>
      </c>
      <c r="J18" s="367">
        <f t="shared" si="4"/>
        <v>14.6</v>
      </c>
      <c r="K18" s="365">
        <f t="shared" si="8"/>
        <v>196</v>
      </c>
      <c r="L18" s="366">
        <f t="shared" si="9"/>
        <v>8.52</v>
      </c>
    </row>
    <row r="19" spans="2:14" s="31" customFormat="1" ht="26.1" customHeight="1">
      <c r="B19" s="368">
        <f t="shared" si="5"/>
        <v>44717.763888888891</v>
      </c>
      <c r="C19" s="369">
        <v>480</v>
      </c>
      <c r="D19" s="364">
        <f t="shared" si="0"/>
        <v>14.7</v>
      </c>
      <c r="E19" s="365">
        <f t="shared" si="1"/>
        <v>196</v>
      </c>
      <c r="F19" s="366">
        <f t="shared" si="2"/>
        <v>8.2800000000000011</v>
      </c>
      <c r="G19" s="367">
        <f t="shared" si="3"/>
        <v>14.6</v>
      </c>
      <c r="H19" s="365">
        <f t="shared" si="6"/>
        <v>196</v>
      </c>
      <c r="I19" s="366">
        <f t="shared" si="7"/>
        <v>8.42</v>
      </c>
      <c r="J19" s="367">
        <f t="shared" si="4"/>
        <v>14.799999999999999</v>
      </c>
      <c r="K19" s="365">
        <f t="shared" si="8"/>
        <v>191</v>
      </c>
      <c r="L19" s="366">
        <f t="shared" si="9"/>
        <v>8.2800000000000011</v>
      </c>
    </row>
    <row r="20" spans="2:14" s="32" customFormat="1" ht="26.1" customHeight="1">
      <c r="B20" s="368">
        <f t="shared" si="5"/>
        <v>44718.430555555555</v>
      </c>
      <c r="C20" s="369">
        <v>1440</v>
      </c>
      <c r="D20" s="364">
        <f t="shared" si="0"/>
        <v>14.799999999999999</v>
      </c>
      <c r="E20" s="365">
        <f t="shared" si="1"/>
        <v>198</v>
      </c>
      <c r="F20" s="366">
        <f t="shared" si="2"/>
        <v>8.4700000000000006</v>
      </c>
      <c r="G20" s="367">
        <f t="shared" si="3"/>
        <v>14.6</v>
      </c>
      <c r="H20" s="365">
        <f t="shared" si="6"/>
        <v>195</v>
      </c>
      <c r="I20" s="366">
        <f t="shared" si="7"/>
        <v>8.23</v>
      </c>
      <c r="J20" s="367">
        <f t="shared" si="4"/>
        <v>14.6</v>
      </c>
      <c r="K20" s="365">
        <f t="shared" si="8"/>
        <v>191</v>
      </c>
      <c r="L20" s="366">
        <f t="shared" si="9"/>
        <v>8.33</v>
      </c>
    </row>
    <row r="21" spans="2:14" s="32" customFormat="1" ht="26.1" customHeight="1">
      <c r="B21" s="368">
        <f t="shared" si="5"/>
        <v>44718.597222222219</v>
      </c>
      <c r="C21" s="369">
        <v>1680</v>
      </c>
      <c r="D21" s="364">
        <f>$D$20</f>
        <v>14.799999999999999</v>
      </c>
      <c r="E21" s="365">
        <f>$E$20</f>
        <v>198</v>
      </c>
      <c r="F21" s="366">
        <f>$F$20</f>
        <v>8.4700000000000006</v>
      </c>
      <c r="G21" s="367">
        <f>$G$20</f>
        <v>14.6</v>
      </c>
      <c r="H21" s="365">
        <f>$H$20</f>
        <v>195</v>
      </c>
      <c r="I21" s="366">
        <f>$I$20</f>
        <v>8.23</v>
      </c>
      <c r="J21" s="367">
        <f>$J$20</f>
        <v>14.6</v>
      </c>
      <c r="K21" s="365">
        <f>$K$20</f>
        <v>191</v>
      </c>
      <c r="L21" s="366">
        <f>$L$20</f>
        <v>8.33</v>
      </c>
    </row>
    <row r="22" spans="2:14" s="32" customFormat="1" ht="26.1" customHeight="1">
      <c r="B22" s="368">
        <f t="shared" si="5"/>
        <v>44718.763888888891</v>
      </c>
      <c r="C22" s="369">
        <v>1920</v>
      </c>
      <c r="D22" s="364">
        <f t="shared" ref="D22:D23" si="10">$D$20</f>
        <v>14.799999999999999</v>
      </c>
      <c r="E22" s="365">
        <f t="shared" ref="E22:E23" si="11">$E$20</f>
        <v>198</v>
      </c>
      <c r="F22" s="366">
        <f t="shared" ref="F22:F23" si="12">$F$20</f>
        <v>8.4700000000000006</v>
      </c>
      <c r="G22" s="367">
        <f t="shared" ref="G22:G23" si="13">$G$20</f>
        <v>14.6</v>
      </c>
      <c r="H22" s="365">
        <f t="shared" ref="H22:H23" si="14">$H$20</f>
        <v>195</v>
      </c>
      <c r="I22" s="366">
        <f t="shared" ref="I22:I23" si="15">$I$20</f>
        <v>8.23</v>
      </c>
      <c r="J22" s="367">
        <f t="shared" ref="J22:J23" si="16">$J$20</f>
        <v>14.6</v>
      </c>
      <c r="K22" s="365">
        <f t="shared" ref="K22:K23" si="17">$K$20</f>
        <v>191</v>
      </c>
      <c r="L22" s="366">
        <f t="shared" ref="L22:L23" si="18">$L$20</f>
        <v>8.33</v>
      </c>
    </row>
    <row r="23" spans="2:14" s="32" customFormat="1" ht="26.1" customHeight="1">
      <c r="B23" s="370">
        <f t="shared" si="5"/>
        <v>44719.430555555555</v>
      </c>
      <c r="C23" s="371">
        <v>2880</v>
      </c>
      <c r="D23" s="364">
        <f t="shared" si="10"/>
        <v>14.799999999999999</v>
      </c>
      <c r="E23" s="365">
        <f t="shared" si="11"/>
        <v>198</v>
      </c>
      <c r="F23" s="366">
        <f t="shared" si="12"/>
        <v>8.4700000000000006</v>
      </c>
      <c r="G23" s="367">
        <f t="shared" si="13"/>
        <v>14.6</v>
      </c>
      <c r="H23" s="365">
        <f t="shared" si="14"/>
        <v>195</v>
      </c>
      <c r="I23" s="366">
        <f t="shared" si="15"/>
        <v>8.23</v>
      </c>
      <c r="J23" s="367">
        <f t="shared" si="16"/>
        <v>14.6</v>
      </c>
      <c r="K23" s="365">
        <f t="shared" si="17"/>
        <v>191</v>
      </c>
      <c r="L23" s="366">
        <f t="shared" si="18"/>
        <v>8.33</v>
      </c>
    </row>
    <row r="24" spans="2:14" s="32" customFormat="1" ht="26.1" customHeight="1">
      <c r="B24" s="544" t="s">
        <v>36</v>
      </c>
      <c r="C24" s="545"/>
      <c r="D24" s="359">
        <f>MAX(D14:D23)</f>
        <v>14.799999999999999</v>
      </c>
      <c r="E24" s="360">
        <f t="shared" ref="E24:F24" si="19">MAX(E14:E23)</f>
        <v>199</v>
      </c>
      <c r="F24" s="361">
        <f t="shared" si="19"/>
        <v>8.51</v>
      </c>
      <c r="G24" s="359">
        <f>MAX(G14:G23)</f>
        <v>14.7</v>
      </c>
      <c r="H24" s="360">
        <f t="shared" ref="H24:I24" si="20">MAX(H14:H23)</f>
        <v>200</v>
      </c>
      <c r="I24" s="361">
        <f t="shared" si="20"/>
        <v>8.42</v>
      </c>
      <c r="J24" s="359">
        <f>MAX(J14:J23)</f>
        <v>14.799999999999999</v>
      </c>
      <c r="K24" s="360">
        <f t="shared" ref="K24:L24" si="21">MAX(K14:K23)</f>
        <v>196</v>
      </c>
      <c r="L24" s="361">
        <f t="shared" si="21"/>
        <v>8.52</v>
      </c>
    </row>
    <row r="25" spans="2:14" s="32" customFormat="1" ht="26.1" customHeight="1">
      <c r="B25" s="544" t="s">
        <v>37</v>
      </c>
      <c r="C25" s="545"/>
      <c r="D25" s="359">
        <f>MIN(D14:D23)</f>
        <v>14.7</v>
      </c>
      <c r="E25" s="360">
        <f t="shared" ref="E25:F25" si="22">MIN(E14:E23)</f>
        <v>194</v>
      </c>
      <c r="F25" s="361">
        <f t="shared" si="22"/>
        <v>8.2800000000000011</v>
      </c>
      <c r="G25" s="359">
        <f>MIN(G14:G23)</f>
        <v>14.6</v>
      </c>
      <c r="H25" s="360">
        <f t="shared" ref="H25:I25" si="23">MIN(H14:H23)</f>
        <v>194</v>
      </c>
      <c r="I25" s="361">
        <f t="shared" si="23"/>
        <v>8.2000000000000011</v>
      </c>
      <c r="J25" s="359">
        <f>MIN(J14:J23)</f>
        <v>14.6</v>
      </c>
      <c r="K25" s="360">
        <f t="shared" ref="K25:L25" si="24">MIN(K14:K23)</f>
        <v>191</v>
      </c>
      <c r="L25" s="361">
        <f t="shared" si="24"/>
        <v>8.2800000000000011</v>
      </c>
    </row>
    <row r="26" spans="2:14" s="32" customFormat="1" ht="26.1" customHeight="1" thickBot="1">
      <c r="B26" s="538" t="s">
        <v>91</v>
      </c>
      <c r="C26" s="539"/>
      <c r="D26" s="373">
        <f>D24-D25</f>
        <v>9.9999999999999645E-2</v>
      </c>
      <c r="E26" s="374">
        <f t="shared" ref="E26:F26" si="25">E24-E25</f>
        <v>5</v>
      </c>
      <c r="F26" s="375">
        <f t="shared" si="25"/>
        <v>0.22999999999999865</v>
      </c>
      <c r="G26" s="373">
        <f>G24-G25</f>
        <v>9.9999999999999645E-2</v>
      </c>
      <c r="H26" s="374">
        <f t="shared" ref="H26:I26" si="26">H24-H25</f>
        <v>6</v>
      </c>
      <c r="I26" s="375">
        <f t="shared" si="26"/>
        <v>0.21999999999999886</v>
      </c>
      <c r="J26" s="373">
        <f>J24-J25</f>
        <v>0.19999999999999929</v>
      </c>
      <c r="K26" s="374">
        <f t="shared" ref="K26:L26" si="27">K24-K25</f>
        <v>5</v>
      </c>
      <c r="L26" s="375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540" t="s">
        <v>86</v>
      </c>
      <c r="E29" s="543"/>
      <c r="F29" s="541"/>
      <c r="H29" s="540" t="s">
        <v>157</v>
      </c>
      <c r="I29" s="543"/>
      <c r="J29" s="541"/>
      <c r="L29" s="540" t="s">
        <v>158</v>
      </c>
      <c r="M29" s="543"/>
      <c r="N29" s="541"/>
    </row>
    <row r="30" spans="2:14" s="32" customFormat="1" ht="26.1" customHeight="1">
      <c r="D30" s="98" t="s">
        <v>162</v>
      </c>
      <c r="E30" s="100" t="s">
        <v>163</v>
      </c>
      <c r="F30" s="99" t="s">
        <v>90</v>
      </c>
      <c r="H30" s="98" t="s">
        <v>162</v>
      </c>
      <c r="I30" s="100" t="s">
        <v>163</v>
      </c>
      <c r="J30" s="99" t="s">
        <v>90</v>
      </c>
      <c r="L30" s="98" t="s">
        <v>162</v>
      </c>
      <c r="M30" s="100" t="s">
        <v>163</v>
      </c>
      <c r="N30" s="99" t="s">
        <v>90</v>
      </c>
    </row>
    <row r="31" spans="2:14" s="32" customFormat="1" ht="26.1" customHeight="1">
      <c r="D31" s="101">
        <v>0</v>
      </c>
      <c r="E31" s="63">
        <v>-3</v>
      </c>
      <c r="F31" s="102">
        <v>-7.0000000000000007E-2</v>
      </c>
      <c r="H31" s="101">
        <v>0</v>
      </c>
      <c r="I31" s="63">
        <v>3</v>
      </c>
      <c r="J31" s="102">
        <v>0.09</v>
      </c>
      <c r="L31" s="101">
        <v>0</v>
      </c>
      <c r="M31" s="63">
        <v>1</v>
      </c>
      <c r="N31" s="102">
        <v>-0.12</v>
      </c>
    </row>
    <row r="32" spans="2:14" s="32" customFormat="1" ht="26.1" customHeight="1">
      <c r="D32" s="101">
        <v>0.1</v>
      </c>
      <c r="E32" s="63">
        <v>-2</v>
      </c>
      <c r="F32" s="102">
        <v>-0.08</v>
      </c>
      <c r="H32" s="101">
        <v>0</v>
      </c>
      <c r="I32" s="63">
        <v>-3</v>
      </c>
      <c r="J32" s="102">
        <v>-0.09</v>
      </c>
      <c r="L32" s="101">
        <v>0</v>
      </c>
      <c r="M32" s="63">
        <v>-2</v>
      </c>
      <c r="N32" s="102">
        <v>0.09</v>
      </c>
    </row>
    <row r="33" spans="4:14" s="32" customFormat="1" ht="26.1" customHeight="1">
      <c r="D33" s="101">
        <v>0</v>
      </c>
      <c r="E33" s="63">
        <v>2</v>
      </c>
      <c r="F33" s="102">
        <v>0.11</v>
      </c>
      <c r="H33" s="101">
        <v>-0.1</v>
      </c>
      <c r="I33" s="63">
        <v>3</v>
      </c>
      <c r="J33" s="102">
        <v>-0.1</v>
      </c>
      <c r="L33" s="101">
        <v>0.1</v>
      </c>
      <c r="M33" s="63">
        <v>-1</v>
      </c>
      <c r="N33" s="102">
        <v>0.11</v>
      </c>
    </row>
    <row r="34" spans="4:14" s="32" customFormat="1" ht="26.1" customHeight="1">
      <c r="D34" s="101">
        <v>0</v>
      </c>
      <c r="E34" s="63">
        <v>2</v>
      </c>
      <c r="F34" s="102">
        <v>0.11</v>
      </c>
      <c r="H34" s="101">
        <v>-0.1</v>
      </c>
      <c r="I34" s="63">
        <v>-1</v>
      </c>
      <c r="J34" s="102">
        <v>-0.1</v>
      </c>
      <c r="L34" s="101">
        <v>0.1</v>
      </c>
      <c r="M34" s="63">
        <v>2</v>
      </c>
      <c r="N34" s="102">
        <v>-0.1</v>
      </c>
    </row>
    <row r="35" spans="4:14" s="32" customFormat="1" ht="26.1" customHeight="1">
      <c r="D35" s="101">
        <v>0.1</v>
      </c>
      <c r="E35" s="63">
        <v>1</v>
      </c>
      <c r="F35" s="102">
        <v>0.11</v>
      </c>
      <c r="H35" s="101">
        <v>-0.1</v>
      </c>
      <c r="I35" s="63">
        <v>1</v>
      </c>
      <c r="J35" s="102">
        <v>-0.1</v>
      </c>
      <c r="L35" s="101">
        <v>-0.1</v>
      </c>
      <c r="M35" s="63">
        <v>2</v>
      </c>
      <c r="N35" s="102">
        <v>0.12</v>
      </c>
    </row>
    <row r="36" spans="4:14" s="32" customFormat="1" ht="26.1" customHeight="1">
      <c r="D36" s="101">
        <v>0</v>
      </c>
      <c r="E36" s="63">
        <v>-1</v>
      </c>
      <c r="F36" s="102">
        <v>-0.12</v>
      </c>
      <c r="H36" s="101">
        <v>-0.1</v>
      </c>
      <c r="I36" s="63">
        <v>-1</v>
      </c>
      <c r="J36" s="102">
        <v>0.12</v>
      </c>
      <c r="L36" s="101">
        <v>0.1</v>
      </c>
      <c r="M36" s="63">
        <v>-3</v>
      </c>
      <c r="N36" s="102">
        <v>-0.12</v>
      </c>
    </row>
    <row r="37" spans="4:14" s="32" customFormat="1" ht="26.1" customHeight="1">
      <c r="D37" s="101">
        <v>0.1</v>
      </c>
      <c r="E37" s="63">
        <v>1</v>
      </c>
      <c r="F37" s="102">
        <v>7.0000000000000007E-2</v>
      </c>
      <c r="H37" s="101">
        <v>-0.1</v>
      </c>
      <c r="I37" s="63">
        <v>-2</v>
      </c>
      <c r="J37" s="102">
        <v>-7.0000000000000007E-2</v>
      </c>
      <c r="L37" s="101">
        <v>-0.1</v>
      </c>
      <c r="M37" s="63">
        <v>-3</v>
      </c>
      <c r="N37" s="102">
        <v>-7.0000000000000007E-2</v>
      </c>
    </row>
    <row r="38" spans="4:14" ht="26.1" customHeight="1">
      <c r="D38" s="101">
        <v>0</v>
      </c>
      <c r="E38" s="63">
        <v>-1</v>
      </c>
      <c r="F38" s="102">
        <v>0.12</v>
      </c>
      <c r="H38" s="101">
        <v>0.1</v>
      </c>
      <c r="I38" s="63">
        <v>-1</v>
      </c>
      <c r="J38" s="102">
        <v>0.08</v>
      </c>
      <c r="L38" s="101">
        <v>-0.1</v>
      </c>
      <c r="M38" s="63">
        <v>-1</v>
      </c>
      <c r="N38" s="102">
        <v>0.1</v>
      </c>
    </row>
    <row r="39" spans="4:14" ht="26.1" customHeight="1">
      <c r="D39" s="101">
        <v>0</v>
      </c>
      <c r="E39" s="63">
        <v>1</v>
      </c>
      <c r="F39" s="102">
        <v>0.11</v>
      </c>
      <c r="H39" s="101">
        <v>-0.1</v>
      </c>
      <c r="I39" s="63">
        <v>-2</v>
      </c>
      <c r="J39" s="102">
        <v>0.09</v>
      </c>
      <c r="L39" s="101">
        <v>0.1</v>
      </c>
      <c r="M39" s="63">
        <v>-1</v>
      </c>
      <c r="N39" s="102">
        <v>0.11</v>
      </c>
    </row>
    <row r="40" spans="4:14" ht="26.1" customHeight="1" thickBot="1">
      <c r="D40" s="103">
        <v>0</v>
      </c>
      <c r="E40" s="65">
        <v>-3</v>
      </c>
      <c r="F40" s="104">
        <v>-0.11</v>
      </c>
      <c r="H40" s="103">
        <v>-0.1</v>
      </c>
      <c r="I40" s="65">
        <v>-2</v>
      </c>
      <c r="J40" s="104">
        <v>0.09</v>
      </c>
      <c r="L40" s="103">
        <v>0</v>
      </c>
      <c r="M40" s="65">
        <v>-2</v>
      </c>
      <c r="N40" s="104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2023-05-04T08:06:04Z</dcterms:modified>
</cp:coreProperties>
</file>