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01E432C-34F0-4954-8555-369C8B418D69}" xr6:coauthVersionLast="47" xr6:coauthVersionMax="47" xr10:uidLastSave="{00000000-0000-0000-0000-000000000000}"/>
  <bookViews>
    <workbookView xWindow="38280" yWindow="3135" windowWidth="29040" windowHeight="1584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23" l="1"/>
  <c r="B47" i="23"/>
  <c r="B46" i="23"/>
  <c r="B43" i="23"/>
  <c r="B42" i="23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<sst xmlns="http://schemas.openxmlformats.org/spreadsheetml/2006/main" count="876" uniqueCount="672">
  <si>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</si>
  <si>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</si>
  <si>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</si>
  <si>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</si>
  <si>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</si>
  <si>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</si>
  <si>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</si>
  <si>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</si>
  <si>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</si>
  <si>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</si>
  <si>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</si>
  <si>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</si>
  <si>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</si>
  <si>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</si>
  <si>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</si>
  <si>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</si>
  <si>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</si>
  <si>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</si>
  <si>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</si>
  <si>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</si>
  <si>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</si>
  <si>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</si>
  <si>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</si>
  <si>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</si>
  <si>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</si>
  <si>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</si>
  <si>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</si>
  <si>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</si>
  <si>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</si>
  <si>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</si>
  <si>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</si>
  <si>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</si>
  <si>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</si>
  <si>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</si>
  <si>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</si>
  <si>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</si>
  <si>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</si>
  <si>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</si>
  <si>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</si>
  <si>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</si>
  <si>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</si>
  <si>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</si>
  <si>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</si>
  <si>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</si>
  <si>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</si>
  <si>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</si>
  <si>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</si>
  <si>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</si>
  <si>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</si>
  <si>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</si>
  <si>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</si>
  <si>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</si>
  <si>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</si>
  <si>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</si>
  <si>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</si>
  <si>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</si>
  <si>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</si>
  <si>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</si>
  <si>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</si>
  <si>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</si>
  <si>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</si>
  <si>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</si>
  <si>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</si>
  <si>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</si>
  <si>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</si>
  <si>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</si>
  <si>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</si>
  <si>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</si>
  <si>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</si>
  <si>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</si>
  <si>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</si>
  <si>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</si>
  <si>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</si>
  <si>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</si>
  <si>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</si>
  <si>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</si>
  <si>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</si>
  <si>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</si>
  <si>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</si>
  <si>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</si>
  <si>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</si>
  <si>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</si>
  <si>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</si>
  <si>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</si>
  <si>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</si>
  <si>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</si>
  <si>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</si>
  <si>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</si>
  <si>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</si>
  <si>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</si>
  <si>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</si>
  <si>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</si>
  <si>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</si>
  <si>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</si>
  <si>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</si>
  <si>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</si>
  <si>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</si>
  <si>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</si>
  <si>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</si>
  <si>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</si>
  <si>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</si>
  <si>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</si>
  <si>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</si>
  <si>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</si>
  <si>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</si>
  <si>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</si>
  <si>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</si>
  <si>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</si>
  <si>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</si>
  <si>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</si>
  <si>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</si>
  <si>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</si>
  <si>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</si>
  <si>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</si>
  <si>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</si>
  <si>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</si>
  <si>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</si>
  <si>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</si>
  <si>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</si>
  <si>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</si>
  <si>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</si>
  <si>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</si>
  <si>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</si>
  <si>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</si>
  <si>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</si>
  <si>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</si>
  <si>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</si>
  <si>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</si>
  <si>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</si>
  <si>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</si>
  <si>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</si>
  <si>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</si>
  <si>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</si>
  <si>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</si>
  <si>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</si>
  <si>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</si>
  <si>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</si>
  <si>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</si>
  <si>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</si>
  <si>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</si>
  <si>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</si>
  <si>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</si>
  <si>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</si>
  <si>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</si>
  <si>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</si>
  <si>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</si>
  <si>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</si>
  <si>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</si>
  <si>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</si>
  <si>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</si>
  <si>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</si>
  <si>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</si>
  <si>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</si>
  <si>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</si>
  <si>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</si>
  <si>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</si>
  <si>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</si>
  <si>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</si>
  <si>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</si>
  <si>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</si>
  <si>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</si>
  <si>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</si>
  <si>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</si>
  <si>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</si>
  <si>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</si>
  <si>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</si>
  <si>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</si>
  <si>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</si>
  <si>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</si>
  <si>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</si>
  <si>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</si>
  <si>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</si>
  <si>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</si>
  <si>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</si>
  <si>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</si>
  <si>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</si>
  <si>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</si>
  <si>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</si>
  <si>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</si>
  <si>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</si>
  <si>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</si>
  <si>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</si>
  <si>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</si>
  <si>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</si>
  <si>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</si>
  <si>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</si>
  <si>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</si>
  <si>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</si>
  <si>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</si>
  <si>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</si>
  <si>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</si>
  <si>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</si>
  <si>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</si>
  <si>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</si>
  <si>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</si>
  <si>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</si>
  <si>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</si>
  <si>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</si>
  <si>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</si>
  <si>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</si>
  <si>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</si>
  <si>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</si>
  <si>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</si>
  <si>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</si>
  <si>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</si>
  <si>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</si>
  <si>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</si>
  <si>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</si>
  <si>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</si>
  <si>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</si>
  <si>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</si>
  <si>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</si>
  <si>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</si>
  <si>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</si>
  <si>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</si>
  <si>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</si>
  <si>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</si>
  <si>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</si>
  <si>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</si>
  <si>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</si>
  <si>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</si>
  <si>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</si>
  <si>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</si>
  <si>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</si>
  <si>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</si>
  <si>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</si>
  <si>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</si>
  <si>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</si>
  <si>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</si>
  <si>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</si>
  <si>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</si>
  <si>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</si>
  <si>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</si>
  <si>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</si>
  <si>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</si>
  <si>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</si>
  <si>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</si>
  <si>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</si>
  <si>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</si>
  <si>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</si>
  <si>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</si>
  <si>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</si>
  <si>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</si>
  <si>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</si>
  <si>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</si>
  <si>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</si>
  <si>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</si>
  <si>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</si>
  <si>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</si>
  <si>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</si>
  <si>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</si>
  <si>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</si>
  <si>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</si>
  <si>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</si>
  <si>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</si>
  <si>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</si>
  <si>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</si>
  <si>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</si>
  <si>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</si>
  <si>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</si>
  <si>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</si>
  <si>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</si>
  <si>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</si>
  <si>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</si>
  <si>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</si>
  <si>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</si>
  <si>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</si>
  <si>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</si>
  <si>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</si>
  <si>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</si>
  <si>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</si>
  <si>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</si>
  <si>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</si>
  <si>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</si>
  <si>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</si>
  <si>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</si>
  <si>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</si>
  <si>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</si>
  <si>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</si>
  <si>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</si>
  <si>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</si>
  <si>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</si>
  <si>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</si>
  <si>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</si>
  <si>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</si>
  <si>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</si>
  <si>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</si>
  <si>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</si>
  <si>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</si>
  <si>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</si>
  <si>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</si>
  <si>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</si>
  <si>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</si>
  <si>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</si>
  <si>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</si>
  <si>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</si>
  <si>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</si>
  <si>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</si>
  <si>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</si>
  <si>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</si>
  <si>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</si>
  <si>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</si>
  <si>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</si>
  <si>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</si>
  <si>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</si>
  <si>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</si>
  <si>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</si>
  <si>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</si>
  <si>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</si>
  <si>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</si>
  <si>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</si>
  <si>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</si>
  <si>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</si>
  <si>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</si>
  <si>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</si>
  <si>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</si>
  <si>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</si>
  <si>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</si>
  <si>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</si>
  <si>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</si>
  <si>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</si>
  <si>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</si>
  <si>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</si>
  <si>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</si>
  <si>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</si>
  <si>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</si>
  <si>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</si>
  <si>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</si>
  <si>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</si>
  <si>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</si>
  <si>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</si>
  <si>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</si>
  <si>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</si>
  <si>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</si>
  <si>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</si>
  <si>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</si>
  <si>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</si>
  <si>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</si>
  <si>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</si>
  <si>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</si>
  <si>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</si>
  <si>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</si>
  <si>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</si>
  <si>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</si>
  <si>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</si>
  <si>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</si>
  <si>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</si>
  <si>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</si>
  <si>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</si>
  <si>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</si>
  <si>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</si>
  <si>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</si>
  <si>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</si>
  <si>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</si>
  <si>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</si>
  <si>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</si>
  <si>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</si>
  <si>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</si>
  <si>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</si>
  <si>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</si>
  <si>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</si>
  <si>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</si>
  <si>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</si>
  <si>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</si>
  <si>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</si>
  <si>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</si>
  <si>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</si>
  <si>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</si>
  <si>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</si>
  <si>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</si>
  <si>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</si>
  <si>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</si>
  <si>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</si>
  <si>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</si>
  <si>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</si>
  <si>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</si>
  <si>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</si>
  <si>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</si>
  <si>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</si>
  <si>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</si>
  <si>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</si>
  <si>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</si>
  <si>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</si>
  <si>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</si>
  <si>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</si>
  <si>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</si>
  <si>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</si>
  <si>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</si>
  <si>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</si>
  <si>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</si>
  <si>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</si>
  <si>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</si>
  <si>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</si>
  <si>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</si>
  <si>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</si>
  <si>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</si>
  <si>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</si>
  <si>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</si>
  <si>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</si>
  <si>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</si>
  <si>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</si>
  <si>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</si>
  <si>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</si>
  <si>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</si>
  <si>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</si>
  <si>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</si>
  <si>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</si>
  <si>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</si>
  <si>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</si>
  <si>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</si>
  <si>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</si>
  <si>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</si>
  <si>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</si>
  <si>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</si>
  <si>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</si>
  <si>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</si>
  <si>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</si>
  <si>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</si>
  <si>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</si>
  <si>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</si>
  <si>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</si>
  <si>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</si>
  <si>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</si>
  <si>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</si>
  <si>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</si>
  <si>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</si>
  <si>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</si>
  <si>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</si>
  <si>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</si>
  <si>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</si>
  <si>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</si>
  <si>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</si>
  <si>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</si>
  <si>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</si>
  <si>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</si>
  <si>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</si>
  <si>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</si>
  <si>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</si>
  <si>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</si>
  <si>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</si>
  <si>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</si>
  <si>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</si>
  <si>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</si>
  <si>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</si>
  <si>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</si>
  <si>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</si>
  <si>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</si>
  <si>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</si>
  <si>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</si>
  <si>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</si>
  <si>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</si>
  <si>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</si>
  <si>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</si>
  <si>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</si>
  <si>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</si>
  <si>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</si>
  <si>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</si>
  <si>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</si>
  <si>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</si>
  <si>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</si>
  <si>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</si>
  <si>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</si>
  <si>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</si>
  <si>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</si>
  <si>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</si>
  <si>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</si>
  <si>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</si>
  <si>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</si>
  <si>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</si>
  <si>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</si>
  <si>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</si>
  <si>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</si>
  <si>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</si>
  <si>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</si>
  <si>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</si>
  <si>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</si>
  <si>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</si>
  <si>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</si>
  <si>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</si>
  <si>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</si>
  <si>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</si>
  <si>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</si>
  <si>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</si>
  <si>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</si>
  <si>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</si>
  <si>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</si>
  <si>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</si>
  <si>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</si>
  <si>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</si>
  <si>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</si>
  <si>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</si>
  <si>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</si>
  <si>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</si>
  <si>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</si>
  <si>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</si>
  <si>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</si>
  <si>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</si>
  <si>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</si>
  <si>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</si>
  <si>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</si>
  <si>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</si>
  <si>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</si>
  <si>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</si>
  <si>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</si>
  <si>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</si>
  <si>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</si>
  <si>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</si>
  <si>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</si>
  <si>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</si>
  <si>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</si>
  <si>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</si>
  <si>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</si>
  <si>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</si>
  <si>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</si>
  <si>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</si>
  <si>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</si>
  <si>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</si>
  <si>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</si>
  <si>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</si>
  <si>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</si>
  <si>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</si>
  <si>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</si>
  <si>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</si>
  <si>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</si>
  <si>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</si>
  <si>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</si>
  <si>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</si>
  <si>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</si>
  <si>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</si>
  <si>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</si>
  <si>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</si>
  <si>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</si>
  <si>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</si>
  <si>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</si>
  <si>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</si>
  <si>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</si>
  <si>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</si>
  <si>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</si>
  <si>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</si>
  <si>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</si>
  <si>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</si>
  <si>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</si>
  <si>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</si>
  <si>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</si>
  <si>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</si>
  <si>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</si>
  <si>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</si>
  <si>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</si>
  <si>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</si>
  <si>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</si>
  <si>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</si>
  <si>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</si>
  <si>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</si>
  <si>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</si>
  <si>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</si>
  <si>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</si>
  <si>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</si>
  <si>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</si>
  <si>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</si>
  <si>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</si>
  <si>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</si>
  <si>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</si>
  <si>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</si>
  <si>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</si>
  <si>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</si>
  <si>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</si>
  <si>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</si>
  <si>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</si>
  <si>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</si>
  <si>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</si>
  <si>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</si>
  <si>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</si>
  <si>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</si>
  <si>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</si>
  <si>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</si>
  <si>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</si>
  <si>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</si>
  <si>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</si>
  <si>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</si>
  <si>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</si>
  <si>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</si>
  <si>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</si>
  <si>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</si>
  <si>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</si>
  <si>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</si>
  <si>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</si>
  <si>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</si>
  <si>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</si>
  <si>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</si>
  <si>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</si>
  <si>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</si>
  <si>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</si>
  <si>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</si>
  <si>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</si>
  <si>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</si>
  <si>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</si>
  <si>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</si>
  <si>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</si>
  <si>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</si>
  <si>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</si>
  <si>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</si>
  <si>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</si>
  <si>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</si>
  <si>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</si>
  <si>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</si>
  <si>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</si>
  <si>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</si>
  <si>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</si>
  <si>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</si>
  <si>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</si>
  <si>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</si>
  <si>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</si>
  <si>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</si>
  <si>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</si>
  <si>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</si>
  <si>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</si>
  <si>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</si>
  <si>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</si>
  <si>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</si>
  <si>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</si>
  <si>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</si>
  <si>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</si>
  <si>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</si>
  <si>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</si>
  <si>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</si>
  <si>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</si>
  <si>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</si>
  <si>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</si>
  <si>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</si>
  <si>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</si>
  <si>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</si>
  <si>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</si>
  <si>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</si>
  <si>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</si>
  <si>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</si>
  <si>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</si>
  <si>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</si>
  <si>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</si>
  <si>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</si>
  <si>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</si>
  <si>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</si>
  <si>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</si>
  <si>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</si>
  <si>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</si>
  <si>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</si>
  <si>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</si>
  <si>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</si>
  <si>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</si>
  <si>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</si>
  <si>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</si>
  <si>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</si>
  <si>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</si>
  <si>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</si>
  <si>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7.5 Hp</t>
  </si>
  <si>
    <t>5년</t>
    <phoneticPr fontId="7" type="noConversion"/>
  </si>
  <si>
    <t>중간정도</t>
    <phoneticPr fontId="7" type="noConversion"/>
  </si>
  <si>
    <t>보령</t>
  </si>
  <si>
    <t>금강서해/금강서해</t>
  </si>
  <si>
    <t>보령시 웅천읍 수부리 120-1</t>
    <phoneticPr fontId="7" type="noConversion"/>
  </si>
  <si>
    <t>대용량 지하수, 시설개량 사업</t>
    <phoneticPr fontId="7" type="noConversion"/>
  </si>
  <si>
    <t>500 ㎥/일</t>
  </si>
  <si>
    <t>220 m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</si>
  <si>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</si>
  <si>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</si>
  <si>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</si>
  <si>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</si>
  <si>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</si>
  <si>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109.2 m</t>
  </si>
  <si>
    <t>261 m</t>
  </si>
  <si>
    <t>187 m</t>
  </si>
  <si>
    <t>4.36 m</t>
  </si>
  <si>
    <t>21.89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</si>
</sst>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3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61" fillId="0" borderId="106" xfId="16" applyFont="1" applyBorder="1" applyAlignment="1">
      <alignment horizontal="right" vertical="center"/>
    </xf>
    <xf numFmtId="0" fontId="63" fillId="0" borderId="104" xfId="16" applyFont="1" applyBorder="1" applyAlignment="1">
      <alignment horizontal="right" vertical="center"/>
    </xf>
    <xf numFmtId="0" fontId="64" fillId="32" borderId="105" xfId="16" applyFont="1" applyFill="1" applyBorder="1" applyAlignment="1">
      <alignment horizontal="right" vertical="center"/>
    </xf>
    <xf numFmtId="0" fontId="64" fillId="0" borderId="105" xfId="16" applyFont="1" applyBorder="1" applyAlignment="1">
      <alignment horizontal="right" vertical="center"/>
    </xf>
    <xf numFmtId="0" fontId="64" fillId="33" borderId="106" xfId="16" applyFont="1" applyFill="1" applyBorder="1" applyAlignment="1">
      <alignment horizontal="right" vertical="center"/>
    </xf>
    <xf numFmtId="2" fontId="64" fillId="0" borderId="105" xfId="16" applyNumberFormat="1" applyFont="1" applyBorder="1" applyAlignment="1">
      <alignment horizontal="right" vertical="center"/>
    </xf>
    <xf numFmtId="0" fontId="65" fillId="0" borderId="116" xfId="16" applyFont="1" applyBorder="1" applyAlignment="1">
      <alignment horizontal="center" vertical="center"/>
    </xf>
    <xf numFmtId="0" fontId="65" fillId="0" borderId="117" xfId="16" applyFont="1" applyBorder="1" applyAlignment="1">
      <alignment horizontal="center" vertical="center"/>
    </xf>
    <xf numFmtId="0" fontId="65" fillId="0" borderId="118" xfId="16" applyFont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16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393</v>
      </c>
      <c r="B1" s="427" t="s">
        <v>198</v>
      </c>
      <c r="C1" s="427" t="s">
        <v>527</v>
      </c>
      <c r="D1" s="427" t="s">
        <v>526</v>
      </c>
      <c r="F1" s="427" t="s">
        <v>393</v>
      </c>
      <c r="G1" s="427" t="s">
        <v>198</v>
      </c>
      <c r="H1" s="427" t="s">
        <v>527</v>
      </c>
      <c r="I1" s="427" t="s">
        <v>526</v>
      </c>
      <c r="K1" s="427" t="s">
        <v>393</v>
      </c>
      <c r="L1" s="427" t="s">
        <v>198</v>
      </c>
      <c r="M1" s="427" t="s">
        <v>527</v>
      </c>
      <c r="N1" s="427" t="s">
        <v>526</v>
      </c>
      <c r="P1" s="427" t="s">
        <v>393</v>
      </c>
      <c r="Q1" s="427" t="s">
        <v>527</v>
      </c>
    </row>
    <row r="2" spans="1:17">
      <c r="A2" s="427" t="s">
        <v>615</v>
      </c>
      <c r="B2" s="427" t="s">
        <v>614</v>
      </c>
      <c r="C2" s="427">
        <v>116</v>
      </c>
      <c r="D2" s="427">
        <v>14</v>
      </c>
      <c r="F2" s="427" t="s">
        <v>613</v>
      </c>
      <c r="G2" s="427" t="s">
        <v>612</v>
      </c>
      <c r="H2" s="427">
        <v>105</v>
      </c>
      <c r="I2" s="427">
        <v>38</v>
      </c>
      <c r="K2" s="427" t="s">
        <v>611</v>
      </c>
      <c r="L2" s="427" t="s">
        <v>610</v>
      </c>
      <c r="M2" s="427">
        <v>226</v>
      </c>
      <c r="N2" s="427">
        <v>54</v>
      </c>
      <c r="P2" s="427" t="s">
        <v>609</v>
      </c>
      <c r="Q2" s="427" t="s">
        <v>608</v>
      </c>
    </row>
    <row r="3" spans="1:17">
      <c r="A3" s="427" t="s">
        <v>607</v>
      </c>
      <c r="B3" s="427" t="s">
        <v>606</v>
      </c>
      <c r="C3" s="427">
        <v>108</v>
      </c>
      <c r="D3" s="427">
        <v>14</v>
      </c>
      <c r="F3" s="427" t="s">
        <v>605</v>
      </c>
      <c r="G3" s="427" t="s">
        <v>604</v>
      </c>
      <c r="H3" s="427">
        <v>100</v>
      </c>
      <c r="I3" s="427">
        <v>38</v>
      </c>
      <c r="K3" s="427" t="s">
        <v>603</v>
      </c>
      <c r="L3" s="427" t="s">
        <v>602</v>
      </c>
      <c r="M3" s="427">
        <v>221</v>
      </c>
      <c r="N3" s="427">
        <v>54</v>
      </c>
      <c r="P3" s="427" t="s">
        <v>601</v>
      </c>
      <c r="Q3" s="427" t="s">
        <v>600</v>
      </c>
    </row>
    <row r="4" spans="1:17">
      <c r="A4" s="427" t="s">
        <v>599</v>
      </c>
      <c r="B4" s="427" t="s">
        <v>598</v>
      </c>
      <c r="C4" s="427">
        <v>201</v>
      </c>
      <c r="D4" s="427">
        <v>22</v>
      </c>
      <c r="F4" s="427" t="s">
        <v>597</v>
      </c>
      <c r="G4" s="427" t="s">
        <v>596</v>
      </c>
      <c r="H4" s="427">
        <v>106</v>
      </c>
      <c r="I4" s="427">
        <v>38</v>
      </c>
      <c r="K4" s="427" t="s">
        <v>595</v>
      </c>
      <c r="L4" s="427" t="s">
        <v>594</v>
      </c>
      <c r="M4" s="427">
        <v>131</v>
      </c>
      <c r="N4" s="427">
        <v>54</v>
      </c>
      <c r="P4" s="427" t="s">
        <v>593</v>
      </c>
      <c r="Q4" s="427" t="s">
        <v>592</v>
      </c>
    </row>
    <row r="5" spans="1:17">
      <c r="A5" s="427" t="s">
        <v>591</v>
      </c>
      <c r="B5" s="427" t="s">
        <v>590</v>
      </c>
      <c r="C5" s="427">
        <v>102</v>
      </c>
      <c r="D5" s="427">
        <v>22</v>
      </c>
      <c r="F5" s="427" t="s">
        <v>589</v>
      </c>
      <c r="G5" s="427" t="s">
        <v>588</v>
      </c>
      <c r="H5" s="427">
        <v>104</v>
      </c>
      <c r="I5" s="427">
        <v>38</v>
      </c>
      <c r="K5" s="427" t="s">
        <v>587</v>
      </c>
      <c r="L5" s="427" t="s">
        <v>586</v>
      </c>
      <c r="M5" s="427">
        <v>135</v>
      </c>
      <c r="N5" s="427">
        <v>54</v>
      </c>
      <c r="P5" s="427" t="s">
        <v>585</v>
      </c>
      <c r="Q5" s="427" t="s">
        <v>584</v>
      </c>
    </row>
    <row r="6" spans="1:17">
      <c r="A6" s="427" t="s">
        <v>583</v>
      </c>
      <c r="B6" s="427" t="s">
        <v>582</v>
      </c>
      <c r="C6" s="427">
        <v>112</v>
      </c>
      <c r="D6" s="427">
        <v>22</v>
      </c>
      <c r="F6" s="427" t="s">
        <v>581</v>
      </c>
      <c r="G6" s="427" t="s">
        <v>580</v>
      </c>
      <c r="H6" s="427">
        <v>93</v>
      </c>
      <c r="I6" s="427">
        <v>38</v>
      </c>
      <c r="K6" s="427" t="s">
        <v>579</v>
      </c>
      <c r="L6" s="427" t="s">
        <v>578</v>
      </c>
      <c r="M6" s="427">
        <v>127</v>
      </c>
      <c r="N6" s="427">
        <v>54</v>
      </c>
      <c r="P6" s="427" t="s">
        <v>577</v>
      </c>
      <c r="Q6" s="427" t="s">
        <v>576</v>
      </c>
    </row>
    <row r="7" spans="1:17">
      <c r="A7" s="427" t="s">
        <v>575</v>
      </c>
      <c r="B7" s="427" t="s">
        <v>574</v>
      </c>
      <c r="C7" s="427">
        <v>98</v>
      </c>
      <c r="D7" s="427">
        <v>32</v>
      </c>
      <c r="F7" s="427" t="s">
        <v>573</v>
      </c>
      <c r="G7" s="427" t="s">
        <v>572</v>
      </c>
      <c r="H7" s="427">
        <v>214</v>
      </c>
      <c r="I7" s="427">
        <v>38</v>
      </c>
      <c r="K7" s="427" t="s">
        <v>571</v>
      </c>
      <c r="L7" s="427" t="s">
        <v>570</v>
      </c>
      <c r="M7" s="427">
        <v>133</v>
      </c>
      <c r="N7" s="427">
        <v>28</v>
      </c>
      <c r="P7" s="427" t="s">
        <v>569</v>
      </c>
      <c r="Q7" s="427" t="s">
        <v>568</v>
      </c>
    </row>
    <row r="8" spans="1:17">
      <c r="A8" s="427" t="s">
        <v>567</v>
      </c>
      <c r="B8" s="427" t="s">
        <v>566</v>
      </c>
      <c r="C8" s="427">
        <v>119</v>
      </c>
      <c r="D8" s="427">
        <v>32</v>
      </c>
      <c r="F8" s="427" t="s">
        <v>565</v>
      </c>
      <c r="G8" s="427" t="s">
        <v>564</v>
      </c>
      <c r="H8" s="427">
        <v>90</v>
      </c>
      <c r="I8" s="427">
        <v>38</v>
      </c>
      <c r="K8" s="427" t="s">
        <v>563</v>
      </c>
      <c r="L8" s="427" t="s">
        <v>562</v>
      </c>
      <c r="M8" s="427">
        <v>239</v>
      </c>
      <c r="N8" s="427">
        <v>132</v>
      </c>
    </row>
    <row r="9" spans="1:17">
      <c r="A9" s="427" t="s">
        <v>561</v>
      </c>
      <c r="B9" s="427" t="s">
        <v>560</v>
      </c>
      <c r="C9" s="427">
        <v>202</v>
      </c>
      <c r="D9" s="427">
        <v>32</v>
      </c>
      <c r="F9" s="427" t="s">
        <v>559</v>
      </c>
      <c r="G9" s="427" t="s">
        <v>558</v>
      </c>
      <c r="H9" s="427">
        <v>121</v>
      </c>
      <c r="I9" s="427">
        <v>38</v>
      </c>
      <c r="K9" s="427" t="s">
        <v>557</v>
      </c>
      <c r="L9" s="427" t="s">
        <v>556</v>
      </c>
      <c r="M9" s="427">
        <v>238</v>
      </c>
      <c r="N9" s="427">
        <v>60</v>
      </c>
    </row>
    <row r="10" spans="1:17">
      <c r="A10" s="427" t="s">
        <v>555</v>
      </c>
      <c r="B10" s="427" t="s">
        <v>554</v>
      </c>
      <c r="C10" s="427">
        <v>203</v>
      </c>
      <c r="D10" s="427">
        <v>32</v>
      </c>
      <c r="F10" s="427" t="s">
        <v>553</v>
      </c>
      <c r="G10" s="427" t="s">
        <v>552</v>
      </c>
      <c r="H10" s="427">
        <v>114</v>
      </c>
      <c r="I10" s="427">
        <v>38</v>
      </c>
      <c r="K10" s="427" t="s">
        <v>551</v>
      </c>
      <c r="L10" s="427" t="s">
        <v>550</v>
      </c>
      <c r="M10" s="427">
        <v>235</v>
      </c>
      <c r="N10" s="427">
        <v>60</v>
      </c>
    </row>
    <row r="11" spans="1:17">
      <c r="A11" s="427" t="s">
        <v>549</v>
      </c>
      <c r="B11" s="427" t="s">
        <v>548</v>
      </c>
      <c r="C11" s="427">
        <v>99</v>
      </c>
      <c r="D11" s="427">
        <v>32</v>
      </c>
      <c r="F11" s="427" t="s">
        <v>547</v>
      </c>
      <c r="G11" s="427" t="s">
        <v>546</v>
      </c>
      <c r="H11" s="427">
        <v>211</v>
      </c>
      <c r="I11" s="427">
        <v>38</v>
      </c>
      <c r="K11" s="427" t="s">
        <v>545</v>
      </c>
      <c r="L11" s="427" t="s">
        <v>544</v>
      </c>
      <c r="M11" s="427">
        <v>236</v>
      </c>
      <c r="N11" s="427">
        <v>60</v>
      </c>
    </row>
    <row r="12" spans="1:17">
      <c r="F12" s="427" t="s">
        <v>543</v>
      </c>
      <c r="G12" s="427" t="s">
        <v>542</v>
      </c>
      <c r="H12" s="427">
        <v>217</v>
      </c>
      <c r="I12" s="427">
        <v>38</v>
      </c>
      <c r="K12" s="427" t="s">
        <v>541</v>
      </c>
      <c r="L12" s="427" t="s">
        <v>540</v>
      </c>
      <c r="M12" s="427">
        <v>129</v>
      </c>
      <c r="N12" s="427">
        <v>60</v>
      </c>
    </row>
    <row r="13" spans="1:17">
      <c r="F13" s="427" t="s">
        <v>539</v>
      </c>
      <c r="G13" s="427" t="s">
        <v>538</v>
      </c>
      <c r="H13" s="427">
        <v>95</v>
      </c>
      <c r="I13" s="427">
        <v>38</v>
      </c>
      <c r="K13" s="427" t="s">
        <v>537</v>
      </c>
      <c r="L13" s="427" t="s">
        <v>536</v>
      </c>
      <c r="M13" s="427">
        <v>232</v>
      </c>
      <c r="N13" s="427">
        <v>60</v>
      </c>
    </row>
    <row r="14" spans="1:17">
      <c r="F14" s="427" t="s">
        <v>535</v>
      </c>
      <c r="G14" s="427" t="s">
        <v>534</v>
      </c>
      <c r="H14" s="427">
        <v>101</v>
      </c>
      <c r="I14" s="427">
        <v>38</v>
      </c>
      <c r="K14" s="427" t="s">
        <v>533</v>
      </c>
      <c r="L14" s="427" t="s">
        <v>532</v>
      </c>
      <c r="M14" s="427">
        <v>177</v>
      </c>
      <c r="N14" s="427">
        <v>60</v>
      </c>
    </row>
    <row r="15" spans="1:17">
      <c r="F15" s="427" t="s">
        <v>531</v>
      </c>
      <c r="G15" s="427" t="s">
        <v>530</v>
      </c>
      <c r="H15" s="427">
        <v>216</v>
      </c>
      <c r="I15" s="427">
        <v>38</v>
      </c>
    </row>
    <row r="16" spans="1:17">
      <c r="F16" s="427" t="s">
        <v>529</v>
      </c>
      <c r="G16" s="427" t="s">
        <v>528</v>
      </c>
      <c r="H16" s="427">
        <v>212</v>
      </c>
      <c r="I16" s="427">
        <v>38</v>
      </c>
    </row>
    <row r="22" spans="1:14">
      <c r="A22" s="427" t="s">
        <v>393</v>
      </c>
      <c r="B22" s="427" t="s">
        <v>198</v>
      </c>
      <c r="C22" s="427" t="s">
        <v>527</v>
      </c>
      <c r="D22" s="427" t="s">
        <v>526</v>
      </c>
      <c r="F22" s="427" t="s">
        <v>393</v>
      </c>
      <c r="G22" s="427" t="s">
        <v>198</v>
      </c>
      <c r="H22" s="427" t="s">
        <v>527</v>
      </c>
      <c r="I22" s="427" t="s">
        <v>526</v>
      </c>
      <c r="K22" s="427" t="s">
        <v>393</v>
      </c>
      <c r="L22" s="427" t="s">
        <v>198</v>
      </c>
      <c r="M22" s="427" t="s">
        <v>527</v>
      </c>
      <c r="N22" s="427" t="s">
        <v>526</v>
      </c>
    </row>
    <row r="23" spans="1:14">
      <c r="A23" s="427" t="s">
        <v>525</v>
      </c>
      <c r="B23" s="427" t="s">
        <v>524</v>
      </c>
      <c r="C23" s="427">
        <v>156</v>
      </c>
      <c r="D23" s="427">
        <v>26</v>
      </c>
      <c r="F23" s="427" t="s">
        <v>523</v>
      </c>
      <c r="G23" s="427" t="s">
        <v>522</v>
      </c>
      <c r="H23" s="427">
        <v>143</v>
      </c>
      <c r="I23" s="427">
        <v>19</v>
      </c>
      <c r="K23" s="427" t="s">
        <v>521</v>
      </c>
      <c r="L23" s="427" t="s">
        <v>520</v>
      </c>
      <c r="M23" s="427">
        <v>185</v>
      </c>
      <c r="N23" s="427">
        <v>125</v>
      </c>
    </row>
    <row r="24" spans="1:14">
      <c r="A24" s="427" t="s">
        <v>519</v>
      </c>
      <c r="B24" s="427" t="s">
        <v>518</v>
      </c>
      <c r="C24" s="427">
        <v>172</v>
      </c>
      <c r="D24" s="427">
        <v>67</v>
      </c>
      <c r="F24" s="427" t="s">
        <v>517</v>
      </c>
      <c r="G24" s="427" t="s">
        <v>516</v>
      </c>
      <c r="H24" s="427">
        <v>176</v>
      </c>
      <c r="I24" s="427">
        <v>19</v>
      </c>
      <c r="K24" s="427" t="s">
        <v>515</v>
      </c>
      <c r="L24" s="427" t="s">
        <v>514</v>
      </c>
      <c r="M24" s="427">
        <v>189</v>
      </c>
      <c r="N24" s="427">
        <v>125</v>
      </c>
    </row>
    <row r="25" spans="1:14">
      <c r="A25" s="427" t="s">
        <v>513</v>
      </c>
      <c r="B25" s="427" t="s">
        <v>512</v>
      </c>
      <c r="C25" s="427">
        <v>251</v>
      </c>
      <c r="D25" s="427">
        <v>67</v>
      </c>
      <c r="F25" s="427" t="s">
        <v>511</v>
      </c>
      <c r="G25" s="427" t="s">
        <v>510</v>
      </c>
      <c r="H25" s="427">
        <v>152</v>
      </c>
      <c r="I25" s="427">
        <v>30</v>
      </c>
      <c r="K25" s="427" t="s">
        <v>504</v>
      </c>
      <c r="L25" s="427" t="s">
        <v>509</v>
      </c>
      <c r="M25" s="427">
        <v>188</v>
      </c>
      <c r="N25" s="427">
        <v>125</v>
      </c>
    </row>
    <row r="26" spans="1:14">
      <c r="A26" s="427" t="s">
        <v>508</v>
      </c>
      <c r="B26" s="427" t="s">
        <v>507</v>
      </c>
      <c r="C26" s="427">
        <v>140</v>
      </c>
      <c r="D26" s="427">
        <v>67</v>
      </c>
      <c r="F26" s="427" t="s">
        <v>506</v>
      </c>
      <c r="G26" s="427" t="s">
        <v>505</v>
      </c>
      <c r="H26" s="427">
        <v>159</v>
      </c>
      <c r="I26" s="427">
        <v>17</v>
      </c>
      <c r="K26" s="427" t="s">
        <v>641</v>
      </c>
      <c r="L26" s="427" t="s">
        <v>503</v>
      </c>
      <c r="M26" s="427">
        <v>187</v>
      </c>
      <c r="N26" s="427">
        <v>125</v>
      </c>
    </row>
    <row r="27" spans="1:14">
      <c r="A27" s="427" t="s">
        <v>502</v>
      </c>
      <c r="B27" s="427" t="s">
        <v>501</v>
      </c>
      <c r="C27" s="427">
        <v>247</v>
      </c>
      <c r="D27" s="427">
        <v>67</v>
      </c>
      <c r="F27" s="427" t="s">
        <v>500</v>
      </c>
      <c r="G27" s="427" t="s">
        <v>499</v>
      </c>
      <c r="H27" s="427">
        <v>283</v>
      </c>
      <c r="I27" s="427">
        <v>95</v>
      </c>
      <c r="K27" s="427" t="s">
        <v>498</v>
      </c>
      <c r="L27" s="427" t="s">
        <v>497</v>
      </c>
      <c r="M27" s="427">
        <v>265</v>
      </c>
      <c r="N27" s="427">
        <v>125</v>
      </c>
    </row>
    <row r="28" spans="1:14">
      <c r="A28" s="427" t="s">
        <v>496</v>
      </c>
      <c r="B28" s="427" t="s">
        <v>495</v>
      </c>
      <c r="C28" s="427">
        <v>243</v>
      </c>
      <c r="D28" s="427">
        <v>67</v>
      </c>
      <c r="F28" s="427" t="s">
        <v>494</v>
      </c>
      <c r="G28" s="427" t="s">
        <v>493</v>
      </c>
      <c r="H28" s="427">
        <v>279</v>
      </c>
      <c r="I28" s="427">
        <v>95</v>
      </c>
      <c r="K28" s="427" t="s">
        <v>492</v>
      </c>
      <c r="L28" s="427" t="s">
        <v>491</v>
      </c>
      <c r="M28" s="427">
        <v>184</v>
      </c>
      <c r="N28" s="427">
        <v>125</v>
      </c>
    </row>
    <row r="29" spans="1:14">
      <c r="A29" s="427" t="s">
        <v>490</v>
      </c>
      <c r="B29" s="427" t="s">
        <v>489</v>
      </c>
      <c r="C29" s="427">
        <v>254</v>
      </c>
      <c r="D29" s="427">
        <v>67</v>
      </c>
      <c r="F29" s="427" t="s">
        <v>488</v>
      </c>
      <c r="G29" s="427" t="s">
        <v>487</v>
      </c>
      <c r="H29" s="427">
        <v>273</v>
      </c>
      <c r="I29" s="427">
        <v>95</v>
      </c>
    </row>
    <row r="30" spans="1:14">
      <c r="A30" s="427" t="s">
        <v>486</v>
      </c>
      <c r="B30" s="427" t="s">
        <v>485</v>
      </c>
      <c r="C30" s="427">
        <v>244</v>
      </c>
      <c r="D30" s="427">
        <v>67</v>
      </c>
      <c r="F30" s="427" t="s">
        <v>484</v>
      </c>
      <c r="G30" s="427" t="s">
        <v>483</v>
      </c>
      <c r="H30" s="427">
        <v>271</v>
      </c>
      <c r="I30" s="427">
        <v>95</v>
      </c>
    </row>
    <row r="31" spans="1:14">
      <c r="A31" s="427" t="s">
        <v>482</v>
      </c>
      <c r="B31" s="427" t="s">
        <v>481</v>
      </c>
      <c r="C31" s="427">
        <v>248</v>
      </c>
      <c r="D31" s="427">
        <v>67</v>
      </c>
      <c r="F31" s="427" t="s">
        <v>480</v>
      </c>
      <c r="G31" s="427" t="s">
        <v>479</v>
      </c>
      <c r="H31" s="427">
        <v>137</v>
      </c>
      <c r="I31" s="427">
        <v>95</v>
      </c>
    </row>
    <row r="32" spans="1:14">
      <c r="A32" s="427" t="s">
        <v>478</v>
      </c>
      <c r="B32" s="427" t="s">
        <v>477</v>
      </c>
      <c r="C32" s="427">
        <v>146</v>
      </c>
      <c r="D32" s="427">
        <v>67</v>
      </c>
      <c r="F32" s="427" t="s">
        <v>476</v>
      </c>
      <c r="G32" s="427" t="s">
        <v>475</v>
      </c>
      <c r="H32" s="427">
        <v>136</v>
      </c>
      <c r="I32" s="427">
        <v>95</v>
      </c>
    </row>
    <row r="33" spans="1:9">
      <c r="A33" s="427" t="s">
        <v>474</v>
      </c>
      <c r="B33" s="427" t="s">
        <v>473</v>
      </c>
      <c r="C33" s="427">
        <v>245</v>
      </c>
      <c r="D33" s="427">
        <v>67</v>
      </c>
      <c r="F33" s="427" t="s">
        <v>472</v>
      </c>
      <c r="G33" s="427" t="s">
        <v>471</v>
      </c>
      <c r="H33" s="427">
        <v>277</v>
      </c>
      <c r="I33" s="427">
        <v>95</v>
      </c>
    </row>
    <row r="34" spans="1:9">
      <c r="A34" s="427" t="s">
        <v>470</v>
      </c>
      <c r="B34" s="427" t="s">
        <v>469</v>
      </c>
      <c r="C34" s="427">
        <v>259</v>
      </c>
      <c r="D34" s="427">
        <v>78</v>
      </c>
      <c r="F34" s="427" t="s">
        <v>468</v>
      </c>
      <c r="G34" s="427" t="s">
        <v>467</v>
      </c>
      <c r="H34" s="427">
        <v>272</v>
      </c>
      <c r="I34" s="427">
        <v>95</v>
      </c>
    </row>
    <row r="35" spans="1:9">
      <c r="A35" s="427" t="s">
        <v>466</v>
      </c>
      <c r="B35" s="427" t="s">
        <v>465</v>
      </c>
      <c r="C35" s="427">
        <v>262</v>
      </c>
      <c r="D35" s="427">
        <v>78</v>
      </c>
      <c r="F35" s="427" t="s">
        <v>464</v>
      </c>
      <c r="G35" s="427" t="s">
        <v>463</v>
      </c>
      <c r="H35" s="427">
        <v>281</v>
      </c>
      <c r="I35" s="427">
        <v>95</v>
      </c>
    </row>
    <row r="36" spans="1:9">
      <c r="A36" s="427" t="s">
        <v>462</v>
      </c>
      <c r="B36" s="427" t="s">
        <v>461</v>
      </c>
      <c r="C36" s="427">
        <v>266</v>
      </c>
      <c r="D36" s="427">
        <v>78</v>
      </c>
      <c r="F36" s="427" t="s">
        <v>460</v>
      </c>
      <c r="G36" s="427" t="s">
        <v>459</v>
      </c>
      <c r="H36" s="427">
        <v>115</v>
      </c>
      <c r="I36" s="427">
        <v>95</v>
      </c>
    </row>
    <row r="37" spans="1:9">
      <c r="A37" s="427" t="s">
        <v>458</v>
      </c>
      <c r="B37" s="427" t="s">
        <v>457</v>
      </c>
      <c r="C37" s="427">
        <v>165</v>
      </c>
      <c r="D37" s="427">
        <v>78</v>
      </c>
      <c r="F37" s="427" t="s">
        <v>456</v>
      </c>
      <c r="G37" s="427" t="s">
        <v>455</v>
      </c>
      <c r="H37" s="427">
        <v>130</v>
      </c>
      <c r="I37" s="427">
        <v>95</v>
      </c>
    </row>
    <row r="38" spans="1:9">
      <c r="A38" s="427" t="s">
        <v>454</v>
      </c>
      <c r="B38" s="427" t="s">
        <v>453</v>
      </c>
      <c r="C38" s="427">
        <v>164</v>
      </c>
      <c r="D38" s="427">
        <v>78</v>
      </c>
      <c r="F38" s="427" t="s">
        <v>452</v>
      </c>
      <c r="G38" s="427" t="s">
        <v>451</v>
      </c>
      <c r="H38" s="427">
        <v>278</v>
      </c>
      <c r="I38" s="427">
        <v>95</v>
      </c>
    </row>
    <row r="39" spans="1:9">
      <c r="A39" s="427" t="s">
        <v>450</v>
      </c>
      <c r="B39" s="427" t="s">
        <v>449</v>
      </c>
      <c r="C39" s="427">
        <v>258</v>
      </c>
      <c r="D39" s="427">
        <v>78</v>
      </c>
      <c r="F39" s="427" t="s">
        <v>448</v>
      </c>
      <c r="G39" s="427" t="s">
        <v>447</v>
      </c>
      <c r="H39" s="427">
        <v>276</v>
      </c>
      <c r="I39" s="427">
        <v>95</v>
      </c>
    </row>
    <row r="40" spans="1:9">
      <c r="A40" s="427" t="s">
        <v>446</v>
      </c>
      <c r="B40" s="427" t="s">
        <v>445</v>
      </c>
      <c r="C40" s="427">
        <v>174</v>
      </c>
      <c r="D40" s="427">
        <v>78</v>
      </c>
      <c r="F40" s="427" t="s">
        <v>444</v>
      </c>
      <c r="G40" s="427" t="s">
        <v>443</v>
      </c>
      <c r="H40" s="427">
        <v>138</v>
      </c>
      <c r="I40" s="427">
        <v>95</v>
      </c>
    </row>
    <row r="41" spans="1:9">
      <c r="A41" s="427" t="s">
        <v>442</v>
      </c>
      <c r="B41" s="427" t="s">
        <v>441</v>
      </c>
      <c r="C41" s="427">
        <v>168</v>
      </c>
      <c r="D41" s="427">
        <v>78</v>
      </c>
      <c r="F41" s="427" t="s">
        <v>440</v>
      </c>
      <c r="G41" s="427" t="s">
        <v>439</v>
      </c>
      <c r="H41" s="427">
        <v>294</v>
      </c>
      <c r="I41" s="427">
        <v>110</v>
      </c>
    </row>
    <row r="42" spans="1:9">
      <c r="A42" s="427" t="s">
        <v>438</v>
      </c>
      <c r="B42" s="427" t="s">
        <v>437</v>
      </c>
      <c r="C42" s="427">
        <v>252</v>
      </c>
      <c r="D42" s="427">
        <v>78</v>
      </c>
      <c r="F42" s="427" t="s">
        <v>436</v>
      </c>
      <c r="G42" s="427" t="s">
        <v>435</v>
      </c>
      <c r="H42" s="427">
        <v>284</v>
      </c>
      <c r="I42" s="427">
        <v>110</v>
      </c>
    </row>
    <row r="43" spans="1:9">
      <c r="A43" s="427" t="s">
        <v>434</v>
      </c>
      <c r="B43" s="427" t="s">
        <v>433</v>
      </c>
      <c r="C43" s="427">
        <v>170</v>
      </c>
      <c r="D43" s="427">
        <v>78</v>
      </c>
      <c r="F43" s="427" t="s">
        <v>432</v>
      </c>
      <c r="G43" s="427" t="s">
        <v>431</v>
      </c>
      <c r="H43" s="427">
        <v>253</v>
      </c>
      <c r="I43" s="427">
        <v>110</v>
      </c>
    </row>
    <row r="44" spans="1:9">
      <c r="A44" s="427" t="s">
        <v>430</v>
      </c>
      <c r="B44" s="427" t="s">
        <v>429</v>
      </c>
      <c r="C44" s="427">
        <v>260</v>
      </c>
      <c r="D44" s="427">
        <v>78</v>
      </c>
      <c r="F44" s="427" t="s">
        <v>428</v>
      </c>
      <c r="G44" s="427" t="s">
        <v>427</v>
      </c>
      <c r="H44" s="427">
        <v>295</v>
      </c>
      <c r="I44" s="427">
        <v>110</v>
      </c>
    </row>
    <row r="45" spans="1:9">
      <c r="A45" s="427" t="s">
        <v>426</v>
      </c>
      <c r="B45" s="427" t="s">
        <v>425</v>
      </c>
      <c r="C45" s="427">
        <v>256</v>
      </c>
      <c r="D45" s="427">
        <v>78</v>
      </c>
      <c r="F45" s="427" t="s">
        <v>424</v>
      </c>
      <c r="G45" s="427" t="s">
        <v>423</v>
      </c>
      <c r="H45" s="427">
        <v>288</v>
      </c>
      <c r="I45" s="427">
        <v>110</v>
      </c>
    </row>
    <row r="46" spans="1:9">
      <c r="A46" s="427" t="s">
        <v>422</v>
      </c>
      <c r="B46" s="427" t="s">
        <v>421</v>
      </c>
      <c r="C46" s="427">
        <v>175</v>
      </c>
      <c r="D46" s="427">
        <v>78</v>
      </c>
      <c r="F46" s="427" t="s">
        <v>420</v>
      </c>
      <c r="G46" s="427" t="s">
        <v>419</v>
      </c>
      <c r="H46" s="427">
        <v>255</v>
      </c>
      <c r="I46" s="427">
        <v>110</v>
      </c>
    </row>
    <row r="47" spans="1:9">
      <c r="A47" s="427" t="s">
        <v>418</v>
      </c>
      <c r="B47" s="427" t="s">
        <v>417</v>
      </c>
      <c r="C47" s="427">
        <v>268</v>
      </c>
      <c r="D47" s="427">
        <v>78</v>
      </c>
      <c r="F47" s="427" t="s">
        <v>416</v>
      </c>
      <c r="G47" s="427" t="s">
        <v>415</v>
      </c>
      <c r="H47" s="427">
        <v>289</v>
      </c>
      <c r="I47" s="427">
        <v>110</v>
      </c>
    </row>
    <row r="48" spans="1:9">
      <c r="A48" s="427" t="s">
        <v>414</v>
      </c>
      <c r="B48" s="427" t="s">
        <v>413</v>
      </c>
      <c r="C48" s="427">
        <v>261</v>
      </c>
      <c r="D48" s="427">
        <v>78</v>
      </c>
      <c r="F48" s="427" t="s">
        <v>412</v>
      </c>
      <c r="G48" s="427" t="s">
        <v>411</v>
      </c>
      <c r="H48" s="427">
        <v>257</v>
      </c>
      <c r="I48" s="427">
        <v>110</v>
      </c>
    </row>
    <row r="49" spans="1:9">
      <c r="A49" s="427" t="s">
        <v>410</v>
      </c>
      <c r="B49" s="427" t="s">
        <v>409</v>
      </c>
      <c r="C49" s="427">
        <v>169</v>
      </c>
      <c r="D49" s="427">
        <v>78</v>
      </c>
      <c r="F49" s="427" t="s">
        <v>408</v>
      </c>
      <c r="G49" s="427" t="s">
        <v>407</v>
      </c>
      <c r="H49" s="427">
        <v>263</v>
      </c>
      <c r="I49" s="427">
        <v>110</v>
      </c>
    </row>
    <row r="50" spans="1:9">
      <c r="F50" s="427" t="s">
        <v>406</v>
      </c>
      <c r="G50" s="427" t="s">
        <v>405</v>
      </c>
      <c r="H50" s="427">
        <v>192</v>
      </c>
      <c r="I50" s="427">
        <v>110</v>
      </c>
    </row>
    <row r="51" spans="1:9">
      <c r="F51" s="427" t="s">
        <v>404</v>
      </c>
      <c r="G51" s="427" t="s">
        <v>403</v>
      </c>
      <c r="H51" s="427">
        <v>155</v>
      </c>
      <c r="I51" s="427">
        <v>110</v>
      </c>
    </row>
    <row r="52" spans="1:9">
      <c r="F52" s="427" t="s">
        <v>402</v>
      </c>
      <c r="G52" s="427" t="s">
        <v>401</v>
      </c>
      <c r="H52" s="427">
        <v>162</v>
      </c>
      <c r="I52" s="427">
        <v>110</v>
      </c>
    </row>
    <row r="53" spans="1:9">
      <c r="F53" s="427" t="s">
        <v>400</v>
      </c>
      <c r="G53" s="427" t="s">
        <v>399</v>
      </c>
      <c r="H53" s="427">
        <v>264</v>
      </c>
      <c r="I53" s="427">
        <v>110</v>
      </c>
    </row>
    <row r="54" spans="1:9">
      <c r="F54" s="427" t="s">
        <v>398</v>
      </c>
      <c r="G54" s="427" t="s">
        <v>397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0"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386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619</v>
      </c>
      <c r="T2" s="508" t="s">
        <v>633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622</v>
      </c>
      <c r="E4" s="501" t="s">
        <v>623</v>
      </c>
      <c r="F4" s="501" t="s">
        <v>624</v>
      </c>
      <c r="G4" s="501" t="s">
        <v>625</v>
      </c>
      <c r="H4" s="501" t="s">
        <v>626</v>
      </c>
      <c r="I4" s="501" t="s">
        <v>627</v>
      </c>
      <c r="J4" s="501" t="s">
        <v>628</v>
      </c>
      <c r="K4" s="501" t="s">
        <v>629</v>
      </c>
      <c r="L4" s="501" t="s">
        <v>630</v>
      </c>
      <c r="M4" s="501" t="s">
        <v>631</v>
      </c>
      <c r="N4" s="502" t="s">
        <v>632</v>
      </c>
      <c r="O4" s="503" t="s">
        <v>44</v>
      </c>
      <c r="P4" s="502" t="s">
        <v>45</v>
      </c>
      <c r="S4" s="509" t="s">
        <v>616</v>
      </c>
      <c r="T4" s="510" t="s">
        <v>617</v>
      </c>
    </row>
    <row r="5" spans="2:23" ht="22.5" customHeight="1">
      <c r="B5" s="446">
        <v>1993</v>
      </c>
      <c r="C5" s="447">
        <v>4.5999999999999996</v>
      </c>
      <c r="D5" s="447">
        <v>66.7</v>
      </c>
      <c r="E5" s="447">
        <v>21.6</v>
      </c>
      <c r="F5" s="447">
        <v>32.6</v>
      </c>
      <c r="G5" s="447">
        <v>68.5</v>
      </c>
      <c r="H5" s="447">
        <v>225.5</v>
      </c>
      <c r="I5" s="447">
        <v>241.5</v>
      </c>
      <c r="J5" s="448">
        <v>206.5</v>
      </c>
      <c r="K5" s="447">
        <v>141.5</v>
      </c>
      <c r="L5" s="447">
        <v>32</v>
      </c>
      <c r="M5" s="447">
        <v>87.4</v>
      </c>
      <c r="N5" s="449">
        <v>33.700000000000003</v>
      </c>
      <c r="O5" s="430">
        <f>ROUND(SUM(C5:N5),1)</f>
        <v>1162.0999999999999</v>
      </c>
      <c r="P5" s="431">
        <f>ROUND(O5/12,1)</f>
        <v>96.8</v>
      </c>
      <c r="Q5" s="68"/>
      <c r="R5" s="133"/>
      <c r="S5" s="428" t="s">
        <v>618</v>
      </c>
      <c r="T5" s="429" t="s">
        <v>656</v>
      </c>
      <c r="V5" s="133"/>
      <c r="W5" s="132"/>
    </row>
    <row r="6" spans="2:23" ht="22.5" customHeight="1" thickBot="1">
      <c r="B6" s="61">
        <v>1994</v>
      </c>
      <c r="C6" s="450">
        <v>17.899999999999999</v>
      </c>
      <c r="D6" s="450">
        <v>6</v>
      </c>
      <c r="E6" s="450">
        <v>58.2</v>
      </c>
      <c r="F6" s="450">
        <v>51.5</v>
      </c>
      <c r="G6" s="450">
        <v>135.5</v>
      </c>
      <c r="H6" s="450">
        <v>207</v>
      </c>
      <c r="I6" s="450">
        <v>137</v>
      </c>
      <c r="J6" s="451">
        <v>443.5</v>
      </c>
      <c r="K6" s="450">
        <v>21</v>
      </c>
      <c r="L6" s="450">
        <v>155</v>
      </c>
      <c r="M6" s="450">
        <v>17.5</v>
      </c>
      <c r="N6" s="452">
        <v>18.899999999999999</v>
      </c>
      <c r="O6" s="432">
        <f t="shared" ref="O6:O34" si="0">ROUND(SUM(C6:N6),1)</f>
        <v>1269</v>
      </c>
      <c r="P6" s="433">
        <f t="shared" ref="P6:P34" si="1">ROUND(O6/12,1)</f>
        <v>105.8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1995</v>
      </c>
      <c r="C7" s="450">
        <v>15.7</v>
      </c>
      <c r="D7" s="450">
        <v>11</v>
      </c>
      <c r="E7" s="450">
        <v>19.600000000000001</v>
      </c>
      <c r="F7" s="450">
        <v>65.5</v>
      </c>
      <c r="G7" s="450">
        <v>49.5</v>
      </c>
      <c r="H7" s="450">
        <v>26.5</v>
      </c>
      <c r="I7" s="450">
        <v>144.5</v>
      </c>
      <c r="J7" s="450">
        <v>996.5</v>
      </c>
      <c r="K7" s="450">
        <v>70.5</v>
      </c>
      <c r="L7" s="450">
        <v>24.5</v>
      </c>
      <c r="M7" s="450">
        <v>23</v>
      </c>
      <c r="N7" s="452">
        <v>12.7</v>
      </c>
      <c r="O7" s="432">
        <f t="shared" si="0"/>
        <v>1459.5</v>
      </c>
      <c r="P7" s="433">
        <f t="shared" si="1"/>
        <v>121.6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33.4</v>
      </c>
      <c r="D8" s="450">
        <v>6.8</v>
      </c>
      <c r="E8" s="450">
        <v>104.5</v>
      </c>
      <c r="F8" s="450">
        <v>34</v>
      </c>
      <c r="G8" s="450">
        <v>22.5</v>
      </c>
      <c r="H8" s="450">
        <v>235</v>
      </c>
      <c r="I8" s="450">
        <v>192.5</v>
      </c>
      <c r="J8" s="450">
        <v>44.5</v>
      </c>
      <c r="K8" s="450">
        <v>14</v>
      </c>
      <c r="L8" s="450">
        <v>106.5</v>
      </c>
      <c r="M8" s="450">
        <v>74.2</v>
      </c>
      <c r="N8" s="452">
        <v>31.7</v>
      </c>
      <c r="O8" s="432">
        <f t="shared" si="0"/>
        <v>899.6</v>
      </c>
      <c r="P8" s="433">
        <f t="shared" si="1"/>
        <v>75</v>
      </c>
      <c r="Q8" s="68"/>
      <c r="T8"/>
      <c r="V8" s="133"/>
      <c r="W8" s="132"/>
    </row>
    <row r="9" spans="2:23" ht="22.5" customHeight="1">
      <c r="B9" s="61">
        <v>1997</v>
      </c>
      <c r="C9" s="450">
        <v>15.1</v>
      </c>
      <c r="D9" s="450">
        <v>38.4</v>
      </c>
      <c r="E9" s="450">
        <v>30.5</v>
      </c>
      <c r="F9" s="450">
        <v>57.5</v>
      </c>
      <c r="G9" s="450">
        <v>203</v>
      </c>
      <c r="H9" s="450">
        <v>272</v>
      </c>
      <c r="I9" s="450">
        <v>353.5</v>
      </c>
      <c r="J9" s="450">
        <v>211.5</v>
      </c>
      <c r="K9" s="450">
        <v>23</v>
      </c>
      <c r="L9" s="450">
        <v>10</v>
      </c>
      <c r="M9" s="450">
        <v>193.5</v>
      </c>
      <c r="N9" s="452">
        <v>34.299999999999997</v>
      </c>
      <c r="O9" s="432">
        <f t="shared" si="0"/>
        <v>1442.3</v>
      </c>
      <c r="P9" s="433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29.9</v>
      </c>
      <c r="D10" s="450">
        <v>40.200000000000003</v>
      </c>
      <c r="E10" s="450">
        <v>30.5</v>
      </c>
      <c r="F10" s="450">
        <v>138</v>
      </c>
      <c r="G10" s="450">
        <v>100</v>
      </c>
      <c r="H10" s="450">
        <v>209.5</v>
      </c>
      <c r="I10" s="450">
        <v>263</v>
      </c>
      <c r="J10" s="450">
        <v>341.7</v>
      </c>
      <c r="K10" s="450">
        <v>150.30000000000001</v>
      </c>
      <c r="L10" s="450">
        <v>61</v>
      </c>
      <c r="M10" s="450">
        <v>29.3</v>
      </c>
      <c r="N10" s="452">
        <v>3.8</v>
      </c>
      <c r="O10" s="432">
        <f t="shared" si="0"/>
        <v>1397.2</v>
      </c>
      <c r="P10" s="433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7.9</v>
      </c>
      <c r="D11" s="450">
        <v>9.5</v>
      </c>
      <c r="E11" s="450">
        <v>71</v>
      </c>
      <c r="F11" s="450">
        <v>88.5</v>
      </c>
      <c r="G11" s="450">
        <v>124.5</v>
      </c>
      <c r="H11" s="450">
        <v>192.5</v>
      </c>
      <c r="I11" s="450">
        <v>98</v>
      </c>
      <c r="J11" s="450">
        <v>180</v>
      </c>
      <c r="K11" s="450">
        <v>292.5</v>
      </c>
      <c r="L11" s="450">
        <v>169</v>
      </c>
      <c r="M11" s="450">
        <v>24.9</v>
      </c>
      <c r="N11" s="452">
        <v>25.8</v>
      </c>
      <c r="O11" s="432">
        <f t="shared" si="0"/>
        <v>1284.0999999999999</v>
      </c>
      <c r="P11" s="433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42.1</v>
      </c>
      <c r="D12" s="450">
        <v>3.2</v>
      </c>
      <c r="E12" s="450">
        <v>7</v>
      </c>
      <c r="F12" s="450">
        <v>35</v>
      </c>
      <c r="G12" s="450">
        <v>53.5</v>
      </c>
      <c r="H12" s="450">
        <v>159.5</v>
      </c>
      <c r="I12" s="450">
        <v>155</v>
      </c>
      <c r="J12" s="450">
        <v>701.5</v>
      </c>
      <c r="K12" s="450">
        <v>241</v>
      </c>
      <c r="L12" s="450">
        <v>46</v>
      </c>
      <c r="M12" s="450">
        <v>39.5</v>
      </c>
      <c r="N12" s="452">
        <v>32.1</v>
      </c>
      <c r="O12" s="432">
        <f t="shared" si="0"/>
        <v>1515.4</v>
      </c>
      <c r="P12" s="433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73.3</v>
      </c>
      <c r="D13" s="450">
        <v>46</v>
      </c>
      <c r="E13" s="450">
        <v>15.9</v>
      </c>
      <c r="F13" s="450">
        <v>26</v>
      </c>
      <c r="G13" s="450">
        <v>17</v>
      </c>
      <c r="H13" s="450">
        <v>129</v>
      </c>
      <c r="I13" s="450">
        <v>286.5</v>
      </c>
      <c r="J13" s="450">
        <v>170</v>
      </c>
      <c r="K13" s="450">
        <v>10</v>
      </c>
      <c r="L13" s="450">
        <v>85</v>
      </c>
      <c r="M13" s="450">
        <v>13</v>
      </c>
      <c r="N13" s="452">
        <v>32</v>
      </c>
      <c r="O13" s="432">
        <f t="shared" si="0"/>
        <v>903.7</v>
      </c>
      <c r="P13" s="433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50.8</v>
      </c>
      <c r="D14" s="450">
        <v>5.5</v>
      </c>
      <c r="E14" s="450">
        <v>32</v>
      </c>
      <c r="F14" s="450">
        <v>169</v>
      </c>
      <c r="G14" s="450">
        <v>155.5</v>
      </c>
      <c r="H14" s="450">
        <v>72</v>
      </c>
      <c r="I14" s="450">
        <v>217.5</v>
      </c>
      <c r="J14" s="450">
        <v>477</v>
      </c>
      <c r="K14" s="450">
        <v>27</v>
      </c>
      <c r="L14" s="450">
        <v>134</v>
      </c>
      <c r="M14" s="450">
        <v>61.1</v>
      </c>
      <c r="N14" s="452">
        <v>51.8</v>
      </c>
      <c r="O14" s="432">
        <f t="shared" si="0"/>
        <v>1453.2</v>
      </c>
      <c r="P14" s="433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30.7</v>
      </c>
      <c r="D15" s="450">
        <v>44.5</v>
      </c>
      <c r="E15" s="450">
        <v>39.5</v>
      </c>
      <c r="F15" s="450">
        <v>168.5</v>
      </c>
      <c r="G15" s="450">
        <v>78.5</v>
      </c>
      <c r="H15" s="450">
        <v>153</v>
      </c>
      <c r="I15" s="450">
        <v>309.5</v>
      </c>
      <c r="J15" s="450">
        <v>310</v>
      </c>
      <c r="K15" s="450">
        <v>128</v>
      </c>
      <c r="L15" s="450">
        <v>23</v>
      </c>
      <c r="M15" s="450">
        <v>45.5</v>
      </c>
      <c r="N15" s="452">
        <v>13</v>
      </c>
      <c r="O15" s="432">
        <f t="shared" si="0"/>
        <v>1343.7</v>
      </c>
      <c r="P15" s="433">
        <f t="shared" si="1"/>
        <v>112</v>
      </c>
    </row>
    <row r="16" spans="2:23" ht="22.5" customHeight="1">
      <c r="B16" s="61">
        <v>2004</v>
      </c>
      <c r="C16" s="450">
        <v>22.1</v>
      </c>
      <c r="D16" s="450">
        <v>28.5</v>
      </c>
      <c r="E16" s="450">
        <v>45.7</v>
      </c>
      <c r="F16" s="450">
        <v>58</v>
      </c>
      <c r="G16" s="450">
        <v>105.5</v>
      </c>
      <c r="H16" s="450">
        <v>234.5</v>
      </c>
      <c r="I16" s="450">
        <v>263.5</v>
      </c>
      <c r="J16" s="450">
        <v>164</v>
      </c>
      <c r="K16" s="450">
        <v>195</v>
      </c>
      <c r="L16" s="450">
        <v>4</v>
      </c>
      <c r="M16" s="450">
        <v>56.5</v>
      </c>
      <c r="N16" s="452">
        <v>38.9</v>
      </c>
      <c r="O16" s="432">
        <f t="shared" si="0"/>
        <v>1216.2</v>
      </c>
      <c r="P16" s="433">
        <f t="shared" si="1"/>
        <v>101.4</v>
      </c>
    </row>
    <row r="17" spans="2:16" ht="22.5" customHeight="1">
      <c r="B17" s="61">
        <v>2005</v>
      </c>
      <c r="C17" s="450">
        <v>5.8</v>
      </c>
      <c r="D17" s="450">
        <v>35.799999999999997</v>
      </c>
      <c r="E17" s="450">
        <v>30</v>
      </c>
      <c r="F17" s="450">
        <v>73.5</v>
      </c>
      <c r="G17" s="450">
        <v>48.5</v>
      </c>
      <c r="H17" s="450">
        <v>156</v>
      </c>
      <c r="I17" s="450">
        <v>260.5</v>
      </c>
      <c r="J17" s="450">
        <v>291.5</v>
      </c>
      <c r="K17" s="450">
        <v>282.5</v>
      </c>
      <c r="L17" s="450">
        <v>21</v>
      </c>
      <c r="M17" s="450">
        <v>18</v>
      </c>
      <c r="N17" s="452">
        <v>43.4</v>
      </c>
      <c r="O17" s="432">
        <f t="shared" si="0"/>
        <v>1266.5</v>
      </c>
      <c r="P17" s="433">
        <f t="shared" si="1"/>
        <v>105.5</v>
      </c>
    </row>
    <row r="18" spans="2:16" ht="22.5" customHeight="1">
      <c r="B18" s="61">
        <v>2006</v>
      </c>
      <c r="C18" s="450">
        <v>27</v>
      </c>
      <c r="D18" s="450">
        <v>25.9</v>
      </c>
      <c r="E18" s="450">
        <v>10.6</v>
      </c>
      <c r="F18" s="450">
        <v>81.5</v>
      </c>
      <c r="G18" s="450">
        <v>94.5</v>
      </c>
      <c r="H18" s="450">
        <v>114.5</v>
      </c>
      <c r="I18" s="450">
        <v>321</v>
      </c>
      <c r="J18" s="450">
        <v>21.5</v>
      </c>
      <c r="K18" s="450">
        <v>23.5</v>
      </c>
      <c r="L18" s="450">
        <v>24.5</v>
      </c>
      <c r="M18" s="450">
        <v>61.5</v>
      </c>
      <c r="N18" s="452">
        <v>25.4</v>
      </c>
      <c r="O18" s="432">
        <f t="shared" si="0"/>
        <v>831.4</v>
      </c>
      <c r="P18" s="433">
        <f t="shared" si="1"/>
        <v>69.3</v>
      </c>
    </row>
    <row r="19" spans="2:16" ht="22.5" customHeight="1">
      <c r="B19" s="61">
        <v>2007</v>
      </c>
      <c r="C19" s="450">
        <v>23.4</v>
      </c>
      <c r="D19" s="450">
        <v>29.8</v>
      </c>
      <c r="E19" s="450">
        <v>102</v>
      </c>
      <c r="F19" s="450">
        <v>29.5</v>
      </c>
      <c r="G19" s="450">
        <v>79</v>
      </c>
      <c r="H19" s="450">
        <v>85</v>
      </c>
      <c r="I19" s="450">
        <v>214</v>
      </c>
      <c r="J19" s="450">
        <v>239.5</v>
      </c>
      <c r="K19" s="450">
        <v>384</v>
      </c>
      <c r="L19" s="450">
        <v>59</v>
      </c>
      <c r="M19" s="450">
        <v>17.5</v>
      </c>
      <c r="N19" s="452">
        <v>33.1</v>
      </c>
      <c r="O19" s="432">
        <f t="shared" si="0"/>
        <v>1295.8</v>
      </c>
      <c r="P19" s="433">
        <f t="shared" si="1"/>
        <v>108</v>
      </c>
    </row>
    <row r="20" spans="2:16" ht="22.5" customHeight="1">
      <c r="B20" s="61">
        <v>2008</v>
      </c>
      <c r="C20" s="450">
        <v>20.9</v>
      </c>
      <c r="D20" s="450">
        <v>10.8</v>
      </c>
      <c r="E20" s="450">
        <v>48.2</v>
      </c>
      <c r="F20" s="450">
        <v>40.5</v>
      </c>
      <c r="G20" s="450">
        <v>78.900000000000006</v>
      </c>
      <c r="H20" s="450">
        <v>101.3</v>
      </c>
      <c r="I20" s="450">
        <v>257.2</v>
      </c>
      <c r="J20" s="450">
        <v>119.5</v>
      </c>
      <c r="K20" s="450">
        <v>46.9</v>
      </c>
      <c r="L20" s="450">
        <v>26.7</v>
      </c>
      <c r="M20" s="450">
        <v>37.6</v>
      </c>
      <c r="N20" s="452">
        <v>25</v>
      </c>
      <c r="O20" s="432">
        <f t="shared" si="0"/>
        <v>813.5</v>
      </c>
      <c r="P20" s="433">
        <f t="shared" si="1"/>
        <v>67.8</v>
      </c>
    </row>
    <row r="21" spans="2:16" ht="22.5" customHeight="1">
      <c r="B21" s="61">
        <v>2009</v>
      </c>
      <c r="C21" s="450">
        <v>18.5</v>
      </c>
      <c r="D21" s="450">
        <v>23.3</v>
      </c>
      <c r="E21" s="450">
        <v>55.1</v>
      </c>
      <c r="F21" s="450">
        <v>41.5</v>
      </c>
      <c r="G21" s="450">
        <v>154.5</v>
      </c>
      <c r="H21" s="450">
        <v>115.1</v>
      </c>
      <c r="I21" s="450">
        <v>320.89999999999998</v>
      </c>
      <c r="J21" s="450">
        <v>176.6</v>
      </c>
      <c r="K21" s="450">
        <v>25.5</v>
      </c>
      <c r="L21" s="450">
        <v>39.5</v>
      </c>
      <c r="M21" s="450">
        <v>52.9</v>
      </c>
      <c r="N21" s="452">
        <v>58</v>
      </c>
      <c r="O21" s="432">
        <f t="shared" si="0"/>
        <v>1081.4000000000001</v>
      </c>
      <c r="P21" s="433">
        <f t="shared" si="1"/>
        <v>90.1</v>
      </c>
    </row>
    <row r="22" spans="2:16" ht="22.5" customHeight="1">
      <c r="B22" s="61">
        <v>2010</v>
      </c>
      <c r="C22" s="450">
        <v>30.1</v>
      </c>
      <c r="D22" s="450">
        <v>73.5</v>
      </c>
      <c r="E22" s="450">
        <v>75.900000000000006</v>
      </c>
      <c r="F22" s="450">
        <v>58.5</v>
      </c>
      <c r="G22" s="450">
        <v>122.8</v>
      </c>
      <c r="H22" s="450">
        <v>60.8</v>
      </c>
      <c r="I22" s="450">
        <v>396.5</v>
      </c>
      <c r="J22" s="450">
        <v>402.7</v>
      </c>
      <c r="K22" s="450">
        <v>213.1</v>
      </c>
      <c r="L22" s="450">
        <v>19.2</v>
      </c>
      <c r="M22" s="450">
        <v>16.3</v>
      </c>
      <c r="N22" s="452">
        <v>32.9</v>
      </c>
      <c r="O22" s="432">
        <f t="shared" si="0"/>
        <v>1502.3</v>
      </c>
      <c r="P22" s="433">
        <f t="shared" si="1"/>
        <v>125.2</v>
      </c>
    </row>
    <row r="23" spans="2:16" ht="22.5" customHeight="1">
      <c r="B23" s="61">
        <v>2011</v>
      </c>
      <c r="C23" s="450">
        <v>11.1</v>
      </c>
      <c r="D23" s="450">
        <v>37.5</v>
      </c>
      <c r="E23" s="450">
        <v>18</v>
      </c>
      <c r="F23" s="450">
        <v>72.099999999999994</v>
      </c>
      <c r="G23" s="450">
        <v>115.3</v>
      </c>
      <c r="H23" s="450">
        <v>318</v>
      </c>
      <c r="I23" s="450">
        <v>723.1</v>
      </c>
      <c r="J23" s="450">
        <v>289.39999999999998</v>
      </c>
      <c r="K23" s="450">
        <v>70.8</v>
      </c>
      <c r="L23" s="450">
        <v>13.9</v>
      </c>
      <c r="M23" s="450">
        <v>61.3</v>
      </c>
      <c r="N23" s="452">
        <v>12.5</v>
      </c>
      <c r="O23" s="432">
        <f t="shared" si="0"/>
        <v>1743</v>
      </c>
      <c r="P23" s="433">
        <f t="shared" si="1"/>
        <v>145.30000000000001</v>
      </c>
    </row>
    <row r="24" spans="2:16" ht="22.5" customHeight="1">
      <c r="B24" s="61">
        <v>2012</v>
      </c>
      <c r="C24" s="450">
        <v>24.2</v>
      </c>
      <c r="D24" s="450">
        <v>9.1999999999999993</v>
      </c>
      <c r="E24" s="450">
        <v>45</v>
      </c>
      <c r="F24" s="450">
        <v>68.900000000000006</v>
      </c>
      <c r="G24" s="450">
        <v>14.6</v>
      </c>
      <c r="H24" s="450">
        <v>76.8</v>
      </c>
      <c r="I24" s="450">
        <v>231.1</v>
      </c>
      <c r="J24" s="450">
        <v>450.2</v>
      </c>
      <c r="K24" s="450">
        <v>207.7</v>
      </c>
      <c r="L24" s="450">
        <v>65</v>
      </c>
      <c r="M24" s="450">
        <v>61.1</v>
      </c>
      <c r="N24" s="452">
        <v>65.2</v>
      </c>
      <c r="O24" s="432">
        <f t="shared" si="0"/>
        <v>1319</v>
      </c>
      <c r="P24" s="433">
        <f t="shared" si="1"/>
        <v>109.9</v>
      </c>
    </row>
    <row r="25" spans="2:16" ht="22.5" customHeight="1">
      <c r="B25" s="61">
        <v>2013</v>
      </c>
      <c r="C25" s="450">
        <v>28.4</v>
      </c>
      <c r="D25" s="450">
        <v>40.700000000000003</v>
      </c>
      <c r="E25" s="450">
        <v>53.4</v>
      </c>
      <c r="F25" s="450">
        <v>68.2</v>
      </c>
      <c r="G25" s="450">
        <v>116.6</v>
      </c>
      <c r="H25" s="450">
        <v>159.9</v>
      </c>
      <c r="I25" s="450">
        <v>267.5</v>
      </c>
      <c r="J25" s="450">
        <v>214.6</v>
      </c>
      <c r="K25" s="450">
        <v>320</v>
      </c>
      <c r="L25" s="450">
        <v>10.9</v>
      </c>
      <c r="M25" s="450">
        <v>81.099999999999994</v>
      </c>
      <c r="N25" s="452">
        <v>26.4</v>
      </c>
      <c r="O25" s="432">
        <f t="shared" si="0"/>
        <v>1387.7</v>
      </c>
      <c r="P25" s="433">
        <f t="shared" si="1"/>
        <v>115.6</v>
      </c>
    </row>
    <row r="26" spans="2:16" ht="22.5" customHeight="1">
      <c r="B26" s="61">
        <v>2014</v>
      </c>
      <c r="C26" s="450">
        <v>3.4</v>
      </c>
      <c r="D26" s="450">
        <v>20.5</v>
      </c>
      <c r="E26" s="450">
        <v>56.3</v>
      </c>
      <c r="F26" s="450">
        <v>70</v>
      </c>
      <c r="G26" s="450">
        <v>47.1</v>
      </c>
      <c r="H26" s="450">
        <v>125.8</v>
      </c>
      <c r="I26" s="450">
        <v>104</v>
      </c>
      <c r="J26" s="450">
        <v>168.5</v>
      </c>
      <c r="K26" s="450">
        <v>152</v>
      </c>
      <c r="L26" s="450">
        <v>156</v>
      </c>
      <c r="M26" s="450">
        <v>39.9</v>
      </c>
      <c r="N26" s="452">
        <v>66.599999999999994</v>
      </c>
      <c r="O26" s="432">
        <f t="shared" si="0"/>
        <v>1010.1</v>
      </c>
      <c r="P26" s="433">
        <f t="shared" si="1"/>
        <v>84.2</v>
      </c>
    </row>
    <row r="27" spans="2:16" ht="22.5" customHeight="1">
      <c r="B27" s="61">
        <v>2015</v>
      </c>
      <c r="C27" s="450">
        <v>29.9</v>
      </c>
      <c r="D27" s="450">
        <v>23.4</v>
      </c>
      <c r="E27" s="450">
        <v>30.9</v>
      </c>
      <c r="F27" s="450">
        <v>129.69999999999999</v>
      </c>
      <c r="G27" s="450">
        <v>38.799999999999997</v>
      </c>
      <c r="H27" s="450">
        <v>83.9</v>
      </c>
      <c r="I27" s="450">
        <v>94.7</v>
      </c>
      <c r="J27" s="450">
        <v>30.2</v>
      </c>
      <c r="K27" s="450">
        <v>13.3</v>
      </c>
      <c r="L27" s="450">
        <v>90</v>
      </c>
      <c r="M27" s="450">
        <v>155.6</v>
      </c>
      <c r="N27" s="452">
        <v>65</v>
      </c>
      <c r="O27" s="432">
        <f t="shared" si="0"/>
        <v>785.4</v>
      </c>
      <c r="P27" s="433">
        <f t="shared" si="1"/>
        <v>65.5</v>
      </c>
    </row>
    <row r="28" spans="2:16" ht="22.5" customHeight="1">
      <c r="B28" s="61">
        <v>2016</v>
      </c>
      <c r="C28" s="450">
        <v>7.8</v>
      </c>
      <c r="D28" s="450">
        <v>54.2</v>
      </c>
      <c r="E28" s="450">
        <v>18.7</v>
      </c>
      <c r="F28" s="450">
        <v>105.1</v>
      </c>
      <c r="G28" s="450">
        <v>146.5</v>
      </c>
      <c r="H28" s="450">
        <v>23.7</v>
      </c>
      <c r="I28" s="450">
        <v>200.2</v>
      </c>
      <c r="J28" s="450">
        <v>5.0999999999999996</v>
      </c>
      <c r="K28" s="450">
        <v>73.400000000000006</v>
      </c>
      <c r="L28" s="450">
        <v>108</v>
      </c>
      <c r="M28" s="450">
        <v>5.6</v>
      </c>
      <c r="N28" s="452">
        <v>44.5</v>
      </c>
      <c r="O28" s="432">
        <f t="shared" si="0"/>
        <v>792.8</v>
      </c>
      <c r="P28" s="433">
        <f t="shared" si="1"/>
        <v>66.099999999999994</v>
      </c>
    </row>
    <row r="29" spans="2:16" ht="22.5" customHeight="1">
      <c r="B29" s="61">
        <v>2017</v>
      </c>
      <c r="C29" s="450">
        <v>14.8</v>
      </c>
      <c r="D29" s="450">
        <v>30.2</v>
      </c>
      <c r="E29" s="450">
        <v>14.4</v>
      </c>
      <c r="F29" s="450">
        <v>57.6</v>
      </c>
      <c r="G29" s="450">
        <v>58.9</v>
      </c>
      <c r="H29" s="450">
        <v>21.1</v>
      </c>
      <c r="I29" s="450">
        <v>278.10000000000002</v>
      </c>
      <c r="J29" s="450">
        <v>210</v>
      </c>
      <c r="K29" s="450">
        <v>90</v>
      </c>
      <c r="L29" s="450">
        <v>26.6</v>
      </c>
      <c r="M29" s="450">
        <v>15.9</v>
      </c>
      <c r="N29" s="452">
        <v>38.6</v>
      </c>
      <c r="O29" s="432">
        <f t="shared" si="0"/>
        <v>856.2</v>
      </c>
      <c r="P29" s="433">
        <f t="shared" si="1"/>
        <v>71.400000000000006</v>
      </c>
    </row>
    <row r="30" spans="2:16" ht="22.5" customHeight="1">
      <c r="B30" s="61">
        <v>2018</v>
      </c>
      <c r="C30" s="450">
        <v>15</v>
      </c>
      <c r="D30" s="450">
        <v>33.6</v>
      </c>
      <c r="E30" s="450">
        <v>92</v>
      </c>
      <c r="F30" s="450">
        <v>128.1</v>
      </c>
      <c r="G30" s="450">
        <v>104.5</v>
      </c>
      <c r="H30" s="450">
        <v>71</v>
      </c>
      <c r="I30" s="450">
        <v>262.7</v>
      </c>
      <c r="J30" s="450">
        <v>239.6</v>
      </c>
      <c r="K30" s="450">
        <v>158.19999999999999</v>
      </c>
      <c r="L30" s="450">
        <v>154.69999999999999</v>
      </c>
      <c r="M30" s="450">
        <v>46.7</v>
      </c>
      <c r="N30" s="452">
        <v>31.1</v>
      </c>
      <c r="O30" s="432">
        <f t="shared" si="0"/>
        <v>1337.2</v>
      </c>
      <c r="P30" s="433">
        <f t="shared" si="1"/>
        <v>111.4</v>
      </c>
    </row>
    <row r="31" spans="2:16" ht="22.5" customHeight="1">
      <c r="B31" s="61">
        <v>2019</v>
      </c>
      <c r="C31" s="450">
        <v>1.9</v>
      </c>
      <c r="D31" s="450">
        <v>17.8</v>
      </c>
      <c r="E31" s="450">
        <v>18.2</v>
      </c>
      <c r="F31" s="450">
        <v>71.900000000000006</v>
      </c>
      <c r="G31" s="450">
        <v>31.3</v>
      </c>
      <c r="H31" s="450">
        <v>56</v>
      </c>
      <c r="I31" s="450">
        <v>149</v>
      </c>
      <c r="J31" s="450">
        <v>131.30000000000001</v>
      </c>
      <c r="K31" s="450">
        <v>118.7</v>
      </c>
      <c r="L31" s="450">
        <v>63.9</v>
      </c>
      <c r="M31" s="450">
        <v>130.6</v>
      </c>
      <c r="N31" s="452">
        <v>31.3</v>
      </c>
      <c r="O31" s="432">
        <f t="shared" si="0"/>
        <v>821.9</v>
      </c>
      <c r="P31" s="433">
        <f t="shared" si="1"/>
        <v>68.5</v>
      </c>
    </row>
    <row r="32" spans="2:16" ht="22.5" customHeight="1">
      <c r="B32" s="61">
        <v>2020</v>
      </c>
      <c r="C32" s="450">
        <v>49.4</v>
      </c>
      <c r="D32" s="450">
        <v>75.3</v>
      </c>
      <c r="E32" s="450">
        <v>22.8</v>
      </c>
      <c r="F32" s="450">
        <v>16.5</v>
      </c>
      <c r="G32" s="450">
        <v>92.4</v>
      </c>
      <c r="H32" s="450">
        <v>139.69999999999999</v>
      </c>
      <c r="I32" s="450">
        <v>345.9</v>
      </c>
      <c r="J32" s="450">
        <v>321.5</v>
      </c>
      <c r="K32" s="450">
        <v>177.1</v>
      </c>
      <c r="L32" s="450">
        <v>16.2</v>
      </c>
      <c r="M32" s="450">
        <v>35.4</v>
      </c>
      <c r="N32" s="452">
        <v>9.6999999999999993</v>
      </c>
      <c r="O32" s="432">
        <f t="shared" si="0"/>
        <v>1301.9000000000001</v>
      </c>
      <c r="P32" s="433">
        <f t="shared" si="1"/>
        <v>108.5</v>
      </c>
    </row>
    <row r="33" spans="2:16" ht="22.5" customHeight="1">
      <c r="B33" s="61">
        <v>2021</v>
      </c>
      <c r="C33" s="450">
        <v>32</v>
      </c>
      <c r="D33" s="450">
        <v>18.7</v>
      </c>
      <c r="E33" s="450">
        <v>76.099999999999994</v>
      </c>
      <c r="F33" s="450">
        <v>43.4</v>
      </c>
      <c r="G33" s="450">
        <v>110</v>
      </c>
      <c r="H33" s="450">
        <v>55</v>
      </c>
      <c r="I33" s="450">
        <v>131.30000000000001</v>
      </c>
      <c r="J33" s="450">
        <v>253.7</v>
      </c>
      <c r="K33" s="450">
        <v>215.9</v>
      </c>
      <c r="L33" s="450">
        <v>39.6</v>
      </c>
      <c r="M33" s="450">
        <v>117.8</v>
      </c>
      <c r="N33" s="452">
        <v>14.4</v>
      </c>
      <c r="O33" s="432">
        <f t="shared" si="0"/>
        <v>1107.9000000000001</v>
      </c>
      <c r="P33" s="433">
        <f t="shared" si="1"/>
        <v>92.3</v>
      </c>
    </row>
    <row r="34" spans="2:16" ht="22.5" customHeight="1" thickBot="1">
      <c r="B34" s="453">
        <v>2022</v>
      </c>
      <c r="C34" s="454">
        <v>8.4</v>
      </c>
      <c r="D34" s="454">
        <v>5.3</v>
      </c>
      <c r="E34" s="454">
        <v>60.9</v>
      </c>
      <c r="F34" s="454">
        <v>34.799999999999997</v>
      </c>
      <c r="G34" s="454">
        <v>5.7</v>
      </c>
      <c r="H34" s="454">
        <v>225</v>
      </c>
      <c r="I34" s="454">
        <v>119.9</v>
      </c>
      <c r="J34" s="454">
        <v>637.1</v>
      </c>
      <c r="K34" s="454">
        <v>102</v>
      </c>
      <c r="L34" s="454">
        <v>112</v>
      </c>
      <c r="M34" s="454">
        <v>23.3</v>
      </c>
      <c r="N34" s="455">
        <v>14</v>
      </c>
      <c r="O34" s="434">
        <f t="shared" si="0"/>
        <v>1348.4</v>
      </c>
      <c r="P34" s="435">
        <f t="shared" si="1"/>
        <v>112.4</v>
      </c>
    </row>
    <row r="35" spans="2:16" ht="22.5" customHeight="1">
      <c r="B35" s="456" t="s">
        <v>36</v>
      </c>
      <c r="C35" s="457">
        <f>MAX(C5:C34)</f>
        <v>73.3</v>
      </c>
      <c r="D35" s="457">
        <f t="shared" ref="D35:N35" si="2">MAX(D5:D34)</f>
        <v>75.3</v>
      </c>
      <c r="E35" s="457">
        <f t="shared" si="2"/>
        <v>104.5</v>
      </c>
      <c r="F35" s="457">
        <f t="shared" si="2"/>
        <v>169</v>
      </c>
      <c r="G35" s="457">
        <f t="shared" si="2"/>
        <v>203</v>
      </c>
      <c r="H35" s="457">
        <f t="shared" si="2"/>
        <v>318</v>
      </c>
      <c r="I35" s="457">
        <f t="shared" si="2"/>
        <v>723.1</v>
      </c>
      <c r="J35" s="457">
        <f t="shared" si="2"/>
        <v>996.5</v>
      </c>
      <c r="K35" s="457">
        <f t="shared" si="2"/>
        <v>384</v>
      </c>
      <c r="L35" s="457">
        <f t="shared" si="2"/>
        <v>169</v>
      </c>
      <c r="M35" s="457">
        <f t="shared" si="2"/>
        <v>193.5</v>
      </c>
      <c r="N35" s="437">
        <f t="shared" si="2"/>
        <v>66.599999999999994</v>
      </c>
      <c r="O35" s="436">
        <f t="shared" ref="O35" si="3">MAX(O5:O34)</f>
        <v>1743</v>
      </c>
      <c r="P35" s="437">
        <f>MAX(P5:P34)</f>
        <v>145.30000000000001</v>
      </c>
    </row>
    <row r="36" spans="2:16" ht="22.5" customHeight="1">
      <c r="B36" s="458" t="s">
        <v>37</v>
      </c>
      <c r="C36" s="459">
        <f>ROUND(MIN(C5:C34),1)</f>
        <v>1.9</v>
      </c>
      <c r="D36" s="459">
        <f t="shared" ref="D36:N36" si="4">ROUND(MIN(D5:D34),1)</f>
        <v>3.2</v>
      </c>
      <c r="E36" s="459">
        <f t="shared" si="4"/>
        <v>7</v>
      </c>
      <c r="F36" s="459">
        <f t="shared" si="4"/>
        <v>16.5</v>
      </c>
      <c r="G36" s="459">
        <f t="shared" si="4"/>
        <v>5.7</v>
      </c>
      <c r="H36" s="459">
        <f t="shared" si="4"/>
        <v>21.1</v>
      </c>
      <c r="I36" s="459">
        <f t="shared" si="4"/>
        <v>94.7</v>
      </c>
      <c r="J36" s="459">
        <f t="shared" si="4"/>
        <v>5.0999999999999996</v>
      </c>
      <c r="K36" s="459">
        <f t="shared" si="4"/>
        <v>10</v>
      </c>
      <c r="L36" s="459">
        <f t="shared" si="4"/>
        <v>4</v>
      </c>
      <c r="M36" s="459">
        <f t="shared" si="4"/>
        <v>5.6</v>
      </c>
      <c r="N36" s="433">
        <f t="shared" si="4"/>
        <v>3.8</v>
      </c>
      <c r="O36" s="438">
        <f>ROUND(MIN(O5:O34),1)</f>
        <v>785.4</v>
      </c>
      <c r="P36" s="439">
        <f>ROUND(MIN(P5:P34),1)</f>
        <v>65.5</v>
      </c>
    </row>
    <row r="37" spans="2:16" ht="22.5" customHeight="1" thickBot="1">
      <c r="B37" s="460" t="s">
        <v>45</v>
      </c>
      <c r="C37" s="461">
        <f>ROUND(AVERAGE(C5:C34),1)</f>
        <v>23.2</v>
      </c>
      <c r="D37" s="461">
        <f t="shared" ref="D37:N37" si="5">ROUND(AVERAGE(D5:D34),1)</f>
        <v>29.1</v>
      </c>
      <c r="E37" s="461">
        <f t="shared" si="5"/>
        <v>43.5</v>
      </c>
      <c r="F37" s="461">
        <f t="shared" si="5"/>
        <v>70.5</v>
      </c>
      <c r="G37" s="461">
        <f t="shared" si="5"/>
        <v>85.8</v>
      </c>
      <c r="H37" s="461">
        <f t="shared" si="5"/>
        <v>136.80000000000001</v>
      </c>
      <c r="I37" s="461">
        <f t="shared" si="5"/>
        <v>244.7</v>
      </c>
      <c r="J37" s="461">
        <f t="shared" si="5"/>
        <v>281.60000000000002</v>
      </c>
      <c r="K37" s="461">
        <f t="shared" si="5"/>
        <v>132.9</v>
      </c>
      <c r="L37" s="461">
        <f t="shared" si="5"/>
        <v>63.2</v>
      </c>
      <c r="M37" s="461">
        <f t="shared" si="5"/>
        <v>54.8</v>
      </c>
      <c r="N37" s="462">
        <f t="shared" si="5"/>
        <v>32.200000000000003</v>
      </c>
      <c r="O37" s="514">
        <f>ROUND(AVERAGE(O5:O34),1)</f>
        <v>1198.3</v>
      </c>
      <c r="P37" s="441">
        <f>ROUND(AVERAGE(P5:P34),1)</f>
        <v>99.9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28.4</v>
      </c>
      <c r="D41" s="464">
        <f t="shared" si="6"/>
        <v>40.700000000000003</v>
      </c>
      <c r="E41" s="464">
        <f t="shared" si="6"/>
        <v>53.4</v>
      </c>
      <c r="F41" s="464">
        <f t="shared" si="6"/>
        <v>68.2</v>
      </c>
      <c r="G41" s="464">
        <f t="shared" si="6"/>
        <v>116.6</v>
      </c>
      <c r="H41" s="464">
        <f t="shared" si="6"/>
        <v>159.9</v>
      </c>
      <c r="I41" s="464">
        <f t="shared" si="6"/>
        <v>267.5</v>
      </c>
      <c r="J41" s="464">
        <f t="shared" si="6"/>
        <v>214.6</v>
      </c>
      <c r="K41" s="464">
        <f t="shared" si="6"/>
        <v>320</v>
      </c>
      <c r="L41" s="464">
        <f t="shared" si="6"/>
        <v>10.9</v>
      </c>
      <c r="M41" s="464">
        <f t="shared" si="6"/>
        <v>81.099999999999994</v>
      </c>
      <c r="N41" s="439">
        <f t="shared" si="6"/>
        <v>26.4</v>
      </c>
      <c r="O41" s="438">
        <f>ROUND(SUM(C41:N41),1)</f>
        <v>1387.7</v>
      </c>
      <c r="P41" s="439">
        <f>ROUND(O41/12,1)</f>
        <v>115.6</v>
      </c>
    </row>
    <row r="42" spans="2:16" ht="22.5" customHeight="1">
      <c r="B42" s="463">
        <f t="shared" ref="B42:N42" si="7">B26</f>
        <v>2014</v>
      </c>
      <c r="C42" s="464">
        <f t="shared" si="7"/>
        <v>3.4</v>
      </c>
      <c r="D42" s="464">
        <f t="shared" si="7"/>
        <v>20.5</v>
      </c>
      <c r="E42" s="464">
        <f t="shared" si="7"/>
        <v>56.3</v>
      </c>
      <c r="F42" s="464">
        <f t="shared" si="7"/>
        <v>70</v>
      </c>
      <c r="G42" s="464">
        <f t="shared" si="7"/>
        <v>47.1</v>
      </c>
      <c r="H42" s="464">
        <f t="shared" si="7"/>
        <v>125.8</v>
      </c>
      <c r="I42" s="464">
        <f t="shared" si="7"/>
        <v>104</v>
      </c>
      <c r="J42" s="464">
        <f t="shared" si="7"/>
        <v>168.5</v>
      </c>
      <c r="K42" s="464">
        <f t="shared" si="7"/>
        <v>152</v>
      </c>
      <c r="L42" s="464">
        <f t="shared" si="7"/>
        <v>156</v>
      </c>
      <c r="M42" s="464">
        <f t="shared" si="7"/>
        <v>39.9</v>
      </c>
      <c r="N42" s="439">
        <f t="shared" si="7"/>
        <v>66.599999999999994</v>
      </c>
      <c r="O42" s="438">
        <f t="shared" ref="O42:O50" si="8">ROUND(SUM(C42:N42),1)</f>
        <v>1010.1</v>
      </c>
      <c r="P42" s="439">
        <f t="shared" ref="P42:P50" si="9">ROUND(O42/12,1)</f>
        <v>84.2</v>
      </c>
    </row>
    <row r="43" spans="2:16" ht="22.5" customHeight="1">
      <c r="B43" s="463">
        <f t="shared" ref="B43:N43" si="10">B27</f>
        <v>2015</v>
      </c>
      <c r="C43" s="464">
        <f t="shared" si="10"/>
        <v>29.9</v>
      </c>
      <c r="D43" s="464">
        <f t="shared" si="10"/>
        <v>23.4</v>
      </c>
      <c r="E43" s="464">
        <f t="shared" si="10"/>
        <v>30.9</v>
      </c>
      <c r="F43" s="464">
        <f t="shared" si="10"/>
        <v>129.69999999999999</v>
      </c>
      <c r="G43" s="464">
        <f t="shared" si="10"/>
        <v>38.799999999999997</v>
      </c>
      <c r="H43" s="464">
        <f t="shared" si="10"/>
        <v>83.9</v>
      </c>
      <c r="I43" s="464">
        <f t="shared" si="10"/>
        <v>94.7</v>
      </c>
      <c r="J43" s="464">
        <f t="shared" si="10"/>
        <v>30.2</v>
      </c>
      <c r="K43" s="464">
        <f t="shared" si="10"/>
        <v>13.3</v>
      </c>
      <c r="L43" s="464">
        <f t="shared" si="10"/>
        <v>90</v>
      </c>
      <c r="M43" s="464">
        <f t="shared" si="10"/>
        <v>155.6</v>
      </c>
      <c r="N43" s="439">
        <f t="shared" si="10"/>
        <v>65</v>
      </c>
      <c r="O43" s="438">
        <f t="shared" si="8"/>
        <v>785.4</v>
      </c>
      <c r="P43" s="439">
        <f t="shared" si="9"/>
        <v>65.5</v>
      </c>
    </row>
    <row r="44" spans="2:16" ht="22.5" customHeight="1">
      <c r="B44" s="463">
        <f t="shared" ref="B44:N44" si="11">B28</f>
        <v>2016</v>
      </c>
      <c r="C44" s="464">
        <f t="shared" si="11"/>
        <v>7.8</v>
      </c>
      <c r="D44" s="464">
        <f t="shared" si="11"/>
        <v>54.2</v>
      </c>
      <c r="E44" s="464">
        <f t="shared" si="11"/>
        <v>18.7</v>
      </c>
      <c r="F44" s="464">
        <f t="shared" si="11"/>
        <v>105.1</v>
      </c>
      <c r="G44" s="464">
        <f t="shared" si="11"/>
        <v>146.5</v>
      </c>
      <c r="H44" s="464">
        <f t="shared" si="11"/>
        <v>23.7</v>
      </c>
      <c r="I44" s="464">
        <f t="shared" si="11"/>
        <v>200.2</v>
      </c>
      <c r="J44" s="464">
        <f t="shared" si="11"/>
        <v>5.0999999999999996</v>
      </c>
      <c r="K44" s="464">
        <f t="shared" si="11"/>
        <v>73.400000000000006</v>
      </c>
      <c r="L44" s="464">
        <f t="shared" si="11"/>
        <v>108</v>
      </c>
      <c r="M44" s="464">
        <f t="shared" si="11"/>
        <v>5.6</v>
      </c>
      <c r="N44" s="439">
        <f t="shared" si="11"/>
        <v>44.5</v>
      </c>
      <c r="O44" s="438">
        <f t="shared" si="8"/>
        <v>792.8</v>
      </c>
      <c r="P44" s="439">
        <f t="shared" si="9"/>
        <v>66.099999999999994</v>
      </c>
    </row>
    <row r="45" spans="2:16" ht="22.5" customHeight="1">
      <c r="B45" s="463">
        <f t="shared" ref="B45:N45" si="12">B29</f>
        <v>2017</v>
      </c>
      <c r="C45" s="464">
        <f t="shared" si="12"/>
        <v>14.8</v>
      </c>
      <c r="D45" s="464">
        <f t="shared" si="12"/>
        <v>30.2</v>
      </c>
      <c r="E45" s="464">
        <f t="shared" si="12"/>
        <v>14.4</v>
      </c>
      <c r="F45" s="464">
        <f t="shared" si="12"/>
        <v>57.6</v>
      </c>
      <c r="G45" s="464">
        <f t="shared" si="12"/>
        <v>58.9</v>
      </c>
      <c r="H45" s="464">
        <f t="shared" si="12"/>
        <v>21.1</v>
      </c>
      <c r="I45" s="464">
        <f t="shared" si="12"/>
        <v>278.10000000000002</v>
      </c>
      <c r="J45" s="464">
        <f t="shared" si="12"/>
        <v>210</v>
      </c>
      <c r="K45" s="464">
        <f t="shared" si="12"/>
        <v>90</v>
      </c>
      <c r="L45" s="464">
        <f t="shared" si="12"/>
        <v>26.6</v>
      </c>
      <c r="M45" s="464">
        <f t="shared" si="12"/>
        <v>15.9</v>
      </c>
      <c r="N45" s="439">
        <f t="shared" si="12"/>
        <v>38.6</v>
      </c>
      <c r="O45" s="438">
        <f t="shared" si="8"/>
        <v>856.2</v>
      </c>
      <c r="P45" s="439">
        <f t="shared" si="9"/>
        <v>71.400000000000006</v>
      </c>
    </row>
    <row r="46" spans="2:16" ht="22.5" customHeight="1">
      <c r="B46" s="463">
        <f t="shared" ref="B46:N46" si="13">B30</f>
        <v>2018</v>
      </c>
      <c r="C46" s="464">
        <f t="shared" si="13"/>
        <v>15</v>
      </c>
      <c r="D46" s="464">
        <f t="shared" si="13"/>
        <v>33.6</v>
      </c>
      <c r="E46" s="464">
        <f t="shared" si="13"/>
        <v>92</v>
      </c>
      <c r="F46" s="464">
        <f t="shared" si="13"/>
        <v>128.1</v>
      </c>
      <c r="G46" s="464">
        <f t="shared" si="13"/>
        <v>104.5</v>
      </c>
      <c r="H46" s="464">
        <f t="shared" si="13"/>
        <v>71</v>
      </c>
      <c r="I46" s="464">
        <f t="shared" si="13"/>
        <v>262.7</v>
      </c>
      <c r="J46" s="464">
        <f t="shared" si="13"/>
        <v>239.6</v>
      </c>
      <c r="K46" s="464">
        <f t="shared" si="13"/>
        <v>158.19999999999999</v>
      </c>
      <c r="L46" s="464">
        <f t="shared" si="13"/>
        <v>154.69999999999999</v>
      </c>
      <c r="M46" s="464">
        <f t="shared" si="13"/>
        <v>46.7</v>
      </c>
      <c r="N46" s="439">
        <f t="shared" si="13"/>
        <v>31.1</v>
      </c>
      <c r="O46" s="438">
        <f t="shared" si="8"/>
        <v>1337.2</v>
      </c>
      <c r="P46" s="439">
        <f t="shared" si="9"/>
        <v>111.4</v>
      </c>
    </row>
    <row r="47" spans="2:16" ht="22.5" customHeight="1">
      <c r="B47" s="463">
        <f t="shared" ref="B47:N47" si="14">B31</f>
        <v>2019</v>
      </c>
      <c r="C47" s="464">
        <f t="shared" si="14"/>
        <v>1.9</v>
      </c>
      <c r="D47" s="464">
        <f t="shared" si="14"/>
        <v>17.8</v>
      </c>
      <c r="E47" s="464">
        <f t="shared" si="14"/>
        <v>18.2</v>
      </c>
      <c r="F47" s="464">
        <f t="shared" si="14"/>
        <v>71.900000000000006</v>
      </c>
      <c r="G47" s="464">
        <f t="shared" si="14"/>
        <v>31.3</v>
      </c>
      <c r="H47" s="464">
        <f t="shared" si="14"/>
        <v>56</v>
      </c>
      <c r="I47" s="464">
        <f t="shared" si="14"/>
        <v>149</v>
      </c>
      <c r="J47" s="464">
        <f t="shared" si="14"/>
        <v>131.30000000000001</v>
      </c>
      <c r="K47" s="464">
        <f t="shared" si="14"/>
        <v>118.7</v>
      </c>
      <c r="L47" s="464">
        <f t="shared" si="14"/>
        <v>63.9</v>
      </c>
      <c r="M47" s="464">
        <f t="shared" si="14"/>
        <v>130.6</v>
      </c>
      <c r="N47" s="439">
        <f t="shared" si="14"/>
        <v>31.3</v>
      </c>
      <c r="O47" s="438">
        <f t="shared" si="8"/>
        <v>821.9</v>
      </c>
      <c r="P47" s="439">
        <f t="shared" si="9"/>
        <v>68.5</v>
      </c>
    </row>
    <row r="48" spans="2:16" ht="22.5" customHeight="1">
      <c r="B48" s="463">
        <f t="shared" ref="B48:N48" si="15">B32</f>
        <v>2020</v>
      </c>
      <c r="C48" s="464">
        <f t="shared" si="15"/>
        <v>49.4</v>
      </c>
      <c r="D48" s="464">
        <f t="shared" si="15"/>
        <v>75.3</v>
      </c>
      <c r="E48" s="464">
        <f t="shared" si="15"/>
        <v>22.8</v>
      </c>
      <c r="F48" s="464">
        <f t="shared" si="15"/>
        <v>16.5</v>
      </c>
      <c r="G48" s="464">
        <f t="shared" si="15"/>
        <v>92.4</v>
      </c>
      <c r="H48" s="464">
        <f t="shared" si="15"/>
        <v>139.69999999999999</v>
      </c>
      <c r="I48" s="464">
        <f t="shared" si="15"/>
        <v>345.9</v>
      </c>
      <c r="J48" s="464">
        <f t="shared" si="15"/>
        <v>321.5</v>
      </c>
      <c r="K48" s="464">
        <f t="shared" si="15"/>
        <v>177.1</v>
      </c>
      <c r="L48" s="464">
        <f t="shared" si="15"/>
        <v>16.2</v>
      </c>
      <c r="M48" s="464">
        <f t="shared" si="15"/>
        <v>35.4</v>
      </c>
      <c r="N48" s="439">
        <f t="shared" si="15"/>
        <v>9.6999999999999993</v>
      </c>
      <c r="O48" s="438">
        <f t="shared" si="8"/>
        <v>1301.9000000000001</v>
      </c>
      <c r="P48" s="439">
        <f t="shared" si="9"/>
        <v>108.5</v>
      </c>
    </row>
    <row r="49" spans="2:16" ht="22.5" customHeight="1">
      <c r="B49" s="463">
        <f t="shared" ref="B49:N49" si="16">B33</f>
        <v>2021</v>
      </c>
      <c r="C49" s="464">
        <f t="shared" si="16"/>
        <v>32</v>
      </c>
      <c r="D49" s="464">
        <f t="shared" si="16"/>
        <v>18.7</v>
      </c>
      <c r="E49" s="464">
        <f t="shared" si="16"/>
        <v>76.099999999999994</v>
      </c>
      <c r="F49" s="464">
        <f t="shared" si="16"/>
        <v>43.4</v>
      </c>
      <c r="G49" s="464">
        <f t="shared" si="16"/>
        <v>110</v>
      </c>
      <c r="H49" s="464">
        <f t="shared" si="16"/>
        <v>55</v>
      </c>
      <c r="I49" s="464">
        <f t="shared" si="16"/>
        <v>131.30000000000001</v>
      </c>
      <c r="J49" s="464">
        <f t="shared" si="16"/>
        <v>253.7</v>
      </c>
      <c r="K49" s="464">
        <f t="shared" si="16"/>
        <v>215.9</v>
      </c>
      <c r="L49" s="464">
        <f t="shared" si="16"/>
        <v>39.6</v>
      </c>
      <c r="M49" s="464">
        <f t="shared" si="16"/>
        <v>117.8</v>
      </c>
      <c r="N49" s="439">
        <f t="shared" si="16"/>
        <v>14.4</v>
      </c>
      <c r="O49" s="438">
        <f t="shared" si="8"/>
        <v>1107.9000000000001</v>
      </c>
      <c r="P49" s="439">
        <f t="shared" si="9"/>
        <v>92.3</v>
      </c>
    </row>
    <row r="50" spans="2:16" ht="22.5" customHeight="1" thickBot="1">
      <c r="B50" s="465">
        <f t="shared" ref="B50:N50" si="17">B34</f>
        <v>2022</v>
      </c>
      <c r="C50" s="466">
        <f t="shared" si="17"/>
        <v>8.4</v>
      </c>
      <c r="D50" s="466">
        <f t="shared" si="17"/>
        <v>5.3</v>
      </c>
      <c r="E50" s="466">
        <f>E34</f>
        <v>60.9</v>
      </c>
      <c r="F50" s="466">
        <f t="shared" si="17"/>
        <v>34.799999999999997</v>
      </c>
      <c r="G50" s="466">
        <f t="shared" si="17"/>
        <v>5.7</v>
      </c>
      <c r="H50" s="466">
        <f t="shared" si="17"/>
        <v>225</v>
      </c>
      <c r="I50" s="466">
        <f t="shared" si="17"/>
        <v>119.9</v>
      </c>
      <c r="J50" s="466">
        <f t="shared" si="17"/>
        <v>637.1</v>
      </c>
      <c r="K50" s="466">
        <f t="shared" si="17"/>
        <v>102</v>
      </c>
      <c r="L50" s="466">
        <f t="shared" si="17"/>
        <v>112</v>
      </c>
      <c r="M50" s="466">
        <f t="shared" si="17"/>
        <v>23.3</v>
      </c>
      <c r="N50" s="441">
        <f t="shared" si="17"/>
        <v>14</v>
      </c>
      <c r="O50" s="440">
        <f t="shared" si="8"/>
        <v>1348.4</v>
      </c>
      <c r="P50" s="441">
        <f t="shared" si="9"/>
        <v>112.4</v>
      </c>
    </row>
    <row r="51" spans="2:16" ht="22.5" customHeight="1">
      <c r="B51" s="467" t="s">
        <v>46</v>
      </c>
      <c r="C51" s="468">
        <f>MAX(C41:C50)</f>
        <v>49.4</v>
      </c>
      <c r="D51" s="468">
        <f t="shared" ref="D51:P51" si="18">MAX(D41:D50)</f>
        <v>75.3</v>
      </c>
      <c r="E51" s="468">
        <f t="shared" si="18"/>
        <v>92</v>
      </c>
      <c r="F51" s="468">
        <f t="shared" si="18"/>
        <v>129.69999999999999</v>
      </c>
      <c r="G51" s="468">
        <f t="shared" si="18"/>
        <v>146.5</v>
      </c>
      <c r="H51" s="468">
        <f t="shared" si="18"/>
        <v>225</v>
      </c>
      <c r="I51" s="468">
        <f t="shared" si="18"/>
        <v>345.9</v>
      </c>
      <c r="J51" s="468">
        <f t="shared" si="18"/>
        <v>637.1</v>
      </c>
      <c r="K51" s="468">
        <f t="shared" si="18"/>
        <v>320</v>
      </c>
      <c r="L51" s="468">
        <f t="shared" si="18"/>
        <v>156</v>
      </c>
      <c r="M51" s="468">
        <f t="shared" si="18"/>
        <v>155.6</v>
      </c>
      <c r="N51" s="443">
        <f t="shared" si="18"/>
        <v>66.599999999999994</v>
      </c>
      <c r="O51" s="442">
        <f t="shared" si="18"/>
        <v>1387.7</v>
      </c>
      <c r="P51" s="443">
        <f t="shared" si="18"/>
        <v>115.6</v>
      </c>
    </row>
    <row r="52" spans="2:16" ht="22.5" customHeight="1">
      <c r="B52" s="463" t="s">
        <v>47</v>
      </c>
      <c r="C52" s="464">
        <f>MIN(C41:C50)</f>
        <v>1.9</v>
      </c>
      <c r="D52" s="464">
        <f t="shared" ref="D52:P52" si="19">MIN(D41:D50)</f>
        <v>5.3</v>
      </c>
      <c r="E52" s="464">
        <f t="shared" si="19"/>
        <v>14.4</v>
      </c>
      <c r="F52" s="464">
        <f t="shared" si="19"/>
        <v>16.5</v>
      </c>
      <c r="G52" s="464">
        <f t="shared" si="19"/>
        <v>5.7</v>
      </c>
      <c r="H52" s="464">
        <f t="shared" si="19"/>
        <v>21.1</v>
      </c>
      <c r="I52" s="464">
        <f t="shared" si="19"/>
        <v>94.7</v>
      </c>
      <c r="J52" s="464">
        <f t="shared" si="19"/>
        <v>5.0999999999999996</v>
      </c>
      <c r="K52" s="464">
        <f t="shared" si="19"/>
        <v>13.3</v>
      </c>
      <c r="L52" s="464">
        <f t="shared" si="19"/>
        <v>10.9</v>
      </c>
      <c r="M52" s="464">
        <f t="shared" si="19"/>
        <v>5.6</v>
      </c>
      <c r="N52" s="439">
        <f t="shared" si="19"/>
        <v>9.6999999999999993</v>
      </c>
      <c r="O52" s="438">
        <f>MIN(O41:O50)</f>
        <v>785.4</v>
      </c>
      <c r="P52" s="439">
        <f t="shared" si="19"/>
        <v>65.5</v>
      </c>
    </row>
    <row r="53" spans="2:16" ht="22.5" customHeight="1" thickBot="1">
      <c r="B53" s="465" t="s">
        <v>30</v>
      </c>
      <c r="C53" s="466">
        <f>ROUND(AVERAGE(C41:C50),1)</f>
        <v>19.100000000000001</v>
      </c>
      <c r="D53" s="466">
        <f t="shared" ref="D53:N53" si="20">ROUND(AVERAGE(D41:D50),1)</f>
        <v>32</v>
      </c>
      <c r="E53" s="466">
        <f t="shared" si="20"/>
        <v>44.4</v>
      </c>
      <c r="F53" s="466">
        <f t="shared" si="20"/>
        <v>72.5</v>
      </c>
      <c r="G53" s="466">
        <f t="shared" si="20"/>
        <v>75.2</v>
      </c>
      <c r="H53" s="466">
        <f t="shared" si="20"/>
        <v>96.1</v>
      </c>
      <c r="I53" s="466">
        <f t="shared" si="20"/>
        <v>195.3</v>
      </c>
      <c r="J53" s="466">
        <f t="shared" si="20"/>
        <v>221.2</v>
      </c>
      <c r="K53" s="466">
        <f t="shared" si="20"/>
        <v>142.1</v>
      </c>
      <c r="L53" s="466">
        <f t="shared" si="20"/>
        <v>77.8</v>
      </c>
      <c r="M53" s="466">
        <f t="shared" si="20"/>
        <v>65.2</v>
      </c>
      <c r="N53" s="441">
        <f t="shared" si="20"/>
        <v>34.200000000000003</v>
      </c>
      <c r="O53" s="440">
        <f>ROUND(AVERAGE(O41:O50),1)</f>
        <v>1075</v>
      </c>
      <c r="P53" s="441">
        <f>ROUND(AVERAGE(P41:P50),1)</f>
        <v>89.6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355" customFormat="1">
      <c r="B23" s="352">
        <f>All!B25</f>
        <v>2013</v>
      </c>
      <c r="C23" s="353">
        <f>All!C25</f>
        <v>28.4</v>
      </c>
      <c r="D23" s="353">
        <f>All!D25</f>
        <v>40.700000000000003</v>
      </c>
      <c r="E23" s="353">
        <f>All!E25</f>
        <v>53.4</v>
      </c>
      <c r="F23" s="353">
        <f>All!F25</f>
        <v>68.2</v>
      </c>
      <c r="G23" s="353">
        <f>All!G25</f>
        <v>116.6</v>
      </c>
      <c r="H23" s="353">
        <f>All!H25</f>
        <v>159.9</v>
      </c>
      <c r="I23" s="353">
        <f>All!I25</f>
        <v>267.5</v>
      </c>
      <c r="J23" s="353">
        <f>All!J25</f>
        <v>214.6</v>
      </c>
      <c r="K23" s="353">
        <f>All!K25</f>
        <v>320</v>
      </c>
      <c r="L23" s="353">
        <f>All!L25</f>
        <v>10.9</v>
      </c>
      <c r="M23" s="353">
        <f>All!M25</f>
        <v>81.099999999999994</v>
      </c>
      <c r="N23" s="353">
        <f>All!N25</f>
        <v>26.4</v>
      </c>
      <c r="O23" s="353">
        <f>All!O25</f>
        <v>1387.7</v>
      </c>
      <c r="P23" s="354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173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172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40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755"/>
  <sheetViews>
    <sheetView topLeftCell="A22" zoomScaleNormal="100" workbookViewId="0">
      <selection activeCell="D48" sqref="D4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보령기상청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28.4</v>
      </c>
      <c r="D5" s="327">
        <f>All!D41</f>
        <v>40.700000000000003</v>
      </c>
      <c r="E5" s="327">
        <f>All!E41</f>
        <v>53.4</v>
      </c>
      <c r="F5" s="327">
        <f>All!F41</f>
        <v>68.2</v>
      </c>
      <c r="G5" s="327">
        <f>All!G41</f>
        <v>116.6</v>
      </c>
      <c r="H5" s="327">
        <f>All!H41</f>
        <v>159.9</v>
      </c>
      <c r="I5" s="327">
        <f>All!I41</f>
        <v>267.5</v>
      </c>
      <c r="J5" s="327">
        <f>All!J41</f>
        <v>214.6</v>
      </c>
      <c r="K5" s="327">
        <f>All!K41</f>
        <v>320</v>
      </c>
      <c r="L5" s="327">
        <f>All!L41</f>
        <v>10.9</v>
      </c>
      <c r="M5" s="327">
        <f>All!M41</f>
        <v>81.099999999999994</v>
      </c>
      <c r="N5" s="328">
        <f>All!N41</f>
        <v>26.4</v>
      </c>
      <c r="O5" s="477">
        <f>All!O41</f>
        <v>1387.7</v>
      </c>
      <c r="P5" s="328">
        <f>All!P41</f>
        <v>115.6</v>
      </c>
    </row>
    <row r="6" spans="2:16" ht="22.15" customHeight="1">
      <c r="B6" s="344">
        <f>All!B42</f>
        <v>2014</v>
      </c>
      <c r="C6" s="339">
        <f>All!C42</f>
        <v>3.4</v>
      </c>
      <c r="D6" s="327">
        <f>All!D42</f>
        <v>20.5</v>
      </c>
      <c r="E6" s="327">
        <f>All!E42</f>
        <v>56.3</v>
      </c>
      <c r="F6" s="327">
        <f>All!F42</f>
        <v>70</v>
      </c>
      <c r="G6" s="327">
        <f>All!G42</f>
        <v>47.1</v>
      </c>
      <c r="H6" s="327">
        <f>All!H42</f>
        <v>125.8</v>
      </c>
      <c r="I6" s="327">
        <f>All!I42</f>
        <v>104</v>
      </c>
      <c r="J6" s="327">
        <f>All!J42</f>
        <v>168.5</v>
      </c>
      <c r="K6" s="327">
        <f>All!K42</f>
        <v>152</v>
      </c>
      <c r="L6" s="327">
        <f>All!L42</f>
        <v>156</v>
      </c>
      <c r="M6" s="327">
        <f>All!M42</f>
        <v>39.9</v>
      </c>
      <c r="N6" s="328">
        <f>All!N42</f>
        <v>66.599999999999994</v>
      </c>
      <c r="O6" s="477">
        <f>All!O42</f>
        <v>1010.1</v>
      </c>
      <c r="P6" s="328">
        <f>All!P42</f>
        <v>84.2</v>
      </c>
    </row>
    <row r="7" spans="2:16" ht="22.15" customHeight="1">
      <c r="B7" s="345">
        <f>All!B43</f>
        <v>2015</v>
      </c>
      <c r="C7" s="339">
        <f>All!C43</f>
        <v>29.9</v>
      </c>
      <c r="D7" s="327">
        <f>All!D43</f>
        <v>23.4</v>
      </c>
      <c r="E7" s="327">
        <f>All!E43</f>
        <v>30.9</v>
      </c>
      <c r="F7" s="327">
        <f>All!F43</f>
        <v>129.69999999999999</v>
      </c>
      <c r="G7" s="327">
        <f>All!G43</f>
        <v>38.799999999999997</v>
      </c>
      <c r="H7" s="327">
        <f>All!H43</f>
        <v>83.9</v>
      </c>
      <c r="I7" s="327">
        <f>All!I43</f>
        <v>94.7</v>
      </c>
      <c r="J7" s="327">
        <f>All!J43</f>
        <v>30.2</v>
      </c>
      <c r="K7" s="327">
        <f>All!K43</f>
        <v>13.3</v>
      </c>
      <c r="L7" s="327">
        <f>All!L43</f>
        <v>90</v>
      </c>
      <c r="M7" s="327">
        <f>All!M43</f>
        <v>155.6</v>
      </c>
      <c r="N7" s="328">
        <f>All!N43</f>
        <v>65</v>
      </c>
      <c r="O7" s="476">
        <f>All!O43</f>
        <v>785.4</v>
      </c>
      <c r="P7" s="328">
        <f>All!P43</f>
        <v>65.5</v>
      </c>
    </row>
    <row r="8" spans="2:16" ht="22.15" customHeight="1">
      <c r="B8" s="344">
        <f>All!B44</f>
        <v>2016</v>
      </c>
      <c r="C8" s="339">
        <f>All!C44</f>
        <v>7.8</v>
      </c>
      <c r="D8" s="327">
        <f>All!D44</f>
        <v>54.2</v>
      </c>
      <c r="E8" s="327">
        <f>All!E44</f>
        <v>18.7</v>
      </c>
      <c r="F8" s="327">
        <f>All!F44</f>
        <v>105.1</v>
      </c>
      <c r="G8" s="327">
        <f>All!G44</f>
        <v>146.5</v>
      </c>
      <c r="H8" s="327">
        <f>All!H44</f>
        <v>23.7</v>
      </c>
      <c r="I8" s="327">
        <f>All!I44</f>
        <v>200.2</v>
      </c>
      <c r="J8" s="327">
        <f>All!J44</f>
        <v>5.0999999999999996</v>
      </c>
      <c r="K8" s="327">
        <f>All!K44</f>
        <v>73.400000000000006</v>
      </c>
      <c r="L8" s="327">
        <f>All!L44</f>
        <v>108</v>
      </c>
      <c r="M8" s="327">
        <f>All!M44</f>
        <v>5.6</v>
      </c>
      <c r="N8" s="328">
        <f>All!N44</f>
        <v>44.5</v>
      </c>
      <c r="O8" s="477">
        <f>All!O44</f>
        <v>792.8</v>
      </c>
      <c r="P8" s="328">
        <f>All!P44</f>
        <v>66.099999999999994</v>
      </c>
    </row>
    <row r="9" spans="2:16" ht="22.15" customHeight="1">
      <c r="B9" s="344">
        <f>All!B45</f>
        <v>2017</v>
      </c>
      <c r="C9" s="339">
        <f>All!C45</f>
        <v>14.8</v>
      </c>
      <c r="D9" s="327">
        <f>All!D45</f>
        <v>30.2</v>
      </c>
      <c r="E9" s="327">
        <f>All!E45</f>
        <v>14.4</v>
      </c>
      <c r="F9" s="327">
        <f>All!F45</f>
        <v>57.6</v>
      </c>
      <c r="G9" s="327">
        <f>All!G45</f>
        <v>58.9</v>
      </c>
      <c r="H9" s="327">
        <f>All!H45</f>
        <v>21.1</v>
      </c>
      <c r="I9" s="327">
        <f>All!I45</f>
        <v>278.10000000000002</v>
      </c>
      <c r="J9" s="327">
        <f>All!J45</f>
        <v>210</v>
      </c>
      <c r="K9" s="327">
        <f>All!K45</f>
        <v>90</v>
      </c>
      <c r="L9" s="327">
        <f>All!L45</f>
        <v>26.6</v>
      </c>
      <c r="M9" s="327">
        <f>All!M45</f>
        <v>15.9</v>
      </c>
      <c r="N9" s="328">
        <f>All!N45</f>
        <v>38.6</v>
      </c>
      <c r="O9" s="477">
        <f>All!O45</f>
        <v>856.2</v>
      </c>
      <c r="P9" s="328">
        <f>All!P45</f>
        <v>71.400000000000006</v>
      </c>
    </row>
    <row r="10" spans="2:16" ht="22.15" customHeight="1">
      <c r="B10" s="344">
        <f>All!B46</f>
        <v>2018</v>
      </c>
      <c r="C10" s="339">
        <f>All!C46</f>
        <v>15</v>
      </c>
      <c r="D10" s="327">
        <f>All!D46</f>
        <v>33.6</v>
      </c>
      <c r="E10" s="327">
        <f>All!E46</f>
        <v>92</v>
      </c>
      <c r="F10" s="327">
        <f>All!F46</f>
        <v>128.1</v>
      </c>
      <c r="G10" s="327">
        <f>All!G46</f>
        <v>104.5</v>
      </c>
      <c r="H10" s="327">
        <f>All!H46</f>
        <v>71</v>
      </c>
      <c r="I10" s="327">
        <f>All!I46</f>
        <v>262.7</v>
      </c>
      <c r="J10" s="327">
        <f>All!J46</f>
        <v>239.6</v>
      </c>
      <c r="K10" s="327">
        <f>All!K46</f>
        <v>158.19999999999999</v>
      </c>
      <c r="L10" s="327">
        <f>All!L46</f>
        <v>154.69999999999999</v>
      </c>
      <c r="M10" s="327">
        <f>All!M46</f>
        <v>46.7</v>
      </c>
      <c r="N10" s="328">
        <f>All!N46</f>
        <v>31.1</v>
      </c>
      <c r="O10" s="477">
        <f>All!O46</f>
        <v>1337.2</v>
      </c>
      <c r="P10" s="328">
        <f>All!P46</f>
        <v>111.4</v>
      </c>
    </row>
    <row r="11" spans="2:16" ht="22.15" customHeight="1">
      <c r="B11" s="344">
        <f>All!B47</f>
        <v>2019</v>
      </c>
      <c r="C11" s="339">
        <f>All!C47</f>
        <v>1.9</v>
      </c>
      <c r="D11" s="327">
        <f>All!D47</f>
        <v>17.8</v>
      </c>
      <c r="E11" s="327">
        <f>All!E47</f>
        <v>18.2</v>
      </c>
      <c r="F11" s="327">
        <f>All!F47</f>
        <v>71.900000000000006</v>
      </c>
      <c r="G11" s="327">
        <f>All!G47</f>
        <v>31.3</v>
      </c>
      <c r="H11" s="327">
        <f>All!H47</f>
        <v>56</v>
      </c>
      <c r="I11" s="327">
        <f>All!I47</f>
        <v>149</v>
      </c>
      <c r="J11" s="327">
        <f>All!J47</f>
        <v>131.30000000000001</v>
      </c>
      <c r="K11" s="327">
        <f>All!K47</f>
        <v>118.7</v>
      </c>
      <c r="L11" s="327">
        <f>All!L47</f>
        <v>63.9</v>
      </c>
      <c r="M11" s="327">
        <f>All!M47</f>
        <v>130.6</v>
      </c>
      <c r="N11" s="328">
        <f>All!N47</f>
        <v>31.3</v>
      </c>
      <c r="O11" s="477">
        <f>All!O47</f>
        <v>821.9</v>
      </c>
      <c r="P11" s="328">
        <f>All!P47</f>
        <v>68.5</v>
      </c>
    </row>
    <row r="12" spans="2:16" ht="22.15" customHeight="1">
      <c r="B12" s="344">
        <f>All!B48</f>
        <v>2020</v>
      </c>
      <c r="C12" s="339">
        <f>All!C48</f>
        <v>49.4</v>
      </c>
      <c r="D12" s="327">
        <f>All!D48</f>
        <v>75.3</v>
      </c>
      <c r="E12" s="327">
        <f>All!E48</f>
        <v>22.8</v>
      </c>
      <c r="F12" s="327">
        <f>All!F48</f>
        <v>16.5</v>
      </c>
      <c r="G12" s="327">
        <f>All!G48</f>
        <v>92.4</v>
      </c>
      <c r="H12" s="327">
        <f>All!H48</f>
        <v>139.69999999999999</v>
      </c>
      <c r="I12" s="327">
        <f>All!I48</f>
        <v>345.9</v>
      </c>
      <c r="J12" s="327">
        <f>All!J48</f>
        <v>321.5</v>
      </c>
      <c r="K12" s="327">
        <f>All!K48</f>
        <v>177.1</v>
      </c>
      <c r="L12" s="327">
        <f>All!L48</f>
        <v>16.2</v>
      </c>
      <c r="M12" s="327">
        <f>All!M48</f>
        <v>35.4</v>
      </c>
      <c r="N12" s="328">
        <f>All!N48</f>
        <v>9.6999999999999993</v>
      </c>
      <c r="O12" s="477">
        <f>All!O48</f>
        <v>1301.9000000000001</v>
      </c>
      <c r="P12" s="328">
        <f>All!P48</f>
        <v>108.5</v>
      </c>
    </row>
    <row r="13" spans="2:16" ht="22.15" customHeight="1">
      <c r="B13" s="344">
        <f>All!B49</f>
        <v>2021</v>
      </c>
      <c r="C13" s="339">
        <f>All!C49</f>
        <v>32</v>
      </c>
      <c r="D13" s="327">
        <f>All!D49</f>
        <v>18.7</v>
      </c>
      <c r="E13" s="327">
        <f>All!E49</f>
        <v>76.099999999999994</v>
      </c>
      <c r="F13" s="327">
        <f>All!F49</f>
        <v>43.4</v>
      </c>
      <c r="G13" s="327">
        <f>All!G49</f>
        <v>110</v>
      </c>
      <c r="H13" s="327">
        <f>All!H49</f>
        <v>55</v>
      </c>
      <c r="I13" s="327">
        <f>All!I49</f>
        <v>131.30000000000001</v>
      </c>
      <c r="J13" s="327">
        <f>All!J49</f>
        <v>253.7</v>
      </c>
      <c r="K13" s="327">
        <f>All!K49</f>
        <v>215.9</v>
      </c>
      <c r="L13" s="327">
        <f>All!L49</f>
        <v>39.6</v>
      </c>
      <c r="M13" s="327">
        <f>All!M49</f>
        <v>117.8</v>
      </c>
      <c r="N13" s="328">
        <f>All!N49</f>
        <v>14.4</v>
      </c>
      <c r="O13" s="477">
        <f>All!O49</f>
        <v>1107.9000000000001</v>
      </c>
      <c r="P13" s="328">
        <f>All!P49</f>
        <v>92.3</v>
      </c>
    </row>
    <row r="14" spans="2:16" ht="22.15" customHeight="1" thickBot="1">
      <c r="B14" s="527">
        <f>All!B50</f>
        <v>2022</v>
      </c>
      <c r="C14" s="340">
        <f>All!C50</f>
        <v>8.4</v>
      </c>
      <c r="D14" s="329">
        <f>All!D50</f>
        <v>5.3</v>
      </c>
      <c r="E14" s="329">
        <f>All!E50</f>
        <v>60.9</v>
      </c>
      <c r="F14" s="329">
        <f>All!F50</f>
        <v>34.799999999999997</v>
      </c>
      <c r="G14" s="329">
        <f>All!G50</f>
        <v>5.7</v>
      </c>
      <c r="H14" s="329">
        <f>All!H50</f>
        <v>225</v>
      </c>
      <c r="I14" s="329">
        <f>All!I50</f>
        <v>119.9</v>
      </c>
      <c r="J14" s="329">
        <f>All!J50</f>
        <v>637.1</v>
      </c>
      <c r="K14" s="329">
        <f>All!K50</f>
        <v>102</v>
      </c>
      <c r="L14" s="329">
        <f>All!L50</f>
        <v>112</v>
      </c>
      <c r="M14" s="329">
        <f>All!M50</f>
        <v>23.3</v>
      </c>
      <c r="N14" s="330">
        <f>All!N50</f>
        <v>14</v>
      </c>
      <c r="O14" s="480">
        <f>All!O50</f>
        <v>1348.4</v>
      </c>
      <c r="P14" s="330">
        <f>All!P50</f>
        <v>112.4</v>
      </c>
    </row>
    <row r="15" spans="2:16" ht="22.15" customHeight="1">
      <c r="B15" s="347" t="s">
        <v>21</v>
      </c>
      <c r="C15" s="341">
        <f>All!C51</f>
        <v>49.4</v>
      </c>
      <c r="D15" s="331">
        <f>All!D51</f>
        <v>75.3</v>
      </c>
      <c r="E15" s="331">
        <f>All!E51</f>
        <v>92</v>
      </c>
      <c r="F15" s="331">
        <f>All!F51</f>
        <v>129.69999999999999</v>
      </c>
      <c r="G15" s="331">
        <f>All!G51</f>
        <v>146.5</v>
      </c>
      <c r="H15" s="331">
        <f>All!H51</f>
        <v>225</v>
      </c>
      <c r="I15" s="331">
        <f>All!I51</f>
        <v>345.9</v>
      </c>
      <c r="J15" s="331">
        <f>All!J51</f>
        <v>637.1</v>
      </c>
      <c r="K15" s="331">
        <f>All!K51</f>
        <v>320</v>
      </c>
      <c r="L15" s="331">
        <f>All!L51</f>
        <v>156</v>
      </c>
      <c r="M15" s="331">
        <f>All!M51</f>
        <v>155.6</v>
      </c>
      <c r="N15" s="332">
        <f>All!N51</f>
        <v>66.599999999999994</v>
      </c>
      <c r="O15" s="478">
        <f>All!O51</f>
        <v>1387.7</v>
      </c>
      <c r="P15" s="332">
        <f>All!P51</f>
        <v>115.6</v>
      </c>
    </row>
    <row r="16" spans="2:16" ht="22.15" customHeight="1">
      <c r="B16" s="344" t="s">
        <v>22</v>
      </c>
      <c r="C16" s="339">
        <f>All!C52</f>
        <v>1.9</v>
      </c>
      <c r="D16" s="327">
        <f>All!D52</f>
        <v>5.3</v>
      </c>
      <c r="E16" s="327">
        <f>All!E52</f>
        <v>14.4</v>
      </c>
      <c r="F16" s="327">
        <f>All!F52</f>
        <v>16.5</v>
      </c>
      <c r="G16" s="327">
        <f>All!G52</f>
        <v>5.7</v>
      </c>
      <c r="H16" s="327">
        <f>All!H52</f>
        <v>21.1</v>
      </c>
      <c r="I16" s="327">
        <f>All!I52</f>
        <v>94.7</v>
      </c>
      <c r="J16" s="327">
        <f>All!J52</f>
        <v>5.0999999999999996</v>
      </c>
      <c r="K16" s="327">
        <f>All!K52</f>
        <v>13.3</v>
      </c>
      <c r="L16" s="327">
        <f>All!L52</f>
        <v>10.9</v>
      </c>
      <c r="M16" s="327">
        <f>All!M52</f>
        <v>5.6</v>
      </c>
      <c r="N16" s="328">
        <f>All!N52</f>
        <v>9.6999999999999993</v>
      </c>
      <c r="O16" s="479">
        <f>All!O52</f>
        <v>785.4</v>
      </c>
      <c r="P16" s="328">
        <f>All!P52</f>
        <v>65.5</v>
      </c>
    </row>
    <row r="17" spans="1:16" ht="22.15" customHeight="1" thickBot="1">
      <c r="B17" s="346" t="s">
        <v>20</v>
      </c>
      <c r="C17" s="340">
        <f>All!C53</f>
        <v>19.100000000000001</v>
      </c>
      <c r="D17" s="329">
        <f>All!D53</f>
        <v>32</v>
      </c>
      <c r="E17" s="336">
        <f>All!E53</f>
        <v>44.4</v>
      </c>
      <c r="F17" s="329">
        <f>All!F53</f>
        <v>72.5</v>
      </c>
      <c r="G17" s="337">
        <f>All!G53</f>
        <v>75.2</v>
      </c>
      <c r="H17" s="337">
        <f>All!H53</f>
        <v>96.1</v>
      </c>
      <c r="I17" s="337">
        <f>All!I53</f>
        <v>195.3</v>
      </c>
      <c r="J17" s="337">
        <f>All!J53</f>
        <v>221.2</v>
      </c>
      <c r="K17" s="337">
        <f>All!K53</f>
        <v>142.1</v>
      </c>
      <c r="L17" s="329">
        <f>All!L53</f>
        <v>77.8</v>
      </c>
      <c r="M17" s="329">
        <f>All!M53</f>
        <v>65.2</v>
      </c>
      <c r="N17" s="330">
        <f>All!N53</f>
        <v>34.200000000000003</v>
      </c>
      <c r="O17" s="480">
        <f>All!O53</f>
        <v>1075</v>
      </c>
      <c r="P17" s="338">
        <f>All!P53</f>
        <v>89.6</v>
      </c>
    </row>
    <row r="18" spans="1:16" ht="29.25" customHeight="1" thickBot="1">
      <c r="B18" s="91" t="s">
        <v>23</v>
      </c>
      <c r="C18" s="342">
        <f>All!C37</f>
        <v>23.2</v>
      </c>
      <c r="D18" s="333">
        <f>All!D37</f>
        <v>29.1</v>
      </c>
      <c r="E18" s="333">
        <f>All!E37</f>
        <v>43.5</v>
      </c>
      <c r="F18" s="333">
        <f>All!F37</f>
        <v>70.5</v>
      </c>
      <c r="G18" s="333">
        <f>All!G37</f>
        <v>85.8</v>
      </c>
      <c r="H18" s="333">
        <f>All!H37</f>
        <v>136.80000000000001</v>
      </c>
      <c r="I18" s="334">
        <f>All!I37</f>
        <v>244.7</v>
      </c>
      <c r="J18" s="334">
        <f>All!J37</f>
        <v>281.60000000000002</v>
      </c>
      <c r="K18" s="334">
        <f>All!K37</f>
        <v>132.9</v>
      </c>
      <c r="L18" s="334">
        <f>All!L37</f>
        <v>63.2</v>
      </c>
      <c r="M18" s="334">
        <f>All!M37</f>
        <v>54.8</v>
      </c>
      <c r="N18" s="335">
        <f>All!N37</f>
        <v>32.200000000000003</v>
      </c>
      <c r="O18" s="482">
        <f>All!O37</f>
        <v>1198.3</v>
      </c>
      <c r="P18" s="335">
        <f>All!P37</f>
        <v>99.9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729.9</v>
      </c>
      <c r="F20" s="92"/>
    </row>
    <row r="21" spans="1:16">
      <c r="B21" s="349" t="s">
        <v>165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785.4</v>
      </c>
      <c r="D24" s="373"/>
      <c r="E24" s="374"/>
      <c r="H24" s="351" t="s">
        <v>183</v>
      </c>
      <c r="I24" s="574" t="s">
        <v>657</v>
      </c>
      <c r="J24" s="575"/>
      <c r="K24" s="486">
        <f>INDEX(Location[recharge], MATCH(I24,Location[name],0))</f>
        <v>0.17499999999999999</v>
      </c>
      <c r="L24" s="487">
        <f>INDEX(Location[ratio], MATCH(I24,Location[name],0))</f>
        <v>0.67</v>
      </c>
    </row>
    <row r="25" spans="1:16" ht="21.95" customHeight="1">
      <c r="B25" s="323" t="s">
        <v>25</v>
      </c>
      <c r="C25" s="375">
        <f>O18</f>
        <v>1198.3</v>
      </c>
      <c r="D25" s="376"/>
      <c r="E25" s="377"/>
      <c r="H25" s="351" t="s">
        <v>184</v>
      </c>
      <c r="I25" s="576" t="s">
        <v>193</v>
      </c>
      <c r="J25" s="577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0.67</v>
      </c>
      <c r="D26" s="379">
        <f>L25</f>
        <v>0.64</v>
      </c>
      <c r="E26" s="380">
        <f>L26</f>
        <v>0.65</v>
      </c>
      <c r="H26" s="351" t="s">
        <v>185</v>
      </c>
      <c r="I26" s="578" t="s">
        <v>257</v>
      </c>
      <c r="J26" s="579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3801174</v>
      </c>
      <c r="D27" s="376"/>
      <c r="E27" s="382"/>
    </row>
    <row r="28" spans="1:16" ht="21.95" customHeight="1" thickBot="1">
      <c r="B28" s="325" t="s">
        <v>27</v>
      </c>
      <c r="C28" s="383">
        <f>K24</f>
        <v>0.17499999999999999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420" t="s">
        <v>371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72" t="s">
        <v>643</v>
      </c>
      <c r="B37" s="573"/>
      <c r="C37" s="520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22" t="s">
        <v>228</v>
      </c>
      <c r="C38" s="520"/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64">
        <v>220</v>
      </c>
      <c r="C39" s="520"/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644</v>
      </c>
      <c r="B40" s="565">
        <v>500</v>
      </c>
      <c r="C40" s="520"/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645</v>
      </c>
      <c r="B41" s="565">
        <v>66</v>
      </c>
      <c r="C41" s="520"/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646</v>
      </c>
      <c r="B42" s="566">
        <f>ROUND(B41/10,1)</f>
        <v>6.6</v>
      </c>
      <c r="C42" s="520"/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647</v>
      </c>
      <c r="B43" s="566">
        <f>B41+B42</f>
        <v>72.599999999999994</v>
      </c>
      <c r="C43" s="520"/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648</v>
      </c>
      <c r="B44" s="568">
        <v>0.56999999999999995</v>
      </c>
      <c r="C44" s="520"/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66"/>
      <c r="C45" s="520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649</v>
      </c>
      <c r="B46" s="566">
        <f>ROUND((B40*B43)/(6572.5*B44),4)</f>
        <v>9.6895000000000007</v>
      </c>
      <c r="C46" s="520"/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67">
        <f>ROUNDUP(B46,0)</f>
        <v>10</v>
      </c>
      <c r="C47" s="520"/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650</v>
      </c>
      <c r="B48" s="564">
        <v>7.5</v>
      </c>
      <c r="C48" s="520"/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651</v>
      </c>
      <c r="B49" s="563">
        <f>ROUND((B48*B44*6572.5)/B43,1)</f>
        <v>387</v>
      </c>
    </row>
    <row r="51" spans="1:15" ht="17.25" thickBot="1"/>
    <row r="52" spans="1:15" s="523" customFormat="1" ht="15.75" thickBot="1">
      <c r="A52" s="569" t="s">
        <v>228</v>
      </c>
      <c r="B52" s="570">
        <v>500</v>
      </c>
      <c r="C52" s="570">
        <v>66</v>
      </c>
      <c r="D52" s="570">
        <v>6.6</v>
      </c>
      <c r="E52" s="570">
        <v>72.599999999999994</v>
      </c>
      <c r="F52" s="570">
        <v>57</v>
      </c>
      <c r="G52" s="570" t="s">
        <v>57</v>
      </c>
      <c r="H52" s="570">
        <v>9.6895000000000007</v>
      </c>
      <c r="I52" s="571">
        <v>10</v>
      </c>
      <c r="O52" s="524"/>
    </row>
    <row r="4469" spans="15:15" s="419" customFormat="1" ht="17.25">
      <c r="O4469" s="481"/>
    </row>
    <row r="4755" spans="2430:2430">
      <c r="COL4755" s="269"/>
    </row>
  </sheetData>
  <mergeCells count="4">
    <mergeCell ref="A37:B37"/>
    <mergeCell ref="I24:J24"/>
    <mergeCell ref="I25:J25"/>
    <mergeCell ref="I26:J26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393</v>
      </c>
      <c r="D19" s="30" t="s">
        <v>620</v>
      </c>
      <c r="G19" s="423" t="s">
        <v>373</v>
      </c>
    </row>
    <row r="20" spans="1:7">
      <c r="A20" s="30" t="s">
        <v>386</v>
      </c>
      <c r="D20" s="30">
        <v>150</v>
      </c>
      <c r="G20" s="423" t="s">
        <v>374</v>
      </c>
    </row>
    <row r="21" spans="1:7">
      <c r="A21" s="30" t="s">
        <v>387</v>
      </c>
      <c r="D21" s="30">
        <v>200</v>
      </c>
      <c r="G21" s="423" t="s">
        <v>375</v>
      </c>
    </row>
    <row r="22" spans="1:7">
      <c r="A22" s="30" t="s">
        <v>388</v>
      </c>
      <c r="D22" s="30">
        <v>250</v>
      </c>
      <c r="G22" s="423" t="s">
        <v>376</v>
      </c>
    </row>
    <row r="23" spans="1:7">
      <c r="A23" s="30" t="s">
        <v>389</v>
      </c>
      <c r="G23" s="423" t="s">
        <v>377</v>
      </c>
    </row>
    <row r="24" spans="1:7">
      <c r="A24" s="30" t="s">
        <v>390</v>
      </c>
      <c r="G24" s="423" t="s">
        <v>378</v>
      </c>
    </row>
    <row r="25" spans="1:7">
      <c r="A25" s="30" t="s">
        <v>391</v>
      </c>
      <c r="G25" s="423" t="s">
        <v>379</v>
      </c>
    </row>
    <row r="26" spans="1:7">
      <c r="A26" s="30" t="s">
        <v>392</v>
      </c>
      <c r="G26" s="423" t="s">
        <v>380</v>
      </c>
    </row>
    <row r="27" spans="1:7">
      <c r="G27" s="423" t="s">
        <v>381</v>
      </c>
    </row>
    <row r="28" spans="1:7">
      <c r="G28" s="423" t="s">
        <v>382</v>
      </c>
    </row>
    <row r="29" spans="1:7">
      <c r="G29" s="423" t="s">
        <v>383</v>
      </c>
    </row>
    <row r="30" spans="1:7">
      <c r="G30" s="423" t="s">
        <v>384</v>
      </c>
    </row>
    <row r="31" spans="1:7">
      <c r="G31" s="526" t="s">
        <v>652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D5" sqref="D5:K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662</v>
      </c>
      <c r="H5" s="250" t="s">
        <v>663</v>
      </c>
      <c r="I5" s="250" t="s">
        <v>664</v>
      </c>
      <c r="J5" s="250" t="s">
        <v>665</v>
      </c>
      <c r="K5" s="251" t="s">
        <v>666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O36" sqref="O3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635</v>
      </c>
      <c r="AJ4" s="184" t="s">
        <v>634</v>
      </c>
      <c r="AK4" s="184" t="s">
        <v>636</v>
      </c>
      <c r="AL4" s="184" t="s">
        <v>637</v>
      </c>
      <c r="AM4" s="184" t="s">
        <v>638</v>
      </c>
      <c r="AN4" s="175" t="s">
        <v>639</v>
      </c>
    </row>
    <row r="5" spans="1:40" ht="23.1" customHeight="1">
      <c r="A5" s="169" t="s">
        <v>228</v>
      </c>
      <c r="B5" s="223">
        <v>4.3600000000000003</v>
      </c>
      <c r="C5" s="223">
        <v>21.89</v>
      </c>
      <c r="D5" s="255">
        <v>6.1331945312785319</v>
      </c>
      <c r="E5" s="255">
        <v>15.756805468721469</v>
      </c>
      <c r="F5" s="255">
        <v>17.53</v>
      </c>
      <c r="G5" s="223">
        <v>250</v>
      </c>
      <c r="H5" s="223">
        <v>0.125</v>
      </c>
      <c r="I5" s="223">
        <v>220</v>
      </c>
      <c r="J5" s="223">
        <v>12</v>
      </c>
      <c r="K5" s="223">
        <v>522</v>
      </c>
      <c r="L5" s="255">
        <v>4.3854245881675915</v>
      </c>
      <c r="M5" s="223">
        <v>7.5</v>
      </c>
      <c r="N5" s="223">
        <v>208</v>
      </c>
      <c r="O5" s="253">
        <v>16.829999999999998</v>
      </c>
      <c r="P5" s="253">
        <v>14.23</v>
      </c>
      <c r="Q5" s="253">
        <v>15.53</v>
      </c>
      <c r="R5" s="223">
        <v>0.32969999999999999</v>
      </c>
      <c r="S5" s="256">
        <v>6.0990000000000003E-4</v>
      </c>
      <c r="T5" s="253">
        <v>7.4660000000000004E-2</v>
      </c>
      <c r="U5" s="223">
        <v>0.20830000000000001</v>
      </c>
      <c r="V5" s="254">
        <v>51.8</v>
      </c>
      <c r="W5" s="254">
        <v>63.4</v>
      </c>
      <c r="X5" s="254">
        <v>109.2</v>
      </c>
      <c r="Y5" s="223">
        <v>-3.1678000000000002</v>
      </c>
      <c r="Z5" s="253">
        <v>2.9689999999999999</v>
      </c>
      <c r="AA5" s="223">
        <v>600</v>
      </c>
      <c r="AB5" s="223">
        <v>546</v>
      </c>
      <c r="AC5" s="223">
        <v>330</v>
      </c>
      <c r="AD5" s="223">
        <v>7.33</v>
      </c>
      <c r="AE5" s="223">
        <v>15.6</v>
      </c>
      <c r="AF5" s="223">
        <v>1.4100000000000001E-5</v>
      </c>
      <c r="AG5" s="223">
        <v>1.7482600000000001E-2</v>
      </c>
      <c r="AH5" s="512">
        <v>0.91</v>
      </c>
      <c r="AI5" s="223">
        <v>1.855</v>
      </c>
      <c r="AJ5" s="223">
        <v>5.0000000000000001E-4</v>
      </c>
      <c r="AK5" s="223" t="s">
        <v>640</v>
      </c>
      <c r="AL5" s="223">
        <v>21.5106</v>
      </c>
      <c r="AM5" s="223">
        <v>21.512599999999999</v>
      </c>
      <c r="AN5" s="248">
        <v>3.2098</v>
      </c>
    </row>
    <row r="6" spans="1:40" ht="23.1" customHeight="1">
      <c r="A6" s="169"/>
      <c r="B6" s="223"/>
      <c r="C6" s="223"/>
      <c r="D6" s="255"/>
      <c r="E6" s="255"/>
      <c r="F6" s="255"/>
      <c r="G6" s="223"/>
      <c r="H6" s="223"/>
      <c r="I6" s="223"/>
      <c r="J6" s="223"/>
      <c r="K6" s="223"/>
      <c r="L6" s="255"/>
      <c r="M6" s="223"/>
      <c r="N6" s="223"/>
      <c r="O6" s="253"/>
      <c r="P6" s="253"/>
      <c r="Q6" s="253"/>
      <c r="R6" s="223"/>
      <c r="S6" s="256"/>
      <c r="T6" s="253"/>
      <c r="U6" s="223"/>
      <c r="V6" s="254"/>
      <c r="W6" s="254"/>
      <c r="X6" s="254"/>
      <c r="Y6" s="223"/>
      <c r="Z6" s="253"/>
      <c r="AA6" s="223"/>
      <c r="AB6" s="223"/>
      <c r="AC6" s="223"/>
      <c r="AD6" s="223"/>
      <c r="AE6" s="223"/>
      <c r="AF6" s="223"/>
      <c r="AG6" s="223"/>
      <c r="AH6" s="512"/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L25" sqref="L2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50</v>
      </c>
      <c r="F7" s="404">
        <v>133.60000000000002</v>
      </c>
      <c r="G7" s="404">
        <v>32</v>
      </c>
      <c r="H7" s="404">
        <v>36.780000000000022</v>
      </c>
      <c r="I7" s="404">
        <v>18</v>
      </c>
      <c r="J7" s="404">
        <v>96.82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D12" sqref="D12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659</v>
      </c>
      <c r="F1" s="32"/>
      <c r="J1" s="60"/>
    </row>
    <row r="2" spans="1:18" s="67" customFormat="1" ht="23.1" customHeight="1">
      <c r="A2" s="590" t="s">
        <v>0</v>
      </c>
      <c r="B2" s="580" t="s">
        <v>39</v>
      </c>
      <c r="C2" s="580" t="s">
        <v>6</v>
      </c>
      <c r="D2" s="580" t="s">
        <v>38</v>
      </c>
      <c r="E2" s="580" t="s">
        <v>203</v>
      </c>
      <c r="F2" s="580" t="s">
        <v>202</v>
      </c>
      <c r="G2" s="584" t="s">
        <v>1</v>
      </c>
      <c r="H2" s="584" t="s">
        <v>2</v>
      </c>
      <c r="I2" s="584" t="s">
        <v>171</v>
      </c>
      <c r="J2" s="588" t="s">
        <v>273</v>
      </c>
      <c r="K2" s="584" t="s">
        <v>272</v>
      </c>
      <c r="L2" s="584" t="s">
        <v>3</v>
      </c>
      <c r="M2" s="584" t="s">
        <v>4</v>
      </c>
      <c r="N2" s="584" t="s">
        <v>5</v>
      </c>
      <c r="O2" s="584" t="s">
        <v>271</v>
      </c>
      <c r="P2" s="586" t="s">
        <v>270</v>
      </c>
      <c r="Q2" s="580" t="s">
        <v>158</v>
      </c>
      <c r="R2" s="582" t="s">
        <v>92</v>
      </c>
    </row>
    <row r="3" spans="1:18" s="67" customFormat="1" ht="27" customHeight="1">
      <c r="A3" s="591"/>
      <c r="B3" s="581"/>
      <c r="C3" s="581"/>
      <c r="D3" s="581"/>
      <c r="E3" s="581"/>
      <c r="F3" s="581"/>
      <c r="G3" s="585"/>
      <c r="H3" s="585"/>
      <c r="I3" s="585"/>
      <c r="J3" s="589"/>
      <c r="K3" s="585"/>
      <c r="L3" s="585"/>
      <c r="M3" s="585"/>
      <c r="N3" s="585"/>
      <c r="O3" s="585"/>
      <c r="P3" s="587"/>
      <c r="Q3" s="581"/>
      <c r="R3" s="583"/>
    </row>
    <row r="4" spans="1:18" ht="23.1" customHeight="1" thickBot="1">
      <c r="A4" s="543" t="s">
        <v>359</v>
      </c>
      <c r="B4" s="544" t="s">
        <v>374</v>
      </c>
      <c r="C4" s="545"/>
      <c r="D4" s="544" t="s">
        <v>658</v>
      </c>
      <c r="E4" s="544" t="str">
        <f>Recharge!$I$24</f>
        <v>금강서해/금강서해</v>
      </c>
      <c r="F4" s="544" t="str">
        <f>All!$B$2</f>
        <v>보령기상청</v>
      </c>
      <c r="G4" s="544">
        <v>250</v>
      </c>
      <c r="H4" s="544">
        <v>220</v>
      </c>
      <c r="I4" s="544">
        <v>500</v>
      </c>
      <c r="J4" s="544">
        <v>522</v>
      </c>
      <c r="K4" s="544">
        <v>500</v>
      </c>
      <c r="L4" s="544">
        <v>7.5</v>
      </c>
      <c r="M4" s="544">
        <v>66</v>
      </c>
      <c r="N4" s="546">
        <v>50</v>
      </c>
      <c r="O4" s="547">
        <f>ROUND(water!$F$7, 1)</f>
        <v>133.6</v>
      </c>
      <c r="P4" s="548">
        <v>3801174</v>
      </c>
      <c r="Q4" s="544"/>
      <c r="R4" s="549"/>
    </row>
    <row r="5" spans="1:18" ht="23.25" customHeight="1" thickBot="1">
      <c r="A5" s="141"/>
      <c r="J5" s="171"/>
      <c r="P5" s="172"/>
    </row>
    <row r="6" spans="1:18" ht="23.25" customHeight="1" thickBot="1">
      <c r="I6" s="528">
        <f>SUM(I4:I5)</f>
        <v>500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J15" sqref="J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600</v>
      </c>
      <c r="I3" s="230">
        <v>546</v>
      </c>
      <c r="J3" s="196">
        <v>522</v>
      </c>
      <c r="K3" s="231">
        <v>0.91</v>
      </c>
      <c r="M3" s="234" t="s">
        <v>207</v>
      </c>
      <c r="N3" s="235">
        <v>0.91</v>
      </c>
      <c r="O3" s="236">
        <v>0.91</v>
      </c>
      <c r="Q3" s="242" t="s">
        <v>228</v>
      </c>
      <c r="R3" s="243">
        <v>1.4100000000000001E-5</v>
      </c>
      <c r="S3" s="244">
        <v>1.7482600000000001E-2</v>
      </c>
    </row>
    <row r="4" spans="7:19" ht="20.100000000000001" customHeight="1">
      <c r="G4" s="208"/>
      <c r="H4" s="196"/>
      <c r="I4" s="230"/>
      <c r="J4" s="196"/>
      <c r="K4" s="231"/>
      <c r="M4" s="234" t="s">
        <v>214</v>
      </c>
      <c r="N4" s="237">
        <v>546</v>
      </c>
      <c r="O4" s="238">
        <v>546</v>
      </c>
      <c r="Q4" s="242"/>
      <c r="R4" s="243"/>
      <c r="S4" s="244"/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522</v>
      </c>
      <c r="O5" s="241">
        <v>522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596" t="s">
        <v>228</v>
      </c>
      <c r="G27" s="592">
        <v>600</v>
      </c>
      <c r="H27" s="258">
        <v>15.6</v>
      </c>
      <c r="I27" s="594">
        <v>546</v>
      </c>
    </row>
    <row r="28" spans="6:19" ht="15.95" customHeight="1">
      <c r="F28" s="597"/>
      <c r="G28" s="593"/>
      <c r="H28" s="196">
        <v>7.33</v>
      </c>
      <c r="I28" s="595"/>
      <c r="K28" s="30"/>
    </row>
    <row r="29" spans="6:19" ht="15.95" customHeight="1">
      <c r="F29" s="597"/>
      <c r="G29" s="593"/>
      <c r="H29" s="196"/>
      <c r="I29" s="595"/>
    </row>
    <row r="30" spans="6:19" ht="15.95" customHeight="1">
      <c r="F30" s="597"/>
      <c r="G30" s="593"/>
      <c r="H30" s="196"/>
      <c r="I30" s="595"/>
    </row>
    <row r="31" spans="6:19" ht="15.95" customHeight="1">
      <c r="F31" s="597"/>
      <c r="G31" s="593"/>
      <c r="H31" s="196"/>
      <c r="I31" s="595"/>
    </row>
    <row r="32" spans="6:19" ht="15.95" customHeight="1">
      <c r="F32" s="597"/>
      <c r="G32" s="593"/>
      <c r="H32" s="196"/>
      <c r="I32" s="595"/>
    </row>
    <row r="33" spans="6:9" ht="15.95" customHeight="1">
      <c r="F33" s="597"/>
      <c r="G33" s="593"/>
      <c r="H33" s="196"/>
      <c r="I33" s="595"/>
    </row>
    <row r="34" spans="6:9" ht="15.95" customHeight="1">
      <c r="F34" s="597"/>
      <c r="G34" s="593"/>
      <c r="H34" s="196"/>
      <c r="I34" s="595"/>
    </row>
    <row r="35" spans="6:9" ht="15.95" customHeight="1">
      <c r="F35" s="597"/>
      <c r="G35" s="593"/>
      <c r="H35" s="196"/>
      <c r="I35" s="595"/>
    </row>
    <row r="36" spans="6:9" ht="15.95" customHeight="1">
      <c r="F36" s="597"/>
      <c r="G36" s="593"/>
      <c r="H36" s="196"/>
      <c r="I36" s="595"/>
    </row>
    <row r="37" spans="6:9" ht="15.95" customHeight="1">
      <c r="F37" s="597"/>
      <c r="G37" s="593"/>
      <c r="H37" s="196"/>
      <c r="I37" s="595"/>
    </row>
    <row r="38" spans="6:9" ht="15.95" customHeight="1">
      <c r="F38" s="597"/>
      <c r="G38" s="593"/>
      <c r="H38" s="196"/>
      <c r="I38" s="595"/>
    </row>
    <row r="39" spans="6:9" ht="15.95" customHeight="1">
      <c r="F39" s="597"/>
      <c r="G39" s="593"/>
      <c r="H39" s="196"/>
      <c r="I39" s="595"/>
    </row>
    <row r="40" spans="6:9" ht="15.95" customHeight="1">
      <c r="F40" s="597"/>
      <c r="G40" s="593"/>
      <c r="H40" s="196"/>
      <c r="I40" s="595"/>
    </row>
    <row r="41" spans="6:9" ht="15.95" customHeight="1">
      <c r="F41" s="597"/>
      <c r="G41" s="593"/>
      <c r="H41" s="196"/>
      <c r="I41" s="595"/>
    </row>
    <row r="42" spans="6:9" ht="15.95" customHeight="1">
      <c r="F42" s="597"/>
      <c r="G42" s="593"/>
      <c r="H42" s="196"/>
      <c r="I42" s="595"/>
    </row>
    <row r="43" spans="6:9" ht="15.95" customHeight="1">
      <c r="F43" s="597"/>
      <c r="G43" s="593"/>
      <c r="H43" s="196"/>
      <c r="I43" s="595"/>
    </row>
    <row r="44" spans="6:9" ht="15.95" customHeight="1">
      <c r="F44" s="597"/>
      <c r="G44" s="593"/>
      <c r="H44" s="196"/>
      <c r="I44" s="595"/>
    </row>
    <row r="45" spans="6:9" ht="15.95" customHeight="1">
      <c r="F45" s="597"/>
      <c r="G45" s="593"/>
      <c r="H45" s="196"/>
      <c r="I45" s="595"/>
    </row>
    <row r="46" spans="6:9" ht="15.95" customHeight="1">
      <c r="F46" s="597"/>
      <c r="G46" s="593"/>
      <c r="H46" s="196"/>
      <c r="I46" s="595"/>
    </row>
    <row r="47" spans="6:9" ht="15.95" customHeight="1">
      <c r="F47" s="597"/>
      <c r="G47" s="593"/>
      <c r="H47" s="196"/>
      <c r="I47" s="595"/>
    </row>
    <row r="48" spans="6:9" ht="15.95" customHeight="1">
      <c r="F48" s="597"/>
      <c r="G48" s="593"/>
      <c r="H48" s="196"/>
      <c r="I48" s="595"/>
    </row>
    <row r="49" spans="6:9" ht="15.95" customHeight="1">
      <c r="F49" s="597"/>
      <c r="G49" s="593"/>
      <c r="H49" s="196"/>
      <c r="I49" s="595"/>
    </row>
    <row r="50" spans="6:9" ht="15.95" customHeight="1" thickBot="1">
      <c r="F50" s="598"/>
      <c r="G50" s="599"/>
      <c r="H50" s="189"/>
      <c r="I50" s="600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522</v>
      </c>
      <c r="F3" s="196">
        <v>4.3600000000000003</v>
      </c>
      <c r="G3" s="196">
        <v>21.89</v>
      </c>
      <c r="H3" s="196">
        <v>17.53</v>
      </c>
      <c r="I3" s="196">
        <v>0.125</v>
      </c>
      <c r="J3" s="209">
        <v>4.3854245881675915</v>
      </c>
      <c r="K3" s="30"/>
      <c r="L3" s="208">
        <v>522</v>
      </c>
      <c r="M3" s="196">
        <v>0.125</v>
      </c>
      <c r="N3" s="196">
        <v>0.125</v>
      </c>
      <c r="O3" s="196">
        <v>208</v>
      </c>
      <c r="P3" s="196">
        <v>16.829999999999998</v>
      </c>
      <c r="Q3" s="197">
        <v>0.32969999999999999</v>
      </c>
      <c r="S3" s="212">
        <v>21.89</v>
      </c>
      <c r="T3" s="213">
        <v>6.1331945312785319</v>
      </c>
      <c r="U3" s="209">
        <v>15.756805468721469</v>
      </c>
    </row>
    <row r="4" spans="4:21" ht="20.100000000000001" customHeight="1">
      <c r="D4" s="208"/>
      <c r="E4" s="196"/>
      <c r="F4" s="196"/>
      <c r="G4" s="196"/>
      <c r="H4" s="196"/>
      <c r="I4" s="196"/>
      <c r="J4" s="209"/>
      <c r="K4" s="30"/>
      <c r="L4" s="208"/>
      <c r="M4" s="196"/>
      <c r="N4" s="196"/>
      <c r="O4" s="196"/>
      <c r="P4" s="196"/>
      <c r="Q4" s="19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/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15.53</v>
      </c>
      <c r="F22" s="203"/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7.4660000000000004E-2</v>
      </c>
      <c r="F23" s="203"/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38">
        <v>6.0990000000000003E-4</v>
      </c>
      <c r="F24" s="538"/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0.20830000000000001</v>
      </c>
      <c r="F25" s="203"/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17.53</v>
      </c>
      <c r="F26" s="213"/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208</v>
      </c>
      <c r="F27" s="189"/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01" t="s">
        <v>228</v>
      </c>
      <c r="D32" s="223" t="s">
        <v>265</v>
      </c>
      <c r="E32" s="203">
        <v>16.829999999999998</v>
      </c>
      <c r="F32" s="539">
        <v>6.0990000000000003E-4</v>
      </c>
      <c r="G32" s="30"/>
      <c r="H32" s="541" t="s">
        <v>228</v>
      </c>
      <c r="I32" s="230">
        <v>51.8</v>
      </c>
      <c r="J32" s="230">
        <v>63.4</v>
      </c>
      <c r="K32" s="230">
        <v>109.2</v>
      </c>
      <c r="L32" s="230">
        <v>74.8</v>
      </c>
      <c r="M32" s="230">
        <v>109.2</v>
      </c>
      <c r="N32" s="542">
        <v>51.8</v>
      </c>
      <c r="P32" s="169" t="s">
        <v>228</v>
      </c>
      <c r="Q32" s="203">
        <v>-3.1678000000000002</v>
      </c>
      <c r="R32" s="204">
        <v>2.9689999999999999</v>
      </c>
    </row>
    <row r="33" spans="3:18" ht="20.100000000000001" customHeight="1">
      <c r="C33" s="601"/>
      <c r="D33" s="223" t="s">
        <v>266</v>
      </c>
      <c r="E33" s="203">
        <v>14.23</v>
      </c>
      <c r="F33" s="197"/>
      <c r="G33" s="30"/>
      <c r="H33" s="541"/>
      <c r="I33" s="230"/>
      <c r="J33" s="230"/>
      <c r="K33" s="230"/>
      <c r="L33" s="230"/>
      <c r="M33" s="230"/>
      <c r="N33" s="542"/>
      <c r="P33" s="169"/>
      <c r="Q33" s="203"/>
      <c r="R33" s="204"/>
    </row>
    <row r="34" spans="3:18" ht="20.100000000000001" customHeight="1">
      <c r="C34" s="601"/>
      <c r="D34" s="223" t="s">
        <v>267</v>
      </c>
      <c r="E34" s="267">
        <v>15.53</v>
      </c>
      <c r="F34" s="540">
        <v>6.0990000000000003E-4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01"/>
      <c r="D35" s="223"/>
      <c r="E35" s="203"/>
      <c r="F35" s="539"/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01"/>
      <c r="D36" s="223"/>
      <c r="E36" s="203"/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01"/>
      <c r="D37" s="223"/>
      <c r="E37" s="267"/>
      <c r="F37" s="540"/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01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01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01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01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01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01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01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01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01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01"/>
      <c r="D47" s="223"/>
      <c r="E47" s="203"/>
      <c r="F47" s="197"/>
    </row>
    <row r="48" spans="3:18" ht="20.100000000000001" customHeight="1">
      <c r="C48" s="601"/>
      <c r="D48" s="223"/>
      <c r="E48" s="203"/>
      <c r="F48" s="197"/>
    </row>
    <row r="49" spans="3:6" ht="20.100000000000001" customHeight="1">
      <c r="C49" s="601"/>
      <c r="D49" s="223"/>
      <c r="E49" s="267"/>
      <c r="F49" s="273"/>
    </row>
    <row r="50" spans="3:6" ht="20.100000000000001" customHeight="1">
      <c r="C50" s="601"/>
      <c r="D50" s="223"/>
      <c r="E50" s="196"/>
      <c r="F50" s="197"/>
    </row>
    <row r="51" spans="3:6" ht="20.100000000000001" customHeight="1">
      <c r="C51" s="601"/>
      <c r="D51" s="223"/>
      <c r="E51" s="196"/>
      <c r="F51" s="197"/>
    </row>
    <row r="52" spans="3:6" ht="20.100000000000001" customHeight="1">
      <c r="C52" s="601"/>
      <c r="D52" s="223"/>
      <c r="E52" s="196"/>
      <c r="F52" s="197"/>
    </row>
    <row r="53" spans="3:6" ht="20.100000000000001" customHeight="1">
      <c r="C53" s="601"/>
      <c r="D53" s="223"/>
      <c r="E53" s="196"/>
      <c r="F53" s="197"/>
    </row>
    <row r="54" spans="3:6" ht="20.100000000000001" customHeight="1">
      <c r="C54" s="601"/>
      <c r="D54" s="223"/>
      <c r="E54" s="196"/>
      <c r="F54" s="197"/>
    </row>
    <row r="55" spans="3:6" ht="20.100000000000001" customHeight="1">
      <c r="C55" s="601"/>
      <c r="D55" s="223"/>
      <c r="E55" s="196"/>
      <c r="F55" s="197"/>
    </row>
    <row r="56" spans="3:6" ht="20.100000000000001" customHeight="1">
      <c r="C56" s="601"/>
      <c r="D56" s="223"/>
      <c r="E56" s="196"/>
      <c r="F56" s="197"/>
    </row>
    <row r="57" spans="3:6" ht="20.100000000000001" customHeight="1">
      <c r="C57" s="601"/>
      <c r="D57" s="223"/>
      <c r="E57" s="196"/>
      <c r="F57" s="197"/>
    </row>
    <row r="58" spans="3:6" ht="20.100000000000001" customHeight="1">
      <c r="C58" s="601"/>
      <c r="D58" s="223"/>
      <c r="E58" s="196"/>
      <c r="F58" s="197"/>
    </row>
    <row r="59" spans="3:6" ht="20.100000000000001" customHeight="1">
      <c r="C59" s="601"/>
      <c r="D59" s="223"/>
      <c r="E59" s="196"/>
      <c r="F59" s="197"/>
    </row>
    <row r="60" spans="3:6" ht="20.100000000000001" customHeight="1">
      <c r="C60" s="601"/>
      <c r="D60" s="223"/>
      <c r="E60" s="196"/>
      <c r="F60" s="197"/>
    </row>
    <row r="61" spans="3:6" ht="20.100000000000001" customHeight="1">
      <c r="C61" s="601"/>
      <c r="D61" s="223"/>
      <c r="E61" s="196"/>
      <c r="F61" s="197"/>
    </row>
    <row r="62" spans="3:6" ht="20.100000000000001" customHeight="1">
      <c r="C62" s="601"/>
      <c r="D62" s="223"/>
      <c r="E62" s="196"/>
      <c r="F62" s="197"/>
    </row>
    <row r="63" spans="3:6" ht="20.100000000000001" customHeight="1">
      <c r="C63" s="601"/>
      <c r="D63" s="223"/>
      <c r="E63" s="196"/>
      <c r="F63" s="197"/>
    </row>
    <row r="64" spans="3:6" ht="20.100000000000001" customHeight="1">
      <c r="C64" s="601"/>
      <c r="D64" s="223"/>
      <c r="E64" s="196"/>
      <c r="F64" s="197"/>
    </row>
    <row r="65" spans="3:6" ht="20.100000000000001" customHeight="1">
      <c r="C65" s="601"/>
      <c r="D65" s="223"/>
      <c r="E65" s="196"/>
      <c r="F65" s="197"/>
    </row>
    <row r="66" spans="3:6" ht="20.100000000000001" customHeight="1">
      <c r="C66" s="601"/>
      <c r="D66" s="223"/>
      <c r="E66" s="196"/>
      <c r="F66" s="197"/>
    </row>
    <row r="67" spans="3:6" ht="20.100000000000001" customHeight="1" thickBot="1">
      <c r="C67" s="602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05" t="s">
        <v>654</v>
      </c>
      <c r="E4" s="199">
        <v>150</v>
      </c>
      <c r="F4" s="199">
        <v>1.5555000000000001</v>
      </c>
      <c r="G4" s="607">
        <v>2.4051999999999998</v>
      </c>
      <c r="H4" s="605">
        <v>0.03</v>
      </c>
      <c r="I4" s="199">
        <v>188</v>
      </c>
      <c r="J4" s="609">
        <v>188</v>
      </c>
      <c r="K4" s="199">
        <v>299</v>
      </c>
      <c r="L4" s="609">
        <v>300.5</v>
      </c>
      <c r="M4" s="199">
        <v>6.4000000000000003E-3</v>
      </c>
      <c r="N4" s="607">
        <v>6.1000000000000004E-3</v>
      </c>
      <c r="O4" s="603" t="s">
        <v>250</v>
      </c>
    </row>
    <row r="5" spans="3:15" ht="20.100000000000001" customHeight="1">
      <c r="C5" s="198" t="s">
        <v>229</v>
      </c>
      <c r="D5" s="606"/>
      <c r="E5" s="199">
        <v>150</v>
      </c>
      <c r="F5" s="199">
        <v>3.2549999999999999</v>
      </c>
      <c r="G5" s="608"/>
      <c r="H5" s="606"/>
      <c r="I5" s="199">
        <v>188</v>
      </c>
      <c r="J5" s="610"/>
      <c r="K5" s="199">
        <v>302</v>
      </c>
      <c r="L5" s="610"/>
      <c r="M5" s="199">
        <v>5.7999999999999996E-3</v>
      </c>
      <c r="N5" s="608"/>
      <c r="O5" s="604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J7" sqref="J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3801174</v>
      </c>
      <c r="E4" s="163">
        <v>1198.3</v>
      </c>
      <c r="F4" s="163">
        <v>2183.8786047534245</v>
      </c>
      <c r="G4" s="164">
        <v>0.67</v>
      </c>
      <c r="H4" s="163">
        <v>1463.1986651847944</v>
      </c>
      <c r="I4" s="165">
        <v>133.6</v>
      </c>
      <c r="J4" s="163">
        <v>500</v>
      </c>
      <c r="K4" s="166">
        <v>829.59866518479441</v>
      </c>
      <c r="M4" s="162">
        <f>D4</f>
        <v>3801174</v>
      </c>
      <c r="N4" s="163">
        <f>E4</f>
        <v>1198.3</v>
      </c>
      <c r="O4" s="163">
        <f>F4</f>
        <v>2183.8786047534245</v>
      </c>
      <c r="P4" s="163">
        <f>H4</f>
        <v>1463.1986651847944</v>
      </c>
      <c r="Q4" s="165">
        <f>I4</f>
        <v>133.6</v>
      </c>
      <c r="R4" s="163">
        <f>J4</f>
        <v>500</v>
      </c>
      <c r="S4" s="166">
        <f>K4</f>
        <v>829.59866518479441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3801174</v>
      </c>
      <c r="E8" s="163">
        <v>1198.3</v>
      </c>
      <c r="F8" s="163">
        <v>2183.8786047534245</v>
      </c>
      <c r="G8" s="164">
        <v>0.67</v>
      </c>
      <c r="H8" s="163">
        <v>1463.1986651847944</v>
      </c>
      <c r="I8" s="165">
        <v>133.6</v>
      </c>
      <c r="J8" s="163">
        <v>1329.5986651847945</v>
      </c>
      <c r="K8" s="166">
        <v>500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220</v>
      </c>
      <c r="F12" s="199">
        <v>522</v>
      </c>
      <c r="G12" s="529">
        <v>4.3600000000000003</v>
      </c>
      <c r="H12" s="529">
        <v>21.89</v>
      </c>
      <c r="I12" s="310">
        <v>15.53</v>
      </c>
      <c r="J12" s="530">
        <v>6.0990000000000003E-4</v>
      </c>
      <c r="L12" s="198" t="s">
        <v>228</v>
      </c>
      <c r="M12" s="199">
        <v>220</v>
      </c>
      <c r="N12" s="199">
        <v>522</v>
      </c>
      <c r="O12" s="529">
        <v>4.3600000000000003</v>
      </c>
      <c r="P12" s="529">
        <v>21.89</v>
      </c>
      <c r="Q12" s="213">
        <v>17.53</v>
      </c>
      <c r="R12" s="310">
        <v>15.53</v>
      </c>
      <c r="S12" s="530">
        <v>6.0990000000000003E-4</v>
      </c>
    </row>
    <row r="13" spans="4:19" s="30" customFormat="1" ht="20.100000000000001" customHeight="1">
      <c r="D13" s="270"/>
      <c r="E13" s="271"/>
      <c r="F13" s="271"/>
      <c r="G13" s="531"/>
      <c r="H13" s="531"/>
      <c r="I13" s="532"/>
      <c r="J13" s="533"/>
      <c r="L13" s="270"/>
      <c r="M13" s="271"/>
      <c r="N13" s="271"/>
      <c r="O13" s="531"/>
      <c r="P13" s="531"/>
      <c r="Q13" s="534"/>
      <c r="R13" s="532"/>
      <c r="S13" s="533"/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667</v>
      </c>
      <c r="F28" s="199" t="s">
        <v>668</v>
      </c>
      <c r="G28" s="200" t="s">
        <v>669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642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131</v>
      </c>
      <c r="N29" s="249" t="s">
        <v>385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660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661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653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670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671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6" sqref="E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보령시 웅천읍 수부리 120-1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50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1">
        <f>Well!Q4</f>
        <v>0</v>
      </c>
      <c r="D5" s="7" t="s">
        <v>53</v>
      </c>
      <c r="E5" s="535">
        <v>16.829999999999998</v>
      </c>
      <c r="F5" s="28">
        <f>$E$5/$C$14</f>
        <v>8.0913461538461531E-2</v>
      </c>
      <c r="G5" s="537">
        <v>6.0990000000000003E-4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52" t="str">
        <f>Well!D4</f>
        <v>보령시 웅천읍 수부리 120-1</v>
      </c>
      <c r="D6" s="7" t="s">
        <v>56</v>
      </c>
      <c r="E6" s="536">
        <v>14.23</v>
      </c>
      <c r="F6" s="28">
        <f>$E$6/$C$14</f>
        <v>6.8413461538461534E-2</v>
      </c>
      <c r="G6" s="10" t="s">
        <v>57</v>
      </c>
      <c r="H6" s="370">
        <v>2.9689999999999999</v>
      </c>
      <c r="I6"/>
      <c r="J6" s="398" t="s">
        <v>362</v>
      </c>
      <c r="K6" s="395">
        <v>261</v>
      </c>
      <c r="L6"/>
      <c r="M6"/>
    </row>
    <row r="7" spans="1:13" ht="20.100000000000001" customHeight="1" thickBot="1">
      <c r="B7" s="6" t="s">
        <v>55</v>
      </c>
      <c r="C7" s="553">
        <f>Well!H4</f>
        <v>220</v>
      </c>
      <c r="D7" s="142" t="s">
        <v>59</v>
      </c>
      <c r="E7" s="139">
        <f>ROUND((E5+E6)/2,4)</f>
        <v>15.53</v>
      </c>
      <c r="F7" s="29">
        <f>$E$7/$C$14</f>
        <v>7.466346153846154E-2</v>
      </c>
      <c r="G7" s="371">
        <f>G5</f>
        <v>6.0990000000000003E-4</v>
      </c>
      <c r="H7" s="366">
        <v>0.32969999999999999</v>
      </c>
      <c r="I7"/>
      <c r="J7" s="399" t="s">
        <v>363</v>
      </c>
      <c r="K7" s="396">
        <v>187</v>
      </c>
      <c r="L7"/>
      <c r="M7"/>
    </row>
    <row r="8" spans="1:13" ht="20.100000000000001" customHeight="1" thickBot="1">
      <c r="B8" s="6" t="s">
        <v>58</v>
      </c>
      <c r="C8" s="554">
        <f>Well!G4</f>
        <v>250</v>
      </c>
    </row>
    <row r="9" spans="1:13" ht="20.100000000000001" customHeight="1" thickBot="1">
      <c r="B9" s="6" t="s">
        <v>60</v>
      </c>
      <c r="C9" s="555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109.2</v>
      </c>
    </row>
    <row r="10" spans="1:13" ht="20.100000000000001" customHeight="1" thickBot="1">
      <c r="B10" s="6" t="s">
        <v>61</v>
      </c>
      <c r="C10" s="556">
        <v>5</v>
      </c>
      <c r="D10" s="369" t="s">
        <v>62</v>
      </c>
      <c r="E10" s="119">
        <v>51.8</v>
      </c>
      <c r="F10" s="120">
        <v>63.4</v>
      </c>
      <c r="G10" s="389">
        <v>109.2</v>
      </c>
      <c r="H10" s="492">
        <f>MIN(E10,F10,G10)</f>
        <v>51.8</v>
      </c>
      <c r="I10" s="12"/>
    </row>
    <row r="11" spans="1:13" ht="20.100000000000001" customHeight="1" thickBot="1">
      <c r="B11" s="6" t="s">
        <v>63</v>
      </c>
      <c r="C11" s="556">
        <v>7</v>
      </c>
      <c r="D11" s="143" t="s">
        <v>64</v>
      </c>
      <c r="E11" s="121">
        <f>ROUND(AVERAGE(E10:G10),1)</f>
        <v>74.8</v>
      </c>
      <c r="F11" s="365">
        <f>ROUND((E10+F10)/2,1)</f>
        <v>57.6</v>
      </c>
      <c r="H11" s="491">
        <f>ROUND(AVERAGE(E10:G10),1)</f>
        <v>74.8</v>
      </c>
      <c r="I11" s="12"/>
      <c r="J11" s="615" t="s">
        <v>116</v>
      </c>
      <c r="K11" s="61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57">
        <f>C7-C9</f>
        <v>208</v>
      </c>
      <c r="H12" s="14"/>
      <c r="J12" s="386" t="s">
        <v>118</v>
      </c>
      <c r="K12" s="426">
        <v>136</v>
      </c>
      <c r="L12" s="425">
        <f>K12+180</f>
        <v>316</v>
      </c>
    </row>
    <row r="13" spans="1:13" ht="20.100000000000001" customHeight="1">
      <c r="A13" s="13">
        <f>C10+C11+C12+C13</f>
        <v>220</v>
      </c>
      <c r="B13" s="6" t="s">
        <v>66</v>
      </c>
      <c r="C13" s="55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86" t="s">
        <v>111</v>
      </c>
      <c r="K13" s="393">
        <v>469</v>
      </c>
      <c r="L13" s="390"/>
    </row>
    <row r="14" spans="1:13" ht="20.100000000000001" customHeight="1">
      <c r="B14" s="6" t="s">
        <v>67</v>
      </c>
      <c r="C14" s="555">
        <f>C7-IF(C20&gt;C9,C20,C9)</f>
        <v>208</v>
      </c>
      <c r="G14" s="122">
        <f>max</f>
        <v>1198.3</v>
      </c>
      <c r="H14" s="15"/>
      <c r="J14" s="386" t="s">
        <v>112</v>
      </c>
      <c r="K14" s="393">
        <v>33</v>
      </c>
      <c r="L14" s="390"/>
    </row>
    <row r="15" spans="1:13" ht="20.100000000000001" customHeight="1" thickBot="1">
      <c r="B15" s="6" t="s">
        <v>68</v>
      </c>
      <c r="C15" s="553">
        <f>Well!I4</f>
        <v>500</v>
      </c>
      <c r="E15" s="34">
        <v>1</v>
      </c>
      <c r="J15" s="386" t="s">
        <v>113</v>
      </c>
      <c r="K15" s="393">
        <v>23</v>
      </c>
      <c r="L15" s="390"/>
    </row>
    <row r="16" spans="1:13" ht="20.100000000000001" customHeight="1">
      <c r="B16" s="6" t="s">
        <v>69</v>
      </c>
      <c r="C16" s="558">
        <f>Well!J4</f>
        <v>522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28.64</v>
      </c>
      <c r="L16" s="390"/>
    </row>
    <row r="17" spans="2:12" ht="20.100000000000001" customHeight="1" thickBot="1">
      <c r="B17" s="6" t="s">
        <v>70</v>
      </c>
      <c r="C17" s="553">
        <f>Well!L4</f>
        <v>7.5</v>
      </c>
      <c r="E17" s="312">
        <f>Well!P4</f>
        <v>3801174</v>
      </c>
      <c r="F17" s="137">
        <f>(max*rf_1*E17/1000)</f>
        <v>797115.69073499995</v>
      </c>
      <c r="G17" s="136">
        <f>F17*allow_ratio</f>
        <v>534067.51279245003</v>
      </c>
      <c r="J17" s="386" t="s">
        <v>114</v>
      </c>
      <c r="K17" s="394">
        <f>K16-K15</f>
        <v>5.6400000000000006</v>
      </c>
      <c r="L17" s="390"/>
    </row>
    <row r="18" spans="2:12" ht="20.100000000000001" customHeight="1" thickBot="1">
      <c r="B18" s="6" t="s">
        <v>71</v>
      </c>
      <c r="C18" s="553">
        <f>Well!M4</f>
        <v>66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1.2025586353944564E-2</v>
      </c>
      <c r="L18" s="392">
        <f>K18*100</f>
        <v>1.2025586353944564</v>
      </c>
    </row>
    <row r="19" spans="2:12" ht="20.100000000000001" customHeight="1" thickBot="1">
      <c r="B19" s="17" t="s">
        <v>75</v>
      </c>
      <c r="C19" s="559">
        <f>Well!N4</f>
        <v>50</v>
      </c>
      <c r="E19" s="312">
        <f>E17</f>
        <v>3801174</v>
      </c>
      <c r="F19" s="134">
        <f>(max*rf_1*E19/1000)/365</f>
        <v>2183.8786047534245</v>
      </c>
      <c r="G19" s="135">
        <f>F19*allow_ratio</f>
        <v>1463.1986651847944</v>
      </c>
      <c r="H19" s="118">
        <f>G19-F21</f>
        <v>1329.5986651847945</v>
      </c>
    </row>
    <row r="20" spans="2:12" ht="20.100000000000001" customHeight="1">
      <c r="B20" s="18" t="s">
        <v>76</v>
      </c>
      <c r="C20" s="561">
        <v>4.3600000000000003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2">
        <v>21.89</v>
      </c>
      <c r="D21" s="13"/>
      <c r="E21" s="313">
        <f>Well!$I$6</f>
        <v>500</v>
      </c>
      <c r="F21" s="314">
        <f>Well!O4</f>
        <v>133.6</v>
      </c>
      <c r="G21" s="136">
        <f>G19-E21-F21</f>
        <v>829.59866518479441</v>
      </c>
    </row>
    <row r="22" spans="2:12" ht="20.100000000000001" customHeight="1" thickBot="1">
      <c r="B22" s="27" t="s">
        <v>163</v>
      </c>
      <c r="C22" s="560">
        <f>C21-C20</f>
        <v>17.53</v>
      </c>
      <c r="E22" s="617">
        <f>E21+F21</f>
        <v>633.6</v>
      </c>
      <c r="F22" s="618"/>
      <c r="G22" s="16"/>
      <c r="I22" s="15"/>
    </row>
    <row r="23" spans="2:12" ht="20.100000000000001" customHeight="1" thickBot="1">
      <c r="B23" s="252" t="s">
        <v>231</v>
      </c>
      <c r="C23" s="525">
        <v>4.3899999999999997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1" t="s">
        <v>621</v>
      </c>
      <c r="C25" s="612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13" t="s">
        <v>102</v>
      </c>
      <c r="C26" s="416" t="s">
        <v>103</v>
      </c>
      <c r="D26" s="360">
        <f>C20</f>
        <v>4.3600000000000003</v>
      </c>
      <c r="E26" s="361">
        <f>Recharge!C30</f>
        <v>20.97025</v>
      </c>
      <c r="F26" s="362" t="s">
        <v>182</v>
      </c>
      <c r="G26" s="360" t="s">
        <v>396</v>
      </c>
      <c r="H26" s="363">
        <f>L18</f>
        <v>1.2025586353944564</v>
      </c>
      <c r="I26" s="360" t="s">
        <v>182</v>
      </c>
      <c r="J26" s="364">
        <f>(E7/C14)/864</f>
        <v>8.6416043447293446E-5</v>
      </c>
      <c r="K26" s="359" t="s">
        <v>385</v>
      </c>
    </row>
    <row r="27" spans="2:12" ht="25.5" customHeight="1">
      <c r="B27" s="613"/>
      <c r="C27" s="316" t="s">
        <v>104</v>
      </c>
      <c r="D27" s="316">
        <v>9</v>
      </c>
      <c r="E27" s="316">
        <v>8</v>
      </c>
      <c r="F27" s="316">
        <v>3</v>
      </c>
      <c r="G27" s="316">
        <v>3</v>
      </c>
      <c r="H27" s="316">
        <v>10</v>
      </c>
      <c r="I27" s="316">
        <v>4</v>
      </c>
      <c r="J27" s="316">
        <v>2</v>
      </c>
      <c r="K27" s="359" t="s">
        <v>655</v>
      </c>
    </row>
    <row r="28" spans="2:12" ht="25.5" customHeight="1">
      <c r="B28" s="613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13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13"/>
      <c r="C30" s="416" t="s">
        <v>177</v>
      </c>
      <c r="D30" s="317">
        <f>D27*D28</f>
        <v>45</v>
      </c>
      <c r="E30" s="317">
        <f t="shared" ref="E30:J30" si="0">E27*E28</f>
        <v>32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6</v>
      </c>
      <c r="K30" s="318">
        <f>SUM(D30:J30)</f>
        <v>128</v>
      </c>
    </row>
    <row r="31" spans="2:12" ht="25.5" customHeight="1" thickBot="1">
      <c r="B31" s="614"/>
      <c r="C31" s="418" t="s">
        <v>178</v>
      </c>
      <c r="D31" s="319">
        <f t="shared" ref="D31:J31" si="1">D27*D29</f>
        <v>45</v>
      </c>
      <c r="E31" s="319">
        <f t="shared" si="1"/>
        <v>32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4</v>
      </c>
      <c r="K31" s="320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1" t="s">
        <v>85</v>
      </c>
      <c r="C12" s="622"/>
      <c r="D12" s="623" t="s">
        <v>86</v>
      </c>
      <c r="E12" s="624"/>
      <c r="F12" s="622"/>
      <c r="H12" s="621" t="s">
        <v>86</v>
      </c>
      <c r="I12" s="624"/>
      <c r="J12" s="622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25" t="s">
        <v>36</v>
      </c>
      <c r="C24" s="626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25" t="s">
        <v>37</v>
      </c>
      <c r="C25" s="626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19" t="s">
        <v>91</v>
      </c>
      <c r="C26" s="620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21" t="s">
        <v>85</v>
      </c>
      <c r="C12" s="622"/>
      <c r="D12" s="621" t="s">
        <v>86</v>
      </c>
      <c r="E12" s="624"/>
      <c r="F12" s="622"/>
      <c r="G12" s="627" t="s">
        <v>156</v>
      </c>
      <c r="H12" s="628"/>
      <c r="I12" s="629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25" t="s">
        <v>36</v>
      </c>
      <c r="C24" s="626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25" t="s">
        <v>37</v>
      </c>
      <c r="C25" s="626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19" t="s">
        <v>91</v>
      </c>
      <c r="C26" s="620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1" t="s">
        <v>86</v>
      </c>
      <c r="E29" s="624"/>
      <c r="F29" s="622"/>
      <c r="H29" s="621" t="s">
        <v>156</v>
      </c>
      <c r="I29" s="624"/>
      <c r="J29" s="62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1" t="s">
        <v>85</v>
      </c>
      <c r="C12" s="622"/>
      <c r="D12" s="627" t="s">
        <v>86</v>
      </c>
      <c r="E12" s="628"/>
      <c r="F12" s="629"/>
      <c r="G12" s="627" t="s">
        <v>156</v>
      </c>
      <c r="H12" s="628"/>
      <c r="I12" s="629"/>
      <c r="J12" s="627" t="s">
        <v>157</v>
      </c>
      <c r="K12" s="628"/>
      <c r="L12" s="629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25" t="s">
        <v>36</v>
      </c>
      <c r="C24" s="626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25" t="s">
        <v>37</v>
      </c>
      <c r="C25" s="626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19" t="s">
        <v>91</v>
      </c>
      <c r="C26" s="620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1" t="s">
        <v>86</v>
      </c>
      <c r="E29" s="624"/>
      <c r="F29" s="622"/>
      <c r="H29" s="621" t="s">
        <v>156</v>
      </c>
      <c r="I29" s="624"/>
      <c r="J29" s="622"/>
      <c r="L29" s="621" t="s">
        <v>157</v>
      </c>
      <c r="M29" s="624"/>
      <c r="N29" s="62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2023-11-03T05:59:31Z</dcterms:modified>
</cp:coreProperties>
</file>