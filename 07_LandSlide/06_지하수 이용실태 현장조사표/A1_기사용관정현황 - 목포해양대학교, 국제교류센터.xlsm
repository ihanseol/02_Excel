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Z01_소소한작업들\06_지하수 이용실태 현장조사표, 자동화\"/>
    </mc:Choice>
  </mc:AlternateContent>
  <xr:revisionPtr revIDLastSave="0" documentId="13_ncr:1_{1D20D5C8-EEF4-4D27-A150-540A65DD48ED}" xr6:coauthVersionLast="47" xr6:coauthVersionMax="47" xr10:uidLastSave="{00000000-0000-0000-0000-000000000000}"/>
  <bookViews>
    <workbookView xWindow="6435" yWindow="945" windowWidth="29370" windowHeight="19980" activeTab="5" xr2:uid="{00000000-000D-0000-FFFF-FFFF00000000}"/>
  </bookViews>
  <sheets>
    <sheet name="ss" sheetId="8" r:id="rId1"/>
    <sheet name="aa" sheetId="10" r:id="rId2"/>
    <sheet name="ii" sheetId="11" r:id="rId3"/>
    <sheet name="index" sheetId="12" r:id="rId4"/>
    <sheet name="data_mid" sheetId="14" r:id="rId5"/>
    <sheet name="data_out" sheetId="13" r:id="rId6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L2" i="8"/>
  <c r="L5" i="8"/>
  <c r="L3" i="10"/>
  <c r="L3" i="8"/>
  <c r="L4" i="8"/>
  <c r="L6" i="8"/>
  <c r="L2" i="10"/>
  <c r="L4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<sst xmlns="http://schemas.openxmlformats.org/spreadsheetml/2006/main" count="730" uniqueCount="285">
  <si>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</si>
  <si>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</si>
  <si>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</si>
  <si>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</si>
  <si>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</si>
  <si>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</si>
  <si>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</si>
  <si>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</si>
  <si>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</si>
  <si>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</si>
  <si>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</si>
  <si>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</si>
  <si>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</si>
  <si>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</si>
  <si>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</si>
  <si>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</si>
  <si>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</si>
  <si>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</si>
  <si>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</si>
  <si>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</si>
  <si>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</si>
  <si>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</si>
  <si>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</si>
  <si>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</si>
  <si>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</si>
  <si>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</si>
  <si>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</si>
  <si>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</si>
  <si>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</si>
  <si>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</si>
  <si>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</si>
  <si>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</si>
  <si>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</si>
  <si>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</si>
  <si>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</si>
  <si>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</si>
  <si>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</si>
  <si>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</si>
  <si>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</si>
  <si>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</si>
  <si>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</si>
  <si>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</si>
  <si>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</si>
  <si>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</si>
  <si>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</si>
  <si>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</si>
  <si>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</si>
  <si>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</si>
  <si>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</si>
  <si>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</si>
  <si>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</si>
  <si>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</si>
  <si>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</si>
  <si>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</si>
  <si>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</si>
  <si>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</si>
  <si>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</si>
  <si>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</si>
  <si>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</si>
  <si>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</si>
  <si>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</si>
  <si>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</si>
  <si>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</si>
  <si>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</si>
  <si>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</si>
  <si>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</si>
  <si>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</si>
  <si>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</si>
  <si>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</si>
  <si>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</si>
  <si>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</si>
  <si>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</si>
  <si>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</si>
  <si>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</si>
  <si>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</si>
  <si>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</si>
  <si>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</si>
  <si>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</si>
  <si>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</si>
  <si>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</si>
  <si>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</si>
  <si>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</si>
  <si>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</si>
  <si>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</si>
  <si>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</si>
  <si>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</si>
  <si>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</si>
  <si>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</si>
  <si>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</si>
  <si>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</si>
  <si>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</si>
  <si>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</si>
  <si>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</si>
  <si>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</si>
  <si>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</si>
  <si>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</si>
  <si>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</si>
  <si>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</si>
  <si>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</si>
  <si>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</si>
  <si>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</si>
  <si>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</si>
  <si>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</si>
  <si>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</si>
  <si>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</si>
  <si>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</si>
  <si>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</si>
  <si>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</si>
  <si>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</si>
  <si>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</si>
  <si>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</si>
  <si>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</si>
  <si>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</si>
  <si>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</si>
  <si>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</si>
  <si>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</si>
  <si>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</si>
  <si>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</si>
  <si>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</si>
  <si>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</si>
  <si>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</si>
  <si>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</si>
  <si>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</si>
  <si>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</si>
  <si>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</si>
  <si>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</si>
  <si>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</si>
  <si>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</si>
  <si>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</si>
  <si>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</si>
  <si>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</si>
  <si>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</si>
  <si>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</si>
  <si>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</si>
  <si>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</si>
  <si>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</si>
  <si>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</si>
  <si>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</si>
  <si>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</si>
  <si>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</si>
  <si>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</si>
  <si>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</si>
  <si>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</si>
  <si>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</si>
  <si>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</si>
  <si>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</si>
  <si>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</si>
  <si>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</si>
  <si>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</si>
  <si>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</si>
  <si>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</si>
  <si>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</si>
  <si>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</si>
  <si>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</si>
  <si>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</si>
  <si>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</si>
  <si>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</si>
  <si>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</si>
  <si>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</si>
  <si>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</si>
  <si>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</si>
  <si>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</si>
  <si>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</si>
  <si>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</si>
  <si>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</si>
  <si>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</si>
  <si>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</si>
  <si>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</si>
  <si>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</si>
  <si>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</si>
  <si>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</si>
  <si>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</si>
  <si>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</si>
  <si>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</si>
  <si>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</si>
  <si>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</si>
  <si>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</si>
  <si>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</si>
  <si>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</si>
  <si>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</si>
  <si>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</si>
  <si>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</si>
  <si>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</si>
  <si>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</si>
  <si>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</si>
  <si>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</si>
  <si>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</si>
  <si>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</si>
  <si>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</si>
  <si>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</si>
  <si>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</si>
  <si>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</si>
  <si>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</si>
  <si>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</si>
  <si>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</si>
  <si>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</si>
  <si>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</si>
  <si>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</si>
  <si>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</si>
  <si>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</si>
  <si>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</si>
  <si>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</si>
  <si>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</si>
  <si>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</si>
  <si>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</si>
  <si>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</si>
  <si>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</si>
  <si>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</si>
  <si>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</si>
  <si>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</si>
  <si>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</si>
  <si>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</si>
  <si>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</si>
  <si>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</si>
  <si>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</si>
  <si>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</si>
  <si>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</si>
  <si>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</si>
  <si>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</si>
  <si>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</si>
  <si>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</si>
  <si>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</si>
  <si>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</si>
  <si>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</si>
  <si>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</si>
  <si>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</si>
  <si>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</si>
  <si>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</si>
  <si>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</si>
  <si>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</si>
  <si>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</si>
  <si>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</si>
  <si>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</si>
  <si>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</si>
  <si>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</si>
  <si>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</si>
  <si>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</si>
  <si>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</si>
  <si>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</si>
  <si>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</si>
  <si>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</si>
  <si>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</si>
  <si>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</si>
  <si>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</si>
  <si>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</si>
  <si>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</si>
  <si>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</si>
  <si>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</si>
  <si>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</si>
  <si>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</si>
  <si>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</si>
  <si>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</si>
  <si>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</si>
  <si>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</si>
  <si>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</si>
  <si>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</si>
  <si>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</si>
  <si>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</si>
  <si>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</si>
  <si>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</si>
  <si>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</si>
  <si>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</si>
  <si>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</si>
  <si>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</si>
  <si>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</si>
  <si>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</si>
  <si>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</si>
  <si>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</si>
  <si>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</si>
  <si>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</si>
  <si>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</si>
  <si>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</si>
  <si>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</si>
  <si>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</si>
  <si>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</si>
  <si>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</si>
  <si>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</si>
  <si>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</si>
  <si>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e6</t>
  </si>
  <si>
    <t>***여기서부터 문제생김</t>
  </si>
  <si>
    <t>연간사용일수</t>
  </si>
  <si>
    <t>bb</t>
  </si>
  <si>
    <t>ad1</t>
  </si>
  <si>
    <t xml:space="preserve"> </t>
  </si>
  <si>
    <t xml:space="preserve"> 2022-03-18.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</si>
</sst>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4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b/>
      <sz val="11"/>
      <color theme="1"/>
      <name val="Calibri"/>
      <family val="3"/>
      <charset val="129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6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35" borderId="0" xfId="0" applyFont="1" applyFill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0" fontId="30" fillId="35" borderId="2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14" fontId="32" fillId="36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3" fillId="0" borderId="0" xfId="0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0</xdr:row>
          <xdr:rowOff>66675</xdr:rowOff>
        </xdr:from>
        <xdr:to>
          <xdr:col>21</xdr:col>
          <xdr:colOff>104775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476250</xdr:rowOff>
        </xdr:from>
        <xdr:to>
          <xdr:col>21</xdr:col>
          <xdr:colOff>114300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2</xdr:row>
          <xdr:rowOff>47625</xdr:rowOff>
        </xdr:from>
        <xdr:to>
          <xdr:col>21</xdr:col>
          <xdr:colOff>114300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85725</xdr:rowOff>
        </xdr:from>
        <xdr:to>
          <xdr:col>21</xdr:col>
          <xdr:colOff>142875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485775</xdr:rowOff>
        </xdr:from>
        <xdr:to>
          <xdr:col>21</xdr:col>
          <xdr:colOff>314325</xdr:colOff>
          <xdr:row>1</xdr:row>
          <xdr:rowOff>247650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</xdr:row>
          <xdr:rowOff>9525</xdr:rowOff>
        </xdr:from>
        <xdr:to>
          <xdr:col>21</xdr:col>
          <xdr:colOff>314325</xdr:colOff>
          <xdr:row>3</xdr:row>
          <xdr:rowOff>95250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21</xdr:col>
          <xdr:colOff>9525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523875</xdr:rowOff>
        </xdr:from>
        <xdr:to>
          <xdr:col>21</xdr:col>
          <xdr:colOff>9525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0</xdr:row>
          <xdr:rowOff>276225</xdr:rowOff>
        </xdr:from>
        <xdr:to>
          <xdr:col>23</xdr:col>
          <xdr:colOff>76200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workbookViewId="0">
      <selection activeCell="O13" sqref="O13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40</v>
      </c>
      <c r="K2" s="2" t="s">
        <v>45</v>
      </c>
      <c r="L2" s="15">
        <f t="shared" ref="L2:L6" si="0">ss_water(I2,K2,100)</f>
        <v>3.8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40</v>
      </c>
      <c r="K3" s="2" t="s">
        <v>45</v>
      </c>
      <c r="L3" s="15">
        <f t="shared" si="0"/>
        <v>3.17</v>
      </c>
      <c r="M3" s="2" t="str">
        <f t="shared" ref="M3:M6" si="1">D3&amp;" " &amp; E3</f>
        <v>죽교동 465-94</v>
      </c>
      <c r="S3" s="2" t="s">
        <v>13</v>
      </c>
    </row>
    <row r="4" spans="1:19" ht="21.75" customHeight="1">
      <c r="A4" s="2" t="s">
        <v>31</v>
      </c>
      <c r="B4" s="31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40</v>
      </c>
      <c r="K4" s="2" t="s">
        <v>51</v>
      </c>
      <c r="L4" s="15">
        <f t="shared" si="0"/>
        <v>0.5</v>
      </c>
      <c r="M4" s="2" t="str">
        <f t="shared" si="1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32</v>
      </c>
      <c r="K5" s="2" t="s">
        <v>45</v>
      </c>
      <c r="L5" s="15">
        <f t="shared" si="0"/>
        <v>3.17</v>
      </c>
      <c r="M5" s="2" t="str">
        <f t="shared" si="1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32</v>
      </c>
      <c r="K6" s="2" t="s">
        <v>40</v>
      </c>
      <c r="L6" s="15">
        <f t="shared" si="0"/>
        <v>0.74</v>
      </c>
      <c r="M6" s="2" t="str">
        <f t="shared" si="1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14">
        <f>SUM(L2:L8)</f>
        <v>11.38</v>
      </c>
    </row>
    <row r="10" spans="1:19" ht="21.75" customHeight="1" thickBot="1">
      <c r="L10" s="14"/>
    </row>
    <row r="11" spans="1:19" ht="21.75" customHeight="1">
      <c r="B11" s="21" t="s">
        <v>24</v>
      </c>
      <c r="C11" s="22" t="s">
        <v>22</v>
      </c>
      <c r="D11" s="23" t="s">
        <v>7</v>
      </c>
      <c r="F11" s="21" t="s">
        <v>34</v>
      </c>
      <c r="G11" s="22" t="s">
        <v>22</v>
      </c>
      <c r="H11" s="23" t="s">
        <v>7</v>
      </c>
      <c r="K11" s="2" t="s">
        <v>35</v>
      </c>
      <c r="L11" s="4">
        <f>L9+aa!L7+ii!L5</f>
        <v>30.5</v>
      </c>
    </row>
    <row r="12" spans="1:19" ht="21.75" customHeight="1" thickBot="1">
      <c r="B12" s="24" t="s">
        <v>20</v>
      </c>
      <c r="C12" s="20">
        <f ca="1">COUNTIF(SS_INSIDE_AREA,"O")</f>
        <v>5</v>
      </c>
      <c r="D12" s="25">
        <f ca="1">SUMIF(SS_INSIDE_AREA,"O",L2:L2)</f>
        <v>11.38</v>
      </c>
      <c r="F12" s="28" t="s">
        <v>20</v>
      </c>
      <c r="G12" s="20">
        <f ca="1">COUNTIF(II_INSIDE_AREA,"O")</f>
        <v>1</v>
      </c>
      <c r="H12" s="25">
        <f ca="1">ii!D8</f>
        <v>0</v>
      </c>
    </row>
    <row r="13" spans="1:19" ht="21.75" customHeight="1">
      <c r="B13" s="24" t="s">
        <v>21</v>
      </c>
      <c r="C13" s="20">
        <f ca="1">COUNTIF(SS_INSIDE_AREA,"X")</f>
        <v>0</v>
      </c>
      <c r="D13" s="25">
        <f ca="1">SUMIF(SS_INSIDE_AREA,"X",L2:L2)</f>
        <v>0</v>
      </c>
      <c r="F13" s="28" t="s">
        <v>21</v>
      </c>
      <c r="G13" s="20">
        <f ca="1">COUNTIF(II_INSIDE_AREA,"X")</f>
        <v>0</v>
      </c>
      <c r="H13" s="25">
        <f ca="1">ii!D9</f>
        <v>0</v>
      </c>
      <c r="K13" s="16" t="s">
        <v>36</v>
      </c>
      <c r="L13" s="17">
        <f ca="1">D22</f>
        <v>30.5</v>
      </c>
    </row>
    <row r="14" spans="1:19" ht="21.75" customHeight="1" thickBot="1">
      <c r="B14" s="18"/>
      <c r="C14" s="26"/>
      <c r="D14" s="27">
        <f ca="1">SUM(D12:D13)</f>
        <v>11.38</v>
      </c>
      <c r="F14" s="29"/>
      <c r="G14" s="26"/>
      <c r="H14" s="27">
        <f ca="1">ii!D10</f>
        <v>0</v>
      </c>
      <c r="K14" s="18" t="s">
        <v>37</v>
      </c>
      <c r="L14" s="19">
        <f ca="1">C22</f>
        <v>8</v>
      </c>
    </row>
    <row r="15" spans="1:19" ht="21.75" customHeight="1" thickBot="1"/>
    <row r="16" spans="1:19" ht="21.75" customHeight="1">
      <c r="B16" s="21" t="s">
        <v>23</v>
      </c>
      <c r="C16" s="22" t="s">
        <v>22</v>
      </c>
      <c r="D16" s="23" t="s">
        <v>7</v>
      </c>
    </row>
    <row r="17" spans="2:17" ht="21.75" customHeight="1">
      <c r="B17" s="24" t="s">
        <v>20</v>
      </c>
      <c r="C17" s="20">
        <f ca="1">COUNTIF(AA_INSIDE_AREA,"O")</f>
        <v>3</v>
      </c>
      <c r="D17" s="25">
        <f ca="1">aa!D8</f>
        <v>19.12</v>
      </c>
    </row>
    <row r="18" spans="2:17" ht="21.75" customHeight="1">
      <c r="B18" s="24" t="s">
        <v>21</v>
      </c>
      <c r="C18" s="20">
        <f ca="1">COUNTIF(AA_INSIDE_AREA,"X")</f>
        <v>0</v>
      </c>
      <c r="D18" s="25">
        <f ca="1">aa!D9</f>
        <v>0</v>
      </c>
    </row>
    <row r="19" spans="2:17" ht="21.75" customHeight="1" thickBot="1">
      <c r="B19" s="18"/>
      <c r="C19" s="26"/>
      <c r="D19" s="27">
        <f ca="1">SUM(D17:D18)</f>
        <v>19.12</v>
      </c>
    </row>
    <row r="20" spans="2:17" ht="21.75" customHeight="1" thickBot="1"/>
    <row r="21" spans="2:17" ht="21.75" customHeight="1">
      <c r="B21" s="21" t="s">
        <v>25</v>
      </c>
      <c r="C21" s="22" t="s">
        <v>22</v>
      </c>
      <c r="D21" s="23" t="s">
        <v>7</v>
      </c>
    </row>
    <row r="22" spans="2:17" ht="21.75" customHeight="1">
      <c r="B22" s="24" t="s">
        <v>20</v>
      </c>
      <c r="C22" s="20">
        <f ca="1">C12+C17+IF(H12=0,0,G12)</f>
        <v>8</v>
      </c>
      <c r="D22" s="25">
        <f ca="1">D12+D17+H12</f>
        <v>30.5</v>
      </c>
    </row>
    <row r="23" spans="2:17" ht="21.75" customHeight="1" thickBot="1">
      <c r="B23" s="18" t="s">
        <v>21</v>
      </c>
      <c r="C23" s="26">
        <f ca="1">C13+C18+IF(H13=0,0,G13)</f>
        <v>0</v>
      </c>
      <c r="D23" s="27">
        <f ca="1">D13+D18+H13</f>
        <v>0</v>
      </c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49" r:id="rId6" name="CommandButtonCopy">
          <controlPr defaultSize="0" autoLine="0" r:id="rId7">
            <anchor moveWithCells="1">
              <from>
                <xdr:col>19</xdr:col>
                <xdr:colOff>85725</xdr:colOff>
                <xdr:row>0</xdr:row>
                <xdr:rowOff>66675</xdr:rowOff>
              </from>
              <to>
                <xdr:col>21</xdr:col>
                <xdr:colOff>104775</xdr:colOff>
                <xdr:row>0</xdr:row>
                <xdr:rowOff>428625</xdr:rowOff>
              </to>
            </anchor>
          </controlPr>
        </control>
      </mc:Choice>
      <mc:Fallback>
        <control shapeId="2049" r:id="rId6" name="CommandButtonCopy"/>
      </mc:Fallback>
    </mc:AlternateContent>
    <mc:AlternateContent xmlns:mc="http://schemas.openxmlformats.org/markup-compatibility/2006">
      <mc:Choice Requires="x14">
        <control shapeId="2050" r:id="rId8" name="CommandButtonDelete">
          <controlPr defaultSize="0" autoLine="0" r:id="rId9">
            <anchor moveWithCells="1">
              <from>
                <xdr:col>19</xdr:col>
                <xdr:colOff>95250</xdr:colOff>
                <xdr:row>0</xdr:row>
                <xdr:rowOff>476250</xdr:rowOff>
              </from>
              <to>
                <xdr:col>21</xdr:col>
                <xdr:colOff>114300</xdr:colOff>
                <xdr:row>1</xdr:row>
                <xdr:rowOff>238125</xdr:rowOff>
              </to>
            </anchor>
          </controlPr>
        </control>
      </mc:Choice>
      <mc:Fallback>
        <control shapeId="2050" r:id="rId8" name="CommandButtonDelete"/>
      </mc:Fallback>
    </mc:AlternateContent>
    <mc:AlternateContent xmlns:mc="http://schemas.openxmlformats.org/markup-compatibility/2006">
      <mc:Choice Requires="x14">
        <control shapeId="2051" r:id="rId10" name="CommandButton1">
          <controlPr defaultSize="0" autoLine="0" r:id="rId11">
            <anchor moveWithCells="1">
              <from>
                <xdr:col>19</xdr:col>
                <xdr:colOff>95250</xdr:colOff>
                <xdr:row>2</xdr:row>
                <xdr:rowOff>47625</xdr:rowOff>
              </from>
              <to>
                <xdr:col>21</xdr:col>
                <xdr:colOff>114300</xdr:colOff>
                <xdr:row>3</xdr:row>
                <xdr:rowOff>133350</xdr:rowOff>
              </to>
            </anchor>
          </controlPr>
        </control>
      </mc:Choice>
      <mc:Fallback>
        <control shapeId="2051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7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36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26</v>
      </c>
      <c r="C2" s="2" t="s">
        <v>42</v>
      </c>
      <c r="D2" s="2" t="s">
        <v>43</v>
      </c>
      <c r="E2" s="11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25</v>
      </c>
      <c r="K2" s="10" t="s">
        <v>41</v>
      </c>
      <c r="L2" s="2">
        <f t="shared" ref="L2:L4" si="0">aa_water(I2,K2)</f>
        <v>3.38</v>
      </c>
      <c r="M2" s="37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26</v>
      </c>
      <c r="C3" s="2" t="s">
        <v>42</v>
      </c>
      <c r="D3" s="2" t="s">
        <v>43</v>
      </c>
      <c r="E3" s="11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25</v>
      </c>
      <c r="K3" s="10" t="s">
        <v>39</v>
      </c>
      <c r="L3" s="2">
        <f t="shared" si="0"/>
        <v>7.74</v>
      </c>
      <c r="M3" s="37" t="str">
        <f t="shared" ref="M3:M4" si="1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1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25</v>
      </c>
      <c r="K4" s="10" t="s">
        <v>39</v>
      </c>
      <c r="L4" s="2">
        <f t="shared" si="0"/>
        <v>8</v>
      </c>
      <c r="M4" s="37" t="str">
        <f t="shared" si="1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7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30" t="s">
        <v>23</v>
      </c>
      <c r="C7" s="22" t="s">
        <v>22</v>
      </c>
      <c r="D7" s="23" t="s">
        <v>7</v>
      </c>
      <c r="K7" s="2" t="s">
        <v>35</v>
      </c>
      <c r="L7" s="13">
        <f>SUM(L2:L6)</f>
        <v>19.12</v>
      </c>
      <c r="M7" s="38"/>
    </row>
    <row r="8" spans="1:19" ht="21.75" customHeight="1">
      <c r="B8" s="28" t="s">
        <v>20</v>
      </c>
      <c r="C8" s="20">
        <f ca="1">COUNTIF(AA_INSIDE_AREA,"O")</f>
        <v>3</v>
      </c>
      <c r="D8" s="25">
        <f ca="1">SUMIF(AA_INSIDE_AREA,"O",$L$2:$L$2)</f>
        <v>19.12</v>
      </c>
    </row>
    <row r="9" spans="1:19" ht="21.75" customHeight="1">
      <c r="B9" s="28" t="s">
        <v>21</v>
      </c>
      <c r="C9" s="20">
        <f ca="1">COUNTIF(AA_INSIDE_AREA,"X")</f>
        <v>0</v>
      </c>
      <c r="D9" s="25">
        <f ca="1">SUMIF(AA_INSIDE_AREA,"X",$L$2:$L$2)</f>
        <v>0</v>
      </c>
      <c r="L9" s="4"/>
    </row>
    <row r="10" spans="1:19" ht="21.75" customHeight="1" thickBot="1">
      <c r="B10" s="29"/>
      <c r="C10" s="26"/>
      <c r="D10" s="27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19</xdr:col>
                <xdr:colOff>123825</xdr:colOff>
                <xdr:row>0</xdr:row>
                <xdr:rowOff>85725</xdr:rowOff>
              </from>
              <to>
                <xdr:col>21</xdr:col>
                <xdr:colOff>142875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123825</xdr:colOff>
                <xdr:row>0</xdr:row>
                <xdr:rowOff>485775</xdr:rowOff>
              </from>
              <to>
                <xdr:col>21</xdr:col>
                <xdr:colOff>314325</xdr:colOff>
                <xdr:row>1</xdr:row>
                <xdr:rowOff>247650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123825</xdr:colOff>
                <xdr:row>2</xdr:row>
                <xdr:rowOff>9525</xdr:rowOff>
              </from>
              <to>
                <xdr:col>21</xdr:col>
                <xdr:colOff>314325</xdr:colOff>
                <xdr:row>3</xdr:row>
                <xdr:rowOff>95250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14">
        <f>SUM(L2:L4)</f>
        <v>0</v>
      </c>
      <c r="S5" s="14"/>
    </row>
    <row r="6" spans="1:19" ht="18.75" customHeight="1" thickBot="1"/>
    <row r="7" spans="1:19" ht="18.75" customHeight="1">
      <c r="B7" s="30" t="s">
        <v>34</v>
      </c>
      <c r="C7" s="22" t="s">
        <v>22</v>
      </c>
      <c r="D7" s="23" t="s">
        <v>7</v>
      </c>
      <c r="L7" s="4"/>
      <c r="S7" s="4"/>
    </row>
    <row r="8" spans="1:19" ht="18.75" customHeight="1">
      <c r="B8" s="28" t="s">
        <v>20</v>
      </c>
      <c r="C8" s="20">
        <f ca="1">COUNTIF(II_INSIDE_AREA,"O")</f>
        <v>1</v>
      </c>
      <c r="D8" s="25">
        <f ca="1">SUMIF(II_INSIDE_AREA,"O",$L$2:$L$2)</f>
        <v>0</v>
      </c>
      <c r="L8" s="4"/>
      <c r="S8" s="4"/>
    </row>
    <row r="9" spans="1:19" ht="18.75" customHeight="1">
      <c r="B9" s="28" t="s">
        <v>21</v>
      </c>
      <c r="C9" s="20">
        <f ca="1">COUNTIF(II_INSIDE_AREA,"X")</f>
        <v>0</v>
      </c>
      <c r="D9" s="25">
        <f ca="1">SUMIF(II_INSIDE_AREA,"X",$L$2:$L$2)</f>
        <v>0</v>
      </c>
    </row>
    <row r="10" spans="1:19" ht="18.75" customHeight="1" thickBot="1">
      <c r="B10" s="29"/>
      <c r="C10" s="26"/>
      <c r="D10" s="27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76200</xdr:colOff>
                <xdr:row>0</xdr:row>
                <xdr:rowOff>276225</xdr:rowOff>
              </from>
              <to>
                <xdr:col>23</xdr:col>
                <xdr:colOff>76200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523875</xdr:rowOff>
              </from>
              <to>
                <xdr:col>21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21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4" workbookViewId="0">
      <selection activeCell="K16" sqref="K16"/>
    </sheetView>
  </sheetViews>
  <sheetFormatPr defaultRowHeight="15"/>
  <cols>
    <col min="3" max="3" width="19.5703125" style="8" customWidth="1"/>
    <col min="4" max="4" width="9" style="8"/>
    <col min="5" max="5" width="28.140625" style="37" customWidth="1"/>
  </cols>
  <sheetData>
    <row r="1" spans="1:10" ht="21.75" customHeight="1">
      <c r="A1" s="34" t="s">
        <v>210</v>
      </c>
      <c r="C1" s="32" t="s">
        <v>159</v>
      </c>
      <c r="D1" s="33" t="s">
        <v>160</v>
      </c>
      <c r="E1" s="39" t="s">
        <v>162</v>
      </c>
    </row>
    <row r="2" spans="1:10" ht="20.100000000000001" customHeight="1">
      <c r="A2" s="34" t="s">
        <v>211</v>
      </c>
      <c r="C2" s="8" t="s">
        <v>108</v>
      </c>
      <c r="D2" s="8" t="s">
        <v>55</v>
      </c>
      <c r="E2" s="37" t="s">
        <v>209</v>
      </c>
    </row>
    <row r="3" spans="1:10" ht="20.100000000000001" customHeight="1">
      <c r="C3" s="8" t="s">
        <v>109</v>
      </c>
      <c r="D3" s="8" t="s">
        <v>56</v>
      </c>
      <c r="E3" s="37" t="s">
        <v>163</v>
      </c>
    </row>
    <row r="4" spans="1:10" ht="20.100000000000001" customHeight="1">
      <c r="C4" s="8" t="s">
        <v>161</v>
      </c>
      <c r="D4" s="8" t="s">
        <v>57</v>
      </c>
      <c r="E4" s="37" t="s">
        <v>164</v>
      </c>
    </row>
    <row r="5" spans="1:10" ht="20.100000000000001" customHeight="1">
      <c r="C5" s="8" t="s">
        <v>29</v>
      </c>
      <c r="D5" s="8" t="s">
        <v>58</v>
      </c>
      <c r="E5" s="37" t="s">
        <v>165</v>
      </c>
    </row>
    <row r="6" spans="1:10" ht="20.100000000000001" customHeight="1">
      <c r="C6" s="8" t="s">
        <v>110</v>
      </c>
      <c r="D6" s="8" t="s">
        <v>59</v>
      </c>
      <c r="E6" s="37" t="s">
        <v>166</v>
      </c>
    </row>
    <row r="7" spans="1:10" ht="20.100000000000001" customHeight="1">
      <c r="C7" s="8" t="s">
        <v>111</v>
      </c>
      <c r="D7" s="8" t="s">
        <v>60</v>
      </c>
      <c r="E7" s="37" t="s">
        <v>38</v>
      </c>
    </row>
    <row r="8" spans="1:10" ht="20.100000000000001" customHeight="1">
      <c r="C8" s="8" t="s">
        <v>112</v>
      </c>
      <c r="D8" s="8" t="s">
        <v>61</v>
      </c>
      <c r="E8" s="37" t="s">
        <v>167</v>
      </c>
    </row>
    <row r="9" spans="1:10" ht="20.100000000000001" customHeight="1">
      <c r="C9" s="8" t="s">
        <v>113</v>
      </c>
      <c r="D9" s="8" t="s">
        <v>62</v>
      </c>
      <c r="E9" s="37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37" t="s">
        <v>169</v>
      </c>
    </row>
    <row r="11" spans="1:10" ht="20.100000000000001" customHeight="1">
      <c r="C11" s="8" t="s">
        <v>115</v>
      </c>
      <c r="D11" s="8" t="s">
        <v>64</v>
      </c>
      <c r="E11" s="37" t="s">
        <v>170</v>
      </c>
    </row>
    <row r="12" spans="1:10" ht="20.100000000000001" customHeight="1">
      <c r="C12" s="8" t="s">
        <v>116</v>
      </c>
      <c r="D12" s="8" t="s">
        <v>65</v>
      </c>
      <c r="E12" s="37" t="s">
        <v>171</v>
      </c>
    </row>
    <row r="13" spans="1:10" ht="20.100000000000001" customHeight="1">
      <c r="C13" s="8" t="s">
        <v>117</v>
      </c>
      <c r="D13" s="8" t="s">
        <v>66</v>
      </c>
      <c r="E13" s="37" t="s">
        <v>172</v>
      </c>
    </row>
    <row r="14" spans="1:10" ht="20.100000000000001" customHeight="1">
      <c r="C14" s="8" t="s">
        <v>118</v>
      </c>
      <c r="D14" s="8" t="s">
        <v>67</v>
      </c>
      <c r="E14" s="37" t="s">
        <v>173</v>
      </c>
    </row>
    <row r="15" spans="1:10" ht="20.100000000000001" customHeight="1">
      <c r="C15" s="8" t="s">
        <v>119</v>
      </c>
      <c r="D15" s="8" t="s">
        <v>68</v>
      </c>
      <c r="E15" s="37" t="s">
        <v>174</v>
      </c>
    </row>
    <row r="16" spans="1:10" ht="20.100000000000001" customHeight="1">
      <c r="C16" s="8" t="s">
        <v>120</v>
      </c>
      <c r="D16" s="8" t="s">
        <v>69</v>
      </c>
      <c r="E16" s="37" t="s">
        <v>175</v>
      </c>
    </row>
    <row r="17" spans="3:5" ht="20.100000000000001" customHeight="1">
      <c r="C17" s="8" t="s">
        <v>121</v>
      </c>
      <c r="D17" s="8" t="s">
        <v>70</v>
      </c>
      <c r="E17" s="37" t="s">
        <v>176</v>
      </c>
    </row>
    <row r="18" spans="3:5" ht="20.100000000000001" customHeight="1">
      <c r="C18" s="8" t="s">
        <v>122</v>
      </c>
      <c r="D18" s="8" t="s">
        <v>71</v>
      </c>
      <c r="E18" s="37" t="s">
        <v>177</v>
      </c>
    </row>
    <row r="19" spans="3:5" ht="20.100000000000001" customHeight="1">
      <c r="C19" s="8" t="s">
        <v>123</v>
      </c>
      <c r="D19" s="8" t="s">
        <v>72</v>
      </c>
      <c r="E19" s="37" t="s">
        <v>178</v>
      </c>
    </row>
    <row r="20" spans="3:5" ht="20.100000000000001" customHeight="1">
      <c r="C20" s="8" t="s">
        <v>124</v>
      </c>
      <c r="D20" s="8" t="s">
        <v>73</v>
      </c>
      <c r="E20" s="37" t="s">
        <v>179</v>
      </c>
    </row>
    <row r="21" spans="3:5" ht="20.100000000000001" customHeight="1">
      <c r="C21" s="8" t="s">
        <v>125</v>
      </c>
      <c r="D21" s="8" t="s">
        <v>74</v>
      </c>
      <c r="E21" s="37" t="s">
        <v>174</v>
      </c>
    </row>
    <row r="22" spans="3:5" ht="20.100000000000001" customHeight="1">
      <c r="C22" s="8" t="s">
        <v>126</v>
      </c>
      <c r="D22" s="8" t="s">
        <v>75</v>
      </c>
      <c r="E22" s="37" t="s">
        <v>180</v>
      </c>
    </row>
    <row r="23" spans="3:5" ht="20.100000000000001" customHeight="1">
      <c r="C23" s="8" t="s">
        <v>127</v>
      </c>
      <c r="D23" s="8" t="s">
        <v>76</v>
      </c>
      <c r="E23" s="37" t="s">
        <v>181</v>
      </c>
    </row>
    <row r="24" spans="3:5" ht="20.100000000000001" customHeight="1">
      <c r="C24" s="8" t="s">
        <v>128</v>
      </c>
      <c r="D24" s="8" t="s">
        <v>77</v>
      </c>
      <c r="E24" s="37" t="s">
        <v>182</v>
      </c>
    </row>
    <row r="25" spans="3:5" ht="20.100000000000001" customHeight="1">
      <c r="C25" s="8" t="s">
        <v>129</v>
      </c>
      <c r="D25" s="8" t="s">
        <v>78</v>
      </c>
      <c r="E25" s="37" t="s">
        <v>183</v>
      </c>
    </row>
    <row r="26" spans="3:5" ht="20.100000000000001" customHeight="1">
      <c r="C26" s="8" t="s">
        <v>130</v>
      </c>
      <c r="D26" s="8" t="s">
        <v>79</v>
      </c>
      <c r="E26" s="37" t="s">
        <v>184</v>
      </c>
    </row>
    <row r="27" spans="3:5" ht="20.100000000000001" customHeight="1">
      <c r="C27" s="8" t="s">
        <v>131</v>
      </c>
      <c r="D27" s="8" t="s">
        <v>80</v>
      </c>
      <c r="E27" s="37" t="s">
        <v>185</v>
      </c>
    </row>
    <row r="28" spans="3:5" ht="20.100000000000001" customHeight="1">
      <c r="C28" s="8" t="s">
        <v>132</v>
      </c>
      <c r="D28" s="8" t="s">
        <v>81</v>
      </c>
      <c r="E28" s="37" t="s">
        <v>174</v>
      </c>
    </row>
    <row r="29" spans="3:5" ht="20.100000000000001" customHeight="1">
      <c r="C29" s="8" t="s">
        <v>133</v>
      </c>
      <c r="D29" s="8" t="s">
        <v>82</v>
      </c>
      <c r="E29" s="37" t="s">
        <v>186</v>
      </c>
    </row>
    <row r="30" spans="3:5" ht="20.100000000000001" customHeight="1">
      <c r="C30" s="8" t="s">
        <v>134</v>
      </c>
      <c r="D30" s="8" t="s">
        <v>83</v>
      </c>
      <c r="E30" s="37" t="s">
        <v>187</v>
      </c>
    </row>
    <row r="31" spans="3:5" ht="20.100000000000001" customHeight="1">
      <c r="C31" s="8" t="s">
        <v>135</v>
      </c>
      <c r="D31" s="8" t="s">
        <v>84</v>
      </c>
      <c r="E31" s="37" t="s">
        <v>188</v>
      </c>
    </row>
    <row r="32" spans="3:5" ht="20.100000000000001" customHeight="1">
      <c r="C32" s="8" t="s">
        <v>136</v>
      </c>
      <c r="D32" s="8" t="s">
        <v>85</v>
      </c>
      <c r="E32" s="40" t="s">
        <v>189</v>
      </c>
    </row>
    <row r="33" spans="3:7" ht="20.100000000000001" customHeight="1">
      <c r="C33" s="8" t="s">
        <v>137</v>
      </c>
      <c r="D33" s="8" t="s">
        <v>86</v>
      </c>
      <c r="E33" s="40" t="s">
        <v>190</v>
      </c>
    </row>
    <row r="34" spans="3:7" ht="20.100000000000001" customHeight="1">
      <c r="C34" s="8" t="s">
        <v>278</v>
      </c>
      <c r="D34" s="8" t="s">
        <v>87</v>
      </c>
      <c r="E34" s="45" t="s">
        <v>280</v>
      </c>
      <c r="G34" t="s">
        <v>279</v>
      </c>
    </row>
    <row r="35" spans="3:7" ht="20.100000000000001" customHeight="1">
      <c r="C35" s="8" t="s">
        <v>138</v>
      </c>
      <c r="D35" s="8" t="s">
        <v>88</v>
      </c>
      <c r="E35" s="37" t="s">
        <v>191</v>
      </c>
    </row>
    <row r="36" spans="3:7" ht="20.100000000000001" customHeight="1">
      <c r="C36" s="8" t="s">
        <v>139</v>
      </c>
      <c r="D36" s="8" t="s">
        <v>89</v>
      </c>
      <c r="E36" s="37" t="s">
        <v>192</v>
      </c>
    </row>
    <row r="37" spans="3:7" ht="20.100000000000001" customHeight="1">
      <c r="C37" s="8" t="s">
        <v>140</v>
      </c>
      <c r="D37" s="8" t="s">
        <v>90</v>
      </c>
      <c r="E37" s="37" t="s">
        <v>193</v>
      </c>
    </row>
    <row r="38" spans="3:7" ht="20.100000000000001" customHeight="1">
      <c r="C38" s="8" t="s">
        <v>141</v>
      </c>
      <c r="D38" s="8" t="s">
        <v>91</v>
      </c>
      <c r="E38" s="37" t="s">
        <v>194</v>
      </c>
    </row>
    <row r="39" spans="3:7" ht="20.100000000000001" customHeight="1">
      <c r="C39" s="8" t="s">
        <v>142</v>
      </c>
      <c r="D39" s="8" t="s">
        <v>92</v>
      </c>
      <c r="E39" s="40" t="s">
        <v>195</v>
      </c>
    </row>
    <row r="40" spans="3:7" ht="20.100000000000001" customHeight="1">
      <c r="C40" s="8" t="s">
        <v>143</v>
      </c>
      <c r="D40" s="8" t="s">
        <v>93</v>
      </c>
      <c r="E40" s="40" t="s">
        <v>196</v>
      </c>
    </row>
    <row r="41" spans="3:7" ht="20.100000000000001" customHeight="1">
      <c r="C41" s="8" t="s">
        <v>144</v>
      </c>
      <c r="D41" s="8" t="s">
        <v>94</v>
      </c>
      <c r="E41" s="40" t="s">
        <v>197</v>
      </c>
    </row>
    <row r="42" spans="3:7" ht="20.100000000000001" customHeight="1">
      <c r="C42" s="8" t="s">
        <v>145</v>
      </c>
      <c r="D42" s="8" t="s">
        <v>95</v>
      </c>
      <c r="E42" s="40" t="s">
        <v>198</v>
      </c>
    </row>
    <row r="43" spans="3:7" ht="20.100000000000001" customHeight="1">
      <c r="C43" s="8" t="s">
        <v>146</v>
      </c>
      <c r="D43" s="8" t="s">
        <v>96</v>
      </c>
      <c r="E43" s="37" t="s">
        <v>199</v>
      </c>
    </row>
    <row r="44" spans="3:7" ht="20.100000000000001" customHeight="1">
      <c r="C44" s="8" t="s">
        <v>147</v>
      </c>
      <c r="D44" s="8" t="s">
        <v>97</v>
      </c>
      <c r="E44" s="37" t="s">
        <v>200</v>
      </c>
    </row>
    <row r="45" spans="3:7" ht="20.100000000000001" customHeight="1">
      <c r="C45" s="8" t="s">
        <v>148</v>
      </c>
      <c r="D45" s="8" t="s">
        <v>98</v>
      </c>
      <c r="E45" s="37" t="s">
        <v>14</v>
      </c>
    </row>
    <row r="46" spans="3:7" ht="20.100000000000001" customHeight="1">
      <c r="C46" s="8" t="s">
        <v>149</v>
      </c>
      <c r="D46" s="8" t="s">
        <v>99</v>
      </c>
      <c r="E46" s="37" t="s">
        <v>15</v>
      </c>
    </row>
    <row r="47" spans="3:7" ht="20.100000000000001" customHeight="1">
      <c r="C47" s="8" t="s">
        <v>150</v>
      </c>
      <c r="D47" s="8" t="s">
        <v>100</v>
      </c>
      <c r="E47" s="37" t="s">
        <v>201</v>
      </c>
    </row>
    <row r="48" spans="3:7" ht="20.100000000000001" customHeight="1">
      <c r="C48" s="8" t="s">
        <v>151</v>
      </c>
      <c r="D48" s="8" t="s">
        <v>101</v>
      </c>
      <c r="E48" s="37" t="s">
        <v>10</v>
      </c>
    </row>
    <row r="49" spans="3:5" ht="20.100000000000001" customHeight="1">
      <c r="C49" s="8" t="s">
        <v>152</v>
      </c>
      <c r="D49" s="8" t="s">
        <v>102</v>
      </c>
      <c r="E49" s="37" t="s">
        <v>202</v>
      </c>
    </row>
    <row r="50" spans="3:5" ht="20.100000000000001" customHeight="1">
      <c r="C50" s="8" t="s">
        <v>153</v>
      </c>
      <c r="D50" s="8" t="s">
        <v>103</v>
      </c>
      <c r="E50" s="40" t="s">
        <v>203</v>
      </c>
    </row>
    <row r="51" spans="3:5" ht="20.100000000000001" customHeight="1">
      <c r="C51" s="8" t="s">
        <v>154</v>
      </c>
      <c r="D51" s="8" t="s">
        <v>104</v>
      </c>
      <c r="E51" s="40" t="s">
        <v>204</v>
      </c>
    </row>
    <row r="52" spans="3:5" ht="20.100000000000001" customHeight="1">
      <c r="C52" s="8" t="s">
        <v>155</v>
      </c>
      <c r="D52" s="8" t="s">
        <v>105</v>
      </c>
      <c r="E52" s="40" t="s">
        <v>205</v>
      </c>
    </row>
    <row r="53" spans="3:5" ht="20.100000000000001" customHeight="1">
      <c r="C53" s="8" t="s">
        <v>156</v>
      </c>
      <c r="D53" s="8" t="s">
        <v>106</v>
      </c>
      <c r="E53" s="40" t="s">
        <v>206</v>
      </c>
    </row>
    <row r="54" spans="3:5" ht="20.100000000000001" customHeight="1">
      <c r="C54" s="8" t="s">
        <v>157</v>
      </c>
      <c r="D54" s="8" t="s">
        <v>107</v>
      </c>
      <c r="E54" s="40" t="s">
        <v>207</v>
      </c>
    </row>
    <row r="55" spans="3:5" ht="20.100000000000001" customHeight="1">
      <c r="C55" s="8" t="s">
        <v>158</v>
      </c>
      <c r="D55" s="8" t="s">
        <v>281</v>
      </c>
      <c r="E55" s="40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/>
  <dimension ref="A1:J9"/>
  <sheetViews>
    <sheetView topLeftCell="B1" workbookViewId="0">
      <selection activeCell="D12" sqref="D12"/>
    </sheetView>
  </sheetViews>
  <sheetFormatPr defaultColWidth="9" defaultRowHeight="20.100000000000001" customHeight="1"/>
  <cols>
    <col min="1" max="1" width="9" style="8"/>
    <col min="2" max="2" width="37.140625" style="8" customWidth="1"/>
    <col min="3" max="3" width="10.42578125" style="8" customWidth="1"/>
    <col min="4" max="8" width="9" style="8"/>
    <col min="9" max="9" width="11" style="8" bestFit="1" customWidth="1"/>
    <col min="10" max="10" width="7.42578125" style="8" bestFit="1" customWidth="1"/>
    <col min="11" max="16384" width="9" style="8"/>
  </cols>
  <sheetData>
    <row r="1" spans="1:10" s="35" customFormat="1" ht="20.100000000000001" customHeight="1">
      <c r="A1" s="35" t="s">
        <v>5</v>
      </c>
      <c r="B1" s="35" t="s">
        <v>214</v>
      </c>
      <c r="C1" s="35" t="s">
        <v>268</v>
      </c>
      <c r="D1" s="35" t="s">
        <v>264</v>
      </c>
      <c r="E1" s="35" t="s">
        <v>265</v>
      </c>
      <c r="F1" s="35" t="s">
        <v>266</v>
      </c>
      <c r="G1" s="35" t="s">
        <v>267</v>
      </c>
      <c r="H1" s="35" t="s">
        <v>262</v>
      </c>
      <c r="I1" s="35" t="s">
        <v>18</v>
      </c>
      <c r="J1" s="35" t="s">
        <v>17</v>
      </c>
    </row>
    <row r="2" spans="1:10" ht="20.100000000000001" customHeight="1">
      <c r="A2" s="8" t="s">
        <v>269</v>
      </c>
      <c r="B2" s="8" t="s">
        <v>270</v>
      </c>
      <c r="C2" s="8">
        <v>1</v>
      </c>
      <c r="D2" s="8">
        <v>100</v>
      </c>
      <c r="E2" s="8">
        <v>150</v>
      </c>
      <c r="F2" s="8">
        <v>1</v>
      </c>
      <c r="G2" s="8">
        <v>80</v>
      </c>
      <c r="H2" s="8">
        <v>40</v>
      </c>
      <c r="I2" s="8" t="s">
        <v>45</v>
      </c>
      <c r="J2" s="8">
        <v>3.8</v>
      </c>
    </row>
    <row r="3" spans="1:10" ht="20.100000000000001" customHeight="1">
      <c r="A3" s="8" t="s">
        <v>30</v>
      </c>
      <c r="B3" s="8" t="s">
        <v>271</v>
      </c>
      <c r="C3" s="8">
        <v>1</v>
      </c>
      <c r="D3" s="8">
        <v>100</v>
      </c>
      <c r="E3" s="8">
        <v>150</v>
      </c>
      <c r="F3" s="8">
        <v>1</v>
      </c>
      <c r="G3" s="8">
        <v>50</v>
      </c>
      <c r="H3" s="8">
        <v>40</v>
      </c>
      <c r="I3" s="8" t="s">
        <v>45</v>
      </c>
      <c r="J3" s="8">
        <v>3.17</v>
      </c>
    </row>
    <row r="4" spans="1:10" ht="20.100000000000001" customHeight="1">
      <c r="A4" s="8" t="s">
        <v>31</v>
      </c>
      <c r="B4" s="8" t="s">
        <v>272</v>
      </c>
      <c r="C4" s="8">
        <v>0</v>
      </c>
      <c r="D4" s="8">
        <v>480</v>
      </c>
      <c r="E4" s="8">
        <v>200</v>
      </c>
      <c r="F4" s="8">
        <v>5</v>
      </c>
      <c r="G4" s="8">
        <v>50</v>
      </c>
      <c r="H4" s="8">
        <v>40</v>
      </c>
      <c r="I4" s="8" t="s">
        <v>51</v>
      </c>
      <c r="J4" s="8">
        <v>0.5</v>
      </c>
    </row>
    <row r="5" spans="1:10" ht="20.100000000000001" customHeight="1">
      <c r="A5" s="8" t="s">
        <v>32</v>
      </c>
      <c r="B5" s="8" t="s">
        <v>273</v>
      </c>
      <c r="C5" s="8">
        <v>1</v>
      </c>
      <c r="D5" s="8">
        <v>90</v>
      </c>
      <c r="E5" s="8">
        <v>150</v>
      </c>
      <c r="F5" s="8">
        <v>1</v>
      </c>
      <c r="G5" s="8">
        <v>50</v>
      </c>
      <c r="H5" s="8">
        <v>32</v>
      </c>
      <c r="I5" s="8" t="s">
        <v>45</v>
      </c>
      <c r="J5" s="8">
        <v>3.17</v>
      </c>
    </row>
    <row r="6" spans="1:10" ht="20.100000000000001" customHeight="1">
      <c r="A6" s="8" t="s">
        <v>33</v>
      </c>
      <c r="B6" s="8" t="s">
        <v>274</v>
      </c>
      <c r="C6" s="8">
        <v>1</v>
      </c>
      <c r="D6" s="8">
        <v>100</v>
      </c>
      <c r="E6" s="8">
        <v>200</v>
      </c>
      <c r="F6" s="8">
        <v>2</v>
      </c>
      <c r="G6" s="8">
        <v>70</v>
      </c>
      <c r="H6" s="8">
        <v>32</v>
      </c>
      <c r="I6" s="8" t="s">
        <v>40</v>
      </c>
      <c r="J6" s="8">
        <v>0.74</v>
      </c>
    </row>
    <row r="7" spans="1:10" ht="20.100000000000001" customHeight="1">
      <c r="A7" s="8" t="s">
        <v>109</v>
      </c>
      <c r="B7" s="8" t="s">
        <v>275</v>
      </c>
      <c r="C7" s="8">
        <v>1</v>
      </c>
      <c r="D7" s="8">
        <v>45</v>
      </c>
      <c r="E7" s="8">
        <v>150</v>
      </c>
      <c r="F7" s="8">
        <v>1</v>
      </c>
      <c r="G7" s="8">
        <v>30</v>
      </c>
      <c r="H7" s="8">
        <v>25</v>
      </c>
      <c r="I7" s="8" t="s">
        <v>41</v>
      </c>
      <c r="J7" s="8">
        <v>3.38</v>
      </c>
    </row>
    <row r="8" spans="1:10" ht="20.100000000000001" customHeight="1">
      <c r="A8" s="8" t="s">
        <v>28</v>
      </c>
      <c r="B8" s="8" t="s">
        <v>276</v>
      </c>
      <c r="C8" s="8">
        <v>1</v>
      </c>
      <c r="D8" s="8">
        <v>45</v>
      </c>
      <c r="E8" s="8">
        <v>150</v>
      </c>
      <c r="F8" s="8">
        <v>1</v>
      </c>
      <c r="G8" s="8">
        <v>60</v>
      </c>
      <c r="H8" s="8">
        <v>25</v>
      </c>
      <c r="I8" s="8" t="s">
        <v>39</v>
      </c>
      <c r="J8" s="8">
        <v>7.74</v>
      </c>
    </row>
    <row r="9" spans="1:10" ht="20.100000000000001" customHeight="1">
      <c r="A9" s="8" t="s">
        <v>29</v>
      </c>
      <c r="B9" s="8" t="s">
        <v>277</v>
      </c>
      <c r="C9" s="8">
        <v>1</v>
      </c>
      <c r="D9" s="8">
        <v>50</v>
      </c>
      <c r="E9" s="8">
        <v>125</v>
      </c>
      <c r="F9" s="8">
        <v>1</v>
      </c>
      <c r="G9" s="8">
        <v>80</v>
      </c>
      <c r="H9" s="8">
        <v>25</v>
      </c>
      <c r="I9" s="8" t="s">
        <v>39</v>
      </c>
      <c r="J9" s="8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/>
  <dimension ref="A1:BB9"/>
  <sheetViews>
    <sheetView tabSelected="1" topLeftCell="P1" workbookViewId="0">
      <selection activeCell="AL9" sqref="AL9"/>
    </sheetView>
  </sheetViews>
  <sheetFormatPr defaultColWidth="9" defaultRowHeight="20.100000000000001" customHeight="1"/>
  <cols>
    <col min="1" max="1" width="20.42578125" style="43" customWidth="1"/>
    <col min="2" max="4" width="9" style="8"/>
    <col min="5" max="5" width="42.42578125" style="8" customWidth="1"/>
    <col min="6" max="16384" width="9" style="8"/>
  </cols>
  <sheetData>
    <row r="1" spans="1:54" s="41" customFormat="1" ht="20.100000000000001" customHeight="1">
      <c r="A1" s="42" t="s">
        <v>212</v>
      </c>
      <c r="B1" s="41" t="s">
        <v>6</v>
      </c>
      <c r="C1" s="41" t="s">
        <v>161</v>
      </c>
      <c r="D1" s="41" t="s">
        <v>213</v>
      </c>
      <c r="E1" s="41" t="s">
        <v>282</v>
      </c>
      <c r="F1" s="41" t="s">
        <v>215</v>
      </c>
      <c r="G1" s="41" t="s">
        <v>216</v>
      </c>
      <c r="H1" s="41" t="s">
        <v>217</v>
      </c>
      <c r="I1" s="41" t="s">
        <v>218</v>
      </c>
      <c r="J1" s="41" t="s">
        <v>219</v>
      </c>
      <c r="K1" s="41" t="s">
        <v>220</v>
      </c>
      <c r="L1" s="41" t="s">
        <v>221</v>
      </c>
      <c r="M1" s="41" t="s">
        <v>222</v>
      </c>
      <c r="N1" s="41" t="s">
        <v>223</v>
      </c>
      <c r="O1" s="41" t="s">
        <v>224</v>
      </c>
      <c r="P1" s="41" t="s">
        <v>225</v>
      </c>
      <c r="Q1" s="41" t="s">
        <v>226</v>
      </c>
      <c r="R1" s="41" t="s">
        <v>227</v>
      </c>
      <c r="S1" s="41" t="s">
        <v>228</v>
      </c>
      <c r="T1" s="41" t="s">
        <v>229</v>
      </c>
      <c r="U1" s="41" t="s">
        <v>230</v>
      </c>
      <c r="V1" s="41" t="s">
        <v>231</v>
      </c>
      <c r="W1" s="41" t="s">
        <v>232</v>
      </c>
      <c r="X1" s="41" t="s">
        <v>233</v>
      </c>
      <c r="Y1" s="41" t="s">
        <v>234</v>
      </c>
      <c r="Z1" s="41" t="s">
        <v>235</v>
      </c>
      <c r="AA1" s="41" t="s">
        <v>236</v>
      </c>
      <c r="AB1" s="41" t="s">
        <v>237</v>
      </c>
      <c r="AC1" s="41" t="s">
        <v>238</v>
      </c>
      <c r="AD1" s="41" t="s">
        <v>239</v>
      </c>
      <c r="AE1" s="41" t="s">
        <v>240</v>
      </c>
      <c r="AF1" s="41" t="s">
        <v>241</v>
      </c>
      <c r="AG1" s="41" t="s">
        <v>278</v>
      </c>
      <c r="AH1" s="41" t="s">
        <v>242</v>
      </c>
      <c r="AI1" s="41" t="s">
        <v>243</v>
      </c>
      <c r="AJ1" s="41" t="s">
        <v>244</v>
      </c>
      <c r="AK1" s="41" t="s">
        <v>245</v>
      </c>
      <c r="AL1" s="41" t="s">
        <v>246</v>
      </c>
      <c r="AM1" s="41" t="s">
        <v>247</v>
      </c>
      <c r="AN1" s="41" t="s">
        <v>248</v>
      </c>
      <c r="AO1" s="41" t="s">
        <v>249</v>
      </c>
      <c r="AP1" s="41" t="s">
        <v>250</v>
      </c>
      <c r="AQ1" s="41" t="s">
        <v>251</v>
      </c>
      <c r="AR1" s="41" t="s">
        <v>11</v>
      </c>
      <c r="AS1" s="41" t="s">
        <v>252</v>
      </c>
      <c r="AT1" s="41" t="s">
        <v>253</v>
      </c>
      <c r="AU1" s="41" t="s">
        <v>254</v>
      </c>
      <c r="AV1" s="41" t="s">
        <v>255</v>
      </c>
      <c r="AW1" s="41" t="s">
        <v>256</v>
      </c>
      <c r="AX1" s="41" t="s">
        <v>257</v>
      </c>
      <c r="AY1" s="41" t="s">
        <v>258</v>
      </c>
      <c r="AZ1" s="41" t="s">
        <v>259</v>
      </c>
      <c r="BA1" s="41" t="s">
        <v>260</v>
      </c>
      <c r="BB1" s="41" t="s">
        <v>261</v>
      </c>
    </row>
    <row r="2" spans="1:54" ht="20.100000000000001" customHeight="1">
      <c r="A2" s="43" t="s">
        <v>284</v>
      </c>
      <c r="B2" s="8" t="s">
        <v>283</v>
      </c>
      <c r="C2" s="8" t="s">
        <v>210</v>
      </c>
      <c r="D2" s="8" t="s">
        <v>283</v>
      </c>
      <c r="E2" s="8" t="s">
        <v>270</v>
      </c>
      <c r="F2" s="8" t="s">
        <v>210</v>
      </c>
      <c r="G2" s="8" t="s">
        <v>283</v>
      </c>
      <c r="H2" s="8" t="s">
        <v>210</v>
      </c>
      <c r="I2" s="8" t="s">
        <v>283</v>
      </c>
      <c r="J2" s="8" t="s">
        <v>283</v>
      </c>
      <c r="K2" s="8" t="s">
        <v>283</v>
      </c>
      <c r="L2" s="8" t="s">
        <v>283</v>
      </c>
      <c r="M2" s="8" t="s">
        <v>283</v>
      </c>
      <c r="N2" s="8" t="s">
        <v>283</v>
      </c>
      <c r="O2" s="8" t="s">
        <v>283</v>
      </c>
      <c r="P2" s="8" t="s">
        <v>283</v>
      </c>
      <c r="Q2" s="8" t="s">
        <v>283</v>
      </c>
      <c r="R2" s="8" t="s">
        <v>283</v>
      </c>
      <c r="S2" s="8" t="s">
        <v>283</v>
      </c>
      <c r="T2" s="8" t="s">
        <v>283</v>
      </c>
      <c r="U2" s="8" t="s">
        <v>283</v>
      </c>
      <c r="V2" s="8" t="s">
        <v>283</v>
      </c>
      <c r="W2" s="8" t="s">
        <v>283</v>
      </c>
      <c r="X2" s="8" t="s">
        <v>283</v>
      </c>
      <c r="Y2" s="8" t="s">
        <v>283</v>
      </c>
      <c r="Z2" s="8" t="s">
        <v>283</v>
      </c>
      <c r="AA2" s="8" t="s">
        <v>283</v>
      </c>
      <c r="AB2" s="8" t="s">
        <v>283</v>
      </c>
      <c r="AC2" s="8" t="s">
        <v>210</v>
      </c>
      <c r="AD2" s="8" t="s">
        <v>210</v>
      </c>
      <c r="AE2" s="8">
        <v>1</v>
      </c>
      <c r="AF2" s="8">
        <v>12</v>
      </c>
      <c r="AG2" s="8">
        <v>365</v>
      </c>
      <c r="AH2" s="8" t="s">
        <v>210</v>
      </c>
      <c r="AI2" s="8" t="s">
        <v>283</v>
      </c>
      <c r="AL2" s="44"/>
      <c r="AM2" s="44">
        <v>3.8</v>
      </c>
      <c r="AN2" s="44">
        <v>110</v>
      </c>
      <c r="AO2" s="44">
        <v>1322</v>
      </c>
      <c r="AP2" s="8" t="s">
        <v>283</v>
      </c>
      <c r="AQ2" s="8" t="s">
        <v>283</v>
      </c>
      <c r="AR2" s="8">
        <v>100</v>
      </c>
      <c r="AS2" s="8">
        <v>150</v>
      </c>
      <c r="AT2" s="8">
        <v>1</v>
      </c>
      <c r="AU2" s="8">
        <v>80</v>
      </c>
      <c r="AV2" s="8">
        <v>40</v>
      </c>
      <c r="AW2" s="8" t="s">
        <v>210</v>
      </c>
      <c r="AX2" s="8" t="s">
        <v>283</v>
      </c>
      <c r="AY2" s="8" t="s">
        <v>210</v>
      </c>
      <c r="AZ2" s="8" t="s">
        <v>283</v>
      </c>
      <c r="BA2" s="8" t="s">
        <v>283</v>
      </c>
      <c r="BB2" s="8" t="s">
        <v>283</v>
      </c>
    </row>
    <row r="3" spans="1:54" ht="20.100000000000001" customHeight="1">
      <c r="A3" s="43" t="s">
        <v>284</v>
      </c>
      <c r="B3" s="8" t="s">
        <v>283</v>
      </c>
      <c r="C3" s="8" t="s">
        <v>210</v>
      </c>
      <c r="D3" s="8" t="s">
        <v>283</v>
      </c>
      <c r="E3" s="8" t="s">
        <v>271</v>
      </c>
      <c r="F3" s="8" t="s">
        <v>210</v>
      </c>
      <c r="G3" s="8" t="s">
        <v>283</v>
      </c>
      <c r="H3" s="8" t="s">
        <v>210</v>
      </c>
      <c r="I3" s="8" t="s">
        <v>283</v>
      </c>
      <c r="J3" s="8" t="s">
        <v>283</v>
      </c>
      <c r="K3" s="8" t="s">
        <v>283</v>
      </c>
      <c r="L3" s="8" t="s">
        <v>283</v>
      </c>
      <c r="M3" s="8" t="s">
        <v>283</v>
      </c>
      <c r="N3" s="8" t="s">
        <v>283</v>
      </c>
      <c r="O3" s="8" t="s">
        <v>283</v>
      </c>
      <c r="P3" s="8" t="s">
        <v>283</v>
      </c>
      <c r="Q3" s="8" t="s">
        <v>283</v>
      </c>
      <c r="R3" s="8" t="s">
        <v>283</v>
      </c>
      <c r="S3" s="8" t="s">
        <v>283</v>
      </c>
      <c r="T3" s="8" t="s">
        <v>283</v>
      </c>
      <c r="U3" s="8" t="s">
        <v>283</v>
      </c>
      <c r="V3" s="8" t="s">
        <v>283</v>
      </c>
      <c r="W3" s="8" t="s">
        <v>283</v>
      </c>
      <c r="X3" s="8" t="s">
        <v>283</v>
      </c>
      <c r="Y3" s="8" t="s">
        <v>283</v>
      </c>
      <c r="Z3" s="8" t="s">
        <v>283</v>
      </c>
      <c r="AA3" s="8" t="s">
        <v>283</v>
      </c>
      <c r="AB3" s="8" t="s">
        <v>283</v>
      </c>
      <c r="AC3" s="8" t="s">
        <v>210</v>
      </c>
      <c r="AD3" s="8" t="s">
        <v>210</v>
      </c>
      <c r="AE3" s="8">
        <v>1</v>
      </c>
      <c r="AF3" s="8">
        <v>12</v>
      </c>
      <c r="AG3" s="8">
        <v>365</v>
      </c>
      <c r="AH3" s="8" t="s">
        <v>210</v>
      </c>
      <c r="AI3" s="8" t="s">
        <v>283</v>
      </c>
      <c r="AL3" s="44"/>
      <c r="AM3" s="44">
        <v>3.2</v>
      </c>
      <c r="AN3" s="44">
        <v>92</v>
      </c>
      <c r="AO3" s="44">
        <v>1103</v>
      </c>
      <c r="AP3" s="8" t="s">
        <v>283</v>
      </c>
      <c r="AQ3" s="8" t="s">
        <v>283</v>
      </c>
      <c r="AR3" s="8">
        <v>100</v>
      </c>
      <c r="AS3" s="8">
        <v>150</v>
      </c>
      <c r="AT3" s="8">
        <v>1</v>
      </c>
      <c r="AU3" s="8">
        <v>50</v>
      </c>
      <c r="AV3" s="8">
        <v>40</v>
      </c>
      <c r="AW3" s="8" t="s">
        <v>210</v>
      </c>
      <c r="AX3" s="8" t="s">
        <v>283</v>
      </c>
      <c r="AY3" s="8" t="s">
        <v>210</v>
      </c>
      <c r="AZ3" s="8" t="s">
        <v>283</v>
      </c>
      <c r="BA3" s="8" t="s">
        <v>283</v>
      </c>
      <c r="BB3" s="8" t="s">
        <v>283</v>
      </c>
    </row>
    <row r="4" spans="1:54" ht="20.100000000000001" customHeight="1">
      <c r="A4" s="43" t="s">
        <v>284</v>
      </c>
      <c r="B4" s="8" t="s">
        <v>210</v>
      </c>
      <c r="C4" s="8" t="s">
        <v>283</v>
      </c>
      <c r="D4" s="8" t="s">
        <v>283</v>
      </c>
      <c r="E4" s="8" t="s">
        <v>272</v>
      </c>
      <c r="F4" s="8" t="s">
        <v>210</v>
      </c>
      <c r="G4" s="8" t="s">
        <v>283</v>
      </c>
      <c r="H4" s="8" t="s">
        <v>283</v>
      </c>
      <c r="I4" s="8" t="s">
        <v>283</v>
      </c>
      <c r="J4" s="8" t="s">
        <v>283</v>
      </c>
      <c r="K4" s="8" t="s">
        <v>283</v>
      </c>
      <c r="L4" s="8" t="s">
        <v>283</v>
      </c>
      <c r="M4" s="8" t="s">
        <v>283</v>
      </c>
      <c r="N4" s="8" t="s">
        <v>210</v>
      </c>
      <c r="O4" s="8" t="s">
        <v>283</v>
      </c>
      <c r="P4" s="8" t="s">
        <v>283</v>
      </c>
      <c r="Q4" s="8" t="s">
        <v>283</v>
      </c>
      <c r="R4" s="8" t="s">
        <v>283</v>
      </c>
      <c r="S4" s="8" t="s">
        <v>283</v>
      </c>
      <c r="T4" s="8" t="s">
        <v>283</v>
      </c>
      <c r="U4" s="8" t="s">
        <v>283</v>
      </c>
      <c r="V4" s="8" t="s">
        <v>283</v>
      </c>
      <c r="W4" s="8" t="s">
        <v>283</v>
      </c>
      <c r="X4" s="8" t="s">
        <v>283</v>
      </c>
      <c r="Y4" s="8" t="s">
        <v>283</v>
      </c>
      <c r="Z4" s="8" t="s">
        <v>283</v>
      </c>
      <c r="AA4" s="8" t="s">
        <v>283</v>
      </c>
      <c r="AB4" s="8" t="s">
        <v>283</v>
      </c>
      <c r="AC4" s="8" t="s">
        <v>210</v>
      </c>
      <c r="AD4" s="8" t="s">
        <v>210</v>
      </c>
      <c r="AE4" s="8">
        <v>1</v>
      </c>
      <c r="AF4" s="8">
        <v>12</v>
      </c>
      <c r="AG4" s="8">
        <v>365</v>
      </c>
      <c r="AH4" s="8" t="s">
        <v>210</v>
      </c>
      <c r="AI4" s="8" t="s">
        <v>283</v>
      </c>
      <c r="AL4" s="44"/>
      <c r="AM4" s="44">
        <v>0.5</v>
      </c>
      <c r="AN4" s="44">
        <v>15</v>
      </c>
      <c r="AO4" s="44">
        <v>174</v>
      </c>
      <c r="AP4" s="8" t="s">
        <v>283</v>
      </c>
      <c r="AQ4" s="8" t="s">
        <v>283</v>
      </c>
      <c r="AR4" s="8">
        <v>480</v>
      </c>
      <c r="AS4" s="8">
        <v>200</v>
      </c>
      <c r="AT4" s="8">
        <v>5</v>
      </c>
      <c r="AU4" s="8">
        <v>50</v>
      </c>
      <c r="AV4" s="8">
        <v>40</v>
      </c>
      <c r="AW4" s="8" t="s">
        <v>210</v>
      </c>
      <c r="AX4" s="8" t="s">
        <v>210</v>
      </c>
      <c r="AY4" s="8" t="s">
        <v>210</v>
      </c>
      <c r="AZ4" s="8" t="s">
        <v>210</v>
      </c>
      <c r="BA4" s="8" t="s">
        <v>210</v>
      </c>
      <c r="BB4" s="8" t="s">
        <v>283</v>
      </c>
    </row>
    <row r="5" spans="1:54" ht="20.100000000000001" customHeight="1">
      <c r="A5" s="43" t="s">
        <v>284</v>
      </c>
      <c r="B5" s="8" t="s">
        <v>283</v>
      </c>
      <c r="C5" s="8" t="s">
        <v>210</v>
      </c>
      <c r="D5" s="8" t="s">
        <v>283</v>
      </c>
      <c r="E5" s="8" t="s">
        <v>273</v>
      </c>
      <c r="F5" s="8" t="s">
        <v>210</v>
      </c>
      <c r="G5" s="8" t="s">
        <v>283</v>
      </c>
      <c r="H5" s="8" t="s">
        <v>210</v>
      </c>
      <c r="I5" s="8" t="s">
        <v>283</v>
      </c>
      <c r="J5" s="8" t="s">
        <v>283</v>
      </c>
      <c r="K5" s="8" t="s">
        <v>283</v>
      </c>
      <c r="L5" s="8" t="s">
        <v>283</v>
      </c>
      <c r="M5" s="8" t="s">
        <v>283</v>
      </c>
      <c r="N5" s="8" t="s">
        <v>283</v>
      </c>
      <c r="O5" s="8" t="s">
        <v>283</v>
      </c>
      <c r="P5" s="8" t="s">
        <v>283</v>
      </c>
      <c r="Q5" s="8" t="s">
        <v>283</v>
      </c>
      <c r="R5" s="8" t="s">
        <v>283</v>
      </c>
      <c r="S5" s="8" t="s">
        <v>283</v>
      </c>
      <c r="T5" s="8" t="s">
        <v>283</v>
      </c>
      <c r="U5" s="8" t="s">
        <v>283</v>
      </c>
      <c r="V5" s="8" t="s">
        <v>283</v>
      </c>
      <c r="W5" s="8" t="s">
        <v>283</v>
      </c>
      <c r="X5" s="8" t="s">
        <v>283</v>
      </c>
      <c r="Y5" s="8" t="s">
        <v>283</v>
      </c>
      <c r="Z5" s="8" t="s">
        <v>283</v>
      </c>
      <c r="AA5" s="8" t="s">
        <v>283</v>
      </c>
      <c r="AB5" s="8" t="s">
        <v>283</v>
      </c>
      <c r="AC5" s="8" t="s">
        <v>210</v>
      </c>
      <c r="AD5" s="8" t="s">
        <v>210</v>
      </c>
      <c r="AE5" s="8">
        <v>1</v>
      </c>
      <c r="AF5" s="8">
        <v>12</v>
      </c>
      <c r="AG5" s="8">
        <v>365</v>
      </c>
      <c r="AH5" s="8" t="s">
        <v>210</v>
      </c>
      <c r="AI5" s="8" t="s">
        <v>283</v>
      </c>
      <c r="AL5" s="44"/>
      <c r="AM5" s="44">
        <v>3.2</v>
      </c>
      <c r="AN5" s="44">
        <v>92</v>
      </c>
      <c r="AO5" s="44">
        <v>1103</v>
      </c>
      <c r="AP5" s="8" t="s">
        <v>283</v>
      </c>
      <c r="AQ5" s="8" t="s">
        <v>283</v>
      </c>
      <c r="AR5" s="8">
        <v>90</v>
      </c>
      <c r="AS5" s="8">
        <v>150</v>
      </c>
      <c r="AT5" s="8">
        <v>1</v>
      </c>
      <c r="AU5" s="8">
        <v>50</v>
      </c>
      <c r="AV5" s="8">
        <v>32</v>
      </c>
      <c r="AW5" s="8" t="s">
        <v>210</v>
      </c>
      <c r="AX5" s="8" t="s">
        <v>283</v>
      </c>
      <c r="AY5" s="8" t="s">
        <v>210</v>
      </c>
      <c r="AZ5" s="8" t="s">
        <v>283</v>
      </c>
      <c r="BA5" s="8" t="s">
        <v>283</v>
      </c>
      <c r="BB5" s="8" t="s">
        <v>283</v>
      </c>
    </row>
    <row r="6" spans="1:54" ht="20.100000000000001" customHeight="1">
      <c r="A6" s="43" t="s">
        <v>284</v>
      </c>
      <c r="B6" s="8" t="s">
        <v>283</v>
      </c>
      <c r="C6" s="8" t="s">
        <v>210</v>
      </c>
      <c r="D6" s="8" t="s">
        <v>283</v>
      </c>
      <c r="E6" s="8" t="s">
        <v>274</v>
      </c>
      <c r="F6" s="8" t="s">
        <v>210</v>
      </c>
      <c r="G6" s="8" t="s">
        <v>283</v>
      </c>
      <c r="H6" s="8" t="s">
        <v>283</v>
      </c>
      <c r="I6" s="8" t="s">
        <v>283</v>
      </c>
      <c r="J6" s="8" t="s">
        <v>283</v>
      </c>
      <c r="K6" s="8" t="s">
        <v>283</v>
      </c>
      <c r="L6" s="8" t="s">
        <v>283</v>
      </c>
      <c r="M6" s="8" t="s">
        <v>283</v>
      </c>
      <c r="N6" s="8" t="s">
        <v>210</v>
      </c>
      <c r="O6" s="8" t="s">
        <v>283</v>
      </c>
      <c r="P6" s="8" t="s">
        <v>283</v>
      </c>
      <c r="Q6" s="8" t="s">
        <v>283</v>
      </c>
      <c r="R6" s="8" t="s">
        <v>283</v>
      </c>
      <c r="S6" s="8" t="s">
        <v>283</v>
      </c>
      <c r="T6" s="8" t="s">
        <v>283</v>
      </c>
      <c r="U6" s="8" t="s">
        <v>283</v>
      </c>
      <c r="V6" s="8" t="s">
        <v>283</v>
      </c>
      <c r="W6" s="8" t="s">
        <v>283</v>
      </c>
      <c r="X6" s="8" t="s">
        <v>283</v>
      </c>
      <c r="Y6" s="8" t="s">
        <v>283</v>
      </c>
      <c r="Z6" s="8" t="s">
        <v>283</v>
      </c>
      <c r="AA6" s="8" t="s">
        <v>283</v>
      </c>
      <c r="AB6" s="8" t="s">
        <v>283</v>
      </c>
      <c r="AC6" s="8" t="s">
        <v>210</v>
      </c>
      <c r="AD6" s="8" t="s">
        <v>210</v>
      </c>
      <c r="AE6" s="8">
        <v>1</v>
      </c>
      <c r="AF6" s="8">
        <v>12</v>
      </c>
      <c r="AG6" s="8">
        <v>365</v>
      </c>
      <c r="AH6" s="8" t="s">
        <v>210</v>
      </c>
      <c r="AI6" s="8" t="s">
        <v>283</v>
      </c>
      <c r="AL6" s="44"/>
      <c r="AM6" s="44">
        <v>0.7</v>
      </c>
      <c r="AN6" s="44">
        <v>21</v>
      </c>
      <c r="AO6" s="44">
        <v>258</v>
      </c>
      <c r="AP6" s="8" t="s">
        <v>283</v>
      </c>
      <c r="AQ6" s="8" t="s">
        <v>283</v>
      </c>
      <c r="AR6" s="8">
        <v>100</v>
      </c>
      <c r="AS6" s="8">
        <v>200</v>
      </c>
      <c r="AT6" s="8">
        <v>2</v>
      </c>
      <c r="AU6" s="8">
        <v>70</v>
      </c>
      <c r="AV6" s="8">
        <v>32</v>
      </c>
      <c r="AW6" s="8" t="s">
        <v>283</v>
      </c>
      <c r="AX6" s="8" t="s">
        <v>283</v>
      </c>
      <c r="AY6" s="8" t="s">
        <v>283</v>
      </c>
      <c r="AZ6" s="8" t="s">
        <v>283</v>
      </c>
      <c r="BA6" s="8" t="s">
        <v>283</v>
      </c>
      <c r="BB6" s="8" t="s">
        <v>283</v>
      </c>
    </row>
    <row r="7" spans="1:54" ht="20.100000000000001" customHeight="1">
      <c r="A7" s="43" t="s">
        <v>284</v>
      </c>
      <c r="B7" s="8" t="s">
        <v>283</v>
      </c>
      <c r="C7" s="8" t="s">
        <v>210</v>
      </c>
      <c r="D7" s="8" t="s">
        <v>283</v>
      </c>
      <c r="E7" s="8" t="s">
        <v>275</v>
      </c>
      <c r="F7" s="8" t="s">
        <v>283</v>
      </c>
      <c r="G7" s="8" t="s">
        <v>283</v>
      </c>
      <c r="H7" s="8" t="s">
        <v>283</v>
      </c>
      <c r="I7" s="8" t="s">
        <v>283</v>
      </c>
      <c r="J7" s="8" t="s">
        <v>283</v>
      </c>
      <c r="K7" s="8" t="s">
        <v>283</v>
      </c>
      <c r="L7" s="8" t="s">
        <v>283</v>
      </c>
      <c r="M7" s="8" t="s">
        <v>283</v>
      </c>
      <c r="N7" s="8" t="s">
        <v>283</v>
      </c>
      <c r="O7" s="8" t="s">
        <v>283</v>
      </c>
      <c r="P7" s="8" t="s">
        <v>283</v>
      </c>
      <c r="Q7" s="8" t="s">
        <v>283</v>
      </c>
      <c r="R7" s="8" t="s">
        <v>283</v>
      </c>
      <c r="S7" s="8" t="s">
        <v>283</v>
      </c>
      <c r="T7" s="8" t="s">
        <v>283</v>
      </c>
      <c r="U7" s="8" t="s">
        <v>210</v>
      </c>
      <c r="V7" s="8" t="s">
        <v>283</v>
      </c>
      <c r="W7" s="8" t="s">
        <v>210</v>
      </c>
      <c r="X7" s="8" t="s">
        <v>283</v>
      </c>
      <c r="Y7" s="8" t="s">
        <v>283</v>
      </c>
      <c r="Z7" s="8" t="s">
        <v>283</v>
      </c>
      <c r="AA7" s="8" t="s">
        <v>283</v>
      </c>
      <c r="AB7" s="8" t="s">
        <v>283</v>
      </c>
      <c r="AC7" s="8" t="s">
        <v>210</v>
      </c>
      <c r="AD7" s="8" t="s">
        <v>283</v>
      </c>
      <c r="AE7" s="8">
        <v>3</v>
      </c>
      <c r="AF7" s="8">
        <v>11</v>
      </c>
      <c r="AG7" s="8">
        <v>274</v>
      </c>
      <c r="AH7" s="8" t="s">
        <v>283</v>
      </c>
      <c r="AI7" s="8" t="s">
        <v>283</v>
      </c>
      <c r="AL7" s="44"/>
      <c r="AM7" s="44">
        <v>3.4</v>
      </c>
      <c r="AN7" s="44">
        <v>98</v>
      </c>
      <c r="AO7" s="44">
        <v>784</v>
      </c>
      <c r="AP7" s="8" t="s">
        <v>283</v>
      </c>
      <c r="AQ7" s="8" t="s">
        <v>283</v>
      </c>
      <c r="AR7" s="8">
        <v>45</v>
      </c>
      <c r="AS7" s="8">
        <v>150</v>
      </c>
      <c r="AT7" s="8">
        <v>1</v>
      </c>
      <c r="AU7" s="8">
        <v>30</v>
      </c>
      <c r="AV7" s="8">
        <v>25</v>
      </c>
      <c r="AW7" s="8" t="s">
        <v>210</v>
      </c>
      <c r="AX7" s="8" t="s">
        <v>283</v>
      </c>
      <c r="AY7" s="8" t="s">
        <v>210</v>
      </c>
      <c r="AZ7" s="8" t="s">
        <v>283</v>
      </c>
      <c r="BA7" s="8" t="s">
        <v>283</v>
      </c>
      <c r="BB7" s="8" t="s">
        <v>283</v>
      </c>
    </row>
    <row r="8" spans="1:54" ht="20.100000000000001" customHeight="1">
      <c r="A8" s="43" t="s">
        <v>284</v>
      </c>
      <c r="B8" s="8" t="s">
        <v>283</v>
      </c>
      <c r="C8" s="8" t="s">
        <v>210</v>
      </c>
      <c r="D8" s="8" t="s">
        <v>283</v>
      </c>
      <c r="E8" s="8" t="s">
        <v>276</v>
      </c>
      <c r="F8" s="8" t="s">
        <v>283</v>
      </c>
      <c r="G8" s="8" t="s">
        <v>283</v>
      </c>
      <c r="H8" s="8" t="s">
        <v>283</v>
      </c>
      <c r="I8" s="8" t="s">
        <v>283</v>
      </c>
      <c r="J8" s="8" t="s">
        <v>283</v>
      </c>
      <c r="K8" s="8" t="s">
        <v>283</v>
      </c>
      <c r="L8" s="8" t="s">
        <v>283</v>
      </c>
      <c r="M8" s="8" t="s">
        <v>283</v>
      </c>
      <c r="N8" s="8" t="s">
        <v>283</v>
      </c>
      <c r="O8" s="8" t="s">
        <v>283</v>
      </c>
      <c r="P8" s="8" t="s">
        <v>283</v>
      </c>
      <c r="Q8" s="8" t="s">
        <v>283</v>
      </c>
      <c r="R8" s="8" t="s">
        <v>283</v>
      </c>
      <c r="S8" s="8" t="s">
        <v>283</v>
      </c>
      <c r="T8" s="8" t="s">
        <v>283</v>
      </c>
      <c r="U8" s="8" t="s">
        <v>210</v>
      </c>
      <c r="V8" s="8" t="s">
        <v>210</v>
      </c>
      <c r="W8" s="8" t="s">
        <v>283</v>
      </c>
      <c r="X8" s="8" t="s">
        <v>283</v>
      </c>
      <c r="Y8" s="8" t="s">
        <v>283</v>
      </c>
      <c r="Z8" s="8" t="s">
        <v>283</v>
      </c>
      <c r="AA8" s="8" t="s">
        <v>283</v>
      </c>
      <c r="AB8" s="8" t="s">
        <v>283</v>
      </c>
      <c r="AC8" s="8" t="s">
        <v>210</v>
      </c>
      <c r="AD8" s="8" t="s">
        <v>283</v>
      </c>
      <c r="AE8" s="8">
        <v>3</v>
      </c>
      <c r="AF8" s="8">
        <v>11</v>
      </c>
      <c r="AG8" s="8">
        <v>274</v>
      </c>
      <c r="AH8" s="8" t="s">
        <v>283</v>
      </c>
      <c r="AI8" s="8" t="s">
        <v>283</v>
      </c>
      <c r="AL8" s="44"/>
      <c r="AM8" s="44">
        <v>7.7</v>
      </c>
      <c r="AN8" s="44">
        <v>224</v>
      </c>
      <c r="AO8" s="44">
        <v>1796</v>
      </c>
      <c r="AP8" s="8" t="s">
        <v>283</v>
      </c>
      <c r="AQ8" s="8" t="s">
        <v>283</v>
      </c>
      <c r="AR8" s="8">
        <v>45</v>
      </c>
      <c r="AS8" s="8">
        <v>150</v>
      </c>
      <c r="AT8" s="8">
        <v>1</v>
      </c>
      <c r="AU8" s="8">
        <v>60</v>
      </c>
      <c r="AV8" s="8">
        <v>25</v>
      </c>
      <c r="AW8" s="8" t="s">
        <v>210</v>
      </c>
      <c r="AX8" s="8" t="s">
        <v>283</v>
      </c>
      <c r="AY8" s="8" t="s">
        <v>210</v>
      </c>
      <c r="AZ8" s="8" t="s">
        <v>283</v>
      </c>
      <c r="BA8" s="8" t="s">
        <v>283</v>
      </c>
      <c r="BB8" s="8" t="s">
        <v>283</v>
      </c>
    </row>
    <row r="9" spans="1:54" ht="20.100000000000001" customHeight="1">
      <c r="A9" s="43" t="s">
        <v>284</v>
      </c>
      <c r="B9" s="8" t="s">
        <v>283</v>
      </c>
      <c r="C9" s="8" t="s">
        <v>210</v>
      </c>
      <c r="D9" s="8" t="s">
        <v>283</v>
      </c>
      <c r="E9" s="8" t="s">
        <v>277</v>
      </c>
      <c r="F9" s="8" t="s">
        <v>283</v>
      </c>
      <c r="G9" s="8" t="s">
        <v>283</v>
      </c>
      <c r="H9" s="8" t="s">
        <v>283</v>
      </c>
      <c r="I9" s="8" t="s">
        <v>283</v>
      </c>
      <c r="J9" s="8" t="s">
        <v>283</v>
      </c>
      <c r="K9" s="8" t="s">
        <v>283</v>
      </c>
      <c r="L9" s="8" t="s">
        <v>283</v>
      </c>
      <c r="M9" s="8" t="s">
        <v>283</v>
      </c>
      <c r="N9" s="8" t="s">
        <v>283</v>
      </c>
      <c r="O9" s="8" t="s">
        <v>283</v>
      </c>
      <c r="P9" s="8" t="s">
        <v>283</v>
      </c>
      <c r="Q9" s="8" t="s">
        <v>283</v>
      </c>
      <c r="R9" s="8" t="s">
        <v>283</v>
      </c>
      <c r="S9" s="8" t="s">
        <v>283</v>
      </c>
      <c r="T9" s="8" t="s">
        <v>283</v>
      </c>
      <c r="U9" s="8" t="s">
        <v>210</v>
      </c>
      <c r="V9" s="8" t="s">
        <v>210</v>
      </c>
      <c r="W9" s="8" t="s">
        <v>283</v>
      </c>
      <c r="X9" s="8" t="s">
        <v>283</v>
      </c>
      <c r="Y9" s="8" t="s">
        <v>283</v>
      </c>
      <c r="Z9" s="8" t="s">
        <v>283</v>
      </c>
      <c r="AA9" s="8" t="s">
        <v>283</v>
      </c>
      <c r="AB9" s="8" t="s">
        <v>283</v>
      </c>
      <c r="AC9" s="8" t="s">
        <v>210</v>
      </c>
      <c r="AD9" s="8" t="s">
        <v>283</v>
      </c>
      <c r="AE9" s="8">
        <v>3</v>
      </c>
      <c r="AF9" s="8">
        <v>11</v>
      </c>
      <c r="AG9" s="8">
        <v>274</v>
      </c>
      <c r="AH9" s="8" t="s">
        <v>283</v>
      </c>
      <c r="AI9" s="8" t="s">
        <v>283</v>
      </c>
      <c r="AL9" s="44"/>
      <c r="AM9" s="44">
        <v>8</v>
      </c>
      <c r="AN9" s="44">
        <v>232</v>
      </c>
      <c r="AO9" s="44">
        <v>1856</v>
      </c>
      <c r="AP9" s="8" t="s">
        <v>283</v>
      </c>
      <c r="AQ9" s="8" t="s">
        <v>283</v>
      </c>
      <c r="AR9" s="8">
        <v>50</v>
      </c>
      <c r="AS9" s="8">
        <v>125</v>
      </c>
      <c r="AT9" s="8">
        <v>1</v>
      </c>
      <c r="AU9" s="8">
        <v>80</v>
      </c>
      <c r="AV9" s="8">
        <v>25</v>
      </c>
      <c r="AW9" s="8" t="s">
        <v>210</v>
      </c>
      <c r="AX9" s="8" t="s">
        <v>283</v>
      </c>
      <c r="AY9" s="8" t="s">
        <v>210</v>
      </c>
      <c r="AZ9" s="8" t="s">
        <v>283</v>
      </c>
      <c r="BA9" s="8" t="s">
        <v>283</v>
      </c>
      <c r="BB9" s="8" t="s">
        <v>283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2023-03-21T18:33:59Z</dcterms:modified>
</cp:coreProperties>
</file>