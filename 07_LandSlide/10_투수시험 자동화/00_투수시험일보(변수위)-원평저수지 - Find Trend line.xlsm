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10_화성누수계측기\08_투수시험 자동화\"/>
    </mc:Choice>
  </mc:AlternateContent>
  <xr:revisionPtr revIDLastSave="0" documentId="13_ncr:1_{D3359CD3-871E-4442-AF7D-458E5ABA104B}" xr6:coauthVersionLast="47" xr6:coauthVersionMax="47" xr10:uidLastSave="{00000000-0000-0000-0000-000000000000}"/>
  <bookViews>
    <workbookView xWindow="28680" yWindow="-120" windowWidth="29040" windowHeight="16440" tabRatio="739" activeTab="1" xr2:uid="{00000000-000D-0000-FFFF-FFFF00000000}"/>
  </bookViews>
  <sheets>
    <sheet name="BH1" sheetId="3" r:id="rId1"/>
    <sheet name="BH2" sheetId="6" r:id="rId2"/>
    <sheet name="DB" sheetId="5" r:id="rId3"/>
    <sheet name="검사공1-2" sheetId="4" r:id="rId4"/>
    <sheet name="검사공2-1" sheetId="1" r:id="rId5"/>
    <sheet name="검사공22" sheetId="2" r:id="rId6"/>
  </sheets>
  <functionGroups builtInGroupCount="19"/>
  <definedNames>
    <definedName name="_xlnm.Print_Area" localSheetId="0">'BH1'!$A$1:$I$43</definedName>
    <definedName name="_xlnm.Print_Area" localSheetId="1">'BH2'!$A$1:$I$43</definedName>
    <definedName name="_xlnm.Print_Area" localSheetId="3">'검사공1-2'!$A$1:$I$43</definedName>
    <definedName name="_xlnm.Print_Area" localSheetId="4">'검사공2-1'!$A$1:$I$43</definedName>
    <definedName name="_xlnm.Print_Area" localSheetId="5">검사공22!$A$1:$I$43</definedName>
  </definedNames>
  <calcPr calcId="191029"/>
</workbook>
</file>

<file path=xl/calcChain.xml><?xml version="1.0" encoding="utf-8"?>
<calcChain xmlns="http://schemas.openxmlformats.org/spreadsheetml/2006/main">
  <c r="G6" i="6" l="1"/>
  <c r="F17" i="6" l="1"/>
  <c r="B17" i="6"/>
  <c r="F16" i="6"/>
  <c r="B16" i="6"/>
  <c r="F15" i="6"/>
  <c r="B15" i="6"/>
  <c r="F14" i="6"/>
  <c r="B14" i="6"/>
  <c r="F13" i="6"/>
  <c r="B13" i="6"/>
  <c r="G8" i="6"/>
  <c r="D17" i="6" s="1"/>
  <c r="K14" i="3"/>
  <c r="K17" i="6"/>
  <c r="K13" i="3"/>
  <c r="K13" i="6"/>
  <c r="K14" i="6"/>
  <c r="K16" i="6"/>
  <c r="K15" i="6"/>
  <c r="K15" i="3"/>
  <c r="K17" i="3"/>
  <c r="K16" i="3"/>
  <c r="D12" i="6" l="1"/>
  <c r="D13" i="6"/>
  <c r="E13" i="6" s="1"/>
  <c r="J13" i="6" s="1"/>
  <c r="L17" i="6"/>
  <c r="E17" i="6"/>
  <c r="D14" i="6"/>
  <c r="D16" i="6"/>
  <c r="D15" i="6"/>
  <c r="G13" i="6"/>
  <c r="J13" i="2"/>
  <c r="K15" i="2"/>
  <c r="K12" i="2"/>
  <c r="K18" i="2"/>
  <c r="K16" i="2"/>
  <c r="K14" i="2"/>
  <c r="K17" i="2"/>
  <c r="K13" i="2"/>
  <c r="L13" i="6" l="1"/>
  <c r="L12" i="6"/>
  <c r="E12" i="6"/>
  <c r="J12" i="6" s="1"/>
  <c r="L14" i="6"/>
  <c r="E14" i="6"/>
  <c r="L15" i="6"/>
  <c r="E15" i="6"/>
  <c r="L16" i="6"/>
  <c r="E16" i="6"/>
  <c r="J17" i="6"/>
  <c r="G17" i="6"/>
  <c r="F19" i="4"/>
  <c r="B19" i="4"/>
  <c r="F18" i="4"/>
  <c r="B18" i="4"/>
  <c r="F17" i="4"/>
  <c r="B17" i="4"/>
  <c r="F16" i="4"/>
  <c r="B16" i="4"/>
  <c r="F15" i="4"/>
  <c r="B15" i="4"/>
  <c r="F14" i="4"/>
  <c r="B14" i="4"/>
  <c r="F13" i="4"/>
  <c r="B13" i="4"/>
  <c r="G8" i="4"/>
  <c r="D18" i="4" s="1"/>
  <c r="E18" i="4" s="1"/>
  <c r="F17" i="3"/>
  <c r="B17" i="3"/>
  <c r="F16" i="3"/>
  <c r="B16" i="3"/>
  <c r="F15" i="3"/>
  <c r="B15" i="3"/>
  <c r="F14" i="3"/>
  <c r="B14" i="3"/>
  <c r="F13" i="3"/>
  <c r="B13" i="3"/>
  <c r="G8" i="3"/>
  <c r="D13" i="3" s="1"/>
  <c r="L13" i="3" s="1"/>
  <c r="F18" i="2"/>
  <c r="B18" i="2"/>
  <c r="F17" i="2"/>
  <c r="B17" i="2"/>
  <c r="F16" i="2"/>
  <c r="B16" i="2"/>
  <c r="F15" i="2"/>
  <c r="B15" i="2"/>
  <c r="F14" i="2"/>
  <c r="B14" i="2"/>
  <c r="F13" i="2"/>
  <c r="B13" i="2"/>
  <c r="G8" i="2"/>
  <c r="D18" i="2" s="1"/>
  <c r="E18" i="2" s="1"/>
  <c r="G8" i="1"/>
  <c r="D14" i="1" s="1"/>
  <c r="E14" i="1" s="1"/>
  <c r="F17" i="1"/>
  <c r="F16" i="1"/>
  <c r="F15" i="1"/>
  <c r="F14" i="1"/>
  <c r="F13" i="1"/>
  <c r="F20" i="1"/>
  <c r="B20" i="1"/>
  <c r="F19" i="1"/>
  <c r="B19" i="1"/>
  <c r="F18" i="1"/>
  <c r="B18" i="1"/>
  <c r="B17" i="1"/>
  <c r="B16" i="1"/>
  <c r="B15" i="1"/>
  <c r="B14" i="1"/>
  <c r="B13" i="1"/>
  <c r="J16" i="6" l="1"/>
  <c r="G16" i="6"/>
  <c r="J15" i="6"/>
  <c r="G15" i="6"/>
  <c r="J14" i="6"/>
  <c r="G14" i="6"/>
  <c r="E13" i="3"/>
  <c r="J13" i="3" s="1"/>
  <c r="D15" i="3"/>
  <c r="L15" i="3" s="1"/>
  <c r="D17" i="4"/>
  <c r="E17" i="4" s="1"/>
  <c r="J17" i="4" s="1"/>
  <c r="D14" i="4"/>
  <c r="E14" i="4" s="1"/>
  <c r="J14" i="4" s="1"/>
  <c r="D13" i="4"/>
  <c r="E13" i="4" s="1"/>
  <c r="J13" i="4" s="1"/>
  <c r="D16" i="4"/>
  <c r="E16" i="4" s="1"/>
  <c r="G16" i="4" s="1"/>
  <c r="D16" i="3"/>
  <c r="L16" i="3" s="1"/>
  <c r="D12" i="3"/>
  <c r="D17" i="2"/>
  <c r="E17" i="2" s="1"/>
  <c r="J17" i="2" s="1"/>
  <c r="D13" i="2"/>
  <c r="E13" i="2" s="1"/>
  <c r="D14" i="2"/>
  <c r="E14" i="2" s="1"/>
  <c r="D16" i="2"/>
  <c r="E16" i="2" s="1"/>
  <c r="J16" i="2" s="1"/>
  <c r="J18" i="4"/>
  <c r="G18" i="4"/>
  <c r="D19" i="4"/>
  <c r="E19" i="4" s="1"/>
  <c r="J19" i="4" s="1"/>
  <c r="D12" i="4"/>
  <c r="E12" i="4" s="1"/>
  <c r="J12" i="4" s="1"/>
  <c r="D15" i="4"/>
  <c r="E15" i="4" s="1"/>
  <c r="D14" i="3"/>
  <c r="L14" i="3" s="1"/>
  <c r="D17" i="3"/>
  <c r="L17" i="3" s="1"/>
  <c r="G18" i="2"/>
  <c r="J18" i="2"/>
  <c r="G13" i="2"/>
  <c r="J14" i="2"/>
  <c r="G14" i="2"/>
  <c r="J19" i="2"/>
  <c r="J20" i="2"/>
  <c r="G17" i="2"/>
  <c r="D12" i="2"/>
  <c r="E12" i="2" s="1"/>
  <c r="J12" i="2" s="1"/>
  <c r="D15" i="2"/>
  <c r="E15" i="2" s="1"/>
  <c r="D13" i="1"/>
  <c r="E13" i="1" s="1"/>
  <c r="D16" i="1"/>
  <c r="E16" i="1" s="1"/>
  <c r="J16" i="1" s="1"/>
  <c r="D17" i="1"/>
  <c r="E17" i="1" s="1"/>
  <c r="G17" i="1" s="1"/>
  <c r="D18" i="1"/>
  <c r="E18" i="1" s="1"/>
  <c r="J18" i="1" s="1"/>
  <c r="D15" i="1"/>
  <c r="E15" i="1" s="1"/>
  <c r="J15" i="1" s="1"/>
  <c r="D19" i="1"/>
  <c r="E19" i="1" s="1"/>
  <c r="J19" i="1" s="1"/>
  <c r="G14" i="1"/>
  <c r="J14" i="1"/>
  <c r="D12" i="1"/>
  <c r="E12" i="1" s="1"/>
  <c r="J12" i="1" s="1"/>
  <c r="D20" i="1"/>
  <c r="G23" i="6" l="1"/>
  <c r="G13" i="3"/>
  <c r="E12" i="3"/>
  <c r="J12" i="3" s="1"/>
  <c r="L12" i="3"/>
  <c r="E16" i="3"/>
  <c r="J16" i="3" s="1"/>
  <c r="E14" i="3"/>
  <c r="J14" i="3" s="1"/>
  <c r="E17" i="3"/>
  <c r="J17" i="3" s="1"/>
  <c r="E15" i="3"/>
  <c r="G14" i="4"/>
  <c r="G13" i="4"/>
  <c r="J16" i="4"/>
  <c r="G17" i="4"/>
  <c r="G16" i="3"/>
  <c r="G16" i="2"/>
  <c r="J15" i="4"/>
  <c r="G15" i="4"/>
  <c r="J20" i="4"/>
  <c r="G19" i="4"/>
  <c r="G15" i="2"/>
  <c r="J15" i="2"/>
  <c r="G19" i="1"/>
  <c r="J17" i="1"/>
  <c r="G16" i="1"/>
  <c r="G18" i="1"/>
  <c r="G15" i="1"/>
  <c r="G13" i="1"/>
  <c r="J13" i="1"/>
  <c r="E20" i="1"/>
  <c r="G17" i="3" l="1"/>
  <c r="G14" i="3"/>
  <c r="J15" i="3"/>
  <c r="G15" i="3"/>
  <c r="G23" i="4"/>
  <c r="G23" i="2"/>
  <c r="G20" i="1"/>
  <c r="G23" i="1" s="1"/>
  <c r="J20" i="1"/>
  <c r="G23" i="3" l="1"/>
</calcChain>
</file>

<file path=xl/sharedStrings.xml><?xml version="1.0" encoding="utf-8"?>
<sst xmlns="http://schemas.openxmlformats.org/spreadsheetml/2006/main" count="274" uniqueCount="63">
  <si>
    <t>3-5</t>
    <phoneticPr fontId="1" type="noConversion"/>
  </si>
  <si>
    <t>DATA SHEET OF PERMEABILITY TEST</t>
    <phoneticPr fontId="1" type="noConversion"/>
  </si>
  <si>
    <t>(Falling Head Test)</t>
    <phoneticPr fontId="1" type="noConversion"/>
  </si>
  <si>
    <t xml:space="preserve">  PROJECT NAME</t>
    <phoneticPr fontId="1" type="noConversion"/>
  </si>
  <si>
    <t xml:space="preserve">  HOLE NUMBER</t>
    <phoneticPr fontId="1" type="noConversion"/>
  </si>
  <si>
    <t xml:space="preserve">  HOLE RADIOUS</t>
    <phoneticPr fontId="1" type="noConversion"/>
  </si>
  <si>
    <t xml:space="preserve">  TEST SECTION(m)</t>
    <phoneticPr fontId="1" type="noConversion"/>
  </si>
  <si>
    <t xml:space="preserve">  GROUND WATER LEVEL</t>
    <phoneticPr fontId="1" type="noConversion"/>
  </si>
  <si>
    <t xml:space="preserve">  TEST LENGTH(cm)</t>
    <phoneticPr fontId="1" type="noConversion"/>
  </si>
  <si>
    <t xml:space="preserve"> CASING HIGHT FROM GROUND</t>
    <phoneticPr fontId="1" type="noConversion"/>
  </si>
  <si>
    <t xml:space="preserve">  CASING DEPTH(cm)</t>
    <phoneticPr fontId="1" type="noConversion"/>
  </si>
  <si>
    <t xml:space="preserve">  TESTED DATA</t>
    <phoneticPr fontId="1" type="noConversion"/>
  </si>
  <si>
    <t xml:space="preserve">  TESTED BY</t>
    <phoneticPr fontId="1" type="noConversion"/>
  </si>
  <si>
    <t>INJECTION TIME(SEC)</t>
    <phoneticPr fontId="1" type="noConversion"/>
  </si>
  <si>
    <t>Draw Down</t>
    <phoneticPr fontId="1" type="noConversion"/>
  </si>
  <si>
    <t>ΔH</t>
    <phoneticPr fontId="1" type="noConversion"/>
  </si>
  <si>
    <t>PERMEABILITY</t>
    <phoneticPr fontId="1" type="noConversion"/>
  </si>
  <si>
    <t>REMARKS</t>
    <phoneticPr fontId="1" type="noConversion"/>
  </si>
  <si>
    <t>T</t>
    <phoneticPr fontId="1" type="noConversion"/>
  </si>
  <si>
    <t>ΔT</t>
    <phoneticPr fontId="1" type="noConversion"/>
  </si>
  <si>
    <t>(cm)</t>
    <phoneticPr fontId="1" type="noConversion"/>
  </si>
  <si>
    <t>(cm/sec)</t>
    <phoneticPr fontId="1" type="noConversion"/>
  </si>
  <si>
    <t>-</t>
    <phoneticPr fontId="1" type="noConversion"/>
  </si>
  <si>
    <t xml:space="preserve">       G.L</t>
    <phoneticPr fontId="1" type="noConversion"/>
  </si>
  <si>
    <t xml:space="preserve">                2r</t>
    <phoneticPr fontId="1" type="noConversion"/>
  </si>
  <si>
    <t xml:space="preserve">         (L=0, Magg Test)</t>
    <phoneticPr fontId="1" type="noConversion"/>
  </si>
  <si>
    <t xml:space="preserve">         (L&gt;0, Falling head test)</t>
    <phoneticPr fontId="1" type="noConversion"/>
  </si>
  <si>
    <t xml:space="preserve">        Casing</t>
    <phoneticPr fontId="1" type="noConversion"/>
  </si>
  <si>
    <t xml:space="preserve">       Where</t>
    <phoneticPr fontId="1" type="noConversion"/>
  </si>
  <si>
    <t xml:space="preserve">       K : 투수계수(cm/sec)</t>
    <phoneticPr fontId="1" type="noConversion"/>
  </si>
  <si>
    <t xml:space="preserve">       ▼G.W.L</t>
    <phoneticPr fontId="1" type="noConversion"/>
  </si>
  <si>
    <t xml:space="preserve">       r : 케이싱 반경</t>
    <phoneticPr fontId="1" type="noConversion"/>
  </si>
  <si>
    <t xml:space="preserve">       L : 시험구간(cm)</t>
    <phoneticPr fontId="1" type="noConversion"/>
  </si>
  <si>
    <t xml:space="preserve">         L</t>
    <phoneticPr fontId="1" type="noConversion"/>
  </si>
  <si>
    <t xml:space="preserve">       T : 시간</t>
    <phoneticPr fontId="1" type="noConversion"/>
  </si>
  <si>
    <t>Remark</t>
    <phoneticPr fontId="1" type="noConversion"/>
  </si>
  <si>
    <r>
      <t xml:space="preserve"> HEAD AT START TIME(H</t>
    </r>
    <r>
      <rPr>
        <vertAlign val="subscript"/>
        <sz val="9"/>
        <color indexed="8"/>
        <rFont val="바탕체"/>
        <family val="1"/>
        <charset val="129"/>
      </rPr>
      <t>0</t>
    </r>
    <r>
      <rPr>
        <sz val="9"/>
        <color indexed="8"/>
        <rFont val="바탕체"/>
        <family val="1"/>
        <charset val="129"/>
      </rPr>
      <t>)</t>
    </r>
    <phoneticPr fontId="1" type="noConversion"/>
  </si>
  <si>
    <r>
      <t>H</t>
    </r>
    <r>
      <rPr>
        <vertAlign val="subscript"/>
        <sz val="10"/>
        <color indexed="8"/>
        <rFont val="바탕체"/>
        <family val="1"/>
        <charset val="129"/>
      </rPr>
      <t>0</t>
    </r>
    <phoneticPr fontId="1" type="noConversion"/>
  </si>
  <si>
    <r>
      <t>H</t>
    </r>
    <r>
      <rPr>
        <vertAlign val="subscript"/>
        <sz val="10"/>
        <color indexed="8"/>
        <rFont val="바탕체"/>
        <family val="1"/>
        <charset val="129"/>
      </rPr>
      <t>t</t>
    </r>
    <phoneticPr fontId="1" type="noConversion"/>
  </si>
  <si>
    <r>
      <t xml:space="preserve">         t</t>
    </r>
    <r>
      <rPr>
        <vertAlign val="subscript"/>
        <sz val="11"/>
        <color indexed="8"/>
        <rFont val="바탕체"/>
        <family val="1"/>
        <charset val="129"/>
      </rPr>
      <t>0</t>
    </r>
    <phoneticPr fontId="1" type="noConversion"/>
  </si>
  <si>
    <r>
      <t>H</t>
    </r>
    <r>
      <rPr>
        <vertAlign val="subscript"/>
        <sz val="11"/>
        <color indexed="8"/>
        <rFont val="바탕체"/>
        <family val="1"/>
        <charset val="129"/>
      </rPr>
      <t>0</t>
    </r>
    <phoneticPr fontId="1" type="noConversion"/>
  </si>
  <si>
    <r>
      <t xml:space="preserve">         t</t>
    </r>
    <r>
      <rPr>
        <vertAlign val="subscript"/>
        <sz val="11"/>
        <color indexed="8"/>
        <rFont val="바탕체"/>
        <family val="1"/>
        <charset val="129"/>
      </rPr>
      <t>t</t>
    </r>
    <phoneticPr fontId="1" type="noConversion"/>
  </si>
  <si>
    <r>
      <t xml:space="preserve">     H</t>
    </r>
    <r>
      <rPr>
        <vertAlign val="subscript"/>
        <sz val="11"/>
        <color indexed="8"/>
        <rFont val="바탕체"/>
        <family val="1"/>
        <charset val="129"/>
      </rPr>
      <t>t</t>
    </r>
    <phoneticPr fontId="1" type="noConversion"/>
  </si>
  <si>
    <r>
      <t xml:space="preserve">       H</t>
    </r>
    <r>
      <rPr>
        <vertAlign val="subscript"/>
        <sz val="9"/>
        <color indexed="8"/>
        <rFont val="바탕체"/>
        <family val="1"/>
        <charset val="129"/>
      </rPr>
      <t>0</t>
    </r>
    <r>
      <rPr>
        <sz val="9"/>
        <color indexed="8"/>
        <rFont val="바탕체"/>
        <family val="1"/>
        <charset val="129"/>
      </rPr>
      <t xml:space="preserve"> : 초기의 수두</t>
    </r>
    <phoneticPr fontId="1" type="noConversion"/>
  </si>
  <si>
    <r>
      <t xml:space="preserve">       H</t>
    </r>
    <r>
      <rPr>
        <vertAlign val="subscript"/>
        <sz val="9"/>
        <color indexed="8"/>
        <rFont val="바탕체"/>
        <family val="1"/>
        <charset val="129"/>
      </rPr>
      <t>t</t>
    </r>
    <r>
      <rPr>
        <sz val="9"/>
        <color indexed="8"/>
        <rFont val="바탕체"/>
        <family val="1"/>
        <charset val="129"/>
      </rPr>
      <t xml:space="preserve"> : 시간에 따른 변수두</t>
    </r>
    <phoneticPr fontId="1" type="noConversion"/>
  </si>
  <si>
    <t>평    균</t>
    <phoneticPr fontId="1" type="noConversion"/>
  </si>
  <si>
    <t>PH-2(조사공)</t>
    <phoneticPr fontId="1" type="noConversion"/>
  </si>
  <si>
    <t>PH-1(조사공)</t>
    <phoneticPr fontId="1" type="noConversion"/>
  </si>
  <si>
    <t>100-400</t>
    <phoneticPr fontId="1" type="noConversion"/>
  </si>
  <si>
    <t>400-700</t>
    <phoneticPr fontId="1" type="noConversion"/>
  </si>
  <si>
    <t>삼계저수지 수리시설개보수</t>
  </si>
  <si>
    <t>삼계저수지 수리시설개보수</t>
    <phoneticPr fontId="1" type="noConversion"/>
  </si>
  <si>
    <t>100-600</t>
    <phoneticPr fontId="1" type="noConversion"/>
  </si>
  <si>
    <t>water_level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</si>
  <si>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</si>
  <si>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</si>
  <si>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</si>
  <si>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r>
      <t xml:space="preserve"> HEAD AT START TIME(H</t>
    </r>
    <r>
      <rPr>
        <vertAlign val="subscript"/>
        <sz val="9"/>
        <color indexed="8"/>
        <rFont val="맑은 고딕"/>
        <family val="3"/>
        <charset val="129"/>
      </rPr>
      <t>0</t>
    </r>
    <r>
      <rPr>
        <sz val="9"/>
        <color indexed="8"/>
        <rFont val="맑은 고딕"/>
        <family val="3"/>
        <charset val="129"/>
      </rPr>
      <t>)</t>
    </r>
    <phoneticPr fontId="1" type="noConversion"/>
  </si>
  <si>
    <r>
      <t>H</t>
    </r>
    <r>
      <rPr>
        <vertAlign val="subscript"/>
        <sz val="10"/>
        <color indexed="8"/>
        <rFont val="맑은 고딕"/>
        <family val="3"/>
        <charset val="129"/>
      </rPr>
      <t>0</t>
    </r>
    <phoneticPr fontId="1" type="noConversion"/>
  </si>
  <si>
    <r>
      <t>H</t>
    </r>
    <r>
      <rPr>
        <vertAlign val="subscript"/>
        <sz val="10"/>
        <color indexed="8"/>
        <rFont val="맑은 고딕"/>
        <family val="3"/>
        <charset val="129"/>
      </rPr>
      <t>t</t>
    </r>
    <phoneticPr fontId="1" type="noConversion"/>
  </si>
  <si>
    <r>
      <t xml:space="preserve">       H</t>
    </r>
    <r>
      <rPr>
        <vertAlign val="subscript"/>
        <sz val="9"/>
        <color indexed="8"/>
        <rFont val="맑은 고딕"/>
        <family val="3"/>
        <charset val="129"/>
      </rPr>
      <t>0</t>
    </r>
    <r>
      <rPr>
        <sz val="9"/>
        <color indexed="8"/>
        <rFont val="맑은 고딕"/>
        <family val="3"/>
        <charset val="129"/>
      </rPr>
      <t xml:space="preserve"> : 초기의 수두</t>
    </r>
    <phoneticPr fontId="1" type="noConversion"/>
  </si>
  <si>
    <r>
      <t xml:space="preserve">       H</t>
    </r>
    <r>
      <rPr>
        <vertAlign val="subscript"/>
        <sz val="9"/>
        <color indexed="8"/>
        <rFont val="맑은 고딕"/>
        <family val="3"/>
        <charset val="129"/>
      </rPr>
      <t>t</t>
    </r>
    <r>
      <rPr>
        <sz val="9"/>
        <color indexed="8"/>
        <rFont val="맑은 고딕"/>
        <family val="3"/>
        <charset val="129"/>
      </rPr>
      <t xml:space="preserve"> : 시간에 따른 변수두</t>
    </r>
    <phoneticPr fontId="1" type="noConversion"/>
  </si>
  <si>
    <t>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</si>
</sst>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\ \(&quot;㎝&quot;\)"/>
    <numFmt numFmtId="177" formatCode="0\ \(&quot;㎝&quot;\)"/>
    <numFmt numFmtId="178" formatCode="0_);[Red]\(0\)"/>
    <numFmt numFmtId="179" formatCode="0.000E+00"/>
  </numFmts>
  <fonts count="24"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indexed="8"/>
      <name val="바탕체"/>
      <family val="1"/>
      <charset val="129"/>
    </font>
    <font>
      <sz val="18"/>
      <color indexed="8"/>
      <name val="바탕체"/>
      <family val="1"/>
      <charset val="129"/>
    </font>
    <font>
      <sz val="12"/>
      <color indexed="8"/>
      <name val="바탕체"/>
      <family val="1"/>
      <charset val="129"/>
    </font>
    <font>
      <sz val="10"/>
      <color indexed="8"/>
      <name val="바탕체"/>
      <family val="1"/>
      <charset val="129"/>
    </font>
    <font>
      <sz val="9"/>
      <color indexed="8"/>
      <name val="바탕체"/>
      <family val="1"/>
      <charset val="129"/>
    </font>
    <font>
      <vertAlign val="subscript"/>
      <sz val="9"/>
      <color indexed="8"/>
      <name val="바탕체"/>
      <family val="1"/>
      <charset val="129"/>
    </font>
    <font>
      <vertAlign val="subscript"/>
      <sz val="10"/>
      <color indexed="8"/>
      <name val="바탕체"/>
      <family val="1"/>
      <charset val="129"/>
    </font>
    <font>
      <sz val="8"/>
      <color indexed="8"/>
      <name val="바탕체"/>
      <family val="1"/>
      <charset val="129"/>
    </font>
    <font>
      <vertAlign val="subscript"/>
      <sz val="11"/>
      <color indexed="8"/>
      <name val="바탕체"/>
      <family val="1"/>
      <charset val="129"/>
    </font>
    <font>
      <b/>
      <sz val="11"/>
      <color indexed="8"/>
      <name val="바탕체"/>
      <family val="1"/>
      <charset val="129"/>
    </font>
    <font>
      <sz val="18"/>
      <color indexed="8"/>
      <name val="맑은 고딕"/>
      <family val="3"/>
      <charset val="129"/>
    </font>
    <font>
      <sz val="12"/>
      <color indexed="8"/>
      <name val="맑은 고딕"/>
      <family val="3"/>
      <charset val="129"/>
    </font>
    <font>
      <sz val="10"/>
      <color indexed="8"/>
      <name val="맑은 고딕"/>
      <family val="3"/>
      <charset val="129"/>
    </font>
    <font>
      <sz val="11"/>
      <color indexed="8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9"/>
      <color indexed="8"/>
      <name val="맑은 고딕"/>
      <family val="3"/>
      <charset val="129"/>
    </font>
    <font>
      <vertAlign val="subscript"/>
      <sz val="9"/>
      <color indexed="8"/>
      <name val="맑은 고딕"/>
      <family val="3"/>
      <charset val="129"/>
    </font>
    <font>
      <vertAlign val="subscript"/>
      <sz val="10"/>
      <color indexed="8"/>
      <name val="맑은 고딕"/>
      <family val="3"/>
      <charset val="129"/>
    </font>
    <font>
      <sz val="8"/>
      <color indexed="8"/>
      <name val="맑은 고딕"/>
      <family val="3"/>
      <charset val="129"/>
    </font>
    <font>
      <sz val="11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i/>
      <sz val="12"/>
      <color theme="0"/>
      <name val="맑은 고딕"/>
      <family val="3"/>
      <charset val="129"/>
      <scheme val="maj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0.59999389629810485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15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Border="1">
      <alignment vertical="center"/>
    </xf>
    <xf numFmtId="0" fontId="5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78" fontId="2" fillId="0" borderId="6" xfId="0" applyNumberFormat="1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79" fontId="2" fillId="0" borderId="10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179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>
      <alignment vertical="center"/>
    </xf>
    <xf numFmtId="0" fontId="2" fillId="0" borderId="15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17" xfId="0" applyFont="1" applyBorder="1">
      <alignment vertical="center"/>
    </xf>
    <xf numFmtId="0" fontId="9" fillId="0" borderId="18" xfId="0" applyFont="1" applyBorder="1">
      <alignment vertical="center"/>
    </xf>
    <xf numFmtId="0" fontId="2" fillId="0" borderId="18" xfId="0" applyFont="1" applyBorder="1">
      <alignment vertical="center"/>
    </xf>
    <xf numFmtId="0" fontId="9" fillId="0" borderId="0" xfId="0" applyFont="1" applyBorder="1" applyAlignment="1">
      <alignment vertical="center"/>
    </xf>
    <xf numFmtId="0" fontId="9" fillId="0" borderId="0" xfId="0" applyFont="1" applyBorder="1" applyAlignment="1" applyProtection="1">
      <alignment vertical="center"/>
    </xf>
    <xf numFmtId="0" fontId="6" fillId="0" borderId="0" xfId="0" applyFont="1">
      <alignment vertical="center"/>
    </xf>
    <xf numFmtId="0" fontId="6" fillId="0" borderId="0" xfId="0" applyFont="1" applyBorder="1">
      <alignment vertical="center"/>
    </xf>
    <xf numFmtId="0" fontId="2" fillId="0" borderId="19" xfId="0" applyFont="1" applyBorder="1">
      <alignment vertical="center"/>
    </xf>
    <xf numFmtId="0" fontId="2" fillId="0" borderId="20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0" fontId="2" fillId="0" borderId="23" xfId="0" applyFont="1" applyBorder="1">
      <alignment vertical="center"/>
    </xf>
    <xf numFmtId="0" fontId="14" fillId="0" borderId="1" xfId="0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178" fontId="15" fillId="0" borderId="6" xfId="0" applyNumberFormat="1" applyFont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178" fontId="21" fillId="2" borderId="48" xfId="0" applyNumberFormat="1" applyFont="1" applyFill="1" applyBorder="1" applyAlignment="1">
      <alignment horizontal="center" vertical="center"/>
    </xf>
    <xf numFmtId="179" fontId="15" fillId="0" borderId="10" xfId="0" applyNumberFormat="1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20" fillId="0" borderId="0" xfId="0" applyFont="1" applyBorder="1" applyAlignment="1" applyProtection="1">
      <alignment vertical="center"/>
    </xf>
    <xf numFmtId="0" fontId="15" fillId="0" borderId="0" xfId="0" applyFont="1">
      <alignment vertical="center"/>
    </xf>
    <xf numFmtId="0" fontId="17" fillId="0" borderId="0" xfId="0" applyFont="1">
      <alignment vertical="center"/>
    </xf>
    <xf numFmtId="0" fontId="15" fillId="0" borderId="0" xfId="0" applyFont="1" applyBorder="1">
      <alignment vertical="center"/>
    </xf>
    <xf numFmtId="0" fontId="17" fillId="0" borderId="0" xfId="0" applyFont="1" applyBorder="1">
      <alignment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179" fontId="15" fillId="0" borderId="12" xfId="0" applyNumberFormat="1" applyFont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0" fontId="12" fillId="0" borderId="14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3" fillId="0" borderId="47" xfId="0" applyFont="1" applyBorder="1" applyAlignment="1">
      <alignment horizontal="center" vertical="top"/>
    </xf>
    <xf numFmtId="0" fontId="13" fillId="0" borderId="22" xfId="0" applyFont="1" applyBorder="1" applyAlignment="1">
      <alignment horizontal="center" vertical="top"/>
    </xf>
    <xf numFmtId="0" fontId="13" fillId="0" borderId="23" xfId="0" applyFont="1" applyBorder="1" applyAlignment="1">
      <alignment horizontal="center" vertical="top"/>
    </xf>
    <xf numFmtId="0" fontId="14" fillId="0" borderId="42" xfId="0" applyFont="1" applyBorder="1" applyAlignment="1">
      <alignment vertical="center"/>
    </xf>
    <xf numFmtId="0" fontId="14" fillId="0" borderId="43" xfId="0" applyFont="1" applyBorder="1" applyAlignment="1">
      <alignment vertical="center"/>
    </xf>
    <xf numFmtId="0" fontId="15" fillId="0" borderId="44" xfId="0" applyFont="1" applyBorder="1" applyAlignment="1">
      <alignment horizontal="center" vertical="center"/>
    </xf>
    <xf numFmtId="0" fontId="15" fillId="0" borderId="45" xfId="0" applyFont="1" applyBorder="1" applyAlignment="1">
      <alignment horizontal="center" vertical="center"/>
    </xf>
    <xf numFmtId="0" fontId="15" fillId="0" borderId="46" xfId="0" applyFont="1" applyBorder="1" applyAlignment="1">
      <alignment horizontal="center" vertical="center"/>
    </xf>
    <xf numFmtId="0" fontId="14" fillId="0" borderId="35" xfId="0" applyFont="1" applyBorder="1" applyAlignment="1">
      <alignment vertical="center"/>
    </xf>
    <xf numFmtId="0" fontId="14" fillId="0" borderId="30" xfId="0" applyFont="1" applyBorder="1" applyAlignment="1">
      <alignment vertical="center"/>
    </xf>
    <xf numFmtId="0" fontId="16" fillId="0" borderId="29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4" fillId="0" borderId="29" xfId="0" applyFont="1" applyBorder="1" applyAlignment="1">
      <alignment vertical="center"/>
    </xf>
    <xf numFmtId="176" fontId="15" fillId="0" borderId="29" xfId="0" applyNumberFormat="1" applyFont="1" applyBorder="1" applyAlignment="1">
      <alignment horizontal="center" vertical="center"/>
    </xf>
    <xf numFmtId="176" fontId="15" fillId="0" borderId="41" xfId="0" applyNumberFormat="1" applyFont="1" applyBorder="1" applyAlignment="1">
      <alignment horizontal="center" vertical="center"/>
    </xf>
    <xf numFmtId="0" fontId="14" fillId="0" borderId="34" xfId="0" applyFont="1" applyBorder="1" applyAlignment="1">
      <alignment vertical="center"/>
    </xf>
    <xf numFmtId="0" fontId="14" fillId="0" borderId="25" xfId="0" applyFont="1" applyBorder="1" applyAlignment="1">
      <alignment vertical="center"/>
    </xf>
    <xf numFmtId="0" fontId="15" fillId="0" borderId="24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4" fillId="0" borderId="24" xfId="0" applyFont="1" applyBorder="1" applyAlignment="1">
      <alignment vertical="center"/>
    </xf>
    <xf numFmtId="177" fontId="15" fillId="5" borderId="24" xfId="0" applyNumberFormat="1" applyFont="1" applyFill="1" applyBorder="1" applyAlignment="1">
      <alignment horizontal="center" vertical="center"/>
    </xf>
    <xf numFmtId="177" fontId="15" fillId="5" borderId="40" xfId="0" applyNumberFormat="1" applyFont="1" applyFill="1" applyBorder="1" applyAlignment="1">
      <alignment horizontal="center" vertical="center"/>
    </xf>
    <xf numFmtId="177" fontId="15" fillId="5" borderId="25" xfId="0" applyNumberFormat="1" applyFont="1" applyFill="1" applyBorder="1" applyAlignment="1">
      <alignment horizontal="center" vertical="center"/>
    </xf>
    <xf numFmtId="0" fontId="17" fillId="0" borderId="24" xfId="0" applyFont="1" applyBorder="1" applyAlignment="1">
      <alignment vertical="center"/>
    </xf>
    <xf numFmtId="0" fontId="17" fillId="0" borderId="25" xfId="0" applyFont="1" applyBorder="1" applyAlignment="1">
      <alignment vertical="center"/>
    </xf>
    <xf numFmtId="176" fontId="15" fillId="0" borderId="24" xfId="0" applyNumberFormat="1" applyFont="1" applyBorder="1" applyAlignment="1">
      <alignment horizontal="center" vertical="center"/>
    </xf>
    <xf numFmtId="176" fontId="15" fillId="0" borderId="40" xfId="0" applyNumberFormat="1" applyFont="1" applyBorder="1" applyAlignment="1">
      <alignment horizontal="center" vertical="center"/>
    </xf>
    <xf numFmtId="0" fontId="14" fillId="0" borderId="35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177" fontId="15" fillId="0" borderId="24" xfId="0" applyNumberFormat="1" applyFont="1" applyBorder="1" applyAlignment="1">
      <alignment horizontal="center" vertical="center"/>
    </xf>
    <xf numFmtId="177" fontId="15" fillId="0" borderId="25" xfId="0" applyNumberFormat="1" applyFont="1" applyBorder="1" applyAlignment="1">
      <alignment horizontal="center" vertical="center"/>
    </xf>
    <xf numFmtId="177" fontId="15" fillId="0" borderId="40" xfId="0" applyNumberFormat="1" applyFont="1" applyBorder="1" applyAlignment="1">
      <alignment horizontal="center" vertical="center"/>
    </xf>
    <xf numFmtId="0" fontId="14" fillId="0" borderId="38" xfId="0" applyFont="1" applyBorder="1" applyAlignment="1">
      <alignment vertical="center"/>
    </xf>
    <xf numFmtId="0" fontId="14" fillId="0" borderId="27" xfId="0" applyFont="1" applyBorder="1" applyAlignment="1">
      <alignment vertical="center"/>
    </xf>
    <xf numFmtId="0" fontId="15" fillId="0" borderId="26" xfId="0" quotePrefix="1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4" fillId="0" borderId="26" xfId="0" applyFont="1" applyBorder="1" applyAlignment="1">
      <alignment vertical="center"/>
    </xf>
    <xf numFmtId="0" fontId="15" fillId="0" borderId="26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5" fillId="0" borderId="34" xfId="0" applyFont="1" applyBorder="1" applyAlignment="1">
      <alignment vertical="center"/>
    </xf>
    <xf numFmtId="0" fontId="5" fillId="0" borderId="25" xfId="0" applyFont="1" applyBorder="1" applyAlignment="1">
      <alignment vertical="center"/>
    </xf>
    <xf numFmtId="177" fontId="2" fillId="0" borderId="24" xfId="0" applyNumberFormat="1" applyFont="1" applyBorder="1" applyAlignment="1">
      <alignment horizontal="center" vertical="center"/>
    </xf>
    <xf numFmtId="177" fontId="2" fillId="0" borderId="25" xfId="0" applyNumberFormat="1" applyFont="1" applyBorder="1" applyAlignment="1">
      <alignment horizontal="center" vertical="center"/>
    </xf>
    <xf numFmtId="0" fontId="6" fillId="0" borderId="24" xfId="0" applyFont="1" applyBorder="1" applyAlignment="1">
      <alignment vertical="center"/>
    </xf>
    <xf numFmtId="0" fontId="6" fillId="0" borderId="25" xfId="0" applyFont="1" applyBorder="1" applyAlignment="1">
      <alignment vertical="center"/>
    </xf>
    <xf numFmtId="177" fontId="2" fillId="0" borderId="40" xfId="0" applyNumberFormat="1" applyFont="1" applyBorder="1" applyAlignment="1">
      <alignment horizontal="center" vertical="center"/>
    </xf>
    <xf numFmtId="0" fontId="5" fillId="0" borderId="38" xfId="0" applyFont="1" applyBorder="1" applyAlignment="1">
      <alignment vertical="center"/>
    </xf>
    <xf numFmtId="0" fontId="5" fillId="0" borderId="27" xfId="0" applyFont="1" applyBorder="1" applyAlignment="1">
      <alignment vertical="center"/>
    </xf>
    <xf numFmtId="0" fontId="2" fillId="0" borderId="26" xfId="0" quotePrefix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5" fillId="0" borderId="26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5" fillId="0" borderId="24" xfId="0" applyFont="1" applyBorder="1" applyAlignment="1">
      <alignment vertical="center"/>
    </xf>
    <xf numFmtId="176" fontId="2" fillId="0" borderId="24" xfId="0" applyNumberFormat="1" applyFont="1" applyBorder="1" applyAlignment="1">
      <alignment horizontal="center" vertical="center"/>
    </xf>
    <xf numFmtId="176" fontId="2" fillId="0" borderId="40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4" fillId="0" borderId="47" xfId="0" applyFont="1" applyBorder="1" applyAlignment="1">
      <alignment horizontal="center" vertical="top"/>
    </xf>
    <xf numFmtId="0" fontId="4" fillId="0" borderId="22" xfId="0" applyFont="1" applyBorder="1" applyAlignment="1">
      <alignment horizontal="center" vertical="top"/>
    </xf>
    <xf numFmtId="0" fontId="4" fillId="0" borderId="23" xfId="0" applyFont="1" applyBorder="1" applyAlignment="1">
      <alignment horizontal="center" vertical="top"/>
    </xf>
    <xf numFmtId="0" fontId="5" fillId="0" borderId="42" xfId="0" applyFont="1" applyBorder="1" applyAlignment="1">
      <alignment vertical="center"/>
    </xf>
    <xf numFmtId="0" fontId="5" fillId="0" borderId="43" xfId="0" applyFont="1" applyBorder="1" applyAlignment="1">
      <alignment vertical="center"/>
    </xf>
    <xf numFmtId="0" fontId="2" fillId="0" borderId="44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5" fillId="0" borderId="35" xfId="0" applyFont="1" applyBorder="1" applyAlignment="1">
      <alignment vertical="center"/>
    </xf>
    <xf numFmtId="0" fontId="5" fillId="0" borderId="30" xfId="0" applyFont="1" applyBorder="1" applyAlignment="1">
      <alignment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5" fillId="0" borderId="29" xfId="0" applyFont="1" applyBorder="1" applyAlignment="1">
      <alignment vertical="center"/>
    </xf>
    <xf numFmtId="176" fontId="2" fillId="0" borderId="29" xfId="0" applyNumberFormat="1" applyFont="1" applyBorder="1" applyAlignment="1">
      <alignment horizontal="center" vertical="center"/>
    </xf>
    <xf numFmtId="176" fontId="2" fillId="0" borderId="41" xfId="0" applyNumberFormat="1" applyFont="1" applyBorder="1" applyAlignment="1">
      <alignment horizontal="center" vertical="center"/>
    </xf>
    <xf numFmtId="0" fontId="15" fillId="5" borderId="10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28743000093063"/>
          <c:y val="0.13183341837735998"/>
          <c:w val="0.78251378085296197"/>
          <c:h val="0.6623825411155159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trendlineType val="power"/>
            <c:dispRSqr val="0"/>
            <c:dispEq val="1"/>
            <c:trendlineLbl>
              <c:layout>
                <c:manualLayout>
                  <c:x val="-7.1455751803580075E-2"/>
                  <c:y val="0.5291258799874633"/>
                </c:manualLayout>
              </c:layout>
              <c:numFmt formatCode="General" sourceLinked="0"/>
            </c:trendlineLbl>
          </c:trendline>
          <c:trendline>
            <c:trendlineType val="poly"/>
            <c:order val="3"/>
            <c:dispRSqr val="0"/>
            <c:dispEq val="1"/>
            <c:trendlineLbl>
              <c:layout>
                <c:manualLayout>
                  <c:x val="0.11952191235059761"/>
                  <c:y val="0.45391531284129782"/>
                </c:manualLayout>
              </c:layout>
              <c:numFmt formatCode="General" sourceLinked="0"/>
            </c:trendlineLbl>
          </c:trendline>
          <c:xVal>
            <c:numRef>
              <c:f>'BH1'!$A$12:$A$20</c:f>
              <c:numCache>
                <c:formatCode>General</c:formatCode>
                <c:ptCount val="9"/>
                <c:pt idx="0">
                  <c:v>0</c:v>
                </c:pt>
                <c:pt idx="1">
                  <c:v>60</c:v>
                </c:pt>
                <c:pt idx="2">
                  <c:v>120</c:v>
                </c:pt>
                <c:pt idx="3">
                  <c:v>180</c:v>
                </c:pt>
                <c:pt idx="4">
                  <c:v>240</c:v>
                </c:pt>
                <c:pt idx="5">
                  <c:v>300</c:v>
                </c:pt>
              </c:numCache>
            </c:numRef>
          </c:xVal>
          <c:yVal>
            <c:numRef>
              <c:f>'BH1'!$J$12:$J$20</c:f>
              <c:numCache>
                <c:formatCode>General</c:formatCode>
                <c:ptCount val="9"/>
                <c:pt idx="0">
                  <c:v>1</c:v>
                </c:pt>
                <c:pt idx="1">
                  <c:v>0.64080459770114939</c:v>
                </c:pt>
                <c:pt idx="2">
                  <c:v>0.58716475095785436</c:v>
                </c:pt>
                <c:pt idx="3">
                  <c:v>0.56321839080459768</c:v>
                </c:pt>
                <c:pt idx="4">
                  <c:v>0.55028735632183912</c:v>
                </c:pt>
                <c:pt idx="5">
                  <c:v>0.53735632183908044</c:v>
                </c:pt>
                <c:pt idx="7">
                  <c:v>-2.7776550084956306E-8</c:v>
                </c:pt>
                <c:pt idx="8">
                  <c:v>1.7335461100377555E-5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C5-4D0B-AE64-EF2D9C2FB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771648"/>
        <c:axId val="91773184"/>
      </c:scatterChart>
      <c:valAx>
        <c:axId val="917716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91773184"/>
        <c:crossesAt val="0"/>
        <c:crossBetween val="midCat"/>
      </c:valAx>
      <c:valAx>
        <c:axId val="91773184"/>
        <c:scaling>
          <c:orientation val="minMax"/>
          <c:max val="1"/>
          <c:min val="0"/>
        </c:scaling>
        <c:delete val="0"/>
        <c:axPos val="l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-2500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91771648"/>
        <c:crosses val="autoZero"/>
        <c:crossBetween val="midCat"/>
        <c:majorUnit val="0.1"/>
        <c:minorUnit val="0.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28743000093063"/>
          <c:y val="0.13183341837735998"/>
          <c:w val="0.78251378085296197"/>
          <c:h val="0.6623825411155159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trendlineType val="power"/>
            <c:dispRSqr val="0"/>
            <c:dispEq val="1"/>
            <c:trendlineLbl>
              <c:layout>
                <c:manualLayout>
                  <c:x val="-7.1455751803580075E-2"/>
                  <c:y val="0.5291258799874633"/>
                </c:manualLayout>
              </c:layout>
              <c:numFmt formatCode="General" sourceLinked="0"/>
            </c:trendlineLbl>
          </c:trendline>
          <c:trendline>
            <c:trendlineType val="poly"/>
            <c:order val="3"/>
            <c:dispRSqr val="0"/>
            <c:dispEq val="1"/>
            <c:trendlineLbl>
              <c:layout>
                <c:manualLayout>
                  <c:x val="0.11952191235059761"/>
                  <c:y val="0.45391531284129782"/>
                </c:manualLayout>
              </c:layout>
              <c:numFmt formatCode="General" sourceLinked="0"/>
            </c:trendlineLbl>
          </c:trendline>
          <c:xVal>
            <c:numRef>
              <c:f>'BH2'!$A$12:$A$20</c:f>
              <c:numCache>
                <c:formatCode>General</c:formatCode>
                <c:ptCount val="9"/>
                <c:pt idx="0">
                  <c:v>0</c:v>
                </c:pt>
                <c:pt idx="1">
                  <c:v>60</c:v>
                </c:pt>
                <c:pt idx="2">
                  <c:v>120</c:v>
                </c:pt>
                <c:pt idx="3">
                  <c:v>180</c:v>
                </c:pt>
                <c:pt idx="4">
                  <c:v>240</c:v>
                </c:pt>
                <c:pt idx="5">
                  <c:v>300</c:v>
                </c:pt>
              </c:numCache>
            </c:numRef>
          </c:xVal>
          <c:yVal>
            <c:numRef>
              <c:f>'BH2'!$J$12:$J$20</c:f>
              <c:numCache>
                <c:formatCode>General</c:formatCode>
                <c:ptCount val="9"/>
                <c:pt idx="0">
                  <c:v>1</c:v>
                </c:pt>
                <c:pt idx="1">
                  <c:v>0.75239463601532564</c:v>
                </c:pt>
                <c:pt idx="2">
                  <c:v>0.71024904214559392</c:v>
                </c:pt>
                <c:pt idx="3">
                  <c:v>0.69109195402298851</c:v>
                </c:pt>
                <c:pt idx="4">
                  <c:v>0.67624521072796939</c:v>
                </c:pt>
                <c:pt idx="5">
                  <c:v>0.66379310344827591</c:v>
                </c:pt>
                <c:pt idx="7">
                  <c:v>-2.7776550084956306E-8</c:v>
                </c:pt>
                <c:pt idx="8">
                  <c:v>1.7335461100377555E-5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C8-434B-BF5F-DAACC9FC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771648"/>
        <c:axId val="91773184"/>
      </c:scatterChart>
      <c:valAx>
        <c:axId val="917716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91773184"/>
        <c:crossesAt val="0"/>
        <c:crossBetween val="midCat"/>
      </c:valAx>
      <c:valAx>
        <c:axId val="91773184"/>
        <c:scaling>
          <c:orientation val="minMax"/>
          <c:max val="1"/>
          <c:min val="0"/>
        </c:scaling>
        <c:delete val="0"/>
        <c:axPos val="l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-2500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91771648"/>
        <c:crosses val="autoZero"/>
        <c:crossBetween val="midCat"/>
        <c:majorUnit val="0.1"/>
        <c:minorUnit val="0.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28743000093063"/>
          <c:y val="0.13183341837735998"/>
          <c:w val="0.78251378085296197"/>
          <c:h val="0.6623825411155159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trendlineType val="log"/>
            <c:dispRSqr val="0"/>
            <c:dispEq val="0"/>
          </c:trendline>
          <c:trendline>
            <c:trendlineType val="log"/>
            <c:dispRSqr val="0"/>
            <c:dispEq val="0"/>
          </c:trendline>
          <c:trendline>
            <c:trendlineType val="poly"/>
            <c:order val="3"/>
            <c:dispRSqr val="0"/>
            <c:dispEq val="1"/>
            <c:trendlineLbl>
              <c:layout>
                <c:manualLayout>
                  <c:x val="0.12330270861944499"/>
                  <c:y val="0.49382876093639771"/>
                </c:manualLayout>
              </c:layout>
              <c:numFmt formatCode="General" sourceLinked="0"/>
            </c:trendlineLbl>
          </c:trendline>
          <c:xVal>
            <c:numRef>
              <c:f>'검사공1-2'!$A$12:$A$20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30</c:v>
                </c:pt>
                <c:pt idx="4">
                  <c:v>60</c:v>
                </c:pt>
                <c:pt idx="5">
                  <c:v>120</c:v>
                </c:pt>
                <c:pt idx="6">
                  <c:v>180</c:v>
                </c:pt>
                <c:pt idx="7">
                  <c:v>300</c:v>
                </c:pt>
              </c:numCache>
            </c:numRef>
          </c:xVal>
          <c:yVal>
            <c:numRef>
              <c:f>'검사공1-2'!$J$12:$J$20</c:f>
              <c:numCache>
                <c:formatCode>General</c:formatCode>
                <c:ptCount val="9"/>
                <c:pt idx="0">
                  <c:v>1</c:v>
                </c:pt>
                <c:pt idx="1">
                  <c:v>0.97814207650273222</c:v>
                </c:pt>
                <c:pt idx="2">
                  <c:v>0.93442622950819676</c:v>
                </c:pt>
                <c:pt idx="3">
                  <c:v>0.83879781420765032</c:v>
                </c:pt>
                <c:pt idx="4">
                  <c:v>0.73770491803278693</c:v>
                </c:pt>
                <c:pt idx="5">
                  <c:v>0.60928961748633881</c:v>
                </c:pt>
                <c:pt idx="6">
                  <c:v>0.56010928961748629</c:v>
                </c:pt>
                <c:pt idx="7">
                  <c:v>0.53551912568306015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96-4538-980E-D0122AA6C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771648"/>
        <c:axId val="91773184"/>
      </c:scatterChart>
      <c:valAx>
        <c:axId val="917716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91773184"/>
        <c:crossesAt val="0"/>
        <c:crossBetween val="midCat"/>
      </c:valAx>
      <c:valAx>
        <c:axId val="91773184"/>
        <c:scaling>
          <c:orientation val="minMax"/>
          <c:max val="1"/>
          <c:min val="0"/>
        </c:scaling>
        <c:delete val="0"/>
        <c:axPos val="l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-2500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91771648"/>
        <c:crosses val="autoZero"/>
        <c:crossBetween val="midCat"/>
        <c:majorUnit val="0.1"/>
        <c:minorUnit val="0.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28743000093063"/>
          <c:y val="0.13183341837735998"/>
          <c:w val="0.78251378085296197"/>
          <c:h val="0.6623825411155159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trendlineType val="log"/>
            <c:dispRSqr val="0"/>
            <c:dispEq val="0"/>
          </c:trendline>
          <c:trendline>
            <c:trendlineType val="exp"/>
            <c:intercept val="1"/>
            <c:dispRSqr val="0"/>
            <c:dispEq val="1"/>
            <c:trendlineLbl>
              <c:layout>
                <c:manualLayout>
                  <c:x val="-0.13422080799760724"/>
                  <c:y val="0.18778966308233278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000"/>
                  </a:pPr>
                  <a:endParaRPr lang="ko-KR"/>
                </a:p>
              </c:txPr>
            </c:trendlineLbl>
          </c:trendline>
          <c:xVal>
            <c:numRef>
              <c:f>'검사공2-1'!$A$12:$A$20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30</c:v>
                </c:pt>
                <c:pt idx="4">
                  <c:v>60</c:v>
                </c:pt>
                <c:pt idx="5">
                  <c:v>120</c:v>
                </c:pt>
                <c:pt idx="6">
                  <c:v>180</c:v>
                </c:pt>
                <c:pt idx="7">
                  <c:v>300</c:v>
                </c:pt>
                <c:pt idx="8">
                  <c:v>600</c:v>
                </c:pt>
              </c:numCache>
            </c:numRef>
          </c:xVal>
          <c:yVal>
            <c:numRef>
              <c:f>'검사공2-1'!$J$12:$J$20</c:f>
              <c:numCache>
                <c:formatCode>General</c:formatCode>
                <c:ptCount val="9"/>
                <c:pt idx="0">
                  <c:v>1</c:v>
                </c:pt>
                <c:pt idx="1">
                  <c:v>0.96818181818181814</c:v>
                </c:pt>
                <c:pt idx="2">
                  <c:v>0.87727272727272732</c:v>
                </c:pt>
                <c:pt idx="3">
                  <c:v>0.72272727272727277</c:v>
                </c:pt>
                <c:pt idx="4">
                  <c:v>0.55454545454545456</c:v>
                </c:pt>
                <c:pt idx="5">
                  <c:v>0.33181818181818185</c:v>
                </c:pt>
                <c:pt idx="6">
                  <c:v>0.2818181818181818</c:v>
                </c:pt>
                <c:pt idx="7">
                  <c:v>0.23181818181818181</c:v>
                </c:pt>
                <c:pt idx="8">
                  <c:v>0.15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9-483F-AD8B-297D0C951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771648"/>
        <c:axId val="91773184"/>
      </c:scatterChart>
      <c:valAx>
        <c:axId val="917716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91773184"/>
        <c:crossesAt val="0"/>
        <c:crossBetween val="midCat"/>
      </c:valAx>
      <c:valAx>
        <c:axId val="91773184"/>
        <c:scaling>
          <c:orientation val="minMax"/>
          <c:max val="1"/>
          <c:min val="0"/>
        </c:scaling>
        <c:delete val="0"/>
        <c:axPos val="l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-2500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91771648"/>
        <c:crosses val="autoZero"/>
        <c:crossBetween val="midCat"/>
        <c:majorUnit val="0.1"/>
        <c:minorUnit val="0.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28743000093063"/>
          <c:y val="0.13183341837735998"/>
          <c:w val="0.78251378085296197"/>
          <c:h val="0.6623825411155159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trendlineType val="log"/>
            <c:dispRSqr val="0"/>
            <c:dispEq val="0"/>
          </c:trendline>
          <c:trendline>
            <c:trendlineType val="poly"/>
            <c:order val="3"/>
            <c:dispRSqr val="0"/>
            <c:dispEq val="1"/>
            <c:trendlineLbl>
              <c:layout>
                <c:manualLayout>
                  <c:x val="2.2710937047343293E-2"/>
                  <c:y val="0.32160034069740928"/>
                </c:manualLayout>
              </c:layout>
              <c:numFmt formatCode="General" sourceLinked="0"/>
            </c:trendlineLbl>
          </c:trendline>
          <c:trendline>
            <c:trendlineType val="linear"/>
            <c:dispRSqr val="0"/>
            <c:dispEq val="0"/>
          </c:trendline>
          <c:xVal>
            <c:numRef>
              <c:f>검사공22!$A$12:$A$20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30</c:v>
                </c:pt>
                <c:pt idx="4">
                  <c:v>60</c:v>
                </c:pt>
                <c:pt idx="5">
                  <c:v>120</c:v>
                </c:pt>
                <c:pt idx="6">
                  <c:v>180</c:v>
                </c:pt>
              </c:numCache>
            </c:numRef>
          </c:xVal>
          <c:yVal>
            <c:numRef>
              <c:f>검사공22!$J$12:$J$20</c:f>
              <c:numCache>
                <c:formatCode>General</c:formatCode>
                <c:ptCount val="9"/>
                <c:pt idx="0">
                  <c:v>1</c:v>
                </c:pt>
                <c:pt idx="1">
                  <c:v>0.97272727272727277</c:v>
                </c:pt>
                <c:pt idx="2">
                  <c:v>0.8954545454545455</c:v>
                </c:pt>
                <c:pt idx="3">
                  <c:v>0.71818181818181814</c:v>
                </c:pt>
                <c:pt idx="4">
                  <c:v>0.56818181818181823</c:v>
                </c:pt>
                <c:pt idx="5">
                  <c:v>0.34090909090909088</c:v>
                </c:pt>
                <c:pt idx="6">
                  <c:v>0.28636363636363638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7A-4E7D-A7A2-81768A459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771648"/>
        <c:axId val="91773184"/>
      </c:scatterChart>
      <c:valAx>
        <c:axId val="917716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91773184"/>
        <c:crossesAt val="0"/>
        <c:crossBetween val="midCat"/>
      </c:valAx>
      <c:valAx>
        <c:axId val="91773184"/>
        <c:scaling>
          <c:orientation val="minMax"/>
          <c:max val="1"/>
          <c:min val="0"/>
        </c:scaling>
        <c:delete val="0"/>
        <c:axPos val="l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-2500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91771648"/>
        <c:crosses val="autoZero"/>
        <c:crossBetween val="midCat"/>
        <c:majorUnit val="0.1"/>
        <c:minorUnit val="0.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11" r="0.75000000000000011" t="1" header="0.5" footer="0.5"/>
    <c:pageSetup paperSize="9" orientation="landscape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514350</xdr:colOff>
      <xdr:row>24</xdr:row>
      <xdr:rowOff>0</xdr:rowOff>
    </xdr:from>
    <xdr:to>
      <xdr:col>6</xdr:col>
      <xdr:colOff>514350</xdr:colOff>
      <xdr:row>34</xdr:row>
      <xdr:rowOff>165100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4781550" y="5943600"/>
          <a:ext cx="0" cy="20510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228600</xdr:colOff>
      <xdr:row>24</xdr:row>
      <xdr:rowOff>12700</xdr:rowOff>
    </xdr:from>
    <xdr:to>
      <xdr:col>7</xdr:col>
      <xdr:colOff>228600</xdr:colOff>
      <xdr:row>34</xdr:row>
      <xdr:rowOff>152400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5238750" y="5956300"/>
          <a:ext cx="0" cy="20256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514350</xdr:colOff>
      <xdr:row>35</xdr:row>
      <xdr:rowOff>6350</xdr:rowOff>
    </xdr:from>
    <xdr:to>
      <xdr:col>6</xdr:col>
      <xdr:colOff>514350</xdr:colOff>
      <xdr:row>38</xdr:row>
      <xdr:rowOff>38100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4781550" y="8007350"/>
          <a:ext cx="0" cy="55880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222250</xdr:colOff>
      <xdr:row>35</xdr:row>
      <xdr:rowOff>0</xdr:rowOff>
    </xdr:from>
    <xdr:to>
      <xdr:col>7</xdr:col>
      <xdr:colOff>222250</xdr:colOff>
      <xdr:row>38</xdr:row>
      <xdr:rowOff>31750</xdr:rowOff>
    </xdr:to>
    <xdr:sp macro="" textlink="">
      <xdr:nvSpPr>
        <xdr:cNvPr id="5" name="Line 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5232400" y="8001000"/>
          <a:ext cx="0" cy="55880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520700</xdr:colOff>
      <xdr:row>34</xdr:row>
      <xdr:rowOff>165100</xdr:rowOff>
    </xdr:from>
    <xdr:to>
      <xdr:col>7</xdr:col>
      <xdr:colOff>234950</xdr:colOff>
      <xdr:row>34</xdr:row>
      <xdr:rowOff>165100</xdr:rowOff>
    </xdr:to>
    <xdr:sp macro="" textlink="">
      <xdr:nvSpPr>
        <xdr:cNvPr id="6" name="Line 7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ShapeType="1"/>
        </xdr:cNvSpPr>
      </xdr:nvSpPr>
      <xdr:spPr bwMode="auto">
        <a:xfrm>
          <a:off x="4787900" y="7994650"/>
          <a:ext cx="45720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508000</xdr:colOff>
      <xdr:row>38</xdr:row>
      <xdr:rowOff>12700</xdr:rowOff>
    </xdr:from>
    <xdr:to>
      <xdr:col>7</xdr:col>
      <xdr:colOff>254000</xdr:colOff>
      <xdr:row>38</xdr:row>
      <xdr:rowOff>12700</xdr:rowOff>
    </xdr:to>
    <xdr:sp macro="" textlink="">
      <xdr:nvSpPr>
        <xdr:cNvPr id="7" name="Line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4775200" y="8540750"/>
          <a:ext cx="48895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228600</xdr:colOff>
      <xdr:row>25</xdr:row>
      <xdr:rowOff>12700</xdr:rowOff>
    </xdr:from>
    <xdr:to>
      <xdr:col>7</xdr:col>
      <xdr:colOff>654050</xdr:colOff>
      <xdr:row>25</xdr:row>
      <xdr:rowOff>12700</xdr:rowOff>
    </xdr:to>
    <xdr:sp macro="" textlink="">
      <xdr:nvSpPr>
        <xdr:cNvPr id="8" name="Line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ShapeType="1"/>
        </xdr:cNvSpPr>
      </xdr:nvSpPr>
      <xdr:spPr bwMode="auto">
        <a:xfrm>
          <a:off x="5238750" y="6134100"/>
          <a:ext cx="425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95250</xdr:colOff>
      <xdr:row>25</xdr:row>
      <xdr:rowOff>0</xdr:rowOff>
    </xdr:from>
    <xdr:to>
      <xdr:col>6</xdr:col>
      <xdr:colOff>514350</xdr:colOff>
      <xdr:row>25</xdr:row>
      <xdr:rowOff>0</xdr:rowOff>
    </xdr:to>
    <xdr:sp macro="" textlink="">
      <xdr:nvSpPr>
        <xdr:cNvPr id="9" name="Line 1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ShapeType="1"/>
        </xdr:cNvSpPr>
      </xdr:nvSpPr>
      <xdr:spPr bwMode="auto">
        <a:xfrm>
          <a:off x="4362450" y="6121400"/>
          <a:ext cx="419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514350</xdr:colOff>
      <xdr:row>26</xdr:row>
      <xdr:rowOff>0</xdr:rowOff>
    </xdr:from>
    <xdr:to>
      <xdr:col>7</xdr:col>
      <xdr:colOff>228600</xdr:colOff>
      <xdr:row>26</xdr:row>
      <xdr:rowOff>0</xdr:rowOff>
    </xdr:to>
    <xdr:sp macro="" textlink="">
      <xdr:nvSpPr>
        <xdr:cNvPr id="10" name="Line 1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ShapeType="1"/>
        </xdr:cNvSpPr>
      </xdr:nvSpPr>
      <xdr:spPr bwMode="auto">
        <a:xfrm flipV="1">
          <a:off x="4781550" y="6299200"/>
          <a:ext cx="457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273050</xdr:colOff>
      <xdr:row>29</xdr:row>
      <xdr:rowOff>0</xdr:rowOff>
    </xdr:from>
    <xdr:to>
      <xdr:col>7</xdr:col>
      <xdr:colOff>209550</xdr:colOff>
      <xdr:row>29</xdr:row>
      <xdr:rowOff>0</xdr:rowOff>
    </xdr:to>
    <xdr:sp macro="" textlink="">
      <xdr:nvSpPr>
        <xdr:cNvPr id="11" name="Line 12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ShapeType="1"/>
        </xdr:cNvSpPr>
      </xdr:nvSpPr>
      <xdr:spPr bwMode="auto">
        <a:xfrm flipH="1">
          <a:off x="4540250" y="6908800"/>
          <a:ext cx="679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6350</xdr:colOff>
      <xdr:row>33</xdr:row>
      <xdr:rowOff>0</xdr:rowOff>
    </xdr:from>
    <xdr:to>
      <xdr:col>7</xdr:col>
      <xdr:colOff>654050</xdr:colOff>
      <xdr:row>33</xdr:row>
      <xdr:rowOff>0</xdr:rowOff>
    </xdr:to>
    <xdr:sp macro="" textlink="">
      <xdr:nvSpPr>
        <xdr:cNvPr id="12" name="Line 1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ShapeType="1"/>
        </xdr:cNvSpPr>
      </xdr:nvSpPr>
      <xdr:spPr bwMode="auto">
        <a:xfrm flipH="1" flipV="1">
          <a:off x="4273550" y="7658100"/>
          <a:ext cx="1390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247650</xdr:colOff>
      <xdr:row>35</xdr:row>
      <xdr:rowOff>0</xdr:rowOff>
    </xdr:from>
    <xdr:to>
      <xdr:col>7</xdr:col>
      <xdr:colOff>444500</xdr:colOff>
      <xdr:row>35</xdr:row>
      <xdr:rowOff>0</xdr:rowOff>
    </xdr:to>
    <xdr:sp macro="" textlink="">
      <xdr:nvSpPr>
        <xdr:cNvPr id="13" name="Line 1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ShapeType="1"/>
        </xdr:cNvSpPr>
      </xdr:nvSpPr>
      <xdr:spPr bwMode="auto">
        <a:xfrm>
          <a:off x="5257800" y="8001000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247650</xdr:colOff>
      <xdr:row>38</xdr:row>
      <xdr:rowOff>12700</xdr:rowOff>
    </xdr:from>
    <xdr:to>
      <xdr:col>7</xdr:col>
      <xdr:colOff>444500</xdr:colOff>
      <xdr:row>38</xdr:row>
      <xdr:rowOff>12700</xdr:rowOff>
    </xdr:to>
    <xdr:sp macro="" textlink="">
      <xdr:nvSpPr>
        <xdr:cNvPr id="14" name="Line 15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5257800" y="8540750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330200</xdr:colOff>
      <xdr:row>35</xdr:row>
      <xdr:rowOff>0</xdr:rowOff>
    </xdr:from>
    <xdr:to>
      <xdr:col>7</xdr:col>
      <xdr:colOff>330200</xdr:colOff>
      <xdr:row>38</xdr:row>
      <xdr:rowOff>19050</xdr:rowOff>
    </xdr:to>
    <xdr:sp macro="" textlink="">
      <xdr:nvSpPr>
        <xdr:cNvPr id="15" name="Line 16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ShapeType="1"/>
        </xdr:cNvSpPr>
      </xdr:nvSpPr>
      <xdr:spPr bwMode="auto">
        <a:xfrm flipH="1">
          <a:off x="5340350" y="8001000"/>
          <a:ext cx="0" cy="5461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393700</xdr:colOff>
      <xdr:row>29</xdr:row>
      <xdr:rowOff>12700</xdr:rowOff>
    </xdr:from>
    <xdr:to>
      <xdr:col>6</xdr:col>
      <xdr:colOff>393700</xdr:colOff>
      <xdr:row>33</xdr:row>
      <xdr:rowOff>0</xdr:rowOff>
    </xdr:to>
    <xdr:sp macro="" textlink="">
      <xdr:nvSpPr>
        <xdr:cNvPr id="16" name="Line 1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ShapeType="1"/>
        </xdr:cNvSpPr>
      </xdr:nvSpPr>
      <xdr:spPr bwMode="auto">
        <a:xfrm>
          <a:off x="4660900" y="6921500"/>
          <a:ext cx="0" cy="7366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19050</xdr:colOff>
      <xdr:row>24</xdr:row>
      <xdr:rowOff>0</xdr:rowOff>
    </xdr:from>
    <xdr:to>
      <xdr:col>6</xdr:col>
      <xdr:colOff>527050</xdr:colOff>
      <xdr:row>24</xdr:row>
      <xdr:rowOff>0</xdr:rowOff>
    </xdr:to>
    <xdr:sp macro="" textlink="">
      <xdr:nvSpPr>
        <xdr:cNvPr id="17" name="Line 1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ShapeType="1"/>
        </xdr:cNvSpPr>
      </xdr:nvSpPr>
      <xdr:spPr bwMode="auto">
        <a:xfrm flipH="1">
          <a:off x="4286250" y="5943600"/>
          <a:ext cx="508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196850</xdr:colOff>
      <xdr:row>24</xdr:row>
      <xdr:rowOff>0</xdr:rowOff>
    </xdr:from>
    <xdr:to>
      <xdr:col>6</xdr:col>
      <xdr:colOff>196850</xdr:colOff>
      <xdr:row>33</xdr:row>
      <xdr:rowOff>0</xdr:rowOff>
    </xdr:to>
    <xdr:sp macro="" textlink="">
      <xdr:nvSpPr>
        <xdr:cNvPr id="18" name="Line 1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ShapeType="1"/>
        </xdr:cNvSpPr>
      </xdr:nvSpPr>
      <xdr:spPr bwMode="auto">
        <a:xfrm flipH="1">
          <a:off x="4464050" y="5943600"/>
          <a:ext cx="0" cy="17145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234950</xdr:colOff>
      <xdr:row>31</xdr:row>
      <xdr:rowOff>0</xdr:rowOff>
    </xdr:from>
    <xdr:to>
      <xdr:col>7</xdr:col>
      <xdr:colOff>641350</xdr:colOff>
      <xdr:row>31</xdr:row>
      <xdr:rowOff>0</xdr:rowOff>
    </xdr:to>
    <xdr:sp macro="" textlink="">
      <xdr:nvSpPr>
        <xdr:cNvPr id="19" name="Line 2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ShapeType="1"/>
        </xdr:cNvSpPr>
      </xdr:nvSpPr>
      <xdr:spPr bwMode="auto">
        <a:xfrm flipH="1">
          <a:off x="5245100" y="7302500"/>
          <a:ext cx="406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122402</xdr:colOff>
      <xdr:row>23</xdr:row>
      <xdr:rowOff>181206</xdr:rowOff>
    </xdr:from>
    <xdr:to>
      <xdr:col>4</xdr:col>
      <xdr:colOff>109702</xdr:colOff>
      <xdr:row>39</xdr:row>
      <xdr:rowOff>80595</xdr:rowOff>
    </xdr:to>
    <xdr:graphicFrame macro="">
      <xdr:nvGraphicFramePr>
        <xdr:cNvPr id="20" name="Chart 2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25</xdr:row>
          <xdr:rowOff>28575</xdr:rowOff>
        </xdr:from>
        <xdr:to>
          <xdr:col>5</xdr:col>
          <xdr:colOff>619125</xdr:colOff>
          <xdr:row>27</xdr:row>
          <xdr:rowOff>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28</xdr:row>
          <xdr:rowOff>28575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3074" name="Object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</xdr:row>
          <xdr:rowOff>0</xdr:rowOff>
        </xdr:from>
        <xdr:to>
          <xdr:col>10</xdr:col>
          <xdr:colOff>781050</xdr:colOff>
          <xdr:row>3</xdr:row>
          <xdr:rowOff>171450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876300</xdr:colOff>
          <xdr:row>2</xdr:row>
          <xdr:rowOff>9525</xdr:rowOff>
        </xdr:from>
        <xdr:to>
          <xdr:col>12</xdr:col>
          <xdr:colOff>571500</xdr:colOff>
          <xdr:row>3</xdr:row>
          <xdr:rowOff>180975</xdr:rowOff>
        </xdr:to>
        <xdr:sp macro="" textlink="">
          <xdr:nvSpPr>
            <xdr:cNvPr id="3076" name="CommandButton2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4</xdr:row>
          <xdr:rowOff>47625</xdr:rowOff>
        </xdr:from>
        <xdr:to>
          <xdr:col>10</xdr:col>
          <xdr:colOff>762000</xdr:colOff>
          <xdr:row>5</xdr:row>
          <xdr:rowOff>161925</xdr:rowOff>
        </xdr:to>
        <xdr:sp macro="" textlink="">
          <xdr:nvSpPr>
            <xdr:cNvPr id="3077" name="CommandButton3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923925</xdr:colOff>
          <xdr:row>4</xdr:row>
          <xdr:rowOff>47625</xdr:rowOff>
        </xdr:from>
        <xdr:to>
          <xdr:col>12</xdr:col>
          <xdr:colOff>581025</xdr:colOff>
          <xdr:row>5</xdr:row>
          <xdr:rowOff>161925</xdr:rowOff>
        </xdr:to>
        <xdr:sp macro="" textlink="">
          <xdr:nvSpPr>
            <xdr:cNvPr id="3078" name="CommandButton4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514350</xdr:colOff>
      <xdr:row>24</xdr:row>
      <xdr:rowOff>0</xdr:rowOff>
    </xdr:from>
    <xdr:to>
      <xdr:col>6</xdr:col>
      <xdr:colOff>514350</xdr:colOff>
      <xdr:row>34</xdr:row>
      <xdr:rowOff>165100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ShapeType="1"/>
        </xdr:cNvSpPr>
      </xdr:nvSpPr>
      <xdr:spPr bwMode="auto">
        <a:xfrm>
          <a:off x="5314950" y="5800725"/>
          <a:ext cx="0" cy="20701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228600</xdr:colOff>
      <xdr:row>24</xdr:row>
      <xdr:rowOff>12700</xdr:rowOff>
    </xdr:from>
    <xdr:to>
      <xdr:col>7</xdr:col>
      <xdr:colOff>228600</xdr:colOff>
      <xdr:row>34</xdr:row>
      <xdr:rowOff>152400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>
          <a:off x="5867400" y="5813425"/>
          <a:ext cx="0" cy="20447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514350</xdr:colOff>
      <xdr:row>35</xdr:row>
      <xdr:rowOff>6350</xdr:rowOff>
    </xdr:from>
    <xdr:to>
      <xdr:col>6</xdr:col>
      <xdr:colOff>514350</xdr:colOff>
      <xdr:row>38</xdr:row>
      <xdr:rowOff>38100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>
          <a:off x="5314950" y="7883525"/>
          <a:ext cx="0" cy="62230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222250</xdr:colOff>
      <xdr:row>35</xdr:row>
      <xdr:rowOff>0</xdr:rowOff>
    </xdr:from>
    <xdr:to>
      <xdr:col>7</xdr:col>
      <xdr:colOff>222250</xdr:colOff>
      <xdr:row>38</xdr:row>
      <xdr:rowOff>31750</xdr:rowOff>
    </xdr:to>
    <xdr:sp macro="" textlink="">
      <xdr:nvSpPr>
        <xdr:cNvPr id="5" name="Line 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ShapeType="1"/>
        </xdr:cNvSpPr>
      </xdr:nvSpPr>
      <xdr:spPr bwMode="auto">
        <a:xfrm>
          <a:off x="5861050" y="7877175"/>
          <a:ext cx="0" cy="62230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520700</xdr:colOff>
      <xdr:row>34</xdr:row>
      <xdr:rowOff>165100</xdr:rowOff>
    </xdr:from>
    <xdr:to>
      <xdr:col>7</xdr:col>
      <xdr:colOff>234950</xdr:colOff>
      <xdr:row>34</xdr:row>
      <xdr:rowOff>165100</xdr:rowOff>
    </xdr:to>
    <xdr:sp macro="" textlink="">
      <xdr:nvSpPr>
        <xdr:cNvPr id="6" name="Line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ShapeType="1"/>
        </xdr:cNvSpPr>
      </xdr:nvSpPr>
      <xdr:spPr bwMode="auto">
        <a:xfrm>
          <a:off x="5321300" y="7870825"/>
          <a:ext cx="55245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508000</xdr:colOff>
      <xdr:row>38</xdr:row>
      <xdr:rowOff>12700</xdr:rowOff>
    </xdr:from>
    <xdr:to>
      <xdr:col>7</xdr:col>
      <xdr:colOff>254000</xdr:colOff>
      <xdr:row>38</xdr:row>
      <xdr:rowOff>12700</xdr:rowOff>
    </xdr:to>
    <xdr:sp macro="" textlink="">
      <xdr:nvSpPr>
        <xdr:cNvPr id="7" name="Line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ShapeType="1"/>
        </xdr:cNvSpPr>
      </xdr:nvSpPr>
      <xdr:spPr bwMode="auto">
        <a:xfrm>
          <a:off x="5308600" y="8480425"/>
          <a:ext cx="58420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228600</xdr:colOff>
      <xdr:row>25</xdr:row>
      <xdr:rowOff>12700</xdr:rowOff>
    </xdr:from>
    <xdr:to>
      <xdr:col>7</xdr:col>
      <xdr:colOff>654050</xdr:colOff>
      <xdr:row>25</xdr:row>
      <xdr:rowOff>12700</xdr:rowOff>
    </xdr:to>
    <xdr:sp macro="" textlink="">
      <xdr:nvSpPr>
        <xdr:cNvPr id="8" name="Line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ShapeType="1"/>
        </xdr:cNvSpPr>
      </xdr:nvSpPr>
      <xdr:spPr bwMode="auto">
        <a:xfrm>
          <a:off x="5867400" y="5984875"/>
          <a:ext cx="425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95250</xdr:colOff>
      <xdr:row>25</xdr:row>
      <xdr:rowOff>0</xdr:rowOff>
    </xdr:from>
    <xdr:to>
      <xdr:col>6</xdr:col>
      <xdr:colOff>514350</xdr:colOff>
      <xdr:row>25</xdr:row>
      <xdr:rowOff>0</xdr:rowOff>
    </xdr:to>
    <xdr:sp macro="" textlink="">
      <xdr:nvSpPr>
        <xdr:cNvPr id="9" name="Line 10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ShapeType="1"/>
        </xdr:cNvSpPr>
      </xdr:nvSpPr>
      <xdr:spPr bwMode="auto">
        <a:xfrm>
          <a:off x="4895850" y="5972175"/>
          <a:ext cx="419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514350</xdr:colOff>
      <xdr:row>26</xdr:row>
      <xdr:rowOff>0</xdr:rowOff>
    </xdr:from>
    <xdr:to>
      <xdr:col>7</xdr:col>
      <xdr:colOff>228600</xdr:colOff>
      <xdr:row>26</xdr:row>
      <xdr:rowOff>0</xdr:rowOff>
    </xdr:to>
    <xdr:sp macro="" textlink="">
      <xdr:nvSpPr>
        <xdr:cNvPr id="10" name="Line 1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ShapeType="1"/>
        </xdr:cNvSpPr>
      </xdr:nvSpPr>
      <xdr:spPr bwMode="auto">
        <a:xfrm flipV="1">
          <a:off x="5314950" y="6143625"/>
          <a:ext cx="552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273050</xdr:colOff>
      <xdr:row>29</xdr:row>
      <xdr:rowOff>0</xdr:rowOff>
    </xdr:from>
    <xdr:to>
      <xdr:col>7</xdr:col>
      <xdr:colOff>209550</xdr:colOff>
      <xdr:row>29</xdr:row>
      <xdr:rowOff>0</xdr:rowOff>
    </xdr:to>
    <xdr:sp macro="" textlink="">
      <xdr:nvSpPr>
        <xdr:cNvPr id="11" name="Line 1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ShapeType="1"/>
        </xdr:cNvSpPr>
      </xdr:nvSpPr>
      <xdr:spPr bwMode="auto">
        <a:xfrm flipH="1">
          <a:off x="5073650" y="6734175"/>
          <a:ext cx="774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6350</xdr:colOff>
      <xdr:row>33</xdr:row>
      <xdr:rowOff>0</xdr:rowOff>
    </xdr:from>
    <xdr:to>
      <xdr:col>7</xdr:col>
      <xdr:colOff>654050</xdr:colOff>
      <xdr:row>33</xdr:row>
      <xdr:rowOff>0</xdr:rowOff>
    </xdr:to>
    <xdr:sp macro="" textlink="">
      <xdr:nvSpPr>
        <xdr:cNvPr id="12" name="Line 13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 flipH="1" flipV="1">
          <a:off x="4806950" y="7534275"/>
          <a:ext cx="1485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247650</xdr:colOff>
      <xdr:row>35</xdr:row>
      <xdr:rowOff>0</xdr:rowOff>
    </xdr:from>
    <xdr:to>
      <xdr:col>7</xdr:col>
      <xdr:colOff>444500</xdr:colOff>
      <xdr:row>35</xdr:row>
      <xdr:rowOff>0</xdr:rowOff>
    </xdr:to>
    <xdr:sp macro="" textlink="">
      <xdr:nvSpPr>
        <xdr:cNvPr id="13" name="Line 14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ShapeType="1"/>
        </xdr:cNvSpPr>
      </xdr:nvSpPr>
      <xdr:spPr bwMode="auto">
        <a:xfrm>
          <a:off x="5886450" y="787717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247650</xdr:colOff>
      <xdr:row>38</xdr:row>
      <xdr:rowOff>12700</xdr:rowOff>
    </xdr:from>
    <xdr:to>
      <xdr:col>7</xdr:col>
      <xdr:colOff>444500</xdr:colOff>
      <xdr:row>38</xdr:row>
      <xdr:rowOff>12700</xdr:rowOff>
    </xdr:to>
    <xdr:sp macro="" textlink="">
      <xdr:nvSpPr>
        <xdr:cNvPr id="14" name="Line 15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ShapeType="1"/>
        </xdr:cNvSpPr>
      </xdr:nvSpPr>
      <xdr:spPr bwMode="auto">
        <a:xfrm>
          <a:off x="5886450" y="84804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330200</xdr:colOff>
      <xdr:row>35</xdr:row>
      <xdr:rowOff>0</xdr:rowOff>
    </xdr:from>
    <xdr:to>
      <xdr:col>7</xdr:col>
      <xdr:colOff>330200</xdr:colOff>
      <xdr:row>38</xdr:row>
      <xdr:rowOff>19050</xdr:rowOff>
    </xdr:to>
    <xdr:sp macro="" textlink="">
      <xdr:nvSpPr>
        <xdr:cNvPr id="15" name="Line 16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ShapeType="1"/>
        </xdr:cNvSpPr>
      </xdr:nvSpPr>
      <xdr:spPr bwMode="auto">
        <a:xfrm flipH="1">
          <a:off x="5969000" y="7877175"/>
          <a:ext cx="0" cy="6096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393700</xdr:colOff>
      <xdr:row>29</xdr:row>
      <xdr:rowOff>12700</xdr:rowOff>
    </xdr:from>
    <xdr:to>
      <xdr:col>6</xdr:col>
      <xdr:colOff>393700</xdr:colOff>
      <xdr:row>33</xdr:row>
      <xdr:rowOff>0</xdr:rowOff>
    </xdr:to>
    <xdr:sp macro="" textlink="">
      <xdr:nvSpPr>
        <xdr:cNvPr id="16" name="Line 17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ShapeType="1"/>
        </xdr:cNvSpPr>
      </xdr:nvSpPr>
      <xdr:spPr bwMode="auto">
        <a:xfrm>
          <a:off x="5194300" y="6746875"/>
          <a:ext cx="0" cy="7874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19050</xdr:colOff>
      <xdr:row>24</xdr:row>
      <xdr:rowOff>0</xdr:rowOff>
    </xdr:from>
    <xdr:to>
      <xdr:col>6</xdr:col>
      <xdr:colOff>527050</xdr:colOff>
      <xdr:row>24</xdr:row>
      <xdr:rowOff>0</xdr:rowOff>
    </xdr:to>
    <xdr:sp macro="" textlink="">
      <xdr:nvSpPr>
        <xdr:cNvPr id="17" name="Line 18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ShapeType="1"/>
        </xdr:cNvSpPr>
      </xdr:nvSpPr>
      <xdr:spPr bwMode="auto">
        <a:xfrm flipH="1">
          <a:off x="4819650" y="5800725"/>
          <a:ext cx="508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196850</xdr:colOff>
      <xdr:row>24</xdr:row>
      <xdr:rowOff>0</xdr:rowOff>
    </xdr:from>
    <xdr:to>
      <xdr:col>6</xdr:col>
      <xdr:colOff>196850</xdr:colOff>
      <xdr:row>33</xdr:row>
      <xdr:rowOff>0</xdr:rowOff>
    </xdr:to>
    <xdr:sp macro="" textlink="">
      <xdr:nvSpPr>
        <xdr:cNvPr id="18" name="Line 19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 noChangeShapeType="1"/>
        </xdr:cNvSpPr>
      </xdr:nvSpPr>
      <xdr:spPr bwMode="auto">
        <a:xfrm flipH="1">
          <a:off x="4997450" y="5800725"/>
          <a:ext cx="0" cy="17335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234950</xdr:colOff>
      <xdr:row>31</xdr:row>
      <xdr:rowOff>0</xdr:rowOff>
    </xdr:from>
    <xdr:to>
      <xdr:col>7</xdr:col>
      <xdr:colOff>641350</xdr:colOff>
      <xdr:row>31</xdr:row>
      <xdr:rowOff>0</xdr:rowOff>
    </xdr:to>
    <xdr:sp macro="" textlink="">
      <xdr:nvSpPr>
        <xdr:cNvPr id="19" name="Line 20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ShapeType="1"/>
        </xdr:cNvSpPr>
      </xdr:nvSpPr>
      <xdr:spPr bwMode="auto">
        <a:xfrm flipH="1">
          <a:off x="5873750" y="7115175"/>
          <a:ext cx="406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122402</xdr:colOff>
      <xdr:row>23</xdr:row>
      <xdr:rowOff>181206</xdr:rowOff>
    </xdr:from>
    <xdr:to>
      <xdr:col>4</xdr:col>
      <xdr:colOff>109702</xdr:colOff>
      <xdr:row>39</xdr:row>
      <xdr:rowOff>80595</xdr:rowOff>
    </xdr:to>
    <xdr:graphicFrame macro="">
      <xdr:nvGraphicFramePr>
        <xdr:cNvPr id="20" name="Chart 21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25</xdr:row>
          <xdr:rowOff>28575</xdr:rowOff>
        </xdr:from>
        <xdr:to>
          <xdr:col>5</xdr:col>
          <xdr:colOff>619125</xdr:colOff>
          <xdr:row>27</xdr:row>
          <xdr:rowOff>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28</xdr:row>
          <xdr:rowOff>28575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7170" name="Object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</xdr:row>
          <xdr:rowOff>0</xdr:rowOff>
        </xdr:from>
        <xdr:to>
          <xdr:col>10</xdr:col>
          <xdr:colOff>781050</xdr:colOff>
          <xdr:row>3</xdr:row>
          <xdr:rowOff>171450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876300</xdr:colOff>
          <xdr:row>2</xdr:row>
          <xdr:rowOff>9525</xdr:rowOff>
        </xdr:from>
        <xdr:to>
          <xdr:col>12</xdr:col>
          <xdr:colOff>571500</xdr:colOff>
          <xdr:row>3</xdr:row>
          <xdr:rowOff>180975</xdr:rowOff>
        </xdr:to>
        <xdr:sp macro="" textlink="">
          <xdr:nvSpPr>
            <xdr:cNvPr id="7172" name="CommandButton2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4</xdr:row>
          <xdr:rowOff>47625</xdr:rowOff>
        </xdr:from>
        <xdr:to>
          <xdr:col>10</xdr:col>
          <xdr:colOff>762000</xdr:colOff>
          <xdr:row>5</xdr:row>
          <xdr:rowOff>161925</xdr:rowOff>
        </xdr:to>
        <xdr:sp macro="" textlink="">
          <xdr:nvSpPr>
            <xdr:cNvPr id="7173" name="CommandButton3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923925</xdr:colOff>
          <xdr:row>4</xdr:row>
          <xdr:rowOff>47625</xdr:rowOff>
        </xdr:from>
        <xdr:to>
          <xdr:col>12</xdr:col>
          <xdr:colOff>581025</xdr:colOff>
          <xdr:row>5</xdr:row>
          <xdr:rowOff>161925</xdr:rowOff>
        </xdr:to>
        <xdr:sp macro="" textlink="">
          <xdr:nvSpPr>
            <xdr:cNvPr id="7174" name="CommandButton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514350</xdr:colOff>
      <xdr:row>24</xdr:row>
      <xdr:rowOff>0</xdr:rowOff>
    </xdr:from>
    <xdr:to>
      <xdr:col>6</xdr:col>
      <xdr:colOff>514350</xdr:colOff>
      <xdr:row>34</xdr:row>
      <xdr:rowOff>165100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ShapeType="1"/>
        </xdr:cNvSpPr>
      </xdr:nvSpPr>
      <xdr:spPr bwMode="auto">
        <a:xfrm>
          <a:off x="4781550" y="5943600"/>
          <a:ext cx="0" cy="20510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228600</xdr:colOff>
      <xdr:row>24</xdr:row>
      <xdr:rowOff>12700</xdr:rowOff>
    </xdr:from>
    <xdr:to>
      <xdr:col>7</xdr:col>
      <xdr:colOff>228600</xdr:colOff>
      <xdr:row>34</xdr:row>
      <xdr:rowOff>152400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ShapeType="1"/>
        </xdr:cNvSpPr>
      </xdr:nvSpPr>
      <xdr:spPr bwMode="auto">
        <a:xfrm>
          <a:off x="5238750" y="5956300"/>
          <a:ext cx="0" cy="20256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514350</xdr:colOff>
      <xdr:row>35</xdr:row>
      <xdr:rowOff>6350</xdr:rowOff>
    </xdr:from>
    <xdr:to>
      <xdr:col>6</xdr:col>
      <xdr:colOff>514350</xdr:colOff>
      <xdr:row>38</xdr:row>
      <xdr:rowOff>38100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ShapeType="1"/>
        </xdr:cNvSpPr>
      </xdr:nvSpPr>
      <xdr:spPr bwMode="auto">
        <a:xfrm>
          <a:off x="4781550" y="8007350"/>
          <a:ext cx="0" cy="55880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222250</xdr:colOff>
      <xdr:row>35</xdr:row>
      <xdr:rowOff>0</xdr:rowOff>
    </xdr:from>
    <xdr:to>
      <xdr:col>7</xdr:col>
      <xdr:colOff>222250</xdr:colOff>
      <xdr:row>38</xdr:row>
      <xdr:rowOff>31750</xdr:rowOff>
    </xdr:to>
    <xdr:sp macro="" textlink="">
      <xdr:nvSpPr>
        <xdr:cNvPr id="5" name="Lin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ShapeType="1"/>
        </xdr:cNvSpPr>
      </xdr:nvSpPr>
      <xdr:spPr bwMode="auto">
        <a:xfrm>
          <a:off x="5232400" y="8001000"/>
          <a:ext cx="0" cy="55880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520700</xdr:colOff>
      <xdr:row>34</xdr:row>
      <xdr:rowOff>165100</xdr:rowOff>
    </xdr:from>
    <xdr:to>
      <xdr:col>7</xdr:col>
      <xdr:colOff>234950</xdr:colOff>
      <xdr:row>34</xdr:row>
      <xdr:rowOff>165100</xdr:rowOff>
    </xdr:to>
    <xdr:sp macro="" textlink="">
      <xdr:nvSpPr>
        <xdr:cNvPr id="6" name="Lin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ShapeType="1"/>
        </xdr:cNvSpPr>
      </xdr:nvSpPr>
      <xdr:spPr bwMode="auto">
        <a:xfrm>
          <a:off x="4787900" y="7994650"/>
          <a:ext cx="45720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508000</xdr:colOff>
      <xdr:row>38</xdr:row>
      <xdr:rowOff>12700</xdr:rowOff>
    </xdr:from>
    <xdr:to>
      <xdr:col>7</xdr:col>
      <xdr:colOff>254000</xdr:colOff>
      <xdr:row>38</xdr:row>
      <xdr:rowOff>12700</xdr:rowOff>
    </xdr:to>
    <xdr:sp macro="" textlink="">
      <xdr:nvSpPr>
        <xdr:cNvPr id="7" name="Line 8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ShapeType="1"/>
        </xdr:cNvSpPr>
      </xdr:nvSpPr>
      <xdr:spPr bwMode="auto">
        <a:xfrm>
          <a:off x="4775200" y="8540750"/>
          <a:ext cx="48895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228600</xdr:colOff>
      <xdr:row>25</xdr:row>
      <xdr:rowOff>12700</xdr:rowOff>
    </xdr:from>
    <xdr:to>
      <xdr:col>7</xdr:col>
      <xdr:colOff>654050</xdr:colOff>
      <xdr:row>25</xdr:row>
      <xdr:rowOff>12700</xdr:rowOff>
    </xdr:to>
    <xdr:sp macro="" textlink="">
      <xdr:nvSpPr>
        <xdr:cNvPr id="8" name="Line 9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ShapeType="1"/>
        </xdr:cNvSpPr>
      </xdr:nvSpPr>
      <xdr:spPr bwMode="auto">
        <a:xfrm>
          <a:off x="5238750" y="6134100"/>
          <a:ext cx="425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95250</xdr:colOff>
      <xdr:row>25</xdr:row>
      <xdr:rowOff>0</xdr:rowOff>
    </xdr:from>
    <xdr:to>
      <xdr:col>6</xdr:col>
      <xdr:colOff>514350</xdr:colOff>
      <xdr:row>25</xdr:row>
      <xdr:rowOff>0</xdr:rowOff>
    </xdr:to>
    <xdr:sp macro="" textlink="">
      <xdr:nvSpPr>
        <xdr:cNvPr id="9" name="Line 10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ShapeType="1"/>
        </xdr:cNvSpPr>
      </xdr:nvSpPr>
      <xdr:spPr bwMode="auto">
        <a:xfrm>
          <a:off x="4362450" y="6121400"/>
          <a:ext cx="419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514350</xdr:colOff>
      <xdr:row>26</xdr:row>
      <xdr:rowOff>0</xdr:rowOff>
    </xdr:from>
    <xdr:to>
      <xdr:col>7</xdr:col>
      <xdr:colOff>228600</xdr:colOff>
      <xdr:row>26</xdr:row>
      <xdr:rowOff>0</xdr:rowOff>
    </xdr:to>
    <xdr:sp macro="" textlink="">
      <xdr:nvSpPr>
        <xdr:cNvPr id="10" name="Line 11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 noChangeShapeType="1"/>
        </xdr:cNvSpPr>
      </xdr:nvSpPr>
      <xdr:spPr bwMode="auto">
        <a:xfrm flipV="1">
          <a:off x="4781550" y="6299200"/>
          <a:ext cx="457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273050</xdr:colOff>
      <xdr:row>29</xdr:row>
      <xdr:rowOff>0</xdr:rowOff>
    </xdr:from>
    <xdr:to>
      <xdr:col>7</xdr:col>
      <xdr:colOff>209550</xdr:colOff>
      <xdr:row>29</xdr:row>
      <xdr:rowOff>0</xdr:rowOff>
    </xdr:to>
    <xdr:sp macro="" textlink="">
      <xdr:nvSpPr>
        <xdr:cNvPr id="11" name="Line 1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ShapeType="1"/>
        </xdr:cNvSpPr>
      </xdr:nvSpPr>
      <xdr:spPr bwMode="auto">
        <a:xfrm flipH="1">
          <a:off x="4540250" y="6908800"/>
          <a:ext cx="679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6350</xdr:colOff>
      <xdr:row>33</xdr:row>
      <xdr:rowOff>0</xdr:rowOff>
    </xdr:from>
    <xdr:to>
      <xdr:col>7</xdr:col>
      <xdr:colOff>654050</xdr:colOff>
      <xdr:row>33</xdr:row>
      <xdr:rowOff>0</xdr:rowOff>
    </xdr:to>
    <xdr:sp macro="" textlink="">
      <xdr:nvSpPr>
        <xdr:cNvPr id="12" name="Line 13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>
          <a:spLocks noChangeShapeType="1"/>
        </xdr:cNvSpPr>
      </xdr:nvSpPr>
      <xdr:spPr bwMode="auto">
        <a:xfrm flipH="1" flipV="1">
          <a:off x="4273550" y="7658100"/>
          <a:ext cx="1390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247650</xdr:colOff>
      <xdr:row>35</xdr:row>
      <xdr:rowOff>0</xdr:rowOff>
    </xdr:from>
    <xdr:to>
      <xdr:col>7</xdr:col>
      <xdr:colOff>444500</xdr:colOff>
      <xdr:row>35</xdr:row>
      <xdr:rowOff>0</xdr:rowOff>
    </xdr:to>
    <xdr:sp macro="" textlink="">
      <xdr:nvSpPr>
        <xdr:cNvPr id="13" name="Line 14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ShapeType="1"/>
        </xdr:cNvSpPr>
      </xdr:nvSpPr>
      <xdr:spPr bwMode="auto">
        <a:xfrm>
          <a:off x="5257800" y="8001000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247650</xdr:colOff>
      <xdr:row>38</xdr:row>
      <xdr:rowOff>12700</xdr:rowOff>
    </xdr:from>
    <xdr:to>
      <xdr:col>7</xdr:col>
      <xdr:colOff>444500</xdr:colOff>
      <xdr:row>38</xdr:row>
      <xdr:rowOff>12700</xdr:rowOff>
    </xdr:to>
    <xdr:sp macro="" textlink="">
      <xdr:nvSpPr>
        <xdr:cNvPr id="14" name="Line 15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>
          <a:spLocks noChangeShapeType="1"/>
        </xdr:cNvSpPr>
      </xdr:nvSpPr>
      <xdr:spPr bwMode="auto">
        <a:xfrm>
          <a:off x="5257800" y="8540750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330200</xdr:colOff>
      <xdr:row>35</xdr:row>
      <xdr:rowOff>0</xdr:rowOff>
    </xdr:from>
    <xdr:to>
      <xdr:col>7</xdr:col>
      <xdr:colOff>330200</xdr:colOff>
      <xdr:row>38</xdr:row>
      <xdr:rowOff>19050</xdr:rowOff>
    </xdr:to>
    <xdr:sp macro="" textlink="">
      <xdr:nvSpPr>
        <xdr:cNvPr id="15" name="Line 16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>
          <a:spLocks noChangeShapeType="1"/>
        </xdr:cNvSpPr>
      </xdr:nvSpPr>
      <xdr:spPr bwMode="auto">
        <a:xfrm flipH="1">
          <a:off x="5340350" y="8001000"/>
          <a:ext cx="0" cy="5461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393700</xdr:colOff>
      <xdr:row>29</xdr:row>
      <xdr:rowOff>12700</xdr:rowOff>
    </xdr:from>
    <xdr:to>
      <xdr:col>6</xdr:col>
      <xdr:colOff>393700</xdr:colOff>
      <xdr:row>33</xdr:row>
      <xdr:rowOff>0</xdr:rowOff>
    </xdr:to>
    <xdr:sp macro="" textlink="">
      <xdr:nvSpPr>
        <xdr:cNvPr id="16" name="Line 17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>
          <a:spLocks noChangeShapeType="1"/>
        </xdr:cNvSpPr>
      </xdr:nvSpPr>
      <xdr:spPr bwMode="auto">
        <a:xfrm>
          <a:off x="4660900" y="6921500"/>
          <a:ext cx="0" cy="7366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19050</xdr:colOff>
      <xdr:row>24</xdr:row>
      <xdr:rowOff>0</xdr:rowOff>
    </xdr:from>
    <xdr:to>
      <xdr:col>6</xdr:col>
      <xdr:colOff>527050</xdr:colOff>
      <xdr:row>24</xdr:row>
      <xdr:rowOff>0</xdr:rowOff>
    </xdr:to>
    <xdr:sp macro="" textlink="">
      <xdr:nvSpPr>
        <xdr:cNvPr id="17" name="Line 18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>
          <a:spLocks noChangeShapeType="1"/>
        </xdr:cNvSpPr>
      </xdr:nvSpPr>
      <xdr:spPr bwMode="auto">
        <a:xfrm flipH="1">
          <a:off x="4286250" y="5943600"/>
          <a:ext cx="508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196850</xdr:colOff>
      <xdr:row>24</xdr:row>
      <xdr:rowOff>0</xdr:rowOff>
    </xdr:from>
    <xdr:to>
      <xdr:col>6</xdr:col>
      <xdr:colOff>196850</xdr:colOff>
      <xdr:row>33</xdr:row>
      <xdr:rowOff>0</xdr:rowOff>
    </xdr:to>
    <xdr:sp macro="" textlink="">
      <xdr:nvSpPr>
        <xdr:cNvPr id="18" name="Line 19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>
          <a:spLocks noChangeShapeType="1"/>
        </xdr:cNvSpPr>
      </xdr:nvSpPr>
      <xdr:spPr bwMode="auto">
        <a:xfrm flipH="1">
          <a:off x="4464050" y="5943600"/>
          <a:ext cx="0" cy="17145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234950</xdr:colOff>
      <xdr:row>31</xdr:row>
      <xdr:rowOff>0</xdr:rowOff>
    </xdr:from>
    <xdr:to>
      <xdr:col>7</xdr:col>
      <xdr:colOff>641350</xdr:colOff>
      <xdr:row>31</xdr:row>
      <xdr:rowOff>0</xdr:rowOff>
    </xdr:to>
    <xdr:sp macro="" textlink="">
      <xdr:nvSpPr>
        <xdr:cNvPr id="19" name="Line 20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>
          <a:spLocks noChangeShapeType="1"/>
        </xdr:cNvSpPr>
      </xdr:nvSpPr>
      <xdr:spPr bwMode="auto">
        <a:xfrm flipH="1">
          <a:off x="5245100" y="7302500"/>
          <a:ext cx="406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69850</xdr:colOff>
      <xdr:row>26</xdr:row>
      <xdr:rowOff>115394</xdr:rowOff>
    </xdr:from>
    <xdr:to>
      <xdr:col>4</xdr:col>
      <xdr:colOff>57150</xdr:colOff>
      <xdr:row>37</xdr:row>
      <xdr:rowOff>39194</xdr:rowOff>
    </xdr:to>
    <xdr:graphicFrame macro="">
      <xdr:nvGraphicFramePr>
        <xdr:cNvPr id="20" name="Chart 21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25</xdr:row>
          <xdr:rowOff>28575</xdr:rowOff>
        </xdr:from>
        <xdr:to>
          <xdr:col>5</xdr:col>
          <xdr:colOff>619125</xdr:colOff>
          <xdr:row>27</xdr:row>
          <xdr:rowOff>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28</xdr:row>
          <xdr:rowOff>28575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4098" name="Object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514350</xdr:colOff>
      <xdr:row>24</xdr:row>
      <xdr:rowOff>0</xdr:rowOff>
    </xdr:from>
    <xdr:to>
      <xdr:col>6</xdr:col>
      <xdr:colOff>514350</xdr:colOff>
      <xdr:row>34</xdr:row>
      <xdr:rowOff>165100</xdr:rowOff>
    </xdr:to>
    <xdr:sp macro="" textlink="">
      <xdr:nvSpPr>
        <xdr:cNvPr id="1027" name="Line 3">
          <a:extLst>
            <a:ext uri="{FF2B5EF4-FFF2-40B4-BE49-F238E27FC236}">
              <a16:creationId xmlns:a16="http://schemas.microsoft.com/office/drawing/2014/main" id="{00000000-0008-0000-0400-000003040000}"/>
            </a:ext>
          </a:extLst>
        </xdr:cNvPr>
        <xdr:cNvSpPr>
          <a:spLocks noChangeShapeType="1"/>
        </xdr:cNvSpPr>
      </xdr:nvSpPr>
      <xdr:spPr bwMode="auto">
        <a:xfrm>
          <a:off x="4781550" y="5943600"/>
          <a:ext cx="0" cy="20510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228600</xdr:colOff>
      <xdr:row>24</xdr:row>
      <xdr:rowOff>12700</xdr:rowOff>
    </xdr:from>
    <xdr:to>
      <xdr:col>7</xdr:col>
      <xdr:colOff>228600</xdr:colOff>
      <xdr:row>34</xdr:row>
      <xdr:rowOff>152400</xdr:rowOff>
    </xdr:to>
    <xdr:sp macro="" textlink="">
      <xdr:nvSpPr>
        <xdr:cNvPr id="1028" name="Line 4">
          <a:extLst>
            <a:ext uri="{FF2B5EF4-FFF2-40B4-BE49-F238E27FC236}">
              <a16:creationId xmlns:a16="http://schemas.microsoft.com/office/drawing/2014/main" id="{00000000-0008-0000-0400-000004040000}"/>
            </a:ext>
          </a:extLst>
        </xdr:cNvPr>
        <xdr:cNvSpPr>
          <a:spLocks noChangeShapeType="1"/>
        </xdr:cNvSpPr>
      </xdr:nvSpPr>
      <xdr:spPr bwMode="auto">
        <a:xfrm>
          <a:off x="5238750" y="5956300"/>
          <a:ext cx="0" cy="20256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514350</xdr:colOff>
      <xdr:row>35</xdr:row>
      <xdr:rowOff>6350</xdr:rowOff>
    </xdr:from>
    <xdr:to>
      <xdr:col>6</xdr:col>
      <xdr:colOff>514350</xdr:colOff>
      <xdr:row>38</xdr:row>
      <xdr:rowOff>38100</xdr:rowOff>
    </xdr:to>
    <xdr:sp macro="" textlink="">
      <xdr:nvSpPr>
        <xdr:cNvPr id="1029" name="Line 5">
          <a:extLst>
            <a:ext uri="{FF2B5EF4-FFF2-40B4-BE49-F238E27FC236}">
              <a16:creationId xmlns:a16="http://schemas.microsoft.com/office/drawing/2014/main" id="{00000000-0008-0000-0400-000005040000}"/>
            </a:ext>
          </a:extLst>
        </xdr:cNvPr>
        <xdr:cNvSpPr>
          <a:spLocks noChangeShapeType="1"/>
        </xdr:cNvSpPr>
      </xdr:nvSpPr>
      <xdr:spPr bwMode="auto">
        <a:xfrm>
          <a:off x="4781550" y="8007350"/>
          <a:ext cx="0" cy="55880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222250</xdr:colOff>
      <xdr:row>35</xdr:row>
      <xdr:rowOff>0</xdr:rowOff>
    </xdr:from>
    <xdr:to>
      <xdr:col>7</xdr:col>
      <xdr:colOff>222250</xdr:colOff>
      <xdr:row>38</xdr:row>
      <xdr:rowOff>31750</xdr:rowOff>
    </xdr:to>
    <xdr:sp macro="" textlink="">
      <xdr:nvSpPr>
        <xdr:cNvPr id="1030" name="Line 6">
          <a:extLst>
            <a:ext uri="{FF2B5EF4-FFF2-40B4-BE49-F238E27FC236}">
              <a16:creationId xmlns:a16="http://schemas.microsoft.com/office/drawing/2014/main" id="{00000000-0008-0000-0400-000006040000}"/>
            </a:ext>
          </a:extLst>
        </xdr:cNvPr>
        <xdr:cNvSpPr>
          <a:spLocks noChangeShapeType="1"/>
        </xdr:cNvSpPr>
      </xdr:nvSpPr>
      <xdr:spPr bwMode="auto">
        <a:xfrm>
          <a:off x="5232400" y="8001000"/>
          <a:ext cx="0" cy="55880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520700</xdr:colOff>
      <xdr:row>34</xdr:row>
      <xdr:rowOff>165100</xdr:rowOff>
    </xdr:from>
    <xdr:to>
      <xdr:col>7</xdr:col>
      <xdr:colOff>234950</xdr:colOff>
      <xdr:row>34</xdr:row>
      <xdr:rowOff>165100</xdr:rowOff>
    </xdr:to>
    <xdr:sp macro="" textlink="">
      <xdr:nvSpPr>
        <xdr:cNvPr id="1031" name="Line 7">
          <a:extLst>
            <a:ext uri="{FF2B5EF4-FFF2-40B4-BE49-F238E27FC236}">
              <a16:creationId xmlns:a16="http://schemas.microsoft.com/office/drawing/2014/main" id="{00000000-0008-0000-0400-000007040000}"/>
            </a:ext>
          </a:extLst>
        </xdr:cNvPr>
        <xdr:cNvSpPr>
          <a:spLocks noChangeShapeType="1"/>
        </xdr:cNvSpPr>
      </xdr:nvSpPr>
      <xdr:spPr bwMode="auto">
        <a:xfrm>
          <a:off x="4787900" y="7994650"/>
          <a:ext cx="45720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508000</xdr:colOff>
      <xdr:row>38</xdr:row>
      <xdr:rowOff>12700</xdr:rowOff>
    </xdr:from>
    <xdr:to>
      <xdr:col>7</xdr:col>
      <xdr:colOff>254000</xdr:colOff>
      <xdr:row>38</xdr:row>
      <xdr:rowOff>12700</xdr:rowOff>
    </xdr:to>
    <xdr:sp macro="" textlink="">
      <xdr:nvSpPr>
        <xdr:cNvPr id="1032" name="Line 8">
          <a:extLst>
            <a:ext uri="{FF2B5EF4-FFF2-40B4-BE49-F238E27FC236}">
              <a16:creationId xmlns:a16="http://schemas.microsoft.com/office/drawing/2014/main" id="{00000000-0008-0000-0400-000008040000}"/>
            </a:ext>
          </a:extLst>
        </xdr:cNvPr>
        <xdr:cNvSpPr>
          <a:spLocks noChangeShapeType="1"/>
        </xdr:cNvSpPr>
      </xdr:nvSpPr>
      <xdr:spPr bwMode="auto">
        <a:xfrm>
          <a:off x="4775200" y="8540750"/>
          <a:ext cx="48895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228600</xdr:colOff>
      <xdr:row>25</xdr:row>
      <xdr:rowOff>12700</xdr:rowOff>
    </xdr:from>
    <xdr:to>
      <xdr:col>7</xdr:col>
      <xdr:colOff>654050</xdr:colOff>
      <xdr:row>25</xdr:row>
      <xdr:rowOff>12700</xdr:rowOff>
    </xdr:to>
    <xdr:sp macro="" textlink="">
      <xdr:nvSpPr>
        <xdr:cNvPr id="1033" name="Line 9">
          <a:extLst>
            <a:ext uri="{FF2B5EF4-FFF2-40B4-BE49-F238E27FC236}">
              <a16:creationId xmlns:a16="http://schemas.microsoft.com/office/drawing/2014/main" id="{00000000-0008-0000-0400-000009040000}"/>
            </a:ext>
          </a:extLst>
        </xdr:cNvPr>
        <xdr:cNvSpPr>
          <a:spLocks noChangeShapeType="1"/>
        </xdr:cNvSpPr>
      </xdr:nvSpPr>
      <xdr:spPr bwMode="auto">
        <a:xfrm>
          <a:off x="5238750" y="6134100"/>
          <a:ext cx="425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95250</xdr:colOff>
      <xdr:row>25</xdr:row>
      <xdr:rowOff>0</xdr:rowOff>
    </xdr:from>
    <xdr:to>
      <xdr:col>6</xdr:col>
      <xdr:colOff>514350</xdr:colOff>
      <xdr:row>25</xdr:row>
      <xdr:rowOff>0</xdr:rowOff>
    </xdr:to>
    <xdr:sp macro="" textlink="">
      <xdr:nvSpPr>
        <xdr:cNvPr id="1034" name="Line 10">
          <a:extLst>
            <a:ext uri="{FF2B5EF4-FFF2-40B4-BE49-F238E27FC236}">
              <a16:creationId xmlns:a16="http://schemas.microsoft.com/office/drawing/2014/main" id="{00000000-0008-0000-0400-00000A040000}"/>
            </a:ext>
          </a:extLst>
        </xdr:cNvPr>
        <xdr:cNvSpPr>
          <a:spLocks noChangeShapeType="1"/>
        </xdr:cNvSpPr>
      </xdr:nvSpPr>
      <xdr:spPr bwMode="auto">
        <a:xfrm>
          <a:off x="4362450" y="6121400"/>
          <a:ext cx="419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514350</xdr:colOff>
      <xdr:row>26</xdr:row>
      <xdr:rowOff>0</xdr:rowOff>
    </xdr:from>
    <xdr:to>
      <xdr:col>7</xdr:col>
      <xdr:colOff>228600</xdr:colOff>
      <xdr:row>26</xdr:row>
      <xdr:rowOff>0</xdr:rowOff>
    </xdr:to>
    <xdr:sp macro="" textlink="">
      <xdr:nvSpPr>
        <xdr:cNvPr id="1035" name="Line 11">
          <a:extLst>
            <a:ext uri="{FF2B5EF4-FFF2-40B4-BE49-F238E27FC236}">
              <a16:creationId xmlns:a16="http://schemas.microsoft.com/office/drawing/2014/main" id="{00000000-0008-0000-0400-00000B040000}"/>
            </a:ext>
          </a:extLst>
        </xdr:cNvPr>
        <xdr:cNvSpPr>
          <a:spLocks noChangeShapeType="1"/>
        </xdr:cNvSpPr>
      </xdr:nvSpPr>
      <xdr:spPr bwMode="auto">
        <a:xfrm flipV="1">
          <a:off x="4781550" y="6299200"/>
          <a:ext cx="457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273050</xdr:colOff>
      <xdr:row>29</xdr:row>
      <xdr:rowOff>0</xdr:rowOff>
    </xdr:from>
    <xdr:to>
      <xdr:col>7</xdr:col>
      <xdr:colOff>209550</xdr:colOff>
      <xdr:row>29</xdr:row>
      <xdr:rowOff>0</xdr:rowOff>
    </xdr:to>
    <xdr:sp macro="" textlink="">
      <xdr:nvSpPr>
        <xdr:cNvPr id="1036" name="Line 12">
          <a:extLst>
            <a:ext uri="{FF2B5EF4-FFF2-40B4-BE49-F238E27FC236}">
              <a16:creationId xmlns:a16="http://schemas.microsoft.com/office/drawing/2014/main" id="{00000000-0008-0000-0400-00000C040000}"/>
            </a:ext>
          </a:extLst>
        </xdr:cNvPr>
        <xdr:cNvSpPr>
          <a:spLocks noChangeShapeType="1"/>
        </xdr:cNvSpPr>
      </xdr:nvSpPr>
      <xdr:spPr bwMode="auto">
        <a:xfrm flipH="1">
          <a:off x="4540250" y="6908800"/>
          <a:ext cx="679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6350</xdr:colOff>
      <xdr:row>33</xdr:row>
      <xdr:rowOff>0</xdr:rowOff>
    </xdr:from>
    <xdr:to>
      <xdr:col>7</xdr:col>
      <xdr:colOff>654050</xdr:colOff>
      <xdr:row>33</xdr:row>
      <xdr:rowOff>0</xdr:rowOff>
    </xdr:to>
    <xdr:sp macro="" textlink="">
      <xdr:nvSpPr>
        <xdr:cNvPr id="1037" name="Line 13">
          <a:extLst>
            <a:ext uri="{FF2B5EF4-FFF2-40B4-BE49-F238E27FC236}">
              <a16:creationId xmlns:a16="http://schemas.microsoft.com/office/drawing/2014/main" id="{00000000-0008-0000-0400-00000D040000}"/>
            </a:ext>
          </a:extLst>
        </xdr:cNvPr>
        <xdr:cNvSpPr>
          <a:spLocks noChangeShapeType="1"/>
        </xdr:cNvSpPr>
      </xdr:nvSpPr>
      <xdr:spPr bwMode="auto">
        <a:xfrm flipH="1" flipV="1">
          <a:off x="4273550" y="7658100"/>
          <a:ext cx="1390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247650</xdr:colOff>
      <xdr:row>35</xdr:row>
      <xdr:rowOff>0</xdr:rowOff>
    </xdr:from>
    <xdr:to>
      <xdr:col>7</xdr:col>
      <xdr:colOff>444500</xdr:colOff>
      <xdr:row>35</xdr:row>
      <xdr:rowOff>0</xdr:rowOff>
    </xdr:to>
    <xdr:sp macro="" textlink="">
      <xdr:nvSpPr>
        <xdr:cNvPr id="1038" name="Line 14">
          <a:extLst>
            <a:ext uri="{FF2B5EF4-FFF2-40B4-BE49-F238E27FC236}">
              <a16:creationId xmlns:a16="http://schemas.microsoft.com/office/drawing/2014/main" id="{00000000-0008-0000-0400-00000E040000}"/>
            </a:ext>
          </a:extLst>
        </xdr:cNvPr>
        <xdr:cNvSpPr>
          <a:spLocks noChangeShapeType="1"/>
        </xdr:cNvSpPr>
      </xdr:nvSpPr>
      <xdr:spPr bwMode="auto">
        <a:xfrm>
          <a:off x="5257800" y="8001000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247650</xdr:colOff>
      <xdr:row>38</xdr:row>
      <xdr:rowOff>12700</xdr:rowOff>
    </xdr:from>
    <xdr:to>
      <xdr:col>7</xdr:col>
      <xdr:colOff>444500</xdr:colOff>
      <xdr:row>38</xdr:row>
      <xdr:rowOff>12700</xdr:rowOff>
    </xdr:to>
    <xdr:sp macro="" textlink="">
      <xdr:nvSpPr>
        <xdr:cNvPr id="1039" name="Line 15">
          <a:extLst>
            <a:ext uri="{FF2B5EF4-FFF2-40B4-BE49-F238E27FC236}">
              <a16:creationId xmlns:a16="http://schemas.microsoft.com/office/drawing/2014/main" id="{00000000-0008-0000-0400-00000F040000}"/>
            </a:ext>
          </a:extLst>
        </xdr:cNvPr>
        <xdr:cNvSpPr>
          <a:spLocks noChangeShapeType="1"/>
        </xdr:cNvSpPr>
      </xdr:nvSpPr>
      <xdr:spPr bwMode="auto">
        <a:xfrm>
          <a:off x="5257800" y="8540750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330200</xdr:colOff>
      <xdr:row>35</xdr:row>
      <xdr:rowOff>0</xdr:rowOff>
    </xdr:from>
    <xdr:to>
      <xdr:col>7</xdr:col>
      <xdr:colOff>330200</xdr:colOff>
      <xdr:row>38</xdr:row>
      <xdr:rowOff>19050</xdr:rowOff>
    </xdr:to>
    <xdr:sp macro="" textlink="">
      <xdr:nvSpPr>
        <xdr:cNvPr id="1040" name="Line 16">
          <a:extLst>
            <a:ext uri="{FF2B5EF4-FFF2-40B4-BE49-F238E27FC236}">
              <a16:creationId xmlns:a16="http://schemas.microsoft.com/office/drawing/2014/main" id="{00000000-0008-0000-0400-000010040000}"/>
            </a:ext>
          </a:extLst>
        </xdr:cNvPr>
        <xdr:cNvSpPr>
          <a:spLocks noChangeShapeType="1"/>
        </xdr:cNvSpPr>
      </xdr:nvSpPr>
      <xdr:spPr bwMode="auto">
        <a:xfrm flipH="1">
          <a:off x="5340350" y="8001000"/>
          <a:ext cx="0" cy="5461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393700</xdr:colOff>
      <xdr:row>29</xdr:row>
      <xdr:rowOff>12700</xdr:rowOff>
    </xdr:from>
    <xdr:to>
      <xdr:col>6</xdr:col>
      <xdr:colOff>393700</xdr:colOff>
      <xdr:row>33</xdr:row>
      <xdr:rowOff>0</xdr:rowOff>
    </xdr:to>
    <xdr:sp macro="" textlink="">
      <xdr:nvSpPr>
        <xdr:cNvPr id="1041" name="Line 17">
          <a:extLst>
            <a:ext uri="{FF2B5EF4-FFF2-40B4-BE49-F238E27FC236}">
              <a16:creationId xmlns:a16="http://schemas.microsoft.com/office/drawing/2014/main" id="{00000000-0008-0000-0400-000011040000}"/>
            </a:ext>
          </a:extLst>
        </xdr:cNvPr>
        <xdr:cNvSpPr>
          <a:spLocks noChangeShapeType="1"/>
        </xdr:cNvSpPr>
      </xdr:nvSpPr>
      <xdr:spPr bwMode="auto">
        <a:xfrm>
          <a:off x="4660900" y="6921500"/>
          <a:ext cx="0" cy="7366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19050</xdr:colOff>
      <xdr:row>24</xdr:row>
      <xdr:rowOff>0</xdr:rowOff>
    </xdr:from>
    <xdr:to>
      <xdr:col>6</xdr:col>
      <xdr:colOff>527050</xdr:colOff>
      <xdr:row>24</xdr:row>
      <xdr:rowOff>0</xdr:rowOff>
    </xdr:to>
    <xdr:sp macro="" textlink="">
      <xdr:nvSpPr>
        <xdr:cNvPr id="1042" name="Line 18">
          <a:extLst>
            <a:ext uri="{FF2B5EF4-FFF2-40B4-BE49-F238E27FC236}">
              <a16:creationId xmlns:a16="http://schemas.microsoft.com/office/drawing/2014/main" id="{00000000-0008-0000-0400-000012040000}"/>
            </a:ext>
          </a:extLst>
        </xdr:cNvPr>
        <xdr:cNvSpPr>
          <a:spLocks noChangeShapeType="1"/>
        </xdr:cNvSpPr>
      </xdr:nvSpPr>
      <xdr:spPr bwMode="auto">
        <a:xfrm flipH="1">
          <a:off x="4286250" y="5943600"/>
          <a:ext cx="508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196850</xdr:colOff>
      <xdr:row>24</xdr:row>
      <xdr:rowOff>0</xdr:rowOff>
    </xdr:from>
    <xdr:to>
      <xdr:col>6</xdr:col>
      <xdr:colOff>196850</xdr:colOff>
      <xdr:row>33</xdr:row>
      <xdr:rowOff>0</xdr:rowOff>
    </xdr:to>
    <xdr:sp macro="" textlink="">
      <xdr:nvSpPr>
        <xdr:cNvPr id="1043" name="Line 19">
          <a:extLst>
            <a:ext uri="{FF2B5EF4-FFF2-40B4-BE49-F238E27FC236}">
              <a16:creationId xmlns:a16="http://schemas.microsoft.com/office/drawing/2014/main" id="{00000000-0008-0000-0400-000013040000}"/>
            </a:ext>
          </a:extLst>
        </xdr:cNvPr>
        <xdr:cNvSpPr>
          <a:spLocks noChangeShapeType="1"/>
        </xdr:cNvSpPr>
      </xdr:nvSpPr>
      <xdr:spPr bwMode="auto">
        <a:xfrm flipH="1">
          <a:off x="4464050" y="5943600"/>
          <a:ext cx="0" cy="17145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234950</xdr:colOff>
      <xdr:row>31</xdr:row>
      <xdr:rowOff>0</xdr:rowOff>
    </xdr:from>
    <xdr:to>
      <xdr:col>7</xdr:col>
      <xdr:colOff>641350</xdr:colOff>
      <xdr:row>31</xdr:row>
      <xdr:rowOff>0</xdr:rowOff>
    </xdr:to>
    <xdr:sp macro="" textlink="">
      <xdr:nvSpPr>
        <xdr:cNvPr id="1044" name="Line 20">
          <a:extLst>
            <a:ext uri="{FF2B5EF4-FFF2-40B4-BE49-F238E27FC236}">
              <a16:creationId xmlns:a16="http://schemas.microsoft.com/office/drawing/2014/main" id="{00000000-0008-0000-0400-000014040000}"/>
            </a:ext>
          </a:extLst>
        </xdr:cNvPr>
        <xdr:cNvSpPr>
          <a:spLocks noChangeShapeType="1"/>
        </xdr:cNvSpPr>
      </xdr:nvSpPr>
      <xdr:spPr bwMode="auto">
        <a:xfrm flipH="1">
          <a:off x="5245100" y="7302500"/>
          <a:ext cx="406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69850</xdr:colOff>
      <xdr:row>25</xdr:row>
      <xdr:rowOff>146050</xdr:rowOff>
    </xdr:from>
    <xdr:to>
      <xdr:col>4</xdr:col>
      <xdr:colOff>57150</xdr:colOff>
      <xdr:row>36</xdr:row>
      <xdr:rowOff>69850</xdr:rowOff>
    </xdr:to>
    <xdr:graphicFrame macro="">
      <xdr:nvGraphicFramePr>
        <xdr:cNvPr id="1045" name="Chart 21">
          <a:extLst>
            <a:ext uri="{FF2B5EF4-FFF2-40B4-BE49-F238E27FC236}">
              <a16:creationId xmlns:a16="http://schemas.microsoft.com/office/drawing/2014/main" id="{00000000-0008-0000-0400-000015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25</xdr:row>
          <xdr:rowOff>28575</xdr:rowOff>
        </xdr:from>
        <xdr:to>
          <xdr:col>5</xdr:col>
          <xdr:colOff>619125</xdr:colOff>
          <xdr:row>26</xdr:row>
          <xdr:rowOff>190500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28</xdr:row>
          <xdr:rowOff>28575</xdr:rowOff>
        </xdr:from>
        <xdr:to>
          <xdr:col>5</xdr:col>
          <xdr:colOff>952500</xdr:colOff>
          <xdr:row>29</xdr:row>
          <xdr:rowOff>238125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514350</xdr:colOff>
      <xdr:row>24</xdr:row>
      <xdr:rowOff>0</xdr:rowOff>
    </xdr:from>
    <xdr:to>
      <xdr:col>6</xdr:col>
      <xdr:colOff>514350</xdr:colOff>
      <xdr:row>34</xdr:row>
      <xdr:rowOff>165100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4781550" y="5943600"/>
          <a:ext cx="0" cy="20510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228600</xdr:colOff>
      <xdr:row>24</xdr:row>
      <xdr:rowOff>12700</xdr:rowOff>
    </xdr:from>
    <xdr:to>
      <xdr:col>7</xdr:col>
      <xdr:colOff>228600</xdr:colOff>
      <xdr:row>34</xdr:row>
      <xdr:rowOff>152400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ShapeType="1"/>
        </xdr:cNvSpPr>
      </xdr:nvSpPr>
      <xdr:spPr bwMode="auto">
        <a:xfrm>
          <a:off x="5238750" y="5956300"/>
          <a:ext cx="0" cy="20256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514350</xdr:colOff>
      <xdr:row>35</xdr:row>
      <xdr:rowOff>6350</xdr:rowOff>
    </xdr:from>
    <xdr:to>
      <xdr:col>6</xdr:col>
      <xdr:colOff>514350</xdr:colOff>
      <xdr:row>38</xdr:row>
      <xdr:rowOff>38100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ShapeType="1"/>
        </xdr:cNvSpPr>
      </xdr:nvSpPr>
      <xdr:spPr bwMode="auto">
        <a:xfrm>
          <a:off x="4781550" y="8007350"/>
          <a:ext cx="0" cy="55880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222250</xdr:colOff>
      <xdr:row>35</xdr:row>
      <xdr:rowOff>0</xdr:rowOff>
    </xdr:from>
    <xdr:to>
      <xdr:col>7</xdr:col>
      <xdr:colOff>222250</xdr:colOff>
      <xdr:row>38</xdr:row>
      <xdr:rowOff>31750</xdr:rowOff>
    </xdr:to>
    <xdr:sp macro="" textlink="">
      <xdr:nvSpPr>
        <xdr:cNvPr id="5" name="Line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ShapeType="1"/>
        </xdr:cNvSpPr>
      </xdr:nvSpPr>
      <xdr:spPr bwMode="auto">
        <a:xfrm>
          <a:off x="5232400" y="8001000"/>
          <a:ext cx="0" cy="55880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520700</xdr:colOff>
      <xdr:row>34</xdr:row>
      <xdr:rowOff>165100</xdr:rowOff>
    </xdr:from>
    <xdr:to>
      <xdr:col>7</xdr:col>
      <xdr:colOff>234950</xdr:colOff>
      <xdr:row>34</xdr:row>
      <xdr:rowOff>165100</xdr:rowOff>
    </xdr:to>
    <xdr:sp macro="" textlink="">
      <xdr:nvSpPr>
        <xdr:cNvPr id="6" name="Line 7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ShapeType="1"/>
        </xdr:cNvSpPr>
      </xdr:nvSpPr>
      <xdr:spPr bwMode="auto">
        <a:xfrm>
          <a:off x="4787900" y="7994650"/>
          <a:ext cx="45720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508000</xdr:colOff>
      <xdr:row>38</xdr:row>
      <xdr:rowOff>12700</xdr:rowOff>
    </xdr:from>
    <xdr:to>
      <xdr:col>7</xdr:col>
      <xdr:colOff>254000</xdr:colOff>
      <xdr:row>38</xdr:row>
      <xdr:rowOff>12700</xdr:rowOff>
    </xdr:to>
    <xdr:sp macro="" textlink="">
      <xdr:nvSpPr>
        <xdr:cNvPr id="7" name="Line 8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ShapeType="1"/>
        </xdr:cNvSpPr>
      </xdr:nvSpPr>
      <xdr:spPr bwMode="auto">
        <a:xfrm>
          <a:off x="4775200" y="8540750"/>
          <a:ext cx="48895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228600</xdr:colOff>
      <xdr:row>25</xdr:row>
      <xdr:rowOff>12700</xdr:rowOff>
    </xdr:from>
    <xdr:to>
      <xdr:col>7</xdr:col>
      <xdr:colOff>654050</xdr:colOff>
      <xdr:row>25</xdr:row>
      <xdr:rowOff>12700</xdr:rowOff>
    </xdr:to>
    <xdr:sp macro="" textlink="">
      <xdr:nvSpPr>
        <xdr:cNvPr id="8" name="Line 9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ShapeType="1"/>
        </xdr:cNvSpPr>
      </xdr:nvSpPr>
      <xdr:spPr bwMode="auto">
        <a:xfrm>
          <a:off x="5238750" y="6134100"/>
          <a:ext cx="425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95250</xdr:colOff>
      <xdr:row>25</xdr:row>
      <xdr:rowOff>0</xdr:rowOff>
    </xdr:from>
    <xdr:to>
      <xdr:col>6</xdr:col>
      <xdr:colOff>514350</xdr:colOff>
      <xdr:row>25</xdr:row>
      <xdr:rowOff>0</xdr:rowOff>
    </xdr:to>
    <xdr:sp macro="" textlink="">
      <xdr:nvSpPr>
        <xdr:cNvPr id="9" name="Line 10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ShapeType="1"/>
        </xdr:cNvSpPr>
      </xdr:nvSpPr>
      <xdr:spPr bwMode="auto">
        <a:xfrm>
          <a:off x="4362450" y="6121400"/>
          <a:ext cx="419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514350</xdr:colOff>
      <xdr:row>26</xdr:row>
      <xdr:rowOff>0</xdr:rowOff>
    </xdr:from>
    <xdr:to>
      <xdr:col>7</xdr:col>
      <xdr:colOff>228600</xdr:colOff>
      <xdr:row>26</xdr:row>
      <xdr:rowOff>0</xdr:rowOff>
    </xdr:to>
    <xdr:sp macro="" textlink="">
      <xdr:nvSpPr>
        <xdr:cNvPr id="10" name="Line 1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ShapeType="1"/>
        </xdr:cNvSpPr>
      </xdr:nvSpPr>
      <xdr:spPr bwMode="auto">
        <a:xfrm flipV="1">
          <a:off x="4781550" y="6299200"/>
          <a:ext cx="457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273050</xdr:colOff>
      <xdr:row>29</xdr:row>
      <xdr:rowOff>0</xdr:rowOff>
    </xdr:from>
    <xdr:to>
      <xdr:col>7</xdr:col>
      <xdr:colOff>209550</xdr:colOff>
      <xdr:row>29</xdr:row>
      <xdr:rowOff>0</xdr:rowOff>
    </xdr:to>
    <xdr:sp macro="" textlink="">
      <xdr:nvSpPr>
        <xdr:cNvPr id="11" name="Line 1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ShapeType="1"/>
        </xdr:cNvSpPr>
      </xdr:nvSpPr>
      <xdr:spPr bwMode="auto">
        <a:xfrm flipH="1">
          <a:off x="4540250" y="6908800"/>
          <a:ext cx="679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6350</xdr:colOff>
      <xdr:row>33</xdr:row>
      <xdr:rowOff>0</xdr:rowOff>
    </xdr:from>
    <xdr:to>
      <xdr:col>7</xdr:col>
      <xdr:colOff>654050</xdr:colOff>
      <xdr:row>33</xdr:row>
      <xdr:rowOff>0</xdr:rowOff>
    </xdr:to>
    <xdr:sp macro="" textlink="">
      <xdr:nvSpPr>
        <xdr:cNvPr id="12" name="Line 13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ShapeType="1"/>
        </xdr:cNvSpPr>
      </xdr:nvSpPr>
      <xdr:spPr bwMode="auto">
        <a:xfrm flipH="1" flipV="1">
          <a:off x="4273550" y="7658100"/>
          <a:ext cx="1390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247650</xdr:colOff>
      <xdr:row>35</xdr:row>
      <xdr:rowOff>0</xdr:rowOff>
    </xdr:from>
    <xdr:to>
      <xdr:col>7</xdr:col>
      <xdr:colOff>444500</xdr:colOff>
      <xdr:row>35</xdr:row>
      <xdr:rowOff>0</xdr:rowOff>
    </xdr:to>
    <xdr:sp macro="" textlink="">
      <xdr:nvSpPr>
        <xdr:cNvPr id="13" name="Line 14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ShapeType="1"/>
        </xdr:cNvSpPr>
      </xdr:nvSpPr>
      <xdr:spPr bwMode="auto">
        <a:xfrm>
          <a:off x="5257800" y="8001000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247650</xdr:colOff>
      <xdr:row>38</xdr:row>
      <xdr:rowOff>12700</xdr:rowOff>
    </xdr:from>
    <xdr:to>
      <xdr:col>7</xdr:col>
      <xdr:colOff>444500</xdr:colOff>
      <xdr:row>38</xdr:row>
      <xdr:rowOff>12700</xdr:rowOff>
    </xdr:to>
    <xdr:sp macro="" textlink="">
      <xdr:nvSpPr>
        <xdr:cNvPr id="14" name="Line 15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>
          <a:spLocks noChangeShapeType="1"/>
        </xdr:cNvSpPr>
      </xdr:nvSpPr>
      <xdr:spPr bwMode="auto">
        <a:xfrm>
          <a:off x="5257800" y="8540750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330200</xdr:colOff>
      <xdr:row>35</xdr:row>
      <xdr:rowOff>0</xdr:rowOff>
    </xdr:from>
    <xdr:to>
      <xdr:col>7</xdr:col>
      <xdr:colOff>330200</xdr:colOff>
      <xdr:row>38</xdr:row>
      <xdr:rowOff>19050</xdr:rowOff>
    </xdr:to>
    <xdr:sp macro="" textlink="">
      <xdr:nvSpPr>
        <xdr:cNvPr id="15" name="Line 16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>
          <a:spLocks noChangeShapeType="1"/>
        </xdr:cNvSpPr>
      </xdr:nvSpPr>
      <xdr:spPr bwMode="auto">
        <a:xfrm flipH="1">
          <a:off x="5340350" y="8001000"/>
          <a:ext cx="0" cy="5461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393700</xdr:colOff>
      <xdr:row>29</xdr:row>
      <xdr:rowOff>12700</xdr:rowOff>
    </xdr:from>
    <xdr:to>
      <xdr:col>6</xdr:col>
      <xdr:colOff>393700</xdr:colOff>
      <xdr:row>33</xdr:row>
      <xdr:rowOff>0</xdr:rowOff>
    </xdr:to>
    <xdr:sp macro="" textlink="">
      <xdr:nvSpPr>
        <xdr:cNvPr id="16" name="Line 17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 noChangeShapeType="1"/>
        </xdr:cNvSpPr>
      </xdr:nvSpPr>
      <xdr:spPr bwMode="auto">
        <a:xfrm>
          <a:off x="4660900" y="6921500"/>
          <a:ext cx="0" cy="7366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19050</xdr:colOff>
      <xdr:row>24</xdr:row>
      <xdr:rowOff>0</xdr:rowOff>
    </xdr:from>
    <xdr:to>
      <xdr:col>6</xdr:col>
      <xdr:colOff>527050</xdr:colOff>
      <xdr:row>24</xdr:row>
      <xdr:rowOff>0</xdr:rowOff>
    </xdr:to>
    <xdr:sp macro="" textlink="">
      <xdr:nvSpPr>
        <xdr:cNvPr id="17" name="Line 18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>
          <a:spLocks noChangeShapeType="1"/>
        </xdr:cNvSpPr>
      </xdr:nvSpPr>
      <xdr:spPr bwMode="auto">
        <a:xfrm flipH="1">
          <a:off x="4286250" y="5943600"/>
          <a:ext cx="508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196850</xdr:colOff>
      <xdr:row>24</xdr:row>
      <xdr:rowOff>0</xdr:rowOff>
    </xdr:from>
    <xdr:to>
      <xdr:col>6</xdr:col>
      <xdr:colOff>196850</xdr:colOff>
      <xdr:row>33</xdr:row>
      <xdr:rowOff>0</xdr:rowOff>
    </xdr:to>
    <xdr:sp macro="" textlink="">
      <xdr:nvSpPr>
        <xdr:cNvPr id="18" name="Line 19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>
          <a:spLocks noChangeShapeType="1"/>
        </xdr:cNvSpPr>
      </xdr:nvSpPr>
      <xdr:spPr bwMode="auto">
        <a:xfrm flipH="1">
          <a:off x="4464050" y="5943600"/>
          <a:ext cx="0" cy="17145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234950</xdr:colOff>
      <xdr:row>31</xdr:row>
      <xdr:rowOff>0</xdr:rowOff>
    </xdr:from>
    <xdr:to>
      <xdr:col>7</xdr:col>
      <xdr:colOff>641350</xdr:colOff>
      <xdr:row>31</xdr:row>
      <xdr:rowOff>0</xdr:rowOff>
    </xdr:to>
    <xdr:sp macro="" textlink="">
      <xdr:nvSpPr>
        <xdr:cNvPr id="19" name="Line 20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 noChangeShapeType="1"/>
        </xdr:cNvSpPr>
      </xdr:nvSpPr>
      <xdr:spPr bwMode="auto">
        <a:xfrm flipH="1">
          <a:off x="5245100" y="7302500"/>
          <a:ext cx="406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69850</xdr:colOff>
      <xdr:row>25</xdr:row>
      <xdr:rowOff>146050</xdr:rowOff>
    </xdr:from>
    <xdr:to>
      <xdr:col>4</xdr:col>
      <xdr:colOff>57150</xdr:colOff>
      <xdr:row>36</xdr:row>
      <xdr:rowOff>69850</xdr:rowOff>
    </xdr:to>
    <xdr:graphicFrame macro="">
      <xdr:nvGraphicFramePr>
        <xdr:cNvPr id="20" name="Chart 2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25</xdr:row>
          <xdr:rowOff>28575</xdr:rowOff>
        </xdr:from>
        <xdr:to>
          <xdr:col>5</xdr:col>
          <xdr:colOff>619125</xdr:colOff>
          <xdr:row>27</xdr:row>
          <xdr:rowOff>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28</xdr:row>
          <xdr:rowOff>28575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2.xml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Relationship Id="rId14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4.bin"/><Relationship Id="rId11" Type="http://schemas.openxmlformats.org/officeDocument/2006/relationships/image" Target="../media/image8.emf"/><Relationship Id="rId5" Type="http://schemas.openxmlformats.org/officeDocument/2006/relationships/image" Target="../media/image1.emf"/><Relationship Id="rId15" Type="http://schemas.openxmlformats.org/officeDocument/2006/relationships/image" Target="../media/image10.emf"/><Relationship Id="rId10" Type="http://schemas.openxmlformats.org/officeDocument/2006/relationships/control" Target="../activeX/activeX6.xml"/><Relationship Id="rId4" Type="http://schemas.openxmlformats.org/officeDocument/2006/relationships/oleObject" Target="../embeddings/oleObject3.bin"/><Relationship Id="rId9" Type="http://schemas.openxmlformats.org/officeDocument/2006/relationships/image" Target="../media/image7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6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8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oleObject10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E2812-5DE7-4684-9C81-2653EEC32AD1}">
  <sheetPr codeName="Sheet1"/>
  <dimension ref="A1:N43"/>
  <sheetViews>
    <sheetView topLeftCell="A16" zoomScaleNormal="100" zoomScaleSheetLayoutView="115" workbookViewId="0">
      <selection activeCell="C12" sqref="C12:C17"/>
    </sheetView>
  </sheetViews>
  <sheetFormatPr defaultColWidth="8.88671875" defaultRowHeight="13.5"/>
  <cols>
    <col min="1" max="6" width="9.33203125" style="1" customWidth="1"/>
    <col min="7" max="7" width="9.77734375" style="1" customWidth="1"/>
    <col min="8" max="8" width="9.33203125" style="1" customWidth="1"/>
    <col min="9" max="9" width="1.77734375" style="1" customWidth="1"/>
    <col min="10" max="10" width="12.33203125" style="1" bestFit="1" customWidth="1"/>
    <col min="11" max="11" width="12.44140625" style="1" customWidth="1"/>
    <col min="12" max="12" width="12.109375" style="1" customWidth="1"/>
    <col min="13" max="13" width="8.88671875" style="1"/>
    <col min="14" max="14" width="12.33203125" style="1" customWidth="1"/>
    <col min="15" max="16384" width="8.88671875" style="1"/>
  </cols>
  <sheetData>
    <row r="1" spans="1:14" ht="9.9499999999999993" customHeight="1" thickBot="1"/>
    <row r="2" spans="1:14" ht="24.95" customHeight="1">
      <c r="A2" s="64" t="s">
        <v>1</v>
      </c>
      <c r="B2" s="65"/>
      <c r="C2" s="65"/>
      <c r="D2" s="65"/>
      <c r="E2" s="65"/>
      <c r="F2" s="65"/>
      <c r="G2" s="65"/>
      <c r="H2" s="66"/>
      <c r="J2" s="2"/>
    </row>
    <row r="3" spans="1:14" ht="15.95" customHeight="1" thickBot="1">
      <c r="A3" s="67" t="s">
        <v>2</v>
      </c>
      <c r="B3" s="68"/>
      <c r="C3" s="68"/>
      <c r="D3" s="68"/>
      <c r="E3" s="68"/>
      <c r="F3" s="68"/>
      <c r="G3" s="68"/>
      <c r="H3" s="69"/>
      <c r="J3" s="2"/>
    </row>
    <row r="4" spans="1:14" ht="20.100000000000001" customHeight="1" thickBot="1">
      <c r="A4" s="70" t="s">
        <v>3</v>
      </c>
      <c r="B4" s="71"/>
      <c r="C4" s="72" t="s">
        <v>51</v>
      </c>
      <c r="D4" s="73"/>
      <c r="E4" s="73"/>
      <c r="F4" s="73"/>
      <c r="G4" s="73"/>
      <c r="H4" s="74"/>
      <c r="J4" s="2"/>
    </row>
    <row r="5" spans="1:14" ht="20.100000000000001" customHeight="1" thickTop="1">
      <c r="A5" s="75" t="s">
        <v>4</v>
      </c>
      <c r="B5" s="76"/>
      <c r="C5" s="77" t="s">
        <v>46</v>
      </c>
      <c r="D5" s="78"/>
      <c r="E5" s="79" t="s">
        <v>5</v>
      </c>
      <c r="F5" s="76"/>
      <c r="G5" s="80">
        <v>3.25</v>
      </c>
      <c r="H5" s="81"/>
      <c r="J5" s="2"/>
      <c r="N5" s="63">
        <v>700</v>
      </c>
    </row>
    <row r="6" spans="1:14" ht="20.100000000000001" customHeight="1">
      <c r="A6" s="82" t="s">
        <v>6</v>
      </c>
      <c r="B6" s="83"/>
      <c r="C6" s="84" t="s">
        <v>52</v>
      </c>
      <c r="D6" s="85"/>
      <c r="E6" s="86" t="s">
        <v>7</v>
      </c>
      <c r="F6" s="83"/>
      <c r="G6" s="87">
        <v>2078</v>
      </c>
      <c r="H6" s="88"/>
      <c r="J6" s="2"/>
    </row>
    <row r="7" spans="1:14" ht="20.100000000000001" customHeight="1">
      <c r="A7" s="82" t="s">
        <v>8</v>
      </c>
      <c r="B7" s="83"/>
      <c r="C7" s="87">
        <v>500</v>
      </c>
      <c r="D7" s="89"/>
      <c r="E7" s="90" t="s">
        <v>9</v>
      </c>
      <c r="F7" s="91"/>
      <c r="G7" s="92">
        <v>10</v>
      </c>
      <c r="H7" s="93"/>
      <c r="J7" s="57" t="s">
        <v>54</v>
      </c>
      <c r="K7" s="58" t="s">
        <v>55</v>
      </c>
      <c r="L7" s="58" t="s">
        <v>56</v>
      </c>
    </row>
    <row r="8" spans="1:14" ht="20.100000000000001" customHeight="1">
      <c r="A8" s="82" t="s">
        <v>10</v>
      </c>
      <c r="B8" s="83"/>
      <c r="C8" s="102">
        <v>100</v>
      </c>
      <c r="D8" s="103"/>
      <c r="E8" s="90" t="s">
        <v>57</v>
      </c>
      <c r="F8" s="91"/>
      <c r="G8" s="102">
        <f>G6+G7</f>
        <v>2088</v>
      </c>
      <c r="H8" s="104"/>
      <c r="J8" s="55">
        <v>4.306035574436188</v>
      </c>
      <c r="K8" s="53">
        <v>2.202521914243698</v>
      </c>
      <c r="L8" s="53">
        <v>4.4924400691986079</v>
      </c>
    </row>
    <row r="9" spans="1:14" ht="20.100000000000001" customHeight="1" thickBot="1">
      <c r="A9" s="105" t="s">
        <v>11</v>
      </c>
      <c r="B9" s="106"/>
      <c r="C9" s="107"/>
      <c r="D9" s="108"/>
      <c r="E9" s="109" t="s">
        <v>12</v>
      </c>
      <c r="F9" s="106"/>
      <c r="G9" s="110"/>
      <c r="H9" s="111"/>
      <c r="J9" s="55"/>
      <c r="K9" s="53"/>
      <c r="L9" s="53"/>
    </row>
    <row r="10" spans="1:14" ht="20.100000000000001" customHeight="1" thickTop="1">
      <c r="A10" s="94" t="s">
        <v>13</v>
      </c>
      <c r="B10" s="95"/>
      <c r="C10" s="36" t="s">
        <v>14</v>
      </c>
      <c r="D10" s="36" t="s">
        <v>58</v>
      </c>
      <c r="E10" s="36" t="s">
        <v>59</v>
      </c>
      <c r="F10" s="36" t="s">
        <v>15</v>
      </c>
      <c r="G10" s="37" t="s">
        <v>16</v>
      </c>
      <c r="H10" s="96" t="s">
        <v>17</v>
      </c>
      <c r="J10" s="55"/>
      <c r="K10" s="53"/>
      <c r="L10" s="53"/>
    </row>
    <row r="11" spans="1:14" ht="20.100000000000001" customHeight="1" thickBot="1">
      <c r="A11" s="38" t="s">
        <v>18</v>
      </c>
      <c r="B11" s="39" t="s">
        <v>19</v>
      </c>
      <c r="C11" s="40" t="s">
        <v>20</v>
      </c>
      <c r="D11" s="40" t="s">
        <v>20</v>
      </c>
      <c r="E11" s="40" t="s">
        <v>20</v>
      </c>
      <c r="F11" s="40" t="s">
        <v>20</v>
      </c>
      <c r="G11" s="40" t="s">
        <v>21</v>
      </c>
      <c r="H11" s="97"/>
      <c r="J11" s="59" t="s">
        <v>0</v>
      </c>
      <c r="K11" s="58" t="s">
        <v>53</v>
      </c>
      <c r="L11" s="58" t="s">
        <v>14</v>
      </c>
    </row>
    <row r="12" spans="1:14" ht="20.100000000000001" customHeight="1" thickTop="1">
      <c r="A12" s="41">
        <v>0</v>
      </c>
      <c r="B12" s="42">
        <v>0</v>
      </c>
      <c r="C12" s="43">
        <v>0</v>
      </c>
      <c r="D12" s="44">
        <f>G$8</f>
        <v>2088</v>
      </c>
      <c r="E12" s="42">
        <f t="shared" ref="E12:E17" si="0">D12-C12</f>
        <v>2088</v>
      </c>
      <c r="F12" s="42">
        <v>0</v>
      </c>
      <c r="G12" s="45" t="s">
        <v>22</v>
      </c>
      <c r="H12" s="46"/>
      <c r="J12" s="53">
        <f>E12/D12</f>
        <v>1</v>
      </c>
      <c r="K12" s="53">
        <v>1</v>
      </c>
      <c r="L12" s="53">
        <f>(D12-K12*D12)</f>
        <v>0</v>
      </c>
    </row>
    <row r="13" spans="1:14" ht="20.100000000000001" customHeight="1">
      <c r="A13" s="47">
        <v>60</v>
      </c>
      <c r="B13" s="48">
        <f t="shared" ref="B13:B17" si="1">A13-A12</f>
        <v>60</v>
      </c>
      <c r="C13" s="49">
        <v>750</v>
      </c>
      <c r="D13" s="44">
        <f t="shared" ref="D13:D17" si="2">G$8</f>
        <v>2088</v>
      </c>
      <c r="E13" s="42">
        <f t="shared" si="0"/>
        <v>1338</v>
      </c>
      <c r="F13" s="48">
        <f t="shared" ref="F13:F17" si="3">C13-C12</f>
        <v>750</v>
      </c>
      <c r="G13" s="50">
        <f>((G$5)^2/((2*C$7)*(A13)))*LN(C$7/G$5)*LN(G$8/E13)</f>
        <v>3.9453644599332925E-4</v>
      </c>
      <c r="H13" s="51"/>
      <c r="J13" s="53">
        <f t="shared" ref="J13:J16" si="4">E13/D13</f>
        <v>0.64080459770114939</v>
      </c>
      <c r="K13" s="53">
        <f>water_level(A13)</f>
        <v>0.79561634792007441</v>
      </c>
      <c r="L13" s="53">
        <f>INT(D13-K13*D13)</f>
        <v>426</v>
      </c>
    </row>
    <row r="14" spans="1:14" ht="20.100000000000001" customHeight="1">
      <c r="A14" s="47">
        <v>120</v>
      </c>
      <c r="B14" s="48">
        <f t="shared" si="1"/>
        <v>60</v>
      </c>
      <c r="C14" s="49">
        <v>862</v>
      </c>
      <c r="D14" s="44">
        <f t="shared" si="2"/>
        <v>2088</v>
      </c>
      <c r="E14" s="42">
        <f t="shared" si="0"/>
        <v>1226</v>
      </c>
      <c r="F14" s="48">
        <f t="shared" si="3"/>
        <v>112</v>
      </c>
      <c r="G14" s="50">
        <f>((G$5)^2/((2*C$7)*(A14)))*LN(C$7/G$5)*LN(G$8/E14)</f>
        <v>2.3601839228408957E-4</v>
      </c>
      <c r="H14" s="51"/>
      <c r="J14" s="53">
        <f>E14/D14</f>
        <v>0.58716475095785436</v>
      </c>
      <c r="K14" s="53">
        <f>water_level(A14)</f>
        <v>0.69883505262100221</v>
      </c>
      <c r="L14" s="53">
        <f>INT(D14-K14*D14)</f>
        <v>628</v>
      </c>
    </row>
    <row r="15" spans="1:14" ht="20.100000000000001" customHeight="1">
      <c r="A15" s="47">
        <v>180</v>
      </c>
      <c r="B15" s="48">
        <f t="shared" si="1"/>
        <v>60</v>
      </c>
      <c r="C15" s="49">
        <v>912</v>
      </c>
      <c r="D15" s="44">
        <f t="shared" si="2"/>
        <v>2088</v>
      </c>
      <c r="E15" s="42">
        <f t="shared" si="0"/>
        <v>1176</v>
      </c>
      <c r="F15" s="48">
        <f t="shared" si="3"/>
        <v>50</v>
      </c>
      <c r="G15" s="50">
        <f t="shared" ref="G15:G17" si="5">((G$5)^2/((2*C$7)*(A15)))*LN(C$7/G$5)*LN(G$8/E15)</f>
        <v>1.6965014186951912E-4</v>
      </c>
      <c r="H15" s="51"/>
      <c r="J15" s="53">
        <f t="shared" si="4"/>
        <v>0.56321839080459768</v>
      </c>
      <c r="K15" s="53">
        <f>water_level(A15)</f>
        <v>0.64902289305809024</v>
      </c>
      <c r="L15" s="53">
        <f>INT(D15-K15*D15)</f>
        <v>732</v>
      </c>
    </row>
    <row r="16" spans="1:14" ht="20.100000000000001" customHeight="1">
      <c r="A16" s="47">
        <v>240</v>
      </c>
      <c r="B16" s="48">
        <f t="shared" si="1"/>
        <v>60</v>
      </c>
      <c r="C16" s="49">
        <v>939</v>
      </c>
      <c r="D16" s="44">
        <f t="shared" si="2"/>
        <v>2088</v>
      </c>
      <c r="E16" s="42">
        <f t="shared" si="0"/>
        <v>1149</v>
      </c>
      <c r="F16" s="48">
        <f t="shared" si="3"/>
        <v>27</v>
      </c>
      <c r="G16" s="50">
        <f t="shared" si="5"/>
        <v>1.3238547536938708E-4</v>
      </c>
      <c r="H16" s="51"/>
      <c r="J16" s="53">
        <f t="shared" si="4"/>
        <v>0.55028735632183912</v>
      </c>
      <c r="K16" s="53">
        <f>water_level(A16)</f>
        <v>0.59037364818664551</v>
      </c>
      <c r="L16" s="53">
        <f>INT(D16-K16*D16)</f>
        <v>855</v>
      </c>
    </row>
    <row r="17" spans="1:12" ht="20.100000000000001" customHeight="1">
      <c r="A17" s="47">
        <v>300</v>
      </c>
      <c r="B17" s="48">
        <f t="shared" si="1"/>
        <v>60</v>
      </c>
      <c r="C17" s="49">
        <v>966</v>
      </c>
      <c r="D17" s="44">
        <f t="shared" si="2"/>
        <v>2088</v>
      </c>
      <c r="E17" s="42">
        <f t="shared" si="0"/>
        <v>1122</v>
      </c>
      <c r="F17" s="48">
        <f t="shared" si="3"/>
        <v>27</v>
      </c>
      <c r="G17" s="50">
        <f t="shared" si="5"/>
        <v>1.101246097074223E-4</v>
      </c>
      <c r="H17" s="51"/>
      <c r="J17" s="53">
        <f>E17/D17</f>
        <v>0.53735632183908044</v>
      </c>
      <c r="K17" s="53">
        <f>water_level(A17)</f>
        <v>0.46708109696197531</v>
      </c>
      <c r="L17" s="53">
        <f>INT(D17-K17*D17)</f>
        <v>1112</v>
      </c>
    </row>
    <row r="18" spans="1:12" ht="20.100000000000001" customHeight="1">
      <c r="A18" s="14"/>
      <c r="B18" s="15"/>
      <c r="C18" s="15"/>
      <c r="D18" s="11"/>
      <c r="E18" s="10"/>
      <c r="F18" s="15"/>
      <c r="G18" s="16"/>
      <c r="H18" s="17"/>
      <c r="J18" s="53"/>
      <c r="K18" s="53"/>
      <c r="L18" s="53"/>
    </row>
    <row r="19" spans="1:12" ht="20.100000000000001" customHeight="1">
      <c r="A19" s="14"/>
      <c r="B19" s="15"/>
      <c r="C19" s="15"/>
      <c r="D19" s="11"/>
      <c r="E19" s="10"/>
      <c r="F19" s="15"/>
      <c r="G19" s="16"/>
      <c r="H19" s="17"/>
      <c r="J19" s="153">
        <v>-2.7776550084956306E-8</v>
      </c>
      <c r="K19" s="53"/>
      <c r="L19" s="53"/>
    </row>
    <row r="20" spans="1:12" ht="20.100000000000001" customHeight="1">
      <c r="A20" s="14"/>
      <c r="B20" s="15"/>
      <c r="C20" s="15"/>
      <c r="D20" s="11"/>
      <c r="E20" s="10"/>
      <c r="F20" s="15"/>
      <c r="G20" s="16"/>
      <c r="H20" s="17"/>
      <c r="J20" s="153">
        <v>1.7335461100377555E-5</v>
      </c>
      <c r="K20" s="53"/>
      <c r="L20" s="53"/>
    </row>
    <row r="21" spans="1:12" ht="20.100000000000001" customHeight="1">
      <c r="A21" s="14"/>
      <c r="B21" s="15"/>
      <c r="C21" s="15"/>
      <c r="D21" s="15"/>
      <c r="E21" s="15"/>
      <c r="F21" s="15"/>
      <c r="G21" s="15"/>
      <c r="H21" s="17"/>
      <c r="J21" s="153">
        <v>-3.8935927062418701E-3</v>
      </c>
      <c r="K21" s="53"/>
      <c r="L21" s="53"/>
    </row>
    <row r="22" spans="1:12" ht="20.100000000000001" customHeight="1">
      <c r="A22" s="14"/>
      <c r="B22" s="15"/>
      <c r="C22" s="15"/>
      <c r="D22" s="15"/>
      <c r="E22" s="15"/>
      <c r="F22" s="15"/>
      <c r="G22" s="15"/>
      <c r="H22" s="17"/>
      <c r="J22" s="153">
        <v>0.99630639845436986</v>
      </c>
      <c r="K22" s="53"/>
      <c r="L22" s="53"/>
    </row>
    <row r="23" spans="1:12" ht="20.100000000000001" customHeight="1" thickBot="1">
      <c r="A23" s="98" t="s">
        <v>45</v>
      </c>
      <c r="B23" s="99"/>
      <c r="C23" s="18"/>
      <c r="D23" s="18"/>
      <c r="E23" s="18"/>
      <c r="F23" s="18"/>
      <c r="G23" s="62">
        <f>AVERAGE(G13,G14,G15,G16,G17,G18,G19,G20)</f>
        <v>2.0854301304474944E-4</v>
      </c>
      <c r="H23" s="20"/>
      <c r="J23" s="55"/>
      <c r="K23" s="53"/>
      <c r="L23" s="53"/>
    </row>
    <row r="24" spans="1:12" ht="16.5">
      <c r="A24" s="21"/>
      <c r="B24" s="22"/>
      <c r="C24" s="22"/>
      <c r="D24" s="22"/>
      <c r="E24" s="22"/>
      <c r="F24" s="22"/>
      <c r="G24" s="2" t="s">
        <v>39</v>
      </c>
      <c r="H24" s="23"/>
      <c r="J24" s="2"/>
    </row>
    <row r="25" spans="1:12">
      <c r="A25" s="24"/>
      <c r="B25" s="2"/>
      <c r="C25" s="2"/>
      <c r="D25" s="2"/>
      <c r="E25" s="2"/>
      <c r="F25" s="2"/>
      <c r="H25" s="25" t="s">
        <v>23</v>
      </c>
      <c r="J25" s="2"/>
    </row>
    <row r="26" spans="1:12">
      <c r="A26" s="24"/>
      <c r="B26" s="2"/>
      <c r="C26" s="2"/>
      <c r="D26" s="2"/>
      <c r="E26" s="2"/>
      <c r="F26" s="2"/>
      <c r="G26" s="2" t="s">
        <v>24</v>
      </c>
      <c r="H26" s="26"/>
      <c r="J26" s="2"/>
    </row>
    <row r="27" spans="1:12">
      <c r="A27" s="24"/>
      <c r="B27" s="2"/>
      <c r="C27" s="2"/>
      <c r="D27" s="2"/>
      <c r="F27" s="2"/>
      <c r="H27" s="26"/>
      <c r="J27" s="2"/>
    </row>
    <row r="28" spans="1:12" ht="16.5">
      <c r="A28" s="24"/>
      <c r="B28" s="2"/>
      <c r="C28" s="2"/>
      <c r="D28" s="2"/>
      <c r="E28" s="27" t="s">
        <v>25</v>
      </c>
      <c r="F28" s="2"/>
      <c r="G28" s="2" t="s">
        <v>40</v>
      </c>
      <c r="H28" s="26"/>
      <c r="J28" s="2"/>
    </row>
    <row r="29" spans="1:12" ht="16.5">
      <c r="A29" s="24"/>
      <c r="B29" s="2"/>
      <c r="C29" s="2"/>
      <c r="E29" s="2"/>
      <c r="F29" s="2"/>
      <c r="G29" s="2" t="s">
        <v>41</v>
      </c>
      <c r="H29" s="26"/>
      <c r="J29" s="2"/>
    </row>
    <row r="30" spans="1:12">
      <c r="A30" s="24"/>
      <c r="B30" s="2"/>
      <c r="C30" s="2"/>
      <c r="D30" s="2"/>
      <c r="F30" s="2"/>
      <c r="G30" s="2"/>
      <c r="H30" s="26"/>
      <c r="J30" s="2"/>
    </row>
    <row r="31" spans="1:12" ht="16.5">
      <c r="A31" s="24"/>
      <c r="B31" s="2"/>
      <c r="C31" s="2"/>
      <c r="D31" s="2"/>
      <c r="E31" s="52" t="s">
        <v>26</v>
      </c>
      <c r="F31" s="53"/>
      <c r="G31" s="2" t="s">
        <v>42</v>
      </c>
      <c r="H31" s="25" t="s">
        <v>27</v>
      </c>
      <c r="J31" s="2"/>
    </row>
    <row r="32" spans="1:12" ht="16.5">
      <c r="A32" s="24"/>
      <c r="B32" s="2"/>
      <c r="C32" s="2"/>
      <c r="D32" s="2"/>
      <c r="E32" s="54" t="s">
        <v>28</v>
      </c>
      <c r="F32" s="55"/>
      <c r="G32" s="2"/>
      <c r="H32" s="26"/>
      <c r="J32" s="2"/>
    </row>
    <row r="33" spans="1:10" ht="16.5">
      <c r="A33" s="24"/>
      <c r="B33" s="2"/>
      <c r="C33" s="2"/>
      <c r="D33" s="2"/>
      <c r="E33" s="54" t="s">
        <v>29</v>
      </c>
      <c r="F33" s="55"/>
      <c r="H33" s="25" t="s">
        <v>30</v>
      </c>
      <c r="J33" s="2"/>
    </row>
    <row r="34" spans="1:10" ht="13.5" customHeight="1">
      <c r="A34" s="24"/>
      <c r="B34" s="2"/>
      <c r="C34" s="2"/>
      <c r="E34" s="56" t="s">
        <v>31</v>
      </c>
      <c r="F34" s="55"/>
      <c r="G34" s="2"/>
      <c r="H34" s="26"/>
      <c r="J34" s="2"/>
    </row>
    <row r="35" spans="1:10" ht="13.5" customHeight="1">
      <c r="A35" s="24"/>
      <c r="B35" s="2"/>
      <c r="C35" s="2"/>
      <c r="D35" s="2"/>
      <c r="E35" s="56" t="s">
        <v>32</v>
      </c>
      <c r="F35" s="53"/>
      <c r="G35" s="2"/>
      <c r="H35" s="26"/>
      <c r="J35" s="2"/>
    </row>
    <row r="36" spans="1:10" ht="13.5" customHeight="1">
      <c r="A36" s="24"/>
      <c r="B36" s="2"/>
      <c r="C36" s="2"/>
      <c r="D36" s="2"/>
      <c r="E36" s="56" t="s">
        <v>60</v>
      </c>
      <c r="F36" s="55"/>
      <c r="G36" s="2"/>
      <c r="H36" s="26"/>
      <c r="J36" s="2"/>
    </row>
    <row r="37" spans="1:10" ht="16.5">
      <c r="A37" s="24"/>
      <c r="B37" s="2"/>
      <c r="C37" s="2"/>
      <c r="D37" s="2"/>
      <c r="E37" s="56" t="s">
        <v>61</v>
      </c>
      <c r="F37" s="55"/>
      <c r="G37" s="2"/>
      <c r="H37" s="26" t="s">
        <v>33</v>
      </c>
      <c r="J37" s="2"/>
    </row>
    <row r="38" spans="1:10" ht="16.5">
      <c r="A38" s="24"/>
      <c r="B38" s="2"/>
      <c r="C38" s="2"/>
      <c r="D38" s="2"/>
      <c r="E38" s="56" t="s">
        <v>34</v>
      </c>
      <c r="F38" s="55"/>
      <c r="G38" s="2"/>
      <c r="H38" s="26"/>
      <c r="J38" s="2"/>
    </row>
    <row r="39" spans="1:10">
      <c r="A39" s="24"/>
      <c r="B39" s="2"/>
      <c r="C39" s="2"/>
      <c r="D39" s="2"/>
      <c r="F39" s="2"/>
      <c r="G39" s="2"/>
      <c r="H39" s="26"/>
      <c r="J39" s="2"/>
    </row>
    <row r="40" spans="1:10" ht="14.25" thickBot="1">
      <c r="A40" s="24"/>
      <c r="B40" s="2"/>
      <c r="C40" s="2"/>
      <c r="D40" s="2"/>
      <c r="F40" s="2"/>
      <c r="G40" s="2"/>
      <c r="H40" s="31"/>
      <c r="J40" s="2"/>
    </row>
    <row r="41" spans="1:10" ht="14.25" thickTop="1">
      <c r="A41" s="100" t="s">
        <v>35</v>
      </c>
      <c r="B41" s="32"/>
      <c r="C41" s="32"/>
      <c r="D41" s="32"/>
      <c r="E41" s="32"/>
      <c r="F41" s="32"/>
      <c r="G41" s="32"/>
      <c r="H41" s="33"/>
      <c r="J41" s="2"/>
    </row>
    <row r="42" spans="1:10" ht="14.25" thickBot="1">
      <c r="A42" s="101"/>
      <c r="B42" s="34"/>
      <c r="C42" s="34"/>
      <c r="D42" s="34"/>
      <c r="E42" s="34"/>
      <c r="F42" s="34"/>
      <c r="G42" s="34"/>
      <c r="H42" s="35"/>
      <c r="J42" s="2"/>
    </row>
    <row r="43" spans="1:10" ht="9.9499999999999993" customHeight="1">
      <c r="A43" s="22"/>
      <c r="B43" s="22"/>
      <c r="C43" s="22"/>
      <c r="D43" s="22"/>
      <c r="E43" s="22"/>
      <c r="F43" s="22"/>
      <c r="G43" s="22"/>
      <c r="H43" s="22"/>
    </row>
  </sheetData>
  <mergeCells count="28">
    <mergeCell ref="A10:B10"/>
    <mergeCell ref="H10:H11"/>
    <mergeCell ref="A23:B23"/>
    <mergeCell ref="A41:A42"/>
    <mergeCell ref="A8:B8"/>
    <mergeCell ref="C8:D8"/>
    <mergeCell ref="E8:F8"/>
    <mergeCell ref="G8:H8"/>
    <mergeCell ref="A9:B9"/>
    <mergeCell ref="C9:D9"/>
    <mergeCell ref="E9:F9"/>
    <mergeCell ref="G9:H9"/>
    <mergeCell ref="A6:B6"/>
    <mergeCell ref="C6:D6"/>
    <mergeCell ref="E6:F6"/>
    <mergeCell ref="G6:H6"/>
    <mergeCell ref="A7:B7"/>
    <mergeCell ref="C7:D7"/>
    <mergeCell ref="E7:F7"/>
    <mergeCell ref="G7:H7"/>
    <mergeCell ref="A2:H2"/>
    <mergeCell ref="A3:H3"/>
    <mergeCell ref="A4:B4"/>
    <mergeCell ref="C4:H4"/>
    <mergeCell ref="A5:B5"/>
    <mergeCell ref="C5:D5"/>
    <mergeCell ref="E5:F5"/>
    <mergeCell ref="G5:H5"/>
  </mergeCells>
  <phoneticPr fontId="1" type="noConversion"/>
  <pageMargins left="0.81" right="0.42" top="1" bottom="0.51" header="0.5" footer="0.5"/>
  <pageSetup paperSize="9" scale="99" orientation="portrait" horizontalDpi="4294967294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3073" r:id="rId4">
          <objectPr defaultSize="0" autoPict="0" r:id="rId5">
            <anchor moveWithCells="1">
              <from>
                <xdr:col>4</xdr:col>
                <xdr:colOff>466725</xdr:colOff>
                <xdr:row>25</xdr:row>
                <xdr:rowOff>28575</xdr:rowOff>
              </from>
              <to>
                <xdr:col>5</xdr:col>
                <xdr:colOff>619125</xdr:colOff>
                <xdr:row>27</xdr:row>
                <xdr:rowOff>0</xdr:rowOff>
              </to>
            </anchor>
          </objectPr>
        </oleObject>
      </mc:Choice>
      <mc:Fallback>
        <oleObject progId="Equation.3" shapeId="3073" r:id="rId4"/>
      </mc:Fallback>
    </mc:AlternateContent>
    <mc:AlternateContent xmlns:mc="http://schemas.openxmlformats.org/markup-compatibility/2006">
      <mc:Choice Requires="x14">
        <oleObject progId="Equation.3" shapeId="3074" r:id="rId6">
          <objectPr defaultSize="0" autoPict="0" r:id="rId7">
            <anchor moveWithCells="1">
              <from>
                <xdr:col>4</xdr:col>
                <xdr:colOff>495300</xdr:colOff>
                <xdr:row>28</xdr:row>
                <xdr:rowOff>28575</xdr:rowOff>
              </from>
              <to>
                <xdr:col>6</xdr:col>
                <xdr:colOff>0</xdr:colOff>
                <xdr:row>30</xdr:row>
                <xdr:rowOff>0</xdr:rowOff>
              </to>
            </anchor>
          </objectPr>
        </oleObject>
      </mc:Choice>
      <mc:Fallback>
        <oleObject progId="Equation.3" shapeId="3074" r:id="rId6"/>
      </mc:Fallback>
    </mc:AlternateContent>
  </oleObjects>
  <controls>
    <mc:AlternateContent xmlns:mc="http://schemas.openxmlformats.org/markup-compatibility/2006">
      <mc:Choice Requires="x14">
        <control shapeId="3075" r:id="rId8" name="CommandButton1">
          <controlPr defaultSize="0" autoLine="0" r:id="rId9">
            <anchor moveWithCells="1">
              <from>
                <xdr:col>9</xdr:col>
                <xdr:colOff>38100</xdr:colOff>
                <xdr:row>2</xdr:row>
                <xdr:rowOff>0</xdr:rowOff>
              </from>
              <to>
                <xdr:col>10</xdr:col>
                <xdr:colOff>781050</xdr:colOff>
                <xdr:row>3</xdr:row>
                <xdr:rowOff>171450</xdr:rowOff>
              </to>
            </anchor>
          </controlPr>
        </control>
      </mc:Choice>
      <mc:Fallback>
        <control shapeId="3075" r:id="rId8" name="CommandButton1"/>
      </mc:Fallback>
    </mc:AlternateContent>
    <mc:AlternateContent xmlns:mc="http://schemas.openxmlformats.org/markup-compatibility/2006">
      <mc:Choice Requires="x14">
        <control shapeId="3076" r:id="rId10" name="CommandButton2">
          <controlPr defaultSize="0" autoLine="0" r:id="rId11">
            <anchor moveWithCells="1">
              <from>
                <xdr:col>10</xdr:col>
                <xdr:colOff>876300</xdr:colOff>
                <xdr:row>2</xdr:row>
                <xdr:rowOff>9525</xdr:rowOff>
              </from>
              <to>
                <xdr:col>12</xdr:col>
                <xdr:colOff>571500</xdr:colOff>
                <xdr:row>3</xdr:row>
                <xdr:rowOff>180975</xdr:rowOff>
              </to>
            </anchor>
          </controlPr>
        </control>
      </mc:Choice>
      <mc:Fallback>
        <control shapeId="3076" r:id="rId10" name="CommandButton2"/>
      </mc:Fallback>
    </mc:AlternateContent>
    <mc:AlternateContent xmlns:mc="http://schemas.openxmlformats.org/markup-compatibility/2006">
      <mc:Choice Requires="x14">
        <control shapeId="3077" r:id="rId12" name="CommandButton3">
          <controlPr defaultSize="0" autoLine="0" autoPict="0" r:id="rId13">
            <anchor moveWithCells="1">
              <from>
                <xdr:col>9</xdr:col>
                <xdr:colOff>57150</xdr:colOff>
                <xdr:row>4</xdr:row>
                <xdr:rowOff>47625</xdr:rowOff>
              </from>
              <to>
                <xdr:col>10</xdr:col>
                <xdr:colOff>762000</xdr:colOff>
                <xdr:row>5</xdr:row>
                <xdr:rowOff>161925</xdr:rowOff>
              </to>
            </anchor>
          </controlPr>
        </control>
      </mc:Choice>
      <mc:Fallback>
        <control shapeId="3077" r:id="rId12" name="CommandButton3"/>
      </mc:Fallback>
    </mc:AlternateContent>
    <mc:AlternateContent xmlns:mc="http://schemas.openxmlformats.org/markup-compatibility/2006">
      <mc:Choice Requires="x14">
        <control shapeId="3078" r:id="rId14" name="CommandButton4">
          <controlPr defaultSize="0" autoLine="0" r:id="rId15">
            <anchor moveWithCells="1">
              <from>
                <xdr:col>10</xdr:col>
                <xdr:colOff>923925</xdr:colOff>
                <xdr:row>4</xdr:row>
                <xdr:rowOff>47625</xdr:rowOff>
              </from>
              <to>
                <xdr:col>12</xdr:col>
                <xdr:colOff>581025</xdr:colOff>
                <xdr:row>5</xdr:row>
                <xdr:rowOff>161925</xdr:rowOff>
              </to>
            </anchor>
          </controlPr>
        </control>
      </mc:Choice>
      <mc:Fallback>
        <control shapeId="3078" r:id="rId14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442AF-31E1-429E-BAA5-5F750ACDB7FA}">
  <sheetPr codeName="Sheet6"/>
  <dimension ref="A1:N43"/>
  <sheetViews>
    <sheetView tabSelected="1" zoomScaleNormal="100" zoomScaleSheetLayoutView="115" workbookViewId="0">
      <selection activeCell="P8" sqref="P8"/>
    </sheetView>
  </sheetViews>
  <sheetFormatPr defaultColWidth="8.88671875" defaultRowHeight="13.5"/>
  <cols>
    <col min="1" max="6" width="9.33203125" style="1" customWidth="1"/>
    <col min="7" max="7" width="9.77734375" style="1" customWidth="1"/>
    <col min="8" max="8" width="9.33203125" style="1" customWidth="1"/>
    <col min="9" max="9" width="1.77734375" style="1" customWidth="1"/>
    <col min="10" max="10" width="12.33203125" style="1" bestFit="1" customWidth="1"/>
    <col min="11" max="11" width="12.44140625" style="1" customWidth="1"/>
    <col min="12" max="12" width="12.109375" style="1" customWidth="1"/>
    <col min="13" max="16384" width="8.88671875" style="1"/>
  </cols>
  <sheetData>
    <row r="1" spans="1:14" ht="9.9499999999999993" customHeight="1" thickBot="1"/>
    <row r="2" spans="1:14" ht="24.95" customHeight="1">
      <c r="A2" s="64" t="s">
        <v>1</v>
      </c>
      <c r="B2" s="65"/>
      <c r="C2" s="65"/>
      <c r="D2" s="65"/>
      <c r="E2" s="65"/>
      <c r="F2" s="65"/>
      <c r="G2" s="65"/>
      <c r="H2" s="66"/>
      <c r="J2" s="2"/>
    </row>
    <row r="3" spans="1:14" ht="15.95" customHeight="1" thickBot="1">
      <c r="A3" s="67" t="s">
        <v>2</v>
      </c>
      <c r="B3" s="68"/>
      <c r="C3" s="68"/>
      <c r="D3" s="68"/>
      <c r="E3" s="68"/>
      <c r="F3" s="68"/>
      <c r="G3" s="68"/>
      <c r="H3" s="69"/>
      <c r="J3" s="2"/>
    </row>
    <row r="4" spans="1:14" ht="20.100000000000001" customHeight="1" thickBot="1">
      <c r="A4" s="70" t="s">
        <v>3</v>
      </c>
      <c r="B4" s="71"/>
      <c r="C4" s="72" t="s">
        <v>51</v>
      </c>
      <c r="D4" s="73"/>
      <c r="E4" s="73"/>
      <c r="F4" s="73"/>
      <c r="G4" s="73"/>
      <c r="H4" s="74"/>
      <c r="J4" s="2"/>
    </row>
    <row r="5" spans="1:14" ht="20.100000000000001" customHeight="1" thickTop="1">
      <c r="A5" s="75" t="s">
        <v>4</v>
      </c>
      <c r="B5" s="76"/>
      <c r="C5" s="77" t="s">
        <v>46</v>
      </c>
      <c r="D5" s="78"/>
      <c r="E5" s="79" t="s">
        <v>5</v>
      </c>
      <c r="F5" s="76"/>
      <c r="G5" s="80">
        <v>3.25</v>
      </c>
      <c r="H5" s="81"/>
      <c r="J5" s="2"/>
      <c r="N5" s="63">
        <v>500</v>
      </c>
    </row>
    <row r="6" spans="1:14" ht="20.100000000000001" customHeight="1">
      <c r="A6" s="82" t="s">
        <v>6</v>
      </c>
      <c r="B6" s="83"/>
      <c r="C6" s="84" t="s">
        <v>52</v>
      </c>
      <c r="D6" s="85"/>
      <c r="E6" s="86" t="s">
        <v>7</v>
      </c>
      <c r="F6" s="83"/>
      <c r="G6" s="87">
        <f>'BH1'!G6:H6</f>
        <v>2078</v>
      </c>
      <c r="H6" s="88"/>
      <c r="J6" s="2"/>
    </row>
    <row r="7" spans="1:14" ht="20.100000000000001" customHeight="1">
      <c r="A7" s="82" t="s">
        <v>8</v>
      </c>
      <c r="B7" s="83"/>
      <c r="C7" s="87">
        <v>200</v>
      </c>
      <c r="D7" s="89"/>
      <c r="E7" s="90" t="s">
        <v>9</v>
      </c>
      <c r="F7" s="91"/>
      <c r="G7" s="92">
        <v>10</v>
      </c>
      <c r="H7" s="93"/>
      <c r="J7" s="57" t="s">
        <v>54</v>
      </c>
      <c r="K7" s="58" t="s">
        <v>55</v>
      </c>
      <c r="L7" s="58" t="s">
        <v>56</v>
      </c>
    </row>
    <row r="8" spans="1:14" ht="20.100000000000001" customHeight="1">
      <c r="A8" s="82" t="s">
        <v>10</v>
      </c>
      <c r="B8" s="83"/>
      <c r="C8" s="102">
        <v>100</v>
      </c>
      <c r="D8" s="103"/>
      <c r="E8" s="90" t="s">
        <v>57</v>
      </c>
      <c r="F8" s="91"/>
      <c r="G8" s="102">
        <f>G6+G7</f>
        <v>2088</v>
      </c>
      <c r="H8" s="104"/>
      <c r="J8" s="55">
        <v>4.306035574436188</v>
      </c>
      <c r="K8" s="53">
        <v>2.202521914243698</v>
      </c>
      <c r="L8" s="53">
        <v>4.4924400691986079</v>
      </c>
    </row>
    <row r="9" spans="1:14" ht="20.100000000000001" customHeight="1" thickBot="1">
      <c r="A9" s="105" t="s">
        <v>11</v>
      </c>
      <c r="B9" s="106"/>
      <c r="C9" s="107"/>
      <c r="D9" s="108"/>
      <c r="E9" s="109" t="s">
        <v>12</v>
      </c>
      <c r="F9" s="106"/>
      <c r="G9" s="110"/>
      <c r="H9" s="111"/>
      <c r="J9" s="55"/>
      <c r="K9" s="53"/>
      <c r="L9" s="53"/>
    </row>
    <row r="10" spans="1:14" ht="20.100000000000001" customHeight="1" thickTop="1">
      <c r="A10" s="94" t="s">
        <v>13</v>
      </c>
      <c r="B10" s="95"/>
      <c r="C10" s="36" t="s">
        <v>14</v>
      </c>
      <c r="D10" s="36" t="s">
        <v>58</v>
      </c>
      <c r="E10" s="36" t="s">
        <v>59</v>
      </c>
      <c r="F10" s="36" t="s">
        <v>15</v>
      </c>
      <c r="G10" s="37" t="s">
        <v>16</v>
      </c>
      <c r="H10" s="96" t="s">
        <v>17</v>
      </c>
      <c r="J10" s="55"/>
      <c r="K10" s="53"/>
      <c r="L10" s="53"/>
    </row>
    <row r="11" spans="1:14" ht="20.100000000000001" customHeight="1" thickBot="1">
      <c r="A11" s="38" t="s">
        <v>18</v>
      </c>
      <c r="B11" s="39" t="s">
        <v>19</v>
      </c>
      <c r="C11" s="40" t="s">
        <v>20</v>
      </c>
      <c r="D11" s="40" t="s">
        <v>20</v>
      </c>
      <c r="E11" s="40" t="s">
        <v>20</v>
      </c>
      <c r="F11" s="40" t="s">
        <v>20</v>
      </c>
      <c r="G11" s="40" t="s">
        <v>21</v>
      </c>
      <c r="H11" s="97"/>
      <c r="J11" s="59" t="s">
        <v>0</v>
      </c>
      <c r="K11" s="58" t="s">
        <v>53</v>
      </c>
      <c r="L11" s="58" t="s">
        <v>14</v>
      </c>
    </row>
    <row r="12" spans="1:14" ht="20.100000000000001" customHeight="1" thickTop="1">
      <c r="A12" s="41">
        <v>0</v>
      </c>
      <c r="B12" s="42">
        <v>0</v>
      </c>
      <c r="C12" s="43">
        <v>0</v>
      </c>
      <c r="D12" s="44">
        <f>G$8</f>
        <v>2088</v>
      </c>
      <c r="E12" s="42">
        <f t="shared" ref="E12:E17" si="0">D12-C12</f>
        <v>2088</v>
      </c>
      <c r="F12" s="42">
        <v>0</v>
      </c>
      <c r="G12" s="45" t="s">
        <v>22</v>
      </c>
      <c r="H12" s="46"/>
      <c r="J12" s="53">
        <f>E12/D12</f>
        <v>1</v>
      </c>
      <c r="K12" s="53">
        <v>1</v>
      </c>
      <c r="L12" s="53">
        <f>(D12-K12*D12)</f>
        <v>0</v>
      </c>
    </row>
    <row r="13" spans="1:14" ht="20.100000000000001" customHeight="1">
      <c r="A13" s="47">
        <v>60</v>
      </c>
      <c r="B13" s="48">
        <f t="shared" ref="B13:B17" si="1">A13-A12</f>
        <v>60</v>
      </c>
      <c r="C13" s="49">
        <v>517</v>
      </c>
      <c r="D13" s="44">
        <f t="shared" ref="D13:D17" si="2">G$8</f>
        <v>2088</v>
      </c>
      <c r="E13" s="42">
        <f t="shared" si="0"/>
        <v>1571</v>
      </c>
      <c r="F13" s="48">
        <f t="shared" ref="F13:F17" si="3">C13-C12</f>
        <v>517</v>
      </c>
      <c r="G13" s="50">
        <f>((G$5)^2/((2*C$7)*(A13)))*LN(C$7/G$5)*LN(G$8/E13)</f>
        <v>5.1581110833903948E-4</v>
      </c>
      <c r="H13" s="51"/>
      <c r="J13" s="53">
        <f t="shared" ref="J13:J16" si="4">E13/D13</f>
        <v>0.75239463601532564</v>
      </c>
      <c r="K13" s="53">
        <f>water_level(A13)</f>
        <v>0.79561634792007441</v>
      </c>
      <c r="L13" s="53">
        <f>INT(D13-K13*D13)</f>
        <v>426</v>
      </c>
    </row>
    <row r="14" spans="1:14" ht="20.100000000000001" customHeight="1">
      <c r="A14" s="47">
        <v>120</v>
      </c>
      <c r="B14" s="48">
        <f t="shared" si="1"/>
        <v>60</v>
      </c>
      <c r="C14" s="49">
        <v>605</v>
      </c>
      <c r="D14" s="44">
        <f t="shared" si="2"/>
        <v>2088</v>
      </c>
      <c r="E14" s="42">
        <f t="shared" si="0"/>
        <v>1483</v>
      </c>
      <c r="F14" s="48">
        <f t="shared" si="3"/>
        <v>88</v>
      </c>
      <c r="G14" s="50">
        <f>((G$5)^2/((2*C$7)*(A14)))*LN(C$7/G$5)*LN(G$8/E14)</f>
        <v>3.1016333746742441E-4</v>
      </c>
      <c r="H14" s="51"/>
      <c r="J14" s="53">
        <f>E14/D14</f>
        <v>0.71024904214559392</v>
      </c>
      <c r="K14" s="53">
        <f>water_level(A14)</f>
        <v>0.69883505262100221</v>
      </c>
      <c r="L14" s="53">
        <f>INT(D14-K14*D14)</f>
        <v>628</v>
      </c>
    </row>
    <row r="15" spans="1:14" ht="20.100000000000001" customHeight="1">
      <c r="A15" s="47">
        <v>180</v>
      </c>
      <c r="B15" s="48">
        <f t="shared" si="1"/>
        <v>60</v>
      </c>
      <c r="C15" s="49">
        <v>645</v>
      </c>
      <c r="D15" s="44">
        <f t="shared" si="2"/>
        <v>2088</v>
      </c>
      <c r="E15" s="42">
        <f t="shared" si="0"/>
        <v>1443</v>
      </c>
      <c r="F15" s="48">
        <f t="shared" si="3"/>
        <v>40</v>
      </c>
      <c r="G15" s="50">
        <f t="shared" ref="G15:G17" si="5">((G$5)^2/((2*C$7)*(A15)))*LN(C$7/G$5)*LN(G$8/E15)</f>
        <v>2.2330044810063988E-4</v>
      </c>
      <c r="H15" s="51"/>
      <c r="J15" s="53">
        <f t="shared" si="4"/>
        <v>0.69109195402298851</v>
      </c>
      <c r="K15" s="53">
        <f>water_level(A15)</f>
        <v>0.64902289305809024</v>
      </c>
      <c r="L15" s="53">
        <f>INT(D15-K15*D15)</f>
        <v>732</v>
      </c>
    </row>
    <row r="16" spans="1:14" ht="20.100000000000001" customHeight="1">
      <c r="A16" s="47">
        <v>240</v>
      </c>
      <c r="B16" s="48">
        <f t="shared" si="1"/>
        <v>60</v>
      </c>
      <c r="C16" s="49">
        <v>676</v>
      </c>
      <c r="D16" s="44">
        <f t="shared" si="2"/>
        <v>2088</v>
      </c>
      <c r="E16" s="42">
        <f t="shared" si="0"/>
        <v>1412</v>
      </c>
      <c r="F16" s="48">
        <f t="shared" si="3"/>
        <v>31</v>
      </c>
      <c r="G16" s="50">
        <f t="shared" si="5"/>
        <v>1.7731906756845875E-4</v>
      </c>
      <c r="H16" s="51"/>
      <c r="J16" s="53">
        <f t="shared" si="4"/>
        <v>0.67624521072796939</v>
      </c>
      <c r="K16" s="53">
        <f>water_level(A16)</f>
        <v>0.59037364818664551</v>
      </c>
      <c r="L16" s="53">
        <f>INT(D16-K16*D16)</f>
        <v>855</v>
      </c>
    </row>
    <row r="17" spans="1:12" ht="20.100000000000001" customHeight="1">
      <c r="A17" s="47">
        <v>300</v>
      </c>
      <c r="B17" s="48">
        <f t="shared" si="1"/>
        <v>60</v>
      </c>
      <c r="C17" s="49">
        <v>702</v>
      </c>
      <c r="D17" s="44">
        <f t="shared" si="2"/>
        <v>2088</v>
      </c>
      <c r="E17" s="42">
        <f t="shared" si="0"/>
        <v>1386</v>
      </c>
      <c r="F17" s="48">
        <f t="shared" si="3"/>
        <v>26</v>
      </c>
      <c r="G17" s="50">
        <f t="shared" si="5"/>
        <v>1.4859456096239702E-4</v>
      </c>
      <c r="H17" s="51"/>
      <c r="J17" s="53">
        <f>E17/D17</f>
        <v>0.66379310344827591</v>
      </c>
      <c r="K17" s="53">
        <f>water_level(A17)</f>
        <v>0.46708109696197531</v>
      </c>
      <c r="L17" s="53">
        <f>INT(D17-K17*D17)</f>
        <v>1112</v>
      </c>
    </row>
    <row r="18" spans="1:12" ht="20.100000000000001" customHeight="1">
      <c r="A18" s="14"/>
      <c r="B18" s="15"/>
      <c r="C18" s="15"/>
      <c r="D18" s="11"/>
      <c r="E18" s="10"/>
      <c r="F18" s="15"/>
      <c r="G18" s="16"/>
      <c r="H18" s="17"/>
      <c r="J18" s="53"/>
      <c r="K18" s="53"/>
      <c r="L18" s="53"/>
    </row>
    <row r="19" spans="1:12" ht="20.100000000000001" customHeight="1">
      <c r="A19" s="14"/>
      <c r="B19" s="15"/>
      <c r="C19" s="15"/>
      <c r="D19" s="11"/>
      <c r="E19" s="10"/>
      <c r="F19" s="15"/>
      <c r="G19" s="16"/>
      <c r="H19" s="17"/>
      <c r="J19" s="53">
        <v>-2.7776550084956306E-8</v>
      </c>
      <c r="K19" s="53"/>
      <c r="L19" s="53"/>
    </row>
    <row r="20" spans="1:12" ht="20.100000000000001" customHeight="1">
      <c r="A20" s="14"/>
      <c r="B20" s="15"/>
      <c r="C20" s="15"/>
      <c r="D20" s="11"/>
      <c r="E20" s="10"/>
      <c r="F20" s="15"/>
      <c r="G20" s="16"/>
      <c r="H20" s="17"/>
      <c r="J20" s="53">
        <v>1.7335461100377555E-5</v>
      </c>
      <c r="K20" s="53"/>
      <c r="L20" s="53"/>
    </row>
    <row r="21" spans="1:12" ht="20.100000000000001" customHeight="1">
      <c r="A21" s="14"/>
      <c r="B21" s="15"/>
      <c r="C21" s="15"/>
      <c r="D21" s="15"/>
      <c r="E21" s="15"/>
      <c r="F21" s="15"/>
      <c r="G21" s="15"/>
      <c r="H21" s="17"/>
      <c r="J21" s="55">
        <v>-3.8935927062418701E-3</v>
      </c>
      <c r="K21" s="53"/>
      <c r="L21" s="53"/>
    </row>
    <row r="22" spans="1:12" ht="20.100000000000001" customHeight="1">
      <c r="A22" s="14"/>
      <c r="B22" s="15"/>
      <c r="C22" s="15"/>
      <c r="D22" s="15"/>
      <c r="E22" s="15"/>
      <c r="F22" s="15"/>
      <c r="G22" s="15"/>
      <c r="H22" s="17"/>
      <c r="J22" s="55">
        <v>0.99630639845436986</v>
      </c>
      <c r="K22" s="53"/>
      <c r="L22" s="53"/>
    </row>
    <row r="23" spans="1:12" ht="20.100000000000001" customHeight="1" thickBot="1">
      <c r="A23" s="98" t="s">
        <v>45</v>
      </c>
      <c r="B23" s="99"/>
      <c r="C23" s="18"/>
      <c r="D23" s="18"/>
      <c r="E23" s="18"/>
      <c r="F23" s="18"/>
      <c r="G23" s="62">
        <f>AVERAGE(G13,G14,G15,G16,G17,G18,G19,G20)</f>
        <v>2.7503770448759191E-4</v>
      </c>
      <c r="H23" s="20"/>
      <c r="J23" s="55"/>
      <c r="K23" s="53"/>
      <c r="L23" s="53"/>
    </row>
    <row r="24" spans="1:12" ht="16.5">
      <c r="A24" s="21"/>
      <c r="B24" s="22"/>
      <c r="C24" s="22"/>
      <c r="D24" s="22"/>
      <c r="E24" s="22"/>
      <c r="F24" s="22"/>
      <c r="G24" s="2" t="s">
        <v>39</v>
      </c>
      <c r="H24" s="23"/>
      <c r="J24" s="2"/>
    </row>
    <row r="25" spans="1:12">
      <c r="A25" s="24"/>
      <c r="B25" s="2"/>
      <c r="C25" s="2"/>
      <c r="D25" s="2"/>
      <c r="E25" s="2"/>
      <c r="F25" s="2"/>
      <c r="H25" s="25" t="s">
        <v>23</v>
      </c>
      <c r="J25" s="2"/>
    </row>
    <row r="26" spans="1:12">
      <c r="A26" s="24"/>
      <c r="B26" s="2"/>
      <c r="C26" s="2"/>
      <c r="D26" s="2"/>
      <c r="E26" s="2"/>
      <c r="F26" s="2"/>
      <c r="G26" s="2" t="s">
        <v>24</v>
      </c>
      <c r="H26" s="26"/>
      <c r="J26" s="2"/>
    </row>
    <row r="27" spans="1:12">
      <c r="A27" s="24"/>
      <c r="B27" s="2"/>
      <c r="C27" s="2"/>
      <c r="D27" s="2"/>
      <c r="F27" s="2"/>
      <c r="H27" s="26"/>
      <c r="J27" s="2"/>
    </row>
    <row r="28" spans="1:12" ht="16.5">
      <c r="A28" s="24"/>
      <c r="B28" s="2"/>
      <c r="C28" s="2"/>
      <c r="D28" s="2"/>
      <c r="E28" s="27" t="s">
        <v>25</v>
      </c>
      <c r="F28" s="2"/>
      <c r="G28" s="2" t="s">
        <v>40</v>
      </c>
      <c r="H28" s="26"/>
      <c r="J28" s="2"/>
    </row>
    <row r="29" spans="1:12" ht="16.5">
      <c r="A29" s="24"/>
      <c r="B29" s="2"/>
      <c r="C29" s="2"/>
      <c r="E29" s="2"/>
      <c r="F29" s="2"/>
      <c r="G29" s="2" t="s">
        <v>41</v>
      </c>
      <c r="H29" s="26"/>
      <c r="J29" s="2"/>
    </row>
    <row r="30" spans="1:12">
      <c r="A30" s="24"/>
      <c r="B30" s="2"/>
      <c r="C30" s="2"/>
      <c r="D30" s="2"/>
      <c r="F30" s="2"/>
      <c r="G30" s="2"/>
      <c r="H30" s="26"/>
      <c r="J30" s="2"/>
    </row>
    <row r="31" spans="1:12" ht="16.5">
      <c r="A31" s="24"/>
      <c r="B31" s="2"/>
      <c r="C31" s="2"/>
      <c r="D31" s="2"/>
      <c r="E31" s="52" t="s">
        <v>26</v>
      </c>
      <c r="F31" s="53"/>
      <c r="G31" s="2" t="s">
        <v>42</v>
      </c>
      <c r="H31" s="25" t="s">
        <v>27</v>
      </c>
      <c r="J31" s="2"/>
    </row>
    <row r="32" spans="1:12" ht="16.5">
      <c r="A32" s="24"/>
      <c r="B32" s="2"/>
      <c r="C32" s="2"/>
      <c r="D32" s="2"/>
      <c r="E32" s="54" t="s">
        <v>28</v>
      </c>
      <c r="F32" s="55"/>
      <c r="G32" s="2"/>
      <c r="H32" s="26"/>
      <c r="J32" s="2"/>
    </row>
    <row r="33" spans="1:10" ht="16.5">
      <c r="A33" s="24"/>
      <c r="B33" s="2"/>
      <c r="C33" s="2"/>
      <c r="D33" s="2"/>
      <c r="E33" s="54" t="s">
        <v>29</v>
      </c>
      <c r="F33" s="55"/>
      <c r="H33" s="25" t="s">
        <v>30</v>
      </c>
      <c r="J33" s="2"/>
    </row>
    <row r="34" spans="1:10" ht="13.5" customHeight="1">
      <c r="A34" s="24"/>
      <c r="B34" s="2"/>
      <c r="C34" s="2"/>
      <c r="E34" s="56" t="s">
        <v>31</v>
      </c>
      <c r="F34" s="55"/>
      <c r="G34" s="2"/>
      <c r="H34" s="26"/>
      <c r="J34" s="2"/>
    </row>
    <row r="35" spans="1:10" ht="13.5" customHeight="1">
      <c r="A35" s="24"/>
      <c r="B35" s="2"/>
      <c r="C35" s="2"/>
      <c r="D35" s="2"/>
      <c r="E35" s="56" t="s">
        <v>32</v>
      </c>
      <c r="F35" s="53"/>
      <c r="G35" s="2"/>
      <c r="H35" s="26"/>
      <c r="J35" s="2"/>
    </row>
    <row r="36" spans="1:10" ht="13.5" customHeight="1">
      <c r="A36" s="24"/>
      <c r="B36" s="2"/>
      <c r="C36" s="2"/>
      <c r="D36" s="2"/>
      <c r="E36" s="56" t="s">
        <v>60</v>
      </c>
      <c r="F36" s="55"/>
      <c r="G36" s="2"/>
      <c r="H36" s="26"/>
      <c r="J36" s="2"/>
    </row>
    <row r="37" spans="1:10" ht="16.5">
      <c r="A37" s="24"/>
      <c r="B37" s="2"/>
      <c r="C37" s="2"/>
      <c r="D37" s="2"/>
      <c r="E37" s="56" t="s">
        <v>61</v>
      </c>
      <c r="F37" s="55"/>
      <c r="G37" s="2"/>
      <c r="H37" s="26" t="s">
        <v>33</v>
      </c>
      <c r="J37" s="2"/>
    </row>
    <row r="38" spans="1:10" ht="16.5">
      <c r="A38" s="24"/>
      <c r="B38" s="2"/>
      <c r="C38" s="2"/>
      <c r="D38" s="2"/>
      <c r="E38" s="56" t="s">
        <v>34</v>
      </c>
      <c r="F38" s="55"/>
      <c r="G38" s="2"/>
      <c r="H38" s="26"/>
      <c r="J38" s="2"/>
    </row>
    <row r="39" spans="1:10">
      <c r="A39" s="24"/>
      <c r="B39" s="2"/>
      <c r="C39" s="2"/>
      <c r="D39" s="2"/>
      <c r="F39" s="2"/>
      <c r="G39" s="2"/>
      <c r="H39" s="26"/>
      <c r="J39" s="2"/>
    </row>
    <row r="40" spans="1:10" ht="14.25" thickBot="1">
      <c r="A40" s="24"/>
      <c r="B40" s="2"/>
      <c r="C40" s="2"/>
      <c r="D40" s="2"/>
      <c r="F40" s="2"/>
      <c r="G40" s="2"/>
      <c r="H40" s="31"/>
      <c r="J40" s="2"/>
    </row>
    <row r="41" spans="1:10" ht="14.25" thickTop="1">
      <c r="A41" s="100" t="s">
        <v>35</v>
      </c>
      <c r="B41" s="32"/>
      <c r="C41" s="32"/>
      <c r="D41" s="32"/>
      <c r="E41" s="32"/>
      <c r="F41" s="32"/>
      <c r="G41" s="32"/>
      <c r="H41" s="33"/>
      <c r="J41" s="2"/>
    </row>
    <row r="42" spans="1:10" ht="14.25" thickBot="1">
      <c r="A42" s="101"/>
      <c r="B42" s="34"/>
      <c r="C42" s="34"/>
      <c r="D42" s="34"/>
      <c r="E42" s="34"/>
      <c r="F42" s="34"/>
      <c r="G42" s="34"/>
      <c r="H42" s="35"/>
      <c r="J42" s="2"/>
    </row>
    <row r="43" spans="1:10" ht="9.9499999999999993" customHeight="1">
      <c r="A43" s="22"/>
      <c r="B43" s="22"/>
      <c r="C43" s="22"/>
      <c r="D43" s="22"/>
      <c r="E43" s="22"/>
      <c r="F43" s="22"/>
      <c r="G43" s="22"/>
      <c r="H43" s="22"/>
    </row>
  </sheetData>
  <mergeCells count="28">
    <mergeCell ref="A10:B10"/>
    <mergeCell ref="H10:H11"/>
    <mergeCell ref="A23:B23"/>
    <mergeCell ref="A41:A42"/>
    <mergeCell ref="A8:B8"/>
    <mergeCell ref="C8:D8"/>
    <mergeCell ref="E8:F8"/>
    <mergeCell ref="G8:H8"/>
    <mergeCell ref="A9:B9"/>
    <mergeCell ref="C9:D9"/>
    <mergeCell ref="E9:F9"/>
    <mergeCell ref="G9:H9"/>
    <mergeCell ref="A6:B6"/>
    <mergeCell ref="C6:D6"/>
    <mergeCell ref="E6:F6"/>
    <mergeCell ref="G6:H6"/>
    <mergeCell ref="A7:B7"/>
    <mergeCell ref="C7:D7"/>
    <mergeCell ref="E7:F7"/>
    <mergeCell ref="G7:H7"/>
    <mergeCell ref="A2:H2"/>
    <mergeCell ref="A3:H3"/>
    <mergeCell ref="A4:B4"/>
    <mergeCell ref="C4:H4"/>
    <mergeCell ref="A5:B5"/>
    <mergeCell ref="C5:D5"/>
    <mergeCell ref="E5:F5"/>
    <mergeCell ref="G5:H5"/>
  </mergeCells>
  <phoneticPr fontId="1" type="noConversion"/>
  <pageMargins left="0.81" right="0.42" top="1" bottom="0.51" header="0.5" footer="0.5"/>
  <pageSetup paperSize="9" scale="99" orientation="portrait" horizontalDpi="4294967294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7169" r:id="rId4">
          <objectPr defaultSize="0" autoPict="0" r:id="rId5">
            <anchor moveWithCells="1">
              <from>
                <xdr:col>4</xdr:col>
                <xdr:colOff>466725</xdr:colOff>
                <xdr:row>25</xdr:row>
                <xdr:rowOff>28575</xdr:rowOff>
              </from>
              <to>
                <xdr:col>5</xdr:col>
                <xdr:colOff>619125</xdr:colOff>
                <xdr:row>27</xdr:row>
                <xdr:rowOff>0</xdr:rowOff>
              </to>
            </anchor>
          </objectPr>
        </oleObject>
      </mc:Choice>
      <mc:Fallback>
        <oleObject progId="Equation.3" shapeId="7169" r:id="rId4"/>
      </mc:Fallback>
    </mc:AlternateContent>
    <mc:AlternateContent xmlns:mc="http://schemas.openxmlformats.org/markup-compatibility/2006">
      <mc:Choice Requires="x14">
        <oleObject progId="Equation.3" shapeId="7170" r:id="rId6">
          <objectPr defaultSize="0" autoPict="0" r:id="rId7">
            <anchor moveWithCells="1">
              <from>
                <xdr:col>4</xdr:col>
                <xdr:colOff>495300</xdr:colOff>
                <xdr:row>28</xdr:row>
                <xdr:rowOff>28575</xdr:rowOff>
              </from>
              <to>
                <xdr:col>6</xdr:col>
                <xdr:colOff>0</xdr:colOff>
                <xdr:row>30</xdr:row>
                <xdr:rowOff>0</xdr:rowOff>
              </to>
            </anchor>
          </objectPr>
        </oleObject>
      </mc:Choice>
      <mc:Fallback>
        <oleObject progId="Equation.3" shapeId="7170" r:id="rId6"/>
      </mc:Fallback>
    </mc:AlternateContent>
  </oleObjects>
  <controls>
    <mc:AlternateContent xmlns:mc="http://schemas.openxmlformats.org/markup-compatibility/2006">
      <mc:Choice Requires="x14">
        <control shapeId="7174" r:id="rId8" name="CommandButton4">
          <controlPr defaultSize="0" autoLine="0" r:id="rId9">
            <anchor moveWithCells="1">
              <from>
                <xdr:col>10</xdr:col>
                <xdr:colOff>923925</xdr:colOff>
                <xdr:row>4</xdr:row>
                <xdr:rowOff>47625</xdr:rowOff>
              </from>
              <to>
                <xdr:col>12</xdr:col>
                <xdr:colOff>581025</xdr:colOff>
                <xdr:row>5</xdr:row>
                <xdr:rowOff>161925</xdr:rowOff>
              </to>
            </anchor>
          </controlPr>
        </control>
      </mc:Choice>
      <mc:Fallback>
        <control shapeId="7174" r:id="rId8" name="CommandButton4"/>
      </mc:Fallback>
    </mc:AlternateContent>
    <mc:AlternateContent xmlns:mc="http://schemas.openxmlformats.org/markup-compatibility/2006">
      <mc:Choice Requires="x14">
        <control shapeId="7173" r:id="rId10" name="CommandButton3">
          <controlPr defaultSize="0" autoLine="0" r:id="rId11">
            <anchor moveWithCells="1">
              <from>
                <xdr:col>9</xdr:col>
                <xdr:colOff>57150</xdr:colOff>
                <xdr:row>4</xdr:row>
                <xdr:rowOff>47625</xdr:rowOff>
              </from>
              <to>
                <xdr:col>10</xdr:col>
                <xdr:colOff>762000</xdr:colOff>
                <xdr:row>5</xdr:row>
                <xdr:rowOff>161925</xdr:rowOff>
              </to>
            </anchor>
          </controlPr>
        </control>
      </mc:Choice>
      <mc:Fallback>
        <control shapeId="7173" r:id="rId10" name="CommandButton3"/>
      </mc:Fallback>
    </mc:AlternateContent>
    <mc:AlternateContent xmlns:mc="http://schemas.openxmlformats.org/markup-compatibility/2006">
      <mc:Choice Requires="x14">
        <control shapeId="7172" r:id="rId12" name="CommandButton2">
          <controlPr defaultSize="0" autoLine="0" r:id="rId13">
            <anchor moveWithCells="1">
              <from>
                <xdr:col>10</xdr:col>
                <xdr:colOff>876300</xdr:colOff>
                <xdr:row>2</xdr:row>
                <xdr:rowOff>9525</xdr:rowOff>
              </from>
              <to>
                <xdr:col>12</xdr:col>
                <xdr:colOff>571500</xdr:colOff>
                <xdr:row>3</xdr:row>
                <xdr:rowOff>180975</xdr:rowOff>
              </to>
            </anchor>
          </controlPr>
        </control>
      </mc:Choice>
      <mc:Fallback>
        <control shapeId="7172" r:id="rId12" name="CommandButton2"/>
      </mc:Fallback>
    </mc:AlternateContent>
    <mc:AlternateContent xmlns:mc="http://schemas.openxmlformats.org/markup-compatibility/2006">
      <mc:Choice Requires="x14">
        <control shapeId="7171" r:id="rId14" name="CommandButton1">
          <controlPr defaultSize="0" autoLine="0" r:id="rId15">
            <anchor moveWithCells="1">
              <from>
                <xdr:col>9</xdr:col>
                <xdr:colOff>38100</xdr:colOff>
                <xdr:row>2</xdr:row>
                <xdr:rowOff>0</xdr:rowOff>
              </from>
              <to>
                <xdr:col>10</xdr:col>
                <xdr:colOff>781050</xdr:colOff>
                <xdr:row>3</xdr:row>
                <xdr:rowOff>171450</xdr:rowOff>
              </to>
            </anchor>
          </controlPr>
        </control>
      </mc:Choice>
      <mc:Fallback>
        <control shapeId="7171" r:id="rId1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D103A-98F8-485D-A234-DED8614A6070}">
  <sheetPr codeName="Sheet5">
    <tabColor rgb="FFFF0000"/>
  </sheetPr>
  <dimension ref="C3:F14"/>
  <sheetViews>
    <sheetView workbookViewId="0">
      <selection activeCell="D28" sqref="D28"/>
    </sheetView>
  </sheetViews>
  <sheetFormatPr defaultRowHeight="20.100000000000001" customHeight="1"/>
  <cols>
    <col min="1" max="2" width="8.88671875" style="60"/>
    <col min="3" max="3" width="15.77734375" style="60" customWidth="1"/>
    <col min="4" max="4" width="19.21875" style="60" customWidth="1"/>
    <col min="5" max="5" width="15.88671875" style="60" customWidth="1"/>
    <col min="6" max="6" width="22.6640625" style="60" customWidth="1"/>
    <col min="7" max="16384" width="8.88671875" style="60"/>
  </cols>
  <sheetData>
    <row r="3" spans="3:6" s="61" customFormat="1" ht="20.100000000000001" customHeight="1">
      <c r="C3" s="61" t="s">
        <v>54</v>
      </c>
      <c r="D3" s="61" t="s">
        <v>55</v>
      </c>
      <c r="E3" s="61" t="s">
        <v>56</v>
      </c>
      <c r="F3" s="61" t="s">
        <v>62</v>
      </c>
    </row>
    <row r="4" spans="3:6" ht="20.100000000000001" customHeight="1">
      <c r="C4" s="60">
        <v>-2.7776550084956306E-8</v>
      </c>
      <c r="D4" s="60">
        <v>1.7335461100377555E-5</v>
      </c>
      <c r="E4" s="60">
        <v>-3.8935927062418701E-3</v>
      </c>
      <c r="F4" s="60">
        <v>0.99630639845436986</v>
      </c>
    </row>
    <row r="5" spans="3:6" ht="20.100000000000001" customHeight="1">
      <c r="C5" s="60">
        <v>-3.5756553424280789E-8</v>
      </c>
      <c r="D5" s="60">
        <v>2.2015601520374778E-5</v>
      </c>
      <c r="E5" s="60">
        <v>-4.3019408771198748E-3</v>
      </c>
      <c r="F5" s="60">
        <v>0.99738606659847728</v>
      </c>
    </row>
    <row r="6" spans="3:6" ht="20.100000000000001" customHeight="1">
      <c r="C6" s="60">
        <v>-3.8467708404948668E-8</v>
      </c>
      <c r="D6" s="60">
        <v>2.2045855379188684E-5</v>
      </c>
      <c r="E6" s="60">
        <v>-5.0009891696446958E-3</v>
      </c>
      <c r="F6" s="60">
        <v>0.99969693525779424</v>
      </c>
    </row>
    <row r="7" spans="3:6" ht="20.100000000000001" customHeight="1">
      <c r="C7" s="60">
        <v>-1.785269977836051E-8</v>
      </c>
      <c r="D7" s="60">
        <v>1.4018059712172678E-5</v>
      </c>
      <c r="E7" s="60">
        <v>-4.1128937210878347E-3</v>
      </c>
      <c r="F7" s="60">
        <v>0.99643898927908481</v>
      </c>
    </row>
    <row r="8" spans="3:6" ht="20.100000000000001" customHeight="1">
      <c r="C8" s="60">
        <v>-3.6984246245715339E-8</v>
      </c>
      <c r="D8" s="60">
        <v>2.2804832619868411E-5</v>
      </c>
      <c r="E8" s="60">
        <v>-4.4500006313848784E-3</v>
      </c>
      <c r="F8" s="60">
        <v>0.99852255938174772</v>
      </c>
    </row>
    <row r="9" spans="3:6" ht="20.100000000000001" customHeight="1">
      <c r="C9" s="60">
        <v>-3.1971167224857673E-8</v>
      </c>
      <c r="D9" s="60">
        <v>1.967290054004454E-5</v>
      </c>
      <c r="E9" s="60">
        <v>-4.3388505848728619E-3</v>
      </c>
      <c r="F9" s="60">
        <v>0.99766071902110076</v>
      </c>
    </row>
    <row r="10" spans="3:6" ht="20.100000000000001" customHeight="1">
      <c r="C10" s="60">
        <v>-2.5065395104288407E-8</v>
      </c>
      <c r="D10" s="60">
        <v>1.8086546030062334E-5</v>
      </c>
      <c r="E10" s="60">
        <v>-4.5512326737465946E-3</v>
      </c>
      <c r="F10" s="60">
        <v>0.99450695154752433</v>
      </c>
    </row>
    <row r="11" spans="3:6" ht="20.100000000000001" customHeight="1">
      <c r="C11" s="60">
        <v>-2.5065395104288407E-8</v>
      </c>
      <c r="D11" s="60">
        <v>1.8086546030062334E-5</v>
      </c>
      <c r="E11" s="60">
        <v>-4.5512326737465946E-3</v>
      </c>
      <c r="F11" s="60">
        <v>0.99450695154752433</v>
      </c>
    </row>
    <row r="12" spans="3:6" ht="20.100000000000001" customHeight="1">
      <c r="C12" s="60">
        <v>-5.6780792991347182E-8</v>
      </c>
      <c r="D12" s="60">
        <v>3.3258198532661528E-5</v>
      </c>
      <c r="E12" s="60">
        <v>-6.5558270510537812E-3</v>
      </c>
      <c r="F12" s="60">
        <v>0.99016933742470736</v>
      </c>
    </row>
    <row r="13" spans="3:6" ht="20.100000000000001" customHeight="1">
      <c r="C13" s="60">
        <v>-5.7138870064265546E-8</v>
      </c>
      <c r="D13" s="60">
        <v>3.3981660373863996E-5</v>
      </c>
      <c r="E13" s="60">
        <v>-6.7916229958791567E-3</v>
      </c>
      <c r="F13" s="60">
        <v>0.99163730726976551</v>
      </c>
    </row>
    <row r="14" spans="3:6" ht="20.100000000000001" customHeight="1">
      <c r="C14" s="60">
        <v>-3.5296168616242854E-8</v>
      </c>
      <c r="D14" s="60">
        <v>2.1743316791049483E-5</v>
      </c>
      <c r="E14" s="60">
        <v>-4.7802149234130141E-3</v>
      </c>
      <c r="F14" s="60">
        <v>0.9948289578361178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B428F-0FDC-4442-A90D-2F5AF11203BF}">
  <sheetPr codeName="Sheet2"/>
  <dimension ref="A1:J43"/>
  <sheetViews>
    <sheetView view="pageBreakPreview" zoomScaleNormal="100" zoomScaleSheetLayoutView="100" workbookViewId="0">
      <selection activeCell="D40" sqref="D40"/>
    </sheetView>
  </sheetViews>
  <sheetFormatPr defaultColWidth="8.88671875" defaultRowHeight="13.5"/>
  <cols>
    <col min="1" max="6" width="9.33203125" style="1" customWidth="1"/>
    <col min="7" max="7" width="9.77734375" style="1" customWidth="1"/>
    <col min="8" max="8" width="9.33203125" style="1" customWidth="1"/>
    <col min="9" max="9" width="1.77734375" style="1" customWidth="1"/>
    <col min="10" max="16384" width="8.88671875" style="1"/>
  </cols>
  <sheetData>
    <row r="1" spans="1:10" ht="9.9499999999999993" customHeight="1" thickBot="1"/>
    <row r="2" spans="1:10" ht="24.95" customHeight="1">
      <c r="A2" s="135" t="s">
        <v>1</v>
      </c>
      <c r="B2" s="136"/>
      <c r="C2" s="136"/>
      <c r="D2" s="136"/>
      <c r="E2" s="136"/>
      <c r="F2" s="136"/>
      <c r="G2" s="136"/>
      <c r="H2" s="137"/>
      <c r="J2" s="2"/>
    </row>
    <row r="3" spans="1:10" ht="15.95" customHeight="1" thickBot="1">
      <c r="A3" s="138" t="s">
        <v>2</v>
      </c>
      <c r="B3" s="139"/>
      <c r="C3" s="139"/>
      <c r="D3" s="139"/>
      <c r="E3" s="139"/>
      <c r="F3" s="139"/>
      <c r="G3" s="139"/>
      <c r="H3" s="140"/>
      <c r="J3" s="2"/>
    </row>
    <row r="4" spans="1:10" ht="20.100000000000001" customHeight="1" thickBot="1">
      <c r="A4" s="141" t="s">
        <v>3</v>
      </c>
      <c r="B4" s="142"/>
      <c r="C4" s="143" t="s">
        <v>50</v>
      </c>
      <c r="D4" s="144"/>
      <c r="E4" s="144"/>
      <c r="F4" s="144"/>
      <c r="G4" s="144"/>
      <c r="H4" s="145"/>
      <c r="J4" s="2"/>
    </row>
    <row r="5" spans="1:10" ht="20.100000000000001" customHeight="1" thickTop="1">
      <c r="A5" s="146" t="s">
        <v>4</v>
      </c>
      <c r="B5" s="147"/>
      <c r="C5" s="148" t="s">
        <v>46</v>
      </c>
      <c r="D5" s="149"/>
      <c r="E5" s="150" t="s">
        <v>5</v>
      </c>
      <c r="F5" s="147"/>
      <c r="G5" s="151">
        <v>3.65</v>
      </c>
      <c r="H5" s="152"/>
      <c r="J5" s="2"/>
    </row>
    <row r="6" spans="1:10" ht="20.100000000000001" customHeight="1">
      <c r="A6" s="116" t="s">
        <v>6</v>
      </c>
      <c r="B6" s="117"/>
      <c r="C6" s="130" t="s">
        <v>49</v>
      </c>
      <c r="D6" s="131"/>
      <c r="E6" s="132" t="s">
        <v>7</v>
      </c>
      <c r="F6" s="117"/>
      <c r="G6" s="118">
        <v>356</v>
      </c>
      <c r="H6" s="122"/>
      <c r="J6" s="2"/>
    </row>
    <row r="7" spans="1:10" ht="20.100000000000001" customHeight="1">
      <c r="A7" s="116" t="s">
        <v>8</v>
      </c>
      <c r="B7" s="117"/>
      <c r="C7" s="118">
        <v>300</v>
      </c>
      <c r="D7" s="119"/>
      <c r="E7" s="120" t="s">
        <v>9</v>
      </c>
      <c r="F7" s="121"/>
      <c r="G7" s="133">
        <v>10</v>
      </c>
      <c r="H7" s="134"/>
      <c r="J7" s="2"/>
    </row>
    <row r="8" spans="1:10" ht="20.100000000000001" customHeight="1">
      <c r="A8" s="116" t="s">
        <v>10</v>
      </c>
      <c r="B8" s="117"/>
      <c r="C8" s="118">
        <v>400</v>
      </c>
      <c r="D8" s="119"/>
      <c r="E8" s="120" t="s">
        <v>36</v>
      </c>
      <c r="F8" s="121"/>
      <c r="G8" s="118">
        <f>G6+G7</f>
        <v>366</v>
      </c>
      <c r="H8" s="122"/>
      <c r="J8" s="2"/>
    </row>
    <row r="9" spans="1:10" ht="20.100000000000001" customHeight="1" thickBot="1">
      <c r="A9" s="123" t="s">
        <v>11</v>
      </c>
      <c r="B9" s="124"/>
      <c r="C9" s="125"/>
      <c r="D9" s="126"/>
      <c r="E9" s="127" t="s">
        <v>12</v>
      </c>
      <c r="F9" s="124"/>
      <c r="G9" s="128"/>
      <c r="H9" s="129"/>
      <c r="J9" s="2"/>
    </row>
    <row r="10" spans="1:10" ht="20.100000000000001" customHeight="1" thickTop="1">
      <c r="A10" s="112" t="s">
        <v>13</v>
      </c>
      <c r="B10" s="113"/>
      <c r="C10" s="3" t="s">
        <v>14</v>
      </c>
      <c r="D10" s="3" t="s">
        <v>37</v>
      </c>
      <c r="E10" s="3" t="s">
        <v>38</v>
      </c>
      <c r="F10" s="3" t="s">
        <v>15</v>
      </c>
      <c r="G10" s="4" t="s">
        <v>16</v>
      </c>
      <c r="H10" s="114" t="s">
        <v>17</v>
      </c>
      <c r="J10" s="2"/>
    </row>
    <row r="11" spans="1:10" ht="20.100000000000001" customHeight="1" thickBot="1">
      <c r="A11" s="5" t="s">
        <v>18</v>
      </c>
      <c r="B11" s="6" t="s">
        <v>19</v>
      </c>
      <c r="C11" s="7" t="s">
        <v>20</v>
      </c>
      <c r="D11" s="7" t="s">
        <v>20</v>
      </c>
      <c r="E11" s="7" t="s">
        <v>20</v>
      </c>
      <c r="F11" s="7" t="s">
        <v>20</v>
      </c>
      <c r="G11" s="7" t="s">
        <v>21</v>
      </c>
      <c r="H11" s="115"/>
      <c r="J11" s="8" t="s">
        <v>0</v>
      </c>
    </row>
    <row r="12" spans="1:10" ht="20.100000000000001" customHeight="1" thickTop="1">
      <c r="A12" s="9">
        <v>0</v>
      </c>
      <c r="B12" s="10">
        <v>0</v>
      </c>
      <c r="C12" s="10">
        <v>0</v>
      </c>
      <c r="D12" s="11">
        <f>G$8</f>
        <v>366</v>
      </c>
      <c r="E12" s="10">
        <f t="shared" ref="E12:E19" si="0">D12-C12</f>
        <v>366</v>
      </c>
      <c r="F12" s="10">
        <v>0</v>
      </c>
      <c r="G12" s="12" t="s">
        <v>22</v>
      </c>
      <c r="H12" s="13"/>
      <c r="J12" s="1">
        <f t="shared" ref="J12:J20" si="1">E12/D12</f>
        <v>1</v>
      </c>
    </row>
    <row r="13" spans="1:10" ht="20.100000000000001" customHeight="1">
      <c r="A13" s="14">
        <v>5</v>
      </c>
      <c r="B13" s="15">
        <f t="shared" ref="B13:B19" si="2">A13-A12</f>
        <v>5</v>
      </c>
      <c r="C13" s="15">
        <v>8</v>
      </c>
      <c r="D13" s="11">
        <f t="shared" ref="D13:D19" si="3">G$8</f>
        <v>366</v>
      </c>
      <c r="E13" s="10">
        <f t="shared" si="0"/>
        <v>358</v>
      </c>
      <c r="F13" s="15">
        <f t="shared" ref="F13:F19" si="4">C13-C12</f>
        <v>8</v>
      </c>
      <c r="G13" s="16">
        <f>((G$5)^2/((2*C$7)*(A13)))*LN(C$7/G$5)*LN(G$8/E13)</f>
        <v>4.3272213728335821E-4</v>
      </c>
      <c r="H13" s="17"/>
      <c r="J13" s="1">
        <f t="shared" si="1"/>
        <v>0.97814207650273222</v>
      </c>
    </row>
    <row r="14" spans="1:10" ht="20.100000000000001" customHeight="1">
      <c r="A14" s="14">
        <v>10</v>
      </c>
      <c r="B14" s="15">
        <f t="shared" si="2"/>
        <v>5</v>
      </c>
      <c r="C14" s="15">
        <v>24</v>
      </c>
      <c r="D14" s="11">
        <f t="shared" si="3"/>
        <v>366</v>
      </c>
      <c r="E14" s="10">
        <f t="shared" si="0"/>
        <v>342</v>
      </c>
      <c r="F14" s="15">
        <f t="shared" si="4"/>
        <v>16</v>
      </c>
      <c r="G14" s="16">
        <f>((G$5)^2/((2*C$7)*(A14)))*LN(C$7/G$5)*LN(G$8/E14)</f>
        <v>6.639791412082997E-4</v>
      </c>
      <c r="H14" s="17"/>
      <c r="J14" s="1">
        <f t="shared" si="1"/>
        <v>0.93442622950819676</v>
      </c>
    </row>
    <row r="15" spans="1:10" ht="20.100000000000001" customHeight="1">
      <c r="A15" s="14">
        <v>30</v>
      </c>
      <c r="B15" s="15">
        <f t="shared" si="2"/>
        <v>20</v>
      </c>
      <c r="C15" s="15">
        <v>59</v>
      </c>
      <c r="D15" s="11">
        <f t="shared" si="3"/>
        <v>366</v>
      </c>
      <c r="E15" s="10">
        <f t="shared" si="0"/>
        <v>307</v>
      </c>
      <c r="F15" s="15">
        <f t="shared" si="4"/>
        <v>35</v>
      </c>
      <c r="G15" s="16">
        <f t="shared" ref="G15:G19" si="5">((G$5)^2/((2*C$7)*(A15)))*LN(C$7/G$5)*LN(G$8/E15)</f>
        <v>5.7364343943575827E-4</v>
      </c>
      <c r="H15" s="17"/>
      <c r="J15" s="1">
        <f t="shared" si="1"/>
        <v>0.83879781420765032</v>
      </c>
    </row>
    <row r="16" spans="1:10" ht="20.100000000000001" customHeight="1">
      <c r="A16" s="14">
        <v>60</v>
      </c>
      <c r="B16" s="15">
        <f t="shared" si="2"/>
        <v>30</v>
      </c>
      <c r="C16" s="15">
        <v>96</v>
      </c>
      <c r="D16" s="11">
        <f t="shared" si="3"/>
        <v>366</v>
      </c>
      <c r="E16" s="10">
        <f t="shared" si="0"/>
        <v>270</v>
      </c>
      <c r="F16" s="15">
        <f t="shared" si="4"/>
        <v>37</v>
      </c>
      <c r="G16" s="16">
        <f t="shared" si="5"/>
        <v>4.9636851144465406E-4</v>
      </c>
      <c r="H16" s="17"/>
      <c r="J16" s="1">
        <f t="shared" si="1"/>
        <v>0.73770491803278693</v>
      </c>
    </row>
    <row r="17" spans="1:10" ht="20.100000000000001" customHeight="1">
      <c r="A17" s="14">
        <v>120</v>
      </c>
      <c r="B17" s="15">
        <f t="shared" si="2"/>
        <v>60</v>
      </c>
      <c r="C17" s="15">
        <v>143</v>
      </c>
      <c r="D17" s="11">
        <f t="shared" si="3"/>
        <v>366</v>
      </c>
      <c r="E17" s="10">
        <f t="shared" si="0"/>
        <v>223</v>
      </c>
      <c r="F17" s="15">
        <f t="shared" si="4"/>
        <v>47</v>
      </c>
      <c r="G17" s="16">
        <f t="shared" si="5"/>
        <v>4.0421157568722686E-4</v>
      </c>
      <c r="H17" s="17"/>
      <c r="J17" s="1">
        <f t="shared" si="1"/>
        <v>0.60928961748633881</v>
      </c>
    </row>
    <row r="18" spans="1:10" ht="20.100000000000001" customHeight="1">
      <c r="A18" s="14">
        <v>180</v>
      </c>
      <c r="B18" s="15">
        <f t="shared" si="2"/>
        <v>60</v>
      </c>
      <c r="C18" s="15">
        <v>161</v>
      </c>
      <c r="D18" s="11">
        <f t="shared" si="3"/>
        <v>366</v>
      </c>
      <c r="E18" s="10">
        <f t="shared" si="0"/>
        <v>205</v>
      </c>
      <c r="F18" s="15">
        <f t="shared" si="4"/>
        <v>18</v>
      </c>
      <c r="G18" s="16">
        <f t="shared" si="5"/>
        <v>3.1524876644151384E-4</v>
      </c>
      <c r="H18" s="17"/>
      <c r="J18" s="1">
        <f t="shared" si="1"/>
        <v>0.56010928961748629</v>
      </c>
    </row>
    <row r="19" spans="1:10" ht="20.100000000000001" customHeight="1">
      <c r="A19" s="14">
        <v>300</v>
      </c>
      <c r="B19" s="15">
        <f t="shared" si="2"/>
        <v>120</v>
      </c>
      <c r="C19" s="15">
        <v>170</v>
      </c>
      <c r="D19" s="11">
        <f t="shared" si="3"/>
        <v>366</v>
      </c>
      <c r="E19" s="10">
        <f t="shared" si="0"/>
        <v>196</v>
      </c>
      <c r="F19" s="15">
        <f t="shared" si="4"/>
        <v>9</v>
      </c>
      <c r="G19" s="16">
        <f t="shared" si="5"/>
        <v>2.0380000930335024E-4</v>
      </c>
      <c r="H19" s="17"/>
      <c r="J19" s="1">
        <f t="shared" si="1"/>
        <v>0.53551912568306015</v>
      </c>
    </row>
    <row r="20" spans="1:10" ht="20.100000000000001" customHeight="1">
      <c r="A20" s="14"/>
      <c r="B20" s="15"/>
      <c r="C20" s="15"/>
      <c r="D20" s="11"/>
      <c r="E20" s="10"/>
      <c r="F20" s="15"/>
      <c r="G20" s="16"/>
      <c r="H20" s="17"/>
      <c r="J20" s="1" t="e">
        <f t="shared" si="1"/>
        <v>#DIV/0!</v>
      </c>
    </row>
    <row r="21" spans="1:10" ht="20.100000000000001" customHeight="1">
      <c r="A21" s="14"/>
      <c r="B21" s="15"/>
      <c r="C21" s="15"/>
      <c r="D21" s="15"/>
      <c r="E21" s="15"/>
      <c r="F21" s="15"/>
      <c r="G21" s="15"/>
      <c r="H21" s="17"/>
      <c r="J21" s="2"/>
    </row>
    <row r="22" spans="1:10" ht="20.100000000000001" customHeight="1">
      <c r="A22" s="14"/>
      <c r="B22" s="15"/>
      <c r="C22" s="15"/>
      <c r="D22" s="15"/>
      <c r="E22" s="15"/>
      <c r="F22" s="15"/>
      <c r="G22" s="15"/>
      <c r="H22" s="17"/>
      <c r="J22" s="2"/>
    </row>
    <row r="23" spans="1:10" ht="20.100000000000001" customHeight="1" thickBot="1">
      <c r="A23" s="98" t="s">
        <v>45</v>
      </c>
      <c r="B23" s="99"/>
      <c r="C23" s="18"/>
      <c r="D23" s="18"/>
      <c r="E23" s="18"/>
      <c r="F23" s="18"/>
      <c r="G23" s="19">
        <f>AVERAGE(G13,G14,G15,G16,G17,G18,G19,G20)</f>
        <v>4.4142479725773731E-4</v>
      </c>
      <c r="H23" s="20"/>
      <c r="J23" s="2"/>
    </row>
    <row r="24" spans="1:10" ht="16.5">
      <c r="A24" s="21"/>
      <c r="B24" s="22"/>
      <c r="C24" s="22"/>
      <c r="D24" s="22"/>
      <c r="E24" s="22"/>
      <c r="F24" s="22"/>
      <c r="G24" s="2" t="s">
        <v>39</v>
      </c>
      <c r="H24" s="23"/>
      <c r="J24" s="2"/>
    </row>
    <row r="25" spans="1:10">
      <c r="A25" s="24"/>
      <c r="B25" s="2"/>
      <c r="C25" s="2"/>
      <c r="D25" s="2"/>
      <c r="E25" s="2"/>
      <c r="F25" s="2"/>
      <c r="H25" s="25" t="s">
        <v>23</v>
      </c>
      <c r="J25" s="2"/>
    </row>
    <row r="26" spans="1:10">
      <c r="A26" s="24"/>
      <c r="B26" s="2"/>
      <c r="C26" s="2"/>
      <c r="D26" s="2"/>
      <c r="E26" s="2"/>
      <c r="F26" s="2"/>
      <c r="G26" s="2" t="s">
        <v>24</v>
      </c>
      <c r="H26" s="26"/>
      <c r="J26" s="2"/>
    </row>
    <row r="27" spans="1:10">
      <c r="A27" s="24"/>
      <c r="B27" s="2"/>
      <c r="C27" s="2"/>
      <c r="D27" s="2"/>
      <c r="F27" s="2"/>
      <c r="H27" s="26"/>
      <c r="J27" s="2"/>
    </row>
    <row r="28" spans="1:10" ht="16.5">
      <c r="A28" s="24"/>
      <c r="B28" s="2"/>
      <c r="C28" s="2"/>
      <c r="D28" s="2"/>
      <c r="E28" s="27" t="s">
        <v>25</v>
      </c>
      <c r="F28" s="2"/>
      <c r="G28" s="2" t="s">
        <v>40</v>
      </c>
      <c r="H28" s="26"/>
      <c r="J28" s="2"/>
    </row>
    <row r="29" spans="1:10" ht="16.5">
      <c r="A29" s="24"/>
      <c r="B29" s="2"/>
      <c r="C29" s="2"/>
      <c r="E29" s="2"/>
      <c r="F29" s="2"/>
      <c r="G29" s="2" t="s">
        <v>41</v>
      </c>
      <c r="H29" s="26"/>
      <c r="J29" s="2"/>
    </row>
    <row r="30" spans="1:10">
      <c r="A30" s="24"/>
      <c r="B30" s="2"/>
      <c r="C30" s="2"/>
      <c r="D30" s="2"/>
      <c r="F30" s="2"/>
      <c r="G30" s="2"/>
      <c r="H30" s="26"/>
      <c r="J30" s="2"/>
    </row>
    <row r="31" spans="1:10" ht="16.5">
      <c r="A31" s="24"/>
      <c r="B31" s="2"/>
      <c r="C31" s="2"/>
      <c r="D31" s="2"/>
      <c r="E31" s="28" t="s">
        <v>26</v>
      </c>
      <c r="G31" s="2" t="s">
        <v>42</v>
      </c>
      <c r="H31" s="25" t="s">
        <v>27</v>
      </c>
      <c r="J31" s="2"/>
    </row>
    <row r="32" spans="1:10">
      <c r="A32" s="24"/>
      <c r="B32" s="2"/>
      <c r="C32" s="2"/>
      <c r="D32" s="2"/>
      <c r="E32" s="29" t="s">
        <v>28</v>
      </c>
      <c r="F32" s="2"/>
      <c r="G32" s="2"/>
      <c r="H32" s="26"/>
      <c r="J32" s="2"/>
    </row>
    <row r="33" spans="1:10">
      <c r="A33" s="24"/>
      <c r="B33" s="2"/>
      <c r="C33" s="2"/>
      <c r="D33" s="2"/>
      <c r="E33" s="29" t="s">
        <v>29</v>
      </c>
      <c r="F33" s="2"/>
      <c r="H33" s="25" t="s">
        <v>30</v>
      </c>
      <c r="J33" s="2"/>
    </row>
    <row r="34" spans="1:10" ht="13.5" customHeight="1">
      <c r="A34" s="24"/>
      <c r="B34" s="2"/>
      <c r="C34" s="2"/>
      <c r="E34" s="30" t="s">
        <v>31</v>
      </c>
      <c r="F34" s="2"/>
      <c r="G34" s="2"/>
      <c r="H34" s="26"/>
      <c r="J34" s="2"/>
    </row>
    <row r="35" spans="1:10" ht="13.5" customHeight="1">
      <c r="A35" s="24"/>
      <c r="B35" s="2"/>
      <c r="C35" s="2"/>
      <c r="D35" s="2"/>
      <c r="E35" s="30" t="s">
        <v>32</v>
      </c>
      <c r="G35" s="2"/>
      <c r="H35" s="26"/>
      <c r="J35" s="2"/>
    </row>
    <row r="36" spans="1:10" ht="13.5" customHeight="1">
      <c r="A36" s="24"/>
      <c r="B36" s="2"/>
      <c r="C36" s="2"/>
      <c r="D36" s="2"/>
      <c r="E36" s="30" t="s">
        <v>43</v>
      </c>
      <c r="F36" s="2"/>
      <c r="G36" s="2"/>
      <c r="H36" s="26"/>
      <c r="J36" s="2"/>
    </row>
    <row r="37" spans="1:10">
      <c r="A37" s="24"/>
      <c r="B37" s="2"/>
      <c r="C37" s="2"/>
      <c r="D37" s="2"/>
      <c r="E37" s="30" t="s">
        <v>44</v>
      </c>
      <c r="F37" s="2"/>
      <c r="G37" s="2"/>
      <c r="H37" s="26" t="s">
        <v>33</v>
      </c>
      <c r="J37" s="2"/>
    </row>
    <row r="38" spans="1:10">
      <c r="A38" s="24"/>
      <c r="B38" s="2"/>
      <c r="C38" s="2"/>
      <c r="D38" s="2"/>
      <c r="E38" s="30" t="s">
        <v>34</v>
      </c>
      <c r="F38" s="2"/>
      <c r="G38" s="2"/>
      <c r="H38" s="26"/>
      <c r="J38" s="2"/>
    </row>
    <row r="39" spans="1:10">
      <c r="A39" s="24"/>
      <c r="B39" s="2"/>
      <c r="C39" s="2"/>
      <c r="D39" s="2"/>
      <c r="F39" s="2"/>
      <c r="G39" s="2"/>
      <c r="H39" s="26"/>
      <c r="J39" s="2"/>
    </row>
    <row r="40" spans="1:10" ht="14.25" thickBot="1">
      <c r="A40" s="24"/>
      <c r="B40" s="2"/>
      <c r="C40" s="2"/>
      <c r="D40" s="2"/>
      <c r="F40" s="2"/>
      <c r="G40" s="2"/>
      <c r="H40" s="31"/>
      <c r="J40" s="2"/>
    </row>
    <row r="41" spans="1:10" ht="14.25" thickTop="1">
      <c r="A41" s="100" t="s">
        <v>35</v>
      </c>
      <c r="B41" s="32"/>
      <c r="C41" s="32"/>
      <c r="D41" s="32"/>
      <c r="E41" s="32"/>
      <c r="F41" s="32"/>
      <c r="G41" s="32"/>
      <c r="H41" s="33"/>
      <c r="J41" s="2"/>
    </row>
    <row r="42" spans="1:10" ht="14.25" thickBot="1">
      <c r="A42" s="101"/>
      <c r="B42" s="34"/>
      <c r="C42" s="34"/>
      <c r="D42" s="34"/>
      <c r="E42" s="34"/>
      <c r="F42" s="34"/>
      <c r="G42" s="34"/>
      <c r="H42" s="35"/>
      <c r="J42" s="2"/>
    </row>
    <row r="43" spans="1:10" ht="9.9499999999999993" customHeight="1">
      <c r="A43" s="22"/>
      <c r="B43" s="22"/>
      <c r="C43" s="22"/>
      <c r="D43" s="22"/>
      <c r="E43" s="22"/>
      <c r="F43" s="22"/>
      <c r="G43" s="22"/>
      <c r="H43" s="22"/>
    </row>
  </sheetData>
  <mergeCells count="28">
    <mergeCell ref="A2:H2"/>
    <mergeCell ref="A3:H3"/>
    <mergeCell ref="A4:B4"/>
    <mergeCell ref="C4:H4"/>
    <mergeCell ref="A5:B5"/>
    <mergeCell ref="C5:D5"/>
    <mergeCell ref="E5:F5"/>
    <mergeCell ref="G5:H5"/>
    <mergeCell ref="A6:B6"/>
    <mergeCell ref="C6:D6"/>
    <mergeCell ref="E6:F6"/>
    <mergeCell ref="G6:H6"/>
    <mergeCell ref="A7:B7"/>
    <mergeCell ref="C7:D7"/>
    <mergeCell ref="E7:F7"/>
    <mergeCell ref="G7:H7"/>
    <mergeCell ref="A10:B10"/>
    <mergeCell ref="H10:H11"/>
    <mergeCell ref="A23:B23"/>
    <mergeCell ref="A41:A42"/>
    <mergeCell ref="A8:B8"/>
    <mergeCell ref="C8:D8"/>
    <mergeCell ref="E8:F8"/>
    <mergeCell ref="G8:H8"/>
    <mergeCell ref="A9:B9"/>
    <mergeCell ref="C9:D9"/>
    <mergeCell ref="E9:F9"/>
    <mergeCell ref="G9:H9"/>
  </mergeCells>
  <phoneticPr fontId="1" type="noConversion"/>
  <pageMargins left="0.81" right="0.42" top="1" bottom="0.51" header="0.5" footer="0.5"/>
  <pageSetup paperSize="9" scale="99" orientation="portrait" horizontalDpi="4294967294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4097" r:id="rId4">
          <objectPr defaultSize="0" autoPict="0" r:id="rId5">
            <anchor moveWithCells="1">
              <from>
                <xdr:col>4</xdr:col>
                <xdr:colOff>466725</xdr:colOff>
                <xdr:row>25</xdr:row>
                <xdr:rowOff>28575</xdr:rowOff>
              </from>
              <to>
                <xdr:col>5</xdr:col>
                <xdr:colOff>619125</xdr:colOff>
                <xdr:row>27</xdr:row>
                <xdr:rowOff>0</xdr:rowOff>
              </to>
            </anchor>
          </objectPr>
        </oleObject>
      </mc:Choice>
      <mc:Fallback>
        <oleObject progId="Equation.3" shapeId="4097" r:id="rId4"/>
      </mc:Fallback>
    </mc:AlternateContent>
    <mc:AlternateContent xmlns:mc="http://schemas.openxmlformats.org/markup-compatibility/2006">
      <mc:Choice Requires="x14">
        <oleObject progId="Equation.3" shapeId="4098" r:id="rId6">
          <objectPr defaultSize="0" autoPict="0" r:id="rId7">
            <anchor moveWithCells="1">
              <from>
                <xdr:col>4</xdr:col>
                <xdr:colOff>495300</xdr:colOff>
                <xdr:row>28</xdr:row>
                <xdr:rowOff>28575</xdr:rowOff>
              </from>
              <to>
                <xdr:col>6</xdr:col>
                <xdr:colOff>0</xdr:colOff>
                <xdr:row>30</xdr:row>
                <xdr:rowOff>0</xdr:rowOff>
              </to>
            </anchor>
          </objectPr>
        </oleObject>
      </mc:Choice>
      <mc:Fallback>
        <oleObject progId="Equation.3" shapeId="4098" r:id="rId6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J43"/>
  <sheetViews>
    <sheetView view="pageBreakPreview" topLeftCell="A16" zoomScaleNormal="100" zoomScaleSheetLayoutView="100" workbookViewId="0">
      <selection activeCell="C39" sqref="C39"/>
    </sheetView>
  </sheetViews>
  <sheetFormatPr defaultColWidth="8.88671875" defaultRowHeight="13.5"/>
  <cols>
    <col min="1" max="6" width="9.33203125" style="1" customWidth="1"/>
    <col min="7" max="7" width="9.77734375" style="1" customWidth="1"/>
    <col min="8" max="8" width="9.33203125" style="1" customWidth="1"/>
    <col min="9" max="9" width="1.77734375" style="1" customWidth="1"/>
    <col min="10" max="16384" width="8.88671875" style="1"/>
  </cols>
  <sheetData>
    <row r="1" spans="1:10" ht="9.9499999999999993" customHeight="1" thickBot="1"/>
    <row r="2" spans="1:10" ht="24.95" customHeight="1">
      <c r="A2" s="135" t="s">
        <v>1</v>
      </c>
      <c r="B2" s="136"/>
      <c r="C2" s="136"/>
      <c r="D2" s="136"/>
      <c r="E2" s="136"/>
      <c r="F2" s="136"/>
      <c r="G2" s="136"/>
      <c r="H2" s="137"/>
      <c r="J2" s="2"/>
    </row>
    <row r="3" spans="1:10" ht="15.95" customHeight="1" thickBot="1">
      <c r="A3" s="138" t="s">
        <v>2</v>
      </c>
      <c r="B3" s="139"/>
      <c r="C3" s="139"/>
      <c r="D3" s="139"/>
      <c r="E3" s="139"/>
      <c r="F3" s="139"/>
      <c r="G3" s="139"/>
      <c r="H3" s="140"/>
      <c r="J3" s="2"/>
    </row>
    <row r="4" spans="1:10" ht="20.100000000000001" customHeight="1" thickBot="1">
      <c r="A4" s="141" t="s">
        <v>3</v>
      </c>
      <c r="B4" s="142"/>
      <c r="C4" s="143" t="s">
        <v>50</v>
      </c>
      <c r="D4" s="144"/>
      <c r="E4" s="144"/>
      <c r="F4" s="144"/>
      <c r="G4" s="144"/>
      <c r="H4" s="145"/>
      <c r="J4" s="2"/>
    </row>
    <row r="5" spans="1:10" ht="20.100000000000001" customHeight="1" thickTop="1">
      <c r="A5" s="146" t="s">
        <v>4</v>
      </c>
      <c r="B5" s="147"/>
      <c r="C5" s="148" t="s">
        <v>47</v>
      </c>
      <c r="D5" s="149"/>
      <c r="E5" s="150" t="s">
        <v>5</v>
      </c>
      <c r="F5" s="147"/>
      <c r="G5" s="151">
        <v>3.65</v>
      </c>
      <c r="H5" s="152"/>
      <c r="J5" s="2"/>
    </row>
    <row r="6" spans="1:10" ht="20.100000000000001" customHeight="1">
      <c r="A6" s="116" t="s">
        <v>6</v>
      </c>
      <c r="B6" s="117"/>
      <c r="C6" s="130" t="s">
        <v>48</v>
      </c>
      <c r="D6" s="131"/>
      <c r="E6" s="132" t="s">
        <v>7</v>
      </c>
      <c r="F6" s="117"/>
      <c r="G6" s="118">
        <v>210</v>
      </c>
      <c r="H6" s="122"/>
      <c r="J6" s="2"/>
    </row>
    <row r="7" spans="1:10" ht="20.100000000000001" customHeight="1">
      <c r="A7" s="116" t="s">
        <v>8</v>
      </c>
      <c r="B7" s="117"/>
      <c r="C7" s="118">
        <v>300</v>
      </c>
      <c r="D7" s="119"/>
      <c r="E7" s="120" t="s">
        <v>9</v>
      </c>
      <c r="F7" s="121"/>
      <c r="G7" s="133">
        <v>10</v>
      </c>
      <c r="H7" s="134"/>
      <c r="J7" s="2"/>
    </row>
    <row r="8" spans="1:10" ht="20.100000000000001" customHeight="1">
      <c r="A8" s="116" t="s">
        <v>10</v>
      </c>
      <c r="B8" s="117"/>
      <c r="C8" s="118">
        <v>100</v>
      </c>
      <c r="D8" s="119"/>
      <c r="E8" s="120" t="s">
        <v>36</v>
      </c>
      <c r="F8" s="121"/>
      <c r="G8" s="118">
        <f>G6+G7</f>
        <v>220</v>
      </c>
      <c r="H8" s="122"/>
      <c r="J8" s="2"/>
    </row>
    <row r="9" spans="1:10" ht="20.100000000000001" customHeight="1" thickBot="1">
      <c r="A9" s="123" t="s">
        <v>11</v>
      </c>
      <c r="B9" s="124"/>
      <c r="C9" s="125"/>
      <c r="D9" s="126"/>
      <c r="E9" s="127" t="s">
        <v>12</v>
      </c>
      <c r="F9" s="124"/>
      <c r="G9" s="128"/>
      <c r="H9" s="129"/>
      <c r="J9" s="2"/>
    </row>
    <row r="10" spans="1:10" ht="20.100000000000001" customHeight="1" thickTop="1">
      <c r="A10" s="112" t="s">
        <v>13</v>
      </c>
      <c r="B10" s="113"/>
      <c r="C10" s="3" t="s">
        <v>14</v>
      </c>
      <c r="D10" s="3" t="s">
        <v>37</v>
      </c>
      <c r="E10" s="3" t="s">
        <v>38</v>
      </c>
      <c r="F10" s="3" t="s">
        <v>15</v>
      </c>
      <c r="G10" s="4" t="s">
        <v>16</v>
      </c>
      <c r="H10" s="114" t="s">
        <v>17</v>
      </c>
      <c r="J10" s="2"/>
    </row>
    <row r="11" spans="1:10" ht="20.100000000000001" customHeight="1" thickBot="1">
      <c r="A11" s="5" t="s">
        <v>18</v>
      </c>
      <c r="B11" s="6" t="s">
        <v>19</v>
      </c>
      <c r="C11" s="7" t="s">
        <v>20</v>
      </c>
      <c r="D11" s="7" t="s">
        <v>20</v>
      </c>
      <c r="E11" s="7" t="s">
        <v>20</v>
      </c>
      <c r="F11" s="7" t="s">
        <v>20</v>
      </c>
      <c r="G11" s="7" t="s">
        <v>21</v>
      </c>
      <c r="H11" s="115"/>
      <c r="J11" s="8" t="s">
        <v>0</v>
      </c>
    </row>
    <row r="12" spans="1:10" ht="20.100000000000001" customHeight="1" thickTop="1">
      <c r="A12" s="9">
        <v>0</v>
      </c>
      <c r="B12" s="10">
        <v>0</v>
      </c>
      <c r="C12" s="10">
        <v>0</v>
      </c>
      <c r="D12" s="11">
        <f>G$8</f>
        <v>220</v>
      </c>
      <c r="E12" s="10">
        <f t="shared" ref="E12:E20" si="0">D12-C12</f>
        <v>220</v>
      </c>
      <c r="F12" s="10">
        <v>0</v>
      </c>
      <c r="G12" s="12" t="s">
        <v>22</v>
      </c>
      <c r="H12" s="13"/>
      <c r="J12" s="1">
        <f t="shared" ref="J12:J20" si="1">E12/D12</f>
        <v>1</v>
      </c>
    </row>
    <row r="13" spans="1:10" ht="20.100000000000001" customHeight="1">
      <c r="A13" s="14">
        <v>5</v>
      </c>
      <c r="B13" s="15">
        <f t="shared" ref="B13:B20" si="2">A13-A12</f>
        <v>5</v>
      </c>
      <c r="C13" s="15">
        <v>7</v>
      </c>
      <c r="D13" s="11">
        <f t="shared" ref="D13:D20" si="3">G$8</f>
        <v>220</v>
      </c>
      <c r="E13" s="10">
        <f t="shared" si="0"/>
        <v>213</v>
      </c>
      <c r="F13" s="15">
        <f t="shared" ref="F13:F20" si="4">C13-C12</f>
        <v>7</v>
      </c>
      <c r="G13" s="16">
        <f>((G$5)^2/((2*C$7)*(A13)))*LN(C$7/G$5)*LN(G$8/E13)</f>
        <v>6.3312286550345933E-4</v>
      </c>
      <c r="H13" s="17"/>
      <c r="J13" s="1">
        <f t="shared" si="1"/>
        <v>0.96818181818181814</v>
      </c>
    </row>
    <row r="14" spans="1:10" ht="20.100000000000001" customHeight="1">
      <c r="A14" s="14">
        <v>10</v>
      </c>
      <c r="B14" s="15">
        <f t="shared" si="2"/>
        <v>5</v>
      </c>
      <c r="C14" s="15">
        <v>27</v>
      </c>
      <c r="D14" s="11">
        <f t="shared" si="3"/>
        <v>220</v>
      </c>
      <c r="E14" s="10">
        <f t="shared" si="0"/>
        <v>193</v>
      </c>
      <c r="F14" s="15">
        <f t="shared" si="4"/>
        <v>20</v>
      </c>
      <c r="G14" s="16">
        <f>((G$5)^2/((2*C$7)*(A14)))*LN(C$7/G$5)*LN(G$8/E14)</f>
        <v>1.2818688585115796E-3</v>
      </c>
      <c r="H14" s="17"/>
      <c r="J14" s="1">
        <f t="shared" si="1"/>
        <v>0.87727272727272732</v>
      </c>
    </row>
    <row r="15" spans="1:10" ht="20.100000000000001" customHeight="1">
      <c r="A15" s="14">
        <v>30</v>
      </c>
      <c r="B15" s="15">
        <f t="shared" si="2"/>
        <v>20</v>
      </c>
      <c r="C15" s="15">
        <v>61</v>
      </c>
      <c r="D15" s="11">
        <f t="shared" si="3"/>
        <v>220</v>
      </c>
      <c r="E15" s="10">
        <f t="shared" si="0"/>
        <v>159</v>
      </c>
      <c r="F15" s="15">
        <f t="shared" si="4"/>
        <v>34</v>
      </c>
      <c r="G15" s="16">
        <f t="shared" ref="G15:G20" si="5">((G$5)^2/((2*C$7)*(A15)))*LN(C$7/G$5)*LN(G$8/E15)</f>
        <v>1.0596740064339318E-3</v>
      </c>
      <c r="H15" s="17"/>
      <c r="J15" s="1">
        <f t="shared" si="1"/>
        <v>0.72272727272727277</v>
      </c>
    </row>
    <row r="16" spans="1:10" ht="20.100000000000001" customHeight="1">
      <c r="A16" s="14">
        <v>60</v>
      </c>
      <c r="B16" s="15">
        <f t="shared" si="2"/>
        <v>30</v>
      </c>
      <c r="C16" s="15">
        <v>98</v>
      </c>
      <c r="D16" s="11">
        <f t="shared" si="3"/>
        <v>220</v>
      </c>
      <c r="E16" s="10">
        <f t="shared" si="0"/>
        <v>122</v>
      </c>
      <c r="F16" s="15">
        <f t="shared" si="4"/>
        <v>37</v>
      </c>
      <c r="G16" s="16">
        <f t="shared" si="5"/>
        <v>9.6203536807625413E-4</v>
      </c>
      <c r="H16" s="17"/>
      <c r="J16" s="1">
        <f t="shared" si="1"/>
        <v>0.55454545454545456</v>
      </c>
    </row>
    <row r="17" spans="1:10" ht="20.100000000000001" customHeight="1">
      <c r="A17" s="14">
        <v>120</v>
      </c>
      <c r="B17" s="15">
        <f t="shared" si="2"/>
        <v>60</v>
      </c>
      <c r="C17" s="15">
        <v>147</v>
      </c>
      <c r="D17" s="11">
        <f t="shared" si="3"/>
        <v>220</v>
      </c>
      <c r="E17" s="10">
        <f t="shared" si="0"/>
        <v>73</v>
      </c>
      <c r="F17" s="15">
        <f t="shared" si="4"/>
        <v>49</v>
      </c>
      <c r="G17" s="16">
        <f t="shared" si="5"/>
        <v>8.9999578636388005E-4</v>
      </c>
      <c r="H17" s="17"/>
      <c r="J17" s="1">
        <f t="shared" si="1"/>
        <v>0.33181818181818185</v>
      </c>
    </row>
    <row r="18" spans="1:10" ht="20.100000000000001" customHeight="1">
      <c r="A18" s="14">
        <v>180</v>
      </c>
      <c r="B18" s="15">
        <f t="shared" si="2"/>
        <v>60</v>
      </c>
      <c r="C18" s="15">
        <v>158</v>
      </c>
      <c r="D18" s="11">
        <f t="shared" si="3"/>
        <v>220</v>
      </c>
      <c r="E18" s="10">
        <f t="shared" si="0"/>
        <v>62</v>
      </c>
      <c r="F18" s="15">
        <f t="shared" si="4"/>
        <v>11</v>
      </c>
      <c r="G18" s="16">
        <f t="shared" si="5"/>
        <v>6.8882732876839427E-4</v>
      </c>
      <c r="H18" s="17"/>
      <c r="J18" s="1">
        <f t="shared" si="1"/>
        <v>0.2818181818181818</v>
      </c>
    </row>
    <row r="19" spans="1:10" ht="20.100000000000001" customHeight="1">
      <c r="A19" s="14">
        <v>300</v>
      </c>
      <c r="B19" s="15">
        <f t="shared" si="2"/>
        <v>120</v>
      </c>
      <c r="C19" s="15">
        <v>169</v>
      </c>
      <c r="D19" s="11">
        <f t="shared" si="3"/>
        <v>220</v>
      </c>
      <c r="E19" s="10">
        <f t="shared" si="0"/>
        <v>51</v>
      </c>
      <c r="F19" s="15">
        <f t="shared" si="4"/>
        <v>11</v>
      </c>
      <c r="G19" s="16">
        <f t="shared" si="5"/>
        <v>4.7703176208874811E-4</v>
      </c>
      <c r="H19" s="17"/>
      <c r="J19" s="1">
        <f t="shared" si="1"/>
        <v>0.23181818181818181</v>
      </c>
    </row>
    <row r="20" spans="1:10" ht="20.100000000000001" customHeight="1">
      <c r="A20" s="14">
        <v>600</v>
      </c>
      <c r="B20" s="15">
        <f t="shared" si="2"/>
        <v>300</v>
      </c>
      <c r="C20" s="15">
        <v>187</v>
      </c>
      <c r="D20" s="11">
        <f t="shared" si="3"/>
        <v>220</v>
      </c>
      <c r="E20" s="10">
        <f t="shared" si="0"/>
        <v>33</v>
      </c>
      <c r="F20" s="15">
        <f t="shared" si="4"/>
        <v>18</v>
      </c>
      <c r="G20" s="16">
        <f t="shared" si="5"/>
        <v>3.0954484354101425E-4</v>
      </c>
      <c r="H20" s="17"/>
      <c r="J20" s="1">
        <f t="shared" si="1"/>
        <v>0.15</v>
      </c>
    </row>
    <row r="21" spans="1:10" ht="20.100000000000001" customHeight="1">
      <c r="A21" s="14"/>
      <c r="B21" s="15"/>
      <c r="C21" s="15"/>
      <c r="D21" s="15"/>
      <c r="E21" s="15"/>
      <c r="F21" s="15"/>
      <c r="G21" s="15"/>
      <c r="H21" s="17"/>
      <c r="J21" s="2"/>
    </row>
    <row r="22" spans="1:10" ht="20.100000000000001" customHeight="1">
      <c r="A22" s="14"/>
      <c r="B22" s="15"/>
      <c r="C22" s="15"/>
      <c r="D22" s="15"/>
      <c r="E22" s="15"/>
      <c r="F22" s="15"/>
      <c r="G22" s="15"/>
      <c r="H22" s="17"/>
      <c r="J22" s="2"/>
    </row>
    <row r="23" spans="1:10" ht="20.100000000000001" customHeight="1" thickBot="1">
      <c r="A23" s="98" t="s">
        <v>45</v>
      </c>
      <c r="B23" s="99"/>
      <c r="C23" s="18"/>
      <c r="D23" s="18"/>
      <c r="E23" s="18"/>
      <c r="F23" s="18"/>
      <c r="G23" s="19">
        <f>AVERAGE(G13,G14,G15,G16,G17,G18,G19,G20)</f>
        <v>7.8901260241090768E-4</v>
      </c>
      <c r="H23" s="20"/>
      <c r="J23" s="2"/>
    </row>
    <row r="24" spans="1:10" ht="16.5">
      <c r="A24" s="21"/>
      <c r="B24" s="22"/>
      <c r="C24" s="22"/>
      <c r="D24" s="22"/>
      <c r="E24" s="22"/>
      <c r="F24" s="22"/>
      <c r="G24" s="2" t="s">
        <v>39</v>
      </c>
      <c r="H24" s="23"/>
      <c r="J24" s="2"/>
    </row>
    <row r="25" spans="1:10">
      <c r="A25" s="24"/>
      <c r="B25" s="2"/>
      <c r="C25" s="2"/>
      <c r="D25" s="2"/>
      <c r="E25" s="2"/>
      <c r="F25" s="2"/>
      <c r="H25" s="25" t="s">
        <v>23</v>
      </c>
      <c r="J25" s="2"/>
    </row>
    <row r="26" spans="1:10">
      <c r="A26" s="24"/>
      <c r="B26" s="2"/>
      <c r="C26" s="2"/>
      <c r="D26" s="2"/>
      <c r="E26" s="2"/>
      <c r="F26" s="2"/>
      <c r="G26" s="2" t="s">
        <v>24</v>
      </c>
      <c r="H26" s="26"/>
      <c r="J26" s="2"/>
    </row>
    <row r="27" spans="1:10">
      <c r="A27" s="24"/>
      <c r="B27" s="2"/>
      <c r="C27" s="2"/>
      <c r="D27" s="2"/>
      <c r="F27" s="2"/>
      <c r="H27" s="26"/>
      <c r="J27" s="2"/>
    </row>
    <row r="28" spans="1:10" ht="16.5">
      <c r="A28" s="24"/>
      <c r="B28" s="2"/>
      <c r="C28" s="2"/>
      <c r="D28" s="2"/>
      <c r="E28" s="27" t="s">
        <v>25</v>
      </c>
      <c r="F28" s="2"/>
      <c r="G28" s="2" t="s">
        <v>40</v>
      </c>
      <c r="H28" s="26"/>
      <c r="J28" s="2"/>
    </row>
    <row r="29" spans="1:10" ht="16.5">
      <c r="A29" s="24"/>
      <c r="B29" s="2"/>
      <c r="C29" s="2"/>
      <c r="E29" s="2"/>
      <c r="F29" s="2"/>
      <c r="G29" s="2" t="s">
        <v>41</v>
      </c>
      <c r="H29" s="26"/>
      <c r="J29" s="2"/>
    </row>
    <row r="30" spans="1:10">
      <c r="A30" s="24"/>
      <c r="B30" s="2"/>
      <c r="C30" s="2"/>
      <c r="D30" s="2"/>
      <c r="F30" s="2"/>
      <c r="G30" s="2"/>
      <c r="H30" s="26"/>
      <c r="J30" s="2"/>
    </row>
    <row r="31" spans="1:10" ht="16.5">
      <c r="A31" s="24"/>
      <c r="B31" s="2"/>
      <c r="C31" s="2"/>
      <c r="D31" s="2"/>
      <c r="E31" s="28" t="s">
        <v>26</v>
      </c>
      <c r="G31" s="2" t="s">
        <v>42</v>
      </c>
      <c r="H31" s="25" t="s">
        <v>27</v>
      </c>
      <c r="J31" s="2"/>
    </row>
    <row r="32" spans="1:10">
      <c r="A32" s="24"/>
      <c r="B32" s="2"/>
      <c r="C32" s="2"/>
      <c r="D32" s="2"/>
      <c r="E32" s="29" t="s">
        <v>28</v>
      </c>
      <c r="F32" s="2"/>
      <c r="G32" s="2"/>
      <c r="H32" s="26"/>
      <c r="J32" s="2"/>
    </row>
    <row r="33" spans="1:10">
      <c r="A33" s="24"/>
      <c r="B33" s="2"/>
      <c r="C33" s="2"/>
      <c r="D33" s="2"/>
      <c r="E33" s="29" t="s">
        <v>29</v>
      </c>
      <c r="F33" s="2"/>
      <c r="H33" s="25" t="s">
        <v>30</v>
      </c>
      <c r="J33" s="2"/>
    </row>
    <row r="34" spans="1:10" ht="13.5" customHeight="1">
      <c r="A34" s="24"/>
      <c r="B34" s="2"/>
      <c r="C34" s="2"/>
      <c r="E34" s="30" t="s">
        <v>31</v>
      </c>
      <c r="F34" s="2"/>
      <c r="G34" s="2"/>
      <c r="H34" s="26"/>
      <c r="J34" s="2"/>
    </row>
    <row r="35" spans="1:10" ht="13.5" customHeight="1">
      <c r="A35" s="24"/>
      <c r="B35" s="2"/>
      <c r="C35" s="2"/>
      <c r="D35" s="2"/>
      <c r="E35" s="30" t="s">
        <v>32</v>
      </c>
      <c r="G35" s="2"/>
      <c r="H35" s="26"/>
      <c r="J35" s="2"/>
    </row>
    <row r="36" spans="1:10" ht="13.5" customHeight="1">
      <c r="A36" s="24"/>
      <c r="B36" s="2"/>
      <c r="C36" s="2"/>
      <c r="D36" s="2"/>
      <c r="E36" s="30" t="s">
        <v>43</v>
      </c>
      <c r="F36" s="2"/>
      <c r="G36" s="2"/>
      <c r="H36" s="26"/>
      <c r="J36" s="2"/>
    </row>
    <row r="37" spans="1:10">
      <c r="A37" s="24"/>
      <c r="B37" s="2"/>
      <c r="C37" s="2"/>
      <c r="D37" s="2"/>
      <c r="E37" s="30" t="s">
        <v>44</v>
      </c>
      <c r="F37" s="2"/>
      <c r="G37" s="2"/>
      <c r="H37" s="26" t="s">
        <v>33</v>
      </c>
      <c r="J37" s="2"/>
    </row>
    <row r="38" spans="1:10">
      <c r="A38" s="24"/>
      <c r="B38" s="2"/>
      <c r="C38" s="2"/>
      <c r="D38" s="2"/>
      <c r="E38" s="30" t="s">
        <v>34</v>
      </c>
      <c r="F38" s="2"/>
      <c r="G38" s="2"/>
      <c r="H38" s="26"/>
      <c r="J38" s="2"/>
    </row>
    <row r="39" spans="1:10">
      <c r="A39" s="24"/>
      <c r="B39" s="2"/>
      <c r="C39" s="2"/>
      <c r="D39" s="2"/>
      <c r="F39" s="2"/>
      <c r="G39" s="2"/>
      <c r="H39" s="26"/>
      <c r="J39" s="2"/>
    </row>
    <row r="40" spans="1:10" ht="14.25" thickBot="1">
      <c r="A40" s="24"/>
      <c r="B40" s="2"/>
      <c r="C40" s="2"/>
      <c r="D40" s="2"/>
      <c r="F40" s="2"/>
      <c r="G40" s="2"/>
      <c r="H40" s="31"/>
      <c r="J40" s="2"/>
    </row>
    <row r="41" spans="1:10" ht="14.25" thickTop="1">
      <c r="A41" s="100" t="s">
        <v>35</v>
      </c>
      <c r="B41" s="32"/>
      <c r="C41" s="32"/>
      <c r="D41" s="32"/>
      <c r="E41" s="32"/>
      <c r="F41" s="32"/>
      <c r="G41" s="32"/>
      <c r="H41" s="33"/>
      <c r="J41" s="2"/>
    </row>
    <row r="42" spans="1:10" ht="14.25" thickBot="1">
      <c r="A42" s="101"/>
      <c r="B42" s="34"/>
      <c r="C42" s="34"/>
      <c r="D42" s="34"/>
      <c r="E42" s="34"/>
      <c r="F42" s="34"/>
      <c r="G42" s="34"/>
      <c r="H42" s="35"/>
      <c r="J42" s="2"/>
    </row>
    <row r="43" spans="1:10" ht="9.9499999999999993" customHeight="1">
      <c r="A43" s="22"/>
      <c r="B43" s="22"/>
      <c r="C43" s="22"/>
      <c r="D43" s="22"/>
      <c r="E43" s="22"/>
      <c r="F43" s="22"/>
      <c r="G43" s="22"/>
      <c r="H43" s="22"/>
    </row>
  </sheetData>
  <mergeCells count="28">
    <mergeCell ref="A10:B10"/>
    <mergeCell ref="H10:H11"/>
    <mergeCell ref="E6:F6"/>
    <mergeCell ref="G6:H6"/>
    <mergeCell ref="A9:B9"/>
    <mergeCell ref="C9:D9"/>
    <mergeCell ref="E9:F9"/>
    <mergeCell ref="G9:H9"/>
    <mergeCell ref="A8:B8"/>
    <mergeCell ref="C8:D8"/>
    <mergeCell ref="E8:F8"/>
    <mergeCell ref="G8:H8"/>
    <mergeCell ref="A23:B23"/>
    <mergeCell ref="A41:A42"/>
    <mergeCell ref="A3:H3"/>
    <mergeCell ref="A2:H2"/>
    <mergeCell ref="A5:B5"/>
    <mergeCell ref="C5:D5"/>
    <mergeCell ref="E5:F5"/>
    <mergeCell ref="G5:H5"/>
    <mergeCell ref="A4:B4"/>
    <mergeCell ref="C4:H4"/>
    <mergeCell ref="A7:B7"/>
    <mergeCell ref="C7:D7"/>
    <mergeCell ref="E7:F7"/>
    <mergeCell ref="G7:H7"/>
    <mergeCell ref="A6:B6"/>
    <mergeCell ref="C6:D6"/>
  </mergeCells>
  <phoneticPr fontId="1" type="noConversion"/>
  <pageMargins left="0.81" right="0.42" top="1" bottom="0.51" header="0.5" footer="0.5"/>
  <pageSetup paperSize="9" scale="99" orientation="portrait" horizontalDpi="4294967294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025" r:id="rId4">
          <objectPr defaultSize="0" autoPict="0" r:id="rId5">
            <anchor moveWithCells="1">
              <from>
                <xdr:col>4</xdr:col>
                <xdr:colOff>466725</xdr:colOff>
                <xdr:row>25</xdr:row>
                <xdr:rowOff>28575</xdr:rowOff>
              </from>
              <to>
                <xdr:col>5</xdr:col>
                <xdr:colOff>619125</xdr:colOff>
                <xdr:row>26</xdr:row>
                <xdr:rowOff>190500</xdr:rowOff>
              </to>
            </anchor>
          </objectPr>
        </oleObject>
      </mc:Choice>
      <mc:Fallback>
        <oleObject progId="Equation.3" shapeId="1025" r:id="rId4"/>
      </mc:Fallback>
    </mc:AlternateContent>
    <mc:AlternateContent xmlns:mc="http://schemas.openxmlformats.org/markup-compatibility/2006">
      <mc:Choice Requires="x14">
        <oleObject progId="Equation.3" shapeId="1026" r:id="rId6">
          <objectPr defaultSize="0" autoPict="0" r:id="rId7">
            <anchor moveWithCells="1">
              <from>
                <xdr:col>4</xdr:col>
                <xdr:colOff>495300</xdr:colOff>
                <xdr:row>28</xdr:row>
                <xdr:rowOff>28575</xdr:rowOff>
              </from>
              <to>
                <xdr:col>5</xdr:col>
                <xdr:colOff>952500</xdr:colOff>
                <xdr:row>29</xdr:row>
                <xdr:rowOff>238125</xdr:rowOff>
              </to>
            </anchor>
          </objectPr>
        </oleObject>
      </mc:Choice>
      <mc:Fallback>
        <oleObject progId="Equation.3" shapeId="1026" r:id="rId6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40E7C-E058-4689-AC64-C20DE3F65750}">
  <sheetPr codeName="Sheet4"/>
  <dimension ref="A1:K43"/>
  <sheetViews>
    <sheetView view="pageBreakPreview" topLeftCell="A19" zoomScale="145" zoomScaleNormal="100" zoomScaleSheetLayoutView="145" workbookViewId="0">
      <selection activeCell="D16" sqref="D16"/>
    </sheetView>
  </sheetViews>
  <sheetFormatPr defaultColWidth="8.88671875" defaultRowHeight="13.5"/>
  <cols>
    <col min="1" max="6" width="9.33203125" style="1" customWidth="1"/>
    <col min="7" max="7" width="9.77734375" style="1" customWidth="1"/>
    <col min="8" max="8" width="9.33203125" style="1" customWidth="1"/>
    <col min="9" max="9" width="1.77734375" style="1" customWidth="1"/>
    <col min="10" max="16384" width="8.88671875" style="1"/>
  </cols>
  <sheetData>
    <row r="1" spans="1:11" ht="9.9499999999999993" customHeight="1" thickBot="1"/>
    <row r="2" spans="1:11" ht="24.95" customHeight="1">
      <c r="A2" s="135" t="s">
        <v>1</v>
      </c>
      <c r="B2" s="136"/>
      <c r="C2" s="136"/>
      <c r="D2" s="136"/>
      <c r="E2" s="136"/>
      <c r="F2" s="136"/>
      <c r="G2" s="136"/>
      <c r="H2" s="137"/>
      <c r="J2" s="2"/>
    </row>
    <row r="3" spans="1:11" ht="15.95" customHeight="1" thickBot="1">
      <c r="A3" s="138" t="s">
        <v>2</v>
      </c>
      <c r="B3" s="139"/>
      <c r="C3" s="139"/>
      <c r="D3" s="139"/>
      <c r="E3" s="139"/>
      <c r="F3" s="139"/>
      <c r="G3" s="139"/>
      <c r="H3" s="140"/>
      <c r="J3" s="2"/>
    </row>
    <row r="4" spans="1:11" ht="20.100000000000001" customHeight="1" thickBot="1">
      <c r="A4" s="141" t="s">
        <v>3</v>
      </c>
      <c r="B4" s="142"/>
      <c r="C4" s="143" t="s">
        <v>50</v>
      </c>
      <c r="D4" s="144"/>
      <c r="E4" s="144"/>
      <c r="F4" s="144"/>
      <c r="G4" s="144"/>
      <c r="H4" s="145"/>
      <c r="J4" s="2"/>
    </row>
    <row r="5" spans="1:11" ht="20.100000000000001" customHeight="1" thickTop="1">
      <c r="A5" s="146" t="s">
        <v>4</v>
      </c>
      <c r="B5" s="147"/>
      <c r="C5" s="148" t="s">
        <v>47</v>
      </c>
      <c r="D5" s="149"/>
      <c r="E5" s="150" t="s">
        <v>5</v>
      </c>
      <c r="F5" s="147"/>
      <c r="G5" s="151">
        <v>3.65</v>
      </c>
      <c r="H5" s="152"/>
      <c r="J5" s="2"/>
    </row>
    <row r="6" spans="1:11" ht="20.100000000000001" customHeight="1">
      <c r="A6" s="116" t="s">
        <v>6</v>
      </c>
      <c r="B6" s="117"/>
      <c r="C6" s="130" t="s">
        <v>49</v>
      </c>
      <c r="D6" s="131"/>
      <c r="E6" s="132" t="s">
        <v>7</v>
      </c>
      <c r="F6" s="117"/>
      <c r="G6" s="118">
        <v>210</v>
      </c>
      <c r="H6" s="122"/>
      <c r="J6" s="2"/>
    </row>
    <row r="7" spans="1:11" ht="20.100000000000001" customHeight="1">
      <c r="A7" s="116" t="s">
        <v>8</v>
      </c>
      <c r="B7" s="117"/>
      <c r="C7" s="118">
        <v>300</v>
      </c>
      <c r="D7" s="119"/>
      <c r="E7" s="120" t="s">
        <v>9</v>
      </c>
      <c r="F7" s="121"/>
      <c r="G7" s="133">
        <v>10</v>
      </c>
      <c r="H7" s="134"/>
      <c r="J7" s="2"/>
    </row>
    <row r="8" spans="1:11" ht="20.100000000000001" customHeight="1">
      <c r="A8" s="116" t="s">
        <v>10</v>
      </c>
      <c r="B8" s="117"/>
      <c r="C8" s="118">
        <v>400</v>
      </c>
      <c r="D8" s="119"/>
      <c r="E8" s="120" t="s">
        <v>36</v>
      </c>
      <c r="F8" s="121"/>
      <c r="G8" s="118">
        <f>G6+G7</f>
        <v>220</v>
      </c>
      <c r="H8" s="122"/>
      <c r="J8" s="2"/>
    </row>
    <row r="9" spans="1:11" ht="20.100000000000001" customHeight="1" thickBot="1">
      <c r="A9" s="123" t="s">
        <v>11</v>
      </c>
      <c r="B9" s="124"/>
      <c r="C9" s="125"/>
      <c r="D9" s="126"/>
      <c r="E9" s="127" t="s">
        <v>12</v>
      </c>
      <c r="F9" s="124"/>
      <c r="G9" s="128"/>
      <c r="H9" s="129"/>
      <c r="J9" s="2"/>
    </row>
    <row r="10" spans="1:11" ht="20.100000000000001" customHeight="1" thickTop="1">
      <c r="A10" s="112" t="s">
        <v>13</v>
      </c>
      <c r="B10" s="113"/>
      <c r="C10" s="3" t="s">
        <v>14</v>
      </c>
      <c r="D10" s="3" t="s">
        <v>37</v>
      </c>
      <c r="E10" s="3" t="s">
        <v>38</v>
      </c>
      <c r="F10" s="3" t="s">
        <v>15</v>
      </c>
      <c r="G10" s="4" t="s">
        <v>16</v>
      </c>
      <c r="H10" s="114" t="s">
        <v>17</v>
      </c>
      <c r="J10" s="2"/>
    </row>
    <row r="11" spans="1:11" ht="20.100000000000001" customHeight="1" thickBot="1">
      <c r="A11" s="5" t="s">
        <v>18</v>
      </c>
      <c r="B11" s="6" t="s">
        <v>19</v>
      </c>
      <c r="C11" s="7" t="s">
        <v>20</v>
      </c>
      <c r="D11" s="7" t="s">
        <v>20</v>
      </c>
      <c r="E11" s="7" t="s">
        <v>20</v>
      </c>
      <c r="F11" s="7" t="s">
        <v>20</v>
      </c>
      <c r="G11" s="7" t="s">
        <v>21</v>
      </c>
      <c r="H11" s="115"/>
      <c r="J11" s="8" t="s">
        <v>0</v>
      </c>
    </row>
    <row r="12" spans="1:11" ht="20.100000000000001" customHeight="1" thickTop="1">
      <c r="A12" s="9">
        <v>0</v>
      </c>
      <c r="B12" s="10">
        <v>0</v>
      </c>
      <c r="C12" s="10">
        <v>0</v>
      </c>
      <c r="D12" s="11">
        <f>G$8</f>
        <v>220</v>
      </c>
      <c r="E12" s="10">
        <f t="shared" ref="E12:E18" si="0">D12-C12</f>
        <v>220</v>
      </c>
      <c r="F12" s="10">
        <v>0</v>
      </c>
      <c r="G12" s="12" t="s">
        <v>22</v>
      </c>
      <c r="H12" s="13"/>
      <c r="J12" s="1">
        <f t="shared" ref="J12:J20" si="1">E12/D12</f>
        <v>1</v>
      </c>
      <c r="K12" s="1">
        <f>water_level(A12)</f>
        <v>0.99517299999999997</v>
      </c>
    </row>
    <row r="13" spans="1:11" ht="20.100000000000001" customHeight="1">
      <c r="A13" s="14">
        <v>5</v>
      </c>
      <c r="B13" s="15">
        <f t="shared" ref="B13:B18" si="2">A13-A12</f>
        <v>5</v>
      </c>
      <c r="C13" s="15">
        <v>6</v>
      </c>
      <c r="D13" s="11">
        <f t="shared" ref="D13:D18" si="3">G$8</f>
        <v>220</v>
      </c>
      <c r="E13" s="10">
        <f t="shared" si="0"/>
        <v>214</v>
      </c>
      <c r="F13" s="15">
        <f t="shared" ref="F13:F18" si="4">C13-C12</f>
        <v>6</v>
      </c>
      <c r="G13" s="16">
        <f>((G$5)^2/((2*C$7)*(A13)))*LN(C$7/G$5)*LN(G$8/E13)</f>
        <v>5.4141365907673159E-4</v>
      </c>
      <c r="H13" s="17"/>
      <c r="J13" s="1">
        <f>E13/D13</f>
        <v>0.97272727272727277</v>
      </c>
      <c r="K13" s="1">
        <f t="shared" ref="K13:K18" si="5">water_level(A13)</f>
        <v>0.9732560475880998</v>
      </c>
    </row>
    <row r="14" spans="1:11" ht="20.100000000000001" customHeight="1">
      <c r="A14" s="14">
        <v>10</v>
      </c>
      <c r="B14" s="15">
        <f t="shared" si="2"/>
        <v>5</v>
      </c>
      <c r="C14" s="15">
        <v>23</v>
      </c>
      <c r="D14" s="11">
        <f t="shared" si="3"/>
        <v>220</v>
      </c>
      <c r="E14" s="10">
        <f t="shared" si="0"/>
        <v>197</v>
      </c>
      <c r="F14" s="15">
        <f t="shared" si="4"/>
        <v>17</v>
      </c>
      <c r="G14" s="16">
        <f>((G$5)^2/((2*C$7)*(A14)))*LN(C$7/G$5)*LN(G$8/E14)</f>
        <v>1.0810425366542765E-3</v>
      </c>
      <c r="H14" s="17"/>
      <c r="J14" s="1">
        <f t="shared" si="1"/>
        <v>0.8954545454545455</v>
      </c>
      <c r="K14" s="1">
        <f t="shared" si="5"/>
        <v>0.9524080608665132</v>
      </c>
    </row>
    <row r="15" spans="1:11" ht="20.100000000000001" customHeight="1">
      <c r="A15" s="14">
        <v>30</v>
      </c>
      <c r="B15" s="15">
        <f t="shared" si="2"/>
        <v>20</v>
      </c>
      <c r="C15" s="15">
        <v>62</v>
      </c>
      <c r="D15" s="11">
        <f t="shared" si="3"/>
        <v>220</v>
      </c>
      <c r="E15" s="10">
        <f t="shared" si="0"/>
        <v>158</v>
      </c>
      <c r="F15" s="15">
        <f t="shared" si="4"/>
        <v>39</v>
      </c>
      <c r="G15" s="16">
        <f t="shared" ref="G15:G18" si="6">((G$5)^2/((2*C$7)*(A15)))*LN(C$7/G$5)*LN(G$8/E15)</f>
        <v>1.0802628021491427E-3</v>
      </c>
      <c r="H15" s="17"/>
      <c r="J15" s="1">
        <f t="shared" si="1"/>
        <v>0.71818181818181814</v>
      </c>
      <c r="K15" s="1">
        <f t="shared" si="5"/>
        <v>0.87905986554713722</v>
      </c>
    </row>
    <row r="16" spans="1:11" ht="20.100000000000001" customHeight="1">
      <c r="A16" s="14">
        <v>60</v>
      </c>
      <c r="B16" s="15">
        <f t="shared" si="2"/>
        <v>30</v>
      </c>
      <c r="C16" s="15">
        <v>95</v>
      </c>
      <c r="D16" s="11">
        <f t="shared" si="3"/>
        <v>220</v>
      </c>
      <c r="E16" s="10">
        <f t="shared" si="0"/>
        <v>125</v>
      </c>
      <c r="F16" s="15">
        <f t="shared" si="4"/>
        <v>33</v>
      </c>
      <c r="G16" s="16">
        <f t="shared" si="6"/>
        <v>9.2239803474792909E-4</v>
      </c>
      <c r="H16" s="17"/>
      <c r="J16" s="1">
        <f t="shared" si="1"/>
        <v>0.56818181818181823</v>
      </c>
      <c r="K16" s="1">
        <f t="shared" si="5"/>
        <v>0.79561634792007441</v>
      </c>
    </row>
    <row r="17" spans="1:11" ht="20.100000000000001" customHeight="1">
      <c r="A17" s="14">
        <v>120</v>
      </c>
      <c r="B17" s="15">
        <f t="shared" si="2"/>
        <v>60</v>
      </c>
      <c r="C17" s="15">
        <v>145</v>
      </c>
      <c r="D17" s="11">
        <f t="shared" si="3"/>
        <v>220</v>
      </c>
      <c r="E17" s="10">
        <f t="shared" si="0"/>
        <v>75</v>
      </c>
      <c r="F17" s="15">
        <f t="shared" si="4"/>
        <v>50</v>
      </c>
      <c r="G17" s="16">
        <f t="shared" si="6"/>
        <v>8.7794502986957446E-4</v>
      </c>
      <c r="H17" s="17"/>
      <c r="J17" s="1">
        <f t="shared" si="1"/>
        <v>0.34090909090909088</v>
      </c>
      <c r="K17" s="1">
        <f t="shared" si="5"/>
        <v>0.69883505262100221</v>
      </c>
    </row>
    <row r="18" spans="1:11" ht="20.100000000000001" customHeight="1">
      <c r="A18" s="14">
        <v>180</v>
      </c>
      <c r="B18" s="15">
        <f t="shared" si="2"/>
        <v>60</v>
      </c>
      <c r="C18" s="15">
        <v>157</v>
      </c>
      <c r="D18" s="11">
        <f t="shared" si="3"/>
        <v>220</v>
      </c>
      <c r="E18" s="10">
        <f t="shared" si="0"/>
        <v>63</v>
      </c>
      <c r="F18" s="15">
        <f t="shared" si="4"/>
        <v>12</v>
      </c>
      <c r="G18" s="16">
        <f t="shared" si="6"/>
        <v>6.8012497432561525E-4</v>
      </c>
      <c r="H18" s="17"/>
      <c r="J18" s="1">
        <f t="shared" si="1"/>
        <v>0.28636363636363638</v>
      </c>
      <c r="K18" s="1">
        <f t="shared" si="5"/>
        <v>0.64902289305809024</v>
      </c>
    </row>
    <row r="19" spans="1:11" ht="20.100000000000001" customHeight="1">
      <c r="A19" s="14"/>
      <c r="B19" s="15"/>
      <c r="C19" s="15"/>
      <c r="D19" s="11"/>
      <c r="E19" s="10"/>
      <c r="F19" s="15"/>
      <c r="G19" s="16"/>
      <c r="H19" s="17"/>
      <c r="J19" s="1" t="e">
        <f t="shared" si="1"/>
        <v>#DIV/0!</v>
      </c>
    </row>
    <row r="20" spans="1:11" ht="20.100000000000001" customHeight="1">
      <c r="A20" s="14"/>
      <c r="B20" s="15"/>
      <c r="C20" s="15"/>
      <c r="D20" s="11"/>
      <c r="E20" s="10"/>
      <c r="F20" s="15"/>
      <c r="G20" s="16"/>
      <c r="H20" s="17"/>
      <c r="J20" s="1" t="e">
        <f t="shared" si="1"/>
        <v>#DIV/0!</v>
      </c>
    </row>
    <row r="21" spans="1:11" ht="20.100000000000001" customHeight="1">
      <c r="A21" s="14"/>
      <c r="B21" s="15"/>
      <c r="C21" s="15"/>
      <c r="D21" s="15"/>
      <c r="E21" s="15"/>
      <c r="F21" s="15"/>
      <c r="G21" s="15"/>
      <c r="H21" s="17"/>
      <c r="J21" s="2"/>
    </row>
    <row r="22" spans="1:11" ht="20.100000000000001" customHeight="1">
      <c r="A22" s="14"/>
      <c r="B22" s="15"/>
      <c r="C22" s="15"/>
      <c r="D22" s="15"/>
      <c r="E22" s="15"/>
      <c r="F22" s="15"/>
      <c r="G22" s="15"/>
      <c r="H22" s="17"/>
      <c r="J22" s="2"/>
    </row>
    <row r="23" spans="1:11" ht="20.100000000000001" customHeight="1" thickBot="1">
      <c r="A23" s="98" t="s">
        <v>45</v>
      </c>
      <c r="B23" s="99"/>
      <c r="C23" s="18"/>
      <c r="D23" s="18"/>
      <c r="E23" s="18"/>
      <c r="F23" s="18"/>
      <c r="G23" s="19">
        <f>AVERAGE(G13,G14,G15,G16,G17,G18,G19,G20)</f>
        <v>8.6386450613721146E-4</v>
      </c>
      <c r="H23" s="20"/>
      <c r="J23" s="2"/>
    </row>
    <row r="24" spans="1:11" ht="16.5">
      <c r="A24" s="21"/>
      <c r="B24" s="22"/>
      <c r="C24" s="22"/>
      <c r="D24" s="22"/>
      <c r="E24" s="22"/>
      <c r="F24" s="22"/>
      <c r="G24" s="2" t="s">
        <v>39</v>
      </c>
      <c r="H24" s="23"/>
      <c r="J24" s="2"/>
    </row>
    <row r="25" spans="1:11">
      <c r="A25" s="24"/>
      <c r="B25" s="2"/>
      <c r="C25" s="2"/>
      <c r="D25" s="2"/>
      <c r="E25" s="2"/>
      <c r="F25" s="2"/>
      <c r="H25" s="25" t="s">
        <v>23</v>
      </c>
      <c r="J25" s="2"/>
    </row>
    <row r="26" spans="1:11">
      <c r="A26" s="24"/>
      <c r="B26" s="2"/>
      <c r="C26" s="2"/>
      <c r="D26" s="2"/>
      <c r="E26" s="2"/>
      <c r="F26" s="2"/>
      <c r="G26" s="2" t="s">
        <v>24</v>
      </c>
      <c r="H26" s="26"/>
      <c r="J26" s="2"/>
    </row>
    <row r="27" spans="1:11">
      <c r="A27" s="24"/>
      <c r="B27" s="2"/>
      <c r="C27" s="2"/>
      <c r="D27" s="2"/>
      <c r="F27" s="2"/>
      <c r="H27" s="26"/>
      <c r="J27" s="2"/>
    </row>
    <row r="28" spans="1:11" ht="16.5">
      <c r="A28" s="24"/>
      <c r="B28" s="2"/>
      <c r="C28" s="2"/>
      <c r="D28" s="2"/>
      <c r="E28" s="27" t="s">
        <v>25</v>
      </c>
      <c r="F28" s="2"/>
      <c r="G28" s="2" t="s">
        <v>40</v>
      </c>
      <c r="H28" s="26"/>
      <c r="J28" s="2"/>
    </row>
    <row r="29" spans="1:11" ht="16.5">
      <c r="A29" s="24"/>
      <c r="B29" s="2"/>
      <c r="C29" s="2"/>
      <c r="E29" s="2"/>
      <c r="F29" s="2"/>
      <c r="G29" s="2" t="s">
        <v>41</v>
      </c>
      <c r="H29" s="26"/>
      <c r="J29" s="2"/>
    </row>
    <row r="30" spans="1:11">
      <c r="A30" s="24"/>
      <c r="B30" s="2"/>
      <c r="C30" s="2"/>
      <c r="D30" s="2"/>
      <c r="F30" s="2"/>
      <c r="G30" s="2"/>
      <c r="H30" s="26"/>
      <c r="J30" s="2"/>
    </row>
    <row r="31" spans="1:11" ht="16.5">
      <c r="A31" s="24"/>
      <c r="B31" s="2"/>
      <c r="C31" s="2"/>
      <c r="D31" s="2"/>
      <c r="E31" s="28" t="s">
        <v>26</v>
      </c>
      <c r="G31" s="2" t="s">
        <v>42</v>
      </c>
      <c r="H31" s="25" t="s">
        <v>27</v>
      </c>
      <c r="J31" s="2"/>
    </row>
    <row r="32" spans="1:11">
      <c r="A32" s="24"/>
      <c r="B32" s="2"/>
      <c r="C32" s="2"/>
      <c r="D32" s="2"/>
      <c r="E32" s="29" t="s">
        <v>28</v>
      </c>
      <c r="F32" s="2"/>
      <c r="G32" s="2"/>
      <c r="H32" s="26"/>
      <c r="J32" s="2"/>
    </row>
    <row r="33" spans="1:10">
      <c r="A33" s="24"/>
      <c r="B33" s="2"/>
      <c r="C33" s="2"/>
      <c r="D33" s="2"/>
      <c r="E33" s="29" t="s">
        <v>29</v>
      </c>
      <c r="F33" s="2"/>
      <c r="H33" s="25" t="s">
        <v>30</v>
      </c>
      <c r="J33" s="2"/>
    </row>
    <row r="34" spans="1:10" ht="13.5" customHeight="1">
      <c r="A34" s="24"/>
      <c r="B34" s="2"/>
      <c r="C34" s="2"/>
      <c r="E34" s="30" t="s">
        <v>31</v>
      </c>
      <c r="F34" s="2"/>
      <c r="G34" s="2"/>
      <c r="H34" s="26"/>
      <c r="J34" s="2"/>
    </row>
    <row r="35" spans="1:10" ht="13.5" customHeight="1">
      <c r="A35" s="24"/>
      <c r="B35" s="2"/>
      <c r="C35" s="2"/>
      <c r="D35" s="2"/>
      <c r="E35" s="30" t="s">
        <v>32</v>
      </c>
      <c r="G35" s="2"/>
      <c r="H35" s="26"/>
      <c r="J35" s="2"/>
    </row>
    <row r="36" spans="1:10" ht="13.5" customHeight="1">
      <c r="A36" s="24"/>
      <c r="B36" s="2"/>
      <c r="C36" s="2"/>
      <c r="D36" s="2"/>
      <c r="E36" s="30" t="s">
        <v>43</v>
      </c>
      <c r="F36" s="2"/>
      <c r="G36" s="2"/>
      <c r="H36" s="26"/>
      <c r="J36" s="2"/>
    </row>
    <row r="37" spans="1:10">
      <c r="A37" s="24"/>
      <c r="B37" s="2"/>
      <c r="C37" s="2"/>
      <c r="D37" s="2"/>
      <c r="E37" s="30" t="s">
        <v>44</v>
      </c>
      <c r="F37" s="2"/>
      <c r="G37" s="2"/>
      <c r="H37" s="26" t="s">
        <v>33</v>
      </c>
      <c r="J37" s="2"/>
    </row>
    <row r="38" spans="1:10">
      <c r="A38" s="24"/>
      <c r="B38" s="2"/>
      <c r="C38" s="2"/>
      <c r="D38" s="2"/>
      <c r="E38" s="30" t="s">
        <v>34</v>
      </c>
      <c r="F38" s="2"/>
      <c r="G38" s="2"/>
      <c r="H38" s="26"/>
      <c r="J38" s="2"/>
    </row>
    <row r="39" spans="1:10">
      <c r="A39" s="24"/>
      <c r="B39" s="2"/>
      <c r="C39" s="2"/>
      <c r="D39" s="2"/>
      <c r="F39" s="2"/>
      <c r="G39" s="2"/>
      <c r="H39" s="26"/>
      <c r="J39" s="2"/>
    </row>
    <row r="40" spans="1:10" ht="14.25" thickBot="1">
      <c r="A40" s="24"/>
      <c r="B40" s="2"/>
      <c r="C40" s="2"/>
      <c r="D40" s="2"/>
      <c r="F40" s="2"/>
      <c r="G40" s="2"/>
      <c r="H40" s="31"/>
      <c r="J40" s="2"/>
    </row>
    <row r="41" spans="1:10" ht="14.25" thickTop="1">
      <c r="A41" s="100" t="s">
        <v>35</v>
      </c>
      <c r="B41" s="32"/>
      <c r="C41" s="32"/>
      <c r="D41" s="32"/>
      <c r="E41" s="32"/>
      <c r="F41" s="32"/>
      <c r="G41" s="32"/>
      <c r="H41" s="33"/>
      <c r="J41" s="2"/>
    </row>
    <row r="42" spans="1:10" ht="14.25" thickBot="1">
      <c r="A42" s="101"/>
      <c r="B42" s="34"/>
      <c r="C42" s="34"/>
      <c r="D42" s="34"/>
      <c r="E42" s="34"/>
      <c r="F42" s="34"/>
      <c r="G42" s="34"/>
      <c r="H42" s="35"/>
      <c r="J42" s="2"/>
    </row>
    <row r="43" spans="1:10" ht="9.9499999999999993" customHeight="1">
      <c r="A43" s="22"/>
      <c r="B43" s="22"/>
      <c r="C43" s="22"/>
      <c r="D43" s="22"/>
      <c r="E43" s="22"/>
      <c r="F43" s="22"/>
      <c r="G43" s="22"/>
      <c r="H43" s="22"/>
    </row>
  </sheetData>
  <mergeCells count="28">
    <mergeCell ref="A10:B10"/>
    <mergeCell ref="H10:H11"/>
    <mergeCell ref="A23:B23"/>
    <mergeCell ref="A41:A42"/>
    <mergeCell ref="A8:B8"/>
    <mergeCell ref="C8:D8"/>
    <mergeCell ref="E8:F8"/>
    <mergeCell ref="G8:H8"/>
    <mergeCell ref="A9:B9"/>
    <mergeCell ref="C9:D9"/>
    <mergeCell ref="E9:F9"/>
    <mergeCell ref="G9:H9"/>
    <mergeCell ref="A6:B6"/>
    <mergeCell ref="C6:D6"/>
    <mergeCell ref="E6:F6"/>
    <mergeCell ref="G6:H6"/>
    <mergeCell ref="A7:B7"/>
    <mergeCell ref="C7:D7"/>
    <mergeCell ref="E7:F7"/>
    <mergeCell ref="G7:H7"/>
    <mergeCell ref="A2:H2"/>
    <mergeCell ref="A3:H3"/>
    <mergeCell ref="A4:B4"/>
    <mergeCell ref="C4:H4"/>
    <mergeCell ref="A5:B5"/>
    <mergeCell ref="C5:D5"/>
    <mergeCell ref="E5:F5"/>
    <mergeCell ref="G5:H5"/>
  </mergeCells>
  <phoneticPr fontId="1" type="noConversion"/>
  <pageMargins left="0.81" right="0.42" top="1" bottom="0.51" header="0.5" footer="0.5"/>
  <pageSetup paperSize="9" scale="99" orientation="portrait" horizontalDpi="4294967294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49" r:id="rId4">
          <objectPr defaultSize="0" autoPict="0" r:id="rId5">
            <anchor moveWithCells="1">
              <from>
                <xdr:col>4</xdr:col>
                <xdr:colOff>466725</xdr:colOff>
                <xdr:row>25</xdr:row>
                <xdr:rowOff>28575</xdr:rowOff>
              </from>
              <to>
                <xdr:col>5</xdr:col>
                <xdr:colOff>619125</xdr:colOff>
                <xdr:row>27</xdr:row>
                <xdr:rowOff>0</xdr:rowOff>
              </to>
            </anchor>
          </objectPr>
        </oleObject>
      </mc:Choice>
      <mc:Fallback>
        <oleObject progId="Equation.3" shapeId="2049" r:id="rId4"/>
      </mc:Fallback>
    </mc:AlternateContent>
    <mc:AlternateContent xmlns:mc="http://schemas.openxmlformats.org/markup-compatibility/2006">
      <mc:Choice Requires="x14">
        <oleObject progId="Equation.3" shapeId="2050" r:id="rId6">
          <objectPr defaultSize="0" autoPict="0" r:id="rId7">
            <anchor moveWithCells="1">
              <from>
                <xdr:col>4</xdr:col>
                <xdr:colOff>495300</xdr:colOff>
                <xdr:row>28</xdr:row>
                <xdr:rowOff>28575</xdr:rowOff>
              </from>
              <to>
                <xdr:col>6</xdr:col>
                <xdr:colOff>0</xdr:colOff>
                <xdr:row>30</xdr:row>
                <xdr:rowOff>0</xdr:rowOff>
              </to>
            </anchor>
          </objectPr>
        </oleObject>
      </mc:Choice>
      <mc:Fallback>
        <oleObject progId="Equation.3" shapeId="2050" r:id="rId6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5</vt:i4>
      </vt:variant>
    </vt:vector>
  </HeadingPairs>
  <TitlesOfParts>
    <vt:vector size="11" baseType="lpstr">
      <vt:lpstr>BH1</vt:lpstr>
      <vt:lpstr>BH2</vt:lpstr>
      <vt:lpstr>DB</vt:lpstr>
      <vt:lpstr>검사공1-2</vt:lpstr>
      <vt:lpstr>검사공2-1</vt:lpstr>
      <vt:lpstr>검사공22</vt:lpstr>
      <vt:lpstr>'BH1'!Print_Area</vt:lpstr>
      <vt:lpstr>'BH2'!Print_Area</vt:lpstr>
      <vt:lpstr>'검사공1-2'!Print_Area</vt:lpstr>
      <vt:lpstr>'검사공2-1'!Print_Area</vt:lpstr>
      <vt:lpstr>검사공22!Print_Area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대하</dc:creator>
  <cp:lastModifiedBy>minhwasoo</cp:lastModifiedBy>
  <cp:lastPrinted>2017-04-16T03:55:14Z</cp:lastPrinted>
  <dcterms:created xsi:type="dcterms:W3CDTF">2004-12-27T04:19:24Z</dcterms:created>
  <dcterms:modified xsi:type="dcterms:W3CDTF">2021-07-24T08:55:51Z</dcterms:modified>
</cp:coreProperties>
</file>