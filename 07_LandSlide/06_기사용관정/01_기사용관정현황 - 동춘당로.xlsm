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7_ihanseol - 2022\07_생활용 - 대전무형문화재전수회관- 현윤이앤씨\"/>
    </mc:Choice>
  </mc:AlternateContent>
  <xr:revisionPtr revIDLastSave="0" documentId="13_ncr:1_{5238635E-B382-42B2-BF6D-D9BFC81952F3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s" sheetId="8" r:id="rId1"/>
    <sheet name="aa" sheetId="10" r:id="rId2"/>
    <sheet name="ii" sheetId="11" r:id="rId3"/>
  </sheets>
  <functionGroups builtInGroupCount="19"/>
  <definedNames>
    <definedName name="AA_INSIDE_AREA">OFFSET(aa!$R$2,0,0,COUNTA(aa!$R:$R),1)</definedName>
    <definedName name="II_INSIDE_AREA">OFFSET(ii!$R$2,0,0,COUNTA(ii!$R:$R),1)</definedName>
    <definedName name="SS_INSIDE_AREA">OFFSET(ss!$R$2,0,0,COUNTA(ss!$R:$R),1)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14" i="10" l="1"/>
  <c r="L12" i="10"/>
  <c r="L13" i="10"/>
  <c r="L49" i="8"/>
  <c r="L50" i="8"/>
  <c r="L47" i="8"/>
  <c r="L48" i="8"/>
  <c r="L45" i="8"/>
  <c r="L46" i="8"/>
  <c r="L10" i="10"/>
  <c r="L11" i="10"/>
  <c r="L8" i="10"/>
  <c r="L9" i="10"/>
  <c r="L43" i="8"/>
  <c r="L44" i="8"/>
  <c r="L41" i="8"/>
  <c r="L42" i="8"/>
  <c r="L39" i="8"/>
  <c r="L40" i="8"/>
  <c r="L37" i="8"/>
  <c r="L38" i="8"/>
  <c r="L35" i="8"/>
  <c r="L36" i="8"/>
  <c r="L33" i="8"/>
  <c r="L34" i="8"/>
  <c r="L31" i="8"/>
  <c r="L32" i="8"/>
  <c r="L29" i="8"/>
  <c r="L30" i="8"/>
  <c r="L27" i="8"/>
  <c r="L28" i="8"/>
  <c r="L25" i="8"/>
  <c r="L26" i="8"/>
  <c r="L2" i="11"/>
  <c r="L3" i="10"/>
  <c r="L4" i="10"/>
  <c r="L5" i="10"/>
  <c r="L6" i="10"/>
  <c r="L7" i="10"/>
  <c r="L2" i="10"/>
  <c r="L3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" i="8"/>
  <c r="K14" i="10"/>
  <c r="K12" i="10"/>
  <c r="K13" i="10"/>
  <c r="K50" i="8"/>
  <c r="K49" i="8"/>
  <c r="K47" i="8"/>
  <c r="K48" i="8"/>
  <c r="K45" i="8"/>
  <c r="K46" i="8"/>
  <c r="K11" i="10"/>
  <c r="K10" i="10"/>
  <c r="K8" i="10"/>
  <c r="K9" i="10"/>
  <c r="K26" i="8"/>
  <c r="K44" i="8"/>
  <c r="K43" i="8"/>
  <c r="K42" i="8"/>
  <c r="K41" i="8"/>
  <c r="K39" i="8"/>
  <c r="K40" i="8"/>
  <c r="K38" i="8"/>
  <c r="K37" i="8"/>
  <c r="K35" i="8"/>
  <c r="K36" i="8"/>
  <c r="K34" i="8"/>
  <c r="K33" i="8"/>
  <c r="K32" i="8"/>
  <c r="K31" i="8"/>
  <c r="K30" i="8"/>
  <c r="K29" i="8"/>
  <c r="K27" i="8"/>
  <c r="K28" i="8"/>
  <c r="K25" i="8"/>
  <c r="K15" i="8"/>
  <c r="K13" i="8"/>
  <c r="K14" i="8"/>
  <c r="K5" i="8"/>
  <c r="K6" i="8"/>
  <c r="K7" i="8"/>
  <c r="K8" i="8"/>
  <c r="K20" i="8"/>
  <c r="K16" i="8"/>
  <c r="K17" i="8"/>
  <c r="K23" i="8"/>
  <c r="K18" i="8"/>
  <c r="K24" i="8"/>
  <c r="K9" i="8"/>
  <c r="K11" i="8"/>
  <c r="K12" i="8"/>
  <c r="K21" i="8"/>
  <c r="K22" i="8"/>
  <c r="K10" i="8"/>
  <c r="K19" i="8"/>
  <c r="K4" i="8"/>
  <c r="K3" i="8"/>
  <c r="D9" i="11" l="1"/>
  <c r="H57" i="8" s="1"/>
  <c r="C9" i="11"/>
  <c r="D8" i="11"/>
  <c r="C8" i="11"/>
  <c r="K5" i="11"/>
  <c r="C19" i="10"/>
  <c r="C18" i="10"/>
  <c r="C62" i="8"/>
  <c r="C61" i="8"/>
  <c r="G57" i="8"/>
  <c r="C57" i="8"/>
  <c r="G56" i="8"/>
  <c r="C56" i="8"/>
  <c r="K7" i="10"/>
  <c r="K6" i="10"/>
  <c r="K5" i="10"/>
  <c r="K4" i="10"/>
  <c r="K3" i="10"/>
  <c r="K2" i="10"/>
  <c r="K2" i="8"/>
  <c r="D57" i="8" l="1"/>
  <c r="D19" i="10"/>
  <c r="D62" i="8" s="1"/>
  <c r="D10" i="11"/>
  <c r="H58" i="8" s="1"/>
  <c r="D18" i="10"/>
  <c r="K17" i="10"/>
  <c r="D56" i="8"/>
  <c r="K53" i="8"/>
  <c r="C67" i="8"/>
  <c r="H56" i="8"/>
  <c r="D67" i="8" l="1"/>
  <c r="D58" i="8"/>
  <c r="K55" i="8"/>
  <c r="D20" i="10"/>
  <c r="D61" i="8"/>
  <c r="D63" i="8" s="1"/>
  <c r="C66" i="8"/>
  <c r="K58" i="8" s="1"/>
  <c r="D66" i="8" l="1"/>
  <c r="K57" i="8" s="1"/>
</calcChain>
</file>

<file path=xl/sharedStrings.xml><?xml version="1.0" encoding="utf-8"?>
<sst xmlns="http://schemas.openxmlformats.org/spreadsheetml/2006/main" count="590" uniqueCount="170">
  <si>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</si>
  <si>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</si>
  <si>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</si>
  <si>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</si>
  <si>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</si>
  <si>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</si>
  <si>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</si>
  <si>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</si>
  <si>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</si>
  <si>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</si>
  <si>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</si>
  <si>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</si>
  <si>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</si>
  <si>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</si>
  <si>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</si>
  <si>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</si>
  <si>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</si>
  <si>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</si>
  <si>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</si>
  <si>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</si>
  <si>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</si>
  <si>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</si>
  <si>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</si>
  <si>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</si>
  <si>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</si>
  <si>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</si>
  <si>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신고공</t>
    <phoneticPr fontId="19" type="noConversion"/>
  </si>
  <si>
    <t>s1</t>
    <phoneticPr fontId="19" type="noConversion"/>
  </si>
  <si>
    <t>a2</t>
  </si>
  <si>
    <t>a3</t>
  </si>
  <si>
    <t>O</t>
  </si>
  <si>
    <t>전작용</t>
    <phoneticPr fontId="19" type="noConversion"/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</si>
  <si>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</si>
  <si>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</si>
  <si>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</si>
  <si>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</si>
  <si>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</si>
  <si>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</si>
  <si>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</si>
  <si>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</si>
  <si>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</si>
  <si>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</si>
  <si>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</si>
  <si>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</si>
  <si>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답작용</t>
    <phoneticPr fontId="19" type="noConversion"/>
  </si>
  <si>
    <t>s14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</si>
  <si>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</si>
  <si>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</si>
  <si>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</si>
  <si>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</si>
  <si>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</si>
  <si>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s15</t>
  </si>
  <si>
    <t>일반용</t>
    <phoneticPr fontId="19" type="noConversion"/>
  </si>
  <si>
    <t>s16</t>
  </si>
  <si>
    <t>a4</t>
  </si>
  <si>
    <t>a5</t>
  </si>
  <si>
    <t>a6</t>
  </si>
  <si>
    <t>가정용</t>
    <phoneticPr fontId="19" type="noConversion"/>
  </si>
  <si>
    <t>기타</t>
    <phoneticPr fontId="19" type="noConversion"/>
  </si>
  <si>
    <t>s17</t>
  </si>
  <si>
    <t>s18</t>
  </si>
  <si>
    <t>s19</t>
  </si>
  <si>
    <t>s20</t>
  </si>
  <si>
    <t>s21</t>
  </si>
  <si>
    <t>s22</t>
  </si>
  <si>
    <t>s23</t>
  </si>
  <si>
    <t>지방공단</t>
    <phoneticPr fontId="19" type="noConversion"/>
  </si>
  <si>
    <t>농생활겸용</t>
    <phoneticPr fontId="19" type="noConversion"/>
  </si>
  <si>
    <t>대덕구</t>
    <phoneticPr fontId="19" type="noConversion"/>
  </si>
  <si>
    <t>송촌동</t>
    <phoneticPr fontId="19" type="noConversion"/>
  </si>
  <si>
    <t>566-3</t>
    <phoneticPr fontId="19" type="noConversion"/>
  </si>
  <si>
    <t>221-38</t>
    <phoneticPr fontId="19" type="noConversion"/>
  </si>
  <si>
    <t>221-17</t>
    <phoneticPr fontId="19" type="noConversion"/>
  </si>
  <si>
    <t>221-20</t>
    <phoneticPr fontId="19" type="noConversion"/>
  </si>
  <si>
    <t>220-32</t>
    <phoneticPr fontId="19" type="noConversion"/>
  </si>
  <si>
    <t>220-31</t>
    <phoneticPr fontId="19" type="noConversion"/>
  </si>
  <si>
    <t>220-41</t>
    <phoneticPr fontId="19" type="noConversion"/>
  </si>
  <si>
    <t>220-6</t>
    <phoneticPr fontId="19" type="noConversion"/>
  </si>
  <si>
    <t>220-12</t>
    <phoneticPr fontId="19" type="noConversion"/>
  </si>
  <si>
    <t>220-63</t>
    <phoneticPr fontId="19" type="noConversion"/>
  </si>
  <si>
    <t>221-5</t>
    <phoneticPr fontId="19" type="noConversion"/>
  </si>
  <si>
    <t>220-44</t>
    <phoneticPr fontId="19" type="noConversion"/>
  </si>
  <si>
    <t>220-51</t>
    <phoneticPr fontId="19" type="noConversion"/>
  </si>
  <si>
    <t>559-6</t>
    <phoneticPr fontId="19" type="noConversion"/>
  </si>
  <si>
    <t>청소용</t>
    <phoneticPr fontId="19" type="noConversion"/>
  </si>
  <si>
    <t>219-24</t>
    <phoneticPr fontId="19" type="noConversion"/>
  </si>
  <si>
    <t>219-22</t>
    <phoneticPr fontId="19" type="noConversion"/>
  </si>
  <si>
    <t>219-14</t>
    <phoneticPr fontId="19" type="noConversion"/>
  </si>
  <si>
    <t>219-2</t>
    <phoneticPr fontId="19" type="noConversion"/>
  </si>
  <si>
    <t>민방위용</t>
    <phoneticPr fontId="19" type="noConversion"/>
  </si>
  <si>
    <t>219-18</t>
    <phoneticPr fontId="19" type="noConversion"/>
  </si>
  <si>
    <t>579-2</t>
    <phoneticPr fontId="19" type="noConversion"/>
  </si>
  <si>
    <t>547-1</t>
    <phoneticPr fontId="19" type="noConversion"/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</si>
  <si>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</si>
  <si>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</si>
  <si>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</si>
  <si>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</si>
  <si>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</si>
  <si>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</si>
  <si>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</si>
  <si>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</si>
  <si>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</si>
  <si>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</si>
  <si>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</si>
  <si>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</si>
  <si>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</si>
  <si>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</si>
  <si>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</si>
  <si>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</si>
  <si>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</si>
  <si>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</si>
  <si>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</si>
  <si>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</si>
  <si>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507</t>
    <phoneticPr fontId="19" type="noConversion"/>
  </si>
  <si>
    <t>학교용</t>
    <phoneticPr fontId="19" type="noConversion"/>
  </si>
  <si>
    <t>504-1</t>
    <phoneticPr fontId="19" type="noConversion"/>
  </si>
  <si>
    <t>495-10</t>
    <phoneticPr fontId="19" type="noConversion"/>
  </si>
  <si>
    <t>495-9</t>
    <phoneticPr fontId="19" type="noConversion"/>
  </si>
  <si>
    <t>조경용</t>
    <phoneticPr fontId="19" type="noConversion"/>
  </si>
  <si>
    <t>산22-5</t>
    <phoneticPr fontId="19" type="noConversion"/>
  </si>
  <si>
    <t>비래동</t>
    <phoneticPr fontId="19" type="noConversion"/>
  </si>
  <si>
    <t>345-1</t>
    <phoneticPr fontId="19" type="noConversion"/>
  </si>
  <si>
    <t>457</t>
    <phoneticPr fontId="19" type="noConversion"/>
  </si>
  <si>
    <t>407</t>
    <phoneticPr fontId="19" type="noConversion"/>
  </si>
  <si>
    <t>405</t>
    <phoneticPr fontId="19" type="noConversion"/>
  </si>
  <si>
    <t>432</t>
    <phoneticPr fontId="19" type="noConversion"/>
  </si>
  <si>
    <t>435</t>
    <phoneticPr fontId="19" type="noConversion"/>
  </si>
  <si>
    <t>400</t>
    <phoneticPr fontId="19" type="noConversion"/>
  </si>
  <si>
    <t>394</t>
    <phoneticPr fontId="19" type="noConversion"/>
  </si>
  <si>
    <t>448</t>
    <phoneticPr fontId="19" type="noConversion"/>
  </si>
  <si>
    <t>444</t>
    <phoneticPr fontId="19" type="noConversion"/>
  </si>
  <si>
    <t>441</t>
    <phoneticPr fontId="19" type="noConversion"/>
  </si>
  <si>
    <t>429</t>
    <phoneticPr fontId="19" type="noConversion"/>
  </si>
  <si>
    <t>418</t>
    <phoneticPr fontId="19" type="noConversion"/>
  </si>
  <si>
    <t>422</t>
    <phoneticPr fontId="19" type="noConversion"/>
  </si>
  <si>
    <t>423-1</t>
    <phoneticPr fontId="19" type="noConversion"/>
  </si>
  <si>
    <t>a7</t>
  </si>
  <si>
    <t>a8</t>
  </si>
  <si>
    <t>a9</t>
  </si>
  <si>
    <t>a10</t>
  </si>
  <si>
    <t>461-2</t>
    <phoneticPr fontId="19" type="noConversion"/>
  </si>
  <si>
    <t>4</t>
    <phoneticPr fontId="19" type="noConversion"/>
  </si>
  <si>
    <t>3</t>
    <phoneticPr fontId="19" type="noConversion"/>
  </si>
  <si>
    <t>463</t>
    <phoneticPr fontId="19" type="noConversion"/>
  </si>
  <si>
    <t>473-11</t>
    <phoneticPr fontId="19" type="noConversion"/>
  </si>
  <si>
    <t>459-5</t>
    <phoneticPr fontId="19" type="noConversion"/>
  </si>
  <si>
    <t>s44</t>
  </si>
  <si>
    <t>s45</t>
  </si>
  <si>
    <t>s46</t>
  </si>
  <si>
    <t>s47</t>
  </si>
  <si>
    <t>s48</t>
  </si>
  <si>
    <t>s49</t>
  </si>
  <si>
    <t>460-4</t>
    <phoneticPr fontId="19" type="noConversion"/>
  </si>
  <si>
    <t>460-2</t>
    <phoneticPr fontId="19" type="noConversion"/>
  </si>
  <si>
    <t>445-4</t>
    <phoneticPr fontId="19" type="noConversion"/>
  </si>
  <si>
    <t>447-2</t>
    <phoneticPr fontId="19" type="noConversion"/>
  </si>
  <si>
    <t>447-1</t>
    <phoneticPr fontId="19" type="noConversion"/>
  </si>
  <si>
    <t>법동</t>
    <phoneticPr fontId="19" type="noConversion"/>
  </si>
  <si>
    <t>138-3</t>
    <phoneticPr fontId="19" type="noConversion"/>
  </si>
  <si>
    <t>a11</t>
  </si>
  <si>
    <t>a12</t>
  </si>
  <si>
    <t>a13</t>
  </si>
  <si>
    <t>73-1</t>
    <phoneticPr fontId="19" type="noConversion"/>
  </si>
  <si>
    <t>71</t>
    <phoneticPr fontId="19" type="noConversion"/>
  </si>
  <si>
    <t>75</t>
    <phoneticPr fontId="19" type="noConversion"/>
  </si>
  <si>
    <t>70</t>
    <phoneticPr fontId="19" type="noConversion"/>
  </si>
  <si>
    <t>69</t>
    <phoneticPr fontId="19" type="noConversion"/>
  </si>
  <si>
    <t>468</t>
    <phoneticPr fontId="19" type="noConversion"/>
  </si>
  <si>
    <t>466</t>
    <phoneticPr fontId="19" type="noConversion"/>
  </si>
  <si>
    <t>X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</si>
</sst>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49" fontId="18" fillId="0" borderId="0" xfId="0" quotePrefix="1" applyNumberFormat="1" applyFont="1" applyFill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76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4" borderId="10" xfId="0" applyFont="1" applyFill="1" applyBorder="1" applyAlignment="1">
      <alignment horizontal="center" vertical="center"/>
    </xf>
    <xf numFmtId="0" fontId="22" fillId="34" borderId="11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22" fillId="34" borderId="13" xfId="0" applyFont="1" applyFill="1" applyBorder="1" applyAlignment="1">
      <alignment horizontal="center" vertical="center"/>
    </xf>
    <xf numFmtId="0" fontId="18" fillId="34" borderId="14" xfId="0" applyFont="1" applyFill="1" applyBorder="1" applyAlignment="1">
      <alignment horizontal="center" vertical="center"/>
    </xf>
    <xf numFmtId="0" fontId="26" fillId="34" borderId="10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18" fillId="34" borderId="18" xfId="0" applyFont="1" applyFill="1" applyBorder="1" applyAlignment="1">
      <alignment horizontal="center" vertical="center"/>
    </xf>
    <xf numFmtId="0" fontId="18" fillId="34" borderId="13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85725</xdr:colOff>
          <xdr:row>0</xdr:row>
          <xdr:rowOff>66675</xdr:rowOff>
        </xdr:from>
        <xdr:to>
          <xdr:col>19</xdr:col>
          <xdr:colOff>619125</xdr:colOff>
          <xdr:row>0</xdr:row>
          <xdr:rowOff>428625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0</xdr:row>
          <xdr:rowOff>476250</xdr:rowOff>
        </xdr:from>
        <xdr:to>
          <xdr:col>19</xdr:col>
          <xdr:colOff>628650</xdr:colOff>
          <xdr:row>1</xdr:row>
          <xdr:rowOff>238125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2</xdr:row>
          <xdr:rowOff>47625</xdr:rowOff>
        </xdr:from>
        <xdr:to>
          <xdr:col>19</xdr:col>
          <xdr:colOff>628650</xdr:colOff>
          <xdr:row>3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0</xdr:row>
          <xdr:rowOff>85725</xdr:rowOff>
        </xdr:from>
        <xdr:to>
          <xdr:col>19</xdr:col>
          <xdr:colOff>647700</xdr:colOff>
          <xdr:row>0</xdr:row>
          <xdr:rowOff>447675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123825</xdr:colOff>
          <xdr:row>0</xdr:row>
          <xdr:rowOff>523875</xdr:rowOff>
        </xdr:from>
        <xdr:to>
          <xdr:col>19</xdr:col>
          <xdr:colOff>657225</xdr:colOff>
          <xdr:row>2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2</xdr:row>
          <xdr:rowOff>133350</xdr:rowOff>
        </xdr:from>
        <xdr:to>
          <xdr:col>19</xdr:col>
          <xdr:colOff>666750</xdr:colOff>
          <xdr:row>3</xdr:row>
          <xdr:rowOff>219075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133350</xdr:rowOff>
        </xdr:from>
        <xdr:to>
          <xdr:col>19</xdr:col>
          <xdr:colOff>666750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523875</xdr:rowOff>
        </xdr:from>
        <xdr:to>
          <xdr:col>19</xdr:col>
          <xdr:colOff>666750</xdr:colOff>
          <xdr:row>2</xdr:row>
          <xdr:rowOff>9525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0</xdr:row>
          <xdr:rowOff>276225</xdr:rowOff>
        </xdr:from>
        <xdr:to>
          <xdr:col>21</xdr:col>
          <xdr:colOff>609600</xdr:colOff>
          <xdr:row>1</xdr:row>
          <xdr:rowOff>38100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73"/>
  <sheetViews>
    <sheetView tabSelected="1" topLeftCell="A43" zoomScaleNormal="100" workbookViewId="0">
      <selection activeCell="M2" sqref="M2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2.375" style="2" customWidth="1"/>
    <col min="11" max="11" width="11.5" style="2" customWidth="1"/>
    <col min="12" max="12" width="25.25" style="2" customWidth="1"/>
    <col min="13" max="16" width="9" style="2"/>
    <col min="17" max="17" width="11.375" style="2" bestFit="1" customWidth="1"/>
    <col min="18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9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/>
      <c r="M1" s="2" t="s">
        <v>14</v>
      </c>
      <c r="N1" s="2" t="s">
        <v>15</v>
      </c>
      <c r="O1" s="2" t="s">
        <v>16</v>
      </c>
      <c r="P1" s="2" t="s">
        <v>17</v>
      </c>
      <c r="Q1" s="2" t="s">
        <v>18</v>
      </c>
      <c r="R1" s="2" t="s">
        <v>12</v>
      </c>
    </row>
    <row r="2" spans="1:18" ht="21.75" customHeight="1" x14ac:dyDescent="0.3">
      <c r="A2" s="2" t="s">
        <v>27</v>
      </c>
      <c r="B2" s="1" t="s">
        <v>26</v>
      </c>
      <c r="C2" s="2" t="s">
        <v>68</v>
      </c>
      <c r="D2" s="2" t="s">
        <v>69</v>
      </c>
      <c r="E2" s="7" t="s">
        <v>70</v>
      </c>
      <c r="F2" s="2">
        <v>10</v>
      </c>
      <c r="G2" s="2">
        <v>20</v>
      </c>
      <c r="H2" s="2">
        <v>0.5</v>
      </c>
      <c r="I2" s="2">
        <v>19</v>
      </c>
      <c r="J2" s="2" t="s">
        <v>52</v>
      </c>
      <c r="K2" s="17">
        <f t="shared" ref="K2:K24" si="0">ss_water(I2,J2,100)</f>
        <v>2.52</v>
      </c>
      <c r="L2" s="2" t="str">
        <f>D2&amp;" "&amp;E2</f>
        <v>송촌동 566-3</v>
      </c>
      <c r="M2" s="2">
        <v>10</v>
      </c>
      <c r="N2" s="2">
        <v>20</v>
      </c>
      <c r="O2" s="2">
        <v>0.5</v>
      </c>
      <c r="P2" s="2">
        <v>2.52</v>
      </c>
      <c r="Q2" s="2" t="s">
        <v>52</v>
      </c>
      <c r="R2" s="2" t="s">
        <v>13</v>
      </c>
    </row>
    <row r="3" spans="1:18" ht="21.75" customHeight="1" x14ac:dyDescent="0.3">
      <c r="A3" s="2" t="s">
        <v>32</v>
      </c>
      <c r="B3" s="1" t="s">
        <v>26</v>
      </c>
      <c r="C3" s="2" t="s">
        <v>68</v>
      </c>
      <c r="D3" s="2" t="s">
        <v>69</v>
      </c>
      <c r="E3" s="7" t="s">
        <v>71</v>
      </c>
      <c r="F3" s="2">
        <v>30</v>
      </c>
      <c r="G3" s="2">
        <v>20</v>
      </c>
      <c r="H3" s="2">
        <v>1</v>
      </c>
      <c r="I3" s="2">
        <v>10</v>
      </c>
      <c r="J3" s="2" t="s">
        <v>57</v>
      </c>
      <c r="K3" s="17">
        <f t="shared" si="0"/>
        <v>0.68</v>
      </c>
      <c r="L3" s="2" t="str">
        <f t="shared" ref="L3:L24" si="1">D3&amp;" "&amp;E3</f>
        <v>송촌동 221-38</v>
      </c>
      <c r="M3" s="2">
        <v>30</v>
      </c>
      <c r="N3" s="2">
        <v>20</v>
      </c>
      <c r="O3" s="2">
        <v>1</v>
      </c>
      <c r="P3" s="2">
        <v>0.68</v>
      </c>
      <c r="Q3" s="2" t="s">
        <v>57</v>
      </c>
      <c r="R3" s="2" t="s">
        <v>13</v>
      </c>
    </row>
    <row r="4" spans="1:18" ht="21.75" customHeight="1" x14ac:dyDescent="0.3">
      <c r="A4" s="2" t="s">
        <v>33</v>
      </c>
      <c r="B4" s="1" t="s">
        <v>26</v>
      </c>
      <c r="C4" s="2" t="s">
        <v>68</v>
      </c>
      <c r="D4" s="2" t="s">
        <v>69</v>
      </c>
      <c r="E4" s="7" t="s">
        <v>72</v>
      </c>
      <c r="F4" s="2">
        <v>50</v>
      </c>
      <c r="G4" s="2">
        <v>30</v>
      </c>
      <c r="H4" s="2">
        <v>0.5</v>
      </c>
      <c r="I4" s="2">
        <v>10</v>
      </c>
      <c r="J4" s="2" t="s">
        <v>57</v>
      </c>
      <c r="K4" s="17">
        <f t="shared" si="0"/>
        <v>0.68</v>
      </c>
      <c r="L4" s="2" t="str">
        <f t="shared" si="1"/>
        <v>송촌동 221-17</v>
      </c>
      <c r="M4" s="2">
        <v>50</v>
      </c>
      <c r="N4" s="2">
        <v>30</v>
      </c>
      <c r="O4" s="2">
        <v>0.5</v>
      </c>
      <c r="P4" s="2">
        <v>0.68</v>
      </c>
      <c r="Q4" s="2" t="s">
        <v>57</v>
      </c>
      <c r="R4" s="2" t="s">
        <v>13</v>
      </c>
    </row>
    <row r="5" spans="1:18" ht="21.75" customHeight="1" x14ac:dyDescent="0.3">
      <c r="A5" s="2" t="s">
        <v>34</v>
      </c>
      <c r="B5" s="1" t="s">
        <v>26</v>
      </c>
      <c r="C5" s="2" t="s">
        <v>68</v>
      </c>
      <c r="D5" s="2" t="s">
        <v>69</v>
      </c>
      <c r="E5" s="7" t="s">
        <v>73</v>
      </c>
      <c r="F5" s="2">
        <v>30</v>
      </c>
      <c r="G5" s="2">
        <v>10</v>
      </c>
      <c r="H5" s="2">
        <v>0.5</v>
      </c>
      <c r="I5" s="2">
        <v>10</v>
      </c>
      <c r="J5" s="2" t="s">
        <v>57</v>
      </c>
      <c r="K5" s="17">
        <f t="shared" si="0"/>
        <v>0.68</v>
      </c>
      <c r="L5" s="2" t="str">
        <f t="shared" si="1"/>
        <v>송촌동 221-20</v>
      </c>
      <c r="M5" s="2">
        <v>30</v>
      </c>
      <c r="N5" s="2">
        <v>10</v>
      </c>
      <c r="O5" s="2">
        <v>0.5</v>
      </c>
      <c r="P5" s="2">
        <v>0.68</v>
      </c>
      <c r="Q5" s="2" t="s">
        <v>57</v>
      </c>
      <c r="R5" s="2" t="s">
        <v>13</v>
      </c>
    </row>
    <row r="6" spans="1:18" ht="21.75" customHeight="1" x14ac:dyDescent="0.3">
      <c r="A6" s="2" t="s">
        <v>35</v>
      </c>
      <c r="B6" s="1" t="s">
        <v>26</v>
      </c>
      <c r="C6" s="2" t="s">
        <v>68</v>
      </c>
      <c r="D6" s="2" t="s">
        <v>69</v>
      </c>
      <c r="E6" s="7" t="s">
        <v>74</v>
      </c>
      <c r="F6" s="2">
        <v>20</v>
      </c>
      <c r="G6" s="2">
        <v>30</v>
      </c>
      <c r="H6" s="2">
        <v>0.5</v>
      </c>
      <c r="I6" s="2">
        <v>10</v>
      </c>
      <c r="J6" s="2" t="s">
        <v>57</v>
      </c>
      <c r="K6" s="17">
        <f t="shared" si="0"/>
        <v>0.68</v>
      </c>
      <c r="L6" s="2" t="str">
        <f t="shared" si="1"/>
        <v>송촌동 220-32</v>
      </c>
      <c r="M6" s="2">
        <v>20</v>
      </c>
      <c r="N6" s="2">
        <v>30</v>
      </c>
      <c r="O6" s="2">
        <v>0.5</v>
      </c>
      <c r="P6" s="2">
        <v>0.68</v>
      </c>
      <c r="Q6" s="2" t="s">
        <v>57</v>
      </c>
      <c r="R6" s="2" t="s">
        <v>13</v>
      </c>
    </row>
    <row r="7" spans="1:18" ht="21.75" customHeight="1" x14ac:dyDescent="0.3">
      <c r="A7" s="2" t="s">
        <v>36</v>
      </c>
      <c r="B7" s="1" t="s">
        <v>26</v>
      </c>
      <c r="C7" s="2" t="s">
        <v>68</v>
      </c>
      <c r="D7" s="2" t="s">
        <v>69</v>
      </c>
      <c r="E7" s="7" t="s">
        <v>75</v>
      </c>
      <c r="F7" s="2">
        <v>25</v>
      </c>
      <c r="G7" s="2">
        <v>30</v>
      </c>
      <c r="H7" s="2">
        <v>0.2</v>
      </c>
      <c r="I7" s="2">
        <v>20</v>
      </c>
      <c r="J7" s="2" t="s">
        <v>57</v>
      </c>
      <c r="K7" s="17">
        <f t="shared" si="0"/>
        <v>0.68</v>
      </c>
      <c r="L7" s="2" t="str">
        <f t="shared" si="1"/>
        <v>송촌동 220-31</v>
      </c>
      <c r="M7" s="2">
        <v>25</v>
      </c>
      <c r="N7" s="2">
        <v>30</v>
      </c>
      <c r="O7" s="2">
        <v>0.2</v>
      </c>
      <c r="P7" s="2">
        <v>0.68</v>
      </c>
      <c r="Q7" s="2" t="s">
        <v>57</v>
      </c>
      <c r="R7" s="2" t="s">
        <v>13</v>
      </c>
    </row>
    <row r="8" spans="1:18" ht="21.75" customHeight="1" x14ac:dyDescent="0.3">
      <c r="A8" s="2" t="s">
        <v>37</v>
      </c>
      <c r="B8" s="1" t="s">
        <v>26</v>
      </c>
      <c r="C8" s="2" t="s">
        <v>68</v>
      </c>
      <c r="D8" s="2" t="s">
        <v>69</v>
      </c>
      <c r="E8" s="7" t="s">
        <v>76</v>
      </c>
      <c r="F8" s="2">
        <v>40</v>
      </c>
      <c r="G8" s="2">
        <v>30</v>
      </c>
      <c r="H8" s="2">
        <v>1</v>
      </c>
      <c r="I8" s="2">
        <v>10</v>
      </c>
      <c r="J8" s="2" t="s">
        <v>57</v>
      </c>
      <c r="K8" s="17">
        <f t="shared" si="0"/>
        <v>0.68</v>
      </c>
      <c r="L8" s="2" t="str">
        <f t="shared" si="1"/>
        <v>송촌동 220-41</v>
      </c>
      <c r="M8" s="2">
        <v>40</v>
      </c>
      <c r="N8" s="2">
        <v>30</v>
      </c>
      <c r="O8" s="2">
        <v>1</v>
      </c>
      <c r="P8" s="2">
        <v>0.68</v>
      </c>
      <c r="Q8" s="2" t="s">
        <v>57</v>
      </c>
      <c r="R8" s="2" t="s">
        <v>13</v>
      </c>
    </row>
    <row r="9" spans="1:18" ht="21.75" customHeight="1" x14ac:dyDescent="0.3">
      <c r="A9" s="2" t="s">
        <v>38</v>
      </c>
      <c r="B9" s="1" t="s">
        <v>26</v>
      </c>
      <c r="C9" s="2" t="s">
        <v>68</v>
      </c>
      <c r="D9" s="2" t="s">
        <v>69</v>
      </c>
      <c r="E9" s="7" t="s">
        <v>77</v>
      </c>
      <c r="F9" s="2">
        <v>45</v>
      </c>
      <c r="G9" s="2">
        <v>30</v>
      </c>
      <c r="H9" s="2">
        <v>1</v>
      </c>
      <c r="I9" s="2">
        <v>10</v>
      </c>
      <c r="J9" s="2" t="s">
        <v>57</v>
      </c>
      <c r="K9" s="17">
        <f t="shared" si="0"/>
        <v>0.68</v>
      </c>
      <c r="L9" s="2" t="str">
        <f t="shared" si="1"/>
        <v>송촌동 220-6</v>
      </c>
      <c r="M9" s="2">
        <v>45</v>
      </c>
      <c r="N9" s="2">
        <v>30</v>
      </c>
      <c r="O9" s="2">
        <v>1</v>
      </c>
      <c r="P9" s="2">
        <v>0.68</v>
      </c>
      <c r="Q9" s="2" t="s">
        <v>57</v>
      </c>
      <c r="R9" s="2" t="s">
        <v>13</v>
      </c>
    </row>
    <row r="10" spans="1:18" ht="21.75" customHeight="1" x14ac:dyDescent="0.3">
      <c r="A10" s="2" t="s">
        <v>39</v>
      </c>
      <c r="B10" s="1" t="s">
        <v>26</v>
      </c>
      <c r="C10" s="2" t="s">
        <v>68</v>
      </c>
      <c r="D10" s="2" t="s">
        <v>69</v>
      </c>
      <c r="E10" s="7" t="s">
        <v>78</v>
      </c>
      <c r="F10" s="2">
        <v>40</v>
      </c>
      <c r="G10" s="2">
        <v>30</v>
      </c>
      <c r="H10" s="2">
        <v>2</v>
      </c>
      <c r="I10" s="2">
        <v>10</v>
      </c>
      <c r="J10" s="2" t="s">
        <v>57</v>
      </c>
      <c r="K10" s="17">
        <f t="shared" si="0"/>
        <v>0.68</v>
      </c>
      <c r="L10" s="2" t="str">
        <f t="shared" si="1"/>
        <v>송촌동 220-12</v>
      </c>
      <c r="M10" s="2">
        <v>40</v>
      </c>
      <c r="N10" s="2">
        <v>30</v>
      </c>
      <c r="O10" s="2">
        <v>2</v>
      </c>
      <c r="P10" s="2">
        <v>0.68</v>
      </c>
      <c r="Q10" s="2" t="s">
        <v>57</v>
      </c>
      <c r="R10" s="2" t="s">
        <v>13</v>
      </c>
    </row>
    <row r="11" spans="1:18" ht="21.75" customHeight="1" x14ac:dyDescent="0.3">
      <c r="A11" s="2" t="s">
        <v>40</v>
      </c>
      <c r="B11" s="1" t="s">
        <v>26</v>
      </c>
      <c r="C11" s="2" t="s">
        <v>68</v>
      </c>
      <c r="D11" s="2" t="s">
        <v>69</v>
      </c>
      <c r="E11" s="7" t="s">
        <v>79</v>
      </c>
      <c r="F11" s="2">
        <v>30</v>
      </c>
      <c r="G11" s="2">
        <v>10</v>
      </c>
      <c r="H11" s="2">
        <v>1</v>
      </c>
      <c r="I11" s="2">
        <v>10</v>
      </c>
      <c r="J11" s="2" t="s">
        <v>57</v>
      </c>
      <c r="K11" s="17">
        <f t="shared" si="0"/>
        <v>0.68</v>
      </c>
      <c r="L11" s="2" t="str">
        <f t="shared" si="1"/>
        <v>송촌동 220-63</v>
      </c>
      <c r="M11" s="2">
        <v>30</v>
      </c>
      <c r="N11" s="2">
        <v>10</v>
      </c>
      <c r="O11" s="2">
        <v>1</v>
      </c>
      <c r="P11" s="2">
        <v>0.68</v>
      </c>
      <c r="Q11" s="2" t="s">
        <v>57</v>
      </c>
      <c r="R11" s="2" t="s">
        <v>13</v>
      </c>
    </row>
    <row r="12" spans="1:18" ht="21.75" customHeight="1" x14ac:dyDescent="0.3">
      <c r="A12" s="2" t="s">
        <v>41</v>
      </c>
      <c r="B12" s="1" t="s">
        <v>26</v>
      </c>
      <c r="C12" s="2" t="s">
        <v>68</v>
      </c>
      <c r="D12" s="2" t="s">
        <v>69</v>
      </c>
      <c r="E12" s="7" t="s">
        <v>80</v>
      </c>
      <c r="F12" s="2">
        <v>40</v>
      </c>
      <c r="G12" s="2">
        <v>30</v>
      </c>
      <c r="H12" s="2">
        <v>1</v>
      </c>
      <c r="I12" s="2">
        <v>10</v>
      </c>
      <c r="J12" s="2" t="s">
        <v>57</v>
      </c>
      <c r="K12" s="17">
        <f t="shared" si="0"/>
        <v>0.68</v>
      </c>
      <c r="L12" s="2" t="str">
        <f t="shared" si="1"/>
        <v>송촌동 221-5</v>
      </c>
      <c r="M12" s="2">
        <v>40</v>
      </c>
      <c r="N12" s="2">
        <v>30</v>
      </c>
      <c r="O12" s="2">
        <v>1</v>
      </c>
      <c r="P12" s="2">
        <v>0.68</v>
      </c>
      <c r="Q12" s="2" t="s">
        <v>57</v>
      </c>
      <c r="R12" s="2" t="s">
        <v>13</v>
      </c>
    </row>
    <row r="13" spans="1:18" ht="21.75" customHeight="1" x14ac:dyDescent="0.3">
      <c r="A13" s="2" t="s">
        <v>42</v>
      </c>
      <c r="B13" s="1" t="s">
        <v>26</v>
      </c>
      <c r="C13" s="2" t="s">
        <v>68</v>
      </c>
      <c r="D13" s="2" t="s">
        <v>69</v>
      </c>
      <c r="E13" s="7" t="s">
        <v>81</v>
      </c>
      <c r="F13" s="2">
        <v>20</v>
      </c>
      <c r="G13" s="2">
        <v>50</v>
      </c>
      <c r="H13" s="2">
        <v>0.5</v>
      </c>
      <c r="I13" s="2">
        <v>15</v>
      </c>
      <c r="J13" s="2" t="s">
        <v>57</v>
      </c>
      <c r="K13" s="17">
        <f t="shared" si="0"/>
        <v>0.68</v>
      </c>
      <c r="L13" s="2" t="str">
        <f t="shared" si="1"/>
        <v>송촌동 220-44</v>
      </c>
      <c r="M13" s="2">
        <v>20</v>
      </c>
      <c r="N13" s="2">
        <v>50</v>
      </c>
      <c r="O13" s="2">
        <v>0.5</v>
      </c>
      <c r="P13" s="2">
        <v>0.68</v>
      </c>
      <c r="Q13" s="2" t="s">
        <v>57</v>
      </c>
      <c r="R13" s="2" t="s">
        <v>13</v>
      </c>
    </row>
    <row r="14" spans="1:18" ht="21.75" customHeight="1" x14ac:dyDescent="0.3">
      <c r="A14" s="2" t="s">
        <v>43</v>
      </c>
      <c r="B14" s="1" t="s">
        <v>26</v>
      </c>
      <c r="C14" s="2" t="s">
        <v>68</v>
      </c>
      <c r="D14" s="2" t="s">
        <v>69</v>
      </c>
      <c r="E14" s="7" t="s">
        <v>82</v>
      </c>
      <c r="F14" s="2">
        <v>20</v>
      </c>
      <c r="G14" s="2">
        <v>10</v>
      </c>
      <c r="H14" s="2">
        <v>1</v>
      </c>
      <c r="I14" s="2">
        <v>10</v>
      </c>
      <c r="J14" s="2" t="s">
        <v>57</v>
      </c>
      <c r="K14" s="17">
        <f t="shared" si="0"/>
        <v>0.68</v>
      </c>
      <c r="L14" s="2" t="str">
        <f t="shared" si="1"/>
        <v>송촌동 220-51</v>
      </c>
      <c r="M14" s="2">
        <v>20</v>
      </c>
      <c r="N14" s="2">
        <v>10</v>
      </c>
      <c r="O14" s="2">
        <v>1</v>
      </c>
      <c r="P14" s="2">
        <v>0.68</v>
      </c>
      <c r="Q14" s="2" t="s">
        <v>57</v>
      </c>
      <c r="R14" s="2" t="s">
        <v>13</v>
      </c>
    </row>
    <row r="15" spans="1:18" ht="21.75" customHeight="1" x14ac:dyDescent="0.3">
      <c r="A15" s="2" t="s">
        <v>45</v>
      </c>
      <c r="B15" s="1" t="s">
        <v>26</v>
      </c>
      <c r="C15" s="2" t="s">
        <v>68</v>
      </c>
      <c r="D15" s="2" t="s">
        <v>69</v>
      </c>
      <c r="E15" s="33" t="s">
        <v>83</v>
      </c>
      <c r="F15" s="2">
        <v>100</v>
      </c>
      <c r="G15" s="2">
        <v>200</v>
      </c>
      <c r="H15" s="2">
        <v>2</v>
      </c>
      <c r="I15" s="2">
        <v>85</v>
      </c>
      <c r="J15" s="2" t="s">
        <v>84</v>
      </c>
      <c r="K15" s="17">
        <f t="shared" si="0"/>
        <v>2.17</v>
      </c>
      <c r="L15" s="2" t="str">
        <f t="shared" si="1"/>
        <v>송촌동 559-6</v>
      </c>
      <c r="M15" s="2">
        <v>100</v>
      </c>
      <c r="N15" s="2">
        <v>200</v>
      </c>
      <c r="O15" s="2">
        <v>2</v>
      </c>
      <c r="P15" s="2">
        <v>2.17</v>
      </c>
      <c r="Q15" s="2" t="s">
        <v>84</v>
      </c>
      <c r="R15" s="2" t="s">
        <v>13</v>
      </c>
    </row>
    <row r="16" spans="1:18" ht="23.25" customHeight="1" x14ac:dyDescent="0.3">
      <c r="A16" s="2" t="s">
        <v>51</v>
      </c>
      <c r="B16" s="1" t="s">
        <v>26</v>
      </c>
      <c r="C16" s="2" t="s">
        <v>68</v>
      </c>
      <c r="D16" s="2" t="s">
        <v>69</v>
      </c>
      <c r="E16" s="7" t="s">
        <v>85</v>
      </c>
      <c r="F16" s="2">
        <v>40</v>
      </c>
      <c r="G16" s="2">
        <v>20</v>
      </c>
      <c r="H16" s="2">
        <v>2</v>
      </c>
      <c r="I16" s="2">
        <v>10</v>
      </c>
      <c r="J16" s="2" t="s">
        <v>57</v>
      </c>
      <c r="K16" s="17">
        <f t="shared" si="0"/>
        <v>0.68</v>
      </c>
      <c r="L16" s="2" t="str">
        <f t="shared" si="1"/>
        <v>송촌동 219-24</v>
      </c>
      <c r="M16" s="2">
        <v>40</v>
      </c>
      <c r="N16" s="2">
        <v>20</v>
      </c>
      <c r="O16" s="2">
        <v>2</v>
      </c>
      <c r="P16" s="2">
        <v>0.68</v>
      </c>
      <c r="Q16" s="2" t="s">
        <v>57</v>
      </c>
      <c r="R16" s="2" t="s">
        <v>13</v>
      </c>
    </row>
    <row r="17" spans="1:18" ht="23.25" customHeight="1" x14ac:dyDescent="0.3">
      <c r="A17" s="2" t="s">
        <v>53</v>
      </c>
      <c r="B17" s="1" t="s">
        <v>26</v>
      </c>
      <c r="C17" s="2" t="s">
        <v>68</v>
      </c>
      <c r="D17" s="2" t="s">
        <v>69</v>
      </c>
      <c r="E17" s="7" t="s">
        <v>86</v>
      </c>
      <c r="F17" s="2">
        <v>40</v>
      </c>
      <c r="G17" s="2">
        <v>20</v>
      </c>
      <c r="H17" s="2">
        <v>2</v>
      </c>
      <c r="I17" s="2">
        <v>10</v>
      </c>
      <c r="J17" s="2" t="s">
        <v>57</v>
      </c>
      <c r="K17" s="17">
        <f t="shared" si="0"/>
        <v>0.68</v>
      </c>
      <c r="L17" s="2" t="str">
        <f t="shared" si="1"/>
        <v>송촌동 219-22</v>
      </c>
      <c r="M17" s="2">
        <v>40</v>
      </c>
      <c r="N17" s="2">
        <v>20</v>
      </c>
      <c r="O17" s="2">
        <v>2</v>
      </c>
      <c r="P17" s="2">
        <v>0.68</v>
      </c>
      <c r="Q17" s="2" t="s">
        <v>57</v>
      </c>
      <c r="R17" s="2" t="s">
        <v>13</v>
      </c>
    </row>
    <row r="18" spans="1:18" ht="23.25" customHeight="1" x14ac:dyDescent="0.3">
      <c r="A18" s="2" t="s">
        <v>59</v>
      </c>
      <c r="B18" s="1" t="s">
        <v>26</v>
      </c>
      <c r="C18" s="2" t="s">
        <v>68</v>
      </c>
      <c r="D18" s="2" t="s">
        <v>69</v>
      </c>
      <c r="E18" s="7" t="s">
        <v>87</v>
      </c>
      <c r="F18" s="2">
        <v>20</v>
      </c>
      <c r="G18" s="2">
        <v>10</v>
      </c>
      <c r="H18" s="2">
        <v>1</v>
      </c>
      <c r="I18" s="2">
        <v>10</v>
      </c>
      <c r="J18" s="2" t="s">
        <v>57</v>
      </c>
      <c r="K18" s="17">
        <f t="shared" si="0"/>
        <v>0.68</v>
      </c>
      <c r="L18" s="2" t="str">
        <f t="shared" si="1"/>
        <v>송촌동 219-14</v>
      </c>
      <c r="M18" s="2">
        <v>20</v>
      </c>
      <c r="N18" s="2">
        <v>10</v>
      </c>
      <c r="O18" s="2">
        <v>1</v>
      </c>
      <c r="P18" s="2">
        <v>0.68</v>
      </c>
      <c r="Q18" s="2" t="s">
        <v>57</v>
      </c>
      <c r="R18" s="2" t="s">
        <v>13</v>
      </c>
    </row>
    <row r="19" spans="1:18" ht="23.25" customHeight="1" x14ac:dyDescent="0.3">
      <c r="A19" s="2" t="s">
        <v>60</v>
      </c>
      <c r="B19" s="1" t="s">
        <v>26</v>
      </c>
      <c r="C19" s="2" t="s">
        <v>68</v>
      </c>
      <c r="D19" s="2" t="s">
        <v>69</v>
      </c>
      <c r="E19" s="7" t="s">
        <v>88</v>
      </c>
      <c r="F19" s="2">
        <v>150</v>
      </c>
      <c r="G19" s="2">
        <v>200</v>
      </c>
      <c r="H19" s="2">
        <v>2</v>
      </c>
      <c r="I19" s="2">
        <v>170</v>
      </c>
      <c r="J19" s="2" t="s">
        <v>89</v>
      </c>
      <c r="K19" s="17">
        <f t="shared" si="0"/>
        <v>5.69</v>
      </c>
      <c r="L19" s="2" t="str">
        <f t="shared" si="1"/>
        <v>송촌동 219-2</v>
      </c>
      <c r="M19" s="2">
        <v>150</v>
      </c>
      <c r="N19" s="2">
        <v>200</v>
      </c>
      <c r="O19" s="2">
        <v>2</v>
      </c>
      <c r="P19" s="2">
        <v>5.69</v>
      </c>
      <c r="Q19" s="2" t="s">
        <v>89</v>
      </c>
      <c r="R19" s="2" t="s">
        <v>13</v>
      </c>
    </row>
    <row r="20" spans="1:18" ht="23.25" customHeight="1" x14ac:dyDescent="0.3">
      <c r="A20" s="2" t="s">
        <v>61</v>
      </c>
      <c r="B20" s="1" t="s">
        <v>26</v>
      </c>
      <c r="C20" s="2" t="s">
        <v>68</v>
      </c>
      <c r="D20" s="2" t="s">
        <v>69</v>
      </c>
      <c r="E20" s="7" t="s">
        <v>90</v>
      </c>
      <c r="F20" s="2">
        <v>15</v>
      </c>
      <c r="G20" s="2">
        <v>30</v>
      </c>
      <c r="H20" s="2">
        <v>1</v>
      </c>
      <c r="I20" s="2">
        <v>10</v>
      </c>
      <c r="J20" s="2" t="s">
        <v>57</v>
      </c>
      <c r="K20" s="17">
        <f t="shared" si="0"/>
        <v>0.68</v>
      </c>
      <c r="L20" s="2" t="str">
        <f t="shared" si="1"/>
        <v>송촌동 219-18</v>
      </c>
      <c r="M20" s="2">
        <v>15</v>
      </c>
      <c r="N20" s="2">
        <v>30</v>
      </c>
      <c r="O20" s="2">
        <v>1</v>
      </c>
      <c r="P20" s="2">
        <v>0.68</v>
      </c>
      <c r="Q20" s="2" t="s">
        <v>57</v>
      </c>
      <c r="R20" s="2" t="s">
        <v>13</v>
      </c>
    </row>
    <row r="21" spans="1:18" ht="23.25" customHeight="1" x14ac:dyDescent="0.3">
      <c r="A21" s="2" t="s">
        <v>62</v>
      </c>
      <c r="B21" s="1" t="s">
        <v>26</v>
      </c>
      <c r="C21" s="2" t="s">
        <v>68</v>
      </c>
      <c r="D21" s="2" t="s">
        <v>69</v>
      </c>
      <c r="E21" s="7" t="s">
        <v>91</v>
      </c>
      <c r="F21" s="2">
        <v>100</v>
      </c>
      <c r="G21" s="2">
        <v>250</v>
      </c>
      <c r="H21" s="2">
        <v>2</v>
      </c>
      <c r="I21" s="2">
        <v>90</v>
      </c>
      <c r="J21" s="2" t="s">
        <v>52</v>
      </c>
      <c r="K21" s="17">
        <f t="shared" si="0"/>
        <v>4.01</v>
      </c>
      <c r="L21" s="2" t="str">
        <f t="shared" si="1"/>
        <v>송촌동 579-2</v>
      </c>
      <c r="M21" s="2">
        <v>100</v>
      </c>
      <c r="N21" s="2">
        <v>250</v>
      </c>
      <c r="O21" s="2">
        <v>2</v>
      </c>
      <c r="P21" s="2">
        <v>4.01</v>
      </c>
      <c r="Q21" s="2" t="s">
        <v>52</v>
      </c>
      <c r="R21" s="2" t="s">
        <v>13</v>
      </c>
    </row>
    <row r="22" spans="1:18" ht="23.25" customHeight="1" x14ac:dyDescent="0.3">
      <c r="A22" s="2" t="s">
        <v>63</v>
      </c>
      <c r="B22" s="1" t="s">
        <v>26</v>
      </c>
      <c r="C22" s="2" t="s">
        <v>68</v>
      </c>
      <c r="D22" s="2" t="s">
        <v>69</v>
      </c>
      <c r="E22" s="7" t="s">
        <v>92</v>
      </c>
      <c r="F22" s="2">
        <v>100</v>
      </c>
      <c r="G22" s="2">
        <v>150</v>
      </c>
      <c r="H22" s="2">
        <v>1</v>
      </c>
      <c r="I22" s="2">
        <v>65</v>
      </c>
      <c r="J22" s="2" t="s">
        <v>52</v>
      </c>
      <c r="K22" s="17">
        <f t="shared" si="0"/>
        <v>3.48</v>
      </c>
      <c r="L22" s="2" t="str">
        <f t="shared" si="1"/>
        <v>송촌동 547-1</v>
      </c>
      <c r="M22" s="2">
        <v>100</v>
      </c>
      <c r="N22" s="2">
        <v>150</v>
      </c>
      <c r="O22" s="2">
        <v>1</v>
      </c>
      <c r="P22" s="2">
        <v>3.48</v>
      </c>
      <c r="Q22" s="2" t="s">
        <v>52</v>
      </c>
      <c r="R22" s="2" t="s">
        <v>13</v>
      </c>
    </row>
    <row r="23" spans="1:18" ht="23.25" customHeight="1" x14ac:dyDescent="0.3">
      <c r="A23" s="2" t="s">
        <v>64</v>
      </c>
      <c r="B23" s="1" t="s">
        <v>26</v>
      </c>
      <c r="C23" s="2" t="s">
        <v>68</v>
      </c>
      <c r="D23" s="2" t="s">
        <v>69</v>
      </c>
      <c r="E23" s="7" t="s">
        <v>113</v>
      </c>
      <c r="F23" s="2">
        <v>175</v>
      </c>
      <c r="G23" s="2">
        <v>200</v>
      </c>
      <c r="H23" s="2">
        <v>2</v>
      </c>
      <c r="I23" s="2">
        <v>90</v>
      </c>
      <c r="J23" s="2" t="s">
        <v>114</v>
      </c>
      <c r="K23" s="17">
        <f t="shared" si="0"/>
        <v>8.49</v>
      </c>
      <c r="L23" s="2" t="str">
        <f t="shared" si="1"/>
        <v>송촌동 507</v>
      </c>
      <c r="M23" s="2">
        <v>175</v>
      </c>
      <c r="N23" s="2">
        <v>200</v>
      </c>
      <c r="O23" s="2">
        <v>2</v>
      </c>
      <c r="P23" s="2">
        <v>8.49</v>
      </c>
      <c r="Q23" s="2" t="s">
        <v>114</v>
      </c>
      <c r="R23" s="2" t="s">
        <v>13</v>
      </c>
    </row>
    <row r="24" spans="1:18" ht="23.25" customHeight="1" x14ac:dyDescent="0.3">
      <c r="A24" s="2" t="s">
        <v>65</v>
      </c>
      <c r="B24" s="1" t="s">
        <v>26</v>
      </c>
      <c r="C24" s="2" t="s">
        <v>68</v>
      </c>
      <c r="D24" s="2" t="s">
        <v>69</v>
      </c>
      <c r="E24" s="7" t="s">
        <v>115</v>
      </c>
      <c r="F24" s="2">
        <v>200</v>
      </c>
      <c r="G24" s="2">
        <v>150</v>
      </c>
      <c r="H24" s="2">
        <v>7.5</v>
      </c>
      <c r="I24" s="2">
        <v>200</v>
      </c>
      <c r="J24" s="2" t="s">
        <v>52</v>
      </c>
      <c r="K24" s="17">
        <f t="shared" si="0"/>
        <v>6.32</v>
      </c>
      <c r="L24" s="2" t="str">
        <f t="shared" si="1"/>
        <v>송촌동 504-1</v>
      </c>
      <c r="M24" s="2">
        <v>200</v>
      </c>
      <c r="N24" s="2">
        <v>150</v>
      </c>
      <c r="O24" s="2">
        <v>7.5</v>
      </c>
      <c r="P24" s="2">
        <v>6.32</v>
      </c>
      <c r="Q24" s="2" t="s">
        <v>52</v>
      </c>
      <c r="R24" s="2" t="s">
        <v>13</v>
      </c>
    </row>
    <row r="25" spans="1:18" ht="23.25" customHeight="1" x14ac:dyDescent="0.3">
      <c r="A25" s="2" t="s">
        <v>93</v>
      </c>
      <c r="B25" s="1" t="s">
        <v>26</v>
      </c>
      <c r="C25" s="2" t="s">
        <v>68</v>
      </c>
      <c r="D25" s="2" t="s">
        <v>69</v>
      </c>
      <c r="E25" s="7" t="s">
        <v>116</v>
      </c>
      <c r="F25" s="2">
        <v>100</v>
      </c>
      <c r="G25" s="2">
        <v>200</v>
      </c>
      <c r="H25" s="2">
        <v>1</v>
      </c>
      <c r="I25" s="2">
        <v>92</v>
      </c>
      <c r="J25" s="2" t="s">
        <v>114</v>
      </c>
      <c r="K25" s="17">
        <f t="shared" ref="K25:K26" si="2">ss_water(I25,J25,100)</f>
        <v>8.49</v>
      </c>
      <c r="L25" s="2" t="str">
        <f t="shared" ref="L25:L26" si="3">D25&amp;" "&amp;E25</f>
        <v>송촌동 495-10</v>
      </c>
      <c r="M25" s="2">
        <v>100</v>
      </c>
      <c r="N25" s="2">
        <v>200</v>
      </c>
      <c r="O25" s="2">
        <v>1</v>
      </c>
      <c r="P25" s="2">
        <v>8.49</v>
      </c>
      <c r="Q25" s="2" t="s">
        <v>114</v>
      </c>
      <c r="R25" s="2" t="s">
        <v>13</v>
      </c>
    </row>
    <row r="26" spans="1:18" ht="23.25" customHeight="1" x14ac:dyDescent="0.3">
      <c r="A26" s="2" t="s">
        <v>94</v>
      </c>
      <c r="B26" s="1" t="s">
        <v>26</v>
      </c>
      <c r="C26" s="2" t="s">
        <v>68</v>
      </c>
      <c r="D26" s="2" t="s">
        <v>69</v>
      </c>
      <c r="E26" s="7" t="s">
        <v>117</v>
      </c>
      <c r="F26" s="2">
        <v>90</v>
      </c>
      <c r="G26" s="2">
        <v>200</v>
      </c>
      <c r="H26" s="2">
        <v>2</v>
      </c>
      <c r="I26" s="2">
        <v>94</v>
      </c>
      <c r="J26" s="2" t="s">
        <v>118</v>
      </c>
      <c r="K26" s="17">
        <f t="shared" si="2"/>
        <v>2.17</v>
      </c>
      <c r="L26" s="2" t="str">
        <f t="shared" si="3"/>
        <v>송촌동 495-9</v>
      </c>
      <c r="M26" s="2">
        <v>90</v>
      </c>
      <c r="N26" s="2">
        <v>200</v>
      </c>
      <c r="O26" s="2">
        <v>2</v>
      </c>
      <c r="P26" s="2">
        <v>2.17</v>
      </c>
      <c r="Q26" s="2" t="s">
        <v>118</v>
      </c>
      <c r="R26" s="2" t="s">
        <v>13</v>
      </c>
    </row>
    <row r="27" spans="1:18" ht="23.25" customHeight="1" x14ac:dyDescent="0.3">
      <c r="A27" s="2" t="s">
        <v>95</v>
      </c>
      <c r="B27" s="1" t="s">
        <v>26</v>
      </c>
      <c r="C27" s="2" t="s">
        <v>68</v>
      </c>
      <c r="D27" s="2" t="s">
        <v>120</v>
      </c>
      <c r="E27" s="7" t="s">
        <v>123</v>
      </c>
      <c r="F27" s="2">
        <v>25</v>
      </c>
      <c r="G27" s="2">
        <v>50</v>
      </c>
      <c r="H27" s="2">
        <v>0.5</v>
      </c>
      <c r="I27" s="2">
        <v>30</v>
      </c>
      <c r="J27" s="2" t="s">
        <v>52</v>
      </c>
      <c r="K27" s="17">
        <f t="shared" ref="K27:K28" si="4">ss_water(I27,J27,100)</f>
        <v>2.75</v>
      </c>
      <c r="L27" s="2" t="str">
        <f t="shared" ref="L27:L28" si="5">D27&amp;" "&amp;E27</f>
        <v>비래동 407</v>
      </c>
      <c r="M27" s="2">
        <v>25</v>
      </c>
      <c r="N27" s="2">
        <v>50</v>
      </c>
      <c r="O27" s="2">
        <v>0.5</v>
      </c>
      <c r="P27" s="2">
        <v>2.75</v>
      </c>
      <c r="Q27" s="2" t="s">
        <v>52</v>
      </c>
      <c r="R27" s="2" t="s">
        <v>13</v>
      </c>
    </row>
    <row r="28" spans="1:18" ht="23.25" customHeight="1" x14ac:dyDescent="0.3">
      <c r="A28" s="2" t="s">
        <v>96</v>
      </c>
      <c r="B28" s="1" t="s">
        <v>26</v>
      </c>
      <c r="C28" s="2" t="s">
        <v>68</v>
      </c>
      <c r="D28" s="2" t="s">
        <v>120</v>
      </c>
      <c r="E28" s="7" t="s">
        <v>124</v>
      </c>
      <c r="F28" s="2">
        <v>20</v>
      </c>
      <c r="G28" s="2">
        <v>50</v>
      </c>
      <c r="H28" s="2">
        <v>0.5</v>
      </c>
      <c r="I28" s="2">
        <v>40</v>
      </c>
      <c r="J28" s="2" t="s">
        <v>52</v>
      </c>
      <c r="K28" s="17">
        <f t="shared" si="4"/>
        <v>2.96</v>
      </c>
      <c r="L28" s="2" t="str">
        <f t="shared" si="5"/>
        <v>비래동 405</v>
      </c>
      <c r="M28" s="2">
        <v>20</v>
      </c>
      <c r="N28" s="2">
        <v>50</v>
      </c>
      <c r="O28" s="2">
        <v>0.5</v>
      </c>
      <c r="P28" s="2">
        <v>2.96</v>
      </c>
      <c r="Q28" s="2" t="s">
        <v>52</v>
      </c>
      <c r="R28" s="2" t="s">
        <v>13</v>
      </c>
    </row>
    <row r="29" spans="1:18" ht="23.25" customHeight="1" x14ac:dyDescent="0.3">
      <c r="A29" s="2" t="s">
        <v>97</v>
      </c>
      <c r="B29" s="1" t="s">
        <v>26</v>
      </c>
      <c r="C29" s="2" t="s">
        <v>68</v>
      </c>
      <c r="D29" s="2" t="s">
        <v>120</v>
      </c>
      <c r="E29" s="7" t="s">
        <v>125</v>
      </c>
      <c r="F29" s="2">
        <v>20</v>
      </c>
      <c r="G29" s="2">
        <v>30</v>
      </c>
      <c r="H29" s="2">
        <v>0.5</v>
      </c>
      <c r="I29" s="2">
        <v>15</v>
      </c>
      <c r="J29" s="2" t="s">
        <v>57</v>
      </c>
      <c r="K29" s="17">
        <f t="shared" ref="K29:K30" si="6">ss_water(I29,J29,100)</f>
        <v>0.68</v>
      </c>
      <c r="L29" s="2" t="str">
        <f t="shared" ref="L29:L30" si="7">D29&amp;" "&amp;E29</f>
        <v>비래동 432</v>
      </c>
      <c r="M29" s="2">
        <v>20</v>
      </c>
      <c r="N29" s="2">
        <v>30</v>
      </c>
      <c r="O29" s="2">
        <v>0.5</v>
      </c>
      <c r="P29" s="2">
        <v>0.68</v>
      </c>
      <c r="Q29" s="2" t="s">
        <v>57</v>
      </c>
      <c r="R29" s="2" t="s">
        <v>13</v>
      </c>
    </row>
    <row r="30" spans="1:18" ht="23.25" customHeight="1" x14ac:dyDescent="0.3">
      <c r="A30" s="2" t="s">
        <v>98</v>
      </c>
      <c r="B30" s="1" t="s">
        <v>26</v>
      </c>
      <c r="C30" s="2" t="s">
        <v>68</v>
      </c>
      <c r="D30" s="2" t="s">
        <v>120</v>
      </c>
      <c r="E30" s="7" t="s">
        <v>126</v>
      </c>
      <c r="F30" s="2">
        <v>20</v>
      </c>
      <c r="G30" s="2">
        <v>50</v>
      </c>
      <c r="H30" s="2">
        <v>0.3</v>
      </c>
      <c r="I30" s="2">
        <v>25</v>
      </c>
      <c r="J30" s="2" t="s">
        <v>52</v>
      </c>
      <c r="K30" s="17">
        <f t="shared" si="6"/>
        <v>2.64</v>
      </c>
      <c r="L30" s="2" t="str">
        <f t="shared" si="7"/>
        <v>비래동 435</v>
      </c>
      <c r="M30" s="2">
        <v>20</v>
      </c>
      <c r="N30" s="2">
        <v>50</v>
      </c>
      <c r="O30" s="2">
        <v>0.3</v>
      </c>
      <c r="P30" s="2">
        <v>2.64</v>
      </c>
      <c r="Q30" s="2" t="s">
        <v>52</v>
      </c>
      <c r="R30" s="2" t="s">
        <v>13</v>
      </c>
    </row>
    <row r="31" spans="1:18" ht="23.25" customHeight="1" x14ac:dyDescent="0.3">
      <c r="A31" s="2" t="s">
        <v>99</v>
      </c>
      <c r="B31" s="1" t="s">
        <v>26</v>
      </c>
      <c r="C31" s="2" t="s">
        <v>68</v>
      </c>
      <c r="D31" s="2" t="s">
        <v>120</v>
      </c>
      <c r="E31" s="7" t="s">
        <v>127</v>
      </c>
      <c r="F31" s="2">
        <v>35</v>
      </c>
      <c r="G31" s="2">
        <v>30</v>
      </c>
      <c r="H31" s="2">
        <v>0.5</v>
      </c>
      <c r="I31" s="2">
        <v>15</v>
      </c>
      <c r="J31" s="2" t="s">
        <v>57</v>
      </c>
      <c r="K31" s="17">
        <f t="shared" ref="K31:K32" si="8">ss_water(I31,J31,100)</f>
        <v>0.68</v>
      </c>
      <c r="L31" s="2" t="str">
        <f t="shared" ref="L31:L32" si="9">D31&amp;" "&amp;E31</f>
        <v>비래동 400</v>
      </c>
      <c r="M31" s="2">
        <v>35</v>
      </c>
      <c r="N31" s="2">
        <v>30</v>
      </c>
      <c r="O31" s="2">
        <v>0.5</v>
      </c>
      <c r="P31" s="2">
        <v>0.68</v>
      </c>
      <c r="Q31" s="2" t="s">
        <v>57</v>
      </c>
      <c r="R31" s="2" t="s">
        <v>13</v>
      </c>
    </row>
    <row r="32" spans="1:18" ht="23.25" customHeight="1" x14ac:dyDescent="0.3">
      <c r="A32" s="2" t="s">
        <v>100</v>
      </c>
      <c r="B32" s="1" t="s">
        <v>26</v>
      </c>
      <c r="C32" s="2" t="s">
        <v>68</v>
      </c>
      <c r="D32" s="2" t="s">
        <v>120</v>
      </c>
      <c r="E32" s="7" t="s">
        <v>128</v>
      </c>
      <c r="F32" s="2">
        <v>35</v>
      </c>
      <c r="G32" s="2">
        <v>30</v>
      </c>
      <c r="H32" s="2">
        <v>0.5</v>
      </c>
      <c r="I32" s="2">
        <v>20</v>
      </c>
      <c r="J32" s="2" t="s">
        <v>57</v>
      </c>
      <c r="K32" s="17">
        <f t="shared" si="8"/>
        <v>0.68</v>
      </c>
      <c r="L32" s="2" t="str">
        <f t="shared" si="9"/>
        <v>비래동 394</v>
      </c>
      <c r="M32" s="2">
        <v>35</v>
      </c>
      <c r="N32" s="2">
        <v>30</v>
      </c>
      <c r="O32" s="2">
        <v>0.5</v>
      </c>
      <c r="P32" s="2">
        <v>0.68</v>
      </c>
      <c r="Q32" s="2" t="s">
        <v>57</v>
      </c>
      <c r="R32" s="2" t="s">
        <v>13</v>
      </c>
    </row>
    <row r="33" spans="1:18" ht="23.25" customHeight="1" x14ac:dyDescent="0.3">
      <c r="A33" s="2" t="s">
        <v>101</v>
      </c>
      <c r="B33" s="1" t="s">
        <v>26</v>
      </c>
      <c r="C33" s="2" t="s">
        <v>68</v>
      </c>
      <c r="D33" s="2" t="s">
        <v>120</v>
      </c>
      <c r="E33" s="7" t="s">
        <v>129</v>
      </c>
      <c r="F33" s="2">
        <v>25</v>
      </c>
      <c r="G33" s="2">
        <v>25</v>
      </c>
      <c r="H33" s="2">
        <v>0.5</v>
      </c>
      <c r="I33" s="2">
        <v>10</v>
      </c>
      <c r="J33" s="2" t="s">
        <v>57</v>
      </c>
      <c r="K33" s="17">
        <f t="shared" ref="K33:K34" si="10">ss_water(I33,J33,100)</f>
        <v>0.68</v>
      </c>
      <c r="L33" s="2" t="str">
        <f t="shared" ref="L33:L34" si="11">D33&amp;" "&amp;E33</f>
        <v>비래동 448</v>
      </c>
      <c r="M33" s="2">
        <v>25</v>
      </c>
      <c r="N33" s="2">
        <v>25</v>
      </c>
      <c r="O33" s="2">
        <v>0.5</v>
      </c>
      <c r="P33" s="2">
        <v>0.68</v>
      </c>
      <c r="Q33" s="2" t="s">
        <v>57</v>
      </c>
      <c r="R33" s="2" t="s">
        <v>13</v>
      </c>
    </row>
    <row r="34" spans="1:18" ht="23.25" customHeight="1" x14ac:dyDescent="0.3">
      <c r="A34" s="2" t="s">
        <v>102</v>
      </c>
      <c r="B34" s="1" t="s">
        <v>26</v>
      </c>
      <c r="C34" s="2" t="s">
        <v>68</v>
      </c>
      <c r="D34" s="2" t="s">
        <v>120</v>
      </c>
      <c r="E34" s="7" t="s">
        <v>130</v>
      </c>
      <c r="F34" s="2">
        <v>30</v>
      </c>
      <c r="G34" s="2">
        <v>30</v>
      </c>
      <c r="H34" s="2">
        <v>0.5</v>
      </c>
      <c r="I34" s="2">
        <v>10</v>
      </c>
      <c r="J34" s="2" t="s">
        <v>57</v>
      </c>
      <c r="K34" s="17">
        <f t="shared" si="10"/>
        <v>0.68</v>
      </c>
      <c r="L34" s="2" t="str">
        <f t="shared" si="11"/>
        <v>비래동 444</v>
      </c>
      <c r="M34" s="2">
        <v>30</v>
      </c>
      <c r="N34" s="2">
        <v>30</v>
      </c>
      <c r="O34" s="2">
        <v>0.5</v>
      </c>
      <c r="P34" s="2">
        <v>0.68</v>
      </c>
      <c r="Q34" s="2" t="s">
        <v>57</v>
      </c>
      <c r="R34" s="2" t="s">
        <v>13</v>
      </c>
    </row>
    <row r="35" spans="1:18" ht="23.25" customHeight="1" x14ac:dyDescent="0.3">
      <c r="A35" s="2" t="s">
        <v>103</v>
      </c>
      <c r="B35" s="1" t="s">
        <v>26</v>
      </c>
      <c r="C35" s="2" t="s">
        <v>68</v>
      </c>
      <c r="D35" s="2" t="s">
        <v>120</v>
      </c>
      <c r="E35" s="7" t="s">
        <v>127</v>
      </c>
      <c r="F35" s="2">
        <v>25</v>
      </c>
      <c r="G35" s="2">
        <v>30</v>
      </c>
      <c r="H35" s="2">
        <v>0.5</v>
      </c>
      <c r="I35" s="2">
        <v>10</v>
      </c>
      <c r="J35" s="2" t="s">
        <v>57</v>
      </c>
      <c r="K35" s="17">
        <f t="shared" ref="K35:K36" si="12">ss_water(I35,J35,100)</f>
        <v>0.68</v>
      </c>
      <c r="L35" s="2" t="str">
        <f t="shared" ref="L35:L36" si="13">D35&amp;" "&amp;E35</f>
        <v>비래동 400</v>
      </c>
      <c r="M35" s="2">
        <v>25</v>
      </c>
      <c r="N35" s="2">
        <v>30</v>
      </c>
      <c r="O35" s="2">
        <v>0.5</v>
      </c>
      <c r="P35" s="2">
        <v>0.68</v>
      </c>
      <c r="Q35" s="2" t="s">
        <v>57</v>
      </c>
      <c r="R35" s="2" t="s">
        <v>13</v>
      </c>
    </row>
    <row r="36" spans="1:18" ht="23.25" customHeight="1" x14ac:dyDescent="0.3">
      <c r="A36" s="2" t="s">
        <v>104</v>
      </c>
      <c r="B36" s="1" t="s">
        <v>26</v>
      </c>
      <c r="C36" s="2" t="s">
        <v>68</v>
      </c>
      <c r="D36" s="2" t="s">
        <v>120</v>
      </c>
      <c r="E36" s="7" t="s">
        <v>131</v>
      </c>
      <c r="F36" s="2">
        <v>30</v>
      </c>
      <c r="G36" s="2">
        <v>30</v>
      </c>
      <c r="H36" s="2">
        <v>0.5</v>
      </c>
      <c r="I36" s="2">
        <v>10</v>
      </c>
      <c r="J36" s="2" t="s">
        <v>57</v>
      </c>
      <c r="K36" s="17">
        <f t="shared" si="12"/>
        <v>0.68</v>
      </c>
      <c r="L36" s="2" t="str">
        <f t="shared" si="13"/>
        <v>비래동 441</v>
      </c>
      <c r="M36" s="2">
        <v>30</v>
      </c>
      <c r="N36" s="2">
        <v>30</v>
      </c>
      <c r="O36" s="2">
        <v>0.5</v>
      </c>
      <c r="P36" s="2">
        <v>0.68</v>
      </c>
      <c r="Q36" s="2" t="s">
        <v>57</v>
      </c>
      <c r="R36" s="2" t="s">
        <v>13</v>
      </c>
    </row>
    <row r="37" spans="1:18" ht="23.25" customHeight="1" x14ac:dyDescent="0.3">
      <c r="A37" s="2" t="s">
        <v>105</v>
      </c>
      <c r="B37" s="1" t="s">
        <v>26</v>
      </c>
      <c r="C37" s="2" t="s">
        <v>68</v>
      </c>
      <c r="D37" s="2" t="s">
        <v>120</v>
      </c>
      <c r="E37" s="7" t="s">
        <v>132</v>
      </c>
      <c r="F37" s="2">
        <v>18</v>
      </c>
      <c r="G37" s="2">
        <v>50</v>
      </c>
      <c r="H37" s="2">
        <v>0.3</v>
      </c>
      <c r="I37" s="2">
        <v>60</v>
      </c>
      <c r="J37" s="2" t="s">
        <v>84</v>
      </c>
      <c r="K37" s="17">
        <f t="shared" ref="K37:K38" si="14">ss_water(I37,J37,100)</f>
        <v>2.17</v>
      </c>
      <c r="L37" s="2" t="str">
        <f t="shared" ref="L37:L38" si="15">D37&amp;" "&amp;E37</f>
        <v>비래동 429</v>
      </c>
      <c r="M37" s="2">
        <v>18</v>
      </c>
      <c r="N37" s="2">
        <v>50</v>
      </c>
      <c r="O37" s="2">
        <v>0.3</v>
      </c>
      <c r="P37" s="2">
        <v>2.17</v>
      </c>
      <c r="Q37" s="2" t="s">
        <v>84</v>
      </c>
      <c r="R37" s="2" t="s">
        <v>13</v>
      </c>
    </row>
    <row r="38" spans="1:18" ht="23.25" customHeight="1" x14ac:dyDescent="0.3">
      <c r="A38" s="2" t="s">
        <v>106</v>
      </c>
      <c r="B38" s="1" t="s">
        <v>26</v>
      </c>
      <c r="C38" s="2" t="s">
        <v>68</v>
      </c>
      <c r="D38" s="2" t="s">
        <v>120</v>
      </c>
      <c r="E38" s="7" t="s">
        <v>140</v>
      </c>
      <c r="F38" s="2">
        <v>25</v>
      </c>
      <c r="G38" s="2">
        <v>50</v>
      </c>
      <c r="H38" s="2">
        <v>0.3</v>
      </c>
      <c r="I38" s="2">
        <v>15</v>
      </c>
      <c r="J38" s="2" t="s">
        <v>52</v>
      </c>
      <c r="K38" s="17">
        <f t="shared" si="14"/>
        <v>2.4300000000000002</v>
      </c>
      <c r="L38" s="2" t="str">
        <f t="shared" si="15"/>
        <v>비래동 461-2</v>
      </c>
      <c r="M38" s="2">
        <v>25</v>
      </c>
      <c r="N38" s="2">
        <v>50</v>
      </c>
      <c r="O38" s="2">
        <v>0.3</v>
      </c>
      <c r="P38" s="2">
        <v>2.4300000000000002</v>
      </c>
      <c r="Q38" s="2" t="s">
        <v>52</v>
      </c>
      <c r="R38" s="2" t="s">
        <v>13</v>
      </c>
    </row>
    <row r="39" spans="1:18" ht="23.25" customHeight="1" x14ac:dyDescent="0.3">
      <c r="A39" s="2" t="s">
        <v>107</v>
      </c>
      <c r="B39" s="1" t="s">
        <v>26</v>
      </c>
      <c r="C39" s="2" t="s">
        <v>68</v>
      </c>
      <c r="D39" s="2" t="s">
        <v>69</v>
      </c>
      <c r="E39" s="7" t="s">
        <v>141</v>
      </c>
      <c r="F39" s="2">
        <v>100</v>
      </c>
      <c r="G39" s="2">
        <v>200</v>
      </c>
      <c r="H39" s="2">
        <v>3</v>
      </c>
      <c r="I39" s="2">
        <v>120</v>
      </c>
      <c r="J39" s="2" t="s">
        <v>89</v>
      </c>
      <c r="K39" s="17">
        <f t="shared" ref="K39:K40" si="16">ss_water(I39,J39,100)</f>
        <v>4.6399999999999997</v>
      </c>
      <c r="L39" s="2" t="str">
        <f t="shared" ref="L39:L40" si="17">D39&amp;" "&amp;E39</f>
        <v>송촌동 4</v>
      </c>
      <c r="M39" s="2">
        <v>100</v>
      </c>
      <c r="N39" s="2">
        <v>200</v>
      </c>
      <c r="O39" s="2">
        <v>3</v>
      </c>
      <c r="P39" s="2">
        <v>4.6399999999999997</v>
      </c>
      <c r="Q39" s="2" t="s">
        <v>89</v>
      </c>
      <c r="R39" s="2" t="s">
        <v>13</v>
      </c>
    </row>
    <row r="40" spans="1:18" ht="23.25" customHeight="1" x14ac:dyDescent="0.3">
      <c r="A40" s="2" t="s">
        <v>108</v>
      </c>
      <c r="B40" s="1" t="s">
        <v>26</v>
      </c>
      <c r="C40" s="2" t="s">
        <v>68</v>
      </c>
      <c r="D40" s="2" t="s">
        <v>120</v>
      </c>
      <c r="E40" s="7" t="s">
        <v>143</v>
      </c>
      <c r="F40" s="2">
        <v>100</v>
      </c>
      <c r="G40" s="2">
        <v>150</v>
      </c>
      <c r="H40" s="2">
        <v>3</v>
      </c>
      <c r="I40" s="2">
        <v>80</v>
      </c>
      <c r="J40" s="2" t="s">
        <v>89</v>
      </c>
      <c r="K40" s="17">
        <f t="shared" si="16"/>
        <v>3.8</v>
      </c>
      <c r="L40" s="2" t="str">
        <f t="shared" si="17"/>
        <v>비래동 463</v>
      </c>
      <c r="M40" s="2">
        <v>100</v>
      </c>
      <c r="N40" s="2">
        <v>150</v>
      </c>
      <c r="O40" s="2">
        <v>3</v>
      </c>
      <c r="P40" s="2">
        <v>3.8</v>
      </c>
      <c r="Q40" s="2" t="s">
        <v>89</v>
      </c>
      <c r="R40" s="2" t="s">
        <v>13</v>
      </c>
    </row>
    <row r="41" spans="1:18" ht="23.25" customHeight="1" x14ac:dyDescent="0.3">
      <c r="A41" s="2" t="s">
        <v>109</v>
      </c>
      <c r="B41" s="1" t="s">
        <v>26</v>
      </c>
      <c r="C41" s="2" t="s">
        <v>68</v>
      </c>
      <c r="D41" s="2" t="s">
        <v>69</v>
      </c>
      <c r="E41" s="7" t="s">
        <v>144</v>
      </c>
      <c r="F41" s="2">
        <v>15</v>
      </c>
      <c r="G41" s="2">
        <v>50</v>
      </c>
      <c r="H41" s="2">
        <v>0.5</v>
      </c>
      <c r="I41" s="2">
        <v>5</v>
      </c>
      <c r="J41" s="2" t="s">
        <v>57</v>
      </c>
      <c r="K41" s="17">
        <f t="shared" ref="K41:K42" si="18">ss_water(I41,J41,100)</f>
        <v>0.68</v>
      </c>
      <c r="L41" s="2" t="str">
        <f t="shared" ref="L41:L42" si="19">D41&amp;" "&amp;E41</f>
        <v>송촌동 473-11</v>
      </c>
      <c r="M41" s="2">
        <v>15</v>
      </c>
      <c r="N41" s="2">
        <v>50</v>
      </c>
      <c r="O41" s="2">
        <v>0.5</v>
      </c>
      <c r="P41" s="2">
        <v>0.68</v>
      </c>
      <c r="Q41" s="2" t="s">
        <v>57</v>
      </c>
      <c r="R41" s="2" t="s">
        <v>13</v>
      </c>
    </row>
    <row r="42" spans="1:18" ht="23.25" customHeight="1" x14ac:dyDescent="0.3">
      <c r="A42" s="2" t="s">
        <v>110</v>
      </c>
      <c r="B42" s="1" t="s">
        <v>26</v>
      </c>
      <c r="C42" s="2" t="s">
        <v>68</v>
      </c>
      <c r="D42" s="2" t="s">
        <v>69</v>
      </c>
      <c r="E42" s="7" t="s">
        <v>145</v>
      </c>
      <c r="F42" s="2">
        <v>250</v>
      </c>
      <c r="G42" s="2">
        <v>200</v>
      </c>
      <c r="H42" s="2">
        <v>2</v>
      </c>
      <c r="I42" s="2">
        <v>86</v>
      </c>
      <c r="J42" s="2" t="s">
        <v>52</v>
      </c>
      <c r="K42" s="17">
        <f t="shared" si="18"/>
        <v>3.92</v>
      </c>
      <c r="L42" s="2" t="str">
        <f t="shared" si="19"/>
        <v>송촌동 459-5</v>
      </c>
      <c r="M42" s="2">
        <v>250</v>
      </c>
      <c r="N42" s="2">
        <v>200</v>
      </c>
      <c r="O42" s="2">
        <v>2</v>
      </c>
      <c r="P42" s="2">
        <v>3.92</v>
      </c>
      <c r="Q42" s="2" t="s">
        <v>52</v>
      </c>
      <c r="R42" s="2" t="s">
        <v>13</v>
      </c>
    </row>
    <row r="43" spans="1:18" ht="23.25" customHeight="1" x14ac:dyDescent="0.3">
      <c r="A43" s="2" t="s">
        <v>111</v>
      </c>
      <c r="B43" s="1" t="s">
        <v>26</v>
      </c>
      <c r="C43" s="2" t="s">
        <v>68</v>
      </c>
      <c r="D43" s="2" t="s">
        <v>69</v>
      </c>
      <c r="E43" s="7" t="s">
        <v>152</v>
      </c>
      <c r="F43" s="2">
        <v>200</v>
      </c>
      <c r="G43" s="2">
        <v>250</v>
      </c>
      <c r="H43" s="2">
        <v>3</v>
      </c>
      <c r="I43" s="2">
        <v>91</v>
      </c>
      <c r="J43" s="2" t="s">
        <v>52</v>
      </c>
      <c r="K43" s="17">
        <f t="shared" ref="K43:K44" si="20">ss_water(I43,J43,100)</f>
        <v>4.03</v>
      </c>
      <c r="L43" s="2" t="str">
        <f t="shared" ref="L43:L44" si="21">D43&amp;" "&amp;E43</f>
        <v>송촌동 460-4</v>
      </c>
      <c r="M43" s="2">
        <v>200</v>
      </c>
      <c r="N43" s="2">
        <v>250</v>
      </c>
      <c r="O43" s="2">
        <v>3</v>
      </c>
      <c r="P43" s="2">
        <v>4.03</v>
      </c>
      <c r="Q43" s="2" t="s">
        <v>52</v>
      </c>
      <c r="R43" s="2" t="s">
        <v>13</v>
      </c>
    </row>
    <row r="44" spans="1:18" ht="23.25" customHeight="1" x14ac:dyDescent="0.3">
      <c r="A44" s="2" t="s">
        <v>112</v>
      </c>
      <c r="B44" s="1" t="s">
        <v>26</v>
      </c>
      <c r="C44" s="2" t="s">
        <v>68</v>
      </c>
      <c r="D44" s="2" t="s">
        <v>69</v>
      </c>
      <c r="E44" s="7" t="s">
        <v>153</v>
      </c>
      <c r="F44" s="2">
        <v>150</v>
      </c>
      <c r="G44" s="2">
        <v>200</v>
      </c>
      <c r="H44" s="2">
        <v>2</v>
      </c>
      <c r="I44" s="2">
        <v>90</v>
      </c>
      <c r="J44" s="2" t="s">
        <v>52</v>
      </c>
      <c r="K44" s="17">
        <f t="shared" si="20"/>
        <v>4.01</v>
      </c>
      <c r="L44" s="2" t="str">
        <f t="shared" si="21"/>
        <v>송촌동 460-2</v>
      </c>
      <c r="M44" s="2">
        <v>150</v>
      </c>
      <c r="N44" s="2">
        <v>200</v>
      </c>
      <c r="O44" s="2">
        <v>2</v>
      </c>
      <c r="P44" s="2">
        <v>4.01</v>
      </c>
      <c r="Q44" s="2" t="s">
        <v>52</v>
      </c>
      <c r="R44" s="2" t="s">
        <v>13</v>
      </c>
    </row>
    <row r="45" spans="1:18" ht="23.25" customHeight="1" x14ac:dyDescent="0.3">
      <c r="A45" s="2" t="s">
        <v>146</v>
      </c>
      <c r="B45" s="1" t="s">
        <v>26</v>
      </c>
      <c r="C45" s="2" t="s">
        <v>68</v>
      </c>
      <c r="D45" s="2" t="s">
        <v>69</v>
      </c>
      <c r="E45" s="7" t="s">
        <v>154</v>
      </c>
      <c r="F45" s="2">
        <v>200</v>
      </c>
      <c r="G45" s="2">
        <v>150</v>
      </c>
      <c r="H45" s="2">
        <v>2</v>
      </c>
      <c r="I45" s="2">
        <v>90</v>
      </c>
      <c r="J45" s="2" t="s">
        <v>52</v>
      </c>
      <c r="K45" s="17">
        <f t="shared" ref="K45:K46" si="22">ss_water(I45,J45,100)</f>
        <v>4.01</v>
      </c>
      <c r="L45" s="2" t="str">
        <f t="shared" ref="L45:L46" si="23">D45&amp;" "&amp;E45</f>
        <v>송촌동 445-4</v>
      </c>
      <c r="M45" s="2">
        <v>200</v>
      </c>
      <c r="N45" s="2">
        <v>150</v>
      </c>
      <c r="O45" s="2">
        <v>2</v>
      </c>
      <c r="P45" s="2">
        <v>4.01</v>
      </c>
      <c r="Q45" s="2" t="s">
        <v>52</v>
      </c>
      <c r="R45" s="2" t="s">
        <v>13</v>
      </c>
    </row>
    <row r="46" spans="1:18" ht="23.25" customHeight="1" x14ac:dyDescent="0.3">
      <c r="A46" s="2" t="s">
        <v>147</v>
      </c>
      <c r="B46" s="1" t="s">
        <v>26</v>
      </c>
      <c r="C46" s="2" t="s">
        <v>68</v>
      </c>
      <c r="D46" s="2" t="s">
        <v>69</v>
      </c>
      <c r="E46" s="7" t="s">
        <v>155</v>
      </c>
      <c r="F46" s="2">
        <v>50</v>
      </c>
      <c r="G46" s="2">
        <v>125</v>
      </c>
      <c r="H46" s="2">
        <v>1</v>
      </c>
      <c r="I46" s="2">
        <v>60</v>
      </c>
      <c r="J46" s="2" t="s">
        <v>52</v>
      </c>
      <c r="K46" s="17">
        <f t="shared" si="22"/>
        <v>3.38</v>
      </c>
      <c r="L46" s="2" t="str">
        <f t="shared" si="23"/>
        <v>송촌동 447-2</v>
      </c>
      <c r="M46" s="2">
        <v>50</v>
      </c>
      <c r="N46" s="2">
        <v>125</v>
      </c>
      <c r="O46" s="2">
        <v>1</v>
      </c>
      <c r="P46" s="2">
        <v>3.38</v>
      </c>
      <c r="Q46" s="2" t="s">
        <v>52</v>
      </c>
      <c r="R46" s="2" t="s">
        <v>13</v>
      </c>
    </row>
    <row r="47" spans="1:18" ht="23.25" customHeight="1" x14ac:dyDescent="0.3">
      <c r="A47" s="2" t="s">
        <v>148</v>
      </c>
      <c r="B47" s="1" t="s">
        <v>26</v>
      </c>
      <c r="C47" s="2" t="s">
        <v>68</v>
      </c>
      <c r="D47" s="2" t="s">
        <v>69</v>
      </c>
      <c r="E47" s="7" t="s">
        <v>156</v>
      </c>
      <c r="F47" s="2">
        <v>25</v>
      </c>
      <c r="G47" s="2">
        <v>40</v>
      </c>
      <c r="H47" s="2">
        <v>0.5</v>
      </c>
      <c r="I47" s="2">
        <v>25</v>
      </c>
      <c r="J47" s="2" t="s">
        <v>52</v>
      </c>
      <c r="K47" s="17">
        <f t="shared" ref="K47:K48" si="24">ss_water(I47,J47,100)</f>
        <v>2.64</v>
      </c>
      <c r="L47" s="2" t="str">
        <f t="shared" ref="L47:L48" si="25">D47&amp;" "&amp;E47</f>
        <v>송촌동 447-1</v>
      </c>
      <c r="M47" s="2">
        <v>25</v>
      </c>
      <c r="N47" s="2">
        <v>40</v>
      </c>
      <c r="O47" s="2">
        <v>0.5</v>
      </c>
      <c r="P47" s="2">
        <v>2.64</v>
      </c>
      <c r="Q47" s="2" t="s">
        <v>52</v>
      </c>
      <c r="R47" s="2" t="s">
        <v>13</v>
      </c>
    </row>
    <row r="48" spans="1:18" ht="23.25" customHeight="1" x14ac:dyDescent="0.3">
      <c r="A48" s="2" t="s">
        <v>149</v>
      </c>
      <c r="B48" s="1" t="s">
        <v>26</v>
      </c>
      <c r="C48" s="2" t="s">
        <v>68</v>
      </c>
      <c r="D48" s="2" t="s">
        <v>69</v>
      </c>
      <c r="E48" s="7" t="s">
        <v>131</v>
      </c>
      <c r="F48" s="2">
        <v>90</v>
      </c>
      <c r="G48" s="2">
        <v>200</v>
      </c>
      <c r="H48" s="2">
        <v>3</v>
      </c>
      <c r="I48" s="2">
        <v>98</v>
      </c>
      <c r="J48" s="2" t="s">
        <v>114</v>
      </c>
      <c r="K48" s="17">
        <f t="shared" si="24"/>
        <v>8.49</v>
      </c>
      <c r="L48" s="2" t="str">
        <f t="shared" si="25"/>
        <v>송촌동 441</v>
      </c>
      <c r="M48" s="2">
        <v>90</v>
      </c>
      <c r="N48" s="2">
        <v>200</v>
      </c>
      <c r="O48" s="2">
        <v>3</v>
      </c>
      <c r="P48" s="2">
        <v>8.49</v>
      </c>
      <c r="Q48" s="2" t="s">
        <v>114</v>
      </c>
      <c r="R48" s="2" t="s">
        <v>13</v>
      </c>
    </row>
    <row r="49" spans="1:18" ht="23.25" customHeight="1" x14ac:dyDescent="0.3">
      <c r="A49" s="2" t="s">
        <v>150</v>
      </c>
      <c r="B49" s="1" t="s">
        <v>26</v>
      </c>
      <c r="C49" s="2" t="s">
        <v>68</v>
      </c>
      <c r="D49" s="2" t="s">
        <v>120</v>
      </c>
      <c r="E49" s="7" t="s">
        <v>167</v>
      </c>
      <c r="F49" s="2">
        <v>158</v>
      </c>
      <c r="G49" s="2">
        <v>150</v>
      </c>
      <c r="H49" s="2">
        <v>2</v>
      </c>
      <c r="I49" s="2">
        <v>35</v>
      </c>
      <c r="J49" s="2" t="s">
        <v>58</v>
      </c>
      <c r="K49" s="17">
        <f t="shared" ref="K49:K50" si="26">ss_water(I49,J49,100)</f>
        <v>0.68</v>
      </c>
      <c r="L49" s="2" t="str">
        <f t="shared" ref="L49:L50" si="27">D49&amp;" "&amp;E49</f>
        <v>비래동 468</v>
      </c>
      <c r="M49" s="2">
        <v>158</v>
      </c>
      <c r="N49" s="2">
        <v>150</v>
      </c>
      <c r="O49" s="2">
        <v>2</v>
      </c>
      <c r="P49" s="2">
        <v>0.68</v>
      </c>
      <c r="Q49" s="2" t="s">
        <v>58</v>
      </c>
      <c r="R49" s="2" t="s">
        <v>13</v>
      </c>
    </row>
    <row r="50" spans="1:18" ht="23.25" customHeight="1" x14ac:dyDescent="0.3">
      <c r="A50" s="2" t="s">
        <v>151</v>
      </c>
      <c r="B50" s="1" t="s">
        <v>26</v>
      </c>
      <c r="C50" s="2" t="s">
        <v>68</v>
      </c>
      <c r="D50" s="2" t="s">
        <v>120</v>
      </c>
      <c r="E50" s="7" t="s">
        <v>168</v>
      </c>
      <c r="F50" s="2">
        <v>100</v>
      </c>
      <c r="G50" s="2">
        <v>150</v>
      </c>
      <c r="H50" s="2">
        <v>2</v>
      </c>
      <c r="I50" s="2">
        <v>50</v>
      </c>
      <c r="J50" s="2" t="s">
        <v>58</v>
      </c>
      <c r="K50" s="17">
        <f t="shared" si="26"/>
        <v>0.68</v>
      </c>
      <c r="L50" s="2" t="str">
        <f t="shared" si="27"/>
        <v>비래동 466</v>
      </c>
      <c r="M50" s="2">
        <v>100</v>
      </c>
      <c r="N50" s="2">
        <v>150</v>
      </c>
      <c r="O50" s="2">
        <v>2</v>
      </c>
      <c r="P50" s="2">
        <v>0.68</v>
      </c>
      <c r="Q50" s="2" t="s">
        <v>58</v>
      </c>
      <c r="R50" s="2" t="s">
        <v>13</v>
      </c>
    </row>
    <row r="51" spans="1:18" ht="21" customHeight="1" x14ac:dyDescent="0.3">
      <c r="B51" s="1"/>
      <c r="I51" s="2"/>
      <c r="K51" s="3"/>
    </row>
    <row r="52" spans="1:18" ht="21.75" customHeight="1" x14ac:dyDescent="0.3">
      <c r="I52" s="2"/>
    </row>
    <row r="53" spans="1:18" ht="21.75" customHeight="1" x14ac:dyDescent="0.3">
      <c r="J53" s="2" t="s">
        <v>50</v>
      </c>
      <c r="K53" s="16">
        <f>SUM(K2:K52)</f>
        <v>112.89000000000006</v>
      </c>
    </row>
    <row r="54" spans="1:18" ht="21.75" customHeight="1" thickBot="1" x14ac:dyDescent="0.35">
      <c r="K54" s="16"/>
    </row>
    <row r="55" spans="1:18" ht="21.75" customHeight="1" x14ac:dyDescent="0.3">
      <c r="B55" s="23" t="s">
        <v>24</v>
      </c>
      <c r="C55" s="24" t="s">
        <v>22</v>
      </c>
      <c r="D55" s="25" t="s">
        <v>7</v>
      </c>
      <c r="F55" s="23" t="s">
        <v>46</v>
      </c>
      <c r="G55" s="24" t="s">
        <v>22</v>
      </c>
      <c r="H55" s="25" t="s">
        <v>7</v>
      </c>
      <c r="J55" s="2" t="s">
        <v>47</v>
      </c>
      <c r="K55" s="4">
        <f>K53+aa!K17+ii!K5</f>
        <v>182.46000000000004</v>
      </c>
    </row>
    <row r="56" spans="1:18" ht="21.75" customHeight="1" thickBot="1" x14ac:dyDescent="0.35">
      <c r="B56" s="26" t="s">
        <v>20</v>
      </c>
      <c r="C56" s="22">
        <f ca="1">COUNTIF(SS_INSIDE_AREA,"O")</f>
        <v>49</v>
      </c>
      <c r="D56" s="27">
        <f ca="1">SUMIF(SS_INSIDE_AREA,"O",K2:K2)</f>
        <v>112.89000000000006</v>
      </c>
      <c r="F56" s="30" t="s">
        <v>20</v>
      </c>
      <c r="G56" s="22">
        <f ca="1">COUNTIF(II_INSIDE_AREA,"O")</f>
        <v>0</v>
      </c>
      <c r="H56" s="27">
        <f ca="1">ii!D8</f>
        <v>0</v>
      </c>
    </row>
    <row r="57" spans="1:18" ht="21.75" customHeight="1" x14ac:dyDescent="0.3">
      <c r="B57" s="26" t="s">
        <v>21</v>
      </c>
      <c r="C57" s="22">
        <f ca="1">COUNTIF(SS_INSIDE_AREA,"X")</f>
        <v>0</v>
      </c>
      <c r="D57" s="27">
        <f ca="1">SUMIF(SS_INSIDE_AREA,"X",K2:K2)</f>
        <v>0</v>
      </c>
      <c r="F57" s="30" t="s">
        <v>21</v>
      </c>
      <c r="G57" s="22">
        <f ca="1">COUNTIF(II_INSIDE_AREA,"X")</f>
        <v>1</v>
      </c>
      <c r="H57" s="27">
        <f ca="1">ii!D9</f>
        <v>0</v>
      </c>
      <c r="J57" s="18" t="s">
        <v>48</v>
      </c>
      <c r="K57" s="19">
        <f ca="1">D66</f>
        <v>182.46000000000004</v>
      </c>
    </row>
    <row r="58" spans="1:18" ht="21.75" customHeight="1" thickBot="1" x14ac:dyDescent="0.35">
      <c r="B58" s="20"/>
      <c r="C58" s="28"/>
      <c r="D58" s="29">
        <f ca="1">SUM(D56:D57)</f>
        <v>112.89000000000006</v>
      </c>
      <c r="F58" s="31"/>
      <c r="G58" s="28"/>
      <c r="H58" s="29">
        <f ca="1">ii!D10</f>
        <v>0</v>
      </c>
      <c r="J58" s="20" t="s">
        <v>49</v>
      </c>
      <c r="K58" s="21">
        <f ca="1">C66</f>
        <v>62</v>
      </c>
    </row>
    <row r="59" spans="1:18" ht="21.75" customHeight="1" thickBot="1" x14ac:dyDescent="0.35"/>
    <row r="60" spans="1:18" ht="21.75" customHeight="1" x14ac:dyDescent="0.3">
      <c r="B60" s="23" t="s">
        <v>23</v>
      </c>
      <c r="C60" s="24" t="s">
        <v>22</v>
      </c>
      <c r="D60" s="25" t="s">
        <v>7</v>
      </c>
    </row>
    <row r="61" spans="1:18" ht="21.75" customHeight="1" x14ac:dyDescent="0.3">
      <c r="B61" s="26" t="s">
        <v>20</v>
      </c>
      <c r="C61" s="22">
        <f ca="1">COUNTIF(AA_INSIDE_AREA,"O")</f>
        <v>13</v>
      </c>
      <c r="D61" s="27">
        <f ca="1">aa!D18</f>
        <v>69.569999999999993</v>
      </c>
    </row>
    <row r="62" spans="1:18" ht="21.75" customHeight="1" x14ac:dyDescent="0.3">
      <c r="B62" s="26" t="s">
        <v>21</v>
      </c>
      <c r="C62" s="22">
        <f ca="1">COUNTIF(AA_INSIDE_AREA,"X")</f>
        <v>0</v>
      </c>
      <c r="D62" s="27">
        <f ca="1">aa!D19</f>
        <v>0</v>
      </c>
    </row>
    <row r="63" spans="1:18" ht="21.75" customHeight="1" thickBot="1" x14ac:dyDescent="0.35">
      <c r="B63" s="20"/>
      <c r="C63" s="28"/>
      <c r="D63" s="29">
        <f ca="1">SUM(D61:D62)</f>
        <v>69.569999999999993</v>
      </c>
    </row>
    <row r="64" spans="1:18" ht="21.75" customHeight="1" thickBot="1" x14ac:dyDescent="0.35"/>
    <row r="65" spans="2:16" ht="21.75" customHeight="1" x14ac:dyDescent="0.3">
      <c r="B65" s="23" t="s">
        <v>25</v>
      </c>
      <c r="C65" s="24" t="s">
        <v>22</v>
      </c>
      <c r="D65" s="25" t="s">
        <v>7</v>
      </c>
    </row>
    <row r="66" spans="2:16" ht="21.75" customHeight="1" x14ac:dyDescent="0.3">
      <c r="B66" s="26" t="s">
        <v>20</v>
      </c>
      <c r="C66" s="22">
        <f ca="1">C56+C61+IF(H56=0,0,G56)</f>
        <v>62</v>
      </c>
      <c r="D66" s="27">
        <f ca="1">D56+D61+H56</f>
        <v>182.46000000000004</v>
      </c>
    </row>
    <row r="67" spans="2:16" ht="21.75" customHeight="1" thickBot="1" x14ac:dyDescent="0.35">
      <c r="B67" s="20" t="s">
        <v>21</v>
      </c>
      <c r="C67" s="28">
        <f ca="1">C57+C62+IF(H57=0,0,G57)</f>
        <v>0</v>
      </c>
      <c r="D67" s="29">
        <f ca="1">D57+D62+H57</f>
        <v>0</v>
      </c>
    </row>
    <row r="73" spans="2:16" ht="21.75" customHeight="1" x14ac:dyDescent="0.3">
      <c r="J73" s="14"/>
      <c r="K73" s="14"/>
      <c r="L73" s="14"/>
      <c r="M73" s="14"/>
      <c r="N73" s="14"/>
      <c r="O73" s="14"/>
      <c r="P73" s="1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r:id="rId5">
            <anchor moveWithCells="1">
              <from>
                <xdr:col>18</xdr:col>
                <xdr:colOff>95250</xdr:colOff>
                <xdr:row>2</xdr:row>
                <xdr:rowOff>47625</xdr:rowOff>
              </from>
              <to>
                <xdr:col>19</xdr:col>
                <xdr:colOff>628650</xdr:colOff>
                <xdr:row>3</xdr:row>
                <xdr:rowOff>133350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18</xdr:col>
                <xdr:colOff>95250</xdr:colOff>
                <xdr:row>0</xdr:row>
                <xdr:rowOff>476250</xdr:rowOff>
              </from>
              <to>
                <xdr:col>19</xdr:col>
                <xdr:colOff>628650</xdr:colOff>
                <xdr:row>1</xdr:row>
                <xdr:rowOff>238125</xdr:rowOff>
              </to>
            </anchor>
          </controlPr>
        </control>
      </mc:Choice>
      <mc:Fallback>
        <control shapeId="2050" r:id="rId6" name="CommandButtonDelete"/>
      </mc:Fallback>
    </mc:AlternateContent>
    <mc:AlternateContent xmlns:mc="http://schemas.openxmlformats.org/markup-compatibility/2006">
      <mc:Choice Requires="x14">
        <control shapeId="2049" r:id="rId8" name="CommandButtonCopy">
          <controlPr defaultSize="0" autoLine="0" r:id="rId9">
            <anchor moveWithCells="1">
              <from>
                <xdr:col>18</xdr:col>
                <xdr:colOff>85725</xdr:colOff>
                <xdr:row>0</xdr:row>
                <xdr:rowOff>66675</xdr:rowOff>
              </from>
              <to>
                <xdr:col>19</xdr:col>
                <xdr:colOff>619125</xdr:colOff>
                <xdr:row>0</xdr:row>
                <xdr:rowOff>428625</xdr:rowOff>
              </to>
            </anchor>
          </controlPr>
        </control>
      </mc:Choice>
      <mc:Fallback>
        <control shapeId="2049" r:id="rId8" name="CommandButtonCop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20"/>
  <sheetViews>
    <sheetView workbookViewId="0">
      <selection activeCell="N14" sqref="N14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0.25" style="2" customWidth="1"/>
    <col min="11" max="11" width="10.62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0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J1" s="2" t="s">
        <v>18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17</v>
      </c>
      <c r="Q1" s="2" t="s">
        <v>18</v>
      </c>
      <c r="R1" s="2" t="s">
        <v>12</v>
      </c>
    </row>
    <row r="2" spans="1:18" s="8" customFormat="1" ht="21.75" customHeight="1" x14ac:dyDescent="0.3">
      <c r="A2" s="1" t="s">
        <v>6</v>
      </c>
      <c r="B2" s="1" t="s">
        <v>26</v>
      </c>
      <c r="C2" s="2" t="s">
        <v>68</v>
      </c>
      <c r="D2" s="2" t="s">
        <v>69</v>
      </c>
      <c r="E2" s="13" t="s">
        <v>119</v>
      </c>
      <c r="F2" s="12">
        <v>20</v>
      </c>
      <c r="G2" s="12">
        <v>50</v>
      </c>
      <c r="H2" s="12">
        <v>0.3</v>
      </c>
      <c r="I2" s="12">
        <v>15</v>
      </c>
      <c r="J2" s="12" t="s">
        <v>58</v>
      </c>
      <c r="K2" s="2">
        <f t="shared" ref="K2:K4" si="0">aa_water(I2,J2)</f>
        <v>3.3</v>
      </c>
      <c r="L2" s="2" t="str">
        <f>D2&amp;" "&amp;E2</f>
        <v>송촌동 산22-5</v>
      </c>
      <c r="M2" s="12">
        <v>20</v>
      </c>
      <c r="N2" s="12">
        <v>50</v>
      </c>
      <c r="O2" s="12">
        <v>0.3</v>
      </c>
      <c r="P2" s="3">
        <v>3.3</v>
      </c>
      <c r="Q2" s="12" t="s">
        <v>58</v>
      </c>
      <c r="R2" s="2" t="s">
        <v>30</v>
      </c>
    </row>
    <row r="3" spans="1:18" s="8" customFormat="1" ht="21.75" customHeight="1" x14ac:dyDescent="0.3">
      <c r="A3" s="1" t="s">
        <v>28</v>
      </c>
      <c r="B3" s="1" t="s">
        <v>26</v>
      </c>
      <c r="C3" s="2" t="s">
        <v>68</v>
      </c>
      <c r="D3" s="2" t="s">
        <v>120</v>
      </c>
      <c r="E3" s="13" t="s">
        <v>121</v>
      </c>
      <c r="F3" s="12">
        <v>30</v>
      </c>
      <c r="G3" s="12">
        <v>50</v>
      </c>
      <c r="H3" s="12">
        <v>0.3</v>
      </c>
      <c r="I3" s="12">
        <v>20</v>
      </c>
      <c r="J3" s="12" t="s">
        <v>58</v>
      </c>
      <c r="K3" s="2">
        <f t="shared" si="0"/>
        <v>3.3</v>
      </c>
      <c r="L3" s="2" t="str">
        <f t="shared" ref="L3:L7" si="1">D3&amp;" "&amp;E3</f>
        <v>비래동 345-1</v>
      </c>
      <c r="M3" s="12">
        <v>30</v>
      </c>
      <c r="N3" s="12">
        <v>50</v>
      </c>
      <c r="O3" s="12">
        <v>0.3</v>
      </c>
      <c r="P3" s="3">
        <v>3.3</v>
      </c>
      <c r="Q3" s="12" t="s">
        <v>58</v>
      </c>
      <c r="R3" s="2" t="s">
        <v>30</v>
      </c>
    </row>
    <row r="4" spans="1:18" s="8" customFormat="1" ht="21.75" customHeight="1" x14ac:dyDescent="0.3">
      <c r="A4" s="1" t="s">
        <v>29</v>
      </c>
      <c r="B4" s="1" t="s">
        <v>26</v>
      </c>
      <c r="C4" s="2" t="s">
        <v>68</v>
      </c>
      <c r="D4" s="2" t="s">
        <v>120</v>
      </c>
      <c r="E4" s="13" t="s">
        <v>122</v>
      </c>
      <c r="F4" s="12">
        <v>250</v>
      </c>
      <c r="G4" s="12">
        <v>150</v>
      </c>
      <c r="H4" s="12">
        <v>2</v>
      </c>
      <c r="I4" s="12">
        <v>95</v>
      </c>
      <c r="J4" s="12" t="s">
        <v>44</v>
      </c>
      <c r="K4" s="2">
        <f t="shared" si="0"/>
        <v>6.16</v>
      </c>
      <c r="L4" s="2" t="str">
        <f t="shared" si="1"/>
        <v>비래동 457</v>
      </c>
      <c r="M4" s="12">
        <v>250</v>
      </c>
      <c r="N4" s="12">
        <v>150</v>
      </c>
      <c r="O4" s="12">
        <v>2</v>
      </c>
      <c r="P4" s="3">
        <v>6.16</v>
      </c>
      <c r="Q4" s="12" t="s">
        <v>44</v>
      </c>
      <c r="R4" s="2" t="s">
        <v>30</v>
      </c>
    </row>
    <row r="5" spans="1:18" s="8" customFormat="1" ht="21.75" customHeight="1" x14ac:dyDescent="0.3">
      <c r="A5" s="1" t="s">
        <v>54</v>
      </c>
      <c r="B5" s="1" t="s">
        <v>26</v>
      </c>
      <c r="C5" s="2" t="s">
        <v>68</v>
      </c>
      <c r="D5" s="2" t="s">
        <v>120</v>
      </c>
      <c r="E5" s="13" t="s">
        <v>133</v>
      </c>
      <c r="F5" s="12">
        <v>15</v>
      </c>
      <c r="G5" s="12">
        <v>20</v>
      </c>
      <c r="H5" s="12">
        <v>0.5</v>
      </c>
      <c r="I5" s="12">
        <v>15</v>
      </c>
      <c r="J5" s="12" t="s">
        <v>67</v>
      </c>
      <c r="K5" s="2">
        <f t="shared" ref="K5:K6" si="2">aa_water(I5,J5)</f>
        <v>5.87</v>
      </c>
      <c r="L5" s="2" t="str">
        <f t="shared" si="1"/>
        <v>비래동 418</v>
      </c>
      <c r="M5" s="12">
        <v>15</v>
      </c>
      <c r="N5" s="12">
        <v>20</v>
      </c>
      <c r="O5" s="12">
        <v>0.5</v>
      </c>
      <c r="P5" s="3">
        <v>5.87</v>
      </c>
      <c r="Q5" s="12" t="s">
        <v>67</v>
      </c>
      <c r="R5" s="2" t="s">
        <v>30</v>
      </c>
    </row>
    <row r="6" spans="1:18" s="8" customFormat="1" ht="21.75" customHeight="1" x14ac:dyDescent="0.3">
      <c r="A6" s="1" t="s">
        <v>55</v>
      </c>
      <c r="B6" s="1" t="s">
        <v>26</v>
      </c>
      <c r="C6" s="2" t="s">
        <v>68</v>
      </c>
      <c r="D6" s="2" t="s">
        <v>120</v>
      </c>
      <c r="E6" s="13" t="s">
        <v>134</v>
      </c>
      <c r="F6" s="12">
        <v>20</v>
      </c>
      <c r="G6" s="12">
        <v>20</v>
      </c>
      <c r="H6" s="12">
        <v>0.5</v>
      </c>
      <c r="I6" s="12">
        <v>15</v>
      </c>
      <c r="J6" s="12" t="s">
        <v>44</v>
      </c>
      <c r="K6" s="2">
        <f t="shared" si="2"/>
        <v>2.64</v>
      </c>
      <c r="L6" s="2" t="str">
        <f t="shared" si="1"/>
        <v>비래동 422</v>
      </c>
      <c r="M6" s="12">
        <v>20</v>
      </c>
      <c r="N6" s="12">
        <v>20</v>
      </c>
      <c r="O6" s="12">
        <v>0.5</v>
      </c>
      <c r="P6" s="3">
        <v>2.64</v>
      </c>
      <c r="Q6" s="12" t="s">
        <v>44</v>
      </c>
      <c r="R6" s="2" t="s">
        <v>30</v>
      </c>
    </row>
    <row r="7" spans="1:18" s="8" customFormat="1" ht="21.75" customHeight="1" x14ac:dyDescent="0.3">
      <c r="A7" s="1" t="s">
        <v>56</v>
      </c>
      <c r="B7" s="1" t="s">
        <v>26</v>
      </c>
      <c r="C7" s="2" t="s">
        <v>68</v>
      </c>
      <c r="D7" s="2" t="s">
        <v>120</v>
      </c>
      <c r="E7" s="13" t="s">
        <v>135</v>
      </c>
      <c r="F7" s="12">
        <v>10</v>
      </c>
      <c r="G7" s="12">
        <v>50</v>
      </c>
      <c r="H7" s="12">
        <v>0.3</v>
      </c>
      <c r="I7" s="12">
        <v>10</v>
      </c>
      <c r="J7" s="12" t="s">
        <v>31</v>
      </c>
      <c r="K7" s="2">
        <f t="shared" ref="K7" si="3">aa_water(I7,J7)</f>
        <v>5.8</v>
      </c>
      <c r="L7" s="2" t="str">
        <f t="shared" si="1"/>
        <v>비래동 423-1</v>
      </c>
      <c r="M7" s="12">
        <v>10</v>
      </c>
      <c r="N7" s="12">
        <v>50</v>
      </c>
      <c r="O7" s="12">
        <v>0.3</v>
      </c>
      <c r="P7" s="3">
        <v>5.8</v>
      </c>
      <c r="Q7" s="12" t="s">
        <v>31</v>
      </c>
      <c r="R7" s="2" t="s">
        <v>30</v>
      </c>
    </row>
    <row r="8" spans="1:18" s="8" customFormat="1" ht="21.75" customHeight="1" x14ac:dyDescent="0.3">
      <c r="A8" s="1" t="s">
        <v>136</v>
      </c>
      <c r="B8" s="1" t="s">
        <v>26</v>
      </c>
      <c r="C8" s="2" t="s">
        <v>68</v>
      </c>
      <c r="D8" s="2" t="s">
        <v>69</v>
      </c>
      <c r="E8" s="13" t="s">
        <v>142</v>
      </c>
      <c r="F8" s="12">
        <v>90</v>
      </c>
      <c r="G8" s="12">
        <v>200</v>
      </c>
      <c r="H8" s="12">
        <v>3</v>
      </c>
      <c r="I8" s="12">
        <v>95</v>
      </c>
      <c r="J8" s="12" t="s">
        <v>44</v>
      </c>
      <c r="K8" s="2">
        <f t="shared" ref="K8:K9" si="4">aa_water(I8,J8)</f>
        <v>6.16</v>
      </c>
      <c r="L8" s="2" t="str">
        <f t="shared" ref="L8:L9" si="5">D8&amp;" "&amp;E8</f>
        <v>송촌동 3</v>
      </c>
      <c r="M8" s="12">
        <v>90</v>
      </c>
      <c r="N8" s="12">
        <v>200</v>
      </c>
      <c r="O8" s="12">
        <v>3</v>
      </c>
      <c r="P8" s="3">
        <v>6.16</v>
      </c>
      <c r="Q8" s="12" t="s">
        <v>44</v>
      </c>
      <c r="R8" s="2" t="s">
        <v>30</v>
      </c>
    </row>
    <row r="9" spans="1:18" s="8" customFormat="1" ht="21.75" customHeight="1" x14ac:dyDescent="0.3">
      <c r="A9" s="1" t="s">
        <v>137</v>
      </c>
      <c r="B9" s="1" t="s">
        <v>26</v>
      </c>
      <c r="C9" s="2" t="s">
        <v>68</v>
      </c>
      <c r="D9" s="2" t="s">
        <v>157</v>
      </c>
      <c r="E9" s="13" t="s">
        <v>158</v>
      </c>
      <c r="F9" s="12">
        <v>28</v>
      </c>
      <c r="G9" s="12">
        <v>50</v>
      </c>
      <c r="H9" s="12">
        <v>0.3</v>
      </c>
      <c r="I9" s="12">
        <v>25</v>
      </c>
      <c r="J9" s="12" t="s">
        <v>31</v>
      </c>
      <c r="K9" s="2">
        <f t="shared" si="4"/>
        <v>6.01</v>
      </c>
      <c r="L9" s="2" t="str">
        <f t="shared" si="5"/>
        <v>법동 138-3</v>
      </c>
      <c r="M9" s="12">
        <v>28</v>
      </c>
      <c r="N9" s="12">
        <v>50</v>
      </c>
      <c r="O9" s="12">
        <v>0.3</v>
      </c>
      <c r="P9" s="3">
        <v>6.01</v>
      </c>
      <c r="Q9" s="12" t="s">
        <v>31</v>
      </c>
      <c r="R9" s="2" t="s">
        <v>30</v>
      </c>
    </row>
    <row r="10" spans="1:18" s="8" customFormat="1" ht="21.75" customHeight="1" x14ac:dyDescent="0.3">
      <c r="A10" s="1" t="s">
        <v>138</v>
      </c>
      <c r="B10" s="1" t="s">
        <v>26</v>
      </c>
      <c r="C10" s="2" t="s">
        <v>68</v>
      </c>
      <c r="D10" s="2" t="s">
        <v>69</v>
      </c>
      <c r="E10" s="13" t="s">
        <v>162</v>
      </c>
      <c r="F10" s="12">
        <v>10</v>
      </c>
      <c r="G10" s="12">
        <v>150</v>
      </c>
      <c r="H10" s="12">
        <v>1.5</v>
      </c>
      <c r="I10" s="12">
        <v>30</v>
      </c>
      <c r="J10" s="12" t="s">
        <v>31</v>
      </c>
      <c r="K10" s="2">
        <f t="shared" ref="K10:K11" si="6">aa_water(I10,J10)</f>
        <v>6.08</v>
      </c>
      <c r="L10" s="2" t="str">
        <f t="shared" ref="L10:L11" si="7">D10&amp;" "&amp;E10</f>
        <v>송촌동 73-1</v>
      </c>
      <c r="M10" s="12">
        <v>10</v>
      </c>
      <c r="N10" s="12">
        <v>150</v>
      </c>
      <c r="O10" s="12">
        <v>1.5</v>
      </c>
      <c r="P10" s="3">
        <v>6.08</v>
      </c>
      <c r="Q10" s="12" t="s">
        <v>31</v>
      </c>
      <c r="R10" s="2" t="s">
        <v>30</v>
      </c>
    </row>
    <row r="11" spans="1:18" s="8" customFormat="1" ht="21.75" customHeight="1" x14ac:dyDescent="0.3">
      <c r="A11" s="1" t="s">
        <v>139</v>
      </c>
      <c r="B11" s="1" t="s">
        <v>26</v>
      </c>
      <c r="C11" s="2" t="s">
        <v>68</v>
      </c>
      <c r="D11" s="2" t="s">
        <v>69</v>
      </c>
      <c r="E11" s="13" t="s">
        <v>163</v>
      </c>
      <c r="F11" s="12">
        <v>20</v>
      </c>
      <c r="G11" s="12">
        <v>150</v>
      </c>
      <c r="H11" s="12">
        <v>1.5</v>
      </c>
      <c r="I11" s="12">
        <v>30</v>
      </c>
      <c r="J11" s="12" t="s">
        <v>31</v>
      </c>
      <c r="K11" s="2">
        <f t="shared" si="6"/>
        <v>6.08</v>
      </c>
      <c r="L11" s="2" t="str">
        <f t="shared" si="7"/>
        <v>송촌동 71</v>
      </c>
      <c r="M11" s="12">
        <v>20</v>
      </c>
      <c r="N11" s="12">
        <v>150</v>
      </c>
      <c r="O11" s="12">
        <v>1.5</v>
      </c>
      <c r="P11" s="3">
        <v>6.08</v>
      </c>
      <c r="Q11" s="12" t="s">
        <v>31</v>
      </c>
      <c r="R11" s="2" t="s">
        <v>30</v>
      </c>
    </row>
    <row r="12" spans="1:18" s="8" customFormat="1" ht="21.75" customHeight="1" x14ac:dyDescent="0.3">
      <c r="A12" s="1" t="s">
        <v>159</v>
      </c>
      <c r="B12" s="1" t="s">
        <v>26</v>
      </c>
      <c r="C12" s="2" t="s">
        <v>68</v>
      </c>
      <c r="D12" s="2" t="s">
        <v>69</v>
      </c>
      <c r="E12" s="13" t="s">
        <v>164</v>
      </c>
      <c r="F12" s="12">
        <v>30</v>
      </c>
      <c r="G12" s="12">
        <v>50</v>
      </c>
      <c r="H12" s="12">
        <v>0.3</v>
      </c>
      <c r="I12" s="12">
        <v>20</v>
      </c>
      <c r="J12" s="12" t="s">
        <v>31</v>
      </c>
      <c r="K12" s="2">
        <f t="shared" ref="K12:K13" si="8">aa_water(I12,J12)</f>
        <v>5.94</v>
      </c>
      <c r="L12" s="2" t="str">
        <f t="shared" ref="L12:L13" si="9">D12&amp;" "&amp;E12</f>
        <v>송촌동 75</v>
      </c>
      <c r="M12" s="12">
        <v>30</v>
      </c>
      <c r="N12" s="12">
        <v>50</v>
      </c>
      <c r="O12" s="12">
        <v>0.3</v>
      </c>
      <c r="P12" s="3">
        <v>5.94</v>
      </c>
      <c r="Q12" s="12" t="s">
        <v>31</v>
      </c>
      <c r="R12" s="2" t="s">
        <v>30</v>
      </c>
    </row>
    <row r="13" spans="1:18" s="8" customFormat="1" ht="21.75" customHeight="1" x14ac:dyDescent="0.3">
      <c r="A13" s="1" t="s">
        <v>160</v>
      </c>
      <c r="B13" s="1" t="s">
        <v>26</v>
      </c>
      <c r="C13" s="2" t="s">
        <v>68</v>
      </c>
      <c r="D13" s="2" t="s">
        <v>69</v>
      </c>
      <c r="E13" s="13" t="s">
        <v>165</v>
      </c>
      <c r="F13" s="12">
        <v>30</v>
      </c>
      <c r="G13" s="12">
        <v>50</v>
      </c>
      <c r="H13" s="12">
        <v>0.3</v>
      </c>
      <c r="I13" s="12">
        <v>35</v>
      </c>
      <c r="J13" s="12" t="s">
        <v>31</v>
      </c>
      <c r="K13" s="2">
        <f t="shared" si="8"/>
        <v>6.15</v>
      </c>
      <c r="L13" s="2" t="str">
        <f t="shared" si="9"/>
        <v>송촌동 70</v>
      </c>
      <c r="M13" s="12">
        <v>30</v>
      </c>
      <c r="N13" s="12">
        <v>50</v>
      </c>
      <c r="O13" s="12">
        <v>0.3</v>
      </c>
      <c r="P13" s="3">
        <v>6.15</v>
      </c>
      <c r="Q13" s="12" t="s">
        <v>31</v>
      </c>
      <c r="R13" s="2" t="s">
        <v>30</v>
      </c>
    </row>
    <row r="14" spans="1:18" s="8" customFormat="1" ht="21.75" customHeight="1" x14ac:dyDescent="0.3">
      <c r="A14" s="1" t="s">
        <v>161</v>
      </c>
      <c r="B14" s="1" t="s">
        <v>26</v>
      </c>
      <c r="C14" s="2" t="s">
        <v>68</v>
      </c>
      <c r="D14" s="2" t="s">
        <v>69</v>
      </c>
      <c r="E14" s="13" t="s">
        <v>166</v>
      </c>
      <c r="F14" s="12">
        <v>30</v>
      </c>
      <c r="G14" s="12">
        <v>50</v>
      </c>
      <c r="H14" s="12">
        <v>0.3</v>
      </c>
      <c r="I14" s="12">
        <v>30</v>
      </c>
      <c r="J14" s="12" t="s">
        <v>31</v>
      </c>
      <c r="K14" s="2">
        <f t="shared" ref="K14" si="10">aa_water(I14,J14)</f>
        <v>6.08</v>
      </c>
      <c r="L14" s="2" t="str">
        <f t="shared" ref="L14" si="11">D14&amp;" "&amp;E14</f>
        <v>송촌동 69</v>
      </c>
      <c r="M14" s="12">
        <v>30</v>
      </c>
      <c r="N14" s="12">
        <v>50</v>
      </c>
      <c r="O14" s="12">
        <v>0.3</v>
      </c>
      <c r="P14" s="3">
        <v>6.08</v>
      </c>
      <c r="Q14" s="12" t="s">
        <v>31</v>
      </c>
      <c r="R14" s="2" t="s">
        <v>30</v>
      </c>
    </row>
    <row r="15" spans="1:18" s="8" customFormat="1" ht="21.75" customHeight="1" x14ac:dyDescent="0.3">
      <c r="A15" s="1"/>
      <c r="B15" s="1"/>
      <c r="C15" s="2"/>
      <c r="D15" s="2"/>
      <c r="E15" s="13"/>
      <c r="F15" s="12"/>
      <c r="G15" s="12"/>
      <c r="H15" s="12"/>
      <c r="I15" s="12"/>
      <c r="J15" s="12"/>
      <c r="K15" s="2"/>
      <c r="L15" s="2"/>
      <c r="M15" s="12"/>
      <c r="N15" s="12"/>
      <c r="O15" s="12"/>
      <c r="P15" s="3"/>
      <c r="Q15" s="12"/>
      <c r="R15" s="2"/>
    </row>
    <row r="16" spans="1:18" ht="21.75" customHeight="1" thickBot="1" x14ac:dyDescent="0.35">
      <c r="K16" s="5"/>
    </row>
    <row r="17" spans="2:12" ht="21.75" customHeight="1" x14ac:dyDescent="0.3">
      <c r="B17" s="32" t="s">
        <v>23</v>
      </c>
      <c r="C17" s="24" t="s">
        <v>22</v>
      </c>
      <c r="D17" s="25" t="s">
        <v>7</v>
      </c>
      <c r="J17" s="2" t="s">
        <v>47</v>
      </c>
      <c r="K17" s="15">
        <f>SUM(K2:K16)</f>
        <v>69.569999999999993</v>
      </c>
      <c r="L17" s="11"/>
    </row>
    <row r="18" spans="2:12" ht="21.75" customHeight="1" x14ac:dyDescent="0.3">
      <c r="B18" s="30" t="s">
        <v>20</v>
      </c>
      <c r="C18" s="22">
        <f ca="1">COUNTIF(AA_INSIDE_AREA,"O")</f>
        <v>13</v>
      </c>
      <c r="D18" s="27">
        <f ca="1">SUMIF(AA_INSIDE_AREA,"O",$K$2:$K$2)</f>
        <v>69.569999999999993</v>
      </c>
    </row>
    <row r="19" spans="2:12" ht="21.75" customHeight="1" x14ac:dyDescent="0.3">
      <c r="B19" s="30" t="s">
        <v>21</v>
      </c>
      <c r="C19" s="22">
        <f ca="1">COUNTIF(AA_INSIDE_AREA,"X")</f>
        <v>0</v>
      </c>
      <c r="D19" s="27">
        <f ca="1">SUMIF(AA_INSIDE_AREA,"X",$K$2:$K$2)</f>
        <v>0</v>
      </c>
      <c r="K19" s="4"/>
    </row>
    <row r="20" spans="2:12" ht="21.75" customHeight="1" thickBot="1" x14ac:dyDescent="0.35">
      <c r="B20" s="31"/>
      <c r="C20" s="28"/>
      <c r="D20" s="29">
        <f ca="1">D18+D19</f>
        <v>69.569999999999993</v>
      </c>
      <c r="K20" s="4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3">
          <controlPr defaultSize="0" autoLine="0" r:id="rId5">
            <anchor moveWithCells="1">
              <from>
                <xdr:col>18</xdr:col>
                <xdr:colOff>133350</xdr:colOff>
                <xdr:row>2</xdr:row>
                <xdr:rowOff>133350</xdr:rowOff>
              </from>
              <to>
                <xdr:col>19</xdr:col>
                <xdr:colOff>666750</xdr:colOff>
                <xdr:row>3</xdr:row>
                <xdr:rowOff>219075</xdr:rowOff>
              </to>
            </anchor>
          </controlPr>
        </control>
      </mc:Choice>
      <mc:Fallback>
        <control shapeId="3075" r:id="rId4" name="CommandButton3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18</xdr:col>
                <xdr:colOff>123825</xdr:colOff>
                <xdr:row>0</xdr:row>
                <xdr:rowOff>523875</xdr:rowOff>
              </from>
              <to>
                <xdr:col>19</xdr:col>
                <xdr:colOff>657225</xdr:colOff>
                <xdr:row>2</xdr:row>
                <xdr:rowOff>9525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18</xdr:col>
                <xdr:colOff>114300</xdr:colOff>
                <xdr:row>0</xdr:row>
                <xdr:rowOff>85725</xdr:rowOff>
              </from>
              <to>
                <xdr:col>19</xdr:col>
                <xdr:colOff>647700</xdr:colOff>
                <xdr:row>0</xdr:row>
                <xdr:rowOff>447675</xdr:rowOff>
              </to>
            </anchor>
          </controlPr>
        </control>
      </mc:Choice>
      <mc:Fallback>
        <control shapeId="3073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0"/>
  <sheetViews>
    <sheetView workbookViewId="0">
      <selection activeCell="M2" sqref="M2"/>
    </sheetView>
  </sheetViews>
  <sheetFormatPr defaultRowHeight="16.5" x14ac:dyDescent="0.3"/>
  <cols>
    <col min="1" max="4" width="9" style="8"/>
    <col min="5" max="5" width="9" style="9"/>
    <col min="6" max="9" width="9" style="8"/>
    <col min="10" max="10" width="13" style="8" customWidth="1"/>
    <col min="11" max="11" width="10.875" style="8" customWidth="1"/>
    <col min="12" max="12" width="19.875" customWidth="1"/>
    <col min="13" max="15" width="9" style="8"/>
    <col min="17" max="17" width="11.125" style="8" customWidth="1"/>
  </cols>
  <sheetData>
    <row r="1" spans="1:18" s="2" customFormat="1" ht="47.25" customHeight="1" x14ac:dyDescent="0.3">
      <c r="A1" s="2" t="s">
        <v>5</v>
      </c>
      <c r="B1" s="1" t="s">
        <v>0</v>
      </c>
      <c r="C1" s="1" t="s">
        <v>8</v>
      </c>
      <c r="D1" s="1" t="s">
        <v>8</v>
      </c>
      <c r="E1" s="6" t="s">
        <v>8</v>
      </c>
      <c r="F1" s="1" t="s">
        <v>1</v>
      </c>
      <c r="G1" s="1" t="s">
        <v>2</v>
      </c>
      <c r="H1" s="1" t="s">
        <v>3</v>
      </c>
      <c r="I1" s="1" t="s">
        <v>10</v>
      </c>
      <c r="K1" s="1" t="s">
        <v>7</v>
      </c>
      <c r="L1" s="1" t="s">
        <v>8</v>
      </c>
      <c r="M1" s="2" t="s">
        <v>14</v>
      </c>
      <c r="N1" s="2" t="s">
        <v>15</v>
      </c>
      <c r="O1" s="2" t="s">
        <v>19</v>
      </c>
      <c r="P1" s="2" t="s">
        <v>7</v>
      </c>
      <c r="Q1" s="2" t="s">
        <v>18</v>
      </c>
      <c r="R1" s="2" t="s">
        <v>12</v>
      </c>
    </row>
    <row r="2" spans="1:18" ht="21.75" customHeight="1" x14ac:dyDescent="0.3">
      <c r="A2" s="8" t="s">
        <v>11</v>
      </c>
      <c r="B2" s="1" t="s">
        <v>4</v>
      </c>
      <c r="C2" s="2" t="s">
        <v>68</v>
      </c>
      <c r="D2" s="2" t="s">
        <v>69</v>
      </c>
      <c r="E2" s="7"/>
      <c r="F2" s="2"/>
      <c r="G2" s="2"/>
      <c r="H2" s="2"/>
      <c r="I2" s="2"/>
      <c r="J2" s="2" t="s">
        <v>66</v>
      </c>
      <c r="K2" s="2">
        <v>0</v>
      </c>
      <c r="L2" s="2" t="str">
        <f>D2&amp;" "&amp;E2&amp;"번지"</f>
        <v>송촌동 번지</v>
      </c>
      <c r="M2" s="2"/>
      <c r="N2" s="2"/>
      <c r="O2" s="2"/>
      <c r="P2" s="2"/>
      <c r="Q2" s="2"/>
      <c r="R2" s="8" t="s">
        <v>169</v>
      </c>
    </row>
    <row r="3" spans="1:18" ht="21.75" customHeight="1" x14ac:dyDescent="0.3"/>
    <row r="4" spans="1:18" ht="21.75" customHeight="1" x14ac:dyDescent="0.3"/>
    <row r="5" spans="1:18" ht="21.75" customHeight="1" x14ac:dyDescent="0.3">
      <c r="J5" s="8" t="s">
        <v>47</v>
      </c>
      <c r="K5" s="16">
        <f>SUM(K2:K4)</f>
        <v>0</v>
      </c>
    </row>
    <row r="6" spans="1:18" ht="18.75" customHeight="1" thickBot="1" x14ac:dyDescent="0.35"/>
    <row r="7" spans="1:18" ht="18.75" customHeight="1" x14ac:dyDescent="0.3">
      <c r="B7" s="32" t="s">
        <v>46</v>
      </c>
      <c r="C7" s="24" t="s">
        <v>22</v>
      </c>
      <c r="D7" s="25" t="s">
        <v>7</v>
      </c>
      <c r="K7" s="4"/>
    </row>
    <row r="8" spans="1:18" ht="18.75" customHeight="1" x14ac:dyDescent="0.3">
      <c r="B8" s="30" t="s">
        <v>20</v>
      </c>
      <c r="C8" s="22">
        <f ca="1">COUNTIF(II_INSIDE_AREA,"O")</f>
        <v>0</v>
      </c>
      <c r="D8" s="27">
        <f ca="1">SUMIF(II_INSIDE_AREA,"O",$K$2:$K$2)</f>
        <v>0</v>
      </c>
      <c r="K8" s="4"/>
    </row>
    <row r="9" spans="1:18" ht="18.75" customHeight="1" x14ac:dyDescent="0.3">
      <c r="B9" s="30" t="s">
        <v>21</v>
      </c>
      <c r="C9" s="22">
        <f ca="1">COUNTIF(II_INSIDE_AREA,"X")</f>
        <v>1</v>
      </c>
      <c r="D9" s="27">
        <f ca="1">SUMIF(II_INSIDE_AREA,"X",$K$2:$K$2)</f>
        <v>0</v>
      </c>
    </row>
    <row r="10" spans="1:18" ht="18.75" customHeight="1" thickBot="1" x14ac:dyDescent="0.35">
      <c r="B10" s="31"/>
      <c r="C10" s="28"/>
      <c r="D10" s="29">
        <f ca="1">D8+D9</f>
        <v>0</v>
      </c>
    </row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133350</xdr:colOff>
                <xdr:row>0</xdr:row>
                <xdr:rowOff>133350</xdr:rowOff>
              </from>
              <to>
                <xdr:col>19</xdr:col>
                <xdr:colOff>666750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18</xdr:col>
                <xdr:colOff>133350</xdr:colOff>
                <xdr:row>0</xdr:row>
                <xdr:rowOff>523875</xdr:rowOff>
              </from>
              <to>
                <xdr:col>19</xdr:col>
                <xdr:colOff>666750</xdr:colOff>
                <xdr:row>2</xdr:row>
                <xdr:rowOff>9525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9" r:id="rId8" name="CommandButton3">
          <controlPr defaultSize="0" autoLine="0" r:id="rId9">
            <anchor moveWithCells="1">
              <from>
                <xdr:col>20</xdr:col>
                <xdr:colOff>76200</xdr:colOff>
                <xdr:row>0</xdr:row>
                <xdr:rowOff>276225</xdr:rowOff>
              </from>
              <to>
                <xdr:col>21</xdr:col>
                <xdr:colOff>609600</xdr:colOff>
                <xdr:row>1</xdr:row>
                <xdr:rowOff>38100</xdr:rowOff>
              </to>
            </anchor>
          </controlPr>
        </control>
      </mc:Choice>
      <mc:Fallback>
        <control shapeId="4099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2022-04-29T00:49:49Z</dcterms:modified>
</cp:coreProperties>
</file>