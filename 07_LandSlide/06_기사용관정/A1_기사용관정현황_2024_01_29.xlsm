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3D1FF627-5439-467D-8C5C-6F0A9AA8B9EE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aa!$L$25</definedName>
    <definedName name="SUM_II">ii!$L$5</definedName>
    <definedName name="SUM_SS">ss!$L$25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28" i="8" l="1"/>
  <c r="E28" i="8" s="1"/>
  <c r="F27" i="8"/>
  <c r="E27" i="8" s="1"/>
  <c r="J9" i="12"/>
  <c r="M2" i="10"/>
  <c r="D9" i="11" l="1"/>
  <c r="C9" i="11"/>
  <c r="D8" i="11"/>
  <c r="L5" i="11"/>
  <c r="C8" i="11" s="1"/>
  <c r="M2" i="11"/>
  <c r="C27" i="10"/>
  <c r="C26" i="10"/>
  <c r="J28" i="8" l="1"/>
  <c r="I28" i="8" s="1"/>
  <c r="J27" i="8"/>
  <c r="I27" i="8" s="1"/>
  <c r="D27" i="10"/>
  <c r="D10" i="11"/>
  <c r="D26" i="10"/>
  <c r="L25" i="10"/>
  <c r="L25" i="8"/>
  <c r="H28" i="8" l="1"/>
  <c r="H27" i="8"/>
  <c r="L27" i="8"/>
  <c r="D28" i="10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<sst xmlns="http://schemas.openxmlformats.org/spreadsheetml/2006/main" count="5242" uniqueCount="659">
  <si>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</si>
  <si>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</si>
  <si>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</si>
  <si>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</si>
  <si>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</si>
  <si>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</si>
  <si>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</si>
  <si>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</si>
  <si>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</si>
  <si>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</si>
  <si>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</si>
  <si>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</si>
  <si>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</si>
  <si>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</si>
  <si>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</si>
  <si>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</si>
  <si>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</si>
  <si>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</si>
  <si>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</si>
  <si>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</si>
  <si>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</si>
  <si>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</si>
  <si>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</si>
  <si>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</si>
  <si>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</si>
  <si>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</si>
  <si>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</si>
  <si>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</si>
  <si>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</si>
  <si>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</si>
  <si>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</si>
  <si>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</si>
  <si>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</si>
  <si>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</si>
  <si>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</si>
  <si>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</si>
  <si>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</si>
  <si>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</si>
  <si>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</si>
  <si>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</si>
  <si>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</si>
  <si>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</si>
  <si>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</si>
  <si>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</si>
  <si>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</si>
  <si>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</si>
  <si>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</si>
  <si>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</si>
  <si>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</si>
  <si>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</si>
  <si>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</si>
  <si>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</si>
  <si>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</si>
  <si>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</si>
  <si>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</si>
  <si>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</si>
  <si>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</si>
  <si>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</si>
  <si>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</si>
  <si>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</si>
  <si>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</si>
  <si>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</si>
  <si>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</si>
  <si>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</si>
  <si>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</si>
  <si>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</si>
  <si>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</si>
  <si>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</si>
  <si>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</si>
  <si>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</si>
  <si>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</si>
  <si>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</si>
  <si>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</si>
  <si>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</si>
  <si>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</si>
  <si>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</si>
  <si>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</si>
  <si>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</si>
  <si>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</si>
  <si>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</si>
  <si>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</si>
  <si>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</si>
  <si>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</si>
  <si>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</si>
  <si>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</si>
  <si>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</si>
  <si>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</si>
  <si>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</si>
  <si>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</si>
  <si>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</si>
  <si>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</si>
  <si>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</si>
  <si>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</si>
  <si>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</si>
  <si>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</si>
  <si>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</si>
  <si>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</si>
  <si>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</si>
  <si>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</si>
  <si>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</si>
  <si>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</si>
  <si>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</si>
  <si>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</si>
  <si>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</si>
  <si>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</si>
  <si>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</si>
  <si>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</si>
  <si>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</si>
  <si>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</si>
  <si>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</si>
  <si>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</si>
  <si>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</si>
  <si>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</si>
  <si>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</si>
  <si>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</si>
  <si>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</si>
  <si>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</si>
  <si>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</si>
  <si>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</si>
  <si>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</si>
  <si>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</si>
  <si>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</si>
  <si>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</si>
  <si>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</si>
  <si>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</si>
  <si>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</si>
  <si>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</si>
  <si>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</si>
  <si>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</si>
  <si>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</si>
  <si>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</si>
  <si>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</si>
  <si>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</si>
  <si>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</si>
  <si>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</si>
  <si>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</si>
  <si>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</si>
  <si>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</si>
  <si>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</si>
  <si>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</si>
  <si>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</si>
  <si>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</si>
  <si>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</si>
  <si>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</si>
  <si>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</si>
  <si>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</si>
  <si>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</si>
  <si>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</si>
  <si>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</si>
  <si>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</si>
  <si>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</si>
  <si>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</si>
  <si>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</si>
  <si>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</si>
  <si>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</si>
  <si>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</si>
  <si>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</si>
  <si>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</si>
  <si>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</si>
  <si>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</si>
  <si>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</si>
  <si>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</si>
  <si>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</si>
  <si>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</si>
  <si>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</si>
  <si>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</si>
  <si>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</si>
  <si>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</si>
  <si>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</si>
  <si>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</si>
  <si>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</si>
  <si>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</si>
  <si>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</si>
  <si>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</si>
  <si>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</si>
  <si>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</si>
  <si>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</si>
  <si>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</si>
  <si>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</si>
  <si>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</si>
  <si>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</si>
  <si>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</si>
  <si>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</si>
  <si>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</si>
  <si>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</si>
  <si>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</si>
  <si>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</si>
  <si>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</si>
  <si>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</si>
  <si>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</si>
  <si>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</si>
  <si>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</si>
  <si>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</si>
  <si>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</si>
  <si>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</si>
  <si>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</si>
  <si>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</si>
  <si>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</si>
  <si>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</si>
  <si>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</si>
  <si>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</si>
  <si>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</si>
  <si>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</si>
  <si>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</si>
  <si>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</si>
  <si>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</si>
  <si>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</si>
  <si>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</si>
  <si>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</si>
  <si>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</si>
  <si>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</si>
  <si>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</si>
  <si>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</si>
  <si>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</si>
  <si>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</si>
  <si>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</si>
  <si>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</si>
  <si>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</si>
  <si>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</si>
  <si>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</si>
  <si>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</si>
  <si>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</si>
  <si>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</si>
  <si>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</si>
  <si>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</si>
  <si>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</si>
  <si>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</si>
  <si>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</si>
  <si>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</si>
  <si>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</si>
  <si>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</si>
  <si>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</si>
  <si>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</si>
  <si>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</si>
  <si>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</si>
  <si>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</si>
  <si>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</si>
  <si>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</si>
  <si>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</si>
  <si>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</si>
  <si>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</si>
  <si>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</si>
  <si>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</si>
  <si>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</si>
  <si>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</si>
  <si>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</si>
  <si>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</si>
  <si>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</si>
  <si>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</si>
  <si>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</si>
  <si>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</si>
  <si>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</si>
  <si>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</si>
  <si>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</si>
  <si>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</si>
  <si>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</si>
  <si>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</si>
  <si>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</si>
  <si>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</si>
  <si>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</si>
  <si>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</si>
  <si>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</si>
  <si>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</si>
  <si>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</si>
  <si>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</si>
  <si>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</si>
  <si>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</si>
  <si>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</si>
  <si>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</si>
  <si>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</si>
  <si>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</si>
  <si>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</si>
  <si>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</si>
  <si>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</si>
  <si>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</si>
  <si>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</si>
  <si>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</si>
  <si>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</si>
  <si>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</si>
  <si>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</si>
  <si>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</si>
  <si>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</si>
  <si>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</si>
  <si>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</si>
  <si>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</si>
  <si>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</si>
  <si>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</si>
  <si>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</si>
  <si>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</si>
  <si>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</si>
  <si>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</si>
  <si>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</si>
  <si>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</si>
  <si>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</si>
  <si>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</si>
  <si>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</si>
  <si>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</si>
  <si>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</si>
  <si>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</si>
  <si>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</si>
  <si>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</si>
  <si>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</si>
  <si>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</si>
  <si>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</si>
  <si>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</si>
  <si>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</si>
  <si>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</si>
  <si>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</si>
  <si>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</si>
  <si>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</si>
  <si>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</si>
  <si>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</si>
  <si>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</si>
  <si>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</si>
  <si>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</si>
  <si>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</si>
  <si>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</si>
  <si>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</si>
  <si>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</si>
  <si>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</si>
  <si>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</si>
  <si>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</si>
  <si>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</si>
  <si>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</si>
  <si>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</si>
  <si>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</si>
  <si>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</si>
  <si>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</si>
  <si>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</si>
  <si>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</si>
  <si>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</si>
  <si>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</si>
  <si>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</si>
  <si>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</si>
  <si>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</si>
  <si>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</si>
  <si>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</si>
  <si>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</si>
  <si>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</si>
  <si>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</si>
  <si>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</si>
  <si>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</si>
  <si>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</si>
  <si>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</si>
  <si>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</si>
  <si>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</si>
  <si>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</si>
  <si>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</si>
  <si>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</si>
  <si>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</si>
  <si>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</si>
  <si>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</si>
  <si>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</si>
  <si>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</si>
  <si>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</si>
  <si>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</si>
  <si>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</si>
  <si>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</si>
  <si>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</si>
  <si>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</si>
  <si>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</si>
  <si>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</si>
  <si>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</si>
  <si>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</si>
  <si>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</si>
  <si>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</si>
  <si>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</si>
  <si>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</si>
  <si>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</si>
  <si>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</si>
  <si>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</si>
  <si>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</si>
  <si>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</si>
  <si>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</si>
  <si>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</si>
  <si>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</si>
  <si>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</si>
  <si>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</si>
  <si>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</si>
  <si>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</si>
  <si>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</si>
  <si>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</si>
  <si>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</si>
  <si>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</si>
  <si>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</si>
  <si>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</si>
  <si>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</si>
  <si>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</si>
  <si>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</si>
  <si>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</si>
  <si>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</si>
  <si>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</si>
  <si>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</si>
  <si>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</si>
  <si>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</si>
  <si>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</si>
  <si>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</si>
  <si>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</si>
  <si>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</si>
  <si>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</si>
  <si>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</si>
  <si>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</si>
  <si>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</si>
  <si>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</si>
  <si>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</si>
  <si>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</si>
  <si>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</si>
  <si>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</si>
  <si>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</si>
  <si>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</si>
  <si>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</si>
  <si>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</si>
  <si>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</si>
  <si>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</si>
  <si>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</si>
  <si>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</si>
  <si>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</si>
  <si>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</si>
  <si>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</si>
  <si>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</si>
  <si>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</si>
  <si>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</si>
  <si>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</si>
  <si>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</si>
  <si>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</si>
  <si>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</si>
  <si>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</si>
  <si>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</si>
  <si>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</si>
  <si>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</si>
  <si>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</si>
  <si>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</si>
  <si>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</si>
  <si>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</si>
  <si>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</si>
  <si>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</si>
  <si>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</si>
  <si>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</si>
  <si>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</si>
  <si>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</si>
  <si>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</si>
  <si>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</si>
  <si>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</si>
  <si>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</si>
  <si>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</si>
  <si>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</si>
  <si>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</si>
  <si>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</si>
  <si>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</si>
  <si>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</si>
  <si>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</si>
  <si>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</si>
  <si>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</si>
  <si>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</si>
  <si>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</si>
  <si>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</si>
  <si>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</si>
  <si>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</si>
  <si>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</si>
  <si>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</si>
  <si>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</si>
  <si>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</si>
  <si>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</si>
  <si>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</si>
  <si>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</si>
  <si>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</si>
  <si>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</si>
  <si>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</si>
  <si>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</si>
  <si>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</si>
  <si>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</si>
  <si>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</si>
  <si>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</si>
  <si>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</si>
  <si>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</si>
  <si>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</si>
  <si>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</si>
  <si>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</si>
  <si>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</si>
  <si>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</si>
  <si>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</si>
  <si>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</si>
  <si>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</si>
  <si>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</si>
  <si>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</si>
  <si>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</si>
  <si>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</si>
  <si>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</si>
  <si>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</si>
  <si>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</si>
  <si>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</si>
  <si>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</si>
  <si>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</si>
  <si>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</si>
  <si>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</si>
  <si>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</si>
  <si>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</si>
  <si>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</si>
  <si>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</si>
  <si>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</si>
  <si>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</si>
  <si>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</si>
  <si>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</si>
  <si>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</si>
  <si>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</si>
  <si>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</si>
  <si>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</si>
  <si>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</si>
  <si>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</si>
  <si>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</si>
  <si>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</si>
  <si>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</si>
  <si>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</si>
  <si>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</si>
  <si>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</si>
  <si>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</si>
  <si>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</si>
  <si>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</si>
  <si>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</si>
  <si>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</si>
  <si>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</si>
  <si>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</si>
  <si>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</si>
  <si>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</si>
  <si>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</si>
  <si>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</si>
  <si>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</si>
  <si>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</si>
  <si>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</si>
  <si>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</si>
  <si>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</si>
  <si>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</si>
  <si>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</si>
  <si>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</si>
  <si>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</si>
  <si>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</si>
  <si>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</si>
  <si>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</si>
  <si>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</si>
  <si>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</si>
  <si>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</si>
  <si>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</si>
  <si>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</si>
  <si>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</si>
  <si>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</si>
  <si>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</si>
  <si>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</si>
  <si>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</si>
  <si>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</si>
  <si>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</si>
  <si>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</si>
  <si>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</si>
  <si>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</si>
  <si>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</si>
  <si>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</si>
  <si>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</si>
  <si>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</si>
  <si>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</si>
  <si>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</si>
  <si>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</si>
  <si>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</si>
  <si>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</si>
  <si>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</si>
  <si>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</si>
  <si>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</si>
  <si>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</si>
  <si>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</si>
  <si>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</si>
  <si>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</si>
  <si>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</si>
  <si>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</si>
  <si>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</si>
  <si>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</si>
  <si>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</si>
  <si>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</si>
  <si>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</si>
  <si>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</si>
  <si>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</si>
  <si>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</si>
  <si>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</si>
  <si>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</si>
  <si>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</si>
  <si>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</si>
  <si>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</si>
  <si>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</si>
  <si>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</si>
  <si>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</si>
  <si>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</si>
  <si>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</si>
  <si>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</si>
  <si>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</si>
  <si>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</si>
  <si>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</si>
  <si>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</si>
  <si>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</si>
  <si>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</si>
  <si>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</si>
  <si>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</si>
  <si>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</si>
  <si>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</si>
  <si>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</si>
  <si>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</si>
  <si>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</si>
  <si>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</si>
  <si>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</si>
  <si>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</si>
  <si>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</si>
  <si>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</si>
  <si>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</si>
  <si>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</si>
  <si>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</si>
  <si>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</si>
  <si>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</si>
  <si>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</si>
  <si>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</si>
  <si>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</si>
  <si>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</si>
  <si>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</si>
  <si>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</si>
  <si>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</si>
  <si>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</si>
  <si>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</si>
  <si>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</si>
  <si>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</si>
  <si>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</si>
  <si>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</si>
  <si>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</si>
  <si>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</si>
  <si>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</si>
  <si>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</si>
  <si>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</si>
  <si>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</si>
  <si>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주포면</t>
    <phoneticPr fontId="19" type="noConversion"/>
  </si>
  <si>
    <t>봉당리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</si>
  <si>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</si>
  <si>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</si>
  <si>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</si>
  <si>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</si>
  <si>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</si>
  <si>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</si>
  <si>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</si>
  <si>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</si>
  <si>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</si>
  <si>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관산리</t>
    <phoneticPr fontId="19" type="noConversion"/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</si>
  <si>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</si>
  <si>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</si>
  <si>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</si>
  <si>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</si>
  <si>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</si>
  <si>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</si>
  <si>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</si>
  <si>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</si>
  <si>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</si>
  <si>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</si>
  <si>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</si>
  <si>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</si>
  <si>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</si>
  <si>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청소용</t>
    <phoneticPr fontId="19" type="noConversion"/>
  </si>
  <si>
    <t>축산용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</si>
</sst>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BD8F8363-B61D-EFE9-F4FE-E03200FA5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F18" sqref="F18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632</v>
      </c>
      <c r="D2" s="2" t="s">
        <v>643</v>
      </c>
      <c r="I2" s="2"/>
      <c r="J2" s="2"/>
      <c r="K2" s="2" t="s">
        <v>146</v>
      </c>
      <c r="L2" s="12">
        <v>0.67</v>
      </c>
      <c r="M2" s="2" t="str">
        <f>D2&amp;" " &amp; E2</f>
        <v xml:space="preserve">관산리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632</v>
      </c>
      <c r="D3" s="2" t="s">
        <v>643</v>
      </c>
      <c r="I3" s="2"/>
      <c r="J3" s="2"/>
      <c r="K3" s="2" t="s">
        <v>146</v>
      </c>
      <c r="L3" s="12">
        <v>0.67</v>
      </c>
      <c r="M3" s="2" t="str">
        <f t="shared" ref="M3:M9" si="0">D3&amp;" " &amp; E3</f>
        <v xml:space="preserve">관산리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632</v>
      </c>
      <c r="D4" s="2" t="s">
        <v>643</v>
      </c>
      <c r="I4" s="2"/>
      <c r="J4" s="2"/>
      <c r="K4" s="2" t="s">
        <v>146</v>
      </c>
      <c r="L4" s="12">
        <v>0.67</v>
      </c>
      <c r="M4" s="2" t="str">
        <f t="shared" si="0"/>
        <v xml:space="preserve">관산리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632</v>
      </c>
      <c r="D5" s="2" t="s">
        <v>643</v>
      </c>
      <c r="I5" s="2"/>
      <c r="J5" s="2"/>
      <c r="K5" s="2" t="s">
        <v>146</v>
      </c>
      <c r="L5" s="12">
        <v>0.67</v>
      </c>
      <c r="M5" s="2" t="str">
        <f t="shared" si="0"/>
        <v xml:space="preserve">관산리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632</v>
      </c>
      <c r="D6" s="2" t="s">
        <v>643</v>
      </c>
      <c r="I6" s="2"/>
      <c r="J6" s="2"/>
      <c r="K6" s="2" t="s">
        <v>148</v>
      </c>
      <c r="L6" s="12">
        <v>0.67</v>
      </c>
      <c r="M6" s="2" t="str">
        <f t="shared" si="0"/>
        <v xml:space="preserve">관산리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632</v>
      </c>
      <c r="D7" s="2" t="s">
        <v>643</v>
      </c>
      <c r="I7" s="2"/>
      <c r="J7" s="2"/>
      <c r="K7" s="2" t="s">
        <v>146</v>
      </c>
      <c r="L7" s="12">
        <v>0.67</v>
      </c>
      <c r="M7" s="2" t="str">
        <f t="shared" si="0"/>
        <v xml:space="preserve">관산리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632</v>
      </c>
      <c r="D8" s="2" t="s">
        <v>643</v>
      </c>
      <c r="I8" s="2"/>
      <c r="J8" s="2"/>
      <c r="K8" s="2" t="s">
        <v>149</v>
      </c>
      <c r="L8" s="12">
        <v>4.76</v>
      </c>
      <c r="M8" s="2" t="str">
        <f t="shared" si="0"/>
        <v xml:space="preserve">관산리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632</v>
      </c>
      <c r="D9" s="2" t="s">
        <v>643</v>
      </c>
      <c r="I9" s="2"/>
      <c r="J9" s="2"/>
      <c r="K9" s="2" t="s">
        <v>657</v>
      </c>
      <c r="L9" s="12">
        <v>0.67</v>
      </c>
      <c r="M9" s="2" t="str">
        <f t="shared" si="0"/>
        <v xml:space="preserve">관산리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632</v>
      </c>
      <c r="D10" s="2" t="s">
        <v>643</v>
      </c>
      <c r="I10" s="2"/>
      <c r="J10" s="2"/>
      <c r="K10" s="2" t="s">
        <v>147</v>
      </c>
      <c r="L10" s="12">
        <v>0.67</v>
      </c>
      <c r="M10" s="2" t="str">
        <f t="shared" ref="M10:M11" si="1">D10&amp;" " &amp; E10</f>
        <v xml:space="preserve">관산리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632</v>
      </c>
      <c r="D11" s="2" t="s">
        <v>643</v>
      </c>
      <c r="I11" s="2"/>
      <c r="J11" s="2"/>
      <c r="K11" s="2" t="s">
        <v>146</v>
      </c>
      <c r="L11" s="12">
        <v>4.53</v>
      </c>
      <c r="M11" s="2" t="str">
        <f t="shared" si="1"/>
        <v xml:space="preserve">관산리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632</v>
      </c>
      <c r="D12" s="2" t="s">
        <v>633</v>
      </c>
      <c r="I12" s="2"/>
      <c r="J12" s="2"/>
      <c r="K12" s="2" t="s">
        <v>657</v>
      </c>
      <c r="L12" s="12">
        <v>3.8</v>
      </c>
      <c r="M12" s="2" t="str">
        <f t="shared" ref="M12:M13" si="2">D12&amp;" " &amp; E12</f>
        <v xml:space="preserve">봉당리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632</v>
      </c>
      <c r="D13" s="2" t="s">
        <v>643</v>
      </c>
      <c r="I13" s="2"/>
      <c r="J13" s="2"/>
      <c r="K13" s="2" t="s">
        <v>149</v>
      </c>
      <c r="L13" s="12">
        <v>0.67</v>
      </c>
      <c r="M13" s="2" t="str">
        <f t="shared" si="2"/>
        <v xml:space="preserve">관산리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632</v>
      </c>
      <c r="D14" s="2" t="s">
        <v>643</v>
      </c>
      <c r="I14" s="2"/>
      <c r="J14" s="2"/>
      <c r="K14" s="2" t="s">
        <v>146</v>
      </c>
      <c r="L14" s="12">
        <v>0.67</v>
      </c>
      <c r="M14" s="2" t="str">
        <f t="shared" ref="M14:M15" si="3">D14&amp;" " &amp; E14</f>
        <v xml:space="preserve">관산리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632</v>
      </c>
      <c r="D15" s="2" t="s">
        <v>643</v>
      </c>
      <c r="I15" s="2"/>
      <c r="J15" s="2"/>
      <c r="K15" s="2" t="s">
        <v>146</v>
      </c>
      <c r="L15" s="12">
        <v>0.67</v>
      </c>
      <c r="M15" s="2" t="str">
        <f t="shared" si="3"/>
        <v xml:space="preserve">관산리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632</v>
      </c>
      <c r="D16" s="2" t="s">
        <v>643</v>
      </c>
      <c r="I16" s="2"/>
      <c r="J16" s="2"/>
      <c r="K16" s="2" t="s">
        <v>146</v>
      </c>
      <c r="L16" s="12">
        <v>0.67</v>
      </c>
      <c r="M16" s="2" t="str">
        <f t="shared" ref="M16:M17" si="4">D16&amp;" " &amp; E16</f>
        <v xml:space="preserve">관산리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632</v>
      </c>
      <c r="D17" s="2" t="s">
        <v>643</v>
      </c>
      <c r="I17" s="2"/>
      <c r="J17" s="2"/>
      <c r="K17" s="2" t="s">
        <v>146</v>
      </c>
      <c r="L17" s="12">
        <v>0.67</v>
      </c>
      <c r="M17" s="2" t="str">
        <f t="shared" si="4"/>
        <v xml:space="preserve">관산리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632</v>
      </c>
      <c r="D18" s="2" t="s">
        <v>643</v>
      </c>
      <c r="I18" s="2"/>
      <c r="J18" s="2"/>
      <c r="K18" s="2" t="s">
        <v>146</v>
      </c>
      <c r="L18" s="12">
        <v>0.67</v>
      </c>
      <c r="M18" s="2" t="str">
        <f t="shared" ref="M18:M19" si="5">D18&amp;" " &amp; E18</f>
        <v xml:space="preserve">관산리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632</v>
      </c>
      <c r="D19" s="2" t="s">
        <v>643</v>
      </c>
      <c r="I19" s="2"/>
      <c r="J19" s="2"/>
      <c r="K19" s="2" t="s">
        <v>146</v>
      </c>
      <c r="L19" s="12">
        <v>0.67</v>
      </c>
      <c r="M19" s="2" t="str">
        <f t="shared" si="5"/>
        <v xml:space="preserve">관산리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632</v>
      </c>
      <c r="D20" s="2" t="s">
        <v>643</v>
      </c>
      <c r="I20" s="2"/>
      <c r="J20" s="2"/>
      <c r="K20" s="2" t="s">
        <v>146</v>
      </c>
      <c r="L20" s="12">
        <v>0.67</v>
      </c>
      <c r="M20" s="2" t="str">
        <f t="shared" ref="M20" si="6">D20&amp;" " &amp; E20</f>
        <v xml:space="preserve">관산리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632</v>
      </c>
      <c r="D21" s="2" t="s">
        <v>643</v>
      </c>
      <c r="I21" s="2"/>
      <c r="J21" s="2"/>
      <c r="K21" s="2" t="s">
        <v>146</v>
      </c>
      <c r="L21" s="12">
        <v>0.67</v>
      </c>
      <c r="M21" s="2" t="str">
        <f t="shared" ref="M21:M22" si="7">D21&amp;" " &amp; E21</f>
        <v xml:space="preserve">관산리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632</v>
      </c>
      <c r="D22" s="2" t="s">
        <v>643</v>
      </c>
      <c r="I22" s="2"/>
      <c r="J22" s="2"/>
      <c r="K22" s="2" t="s">
        <v>146</v>
      </c>
      <c r="L22" s="12">
        <v>0.67</v>
      </c>
      <c r="M22" s="2" t="str">
        <f t="shared" si="7"/>
        <v xml:space="preserve">관산리 </v>
      </c>
      <c r="S22" s="2" t="s">
        <v>11</v>
      </c>
    </row>
    <row r="23" spans="1:19" ht="21" customHeight="1">
      <c r="B23" s="1"/>
      <c r="I23" s="2"/>
      <c r="J23" s="2"/>
      <c r="L23" s="12"/>
    </row>
    <row r="24" spans="1:19" ht="21.75" customHeight="1">
      <c r="B24" s="1"/>
      <c r="I24" s="2"/>
      <c r="J24" s="2"/>
      <c r="L24" s="12"/>
    </row>
    <row r="25" spans="1:19" ht="21.75" customHeight="1" thickBot="1">
      <c r="K25" s="2" t="s">
        <v>33</v>
      </c>
      <c r="L25" s="35">
        <f>SUM(L2:L24)</f>
        <v>25.15000000000002</v>
      </c>
    </row>
    <row r="26" spans="1:19" ht="21.75" customHeight="1">
      <c r="B26" s="13" t="s">
        <v>253</v>
      </c>
      <c r="C26" s="49" t="s">
        <v>254</v>
      </c>
      <c r="D26" s="50"/>
      <c r="E26" s="49" t="s">
        <v>257</v>
      </c>
      <c r="F26" s="50"/>
      <c r="G26" s="49" t="s">
        <v>258</v>
      </c>
      <c r="H26" s="50"/>
      <c r="I26" s="49" t="s">
        <v>259</v>
      </c>
      <c r="J26" s="51"/>
      <c r="L26" s="11"/>
    </row>
    <row r="27" spans="1:19" ht="21.75" customHeight="1">
      <c r="B27" s="18" t="s">
        <v>255</v>
      </c>
      <c r="C27" s="15">
        <f ca="1">E27+G27+I27</f>
        <v>43</v>
      </c>
      <c r="D27" s="15">
        <f ca="1">F27+H27+J27</f>
        <v>135.99</v>
      </c>
      <c r="E27" s="15">
        <f ca="1">IF(F27=0,0,COUNTIF(SS_INSIDE_AREA,"O"))</f>
        <v>21</v>
      </c>
      <c r="F27" s="15">
        <f ca="1">SUMIF(SS_INSIDE_AREA,"O",$L$2:$L$2)</f>
        <v>25.15000000000002</v>
      </c>
      <c r="G27" s="15">
        <f ca="1">IF(H27=0,0,COUNTIF(AA_INSIDE_AREA,"O"))</f>
        <v>21</v>
      </c>
      <c r="H27" s="15">
        <f ca="1">aa!$D$26</f>
        <v>107.84</v>
      </c>
      <c r="I27" s="15">
        <f ca="1">IF(J27=0,0,COUNTIF(II_INSIDE_AREA,"O"))</f>
        <v>1</v>
      </c>
      <c r="J27" s="19">
        <f ca="1">ii!$D$8</f>
        <v>3</v>
      </c>
      <c r="K27" s="2" t="s">
        <v>30</v>
      </c>
      <c r="L27" s="36">
        <f>L25+aa!L25+ii!L5</f>
        <v>135.99</v>
      </c>
    </row>
    <row r="28" spans="1:19" ht="21.75" customHeight="1" thickBot="1">
      <c r="B28" s="14" t="s">
        <v>256</v>
      </c>
      <c r="C28" s="20">
        <f ca="1">E28+G28+I28</f>
        <v>0</v>
      </c>
      <c r="D28" s="20">
        <f ca="1">F28+H28+J28</f>
        <v>0</v>
      </c>
      <c r="E28" s="20">
        <f ca="1">IF(F28=0,0,COUNTIF(SS_INSIDE_AREA,"X"))</f>
        <v>0</v>
      </c>
      <c r="F28" s="20">
        <f ca="1">SUMIF(SS_INSIDE_AREA,"X",$L$2:$L$2)</f>
        <v>0</v>
      </c>
      <c r="G28" s="20">
        <f ca="1">IF(H28=0,0,COUNTIF(AA_INSIDE_AREA,"X"))</f>
        <v>0</v>
      </c>
      <c r="H28" s="20">
        <f ca="1">aa!$D$27</f>
        <v>0</v>
      </c>
      <c r="I28" s="20">
        <f ca="1">IF(J28=0,0,COUNTIF(II_INSIDE_AREA,"X"))</f>
        <v>0</v>
      </c>
      <c r="J28" s="21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3" t="s">
        <v>31</v>
      </c>
      <c r="L29" s="37">
        <f ca="1">D27</f>
        <v>135.99</v>
      </c>
    </row>
    <row r="30" spans="1:19" ht="21.75" customHeight="1" thickBot="1">
      <c r="B30"/>
      <c r="C30"/>
      <c r="D30"/>
      <c r="E30"/>
      <c r="F30"/>
      <c r="G30"/>
      <c r="H30"/>
      <c r="I30"/>
      <c r="K30" s="14" t="s">
        <v>32</v>
      </c>
      <c r="L30" s="38">
        <f ca="1">C27</f>
        <v>43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topLeftCell="A7" workbookViewId="0">
      <selection activeCell="I10" sqref="I10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632</v>
      </c>
      <c r="D2" s="2" t="s">
        <v>643</v>
      </c>
      <c r="E2" s="10"/>
      <c r="F2" s="9"/>
      <c r="G2" s="9"/>
      <c r="H2" s="9"/>
      <c r="I2" s="9"/>
      <c r="J2" s="9"/>
      <c r="K2" s="9" t="s">
        <v>654</v>
      </c>
      <c r="L2" s="2">
        <v>2.52</v>
      </c>
      <c r="M2" s="28" t="str">
        <f>D2&amp;" "&amp;E2</f>
        <v xml:space="preserve">관산리 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634</v>
      </c>
      <c r="B3" s="1" t="s">
        <v>2</v>
      </c>
      <c r="C3" s="2" t="s">
        <v>632</v>
      </c>
      <c r="D3" s="2" t="s">
        <v>643</v>
      </c>
      <c r="E3" s="10"/>
      <c r="F3" s="9"/>
      <c r="G3" s="9"/>
      <c r="H3" s="9"/>
      <c r="I3" s="9"/>
      <c r="J3" s="9"/>
      <c r="K3" s="9" t="s">
        <v>654</v>
      </c>
      <c r="L3" s="2">
        <v>5.0999999999999996</v>
      </c>
      <c r="M3" s="28" t="str">
        <f t="shared" ref="M3:M4" si="0">D3&amp;" "&amp;E3</f>
        <v xml:space="preserve">관산리 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632</v>
      </c>
      <c r="D4" s="2" t="s">
        <v>643</v>
      </c>
      <c r="E4" s="10"/>
      <c r="F4" s="9"/>
      <c r="G4" s="9"/>
      <c r="H4" s="9"/>
      <c r="I4" s="9"/>
      <c r="J4" s="9"/>
      <c r="K4" s="9" t="s">
        <v>654</v>
      </c>
      <c r="L4" s="2">
        <v>2.95</v>
      </c>
      <c r="M4" s="28" t="str">
        <f t="shared" si="0"/>
        <v xml:space="preserve">관산리 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635</v>
      </c>
      <c r="B5" s="1" t="s">
        <v>2</v>
      </c>
      <c r="C5" s="2" t="s">
        <v>632</v>
      </c>
      <c r="D5" s="2" t="s">
        <v>643</v>
      </c>
      <c r="E5" s="10"/>
      <c r="F5" s="9"/>
      <c r="G5" s="9"/>
      <c r="H5" s="9"/>
      <c r="I5" s="9"/>
      <c r="J5" s="9"/>
      <c r="K5" s="9" t="s">
        <v>654</v>
      </c>
      <c r="L5" s="2">
        <v>4.67</v>
      </c>
      <c r="M5" s="28" t="str">
        <f t="shared" ref="M5:M6" si="1">D5&amp;" "&amp;E5</f>
        <v xml:space="preserve">관산리 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636</v>
      </c>
      <c r="B6" s="1" t="s">
        <v>2</v>
      </c>
      <c r="C6" s="2" t="s">
        <v>632</v>
      </c>
      <c r="D6" s="2" t="s">
        <v>643</v>
      </c>
      <c r="E6" s="10"/>
      <c r="F6" s="9"/>
      <c r="G6" s="9"/>
      <c r="H6" s="9"/>
      <c r="I6" s="9"/>
      <c r="J6" s="9"/>
      <c r="K6" s="9" t="s">
        <v>658</v>
      </c>
      <c r="L6" s="2">
        <v>5.96</v>
      </c>
      <c r="M6" s="28" t="str">
        <f t="shared" si="1"/>
        <v xml:space="preserve">관산리 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637</v>
      </c>
      <c r="B7" s="1" t="s">
        <v>2</v>
      </c>
      <c r="C7" s="2" t="s">
        <v>632</v>
      </c>
      <c r="D7" s="2" t="s">
        <v>643</v>
      </c>
      <c r="E7" s="10"/>
      <c r="F7" s="9"/>
      <c r="G7" s="9"/>
      <c r="H7" s="9"/>
      <c r="I7" s="9"/>
      <c r="J7" s="9"/>
      <c r="K7" s="9" t="s">
        <v>656</v>
      </c>
      <c r="L7" s="2">
        <v>4.67</v>
      </c>
      <c r="M7" s="28" t="str">
        <f t="shared" ref="M7:M8" si="2">D7&amp;" "&amp;E7</f>
        <v xml:space="preserve">관산리 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638</v>
      </c>
      <c r="B8" s="1" t="s">
        <v>2</v>
      </c>
      <c r="C8" s="2" t="s">
        <v>632</v>
      </c>
      <c r="D8" s="2" t="s">
        <v>643</v>
      </c>
      <c r="E8" s="10"/>
      <c r="F8" s="9"/>
      <c r="G8" s="9"/>
      <c r="H8" s="9"/>
      <c r="I8" s="9"/>
      <c r="J8" s="9"/>
      <c r="K8" s="9" t="s">
        <v>655</v>
      </c>
      <c r="L8" s="2">
        <v>4.24</v>
      </c>
      <c r="M8" s="28" t="str">
        <f t="shared" si="2"/>
        <v xml:space="preserve">관산리 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639</v>
      </c>
      <c r="B9" s="1" t="s">
        <v>2</v>
      </c>
      <c r="C9" s="2" t="s">
        <v>632</v>
      </c>
      <c r="D9" s="2" t="s">
        <v>643</v>
      </c>
      <c r="E9" s="10"/>
      <c r="F9" s="9"/>
      <c r="G9" s="9"/>
      <c r="H9" s="9"/>
      <c r="I9" s="9"/>
      <c r="J9" s="9"/>
      <c r="K9" s="9" t="s">
        <v>654</v>
      </c>
      <c r="L9" s="2">
        <v>5.96</v>
      </c>
      <c r="M9" s="28" t="str">
        <f t="shared" ref="M9:M10" si="3">D9&amp;" "&amp;E9</f>
        <v xml:space="preserve">관산리 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640</v>
      </c>
      <c r="B10" s="1" t="s">
        <v>2</v>
      </c>
      <c r="C10" s="2" t="s">
        <v>632</v>
      </c>
      <c r="D10" s="2" t="s">
        <v>643</v>
      </c>
      <c r="E10" s="10"/>
      <c r="F10" s="9"/>
      <c r="G10" s="9"/>
      <c r="H10" s="9"/>
      <c r="I10" s="9"/>
      <c r="J10" s="9"/>
      <c r="K10" s="9" t="s">
        <v>654</v>
      </c>
      <c r="L10" s="2">
        <v>4.88</v>
      </c>
      <c r="M10" s="28" t="str">
        <f t="shared" si="3"/>
        <v xml:space="preserve">관산리 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641</v>
      </c>
      <c r="B11" s="1" t="s">
        <v>2</v>
      </c>
      <c r="C11" s="2" t="s">
        <v>632</v>
      </c>
      <c r="D11" s="2" t="s">
        <v>643</v>
      </c>
      <c r="E11" s="10"/>
      <c r="F11" s="9"/>
      <c r="G11" s="9"/>
      <c r="H11" s="9"/>
      <c r="I11" s="9"/>
      <c r="J11" s="9"/>
      <c r="K11" s="9" t="s">
        <v>654</v>
      </c>
      <c r="L11" s="2">
        <v>4.67</v>
      </c>
      <c r="M11" s="28" t="str">
        <f t="shared" ref="M11:M12" si="4">D11&amp;" "&amp;E11</f>
        <v xml:space="preserve">관산리 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642</v>
      </c>
      <c r="B12" s="1" t="s">
        <v>2</v>
      </c>
      <c r="C12" s="2" t="s">
        <v>632</v>
      </c>
      <c r="D12" s="2" t="s">
        <v>643</v>
      </c>
      <c r="E12" s="10"/>
      <c r="F12" s="9"/>
      <c r="G12" s="9"/>
      <c r="H12" s="9"/>
      <c r="I12" s="9"/>
      <c r="J12" s="9"/>
      <c r="K12" s="9" t="s">
        <v>654</v>
      </c>
      <c r="L12" s="2">
        <v>4.67</v>
      </c>
      <c r="M12" s="28" t="str">
        <f t="shared" si="4"/>
        <v xml:space="preserve">관산리 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644</v>
      </c>
      <c r="B13" s="1" t="s">
        <v>2</v>
      </c>
      <c r="C13" s="2" t="s">
        <v>632</v>
      </c>
      <c r="D13" s="2" t="s">
        <v>643</v>
      </c>
      <c r="E13" s="10"/>
      <c r="F13" s="9"/>
      <c r="G13" s="9"/>
      <c r="H13" s="9"/>
      <c r="I13" s="9"/>
      <c r="J13" s="9"/>
      <c r="K13" s="9" t="s">
        <v>654</v>
      </c>
      <c r="L13" s="2">
        <v>4.67</v>
      </c>
      <c r="M13" s="28" t="str">
        <f t="shared" ref="M13:M14" si="5">D13&amp;" "&amp;E13</f>
        <v xml:space="preserve">관산리 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645</v>
      </c>
      <c r="B14" s="1" t="s">
        <v>2</v>
      </c>
      <c r="C14" s="2" t="s">
        <v>632</v>
      </c>
      <c r="D14" s="2" t="s">
        <v>643</v>
      </c>
      <c r="E14" s="10"/>
      <c r="F14" s="9"/>
      <c r="G14" s="9"/>
      <c r="H14" s="9"/>
      <c r="I14" s="9"/>
      <c r="J14" s="9"/>
      <c r="K14" s="9" t="s">
        <v>654</v>
      </c>
      <c r="L14" s="2">
        <v>3.38</v>
      </c>
      <c r="M14" s="28" t="str">
        <f t="shared" si="5"/>
        <v xml:space="preserve">관산리 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646</v>
      </c>
      <c r="B15" s="1" t="s">
        <v>2</v>
      </c>
      <c r="C15" s="2" t="s">
        <v>632</v>
      </c>
      <c r="D15" s="2" t="s">
        <v>643</v>
      </c>
      <c r="E15" s="10"/>
      <c r="F15" s="9"/>
      <c r="G15" s="9"/>
      <c r="H15" s="9"/>
      <c r="I15" s="9"/>
      <c r="J15" s="9"/>
      <c r="K15" s="9" t="s">
        <v>654</v>
      </c>
      <c r="L15" s="2">
        <v>5.0999999999999996</v>
      </c>
      <c r="M15" s="28" t="str">
        <f t="shared" ref="M15:M16" si="6">D15&amp;" "&amp;E15</f>
        <v xml:space="preserve">관산리 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647</v>
      </c>
      <c r="B16" s="1" t="s">
        <v>2</v>
      </c>
      <c r="C16" s="2" t="s">
        <v>632</v>
      </c>
      <c r="D16" s="2" t="s">
        <v>643</v>
      </c>
      <c r="E16" s="10"/>
      <c r="F16" s="9"/>
      <c r="G16" s="9"/>
      <c r="H16" s="9"/>
      <c r="I16" s="9"/>
      <c r="J16" s="9"/>
      <c r="K16" s="9" t="s">
        <v>654</v>
      </c>
      <c r="L16" s="2">
        <v>4.67</v>
      </c>
      <c r="M16" s="28" t="str">
        <f t="shared" si="6"/>
        <v xml:space="preserve">관산리 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648</v>
      </c>
      <c r="B17" s="1" t="s">
        <v>2</v>
      </c>
      <c r="C17" s="2" t="s">
        <v>632</v>
      </c>
      <c r="D17" s="2" t="s">
        <v>643</v>
      </c>
      <c r="E17" s="10"/>
      <c r="F17" s="9"/>
      <c r="G17" s="9"/>
      <c r="H17" s="9"/>
      <c r="I17" s="9"/>
      <c r="J17" s="9"/>
      <c r="K17" s="9" t="s">
        <v>655</v>
      </c>
      <c r="L17" s="2">
        <v>7.29</v>
      </c>
      <c r="M17" s="28" t="str">
        <f t="shared" ref="M17:M18" si="7">D17&amp;" "&amp;E17</f>
        <v xml:space="preserve">관산리 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649</v>
      </c>
      <c r="B18" s="1" t="s">
        <v>2</v>
      </c>
      <c r="C18" s="2" t="s">
        <v>632</v>
      </c>
      <c r="D18" s="2" t="s">
        <v>643</v>
      </c>
      <c r="E18" s="10"/>
      <c r="F18" s="9"/>
      <c r="G18" s="9"/>
      <c r="H18" s="9"/>
      <c r="I18" s="9"/>
      <c r="J18" s="9"/>
      <c r="K18" s="9" t="s">
        <v>654</v>
      </c>
      <c r="L18" s="2">
        <v>4.88</v>
      </c>
      <c r="M18" s="28" t="str">
        <f t="shared" si="7"/>
        <v xml:space="preserve">관산리 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650</v>
      </c>
      <c r="B19" s="1" t="s">
        <v>2</v>
      </c>
      <c r="C19" s="2" t="s">
        <v>632</v>
      </c>
      <c r="D19" s="2" t="s">
        <v>643</v>
      </c>
      <c r="E19" s="10"/>
      <c r="F19" s="9"/>
      <c r="G19" s="9"/>
      <c r="H19" s="9"/>
      <c r="I19" s="9"/>
      <c r="J19" s="9"/>
      <c r="K19" s="9" t="s">
        <v>655</v>
      </c>
      <c r="L19" s="2">
        <v>7.35</v>
      </c>
      <c r="M19" s="28" t="str">
        <f t="shared" ref="M19:M20" si="8">D19&amp;" "&amp;E19</f>
        <v xml:space="preserve">관산리 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651</v>
      </c>
      <c r="B20" s="1" t="s">
        <v>2</v>
      </c>
      <c r="C20" s="2" t="s">
        <v>632</v>
      </c>
      <c r="D20" s="2" t="s">
        <v>643</v>
      </c>
      <c r="E20" s="10"/>
      <c r="F20" s="9"/>
      <c r="G20" s="9"/>
      <c r="H20" s="9"/>
      <c r="I20" s="9"/>
      <c r="J20" s="9"/>
      <c r="K20" s="9" t="s">
        <v>654</v>
      </c>
      <c r="L20" s="2">
        <v>5.53</v>
      </c>
      <c r="M20" s="28" t="str">
        <f t="shared" si="8"/>
        <v xml:space="preserve">관산리 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652</v>
      </c>
      <c r="B21" s="1" t="s">
        <v>2</v>
      </c>
      <c r="C21" s="2" t="s">
        <v>632</v>
      </c>
      <c r="D21" s="2" t="s">
        <v>643</v>
      </c>
      <c r="E21" s="10"/>
      <c r="F21" s="9"/>
      <c r="G21" s="9"/>
      <c r="H21" s="9"/>
      <c r="I21" s="9"/>
      <c r="J21" s="9"/>
      <c r="K21" s="9" t="s">
        <v>655</v>
      </c>
      <c r="L21" s="2">
        <v>7.33</v>
      </c>
      <c r="M21" s="28" t="str">
        <f t="shared" ref="M21:M22" si="9">D21&amp;" "&amp;E21</f>
        <v xml:space="preserve">관산리 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653</v>
      </c>
      <c r="B22" s="1" t="s">
        <v>2</v>
      </c>
      <c r="C22" s="2" t="s">
        <v>632</v>
      </c>
      <c r="D22" s="2" t="s">
        <v>633</v>
      </c>
      <c r="E22" s="10"/>
      <c r="F22" s="9"/>
      <c r="G22" s="9"/>
      <c r="H22" s="9"/>
      <c r="I22" s="9"/>
      <c r="J22" s="9"/>
      <c r="K22" s="9" t="s">
        <v>655</v>
      </c>
      <c r="L22" s="2">
        <v>7.35</v>
      </c>
      <c r="M22" s="28" t="str">
        <f t="shared" si="9"/>
        <v xml:space="preserve">봉당리 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/>
      <c r="B23" s="1"/>
      <c r="C23" s="2"/>
      <c r="D23" s="2"/>
      <c r="E23" s="10"/>
      <c r="F23" s="9"/>
      <c r="G23" s="9"/>
      <c r="H23" s="9"/>
      <c r="I23" s="9"/>
      <c r="J23" s="9"/>
      <c r="K23" s="9"/>
      <c r="L23" s="2"/>
      <c r="M23" s="28"/>
      <c r="N23" s="9"/>
      <c r="O23" s="9"/>
      <c r="P23" s="9"/>
      <c r="Q23" s="3"/>
      <c r="R23" s="9"/>
      <c r="S23" s="2"/>
    </row>
    <row r="24" spans="1:19" ht="21.75" customHeight="1" thickBot="1">
      <c r="L24" s="5"/>
    </row>
    <row r="25" spans="1:19" ht="21.75" customHeight="1">
      <c r="B25" s="24" t="s">
        <v>21</v>
      </c>
      <c r="C25" s="16" t="s">
        <v>20</v>
      </c>
      <c r="D25" s="17" t="s">
        <v>5</v>
      </c>
      <c r="K25" s="2" t="s">
        <v>30</v>
      </c>
      <c r="L25" s="39">
        <f>SUM(L2:L24)</f>
        <v>107.84</v>
      </c>
      <c r="M25" s="29"/>
    </row>
    <row r="26" spans="1:19" ht="21.75" customHeight="1">
      <c r="B26" s="22" t="s">
        <v>18</v>
      </c>
      <c r="C26" s="15">
        <f ca="1">COUNTIF(AA_INSIDE_AREA,"O")</f>
        <v>21</v>
      </c>
      <c r="D26" s="19">
        <f ca="1">SUMIF(AA_INSIDE_AREA,"O",$L$2:$L$2)</f>
        <v>107.84</v>
      </c>
    </row>
    <row r="27" spans="1:19" ht="21.75" customHeight="1">
      <c r="B27" s="22" t="s">
        <v>19</v>
      </c>
      <c r="C27" s="15">
        <f ca="1">COUNTIF(AA_INSIDE_AREA,"X")</f>
        <v>0</v>
      </c>
      <c r="D27" s="19">
        <f ca="1">SUMIF(AA_INSIDE_AREA,"X",$L$2:$L$2)</f>
        <v>0</v>
      </c>
      <c r="L27" s="4"/>
    </row>
    <row r="28" spans="1:19" ht="21.75" customHeight="1" thickBot="1">
      <c r="B28" s="23"/>
      <c r="C28" s="20"/>
      <c r="D28" s="21">
        <f ca="1">D26+D27</f>
        <v>107.84</v>
      </c>
      <c r="L2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K6" sqref="K6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632</v>
      </c>
      <c r="D2" s="2" t="s">
        <v>633</v>
      </c>
      <c r="E2" s="6"/>
      <c r="F2" s="2"/>
      <c r="G2" s="2"/>
      <c r="H2" s="2"/>
      <c r="I2" s="2"/>
      <c r="J2" s="2"/>
      <c r="K2" s="2" t="s">
        <v>158</v>
      </c>
      <c r="L2" s="2">
        <v>3</v>
      </c>
      <c r="M2" s="2" t="str">
        <f>D2&amp;" "&amp;E2&amp;" 번지"</f>
        <v>봉당리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2024-01-29T12:25:14Z</dcterms:modified>
</cp:coreProperties>
</file>