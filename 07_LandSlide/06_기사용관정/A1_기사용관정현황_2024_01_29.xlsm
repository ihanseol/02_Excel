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3537490-AD6B-4DD2-94E8-C86FDBFDCE57}" xr6:coauthVersionLast="47" xr6:coauthVersionMax="47" xr10:uidLastSave="{00000000-0000-0000-0000-000000000000}"/>
  <bookViews>
    <workbookView xWindow="7305" yWindow="1215" windowWidth="28800" windowHeight="196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aa!$L$60</definedName>
    <definedName name="SUM_II">ii!$L$5</definedName>
    <definedName name="SUM_SS">ss!$L$55</definedName>
  </definedNames>
  <calcPr calcId="191029"/>
</workbook>
</file>

<file path=xl/calcChain.xml><?xml version="1.0" encoding="utf-8"?>
<calcChain xmlns="http://schemas.openxmlformats.org/spreadsheetml/2006/main">
  <c r="M57" i="10" l="1"/>
  <c r="M55" i="10"/>
  <c r="M56" i="10"/>
  <c r="M51" i="8"/>
  <c r="M52" i="8"/>
  <c r="M49" i="8"/>
  <c r="M50" i="8"/>
  <c r="M47" i="8"/>
  <c r="M48" i="8"/>
  <c r="M53" i="10"/>
  <c r="M54" i="10"/>
  <c r="M51" i="10"/>
  <c r="M52" i="10"/>
  <c r="M49" i="10"/>
  <c r="M50" i="10"/>
  <c r="M47" i="10"/>
  <c r="M48" i="10"/>
  <c r="M45" i="10"/>
  <c r="M46" i="10"/>
  <c r="M43" i="10"/>
  <c r="M44" i="10"/>
  <c r="M41" i="10"/>
  <c r="M42" i="10"/>
  <c r="M39" i="10"/>
  <c r="M40" i="10"/>
  <c r="M37" i="10"/>
  <c r="M38" i="10"/>
  <c r="M45" i="8"/>
  <c r="M46" i="8"/>
  <c r="M43" i="8"/>
  <c r="M44" i="8"/>
  <c r="M41" i="8"/>
  <c r="M42" i="8"/>
  <c r="M39" i="8"/>
  <c r="M40" i="8"/>
  <c r="M37" i="8"/>
  <c r="M38" i="8"/>
  <c r="M35" i="8"/>
  <c r="M36" i="8"/>
  <c r="M33" i="8"/>
  <c r="M34" i="8"/>
  <c r="M31" i="8"/>
  <c r="M32" i="8"/>
  <c r="M29" i="8"/>
  <c r="M30" i="8"/>
  <c r="M27" i="8"/>
  <c r="M28" i="8"/>
  <c r="M25" i="8"/>
  <c r="M26" i="8"/>
  <c r="M23" i="8"/>
  <c r="M24" i="8"/>
  <c r="M35" i="10"/>
  <c r="M36" i="10"/>
  <c r="M33" i="10"/>
  <c r="M34" i="10"/>
  <c r="M31" i="10"/>
  <c r="M32" i="10"/>
  <c r="M29" i="10"/>
  <c r="M30" i="10"/>
  <c r="M27" i="10"/>
  <c r="M28" i="10"/>
  <c r="M25" i="10"/>
  <c r="M26" i="10"/>
  <c r="M23" i="10"/>
  <c r="M24" i="10"/>
  <c r="M21" i="10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58" i="8" l="1"/>
  <c r="E58" i="8" s="1"/>
  <c r="F57" i="8"/>
  <c r="E57" i="8" s="1"/>
  <c r="J9" i="12"/>
  <c r="M2" i="10"/>
  <c r="D9" i="11" l="1"/>
  <c r="C9" i="11"/>
  <c r="D8" i="11"/>
  <c r="L5" i="11"/>
  <c r="C8" i="11" s="1"/>
  <c r="M2" i="11"/>
  <c r="C62" i="10"/>
  <c r="C61" i="10"/>
  <c r="J58" i="8" l="1"/>
  <c r="I58" i="8" s="1"/>
  <c r="J57" i="8"/>
  <c r="I57" i="8" s="1"/>
  <c r="D62" i="10"/>
  <c r="D10" i="11"/>
  <c r="D61" i="10"/>
  <c r="L60" i="10"/>
  <c r="L55" i="8"/>
  <c r="H58" i="8" l="1"/>
  <c r="H57" i="8"/>
  <c r="L57" i="8"/>
  <c r="D63" i="10"/>
  <c r="D58" i="8" l="1"/>
  <c r="G58" i="8"/>
  <c r="C58" i="8" s="1"/>
  <c r="D57" i="8"/>
  <c r="L59" i="8" s="1"/>
  <c r="G57" i="8"/>
  <c r="C57" i="8" s="1"/>
  <c r="L60" i="8" s="1"/>
</calcChain>
</file>

<file path=xl/sharedStrings.xml><?xml version="1.0" encoding="utf-8"?>
<sst xmlns="http://schemas.openxmlformats.org/spreadsheetml/2006/main" count="5740" uniqueCount="830">
  <si>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</si>
  <si>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</si>
  <si>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</si>
  <si>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</si>
  <si>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</si>
  <si>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</si>
  <si>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</si>
  <si>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</si>
  <si>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</si>
  <si>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</si>
  <si>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</si>
  <si>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</si>
  <si>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</si>
  <si>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</si>
  <si>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</si>
  <si>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</si>
  <si>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</si>
  <si>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</si>
  <si>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</si>
  <si>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</si>
  <si>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</si>
  <si>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</si>
  <si>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</si>
  <si>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</si>
  <si>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</si>
  <si>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</si>
  <si>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</si>
  <si>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</si>
  <si>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</si>
  <si>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</si>
  <si>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</si>
  <si>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</si>
  <si>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</si>
  <si>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</si>
  <si>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</si>
  <si>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</si>
  <si>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</si>
  <si>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</si>
  <si>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</si>
  <si>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</si>
  <si>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</si>
  <si>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</si>
  <si>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</si>
  <si>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</si>
  <si>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</si>
  <si>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</si>
  <si>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</si>
  <si>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</si>
  <si>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</si>
  <si>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</si>
  <si>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</si>
  <si>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</si>
  <si>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</si>
  <si>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</si>
  <si>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</si>
  <si>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</si>
  <si>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</si>
  <si>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</si>
  <si>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</si>
  <si>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</si>
  <si>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</si>
  <si>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</si>
  <si>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</si>
  <si>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</si>
  <si>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</si>
  <si>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</si>
  <si>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</si>
  <si>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</si>
  <si>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</si>
  <si>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</si>
  <si>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</si>
  <si>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</si>
  <si>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</si>
  <si>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</si>
  <si>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</si>
  <si>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</si>
  <si>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</si>
  <si>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</si>
  <si>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</si>
  <si>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</si>
  <si>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</si>
  <si>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</si>
  <si>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</si>
  <si>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</si>
  <si>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</si>
  <si>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</si>
  <si>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</si>
  <si>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</si>
  <si>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</si>
  <si>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</si>
  <si>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</si>
  <si>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</si>
  <si>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</si>
  <si>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</si>
  <si>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</si>
  <si>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</si>
  <si>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</si>
  <si>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</si>
  <si>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</si>
  <si>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</si>
  <si>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</si>
  <si>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</si>
  <si>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</si>
  <si>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</si>
  <si>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</si>
  <si>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</si>
  <si>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</si>
  <si>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</si>
  <si>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</si>
  <si>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</si>
  <si>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</si>
  <si>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</si>
  <si>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</si>
  <si>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</si>
  <si>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</si>
  <si>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</si>
  <si>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</si>
  <si>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</si>
  <si>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</si>
  <si>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</si>
  <si>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</si>
  <si>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</si>
  <si>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</si>
  <si>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</si>
  <si>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</si>
  <si>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</si>
  <si>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</si>
  <si>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</si>
  <si>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</si>
  <si>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</si>
  <si>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</si>
  <si>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</si>
  <si>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</si>
  <si>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</si>
  <si>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</si>
  <si>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</si>
  <si>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</si>
  <si>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</si>
  <si>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</si>
  <si>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</si>
  <si>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</si>
  <si>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</si>
  <si>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</si>
  <si>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</si>
  <si>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</si>
  <si>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</si>
  <si>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</si>
  <si>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</si>
  <si>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</si>
  <si>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</si>
  <si>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</si>
  <si>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</si>
  <si>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</si>
  <si>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</si>
  <si>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</si>
  <si>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</si>
  <si>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</si>
  <si>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</si>
  <si>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</si>
  <si>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</si>
  <si>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</si>
  <si>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</si>
  <si>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</si>
  <si>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</si>
  <si>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</si>
  <si>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</si>
  <si>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</si>
  <si>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</si>
  <si>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</si>
  <si>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</si>
  <si>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</si>
  <si>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</si>
  <si>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</si>
  <si>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</si>
  <si>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</si>
  <si>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</si>
  <si>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</si>
  <si>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</si>
  <si>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</si>
  <si>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</si>
  <si>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</si>
  <si>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</si>
  <si>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</si>
  <si>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</si>
  <si>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</si>
  <si>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</si>
  <si>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</si>
  <si>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</si>
  <si>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</si>
  <si>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</si>
  <si>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</si>
  <si>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</si>
  <si>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</si>
  <si>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</si>
  <si>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</si>
  <si>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</si>
  <si>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</si>
  <si>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</si>
  <si>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</si>
  <si>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</si>
  <si>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</si>
  <si>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</si>
  <si>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</si>
  <si>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</si>
  <si>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</si>
  <si>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</si>
  <si>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</si>
  <si>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</si>
  <si>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</si>
  <si>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</si>
  <si>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</si>
  <si>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</si>
  <si>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</si>
  <si>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</si>
  <si>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</si>
  <si>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</si>
  <si>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</si>
  <si>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</si>
  <si>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</si>
  <si>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</si>
  <si>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</si>
  <si>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</si>
  <si>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</si>
  <si>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</si>
  <si>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</si>
  <si>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</si>
  <si>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</si>
  <si>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</si>
  <si>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</si>
  <si>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</si>
  <si>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</si>
  <si>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</si>
  <si>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</si>
  <si>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</si>
  <si>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</si>
  <si>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</si>
  <si>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</si>
  <si>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</si>
  <si>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</si>
  <si>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</si>
  <si>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</si>
  <si>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</si>
  <si>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</si>
  <si>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</si>
  <si>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</si>
  <si>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</si>
  <si>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</si>
  <si>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</si>
  <si>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</si>
  <si>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</si>
  <si>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</si>
  <si>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</si>
  <si>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</si>
  <si>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</si>
  <si>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</si>
  <si>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</si>
  <si>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</si>
  <si>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</si>
  <si>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</si>
  <si>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</si>
  <si>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</si>
  <si>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</si>
  <si>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</si>
  <si>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</si>
  <si>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</si>
  <si>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</si>
  <si>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</si>
  <si>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</si>
  <si>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</si>
  <si>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</si>
  <si>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</si>
  <si>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</si>
  <si>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</si>
  <si>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</si>
  <si>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</si>
  <si>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</si>
  <si>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</si>
  <si>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</si>
  <si>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</si>
  <si>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</si>
  <si>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</si>
  <si>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</si>
  <si>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</si>
  <si>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</si>
  <si>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</si>
  <si>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</si>
  <si>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</si>
  <si>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</si>
  <si>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</si>
  <si>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</si>
  <si>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</si>
  <si>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</si>
  <si>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</si>
  <si>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</si>
  <si>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</si>
  <si>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</si>
  <si>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</si>
  <si>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</si>
  <si>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</si>
  <si>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</si>
  <si>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</si>
  <si>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</si>
  <si>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</si>
  <si>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</si>
  <si>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</si>
  <si>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</si>
  <si>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</si>
  <si>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</si>
  <si>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</si>
  <si>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</si>
  <si>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</si>
  <si>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</si>
  <si>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</si>
  <si>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</si>
  <si>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</si>
  <si>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</si>
  <si>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</si>
  <si>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</si>
  <si>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</si>
  <si>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</si>
  <si>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</si>
  <si>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</si>
  <si>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</si>
  <si>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</si>
  <si>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</si>
  <si>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</si>
  <si>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</si>
  <si>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</si>
  <si>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</si>
  <si>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</si>
  <si>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</si>
  <si>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</si>
  <si>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</si>
  <si>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</si>
  <si>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</si>
  <si>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</si>
  <si>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</si>
  <si>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</si>
  <si>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</si>
  <si>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</si>
  <si>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</si>
  <si>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</si>
  <si>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</si>
  <si>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</si>
  <si>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</si>
  <si>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</si>
  <si>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</si>
  <si>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</si>
  <si>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</si>
  <si>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</si>
  <si>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</si>
  <si>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</si>
  <si>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</si>
  <si>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</si>
  <si>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</si>
  <si>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</si>
  <si>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</si>
  <si>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</si>
  <si>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</si>
  <si>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</si>
  <si>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</si>
  <si>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</si>
  <si>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</si>
  <si>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</si>
  <si>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</si>
  <si>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</si>
  <si>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</si>
  <si>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</si>
  <si>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</si>
  <si>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</si>
  <si>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</si>
  <si>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</si>
  <si>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</si>
  <si>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</si>
  <si>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</si>
  <si>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</si>
  <si>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</si>
  <si>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</si>
  <si>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</si>
  <si>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</si>
  <si>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</si>
  <si>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</si>
  <si>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</si>
  <si>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</si>
  <si>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</si>
  <si>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</si>
  <si>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</si>
  <si>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</si>
  <si>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</si>
  <si>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</si>
  <si>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</si>
  <si>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</si>
  <si>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</si>
  <si>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</si>
  <si>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</si>
  <si>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</si>
  <si>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</si>
  <si>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</si>
  <si>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</si>
  <si>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</si>
  <si>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</si>
  <si>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</si>
  <si>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</si>
  <si>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</si>
  <si>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</si>
  <si>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</si>
  <si>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</si>
  <si>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</si>
  <si>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</si>
  <si>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</si>
  <si>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</si>
  <si>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</si>
  <si>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</si>
  <si>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</si>
  <si>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</si>
  <si>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</si>
  <si>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</si>
  <si>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</si>
  <si>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</si>
  <si>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</si>
  <si>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</si>
  <si>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</si>
  <si>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</si>
  <si>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</si>
  <si>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</si>
  <si>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</si>
  <si>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</si>
  <si>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</si>
  <si>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</si>
  <si>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</si>
  <si>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</si>
  <si>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</si>
  <si>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</si>
  <si>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</si>
  <si>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</si>
  <si>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</si>
  <si>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</si>
  <si>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</si>
  <si>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</si>
  <si>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</si>
  <si>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</si>
  <si>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</si>
  <si>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</si>
  <si>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</si>
  <si>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</si>
  <si>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</si>
  <si>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</si>
  <si>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</si>
  <si>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</si>
  <si>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</si>
  <si>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</si>
  <si>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</si>
  <si>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</si>
  <si>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</si>
  <si>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</si>
  <si>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</si>
  <si>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</si>
  <si>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</si>
  <si>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</si>
  <si>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</si>
  <si>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</si>
  <si>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</si>
  <si>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</si>
  <si>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</si>
  <si>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</si>
  <si>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</si>
  <si>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</si>
  <si>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</si>
  <si>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</si>
  <si>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</si>
  <si>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</si>
  <si>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</si>
  <si>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</si>
  <si>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</si>
  <si>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</si>
  <si>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</si>
  <si>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</si>
  <si>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</si>
  <si>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</si>
  <si>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</si>
  <si>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</si>
  <si>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</si>
  <si>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</si>
  <si>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</si>
  <si>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</si>
  <si>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</si>
  <si>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</si>
  <si>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</si>
  <si>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</si>
  <si>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</si>
  <si>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</si>
  <si>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</si>
  <si>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</si>
  <si>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</si>
  <si>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</si>
  <si>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</si>
  <si>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</si>
  <si>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</si>
  <si>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</si>
  <si>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</si>
  <si>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</si>
  <si>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</si>
  <si>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</si>
  <si>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</si>
  <si>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</si>
  <si>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</si>
  <si>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</si>
  <si>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</si>
  <si>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</si>
  <si>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</si>
  <si>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</si>
  <si>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</si>
  <si>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</si>
  <si>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</si>
  <si>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</si>
  <si>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</si>
  <si>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</si>
  <si>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</si>
  <si>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</si>
  <si>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</si>
  <si>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</si>
  <si>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</si>
  <si>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</si>
  <si>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</si>
  <si>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</si>
  <si>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</si>
  <si>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</si>
  <si>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</si>
  <si>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</si>
  <si>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</si>
  <si>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</si>
  <si>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</si>
  <si>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</si>
  <si>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</si>
  <si>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</si>
  <si>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</si>
  <si>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</si>
  <si>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</si>
  <si>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</si>
  <si>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</si>
  <si>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</si>
  <si>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</si>
  <si>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</si>
  <si>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</si>
  <si>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</si>
  <si>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</si>
  <si>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</si>
  <si>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</si>
  <si>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</si>
  <si>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</si>
  <si>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</si>
  <si>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</si>
  <si>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</si>
  <si>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</si>
  <si>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</si>
  <si>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</si>
  <si>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</si>
  <si>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</si>
  <si>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</si>
  <si>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</si>
  <si>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</si>
  <si>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</si>
  <si>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</si>
  <si>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</si>
  <si>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</si>
  <si>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</si>
  <si>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</si>
  <si>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</si>
  <si>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</si>
  <si>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</si>
  <si>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</si>
  <si>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</si>
  <si>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</si>
  <si>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</si>
  <si>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</si>
  <si>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</si>
  <si>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</si>
  <si>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</si>
  <si>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</si>
  <si>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</si>
  <si>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</si>
  <si>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</si>
  <si>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</si>
  <si>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</si>
  <si>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</si>
  <si>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</si>
  <si>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</si>
  <si>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</si>
  <si>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</si>
  <si>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</si>
  <si>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</si>
  <si>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</si>
  <si>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</si>
  <si>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</si>
  <si>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</si>
  <si>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</si>
  <si>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</si>
  <si>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</si>
  <si>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</si>
  <si>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</si>
  <si>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</si>
  <si>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</si>
  <si>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</si>
  <si>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</si>
  <si>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</si>
  <si>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</si>
  <si>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</si>
  <si>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</si>
  <si>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</si>
  <si>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</si>
  <si>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</si>
  <si>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</si>
  <si>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</si>
  <si>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</si>
  <si>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</si>
  <si>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</si>
  <si>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</si>
  <si>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</si>
  <si>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</si>
  <si>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</si>
  <si>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</si>
  <si>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</si>
  <si>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</si>
  <si>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</si>
  <si>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</si>
  <si>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</si>
  <si>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</si>
  <si>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</si>
  <si>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</si>
  <si>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</si>
  <si>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</si>
  <si>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</si>
  <si>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</si>
  <si>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</si>
  <si>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</si>
  <si>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</si>
  <si>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</si>
  <si>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</si>
  <si>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</si>
  <si>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</si>
  <si>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</si>
  <si>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</si>
  <si>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</si>
  <si>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관산리</t>
    <phoneticPr fontId="19" type="noConversion"/>
  </si>
  <si>
    <t>470</t>
    <phoneticPr fontId="19" type="noConversion"/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</si>
  <si>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</si>
  <si>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</si>
  <si>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</si>
  <si>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</si>
  <si>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</si>
  <si>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</si>
  <si>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</si>
  <si>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</si>
  <si>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</si>
  <si>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</si>
  <si>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</si>
  <si>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</si>
  <si>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답작용</t>
    <phoneticPr fontId="19" type="noConversion"/>
  </si>
  <si>
    <t>465-1</t>
    <phoneticPr fontId="19" type="noConversion"/>
  </si>
  <si>
    <t>487-2</t>
    <phoneticPr fontId="19" type="noConversion"/>
  </si>
  <si>
    <t>480-7</t>
    <phoneticPr fontId="19" type="noConversion"/>
  </si>
  <si>
    <t>361-1</t>
    <phoneticPr fontId="19" type="noConversion"/>
  </si>
  <si>
    <t>364-4</t>
    <phoneticPr fontId="19" type="noConversion"/>
  </si>
  <si>
    <t>373-5</t>
    <phoneticPr fontId="19" type="noConversion"/>
  </si>
  <si>
    <t>374-4</t>
    <phoneticPr fontId="19" type="noConversion"/>
  </si>
  <si>
    <t>237-1</t>
    <phoneticPr fontId="19" type="noConversion"/>
  </si>
  <si>
    <t>236-5</t>
    <phoneticPr fontId="19" type="noConversion"/>
  </si>
  <si>
    <t>236-1</t>
    <phoneticPr fontId="19" type="noConversion"/>
  </si>
  <si>
    <t>235-1</t>
    <phoneticPr fontId="19" type="noConversion"/>
  </si>
  <si>
    <t>242</t>
    <phoneticPr fontId="19" type="noConversion"/>
  </si>
  <si>
    <t>370-1</t>
    <phoneticPr fontId="19" type="noConversion"/>
  </si>
  <si>
    <t>228</t>
    <phoneticPr fontId="19" type="noConversion"/>
  </si>
  <si>
    <t>226-1</t>
    <phoneticPr fontId="19" type="noConversion"/>
  </si>
  <si>
    <t>286-1</t>
    <phoneticPr fontId="19" type="noConversion"/>
  </si>
  <si>
    <t>278</t>
    <phoneticPr fontId="19" type="noConversion"/>
  </si>
  <si>
    <t>276</t>
    <phoneticPr fontId="19" type="noConversion"/>
  </si>
  <si>
    <t>275-2</t>
    <phoneticPr fontId="19" type="noConversion"/>
  </si>
  <si>
    <t>2</t>
    <phoneticPr fontId="19" type="noConversion"/>
  </si>
  <si>
    <t>347</t>
    <phoneticPr fontId="19" type="noConversion"/>
  </si>
  <si>
    <t>전작용</t>
    <phoneticPr fontId="19" type="noConversion"/>
  </si>
  <si>
    <t>347-5</t>
    <phoneticPr fontId="19" type="noConversion"/>
  </si>
  <si>
    <t>346-4</t>
    <phoneticPr fontId="19" type="noConversion"/>
  </si>
  <si>
    <t>345</t>
    <phoneticPr fontId="19" type="noConversion"/>
  </si>
  <si>
    <t>341-2</t>
    <phoneticPr fontId="19" type="noConversion"/>
  </si>
  <si>
    <t>342</t>
    <phoneticPr fontId="19" type="noConversion"/>
  </si>
  <si>
    <t>320-36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</si>
  <si>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</si>
  <si>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</si>
  <si>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</si>
  <si>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</si>
  <si>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</si>
  <si>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</si>
  <si>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</si>
  <si>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</si>
  <si>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</si>
  <si>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</si>
  <si>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</si>
  <si>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</si>
  <si>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320-21</t>
    <phoneticPr fontId="19" type="noConversion"/>
  </si>
  <si>
    <t>634-21</t>
    <phoneticPr fontId="19" type="noConversion"/>
  </si>
  <si>
    <t>500-2</t>
    <phoneticPr fontId="19" type="noConversion"/>
  </si>
  <si>
    <t>501-2</t>
    <phoneticPr fontId="19" type="noConversion"/>
  </si>
  <si>
    <t>499-17</t>
    <phoneticPr fontId="19" type="noConversion"/>
  </si>
  <si>
    <t>501-5</t>
    <phoneticPr fontId="19" type="noConversion"/>
  </si>
  <si>
    <t>501-4</t>
    <phoneticPr fontId="19" type="noConversion"/>
  </si>
  <si>
    <t>501-8</t>
    <phoneticPr fontId="19" type="noConversion"/>
  </si>
  <si>
    <t>499-4</t>
    <phoneticPr fontId="19" type="noConversion"/>
  </si>
  <si>
    <t>501</t>
    <phoneticPr fontId="19" type="noConversion"/>
  </si>
  <si>
    <t>s22</t>
  </si>
  <si>
    <t>s23</t>
  </si>
  <si>
    <t>s24</t>
  </si>
  <si>
    <t>s25</t>
  </si>
  <si>
    <t>s26</t>
  </si>
  <si>
    <t>s27</t>
  </si>
  <si>
    <t>502-2</t>
    <phoneticPr fontId="19" type="noConversion"/>
  </si>
  <si>
    <t>334-2</t>
    <phoneticPr fontId="19" type="noConversion"/>
  </si>
  <si>
    <t>334</t>
    <phoneticPr fontId="19" type="noConversion"/>
  </si>
  <si>
    <t>333</t>
    <phoneticPr fontId="19" type="noConversion"/>
  </si>
  <si>
    <t>505</t>
    <phoneticPr fontId="19" type="noConversion"/>
  </si>
  <si>
    <t>507-5</t>
    <phoneticPr fontId="19" type="noConversion"/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</si>
  <si>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</si>
  <si>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</si>
  <si>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</si>
  <si>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</si>
  <si>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</si>
  <si>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</si>
  <si>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</si>
  <si>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</si>
  <si>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</si>
  <si>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</si>
  <si>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</si>
  <si>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</si>
  <si>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</si>
  <si>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</si>
  <si>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</si>
  <si>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</si>
  <si>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</si>
  <si>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</si>
  <si>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330-2</t>
    <phoneticPr fontId="19" type="noConversion"/>
  </si>
  <si>
    <t>324-7</t>
    <phoneticPr fontId="19" type="noConversion"/>
  </si>
  <si>
    <t>324-17</t>
    <phoneticPr fontId="19" type="noConversion"/>
  </si>
  <si>
    <t>293-16</t>
    <phoneticPr fontId="19" type="noConversion"/>
  </si>
  <si>
    <t>293-19</t>
    <phoneticPr fontId="19" type="noConversion"/>
  </si>
  <si>
    <t>293-22</t>
    <phoneticPr fontId="19" type="noConversion"/>
  </si>
  <si>
    <t>293-26</t>
    <phoneticPr fontId="19" type="noConversion"/>
  </si>
  <si>
    <t>634-8</t>
    <phoneticPr fontId="19" type="noConversion"/>
  </si>
  <si>
    <t>634-18</t>
    <phoneticPr fontId="19" type="noConversion"/>
  </si>
  <si>
    <t>634-10</t>
    <phoneticPr fontId="19" type="noConversion"/>
  </si>
  <si>
    <t>634</t>
    <phoneticPr fontId="19" type="noConversion"/>
  </si>
  <si>
    <t>634-2</t>
    <phoneticPr fontId="19" type="noConversion"/>
  </si>
  <si>
    <t>635-3</t>
    <phoneticPr fontId="19" type="noConversion"/>
  </si>
  <si>
    <t>630-1</t>
    <phoneticPr fontId="19" type="noConversion"/>
  </si>
  <si>
    <t>629-4</t>
    <phoneticPr fontId="19" type="noConversion"/>
  </si>
  <si>
    <t>원예용</t>
    <phoneticPr fontId="19" type="noConversion"/>
  </si>
  <si>
    <t>629-14</t>
    <phoneticPr fontId="19" type="noConversion"/>
  </si>
  <si>
    <t>628-8</t>
    <phoneticPr fontId="19" type="noConversion"/>
  </si>
  <si>
    <t>635-9</t>
    <phoneticPr fontId="19" type="noConversion"/>
  </si>
  <si>
    <t>656</t>
    <phoneticPr fontId="19" type="noConversion"/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</si>
  <si>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</si>
  <si>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</si>
  <si>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</si>
  <si>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</si>
  <si>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</si>
  <si>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</si>
  <si>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</si>
  <si>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</si>
  <si>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</si>
  <si>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</si>
  <si>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</si>
  <si>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</si>
  <si>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</si>
  <si>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</si>
  <si>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</si>
  <si>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</si>
  <si>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</si>
  <si>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</si>
  <si>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455-16</t>
    <phoneticPr fontId="19" type="noConversion"/>
  </si>
  <si>
    <t>455</t>
    <phoneticPr fontId="19" type="noConversion"/>
  </si>
  <si>
    <t>451-2</t>
    <phoneticPr fontId="19" type="noConversion"/>
  </si>
  <si>
    <t>450</t>
    <phoneticPr fontId="19" type="noConversion"/>
  </si>
  <si>
    <t>s46</t>
  </si>
  <si>
    <t>s47</t>
  </si>
  <si>
    <t>s48</t>
  </si>
  <si>
    <t>s49</t>
  </si>
  <si>
    <t>s50</t>
  </si>
  <si>
    <t>s51</t>
  </si>
  <si>
    <t>연지리</t>
    <phoneticPr fontId="19" type="noConversion"/>
  </si>
  <si>
    <t>1015</t>
    <phoneticPr fontId="19" type="noConversion"/>
  </si>
  <si>
    <t>1008</t>
    <phoneticPr fontId="19" type="noConversion"/>
  </si>
  <si>
    <t>991</t>
    <phoneticPr fontId="19" type="noConversion"/>
  </si>
  <si>
    <t>X</t>
    <phoneticPr fontId="19" type="noConversion"/>
  </si>
  <si>
    <t>377-14</t>
    <phoneticPr fontId="19" type="noConversion"/>
  </si>
  <si>
    <t>359-10</t>
    <phoneticPr fontId="19" type="noConversion"/>
  </si>
  <si>
    <t>357-8</t>
    <phoneticPr fontId="19" type="noConversion"/>
  </si>
  <si>
    <t>490-1</t>
    <phoneticPr fontId="19" type="noConversion"/>
  </si>
  <si>
    <t>703-1</t>
    <phoneticPr fontId="19" type="noConversion"/>
  </si>
  <si>
    <t>522-3</t>
    <phoneticPr fontId="19" type="noConversion"/>
  </si>
  <si>
    <t>577</t>
    <phoneticPr fontId="19" type="noConversion"/>
  </si>
  <si>
    <t>466-1</t>
    <phoneticPr fontId="19" type="noConversion"/>
  </si>
  <si>
    <t>471</t>
    <phoneticPr fontId="19" type="noConversion"/>
  </si>
  <si>
    <t>463</t>
    <phoneticPr fontId="19" type="noConversion"/>
  </si>
  <si>
    <t>474</t>
    <phoneticPr fontId="19" type="noConversion"/>
  </si>
  <si>
    <t>475-2</t>
    <phoneticPr fontId="19" type="noConversion"/>
  </si>
  <si>
    <t>476</t>
    <phoneticPr fontId="19" type="noConversion"/>
  </si>
  <si>
    <t>477-3</t>
    <phoneticPr fontId="19" type="noConversion"/>
  </si>
  <si>
    <t>451-1</t>
    <phoneticPr fontId="19" type="noConversion"/>
  </si>
  <si>
    <t>494-6</t>
    <phoneticPr fontId="19" type="noConversion"/>
  </si>
  <si>
    <t>548</t>
    <phoneticPr fontId="19" type="noConversion"/>
  </si>
  <si>
    <t>102-2</t>
    <phoneticPr fontId="19" type="noConversion"/>
  </si>
  <si>
    <t>82-1</t>
    <phoneticPr fontId="19" type="noConversion"/>
  </si>
  <si>
    <t>608-1</t>
    <phoneticPr fontId="19" type="noConversion"/>
  </si>
  <si>
    <t>604-3</t>
    <phoneticPr fontId="19" type="noConversion"/>
  </si>
  <si>
    <t>613</t>
    <phoneticPr fontId="19" type="noConversion"/>
  </si>
  <si>
    <t>611</t>
    <phoneticPr fontId="19" type="noConversion"/>
  </si>
  <si>
    <t>610</t>
    <phoneticPr fontId="19" type="noConversion"/>
  </si>
  <si>
    <t>77-6</t>
    <phoneticPr fontId="19" type="noConversion"/>
  </si>
  <si>
    <t>53</t>
    <phoneticPr fontId="19" type="noConversion"/>
  </si>
  <si>
    <t>a54</t>
  </si>
  <si>
    <t>a55</t>
  </si>
  <si>
    <t>a56</t>
  </si>
  <si>
    <t>36</t>
    <phoneticPr fontId="19" type="noConversion"/>
  </si>
  <si>
    <t>35-3</t>
    <phoneticPr fontId="19" type="noConversion"/>
  </si>
  <si>
    <t>34</t>
    <phoneticPr fontId="19" type="noConversion"/>
  </si>
  <si>
    <t>57</t>
    <phoneticPr fontId="19" type="noConversion"/>
  </si>
  <si>
    <t>64</t>
    <phoneticPr fontId="19" type="noConversion"/>
  </si>
  <si>
    <t>62-1</t>
    <phoneticPr fontId="19" type="noConversion"/>
  </si>
  <si>
    <t>11-1</t>
    <phoneticPr fontId="19" type="noConversion"/>
  </si>
  <si>
    <t>6-1</t>
    <phoneticPr fontId="19" type="noConversion"/>
  </si>
  <si>
    <t>5-1</t>
    <phoneticPr fontId="19" type="noConversion"/>
  </si>
  <si>
    <t>14-1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</si>
</sst>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76"/>
  <sheetViews>
    <sheetView tabSelected="1" topLeftCell="A19" workbookViewId="0">
      <selection activeCell="U21" sqref="U21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632</v>
      </c>
      <c r="D2" s="2" t="s">
        <v>643</v>
      </c>
      <c r="E2" s="6" t="s">
        <v>663</v>
      </c>
      <c r="F2" s="2">
        <v>20</v>
      </c>
      <c r="G2" s="2">
        <v>50</v>
      </c>
      <c r="H2" s="2">
        <v>0.5</v>
      </c>
      <c r="I2" s="2">
        <v>10</v>
      </c>
      <c r="J2" s="2">
        <v>20</v>
      </c>
      <c r="K2" s="2" t="s">
        <v>146</v>
      </c>
      <c r="L2" s="12">
        <v>0.67</v>
      </c>
      <c r="M2" s="2" t="str">
        <f>D2&amp;" " &amp; E2</f>
        <v>관산리 373-5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632</v>
      </c>
      <c r="D3" s="2" t="s">
        <v>643</v>
      </c>
      <c r="E3" s="6" t="s">
        <v>664</v>
      </c>
      <c r="F3" s="2">
        <v>16</v>
      </c>
      <c r="G3" s="2">
        <v>50</v>
      </c>
      <c r="H3" s="2">
        <v>0.5</v>
      </c>
      <c r="I3" s="2">
        <v>10</v>
      </c>
      <c r="J3" s="2">
        <v>20</v>
      </c>
      <c r="K3" s="2" t="s">
        <v>146</v>
      </c>
      <c r="L3" s="12">
        <v>0.67</v>
      </c>
      <c r="M3" s="2" t="str">
        <f t="shared" ref="M3:M9" si="0">D3&amp;" " &amp; E3</f>
        <v>관산리 374-4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632</v>
      </c>
      <c r="D4" s="2" t="s">
        <v>643</v>
      </c>
      <c r="E4" s="6" t="s">
        <v>665</v>
      </c>
      <c r="F4" s="2">
        <v>20</v>
      </c>
      <c r="G4" s="2">
        <v>50</v>
      </c>
      <c r="H4" s="2">
        <v>0.3</v>
      </c>
      <c r="I4" s="2">
        <v>10</v>
      </c>
      <c r="J4" s="2">
        <v>20</v>
      </c>
      <c r="K4" s="2" t="s">
        <v>146</v>
      </c>
      <c r="L4" s="12">
        <v>0.67</v>
      </c>
      <c r="M4" s="2" t="str">
        <f t="shared" si="0"/>
        <v>관산리 237-1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632</v>
      </c>
      <c r="D5" s="2" t="s">
        <v>643</v>
      </c>
      <c r="E5" s="6" t="s">
        <v>667</v>
      </c>
      <c r="F5" s="2">
        <v>30</v>
      </c>
      <c r="G5" s="2">
        <v>40</v>
      </c>
      <c r="H5" s="2">
        <v>0.5</v>
      </c>
      <c r="I5" s="2">
        <v>10</v>
      </c>
      <c r="J5" s="2">
        <v>30</v>
      </c>
      <c r="K5" s="2" t="s">
        <v>146</v>
      </c>
      <c r="L5" s="12">
        <v>0.67</v>
      </c>
      <c r="M5" s="2" t="str">
        <f t="shared" si="0"/>
        <v>관산리 236-1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632</v>
      </c>
      <c r="D6" s="2" t="s">
        <v>643</v>
      </c>
      <c r="E6" s="6" t="s">
        <v>668</v>
      </c>
      <c r="F6" s="2">
        <v>25</v>
      </c>
      <c r="G6" s="2">
        <v>50</v>
      </c>
      <c r="H6" s="2">
        <v>0.5</v>
      </c>
      <c r="I6" s="2">
        <v>10</v>
      </c>
      <c r="J6" s="2">
        <v>20</v>
      </c>
      <c r="K6" s="2" t="s">
        <v>146</v>
      </c>
      <c r="L6" s="12">
        <v>0.67</v>
      </c>
      <c r="M6" s="2" t="str">
        <f t="shared" si="0"/>
        <v>관산리 235-1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632</v>
      </c>
      <c r="D7" s="2" t="s">
        <v>643</v>
      </c>
      <c r="E7" s="6" t="s">
        <v>669</v>
      </c>
      <c r="F7" s="2">
        <v>8</v>
      </c>
      <c r="G7" s="2">
        <v>50</v>
      </c>
      <c r="H7" s="2">
        <v>0.5</v>
      </c>
      <c r="I7" s="2">
        <v>10</v>
      </c>
      <c r="J7" s="2">
        <v>20</v>
      </c>
      <c r="K7" s="2" t="s">
        <v>146</v>
      </c>
      <c r="L7" s="12">
        <v>0.67</v>
      </c>
      <c r="M7" s="2" t="str">
        <f t="shared" si="0"/>
        <v>관산리 242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632</v>
      </c>
      <c r="D8" s="2" t="s">
        <v>643</v>
      </c>
      <c r="E8" s="6" t="s">
        <v>680</v>
      </c>
      <c r="F8" s="2">
        <v>60</v>
      </c>
      <c r="G8" s="2">
        <v>150</v>
      </c>
      <c r="H8" s="2">
        <v>1</v>
      </c>
      <c r="I8" s="2">
        <v>70</v>
      </c>
      <c r="J8" s="2">
        <v>30</v>
      </c>
      <c r="K8" s="2" t="s">
        <v>147</v>
      </c>
      <c r="L8" s="12">
        <v>4.76</v>
      </c>
      <c r="M8" s="2" t="str">
        <f t="shared" si="0"/>
        <v>관산리 347-5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632</v>
      </c>
      <c r="D9" s="2" t="s">
        <v>643</v>
      </c>
      <c r="E9" s="6" t="s">
        <v>682</v>
      </c>
      <c r="F9" s="2">
        <v>15</v>
      </c>
      <c r="G9" s="2">
        <v>50</v>
      </c>
      <c r="H9" s="2">
        <v>0.5</v>
      </c>
      <c r="I9" s="2">
        <v>10</v>
      </c>
      <c r="J9" s="2">
        <v>20</v>
      </c>
      <c r="K9" s="2" t="s">
        <v>146</v>
      </c>
      <c r="L9" s="12">
        <v>0.67</v>
      </c>
      <c r="M9" s="2" t="str">
        <f t="shared" si="0"/>
        <v>관산리 345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632</v>
      </c>
      <c r="D10" s="2" t="s">
        <v>643</v>
      </c>
      <c r="E10" s="6" t="s">
        <v>683</v>
      </c>
      <c r="F10" s="2">
        <v>30</v>
      </c>
      <c r="G10" s="2">
        <v>50</v>
      </c>
      <c r="H10" s="2">
        <v>0.5</v>
      </c>
      <c r="I10" s="2">
        <v>10</v>
      </c>
      <c r="J10" s="2">
        <v>20</v>
      </c>
      <c r="K10" s="2" t="s">
        <v>146</v>
      </c>
      <c r="L10" s="12">
        <v>0.67</v>
      </c>
      <c r="M10" s="2" t="str">
        <f t="shared" ref="M10:M11" si="1">D10&amp;" " &amp; E10</f>
        <v>관산리 341-2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632</v>
      </c>
      <c r="D11" s="2" t="s">
        <v>643</v>
      </c>
      <c r="E11" s="6" t="s">
        <v>698</v>
      </c>
      <c r="F11" s="2">
        <v>61</v>
      </c>
      <c r="G11" s="2">
        <v>150</v>
      </c>
      <c r="H11" s="2">
        <v>1</v>
      </c>
      <c r="I11" s="2">
        <v>60</v>
      </c>
      <c r="J11" s="2">
        <v>25</v>
      </c>
      <c r="K11" s="2" t="s">
        <v>147</v>
      </c>
      <c r="L11" s="12">
        <v>4.53</v>
      </c>
      <c r="M11" s="2" t="str">
        <f t="shared" si="1"/>
        <v>관산리 320-21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632</v>
      </c>
      <c r="D12" s="2" t="s">
        <v>633</v>
      </c>
      <c r="E12" s="6" t="s">
        <v>699</v>
      </c>
      <c r="F12" s="2">
        <v>30</v>
      </c>
      <c r="G12" s="2">
        <v>50</v>
      </c>
      <c r="H12" s="2">
        <v>0.3</v>
      </c>
      <c r="I12" s="2">
        <v>28</v>
      </c>
      <c r="J12" s="2">
        <v>20</v>
      </c>
      <c r="K12" s="2" t="s">
        <v>147</v>
      </c>
      <c r="L12" s="12">
        <v>3.8</v>
      </c>
      <c r="M12" s="2" t="str">
        <f t="shared" ref="M12:M13" si="2">D12&amp;" " &amp; E12</f>
        <v>봉당리 634-21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632</v>
      </c>
      <c r="D13" s="2" t="s">
        <v>643</v>
      </c>
      <c r="E13" s="6" t="s">
        <v>700</v>
      </c>
      <c r="F13" s="2">
        <v>35</v>
      </c>
      <c r="G13" s="2">
        <v>50</v>
      </c>
      <c r="H13" s="2">
        <v>0.3</v>
      </c>
      <c r="I13" s="2">
        <v>25</v>
      </c>
      <c r="J13" s="2">
        <v>20</v>
      </c>
      <c r="K13" s="2" t="s">
        <v>146</v>
      </c>
      <c r="L13" s="12">
        <v>0.67</v>
      </c>
      <c r="M13" s="2" t="str">
        <f t="shared" si="2"/>
        <v>관산리 500-2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632</v>
      </c>
      <c r="D14" s="2" t="s">
        <v>643</v>
      </c>
      <c r="E14" s="6" t="s">
        <v>701</v>
      </c>
      <c r="F14" s="2">
        <v>18</v>
      </c>
      <c r="G14" s="2">
        <v>50</v>
      </c>
      <c r="H14" s="2">
        <v>0.5</v>
      </c>
      <c r="I14" s="2">
        <v>10</v>
      </c>
      <c r="J14" s="2">
        <v>25</v>
      </c>
      <c r="K14" s="2" t="s">
        <v>146</v>
      </c>
      <c r="L14" s="12">
        <v>0.67</v>
      </c>
      <c r="M14" s="2" t="str">
        <f t="shared" ref="M14:M15" si="3">D14&amp;" " &amp; E14</f>
        <v>관산리 501-2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632</v>
      </c>
      <c r="D15" s="2" t="s">
        <v>643</v>
      </c>
      <c r="E15" s="6" t="s">
        <v>702</v>
      </c>
      <c r="F15" s="2">
        <v>15</v>
      </c>
      <c r="G15" s="2">
        <v>50</v>
      </c>
      <c r="H15" s="2">
        <v>0.5</v>
      </c>
      <c r="I15" s="2">
        <v>10</v>
      </c>
      <c r="J15" s="2">
        <v>25</v>
      </c>
      <c r="K15" s="2" t="s">
        <v>146</v>
      </c>
      <c r="L15" s="12">
        <v>0.67</v>
      </c>
      <c r="M15" s="2" t="str">
        <f t="shared" si="3"/>
        <v>관산리 499-17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632</v>
      </c>
      <c r="D16" s="2" t="s">
        <v>643</v>
      </c>
      <c r="E16" s="6" t="s">
        <v>703</v>
      </c>
      <c r="F16" s="2">
        <v>22</v>
      </c>
      <c r="G16" s="2">
        <v>50</v>
      </c>
      <c r="H16" s="2">
        <v>0.5</v>
      </c>
      <c r="I16" s="2">
        <v>10</v>
      </c>
      <c r="J16" s="2">
        <v>20</v>
      </c>
      <c r="K16" s="2" t="s">
        <v>146</v>
      </c>
      <c r="L16" s="12">
        <v>0.67</v>
      </c>
      <c r="M16" s="2" t="str">
        <f t="shared" ref="M16:M17" si="4">D16&amp;" " &amp; E16</f>
        <v>관산리 501-5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632</v>
      </c>
      <c r="D17" s="2" t="s">
        <v>643</v>
      </c>
      <c r="E17" s="6" t="s">
        <v>704</v>
      </c>
      <c r="F17" s="2">
        <v>18</v>
      </c>
      <c r="G17" s="2">
        <v>50</v>
      </c>
      <c r="H17" s="2">
        <v>0.5</v>
      </c>
      <c r="I17" s="2">
        <v>10</v>
      </c>
      <c r="J17" s="2">
        <v>20</v>
      </c>
      <c r="K17" s="2" t="s">
        <v>146</v>
      </c>
      <c r="L17" s="12">
        <v>0.67</v>
      </c>
      <c r="M17" s="2" t="str">
        <f t="shared" si="4"/>
        <v>관산리 501-4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632</v>
      </c>
      <c r="D18" s="2" t="s">
        <v>643</v>
      </c>
      <c r="E18" s="6" t="s">
        <v>705</v>
      </c>
      <c r="F18" s="2">
        <v>20</v>
      </c>
      <c r="G18" s="2">
        <v>50</v>
      </c>
      <c r="H18" s="2">
        <v>0.5</v>
      </c>
      <c r="I18" s="2">
        <v>10</v>
      </c>
      <c r="J18" s="2">
        <v>20</v>
      </c>
      <c r="K18" s="2" t="s">
        <v>146</v>
      </c>
      <c r="L18" s="12">
        <v>0.67</v>
      </c>
      <c r="M18" s="2" t="str">
        <f t="shared" ref="M18:M19" si="5">D18&amp;" " &amp; E18</f>
        <v>관산리 501-8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632</v>
      </c>
      <c r="D19" s="2" t="s">
        <v>643</v>
      </c>
      <c r="E19" s="6" t="s">
        <v>706</v>
      </c>
      <c r="F19" s="2">
        <v>40</v>
      </c>
      <c r="G19" s="2">
        <v>50</v>
      </c>
      <c r="H19" s="2">
        <v>0.3</v>
      </c>
      <c r="I19" s="2">
        <v>28</v>
      </c>
      <c r="J19" s="2">
        <v>25</v>
      </c>
      <c r="K19" s="2" t="s">
        <v>146</v>
      </c>
      <c r="L19" s="12">
        <v>0.67</v>
      </c>
      <c r="M19" s="2" t="str">
        <f t="shared" si="5"/>
        <v>관산리 499-4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632</v>
      </c>
      <c r="D20" s="2" t="s">
        <v>643</v>
      </c>
      <c r="E20" s="6" t="s">
        <v>707</v>
      </c>
      <c r="F20" s="2">
        <v>20</v>
      </c>
      <c r="G20" s="2">
        <v>50</v>
      </c>
      <c r="H20" s="2">
        <v>0.5</v>
      </c>
      <c r="I20" s="2">
        <v>10</v>
      </c>
      <c r="J20" s="2">
        <v>20</v>
      </c>
      <c r="K20" s="2" t="s">
        <v>146</v>
      </c>
      <c r="L20" s="12">
        <v>0.67</v>
      </c>
      <c r="M20" s="2" t="str">
        <f t="shared" ref="M20" si="6">D20&amp;" " &amp; E20</f>
        <v>관산리 501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632</v>
      </c>
      <c r="D21" s="2" t="s">
        <v>643</v>
      </c>
      <c r="E21" s="6" t="s">
        <v>714</v>
      </c>
      <c r="F21" s="2">
        <v>30</v>
      </c>
      <c r="G21" s="2">
        <v>50</v>
      </c>
      <c r="H21" s="2">
        <v>0.5</v>
      </c>
      <c r="I21" s="2">
        <v>10</v>
      </c>
      <c r="J21" s="2">
        <v>20</v>
      </c>
      <c r="K21" s="2" t="s">
        <v>146</v>
      </c>
      <c r="L21" s="12">
        <v>0.67</v>
      </c>
      <c r="M21" s="2" t="str">
        <f t="shared" ref="M21:M22" si="7">D21&amp;" " &amp; E21</f>
        <v>관산리 502-2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632</v>
      </c>
      <c r="D22" s="2" t="s">
        <v>643</v>
      </c>
      <c r="E22" s="6" t="s">
        <v>715</v>
      </c>
      <c r="F22" s="2">
        <v>21</v>
      </c>
      <c r="G22" s="2">
        <v>50</v>
      </c>
      <c r="H22" s="2">
        <v>0.5</v>
      </c>
      <c r="I22" s="2">
        <v>10</v>
      </c>
      <c r="J22" s="2">
        <v>25</v>
      </c>
      <c r="K22" s="2" t="s">
        <v>146</v>
      </c>
      <c r="L22" s="12">
        <v>0.67</v>
      </c>
      <c r="M22" s="2" t="str">
        <f t="shared" si="7"/>
        <v>관산리 334-2</v>
      </c>
      <c r="S22" s="2" t="s">
        <v>11</v>
      </c>
    </row>
    <row r="23" spans="1:19" ht="21.75" customHeight="1">
      <c r="A23" s="2" t="s">
        <v>708</v>
      </c>
      <c r="B23" s="1" t="s">
        <v>22</v>
      </c>
      <c r="C23" s="2" t="s">
        <v>632</v>
      </c>
      <c r="D23" s="2" t="s">
        <v>643</v>
      </c>
      <c r="E23" s="6" t="s">
        <v>716</v>
      </c>
      <c r="F23" s="2">
        <v>20</v>
      </c>
      <c r="G23" s="2">
        <v>50</v>
      </c>
      <c r="H23" s="2">
        <v>0.5</v>
      </c>
      <c r="I23" s="2">
        <v>10</v>
      </c>
      <c r="J23" s="2">
        <v>20</v>
      </c>
      <c r="K23" s="2" t="s">
        <v>146</v>
      </c>
      <c r="L23" s="12">
        <v>0.67</v>
      </c>
      <c r="M23" s="2" t="str">
        <f t="shared" ref="M23:M24" si="8">D23&amp;" " &amp; E23</f>
        <v>관산리 334</v>
      </c>
      <c r="S23" s="2" t="s">
        <v>11</v>
      </c>
    </row>
    <row r="24" spans="1:19" ht="21.75" customHeight="1">
      <c r="A24" s="2" t="s">
        <v>709</v>
      </c>
      <c r="B24" s="1" t="s">
        <v>22</v>
      </c>
      <c r="C24" s="2" t="s">
        <v>632</v>
      </c>
      <c r="D24" s="2" t="s">
        <v>643</v>
      </c>
      <c r="E24" s="6" t="s">
        <v>717</v>
      </c>
      <c r="F24" s="2">
        <v>30</v>
      </c>
      <c r="G24" s="2">
        <v>50</v>
      </c>
      <c r="H24" s="2">
        <v>0.5</v>
      </c>
      <c r="I24" s="2">
        <v>10</v>
      </c>
      <c r="J24" s="2">
        <v>20</v>
      </c>
      <c r="K24" s="2" t="s">
        <v>146</v>
      </c>
      <c r="L24" s="12">
        <v>0.67</v>
      </c>
      <c r="M24" s="2" t="str">
        <f t="shared" si="8"/>
        <v>관산리 333</v>
      </c>
      <c r="S24" s="2" t="s">
        <v>11</v>
      </c>
    </row>
    <row r="25" spans="1:19" ht="21.75" customHeight="1">
      <c r="A25" s="2" t="s">
        <v>710</v>
      </c>
      <c r="B25" s="1" t="s">
        <v>22</v>
      </c>
      <c r="C25" s="2" t="s">
        <v>632</v>
      </c>
      <c r="D25" s="2" t="s">
        <v>643</v>
      </c>
      <c r="E25" s="6" t="s">
        <v>718</v>
      </c>
      <c r="F25" s="2">
        <v>30</v>
      </c>
      <c r="G25" s="2">
        <v>50</v>
      </c>
      <c r="H25" s="2">
        <v>0.5</v>
      </c>
      <c r="I25" s="2">
        <v>10</v>
      </c>
      <c r="J25" s="2">
        <v>20</v>
      </c>
      <c r="K25" s="2" t="s">
        <v>146</v>
      </c>
      <c r="L25" s="12">
        <v>0.67</v>
      </c>
      <c r="M25" s="2" t="str">
        <f t="shared" ref="M25:M26" si="9">D25&amp;" " &amp; E25</f>
        <v>관산리 505</v>
      </c>
      <c r="S25" s="2" t="s">
        <v>11</v>
      </c>
    </row>
    <row r="26" spans="1:19" ht="21.75" customHeight="1">
      <c r="A26" s="2" t="s">
        <v>711</v>
      </c>
      <c r="B26" s="1" t="s">
        <v>22</v>
      </c>
      <c r="C26" s="2" t="s">
        <v>632</v>
      </c>
      <c r="D26" s="2" t="s">
        <v>643</v>
      </c>
      <c r="E26" s="6" t="s">
        <v>719</v>
      </c>
      <c r="F26" s="2">
        <v>60</v>
      </c>
      <c r="G26" s="2">
        <v>100</v>
      </c>
      <c r="H26" s="2">
        <v>0.5</v>
      </c>
      <c r="I26" s="2">
        <v>25</v>
      </c>
      <c r="J26" s="2">
        <v>25</v>
      </c>
      <c r="K26" s="2" t="s">
        <v>146</v>
      </c>
      <c r="L26" s="12">
        <v>0.67</v>
      </c>
      <c r="M26" s="2" t="str">
        <f t="shared" si="9"/>
        <v>관산리 507-5</v>
      </c>
      <c r="S26" s="2" t="s">
        <v>11</v>
      </c>
    </row>
    <row r="27" spans="1:19" ht="21.75" customHeight="1">
      <c r="A27" s="2" t="s">
        <v>712</v>
      </c>
      <c r="B27" s="1" t="s">
        <v>22</v>
      </c>
      <c r="C27" s="2" t="s">
        <v>632</v>
      </c>
      <c r="D27" s="2" t="s">
        <v>643</v>
      </c>
      <c r="E27" s="6" t="s">
        <v>738</v>
      </c>
      <c r="F27" s="2">
        <v>40</v>
      </c>
      <c r="G27" s="2">
        <v>125</v>
      </c>
      <c r="H27" s="2">
        <v>0.33</v>
      </c>
      <c r="I27" s="2">
        <v>28</v>
      </c>
      <c r="J27" s="2">
        <v>25</v>
      </c>
      <c r="K27" s="2" t="s">
        <v>146</v>
      </c>
      <c r="L27" s="12">
        <v>0.67</v>
      </c>
      <c r="M27" s="2" t="str">
        <f t="shared" ref="M27:M28" si="10">D27&amp;" " &amp; E27</f>
        <v>관산리 330-2</v>
      </c>
      <c r="S27" s="2" t="s">
        <v>11</v>
      </c>
    </row>
    <row r="28" spans="1:19" ht="21.75" customHeight="1">
      <c r="A28" s="2" t="s">
        <v>713</v>
      </c>
      <c r="B28" s="1" t="s">
        <v>22</v>
      </c>
      <c r="C28" s="2" t="s">
        <v>632</v>
      </c>
      <c r="D28" s="2" t="s">
        <v>643</v>
      </c>
      <c r="E28" s="6" t="s">
        <v>740</v>
      </c>
      <c r="F28" s="2">
        <v>30</v>
      </c>
      <c r="G28" s="2">
        <v>50</v>
      </c>
      <c r="H28" s="2">
        <v>0.3</v>
      </c>
      <c r="I28" s="2">
        <v>20</v>
      </c>
      <c r="J28" s="2">
        <v>25</v>
      </c>
      <c r="K28" s="2" t="s">
        <v>146</v>
      </c>
      <c r="L28" s="12">
        <v>0.67</v>
      </c>
      <c r="M28" s="2" t="str">
        <f t="shared" si="10"/>
        <v>관산리 324-17</v>
      </c>
      <c r="S28" s="2" t="s">
        <v>11</v>
      </c>
    </row>
    <row r="29" spans="1:19" ht="21.75" customHeight="1">
      <c r="A29" s="2" t="s">
        <v>720</v>
      </c>
      <c r="B29" s="1" t="s">
        <v>22</v>
      </c>
      <c r="C29" s="2" t="s">
        <v>632</v>
      </c>
      <c r="D29" s="2" t="s">
        <v>643</v>
      </c>
      <c r="E29" s="6" t="s">
        <v>741</v>
      </c>
      <c r="F29" s="2">
        <v>150</v>
      </c>
      <c r="G29" s="2">
        <v>250</v>
      </c>
      <c r="H29" s="2">
        <v>7.5</v>
      </c>
      <c r="I29" s="2">
        <v>156</v>
      </c>
      <c r="J29" s="2">
        <v>50</v>
      </c>
      <c r="K29" s="2" t="s">
        <v>151</v>
      </c>
      <c r="L29" s="12">
        <v>7.23</v>
      </c>
      <c r="M29" s="2" t="str">
        <f t="shared" ref="M29:M30" si="11">D29&amp;" " &amp; E29</f>
        <v>관산리 293-16</v>
      </c>
      <c r="S29" s="2" t="s">
        <v>11</v>
      </c>
    </row>
    <row r="30" spans="1:19" ht="21.75" customHeight="1">
      <c r="A30" s="2" t="s">
        <v>721</v>
      </c>
      <c r="B30" s="1" t="s">
        <v>22</v>
      </c>
      <c r="C30" s="2" t="s">
        <v>632</v>
      </c>
      <c r="D30" s="2" t="s">
        <v>643</v>
      </c>
      <c r="E30" s="6" t="s">
        <v>742</v>
      </c>
      <c r="F30" s="2">
        <v>21</v>
      </c>
      <c r="G30" s="2">
        <v>50</v>
      </c>
      <c r="H30" s="2">
        <v>0.5</v>
      </c>
      <c r="I30" s="2">
        <v>10</v>
      </c>
      <c r="J30" s="2">
        <v>20</v>
      </c>
      <c r="K30" s="2" t="s">
        <v>146</v>
      </c>
      <c r="L30" s="12">
        <v>0.67</v>
      </c>
      <c r="M30" s="2" t="str">
        <f t="shared" si="11"/>
        <v>관산리 293-19</v>
      </c>
      <c r="S30" s="2" t="s">
        <v>11</v>
      </c>
    </row>
    <row r="31" spans="1:19" ht="21.75" customHeight="1">
      <c r="A31" s="2" t="s">
        <v>722</v>
      </c>
      <c r="B31" s="1" t="s">
        <v>22</v>
      </c>
      <c r="C31" s="2" t="s">
        <v>632</v>
      </c>
      <c r="D31" s="2" t="s">
        <v>643</v>
      </c>
      <c r="E31" s="6" t="s">
        <v>743</v>
      </c>
      <c r="F31" s="2">
        <v>21</v>
      </c>
      <c r="G31" s="2">
        <v>50</v>
      </c>
      <c r="H31" s="2">
        <v>0.5</v>
      </c>
      <c r="I31" s="2">
        <v>10</v>
      </c>
      <c r="J31" s="2">
        <v>20</v>
      </c>
      <c r="K31" s="2" t="s">
        <v>146</v>
      </c>
      <c r="L31" s="12">
        <v>0.67</v>
      </c>
      <c r="M31" s="2" t="str">
        <f t="shared" ref="M31:M32" si="12">D31&amp;" " &amp; E31</f>
        <v>관산리 293-22</v>
      </c>
      <c r="S31" s="2" t="s">
        <v>11</v>
      </c>
    </row>
    <row r="32" spans="1:19" ht="21.75" customHeight="1">
      <c r="A32" s="2" t="s">
        <v>723</v>
      </c>
      <c r="B32" s="1" t="s">
        <v>22</v>
      </c>
      <c r="C32" s="2" t="s">
        <v>632</v>
      </c>
      <c r="D32" s="2" t="s">
        <v>643</v>
      </c>
      <c r="E32" s="6" t="s">
        <v>744</v>
      </c>
      <c r="F32" s="2">
        <v>30</v>
      </c>
      <c r="G32" s="2">
        <v>50</v>
      </c>
      <c r="H32" s="2">
        <v>0.3</v>
      </c>
      <c r="I32" s="2">
        <v>17</v>
      </c>
      <c r="J32" s="2">
        <v>30</v>
      </c>
      <c r="K32" s="2" t="s">
        <v>146</v>
      </c>
      <c r="L32" s="12">
        <v>0.67</v>
      </c>
      <c r="M32" s="2" t="str">
        <f t="shared" si="12"/>
        <v>관산리 293-26</v>
      </c>
      <c r="S32" s="2" t="s">
        <v>11</v>
      </c>
    </row>
    <row r="33" spans="1:19" ht="21.75" customHeight="1">
      <c r="A33" s="2" t="s">
        <v>724</v>
      </c>
      <c r="B33" s="1" t="s">
        <v>22</v>
      </c>
      <c r="C33" s="2" t="s">
        <v>632</v>
      </c>
      <c r="D33" s="2" t="s">
        <v>633</v>
      </c>
      <c r="E33" s="6" t="s">
        <v>745</v>
      </c>
      <c r="F33" s="2">
        <v>30</v>
      </c>
      <c r="G33" s="2">
        <v>50</v>
      </c>
      <c r="H33" s="2">
        <v>0.3</v>
      </c>
      <c r="I33" s="2">
        <v>72</v>
      </c>
      <c r="J33" s="2">
        <v>28</v>
      </c>
      <c r="K33" s="2" t="s">
        <v>146</v>
      </c>
      <c r="L33" s="12">
        <v>0.67</v>
      </c>
      <c r="M33" s="2" t="str">
        <f t="shared" ref="M33:M34" si="13">D33&amp;" " &amp; E33</f>
        <v>봉당리 634-8</v>
      </c>
      <c r="S33" s="2" t="s">
        <v>11</v>
      </c>
    </row>
    <row r="34" spans="1:19" ht="21.75" customHeight="1">
      <c r="A34" s="2" t="s">
        <v>725</v>
      </c>
      <c r="B34" s="1" t="s">
        <v>22</v>
      </c>
      <c r="C34" s="2" t="s">
        <v>632</v>
      </c>
      <c r="D34" s="2" t="s">
        <v>633</v>
      </c>
      <c r="E34" s="6" t="s">
        <v>747</v>
      </c>
      <c r="F34" s="2">
        <v>30</v>
      </c>
      <c r="G34" s="2">
        <v>50</v>
      </c>
      <c r="H34" s="2">
        <v>0.3</v>
      </c>
      <c r="I34" s="2">
        <v>20</v>
      </c>
      <c r="J34" s="2">
        <v>25</v>
      </c>
      <c r="K34" s="2" t="s">
        <v>146</v>
      </c>
      <c r="L34" s="12">
        <v>0.67</v>
      </c>
      <c r="M34" s="2" t="str">
        <f t="shared" si="13"/>
        <v>봉당리 634-10</v>
      </c>
      <c r="S34" s="2" t="s">
        <v>11</v>
      </c>
    </row>
    <row r="35" spans="1:19" ht="21.75" customHeight="1">
      <c r="A35" s="2" t="s">
        <v>726</v>
      </c>
      <c r="B35" s="1" t="s">
        <v>22</v>
      </c>
      <c r="C35" s="2" t="s">
        <v>632</v>
      </c>
      <c r="D35" s="2" t="s">
        <v>633</v>
      </c>
      <c r="E35" s="6" t="s">
        <v>750</v>
      </c>
      <c r="F35" s="2">
        <v>40</v>
      </c>
      <c r="G35" s="2">
        <v>50</v>
      </c>
      <c r="H35" s="2">
        <v>0.5</v>
      </c>
      <c r="I35" s="2">
        <v>28</v>
      </c>
      <c r="J35" s="2">
        <v>20</v>
      </c>
      <c r="K35" s="2" t="s">
        <v>146</v>
      </c>
      <c r="L35" s="12">
        <v>0.67</v>
      </c>
      <c r="M35" s="2" t="str">
        <f t="shared" ref="M35:M36" si="14">D35&amp;" " &amp; E35</f>
        <v>봉당리 635-3</v>
      </c>
      <c r="S35" s="2" t="s">
        <v>11</v>
      </c>
    </row>
    <row r="36" spans="1:19" ht="21.75" customHeight="1">
      <c r="A36" s="2" t="s">
        <v>727</v>
      </c>
      <c r="B36" s="1" t="s">
        <v>22</v>
      </c>
      <c r="C36" s="2" t="s">
        <v>632</v>
      </c>
      <c r="D36" s="2" t="s">
        <v>633</v>
      </c>
      <c r="E36" s="6" t="s">
        <v>756</v>
      </c>
      <c r="F36" s="2">
        <v>30</v>
      </c>
      <c r="G36" s="2">
        <v>50</v>
      </c>
      <c r="H36" s="2">
        <v>0.3</v>
      </c>
      <c r="I36" s="2">
        <v>17</v>
      </c>
      <c r="J36" s="2">
        <v>20</v>
      </c>
      <c r="K36" s="2" t="s">
        <v>147</v>
      </c>
      <c r="L36" s="12">
        <v>3.54</v>
      </c>
      <c r="M36" s="2" t="str">
        <f t="shared" si="14"/>
        <v>봉당리 635-9</v>
      </c>
      <c r="S36" s="2" t="s">
        <v>11</v>
      </c>
    </row>
    <row r="37" spans="1:19" ht="21.75" customHeight="1">
      <c r="A37" s="2" t="s">
        <v>728</v>
      </c>
      <c r="B37" s="1" t="s">
        <v>22</v>
      </c>
      <c r="C37" s="2" t="s">
        <v>632</v>
      </c>
      <c r="D37" s="2" t="s">
        <v>643</v>
      </c>
      <c r="E37" s="6" t="s">
        <v>779</v>
      </c>
      <c r="F37" s="2">
        <v>50</v>
      </c>
      <c r="G37" s="2">
        <v>50</v>
      </c>
      <c r="H37" s="2">
        <v>0.5</v>
      </c>
      <c r="I37" s="2">
        <v>10</v>
      </c>
      <c r="J37" s="2">
        <v>20</v>
      </c>
      <c r="K37" s="2" t="s">
        <v>146</v>
      </c>
      <c r="L37" s="12">
        <v>0.67</v>
      </c>
      <c r="M37" s="2" t="str">
        <f t="shared" ref="M37:M38" si="15">D37&amp;" " &amp; E37</f>
        <v>관산리 450</v>
      </c>
      <c r="S37" s="2" t="s">
        <v>11</v>
      </c>
    </row>
    <row r="38" spans="1:19" ht="21.75" customHeight="1">
      <c r="A38" s="2" t="s">
        <v>729</v>
      </c>
      <c r="B38" s="1" t="s">
        <v>22</v>
      </c>
      <c r="C38" s="2" t="s">
        <v>632</v>
      </c>
      <c r="D38" s="2" t="s">
        <v>633</v>
      </c>
      <c r="E38" s="6" t="s">
        <v>794</v>
      </c>
      <c r="F38" s="2">
        <v>30</v>
      </c>
      <c r="G38" s="2">
        <v>50</v>
      </c>
      <c r="H38" s="2">
        <v>0.3</v>
      </c>
      <c r="I38" s="2">
        <v>15</v>
      </c>
      <c r="J38" s="2">
        <v>15</v>
      </c>
      <c r="K38" s="2" t="s">
        <v>147</v>
      </c>
      <c r="L38" s="12">
        <v>3.5</v>
      </c>
      <c r="M38" s="2" t="str">
        <f t="shared" si="15"/>
        <v>봉당리 490-1</v>
      </c>
      <c r="S38" s="2" t="s">
        <v>11</v>
      </c>
    </row>
    <row r="39" spans="1:19" ht="21.75" customHeight="1">
      <c r="A39" s="2" t="s">
        <v>730</v>
      </c>
      <c r="B39" s="1" t="s">
        <v>22</v>
      </c>
      <c r="C39" s="2" t="s">
        <v>632</v>
      </c>
      <c r="D39" s="2" t="s">
        <v>633</v>
      </c>
      <c r="E39" s="6" t="s">
        <v>795</v>
      </c>
      <c r="F39" s="2">
        <v>30</v>
      </c>
      <c r="G39" s="2">
        <v>50</v>
      </c>
      <c r="H39" s="2">
        <v>0.3</v>
      </c>
      <c r="I39" s="2">
        <v>15</v>
      </c>
      <c r="J39" s="2">
        <v>15</v>
      </c>
      <c r="K39" s="2" t="s">
        <v>147</v>
      </c>
      <c r="L39" s="12">
        <v>3.5</v>
      </c>
      <c r="M39" s="2" t="str">
        <f t="shared" ref="M39:M40" si="16">D39&amp;" " &amp; E39</f>
        <v>봉당리 703-1</v>
      </c>
      <c r="S39" s="2" t="s">
        <v>11</v>
      </c>
    </row>
    <row r="40" spans="1:19" ht="21.75" customHeight="1">
      <c r="A40" s="2" t="s">
        <v>731</v>
      </c>
      <c r="B40" s="1" t="s">
        <v>22</v>
      </c>
      <c r="C40" s="2" t="s">
        <v>632</v>
      </c>
      <c r="D40" s="2" t="s">
        <v>633</v>
      </c>
      <c r="E40" s="6" t="s">
        <v>796</v>
      </c>
      <c r="F40" s="2">
        <v>30</v>
      </c>
      <c r="G40" s="2">
        <v>50</v>
      </c>
      <c r="H40" s="2">
        <v>0.5</v>
      </c>
      <c r="I40" s="2">
        <v>30</v>
      </c>
      <c r="J40" s="2">
        <v>25</v>
      </c>
      <c r="K40" s="2" t="s">
        <v>146</v>
      </c>
      <c r="L40" s="12">
        <v>0.67</v>
      </c>
      <c r="M40" s="2" t="str">
        <f t="shared" si="16"/>
        <v>봉당리 522-3</v>
      </c>
      <c r="S40" s="2" t="s">
        <v>11</v>
      </c>
    </row>
    <row r="41" spans="1:19" ht="21.75" customHeight="1">
      <c r="A41" s="2" t="s">
        <v>732</v>
      </c>
      <c r="B41" s="1" t="s">
        <v>22</v>
      </c>
      <c r="C41" s="2" t="s">
        <v>632</v>
      </c>
      <c r="D41" s="2" t="s">
        <v>633</v>
      </c>
      <c r="E41" s="6" t="s">
        <v>798</v>
      </c>
      <c r="F41" s="2">
        <v>30</v>
      </c>
      <c r="G41" s="2">
        <v>50</v>
      </c>
      <c r="H41" s="2">
        <v>0.5</v>
      </c>
      <c r="I41" s="2">
        <v>30</v>
      </c>
      <c r="J41" s="2">
        <v>25</v>
      </c>
      <c r="K41" s="2" t="s">
        <v>146</v>
      </c>
      <c r="L41" s="12">
        <v>0.67</v>
      </c>
      <c r="M41" s="2" t="str">
        <f t="shared" ref="M41:M42" si="17">D41&amp;" " &amp; E41</f>
        <v>봉당리 466-1</v>
      </c>
      <c r="S41" s="2" t="s">
        <v>11</v>
      </c>
    </row>
    <row r="42" spans="1:19" ht="21.75" customHeight="1">
      <c r="A42" s="2" t="s">
        <v>733</v>
      </c>
      <c r="B42" s="1" t="s">
        <v>22</v>
      </c>
      <c r="C42" s="2" t="s">
        <v>632</v>
      </c>
      <c r="D42" s="2" t="s">
        <v>633</v>
      </c>
      <c r="E42" s="6" t="s">
        <v>799</v>
      </c>
      <c r="F42" s="2">
        <v>30</v>
      </c>
      <c r="G42" s="2">
        <v>50</v>
      </c>
      <c r="H42" s="2">
        <v>0.5</v>
      </c>
      <c r="I42" s="2">
        <v>30</v>
      </c>
      <c r="J42" s="2">
        <v>25</v>
      </c>
      <c r="K42" s="2" t="s">
        <v>146</v>
      </c>
      <c r="L42" s="12">
        <v>0.67</v>
      </c>
      <c r="M42" s="2" t="str">
        <f t="shared" si="17"/>
        <v>봉당리 471</v>
      </c>
      <c r="S42" s="2" t="s">
        <v>11</v>
      </c>
    </row>
    <row r="43" spans="1:19" ht="21.75" customHeight="1">
      <c r="A43" s="2" t="s">
        <v>734</v>
      </c>
      <c r="B43" s="1" t="s">
        <v>22</v>
      </c>
      <c r="C43" s="2" t="s">
        <v>632</v>
      </c>
      <c r="D43" s="2" t="s">
        <v>633</v>
      </c>
      <c r="E43" s="6" t="s">
        <v>800</v>
      </c>
      <c r="F43" s="2">
        <v>60</v>
      </c>
      <c r="G43" s="2">
        <v>150</v>
      </c>
      <c r="H43" s="2">
        <v>0.5</v>
      </c>
      <c r="I43" s="2">
        <v>30</v>
      </c>
      <c r="J43" s="2">
        <v>25</v>
      </c>
      <c r="K43" s="2" t="s">
        <v>146</v>
      </c>
      <c r="L43" s="12">
        <v>0.67</v>
      </c>
      <c r="M43" s="2" t="str">
        <f t="shared" ref="M43:M44" si="18">D43&amp;" " &amp; E43</f>
        <v>봉당리 463</v>
      </c>
      <c r="S43" s="2" t="s">
        <v>11</v>
      </c>
    </row>
    <row r="44" spans="1:19" ht="21.75" customHeight="1">
      <c r="A44" s="2" t="s">
        <v>735</v>
      </c>
      <c r="B44" s="1" t="s">
        <v>22</v>
      </c>
      <c r="C44" s="2" t="s">
        <v>632</v>
      </c>
      <c r="D44" s="2" t="s">
        <v>633</v>
      </c>
      <c r="E44" s="6" t="s">
        <v>801</v>
      </c>
      <c r="F44" s="2">
        <v>30</v>
      </c>
      <c r="G44" s="2">
        <v>50</v>
      </c>
      <c r="H44" s="2">
        <v>0.5</v>
      </c>
      <c r="I44" s="2">
        <v>30</v>
      </c>
      <c r="J44" s="2">
        <v>25</v>
      </c>
      <c r="K44" s="2" t="s">
        <v>146</v>
      </c>
      <c r="L44" s="12">
        <v>0.67</v>
      </c>
      <c r="M44" s="2" t="str">
        <f t="shared" si="18"/>
        <v>봉당리 474</v>
      </c>
      <c r="S44" s="2" t="s">
        <v>11</v>
      </c>
    </row>
    <row r="45" spans="1:19" ht="21.75" customHeight="1">
      <c r="A45" s="2" t="s">
        <v>736</v>
      </c>
      <c r="B45" s="1" t="s">
        <v>22</v>
      </c>
      <c r="C45" s="2" t="s">
        <v>632</v>
      </c>
      <c r="D45" s="2" t="s">
        <v>633</v>
      </c>
      <c r="E45" s="6" t="s">
        <v>803</v>
      </c>
      <c r="F45" s="2">
        <v>30</v>
      </c>
      <c r="G45" s="2">
        <v>50</v>
      </c>
      <c r="H45" s="2">
        <v>0.3</v>
      </c>
      <c r="I45" s="2">
        <v>30</v>
      </c>
      <c r="J45" s="2">
        <v>25</v>
      </c>
      <c r="K45" s="2" t="s">
        <v>146</v>
      </c>
      <c r="L45" s="12">
        <v>0.67</v>
      </c>
      <c r="M45" s="2" t="str">
        <f t="shared" ref="M45:M46" si="19">D45&amp;" " &amp; E45</f>
        <v>봉당리 476</v>
      </c>
      <c r="S45" s="2" t="s">
        <v>11</v>
      </c>
    </row>
    <row r="46" spans="1:19" ht="21.75" customHeight="1">
      <c r="A46" s="2" t="s">
        <v>737</v>
      </c>
      <c r="B46" s="1" t="s">
        <v>22</v>
      </c>
      <c r="C46" s="2" t="s">
        <v>632</v>
      </c>
      <c r="D46" s="2" t="s">
        <v>633</v>
      </c>
      <c r="E46" s="6" t="s">
        <v>777</v>
      </c>
      <c r="F46" s="2">
        <v>30</v>
      </c>
      <c r="G46" s="2">
        <v>50</v>
      </c>
      <c r="H46" s="2">
        <v>0.5</v>
      </c>
      <c r="I46" s="2">
        <v>15</v>
      </c>
      <c r="J46" s="2">
        <v>25</v>
      </c>
      <c r="K46" s="2" t="s">
        <v>146</v>
      </c>
      <c r="L46" s="12">
        <v>0.67</v>
      </c>
      <c r="M46" s="2" t="str">
        <f t="shared" si="19"/>
        <v>봉당리 455</v>
      </c>
      <c r="S46" s="2" t="s">
        <v>11</v>
      </c>
    </row>
    <row r="47" spans="1:19" ht="21.75" customHeight="1">
      <c r="A47" s="2" t="s">
        <v>780</v>
      </c>
      <c r="B47" s="1" t="s">
        <v>22</v>
      </c>
      <c r="C47" s="2" t="s">
        <v>632</v>
      </c>
      <c r="D47" s="2" t="s">
        <v>633</v>
      </c>
      <c r="E47" s="6" t="s">
        <v>806</v>
      </c>
      <c r="F47" s="2">
        <v>50</v>
      </c>
      <c r="G47" s="2">
        <v>50</v>
      </c>
      <c r="H47" s="2">
        <v>0.5</v>
      </c>
      <c r="I47" s="2">
        <v>10</v>
      </c>
      <c r="J47" s="2">
        <v>20</v>
      </c>
      <c r="K47" s="2" t="s">
        <v>146</v>
      </c>
      <c r="L47" s="12">
        <v>0.67</v>
      </c>
      <c r="M47" s="2" t="str">
        <f t="shared" ref="M47:M48" si="20">D47&amp;" " &amp; E47</f>
        <v>봉당리 494-6</v>
      </c>
      <c r="S47" s="2" t="s">
        <v>11</v>
      </c>
    </row>
    <row r="48" spans="1:19" ht="21.75" customHeight="1">
      <c r="A48" s="2" t="s">
        <v>781</v>
      </c>
      <c r="B48" s="1" t="s">
        <v>22</v>
      </c>
      <c r="C48" s="2" t="s">
        <v>632</v>
      </c>
      <c r="D48" s="2" t="s">
        <v>633</v>
      </c>
      <c r="E48" s="6" t="s">
        <v>815</v>
      </c>
      <c r="F48" s="2">
        <v>30</v>
      </c>
      <c r="G48" s="2">
        <v>50</v>
      </c>
      <c r="H48" s="2">
        <v>0.3</v>
      </c>
      <c r="I48" s="2">
        <v>20</v>
      </c>
      <c r="J48" s="2">
        <v>25</v>
      </c>
      <c r="K48" s="2" t="s">
        <v>146</v>
      </c>
      <c r="L48" s="12">
        <v>0.67</v>
      </c>
      <c r="M48" s="2" t="str">
        <f t="shared" si="20"/>
        <v>봉당리 77-6</v>
      </c>
      <c r="S48" s="2" t="s">
        <v>11</v>
      </c>
    </row>
    <row r="49" spans="1:19" ht="21.75" customHeight="1">
      <c r="A49" s="2" t="s">
        <v>782</v>
      </c>
      <c r="B49" s="1" t="s">
        <v>22</v>
      </c>
      <c r="C49" s="2" t="s">
        <v>632</v>
      </c>
      <c r="D49" s="2" t="s">
        <v>633</v>
      </c>
      <c r="E49" s="6" t="s">
        <v>820</v>
      </c>
      <c r="F49" s="2">
        <v>90</v>
      </c>
      <c r="G49" s="2">
        <v>150</v>
      </c>
      <c r="H49" s="2">
        <v>2</v>
      </c>
      <c r="I49" s="2">
        <v>80</v>
      </c>
      <c r="J49" s="2">
        <v>32</v>
      </c>
      <c r="K49" s="2" t="s">
        <v>146</v>
      </c>
      <c r="L49" s="12">
        <v>0.67</v>
      </c>
      <c r="M49" s="2" t="str">
        <f t="shared" ref="M49:M50" si="21">D49&amp;" " &amp; E49</f>
        <v>봉당리 36</v>
      </c>
      <c r="S49" s="2" t="s">
        <v>11</v>
      </c>
    </row>
    <row r="50" spans="1:19" ht="21.75" customHeight="1">
      <c r="A50" s="2" t="s">
        <v>783</v>
      </c>
      <c r="B50" s="1" t="s">
        <v>22</v>
      </c>
      <c r="C50" s="2" t="s">
        <v>632</v>
      </c>
      <c r="D50" s="2" t="s">
        <v>633</v>
      </c>
      <c r="E50" s="6" t="s">
        <v>821</v>
      </c>
      <c r="F50" s="2">
        <v>30</v>
      </c>
      <c r="G50" s="2">
        <v>50</v>
      </c>
      <c r="H50" s="2">
        <v>0.3</v>
      </c>
      <c r="I50" s="2">
        <v>30</v>
      </c>
      <c r="J50" s="2">
        <v>25</v>
      </c>
      <c r="K50" s="2" t="s">
        <v>146</v>
      </c>
      <c r="L50" s="12">
        <v>0.67</v>
      </c>
      <c r="M50" s="2" t="str">
        <f t="shared" si="21"/>
        <v>봉당리 35-3</v>
      </c>
      <c r="S50" s="2" t="s">
        <v>11</v>
      </c>
    </row>
    <row r="51" spans="1:19" ht="21.75" customHeight="1">
      <c r="A51" s="2" t="s">
        <v>784</v>
      </c>
      <c r="B51" s="1" t="s">
        <v>22</v>
      </c>
      <c r="C51" s="2" t="s">
        <v>632</v>
      </c>
      <c r="D51" s="2" t="s">
        <v>633</v>
      </c>
      <c r="E51" s="6" t="s">
        <v>823</v>
      </c>
      <c r="F51" s="2">
        <v>30</v>
      </c>
      <c r="G51" s="2">
        <v>50</v>
      </c>
      <c r="H51" s="2">
        <v>0.3</v>
      </c>
      <c r="I51" s="2">
        <v>30</v>
      </c>
      <c r="J51" s="2">
        <v>20</v>
      </c>
      <c r="K51" s="2" t="s">
        <v>146</v>
      </c>
      <c r="L51" s="12">
        <v>0.67</v>
      </c>
      <c r="M51" s="2" t="str">
        <f t="shared" ref="M51:M52" si="22">D51&amp;" " &amp; E51</f>
        <v>봉당리 57</v>
      </c>
      <c r="S51" s="2" t="s">
        <v>11</v>
      </c>
    </row>
    <row r="52" spans="1:19" ht="21.75" customHeight="1">
      <c r="A52" s="2" t="s">
        <v>785</v>
      </c>
      <c r="B52" s="1" t="s">
        <v>22</v>
      </c>
      <c r="C52" s="2" t="s">
        <v>632</v>
      </c>
      <c r="D52" s="2" t="s">
        <v>633</v>
      </c>
      <c r="E52" s="6" t="s">
        <v>825</v>
      </c>
      <c r="F52" s="2">
        <v>30</v>
      </c>
      <c r="G52" s="2">
        <v>50</v>
      </c>
      <c r="H52" s="2">
        <v>0.5</v>
      </c>
      <c r="I52" s="2">
        <v>30</v>
      </c>
      <c r="J52" s="2">
        <v>25</v>
      </c>
      <c r="K52" s="2" t="s">
        <v>146</v>
      </c>
      <c r="L52" s="12">
        <v>0.67</v>
      </c>
      <c r="M52" s="2" t="str">
        <f t="shared" si="22"/>
        <v>봉당리 62-1</v>
      </c>
      <c r="S52" s="2" t="s">
        <v>11</v>
      </c>
    </row>
    <row r="53" spans="1:19" ht="21" customHeight="1">
      <c r="B53" s="1"/>
      <c r="I53" s="2"/>
      <c r="J53" s="2"/>
      <c r="L53" s="12"/>
    </row>
    <row r="54" spans="1:19" ht="21.75" customHeight="1">
      <c r="B54" s="1"/>
      <c r="I54" s="2"/>
      <c r="J54" s="2"/>
      <c r="L54" s="12"/>
    </row>
    <row r="55" spans="1:19" ht="21.75" customHeight="1" thickBot="1">
      <c r="K55" s="2" t="s">
        <v>33</v>
      </c>
      <c r="L55" s="35">
        <f>SUM(L2:L54)</f>
        <v>60.340000000000067</v>
      </c>
    </row>
    <row r="56" spans="1:19" ht="21.75" customHeight="1">
      <c r="B56" s="13" t="s">
        <v>253</v>
      </c>
      <c r="C56" s="49" t="s">
        <v>254</v>
      </c>
      <c r="D56" s="50"/>
      <c r="E56" s="49" t="s">
        <v>257</v>
      </c>
      <c r="F56" s="50"/>
      <c r="G56" s="49" t="s">
        <v>258</v>
      </c>
      <c r="H56" s="50"/>
      <c r="I56" s="49" t="s">
        <v>259</v>
      </c>
      <c r="J56" s="51"/>
      <c r="L56" s="11"/>
    </row>
    <row r="57" spans="1:19" ht="21.75" customHeight="1">
      <c r="B57" s="18" t="s">
        <v>255</v>
      </c>
      <c r="C57" s="15">
        <f ca="1">E57+G57+I57</f>
        <v>105</v>
      </c>
      <c r="D57" s="15">
        <f ca="1">F57+H57+J57</f>
        <v>331.46000000000004</v>
      </c>
      <c r="E57" s="15">
        <f ca="1">IF(F57=0,0,COUNTIF(SS_INSIDE_AREA,"O"))</f>
        <v>51</v>
      </c>
      <c r="F57" s="15">
        <f ca="1">SUMIF(SS_INSIDE_AREA,"O",$L$2:$L$2)</f>
        <v>60.340000000000067</v>
      </c>
      <c r="G57" s="15">
        <f ca="1">IF(H57=0,0,COUNTIF(AA_INSIDE_AREA,"O"))</f>
        <v>53</v>
      </c>
      <c r="H57" s="15">
        <f ca="1">aa!$D$61</f>
        <v>268.11999999999995</v>
      </c>
      <c r="I57" s="15">
        <f ca="1">IF(J57=0,0,COUNTIF(II_INSIDE_AREA,"O"))</f>
        <v>1</v>
      </c>
      <c r="J57" s="19">
        <f ca="1">ii!$D$8</f>
        <v>3</v>
      </c>
      <c r="K57" s="2" t="s">
        <v>30</v>
      </c>
      <c r="L57" s="36">
        <f>L55+aa!L60+ii!L5</f>
        <v>339.45000000000005</v>
      </c>
    </row>
    <row r="58" spans="1:19" ht="21.75" customHeight="1" thickBot="1">
      <c r="B58" s="14" t="s">
        <v>256</v>
      </c>
      <c r="C58" s="20">
        <f ca="1">E58+G58+I58</f>
        <v>3</v>
      </c>
      <c r="D58" s="20">
        <f ca="1">F58+H58+J58</f>
        <v>7.99</v>
      </c>
      <c r="E58" s="20">
        <f ca="1">IF(F58=0,0,COUNTIF(SS_INSIDE_AREA,"X"))</f>
        <v>0</v>
      </c>
      <c r="F58" s="20">
        <f ca="1">SUMIF(SS_INSIDE_AREA,"X",$L$2:$L$2)</f>
        <v>0</v>
      </c>
      <c r="G58" s="20">
        <f ca="1">IF(H58=0,0,COUNTIF(AA_INSIDE_AREA,"X"))</f>
        <v>3</v>
      </c>
      <c r="H58" s="20">
        <f ca="1">aa!$D$62</f>
        <v>7.99</v>
      </c>
      <c r="I58" s="20">
        <f ca="1">IF(J58=0,0,COUNTIF(II_INSIDE_AREA,"X"))</f>
        <v>0</v>
      </c>
      <c r="J58" s="21">
        <f ca="1">ii!$D$9</f>
        <v>0</v>
      </c>
    </row>
    <row r="59" spans="1:19" ht="21.75" customHeight="1">
      <c r="B59"/>
      <c r="C59"/>
      <c r="D59"/>
      <c r="E59"/>
      <c r="F59"/>
      <c r="G59"/>
      <c r="H59"/>
      <c r="I59"/>
      <c r="K59" s="13" t="s">
        <v>31</v>
      </c>
      <c r="L59" s="37">
        <f ca="1">D57</f>
        <v>331.46000000000004</v>
      </c>
    </row>
    <row r="60" spans="1:19" ht="21.75" customHeight="1" thickBot="1">
      <c r="B60"/>
      <c r="C60"/>
      <c r="D60"/>
      <c r="E60"/>
      <c r="F60"/>
      <c r="G60"/>
      <c r="H60"/>
      <c r="I60"/>
      <c r="K60" s="14" t="s">
        <v>32</v>
      </c>
      <c r="L60" s="38">
        <f ca="1">C57</f>
        <v>105</v>
      </c>
    </row>
    <row r="61" spans="1:19" ht="21.75" customHeight="1">
      <c r="B61"/>
      <c r="C61"/>
      <c r="D61"/>
      <c r="E61"/>
      <c r="F61"/>
      <c r="G61"/>
      <c r="H61"/>
      <c r="I61"/>
    </row>
    <row r="62" spans="1:19" ht="21.75" customHeight="1">
      <c r="B62"/>
      <c r="C62"/>
      <c r="D62"/>
      <c r="E62"/>
      <c r="F62"/>
      <c r="G62"/>
      <c r="H62"/>
      <c r="I62"/>
    </row>
    <row r="63" spans="1:19" ht="21.75" customHeight="1">
      <c r="B63"/>
      <c r="C63"/>
      <c r="D63"/>
      <c r="E63"/>
      <c r="F63"/>
      <c r="G63"/>
      <c r="H63"/>
      <c r="I63"/>
    </row>
    <row r="64" spans="1:19" ht="21.75" customHeight="1">
      <c r="B64"/>
      <c r="C64"/>
      <c r="D64"/>
      <c r="E64"/>
      <c r="F64"/>
      <c r="G64"/>
      <c r="H64"/>
      <c r="I64"/>
    </row>
    <row r="65" spans="2:17" ht="21.75" customHeight="1">
      <c r="B65"/>
      <c r="C65"/>
      <c r="D65"/>
      <c r="E65"/>
      <c r="F65"/>
      <c r="G65"/>
      <c r="H65"/>
      <c r="I65"/>
    </row>
    <row r="66" spans="2:17" ht="21.75" customHeight="1">
      <c r="B66"/>
      <c r="C66"/>
      <c r="D66"/>
      <c r="E66"/>
      <c r="F66"/>
      <c r="G66"/>
      <c r="H66"/>
      <c r="I66"/>
    </row>
    <row r="67" spans="2:17" ht="21.75" customHeight="1">
      <c r="B67"/>
      <c r="C67"/>
      <c r="D67"/>
      <c r="E67"/>
      <c r="F67"/>
      <c r="G67"/>
      <c r="H67"/>
      <c r="I67"/>
    </row>
    <row r="68" spans="2:17" ht="21.75" customHeight="1">
      <c r="B68"/>
      <c r="C68"/>
      <c r="D68"/>
      <c r="E68"/>
      <c r="F68"/>
      <c r="G68"/>
      <c r="H68"/>
      <c r="I68"/>
    </row>
    <row r="69" spans="2:17" ht="21.75" customHeight="1">
      <c r="B69"/>
      <c r="C69"/>
      <c r="D69"/>
      <c r="E69"/>
      <c r="F69"/>
      <c r="G69"/>
      <c r="H69"/>
      <c r="I69"/>
    </row>
    <row r="74" spans="2:17" ht="21.75" customHeight="1">
      <c r="K74"/>
      <c r="L74"/>
      <c r="M74"/>
      <c r="N74"/>
      <c r="O74"/>
      <c r="P74"/>
      <c r="Q74"/>
    </row>
    <row r="75" spans="2:17" ht="21.75" customHeight="1">
      <c r="K75"/>
      <c r="L75"/>
      <c r="M75"/>
      <c r="N75"/>
      <c r="O75"/>
      <c r="P75"/>
      <c r="Q75"/>
    </row>
    <row r="76" spans="2:17" ht="21.75" customHeight="1">
      <c r="K76"/>
      <c r="L76"/>
      <c r="M76"/>
      <c r="N76"/>
      <c r="O76"/>
      <c r="P76"/>
      <c r="Q76"/>
    </row>
  </sheetData>
  <dataConsolidate/>
  <mergeCells count="4">
    <mergeCell ref="C56:D56"/>
    <mergeCell ref="E56:F56"/>
    <mergeCell ref="G56:H56"/>
    <mergeCell ref="I56:J5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20" name="CommandButtonInitial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63"/>
  <sheetViews>
    <sheetView topLeftCell="A31"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632</v>
      </c>
      <c r="D2" s="2" t="s">
        <v>643</v>
      </c>
      <c r="E2" s="10" t="s">
        <v>644</v>
      </c>
      <c r="F2" s="9">
        <v>23</v>
      </c>
      <c r="G2" s="9">
        <v>0</v>
      </c>
      <c r="H2" s="9">
        <v>0.5</v>
      </c>
      <c r="I2" s="9">
        <v>10</v>
      </c>
      <c r="J2" s="9">
        <v>25</v>
      </c>
      <c r="K2" s="9" t="s">
        <v>657</v>
      </c>
      <c r="L2" s="2">
        <v>2.52</v>
      </c>
      <c r="M2" s="28" t="str">
        <f>D2&amp;" "&amp;E2</f>
        <v>관산리 470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634</v>
      </c>
      <c r="B3" s="1" t="s">
        <v>2</v>
      </c>
      <c r="C3" s="2" t="s">
        <v>632</v>
      </c>
      <c r="D3" s="2" t="s">
        <v>643</v>
      </c>
      <c r="E3" s="10" t="s">
        <v>658</v>
      </c>
      <c r="F3" s="9">
        <v>19</v>
      </c>
      <c r="G3" s="9">
        <v>40</v>
      </c>
      <c r="H3" s="9">
        <v>0.5</v>
      </c>
      <c r="I3" s="9">
        <v>70</v>
      </c>
      <c r="J3" s="9">
        <v>40</v>
      </c>
      <c r="K3" s="9" t="s">
        <v>657</v>
      </c>
      <c r="L3" s="2">
        <v>5.0999999999999996</v>
      </c>
      <c r="M3" s="28" t="str">
        <f t="shared" ref="M3:M4" si="0">D3&amp;" "&amp;E3</f>
        <v>관산리 465-1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632</v>
      </c>
      <c r="D4" s="2" t="s">
        <v>643</v>
      </c>
      <c r="E4" s="10" t="s">
        <v>659</v>
      </c>
      <c r="F4" s="9">
        <v>20</v>
      </c>
      <c r="G4" s="9">
        <v>59</v>
      </c>
      <c r="H4" s="9">
        <v>0.5</v>
      </c>
      <c r="I4" s="9">
        <v>20</v>
      </c>
      <c r="J4" s="9">
        <v>30</v>
      </c>
      <c r="K4" s="9" t="s">
        <v>657</v>
      </c>
      <c r="L4" s="2">
        <v>2.95</v>
      </c>
      <c r="M4" s="28" t="str">
        <f t="shared" si="0"/>
        <v>관산리 487-2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635</v>
      </c>
      <c r="B5" s="1" t="s">
        <v>2</v>
      </c>
      <c r="C5" s="2" t="s">
        <v>632</v>
      </c>
      <c r="D5" s="2" t="s">
        <v>643</v>
      </c>
      <c r="E5" s="10" t="s">
        <v>660</v>
      </c>
      <c r="F5" s="9">
        <v>21</v>
      </c>
      <c r="G5" s="9">
        <v>59</v>
      </c>
      <c r="H5" s="9">
        <v>0.5</v>
      </c>
      <c r="I5" s="9">
        <v>60</v>
      </c>
      <c r="J5" s="9">
        <v>30</v>
      </c>
      <c r="K5" s="9" t="s">
        <v>657</v>
      </c>
      <c r="L5" s="2">
        <v>4.67</v>
      </c>
      <c r="M5" s="28" t="str">
        <f t="shared" ref="M5:M6" si="1">D5&amp;" "&amp;E5</f>
        <v>관산리 480-7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636</v>
      </c>
      <c r="B6" s="1" t="s">
        <v>2</v>
      </c>
      <c r="C6" s="2" t="s">
        <v>632</v>
      </c>
      <c r="D6" s="2" t="s">
        <v>643</v>
      </c>
      <c r="E6" s="10" t="s">
        <v>661</v>
      </c>
      <c r="F6" s="9">
        <v>15</v>
      </c>
      <c r="G6" s="9">
        <v>50</v>
      </c>
      <c r="H6" s="9">
        <v>0.5</v>
      </c>
      <c r="I6" s="9">
        <v>90</v>
      </c>
      <c r="J6" s="9">
        <v>30</v>
      </c>
      <c r="K6" s="9" t="s">
        <v>657</v>
      </c>
      <c r="L6" s="2">
        <v>5.96</v>
      </c>
      <c r="M6" s="28" t="str">
        <f t="shared" si="1"/>
        <v>관산리 361-1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637</v>
      </c>
      <c r="B7" s="1" t="s">
        <v>2</v>
      </c>
      <c r="C7" s="2" t="s">
        <v>632</v>
      </c>
      <c r="D7" s="2" t="s">
        <v>643</v>
      </c>
      <c r="E7" s="10" t="s">
        <v>662</v>
      </c>
      <c r="F7" s="9">
        <v>20</v>
      </c>
      <c r="G7" s="9">
        <v>50</v>
      </c>
      <c r="H7" s="9">
        <v>0.5</v>
      </c>
      <c r="I7" s="9">
        <v>60</v>
      </c>
      <c r="J7" s="9">
        <v>32</v>
      </c>
      <c r="K7" s="9" t="s">
        <v>657</v>
      </c>
      <c r="L7" s="2">
        <v>4.67</v>
      </c>
      <c r="M7" s="28" t="str">
        <f t="shared" ref="M7:M8" si="2">D7&amp;" "&amp;E7</f>
        <v>관산리 364-4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638</v>
      </c>
      <c r="B8" s="1" t="s">
        <v>2</v>
      </c>
      <c r="C8" s="2" t="s">
        <v>632</v>
      </c>
      <c r="D8" s="2" t="s">
        <v>643</v>
      </c>
      <c r="E8" s="10" t="s">
        <v>666</v>
      </c>
      <c r="F8" s="9">
        <v>30</v>
      </c>
      <c r="G8" s="9">
        <v>50</v>
      </c>
      <c r="H8" s="9">
        <v>0.5</v>
      </c>
      <c r="I8" s="9">
        <v>50</v>
      </c>
      <c r="J8" s="9">
        <v>30</v>
      </c>
      <c r="K8" s="9" t="s">
        <v>657</v>
      </c>
      <c r="L8" s="2">
        <v>4.24</v>
      </c>
      <c r="M8" s="28" t="str">
        <f t="shared" si="2"/>
        <v>관산리 236-5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639</v>
      </c>
      <c r="B9" s="1" t="s">
        <v>2</v>
      </c>
      <c r="C9" s="2" t="s">
        <v>632</v>
      </c>
      <c r="D9" s="2" t="s">
        <v>643</v>
      </c>
      <c r="E9" s="10" t="s">
        <v>670</v>
      </c>
      <c r="F9" s="9">
        <v>23</v>
      </c>
      <c r="G9" s="9">
        <v>50</v>
      </c>
      <c r="H9" s="9">
        <v>0.5</v>
      </c>
      <c r="I9" s="9">
        <v>90</v>
      </c>
      <c r="J9" s="9">
        <v>30</v>
      </c>
      <c r="K9" s="9" t="s">
        <v>657</v>
      </c>
      <c r="L9" s="2">
        <v>5.96</v>
      </c>
      <c r="M9" s="28" t="str">
        <f t="shared" ref="M9:M10" si="3">D9&amp;" "&amp;E9</f>
        <v>관산리 370-1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640</v>
      </c>
      <c r="B10" s="1" t="s">
        <v>2</v>
      </c>
      <c r="C10" s="2" t="s">
        <v>632</v>
      </c>
      <c r="D10" s="2" t="s">
        <v>643</v>
      </c>
      <c r="E10" s="10" t="s">
        <v>671</v>
      </c>
      <c r="F10" s="9">
        <v>30</v>
      </c>
      <c r="G10" s="9">
        <v>40</v>
      </c>
      <c r="H10" s="9">
        <v>0.5</v>
      </c>
      <c r="I10" s="9">
        <v>65</v>
      </c>
      <c r="J10" s="9">
        <v>30</v>
      </c>
      <c r="K10" s="9" t="s">
        <v>657</v>
      </c>
      <c r="L10" s="2">
        <v>4.88</v>
      </c>
      <c r="M10" s="28" t="str">
        <f t="shared" si="3"/>
        <v>관산리 228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641</v>
      </c>
      <c r="B11" s="1" t="s">
        <v>2</v>
      </c>
      <c r="C11" s="2" t="s">
        <v>632</v>
      </c>
      <c r="D11" s="2" t="s">
        <v>643</v>
      </c>
      <c r="E11" s="10" t="s">
        <v>672</v>
      </c>
      <c r="F11" s="9">
        <v>17</v>
      </c>
      <c r="G11" s="9">
        <v>50</v>
      </c>
      <c r="H11" s="9">
        <v>0.5</v>
      </c>
      <c r="I11" s="9">
        <v>60</v>
      </c>
      <c r="J11" s="9">
        <v>40</v>
      </c>
      <c r="K11" s="9" t="s">
        <v>657</v>
      </c>
      <c r="L11" s="2">
        <v>4.67</v>
      </c>
      <c r="M11" s="28" t="str">
        <f t="shared" ref="M11:M12" si="4">D11&amp;" "&amp;E11</f>
        <v>관산리 226-1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642</v>
      </c>
      <c r="B12" s="1" t="s">
        <v>2</v>
      </c>
      <c r="C12" s="2" t="s">
        <v>632</v>
      </c>
      <c r="D12" s="2" t="s">
        <v>643</v>
      </c>
      <c r="E12" s="10" t="s">
        <v>673</v>
      </c>
      <c r="F12" s="9">
        <v>24</v>
      </c>
      <c r="G12" s="9">
        <v>50</v>
      </c>
      <c r="H12" s="9">
        <v>0.5</v>
      </c>
      <c r="I12" s="9">
        <v>60</v>
      </c>
      <c r="J12" s="9">
        <v>30</v>
      </c>
      <c r="K12" s="9" t="s">
        <v>657</v>
      </c>
      <c r="L12" s="2">
        <v>4.67</v>
      </c>
      <c r="M12" s="28" t="str">
        <f t="shared" si="4"/>
        <v>관산리 286-1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645</v>
      </c>
      <c r="B13" s="1" t="s">
        <v>2</v>
      </c>
      <c r="C13" s="2" t="s">
        <v>632</v>
      </c>
      <c r="D13" s="2" t="s">
        <v>643</v>
      </c>
      <c r="E13" s="10" t="s">
        <v>674</v>
      </c>
      <c r="F13" s="9">
        <v>15</v>
      </c>
      <c r="G13" s="9">
        <v>40</v>
      </c>
      <c r="H13" s="9">
        <v>0.5</v>
      </c>
      <c r="I13" s="9">
        <v>60</v>
      </c>
      <c r="J13" s="9">
        <v>40</v>
      </c>
      <c r="K13" s="9" t="s">
        <v>657</v>
      </c>
      <c r="L13" s="2">
        <v>4.67</v>
      </c>
      <c r="M13" s="28" t="str">
        <f t="shared" ref="M13:M14" si="5">D13&amp;" "&amp;E13</f>
        <v>관산리 278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646</v>
      </c>
      <c r="B14" s="1" t="s">
        <v>2</v>
      </c>
      <c r="C14" s="2" t="s">
        <v>632</v>
      </c>
      <c r="D14" s="2" t="s">
        <v>643</v>
      </c>
      <c r="E14" s="10" t="s">
        <v>675</v>
      </c>
      <c r="F14" s="9">
        <v>70</v>
      </c>
      <c r="G14" s="9">
        <v>250</v>
      </c>
      <c r="H14" s="9">
        <v>1</v>
      </c>
      <c r="I14" s="9">
        <v>30</v>
      </c>
      <c r="J14" s="9">
        <v>30</v>
      </c>
      <c r="K14" s="9" t="s">
        <v>657</v>
      </c>
      <c r="L14" s="2">
        <v>3.38</v>
      </c>
      <c r="M14" s="28" t="str">
        <f t="shared" si="5"/>
        <v>관산리 276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647</v>
      </c>
      <c r="B15" s="1" t="s">
        <v>2</v>
      </c>
      <c r="C15" s="2" t="s">
        <v>632</v>
      </c>
      <c r="D15" s="2" t="s">
        <v>643</v>
      </c>
      <c r="E15" s="10" t="s">
        <v>676</v>
      </c>
      <c r="F15" s="9">
        <v>29</v>
      </c>
      <c r="G15" s="9">
        <v>40</v>
      </c>
      <c r="H15" s="9">
        <v>0.5</v>
      </c>
      <c r="I15" s="9">
        <v>70</v>
      </c>
      <c r="J15" s="9">
        <v>30</v>
      </c>
      <c r="K15" s="9" t="s">
        <v>657</v>
      </c>
      <c r="L15" s="2">
        <v>5.0999999999999996</v>
      </c>
      <c r="M15" s="28" t="str">
        <f t="shared" ref="M15:M16" si="6">D15&amp;" "&amp;E15</f>
        <v>관산리 275-2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648</v>
      </c>
      <c r="B16" s="1" t="s">
        <v>2</v>
      </c>
      <c r="C16" s="2" t="s">
        <v>632</v>
      </c>
      <c r="D16" s="2" t="s">
        <v>643</v>
      </c>
      <c r="E16" s="10" t="s">
        <v>677</v>
      </c>
      <c r="F16" s="9">
        <v>15</v>
      </c>
      <c r="G16" s="9">
        <v>50</v>
      </c>
      <c r="H16" s="9">
        <v>0.5</v>
      </c>
      <c r="I16" s="9">
        <v>60</v>
      </c>
      <c r="J16" s="9">
        <v>30</v>
      </c>
      <c r="K16" s="9" t="s">
        <v>657</v>
      </c>
      <c r="L16" s="2">
        <v>4.67</v>
      </c>
      <c r="M16" s="28" t="str">
        <f t="shared" si="6"/>
        <v>관산리 2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649</v>
      </c>
      <c r="B17" s="1" t="s">
        <v>2</v>
      </c>
      <c r="C17" s="2" t="s">
        <v>632</v>
      </c>
      <c r="D17" s="2" t="s">
        <v>643</v>
      </c>
      <c r="E17" s="10" t="s">
        <v>678</v>
      </c>
      <c r="F17" s="9">
        <v>30</v>
      </c>
      <c r="G17" s="9">
        <v>50</v>
      </c>
      <c r="H17" s="9">
        <v>0.3</v>
      </c>
      <c r="I17" s="9">
        <v>25</v>
      </c>
      <c r="J17" s="9">
        <v>15</v>
      </c>
      <c r="K17" s="9" t="s">
        <v>679</v>
      </c>
      <c r="L17" s="2">
        <v>7.29</v>
      </c>
      <c r="M17" s="28" t="str">
        <f t="shared" ref="M17:M18" si="7">D17&amp;" "&amp;E17</f>
        <v>관산리 347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650</v>
      </c>
      <c r="B18" s="1" t="s">
        <v>2</v>
      </c>
      <c r="C18" s="2" t="s">
        <v>632</v>
      </c>
      <c r="D18" s="2" t="s">
        <v>643</v>
      </c>
      <c r="E18" s="10" t="s">
        <v>681</v>
      </c>
      <c r="F18" s="9">
        <v>21</v>
      </c>
      <c r="G18" s="9">
        <v>50</v>
      </c>
      <c r="H18" s="9">
        <v>0.5</v>
      </c>
      <c r="I18" s="9">
        <v>65</v>
      </c>
      <c r="J18" s="9">
        <v>35</v>
      </c>
      <c r="K18" s="9" t="s">
        <v>657</v>
      </c>
      <c r="L18" s="2">
        <v>4.88</v>
      </c>
      <c r="M18" s="28" t="str">
        <f t="shared" si="7"/>
        <v>관산리 346-4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651</v>
      </c>
      <c r="B19" s="1" t="s">
        <v>2</v>
      </c>
      <c r="C19" s="2" t="s">
        <v>632</v>
      </c>
      <c r="D19" s="2" t="s">
        <v>643</v>
      </c>
      <c r="E19" s="10" t="s">
        <v>684</v>
      </c>
      <c r="F19" s="9">
        <v>30</v>
      </c>
      <c r="G19" s="9">
        <v>50</v>
      </c>
      <c r="H19" s="9">
        <v>0.5</v>
      </c>
      <c r="I19" s="9">
        <v>30</v>
      </c>
      <c r="J19" s="9">
        <v>30</v>
      </c>
      <c r="K19" s="9" t="s">
        <v>679</v>
      </c>
      <c r="L19" s="2">
        <v>7.35</v>
      </c>
      <c r="M19" s="28" t="str">
        <f t="shared" ref="M19:M20" si="8">D19&amp;" "&amp;E19</f>
        <v>관산리 342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652</v>
      </c>
      <c r="B20" s="1" t="s">
        <v>2</v>
      </c>
      <c r="C20" s="2" t="s">
        <v>632</v>
      </c>
      <c r="D20" s="2" t="s">
        <v>643</v>
      </c>
      <c r="E20" s="10" t="s">
        <v>685</v>
      </c>
      <c r="F20" s="9">
        <v>100</v>
      </c>
      <c r="G20" s="9">
        <v>150</v>
      </c>
      <c r="H20" s="9">
        <v>2</v>
      </c>
      <c r="I20" s="9">
        <v>80</v>
      </c>
      <c r="J20" s="9">
        <v>30</v>
      </c>
      <c r="K20" s="9" t="s">
        <v>657</v>
      </c>
      <c r="L20" s="2">
        <v>5.53</v>
      </c>
      <c r="M20" s="28" t="str">
        <f t="shared" si="8"/>
        <v>관산리 320-36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653</v>
      </c>
      <c r="B21" s="1" t="s">
        <v>2</v>
      </c>
      <c r="C21" s="2" t="s">
        <v>632</v>
      </c>
      <c r="D21" s="2" t="s">
        <v>643</v>
      </c>
      <c r="E21" s="10" t="s">
        <v>739</v>
      </c>
      <c r="F21" s="9">
        <v>40</v>
      </c>
      <c r="G21" s="9">
        <v>50</v>
      </c>
      <c r="H21" s="9">
        <v>0.3</v>
      </c>
      <c r="I21" s="9">
        <v>28</v>
      </c>
      <c r="J21" s="9">
        <v>20</v>
      </c>
      <c r="K21" s="9" t="s">
        <v>679</v>
      </c>
      <c r="L21" s="2">
        <v>7.33</v>
      </c>
      <c r="M21" s="28" t="str">
        <f t="shared" ref="M21:M22" si="9">D21&amp;" "&amp;E21</f>
        <v>관산리 324-7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654</v>
      </c>
      <c r="B22" s="1" t="s">
        <v>2</v>
      </c>
      <c r="C22" s="2" t="s">
        <v>632</v>
      </c>
      <c r="D22" s="2" t="s">
        <v>633</v>
      </c>
      <c r="E22" s="10" t="s">
        <v>746</v>
      </c>
      <c r="F22" s="9">
        <v>30</v>
      </c>
      <c r="G22" s="9">
        <v>50</v>
      </c>
      <c r="H22" s="9">
        <v>0.8</v>
      </c>
      <c r="I22" s="9">
        <v>30</v>
      </c>
      <c r="J22" s="9">
        <v>32</v>
      </c>
      <c r="K22" s="9" t="s">
        <v>679</v>
      </c>
      <c r="L22" s="2">
        <v>7.35</v>
      </c>
      <c r="M22" s="28" t="str">
        <f t="shared" si="9"/>
        <v>봉당리 634-18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655</v>
      </c>
      <c r="B23" s="1" t="s">
        <v>2</v>
      </c>
      <c r="C23" s="2" t="s">
        <v>632</v>
      </c>
      <c r="D23" s="2" t="s">
        <v>633</v>
      </c>
      <c r="E23" s="10" t="s">
        <v>748</v>
      </c>
      <c r="F23" s="9">
        <v>80</v>
      </c>
      <c r="G23" s="9">
        <v>150</v>
      </c>
      <c r="H23" s="9">
        <v>1</v>
      </c>
      <c r="I23" s="9">
        <v>65</v>
      </c>
      <c r="J23" s="9">
        <v>25</v>
      </c>
      <c r="K23" s="9" t="s">
        <v>679</v>
      </c>
      <c r="L23" s="2">
        <v>7.81</v>
      </c>
      <c r="M23" s="28" t="str">
        <f t="shared" ref="M23:M24" si="10">D23&amp;" "&amp;E23</f>
        <v>봉당리 634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656</v>
      </c>
      <c r="B24" s="1" t="s">
        <v>2</v>
      </c>
      <c r="C24" s="2" t="s">
        <v>632</v>
      </c>
      <c r="D24" s="2" t="s">
        <v>633</v>
      </c>
      <c r="E24" s="10" t="s">
        <v>749</v>
      </c>
      <c r="F24" s="9">
        <v>25</v>
      </c>
      <c r="G24" s="9">
        <v>50</v>
      </c>
      <c r="H24" s="9">
        <v>0.5</v>
      </c>
      <c r="I24" s="9">
        <v>48</v>
      </c>
      <c r="J24" s="9">
        <v>25</v>
      </c>
      <c r="K24" s="9" t="s">
        <v>679</v>
      </c>
      <c r="L24" s="2">
        <v>7.59</v>
      </c>
      <c r="M24" s="28" t="str">
        <f t="shared" si="10"/>
        <v>봉당리 634-2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686</v>
      </c>
      <c r="B25" s="1" t="s">
        <v>2</v>
      </c>
      <c r="C25" s="2" t="s">
        <v>632</v>
      </c>
      <c r="D25" s="2" t="s">
        <v>633</v>
      </c>
      <c r="E25" s="10" t="s">
        <v>751</v>
      </c>
      <c r="F25" s="9">
        <v>30</v>
      </c>
      <c r="G25" s="9">
        <v>50</v>
      </c>
      <c r="H25" s="9">
        <v>0.5</v>
      </c>
      <c r="I25" s="9">
        <v>30</v>
      </c>
      <c r="J25" s="9">
        <v>30</v>
      </c>
      <c r="K25" s="9" t="s">
        <v>679</v>
      </c>
      <c r="L25" s="2">
        <v>7.35</v>
      </c>
      <c r="M25" s="28" t="str">
        <f t="shared" ref="M25:M26" si="11">D25&amp;" "&amp;E25</f>
        <v>봉당리 630-1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687</v>
      </c>
      <c r="B26" s="1" t="s">
        <v>2</v>
      </c>
      <c r="C26" s="2" t="s">
        <v>632</v>
      </c>
      <c r="D26" s="2" t="s">
        <v>633</v>
      </c>
      <c r="E26" s="10" t="s">
        <v>752</v>
      </c>
      <c r="F26" s="9">
        <v>30</v>
      </c>
      <c r="G26" s="9">
        <v>50</v>
      </c>
      <c r="H26" s="9">
        <v>0.3</v>
      </c>
      <c r="I26" s="9">
        <v>28</v>
      </c>
      <c r="J26" s="9">
        <v>20</v>
      </c>
      <c r="K26" s="9" t="s">
        <v>753</v>
      </c>
      <c r="L26" s="2">
        <v>3.1</v>
      </c>
      <c r="M26" s="28" t="str">
        <f t="shared" si="11"/>
        <v>봉당리 629-4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688</v>
      </c>
      <c r="B27" s="1" t="s">
        <v>2</v>
      </c>
      <c r="C27" s="2" t="s">
        <v>632</v>
      </c>
      <c r="D27" s="2" t="s">
        <v>633</v>
      </c>
      <c r="E27" s="10" t="s">
        <v>754</v>
      </c>
      <c r="F27" s="9">
        <v>30</v>
      </c>
      <c r="G27" s="9">
        <v>50</v>
      </c>
      <c r="H27" s="9">
        <v>0.5</v>
      </c>
      <c r="I27" s="9">
        <v>20</v>
      </c>
      <c r="J27" s="9">
        <v>30</v>
      </c>
      <c r="K27" s="9" t="s">
        <v>657</v>
      </c>
      <c r="L27" s="2">
        <v>2.95</v>
      </c>
      <c r="M27" s="28" t="str">
        <f t="shared" ref="M27:M28" si="12">D27&amp;" "&amp;E27</f>
        <v>봉당리 629-14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689</v>
      </c>
      <c r="B28" s="1" t="s">
        <v>2</v>
      </c>
      <c r="C28" s="2" t="s">
        <v>632</v>
      </c>
      <c r="D28" s="2" t="s">
        <v>633</v>
      </c>
      <c r="E28" s="10" t="s">
        <v>755</v>
      </c>
      <c r="F28" s="9">
        <v>60</v>
      </c>
      <c r="G28" s="9">
        <v>150</v>
      </c>
      <c r="H28" s="9">
        <v>0.5</v>
      </c>
      <c r="I28" s="9">
        <v>25</v>
      </c>
      <c r="J28" s="9">
        <v>25</v>
      </c>
      <c r="K28" s="9" t="s">
        <v>657</v>
      </c>
      <c r="L28" s="2">
        <v>3.16</v>
      </c>
      <c r="M28" s="28" t="str">
        <f t="shared" si="12"/>
        <v>봉당리 628-8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 t="s">
        <v>690</v>
      </c>
      <c r="B29" s="1" t="s">
        <v>2</v>
      </c>
      <c r="C29" s="2" t="s">
        <v>632</v>
      </c>
      <c r="D29" s="2" t="s">
        <v>633</v>
      </c>
      <c r="E29" s="10" t="s">
        <v>757</v>
      </c>
      <c r="F29" s="9">
        <v>30</v>
      </c>
      <c r="G29" s="9">
        <v>50</v>
      </c>
      <c r="H29" s="9">
        <v>0.5</v>
      </c>
      <c r="I29" s="9">
        <v>10</v>
      </c>
      <c r="J29" s="9">
        <v>20</v>
      </c>
      <c r="K29" s="9" t="s">
        <v>657</v>
      </c>
      <c r="L29" s="2">
        <v>2.52</v>
      </c>
      <c r="M29" s="28" t="str">
        <f t="shared" ref="M29:M30" si="13">D29&amp;" "&amp;E29</f>
        <v>봉당리 656</v>
      </c>
      <c r="N29" s="9"/>
      <c r="O29" s="9"/>
      <c r="P29" s="9"/>
      <c r="R29" s="9"/>
      <c r="S29" s="7" t="s">
        <v>11</v>
      </c>
    </row>
    <row r="30" spans="1:19" s="7" customFormat="1" ht="21.75" customHeight="1">
      <c r="A30" s="1" t="s">
        <v>691</v>
      </c>
      <c r="B30" s="1" t="s">
        <v>2</v>
      </c>
      <c r="C30" s="2" t="s">
        <v>632</v>
      </c>
      <c r="D30" s="2" t="s">
        <v>643</v>
      </c>
      <c r="E30" s="10" t="s">
        <v>776</v>
      </c>
      <c r="F30" s="9">
        <v>80</v>
      </c>
      <c r="G30" s="9">
        <v>200</v>
      </c>
      <c r="H30" s="9">
        <v>3</v>
      </c>
      <c r="I30" s="9">
        <v>98</v>
      </c>
      <c r="J30" s="9">
        <v>40</v>
      </c>
      <c r="K30" s="9" t="s">
        <v>657</v>
      </c>
      <c r="L30" s="2">
        <v>6.3</v>
      </c>
      <c r="M30" s="28" t="str">
        <f t="shared" si="13"/>
        <v>관산리 455-16</v>
      </c>
      <c r="N30" s="9"/>
      <c r="O30" s="9"/>
      <c r="P30" s="9"/>
      <c r="R30" s="9"/>
      <c r="S30" s="7" t="s">
        <v>11</v>
      </c>
    </row>
    <row r="31" spans="1:19" s="7" customFormat="1" ht="21.75" customHeight="1">
      <c r="A31" s="1" t="s">
        <v>692</v>
      </c>
      <c r="B31" s="1" t="s">
        <v>2</v>
      </c>
      <c r="C31" s="2" t="s">
        <v>632</v>
      </c>
      <c r="D31" s="2" t="s">
        <v>643</v>
      </c>
      <c r="E31" s="10" t="s">
        <v>777</v>
      </c>
      <c r="F31" s="9">
        <v>80</v>
      </c>
      <c r="G31" s="9">
        <v>50</v>
      </c>
      <c r="H31" s="9">
        <v>1</v>
      </c>
      <c r="I31" s="9">
        <v>25</v>
      </c>
      <c r="J31" s="9">
        <v>25</v>
      </c>
      <c r="K31" s="9" t="s">
        <v>657</v>
      </c>
      <c r="L31" s="2">
        <v>3.16</v>
      </c>
      <c r="M31" s="28" t="str">
        <f t="shared" ref="M31:M32" si="14">D31&amp;" "&amp;E31</f>
        <v>관산리 455</v>
      </c>
      <c r="N31" s="9"/>
      <c r="O31" s="9"/>
      <c r="P31" s="9"/>
      <c r="R31" s="9"/>
      <c r="S31" s="7" t="s">
        <v>11</v>
      </c>
    </row>
    <row r="32" spans="1:19" s="7" customFormat="1" ht="21.75" customHeight="1">
      <c r="A32" s="1" t="s">
        <v>693</v>
      </c>
      <c r="B32" s="1" t="s">
        <v>2</v>
      </c>
      <c r="C32" s="2" t="s">
        <v>632</v>
      </c>
      <c r="D32" s="2" t="s">
        <v>643</v>
      </c>
      <c r="E32" s="10" t="s">
        <v>778</v>
      </c>
      <c r="F32" s="9">
        <v>15</v>
      </c>
      <c r="G32" s="9">
        <v>50</v>
      </c>
      <c r="H32" s="9">
        <v>0.5</v>
      </c>
      <c r="I32" s="9">
        <v>10</v>
      </c>
      <c r="J32" s="9">
        <v>20</v>
      </c>
      <c r="K32" s="9" t="s">
        <v>657</v>
      </c>
      <c r="L32" s="2">
        <v>2.52</v>
      </c>
      <c r="M32" s="28" t="str">
        <f t="shared" si="14"/>
        <v>관산리 451-2</v>
      </c>
      <c r="N32" s="9"/>
      <c r="O32" s="9"/>
      <c r="P32" s="9"/>
      <c r="R32" s="9"/>
      <c r="S32" s="7" t="s">
        <v>11</v>
      </c>
    </row>
    <row r="33" spans="1:19" s="7" customFormat="1" ht="21.75" customHeight="1">
      <c r="A33" s="1" t="s">
        <v>694</v>
      </c>
      <c r="B33" s="1" t="s">
        <v>2</v>
      </c>
      <c r="C33" s="2" t="s">
        <v>632</v>
      </c>
      <c r="D33" s="2" t="s">
        <v>786</v>
      </c>
      <c r="E33" s="10" t="s">
        <v>787</v>
      </c>
      <c r="F33" s="9">
        <v>80</v>
      </c>
      <c r="G33" s="9">
        <v>50</v>
      </c>
      <c r="H33" s="9">
        <v>0.5</v>
      </c>
      <c r="I33" s="9">
        <v>10</v>
      </c>
      <c r="J33" s="9">
        <v>20</v>
      </c>
      <c r="K33" s="9" t="s">
        <v>657</v>
      </c>
      <c r="L33" s="2">
        <v>2.52</v>
      </c>
      <c r="M33" s="28" t="str">
        <f t="shared" ref="M33:M34" si="15">D33&amp;" "&amp;E33</f>
        <v>연지리 1015</v>
      </c>
      <c r="N33" s="9"/>
      <c r="O33" s="9"/>
      <c r="P33" s="9"/>
      <c r="R33" s="9"/>
      <c r="S33" s="7" t="s">
        <v>790</v>
      </c>
    </row>
    <row r="34" spans="1:19" s="7" customFormat="1" ht="21.75" customHeight="1">
      <c r="A34" s="1" t="s">
        <v>695</v>
      </c>
      <c r="B34" s="1" t="s">
        <v>2</v>
      </c>
      <c r="C34" s="2" t="s">
        <v>632</v>
      </c>
      <c r="D34" s="2" t="s">
        <v>786</v>
      </c>
      <c r="E34" s="10" t="s">
        <v>788</v>
      </c>
      <c r="F34" s="9">
        <v>20</v>
      </c>
      <c r="G34" s="9">
        <v>50</v>
      </c>
      <c r="H34" s="9">
        <v>0.5</v>
      </c>
      <c r="I34" s="9">
        <v>10</v>
      </c>
      <c r="J34" s="9">
        <v>20</v>
      </c>
      <c r="K34" s="9" t="s">
        <v>657</v>
      </c>
      <c r="L34" s="2">
        <v>2.52</v>
      </c>
      <c r="M34" s="28" t="str">
        <f t="shared" si="15"/>
        <v>연지리 1008</v>
      </c>
      <c r="N34" s="9"/>
      <c r="O34" s="9"/>
      <c r="P34" s="9"/>
      <c r="R34" s="9"/>
      <c r="S34" s="7" t="s">
        <v>790</v>
      </c>
    </row>
    <row r="35" spans="1:19" s="7" customFormat="1" ht="21.75" customHeight="1">
      <c r="A35" s="1" t="s">
        <v>696</v>
      </c>
      <c r="B35" s="1" t="s">
        <v>2</v>
      </c>
      <c r="C35" s="2" t="s">
        <v>632</v>
      </c>
      <c r="D35" s="2" t="s">
        <v>786</v>
      </c>
      <c r="E35" s="10" t="s">
        <v>789</v>
      </c>
      <c r="F35" s="9">
        <v>24</v>
      </c>
      <c r="G35" s="9">
        <v>50</v>
      </c>
      <c r="H35" s="9">
        <v>0.5</v>
      </c>
      <c r="I35" s="9">
        <v>20</v>
      </c>
      <c r="J35" s="9">
        <v>20</v>
      </c>
      <c r="K35" s="9" t="s">
        <v>657</v>
      </c>
      <c r="L35" s="2">
        <v>2.95</v>
      </c>
      <c r="M35" s="28" t="str">
        <f t="shared" ref="M35:M36" si="16">D35&amp;" "&amp;E35</f>
        <v>연지리 991</v>
      </c>
      <c r="N35" s="9"/>
      <c r="O35" s="9"/>
      <c r="P35" s="9"/>
      <c r="R35" s="9"/>
      <c r="S35" s="7" t="s">
        <v>790</v>
      </c>
    </row>
    <row r="36" spans="1:19" s="7" customFormat="1" ht="21.75" customHeight="1">
      <c r="A36" s="1" t="s">
        <v>697</v>
      </c>
      <c r="B36" s="1" t="s">
        <v>2</v>
      </c>
      <c r="C36" s="2" t="s">
        <v>632</v>
      </c>
      <c r="D36" s="2" t="s">
        <v>633</v>
      </c>
      <c r="E36" s="10" t="s">
        <v>791</v>
      </c>
      <c r="F36" s="9">
        <v>45</v>
      </c>
      <c r="G36" s="9">
        <v>50</v>
      </c>
      <c r="H36" s="9">
        <v>0.5</v>
      </c>
      <c r="I36" s="9">
        <v>25</v>
      </c>
      <c r="J36" s="9">
        <v>30</v>
      </c>
      <c r="K36" s="9" t="s">
        <v>657</v>
      </c>
      <c r="L36" s="2">
        <v>3.16</v>
      </c>
      <c r="M36" s="28" t="str">
        <f t="shared" si="16"/>
        <v>봉당리 377-14</v>
      </c>
      <c r="N36" s="9"/>
      <c r="O36" s="9"/>
      <c r="P36" s="9"/>
      <c r="R36" s="9"/>
      <c r="S36" s="7" t="s">
        <v>11</v>
      </c>
    </row>
    <row r="37" spans="1:19" s="7" customFormat="1" ht="21.75" customHeight="1">
      <c r="A37" s="1" t="s">
        <v>758</v>
      </c>
      <c r="B37" s="1" t="s">
        <v>2</v>
      </c>
      <c r="C37" s="2" t="s">
        <v>632</v>
      </c>
      <c r="D37" s="2" t="s">
        <v>633</v>
      </c>
      <c r="E37" s="10" t="s">
        <v>792</v>
      </c>
      <c r="F37" s="9">
        <v>30</v>
      </c>
      <c r="G37" s="9">
        <v>100</v>
      </c>
      <c r="H37" s="9">
        <v>0.5</v>
      </c>
      <c r="I37" s="9">
        <v>60</v>
      </c>
      <c r="J37" s="9">
        <v>40</v>
      </c>
      <c r="K37" s="9" t="s">
        <v>657</v>
      </c>
      <c r="L37" s="2">
        <v>4.67</v>
      </c>
      <c r="M37" s="28" t="str">
        <f t="shared" ref="M37:M38" si="17">D37&amp;" "&amp;E37</f>
        <v>봉당리 359-10</v>
      </c>
      <c r="N37" s="9"/>
      <c r="O37" s="9"/>
      <c r="P37" s="9"/>
      <c r="R37" s="9"/>
      <c r="S37" s="7" t="s">
        <v>11</v>
      </c>
    </row>
    <row r="38" spans="1:19" s="7" customFormat="1" ht="21.75" customHeight="1">
      <c r="A38" s="1" t="s">
        <v>759</v>
      </c>
      <c r="B38" s="1" t="s">
        <v>2</v>
      </c>
      <c r="C38" s="2" t="s">
        <v>632</v>
      </c>
      <c r="D38" s="2" t="s">
        <v>633</v>
      </c>
      <c r="E38" s="10" t="s">
        <v>793</v>
      </c>
      <c r="F38" s="9">
        <v>40</v>
      </c>
      <c r="G38" s="9">
        <v>200</v>
      </c>
      <c r="H38" s="9">
        <v>5</v>
      </c>
      <c r="I38" s="9">
        <v>120</v>
      </c>
      <c r="J38" s="9">
        <v>40</v>
      </c>
      <c r="K38" s="9" t="s">
        <v>657</v>
      </c>
      <c r="L38" s="2">
        <v>7.25</v>
      </c>
      <c r="M38" s="28" t="str">
        <f t="shared" si="17"/>
        <v>봉당리 357-8</v>
      </c>
      <c r="N38" s="9"/>
      <c r="O38" s="9"/>
      <c r="P38" s="9"/>
      <c r="R38" s="9"/>
      <c r="S38" s="7" t="s">
        <v>11</v>
      </c>
    </row>
    <row r="39" spans="1:19" s="7" customFormat="1" ht="21.75" customHeight="1">
      <c r="A39" s="1" t="s">
        <v>760</v>
      </c>
      <c r="B39" s="1" t="s">
        <v>2</v>
      </c>
      <c r="C39" s="2" t="s">
        <v>632</v>
      </c>
      <c r="D39" s="2" t="s">
        <v>633</v>
      </c>
      <c r="E39" s="10" t="s">
        <v>797</v>
      </c>
      <c r="F39" s="9">
        <v>30</v>
      </c>
      <c r="G39" s="9">
        <v>50</v>
      </c>
      <c r="H39" s="9">
        <v>0.3</v>
      </c>
      <c r="I39" s="9">
        <v>57</v>
      </c>
      <c r="J39" s="9">
        <v>30</v>
      </c>
      <c r="K39" s="9" t="s">
        <v>679</v>
      </c>
      <c r="L39" s="2">
        <v>7.7</v>
      </c>
      <c r="M39" s="28" t="str">
        <f t="shared" ref="M39:M40" si="18">D39&amp;" "&amp;E39</f>
        <v>봉당리 577</v>
      </c>
      <c r="N39" s="9"/>
      <c r="O39" s="9"/>
      <c r="P39" s="9"/>
      <c r="R39" s="9"/>
      <c r="S39" s="7" t="s">
        <v>11</v>
      </c>
    </row>
    <row r="40" spans="1:19" s="7" customFormat="1" ht="21.75" customHeight="1">
      <c r="A40" s="1" t="s">
        <v>761</v>
      </c>
      <c r="B40" s="1" t="s">
        <v>2</v>
      </c>
      <c r="C40" s="2" t="s">
        <v>632</v>
      </c>
      <c r="D40" s="2" t="s">
        <v>633</v>
      </c>
      <c r="E40" s="10" t="s">
        <v>644</v>
      </c>
      <c r="F40" s="9">
        <v>19</v>
      </c>
      <c r="G40" s="9">
        <v>50</v>
      </c>
      <c r="H40" s="9">
        <v>0.5</v>
      </c>
      <c r="I40" s="9">
        <v>60</v>
      </c>
      <c r="J40" s="9">
        <v>30</v>
      </c>
      <c r="K40" s="9" t="s">
        <v>657</v>
      </c>
      <c r="L40" s="2">
        <v>4.67</v>
      </c>
      <c r="M40" s="28" t="str">
        <f t="shared" si="18"/>
        <v>봉당리 470</v>
      </c>
      <c r="N40" s="9"/>
      <c r="O40" s="9"/>
      <c r="P40" s="9"/>
      <c r="R40" s="9"/>
      <c r="S40" s="7" t="s">
        <v>11</v>
      </c>
    </row>
    <row r="41" spans="1:19" s="7" customFormat="1" ht="21.75" customHeight="1">
      <c r="A41" s="1" t="s">
        <v>762</v>
      </c>
      <c r="B41" s="1" t="s">
        <v>2</v>
      </c>
      <c r="C41" s="2" t="s">
        <v>632</v>
      </c>
      <c r="D41" s="2" t="s">
        <v>633</v>
      </c>
      <c r="E41" s="10" t="s">
        <v>802</v>
      </c>
      <c r="F41" s="9">
        <v>80</v>
      </c>
      <c r="G41" s="9">
        <v>150</v>
      </c>
      <c r="H41" s="9">
        <v>1</v>
      </c>
      <c r="I41" s="9">
        <v>80</v>
      </c>
      <c r="J41" s="9">
        <v>25</v>
      </c>
      <c r="K41" s="9" t="s">
        <v>753</v>
      </c>
      <c r="L41" s="2">
        <v>3.67</v>
      </c>
      <c r="M41" s="28" t="str">
        <f t="shared" ref="M41:M42" si="19">D41&amp;" "&amp;E41</f>
        <v>봉당리 475-2</v>
      </c>
      <c r="N41" s="9"/>
      <c r="O41" s="9"/>
      <c r="P41" s="9"/>
      <c r="R41" s="9"/>
      <c r="S41" s="7" t="s">
        <v>11</v>
      </c>
    </row>
    <row r="42" spans="1:19" s="7" customFormat="1" ht="21.75" customHeight="1">
      <c r="A42" s="1" t="s">
        <v>763</v>
      </c>
      <c r="B42" s="1" t="s">
        <v>2</v>
      </c>
      <c r="C42" s="2" t="s">
        <v>632</v>
      </c>
      <c r="D42" s="2" t="s">
        <v>633</v>
      </c>
      <c r="E42" s="10" t="s">
        <v>804</v>
      </c>
      <c r="F42" s="9">
        <v>30</v>
      </c>
      <c r="G42" s="9">
        <v>50</v>
      </c>
      <c r="H42" s="9">
        <v>0.3</v>
      </c>
      <c r="I42" s="9">
        <v>28</v>
      </c>
      <c r="J42" s="9">
        <v>20</v>
      </c>
      <c r="K42" s="9" t="s">
        <v>679</v>
      </c>
      <c r="L42" s="2">
        <v>7.33</v>
      </c>
      <c r="M42" s="28" t="str">
        <f t="shared" si="19"/>
        <v>봉당리 477-3</v>
      </c>
      <c r="N42" s="9"/>
      <c r="O42" s="9"/>
      <c r="P42" s="9"/>
      <c r="R42" s="9"/>
      <c r="S42" s="7" t="s">
        <v>11</v>
      </c>
    </row>
    <row r="43" spans="1:19" s="7" customFormat="1" ht="21.75" customHeight="1">
      <c r="A43" s="1" t="s">
        <v>764</v>
      </c>
      <c r="B43" s="1" t="s">
        <v>2</v>
      </c>
      <c r="C43" s="2" t="s">
        <v>632</v>
      </c>
      <c r="D43" s="2" t="s">
        <v>633</v>
      </c>
      <c r="E43" s="10" t="s">
        <v>805</v>
      </c>
      <c r="F43" s="9">
        <v>30</v>
      </c>
      <c r="G43" s="9">
        <v>50</v>
      </c>
      <c r="H43" s="9">
        <v>0.5</v>
      </c>
      <c r="I43" s="9">
        <v>57</v>
      </c>
      <c r="J43" s="9">
        <v>20</v>
      </c>
      <c r="K43" s="9" t="s">
        <v>657</v>
      </c>
      <c r="L43" s="2">
        <v>4.54</v>
      </c>
      <c r="M43" s="28" t="str">
        <f t="shared" ref="M43:M44" si="20">D43&amp;" "&amp;E43</f>
        <v>봉당리 451-1</v>
      </c>
      <c r="N43" s="9"/>
      <c r="O43" s="9"/>
      <c r="P43" s="9"/>
      <c r="R43" s="9"/>
      <c r="S43" s="7" t="s">
        <v>11</v>
      </c>
    </row>
    <row r="44" spans="1:19" s="7" customFormat="1" ht="21.75" customHeight="1">
      <c r="A44" s="1" t="s">
        <v>765</v>
      </c>
      <c r="B44" s="1" t="s">
        <v>2</v>
      </c>
      <c r="C44" s="2" t="s">
        <v>632</v>
      </c>
      <c r="D44" s="2" t="s">
        <v>633</v>
      </c>
      <c r="E44" s="10" t="s">
        <v>807</v>
      </c>
      <c r="F44" s="9">
        <v>30</v>
      </c>
      <c r="G44" s="9">
        <v>50</v>
      </c>
      <c r="H44" s="9">
        <v>0.5</v>
      </c>
      <c r="I44" s="9">
        <v>30</v>
      </c>
      <c r="J44" s="9">
        <v>30</v>
      </c>
      <c r="K44" s="9" t="s">
        <v>679</v>
      </c>
      <c r="L44" s="2">
        <v>7.35</v>
      </c>
      <c r="M44" s="28" t="str">
        <f t="shared" si="20"/>
        <v>봉당리 548</v>
      </c>
      <c r="N44" s="9"/>
      <c r="O44" s="9"/>
      <c r="P44" s="9"/>
      <c r="R44" s="9"/>
      <c r="S44" s="7" t="s">
        <v>11</v>
      </c>
    </row>
    <row r="45" spans="1:19" s="7" customFormat="1" ht="21.75" customHeight="1">
      <c r="A45" s="1" t="s">
        <v>766</v>
      </c>
      <c r="B45" s="1" t="s">
        <v>2</v>
      </c>
      <c r="C45" s="2" t="s">
        <v>632</v>
      </c>
      <c r="D45" s="2" t="s">
        <v>633</v>
      </c>
      <c r="E45" s="10" t="s">
        <v>808</v>
      </c>
      <c r="F45" s="9">
        <v>120</v>
      </c>
      <c r="G45" s="9">
        <v>250</v>
      </c>
      <c r="H45" s="9">
        <v>2</v>
      </c>
      <c r="I45" s="9">
        <v>140</v>
      </c>
      <c r="J45" s="9">
        <v>40</v>
      </c>
      <c r="K45" s="9" t="s">
        <v>657</v>
      </c>
      <c r="L45" s="2">
        <v>8.11</v>
      </c>
      <c r="M45" s="28" t="str">
        <f t="shared" ref="M45:M46" si="21">D45&amp;" "&amp;E45</f>
        <v>봉당리 102-2</v>
      </c>
      <c r="N45" s="9"/>
      <c r="O45" s="9"/>
      <c r="P45" s="9"/>
      <c r="R45" s="9"/>
      <c r="S45" s="7" t="s">
        <v>11</v>
      </c>
    </row>
    <row r="46" spans="1:19" s="7" customFormat="1" ht="21.75" customHeight="1">
      <c r="A46" s="1" t="s">
        <v>767</v>
      </c>
      <c r="B46" s="1" t="s">
        <v>2</v>
      </c>
      <c r="C46" s="2" t="s">
        <v>632</v>
      </c>
      <c r="D46" s="2" t="s">
        <v>633</v>
      </c>
      <c r="E46" s="10" t="s">
        <v>809</v>
      </c>
      <c r="F46" s="9">
        <v>30</v>
      </c>
      <c r="G46" s="9">
        <v>50</v>
      </c>
      <c r="H46" s="9">
        <v>0.5</v>
      </c>
      <c r="I46" s="9">
        <v>30</v>
      </c>
      <c r="J46" s="9">
        <v>20</v>
      </c>
      <c r="K46" s="9" t="s">
        <v>679</v>
      </c>
      <c r="L46" s="2">
        <v>7.35</v>
      </c>
      <c r="M46" s="28" t="str">
        <f t="shared" si="21"/>
        <v>봉당리 82-1</v>
      </c>
      <c r="N46" s="9"/>
      <c r="O46" s="9"/>
      <c r="P46" s="9"/>
      <c r="R46" s="9"/>
      <c r="S46" s="7" t="s">
        <v>11</v>
      </c>
    </row>
    <row r="47" spans="1:19" s="7" customFormat="1" ht="21.75" customHeight="1">
      <c r="A47" s="1" t="s">
        <v>768</v>
      </c>
      <c r="B47" s="1" t="s">
        <v>2</v>
      </c>
      <c r="C47" s="2" t="s">
        <v>632</v>
      </c>
      <c r="D47" s="2" t="s">
        <v>633</v>
      </c>
      <c r="E47" s="10" t="s">
        <v>810</v>
      </c>
      <c r="F47" s="9">
        <v>80</v>
      </c>
      <c r="G47" s="9">
        <v>150</v>
      </c>
      <c r="H47" s="9">
        <v>1</v>
      </c>
      <c r="I47" s="9">
        <v>80</v>
      </c>
      <c r="J47" s="9">
        <v>25</v>
      </c>
      <c r="K47" s="9" t="s">
        <v>657</v>
      </c>
      <c r="L47" s="2">
        <v>5.53</v>
      </c>
      <c r="M47" s="28" t="str">
        <f t="shared" ref="M47:M48" si="22">D47&amp;" "&amp;E47</f>
        <v>봉당리 608-1</v>
      </c>
      <c r="N47" s="9"/>
      <c r="O47" s="9"/>
      <c r="P47" s="9"/>
      <c r="R47" s="9"/>
      <c r="S47" s="7" t="s">
        <v>11</v>
      </c>
    </row>
    <row r="48" spans="1:19" s="7" customFormat="1" ht="21.75" customHeight="1">
      <c r="A48" s="1" t="s">
        <v>769</v>
      </c>
      <c r="B48" s="1" t="s">
        <v>2</v>
      </c>
      <c r="C48" s="2" t="s">
        <v>632</v>
      </c>
      <c r="D48" s="2" t="s">
        <v>633</v>
      </c>
      <c r="E48" s="10" t="s">
        <v>811</v>
      </c>
      <c r="F48" s="9">
        <v>30</v>
      </c>
      <c r="G48" s="9">
        <v>50</v>
      </c>
      <c r="H48" s="9">
        <v>0.5</v>
      </c>
      <c r="I48" s="9">
        <v>25</v>
      </c>
      <c r="J48" s="9">
        <v>20</v>
      </c>
      <c r="K48" s="9" t="s">
        <v>657</v>
      </c>
      <c r="L48" s="2">
        <v>3.16</v>
      </c>
      <c r="M48" s="28" t="str">
        <f t="shared" si="22"/>
        <v>봉당리 604-3</v>
      </c>
      <c r="N48" s="9"/>
      <c r="O48" s="9"/>
      <c r="P48" s="9"/>
      <c r="R48" s="9"/>
      <c r="S48" s="7" t="s">
        <v>11</v>
      </c>
    </row>
    <row r="49" spans="1:19" s="7" customFormat="1" ht="21.75" customHeight="1">
      <c r="A49" s="1" t="s">
        <v>770</v>
      </c>
      <c r="B49" s="1" t="s">
        <v>2</v>
      </c>
      <c r="C49" s="2" t="s">
        <v>632</v>
      </c>
      <c r="D49" s="2" t="s">
        <v>633</v>
      </c>
      <c r="E49" s="10" t="s">
        <v>812</v>
      </c>
      <c r="F49" s="9">
        <v>30</v>
      </c>
      <c r="G49" s="9">
        <v>50</v>
      </c>
      <c r="H49" s="9">
        <v>0.5</v>
      </c>
      <c r="I49" s="9">
        <v>60</v>
      </c>
      <c r="J49" s="9">
        <v>30</v>
      </c>
      <c r="K49" s="9" t="s">
        <v>657</v>
      </c>
      <c r="L49" s="2">
        <v>4.67</v>
      </c>
      <c r="M49" s="28" t="str">
        <f t="shared" ref="M49:M50" si="23">D49&amp;" "&amp;E49</f>
        <v>봉당리 613</v>
      </c>
      <c r="N49" s="9"/>
      <c r="O49" s="9"/>
      <c r="P49" s="9"/>
      <c r="R49" s="9"/>
      <c r="S49" s="7" t="s">
        <v>11</v>
      </c>
    </row>
    <row r="50" spans="1:19" s="7" customFormat="1" ht="21.75" customHeight="1">
      <c r="A50" s="1" t="s">
        <v>771</v>
      </c>
      <c r="B50" s="1" t="s">
        <v>2</v>
      </c>
      <c r="C50" s="2" t="s">
        <v>632</v>
      </c>
      <c r="D50" s="2" t="s">
        <v>633</v>
      </c>
      <c r="E50" s="10" t="s">
        <v>813</v>
      </c>
      <c r="F50" s="9">
        <v>62</v>
      </c>
      <c r="G50" s="9">
        <v>200</v>
      </c>
      <c r="H50" s="9">
        <v>1</v>
      </c>
      <c r="I50" s="9">
        <v>30</v>
      </c>
      <c r="J50" s="9">
        <v>30</v>
      </c>
      <c r="K50" s="9" t="s">
        <v>657</v>
      </c>
      <c r="L50" s="2">
        <v>3.38</v>
      </c>
      <c r="M50" s="28" t="str">
        <f t="shared" si="23"/>
        <v>봉당리 611</v>
      </c>
      <c r="N50" s="9"/>
      <c r="O50" s="9"/>
      <c r="P50" s="9"/>
      <c r="R50" s="9"/>
      <c r="S50" s="7" t="s">
        <v>11</v>
      </c>
    </row>
    <row r="51" spans="1:19" s="7" customFormat="1" ht="21.75" customHeight="1">
      <c r="A51" s="1" t="s">
        <v>772</v>
      </c>
      <c r="B51" s="1" t="s">
        <v>2</v>
      </c>
      <c r="C51" s="2" t="s">
        <v>632</v>
      </c>
      <c r="D51" s="2" t="s">
        <v>633</v>
      </c>
      <c r="E51" s="10" t="s">
        <v>814</v>
      </c>
      <c r="F51" s="9">
        <v>106</v>
      </c>
      <c r="G51" s="9">
        <v>150</v>
      </c>
      <c r="H51" s="9">
        <v>3</v>
      </c>
      <c r="I51" s="9">
        <v>120</v>
      </c>
      <c r="J51" s="9">
        <v>40</v>
      </c>
      <c r="K51" s="9" t="s">
        <v>657</v>
      </c>
      <c r="L51" s="2">
        <v>7.25</v>
      </c>
      <c r="M51" s="28" t="str">
        <f t="shared" ref="M51:M52" si="24">D51&amp;" "&amp;E51</f>
        <v>봉당리 610</v>
      </c>
      <c r="N51" s="9"/>
      <c r="O51" s="9"/>
      <c r="P51" s="9"/>
      <c r="R51" s="9"/>
      <c r="S51" s="7" t="s">
        <v>11</v>
      </c>
    </row>
    <row r="52" spans="1:19" s="7" customFormat="1" ht="21.75" customHeight="1">
      <c r="A52" s="1" t="s">
        <v>773</v>
      </c>
      <c r="B52" s="1" t="s">
        <v>2</v>
      </c>
      <c r="C52" s="2" t="s">
        <v>632</v>
      </c>
      <c r="D52" s="2" t="s">
        <v>633</v>
      </c>
      <c r="E52" s="10" t="s">
        <v>816</v>
      </c>
      <c r="F52" s="9">
        <v>30</v>
      </c>
      <c r="G52" s="9">
        <v>50</v>
      </c>
      <c r="H52" s="9">
        <v>0.5</v>
      </c>
      <c r="I52" s="9">
        <v>25</v>
      </c>
      <c r="J52" s="9">
        <v>20</v>
      </c>
      <c r="K52" s="9" t="s">
        <v>657</v>
      </c>
      <c r="L52" s="2">
        <v>3.16</v>
      </c>
      <c r="M52" s="28" t="str">
        <f t="shared" si="24"/>
        <v>봉당리 53</v>
      </c>
      <c r="N52" s="9"/>
      <c r="O52" s="9"/>
      <c r="P52" s="9"/>
      <c r="R52" s="9"/>
      <c r="S52" s="7" t="s">
        <v>11</v>
      </c>
    </row>
    <row r="53" spans="1:19" s="7" customFormat="1" ht="21.75" customHeight="1">
      <c r="A53" s="1" t="s">
        <v>774</v>
      </c>
      <c r="B53" s="1" t="s">
        <v>2</v>
      </c>
      <c r="C53" s="2" t="s">
        <v>632</v>
      </c>
      <c r="D53" s="2" t="s">
        <v>633</v>
      </c>
      <c r="E53" s="10" t="s">
        <v>822</v>
      </c>
      <c r="F53" s="9">
        <v>50</v>
      </c>
      <c r="G53" s="9">
        <v>50</v>
      </c>
      <c r="H53" s="9">
        <v>0.3</v>
      </c>
      <c r="I53" s="9">
        <v>30</v>
      </c>
      <c r="J53" s="9">
        <v>25</v>
      </c>
      <c r="K53" s="9" t="s">
        <v>657</v>
      </c>
      <c r="L53" s="2">
        <v>3.38</v>
      </c>
      <c r="M53" s="28" t="str">
        <f t="shared" ref="M53:M54" si="25">D53&amp;" "&amp;E53</f>
        <v>봉당리 34</v>
      </c>
      <c r="N53" s="9"/>
      <c r="O53" s="9"/>
      <c r="P53" s="9"/>
      <c r="R53" s="9"/>
      <c r="S53" s="7" t="s">
        <v>11</v>
      </c>
    </row>
    <row r="54" spans="1:19" s="7" customFormat="1" ht="21.75" customHeight="1">
      <c r="A54" s="1" t="s">
        <v>775</v>
      </c>
      <c r="B54" s="1" t="s">
        <v>2</v>
      </c>
      <c r="C54" s="2" t="s">
        <v>632</v>
      </c>
      <c r="D54" s="2" t="s">
        <v>633</v>
      </c>
      <c r="E54" s="10" t="s">
        <v>824</v>
      </c>
      <c r="F54" s="9">
        <v>30</v>
      </c>
      <c r="G54" s="9">
        <v>50</v>
      </c>
      <c r="H54" s="9">
        <v>0.3</v>
      </c>
      <c r="I54" s="9">
        <v>40</v>
      </c>
      <c r="J54" s="9">
        <v>30</v>
      </c>
      <c r="K54" s="9" t="s">
        <v>657</v>
      </c>
      <c r="L54" s="2">
        <v>3.81</v>
      </c>
      <c r="M54" s="28" t="str">
        <f t="shared" si="25"/>
        <v>봉당리 64</v>
      </c>
      <c r="N54" s="9"/>
      <c r="O54" s="9"/>
      <c r="P54" s="9"/>
      <c r="R54" s="9"/>
      <c r="S54" s="7" t="s">
        <v>11</v>
      </c>
    </row>
    <row r="55" spans="1:19" s="7" customFormat="1" ht="21.75" customHeight="1">
      <c r="A55" s="1" t="s">
        <v>817</v>
      </c>
      <c r="B55" s="1" t="s">
        <v>2</v>
      </c>
      <c r="C55" s="2" t="s">
        <v>632</v>
      </c>
      <c r="D55" s="2" t="s">
        <v>633</v>
      </c>
      <c r="E55" s="10" t="s">
        <v>826</v>
      </c>
      <c r="F55" s="9">
        <v>30</v>
      </c>
      <c r="G55" s="9">
        <v>50</v>
      </c>
      <c r="H55" s="9">
        <v>0.5</v>
      </c>
      <c r="I55" s="9">
        <v>30</v>
      </c>
      <c r="J55" s="9">
        <v>25</v>
      </c>
      <c r="K55" s="9" t="s">
        <v>657</v>
      </c>
      <c r="L55" s="2">
        <v>3.38</v>
      </c>
      <c r="M55" s="28" t="str">
        <f t="shared" ref="M55:M56" si="26">D55&amp;" "&amp;E55</f>
        <v>봉당리 11-1</v>
      </c>
      <c r="N55" s="9"/>
      <c r="O55" s="9"/>
      <c r="P55" s="9"/>
      <c r="R55" s="9"/>
      <c r="S55" s="7" t="s">
        <v>11</v>
      </c>
    </row>
    <row r="56" spans="1:19" s="7" customFormat="1" ht="21.75" customHeight="1">
      <c r="A56" s="1" t="s">
        <v>818</v>
      </c>
      <c r="B56" s="1" t="s">
        <v>2</v>
      </c>
      <c r="C56" s="2" t="s">
        <v>632</v>
      </c>
      <c r="D56" s="2" t="s">
        <v>633</v>
      </c>
      <c r="E56" s="10" t="s">
        <v>828</v>
      </c>
      <c r="F56" s="9">
        <v>30</v>
      </c>
      <c r="G56" s="9">
        <v>50</v>
      </c>
      <c r="H56" s="9">
        <v>0.5</v>
      </c>
      <c r="I56" s="9">
        <v>20</v>
      </c>
      <c r="J56" s="9">
        <v>16</v>
      </c>
      <c r="K56" s="9" t="s">
        <v>657</v>
      </c>
      <c r="L56" s="2">
        <v>2.95</v>
      </c>
      <c r="M56" s="28" t="str">
        <f t="shared" si="26"/>
        <v>봉당리 5-1</v>
      </c>
      <c r="N56" s="9"/>
      <c r="O56" s="9"/>
      <c r="P56" s="9"/>
      <c r="R56" s="9"/>
      <c r="S56" s="7" t="s">
        <v>11</v>
      </c>
    </row>
    <row r="57" spans="1:19" s="7" customFormat="1" ht="21.75" customHeight="1">
      <c r="A57" s="1" t="s">
        <v>819</v>
      </c>
      <c r="B57" s="1" t="s">
        <v>2</v>
      </c>
      <c r="C57" s="2" t="s">
        <v>632</v>
      </c>
      <c r="D57" s="2" t="s">
        <v>633</v>
      </c>
      <c r="E57" s="10" t="s">
        <v>829</v>
      </c>
      <c r="F57" s="9">
        <v>80</v>
      </c>
      <c r="G57" s="9">
        <v>150</v>
      </c>
      <c r="H57" s="9">
        <v>1</v>
      </c>
      <c r="I57" s="9">
        <v>30</v>
      </c>
      <c r="J57" s="9">
        <v>20</v>
      </c>
      <c r="K57" s="9" t="s">
        <v>679</v>
      </c>
      <c r="L57" s="2">
        <v>7.35</v>
      </c>
      <c r="M57" s="28" t="str">
        <f t="shared" ref="M57" si="27">D57&amp;" "&amp;E57</f>
        <v>봉당리 14-1</v>
      </c>
      <c r="N57" s="9"/>
      <c r="O57" s="9"/>
      <c r="P57" s="9"/>
      <c r="R57" s="9"/>
      <c r="S57" s="7" t="s">
        <v>11</v>
      </c>
    </row>
    <row r="58" spans="1:19" s="7" customFormat="1" ht="21.75" customHeight="1">
      <c r="A58" s="1"/>
      <c r="B58" s="1"/>
      <c r="C58" s="2"/>
      <c r="D58" s="2"/>
      <c r="E58" s="10"/>
      <c r="F58" s="9"/>
      <c r="G58" s="9"/>
      <c r="H58" s="9"/>
      <c r="I58" s="9"/>
      <c r="J58" s="9"/>
      <c r="K58" s="9"/>
      <c r="L58" s="2"/>
      <c r="M58" s="28"/>
      <c r="N58" s="9"/>
      <c r="O58" s="9"/>
      <c r="P58" s="9"/>
      <c r="Q58" s="3"/>
      <c r="R58" s="9"/>
      <c r="S58" s="2"/>
    </row>
    <row r="59" spans="1:19" ht="21.75" customHeight="1" thickBot="1">
      <c r="L59" s="5"/>
    </row>
    <row r="60" spans="1:19" ht="21.75" customHeight="1">
      <c r="B60" s="24" t="s">
        <v>21</v>
      </c>
      <c r="C60" s="16" t="s">
        <v>20</v>
      </c>
      <c r="D60" s="17" t="s">
        <v>5</v>
      </c>
      <c r="K60" s="2" t="s">
        <v>30</v>
      </c>
      <c r="L60" s="39">
        <f>SUM(L2:L59)</f>
        <v>276.10999999999996</v>
      </c>
      <c r="M60" s="29"/>
    </row>
    <row r="61" spans="1:19" ht="21.75" customHeight="1">
      <c r="B61" s="22" t="s">
        <v>18</v>
      </c>
      <c r="C61" s="15">
        <f ca="1">COUNTIF(AA_INSIDE_AREA,"O")</f>
        <v>53</v>
      </c>
      <c r="D61" s="19">
        <f ca="1">SUMIF(AA_INSIDE_AREA,"O",$L$2:$L$2)</f>
        <v>268.11999999999995</v>
      </c>
    </row>
    <row r="62" spans="1:19" ht="21.75" customHeight="1">
      <c r="B62" s="22" t="s">
        <v>19</v>
      </c>
      <c r="C62" s="15">
        <f ca="1">COUNTIF(AA_INSIDE_AREA,"X")</f>
        <v>3</v>
      </c>
      <c r="D62" s="19">
        <f ca="1">SUMIF(AA_INSIDE_AREA,"X",$L$2:$L$2)</f>
        <v>7.99</v>
      </c>
      <c r="L62" s="4"/>
    </row>
    <row r="63" spans="1:19" ht="21.75" customHeight="1" thickBot="1">
      <c r="B63" s="23"/>
      <c r="C63" s="20"/>
      <c r="D63" s="21">
        <f ca="1">D61+D62</f>
        <v>276.10999999999996</v>
      </c>
      <c r="L63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autoPict="0" r:id="rId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autoPict="0" r:id="rId1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14" name="CommandButtonInitial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I22" sqref="I2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632</v>
      </c>
      <c r="D2" s="2" t="s">
        <v>633</v>
      </c>
      <c r="E2" s="6" t="s">
        <v>827</v>
      </c>
      <c r="F2" s="2">
        <v>50</v>
      </c>
      <c r="G2" s="2">
        <v>50</v>
      </c>
      <c r="H2" s="2">
        <v>0.3</v>
      </c>
      <c r="I2" s="2">
        <v>25</v>
      </c>
      <c r="J2" s="2">
        <v>20</v>
      </c>
      <c r="K2" s="2" t="s">
        <v>158</v>
      </c>
      <c r="L2" s="2">
        <v>3</v>
      </c>
      <c r="M2" s="2" t="str">
        <f>D2&amp;" "&amp;E2&amp;" 번지"</f>
        <v>봉당리 6-1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2024-01-29T08:20:01Z</dcterms:modified>
</cp:coreProperties>
</file>