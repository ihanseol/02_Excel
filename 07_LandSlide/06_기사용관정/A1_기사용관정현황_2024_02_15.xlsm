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AF42B85-E02D-4D27-9A3C-A0545D17FCED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aa!$L$25</definedName>
    <definedName name="SUM_II">ii!$L$5</definedName>
    <definedName name="SUM_SS">ss!$L$25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1" i="10" l="1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8" i="8" l="1"/>
  <c r="E28" i="8" s="1"/>
  <c r="F27" i="8"/>
  <c r="E27" i="8" s="1"/>
  <c r="J9" i="12"/>
  <c r="M2" i="10"/>
  <c r="D9" i="11" l="1"/>
  <c r="C9" i="11"/>
  <c r="D8" i="11"/>
  <c r="L5" i="11"/>
  <c r="C8" i="11" s="1"/>
  <c r="M2" i="11"/>
  <c r="C27" i="10"/>
  <c r="C26" i="10"/>
  <c r="J28" i="8" l="1"/>
  <c r="I28" i="8" s="1"/>
  <c r="J27" i="8"/>
  <c r="I27" i="8" s="1"/>
  <c r="D27" i="10"/>
  <c r="D10" i="11"/>
  <c r="D26" i="10"/>
  <c r="L25" i="10"/>
  <c r="L25" i="8"/>
  <c r="H28" i="8" l="1"/>
  <c r="H27" i="8"/>
  <c r="L27" i="8"/>
  <c r="D28" i="10"/>
  <c r="D28" i="8" l="1"/>
  <c r="G28" i="8"/>
  <c r="C28" i="8" s="1"/>
  <c r="D27" i="8"/>
  <c r="L29" i="8" s="1"/>
  <c r="G27" i="8"/>
  <c r="C27" i="8" s="1"/>
  <c r="L30" i="8" s="1"/>
</calcChain>
</file>

<file path=xl/sharedStrings.xml><?xml version="1.0" encoding="utf-8"?>
<sst xmlns="http://schemas.openxmlformats.org/spreadsheetml/2006/main" count="2556" uniqueCount="490">
  <si>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</si>
  <si>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</si>
  <si>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</si>
  <si>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</si>
  <si>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</si>
  <si>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</si>
  <si>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</si>
  <si>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</si>
  <si>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</si>
  <si>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</si>
  <si>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</si>
  <si>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</si>
  <si>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</si>
  <si>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</si>
  <si>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</si>
  <si>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</si>
  <si>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</si>
  <si>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</si>
  <si>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</si>
  <si>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</si>
  <si>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</si>
  <si>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</si>
  <si>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</si>
  <si>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</si>
  <si>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</si>
  <si>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</si>
  <si>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</si>
  <si>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</si>
  <si>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</si>
  <si>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</si>
  <si>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</si>
  <si>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</si>
  <si>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</si>
  <si>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</si>
  <si>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</si>
  <si>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</si>
  <si>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</si>
  <si>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</si>
  <si>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</si>
  <si>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</si>
  <si>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</si>
  <si>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</si>
  <si>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</si>
  <si>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</si>
  <si>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</si>
  <si>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</si>
  <si>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</si>
  <si>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</si>
  <si>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</si>
  <si>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</si>
  <si>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</si>
  <si>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</si>
  <si>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</si>
  <si>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</si>
  <si>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</si>
  <si>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</si>
  <si>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</si>
  <si>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</si>
  <si>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</si>
  <si>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</si>
  <si>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</si>
  <si>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</si>
  <si>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</si>
  <si>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</si>
  <si>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</si>
  <si>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</si>
  <si>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</si>
  <si>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</si>
  <si>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</si>
  <si>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</si>
  <si>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</si>
  <si>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</si>
  <si>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</si>
  <si>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</si>
  <si>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</si>
  <si>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</si>
  <si>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</si>
  <si>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</si>
  <si>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</si>
  <si>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</si>
  <si>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</si>
  <si>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</si>
  <si>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</si>
  <si>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</si>
  <si>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</si>
  <si>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</si>
  <si>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</si>
  <si>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</si>
  <si>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</si>
  <si>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</si>
  <si>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</si>
  <si>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</si>
  <si>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</si>
  <si>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</si>
  <si>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</si>
  <si>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</si>
  <si>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</si>
  <si>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</si>
  <si>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</si>
  <si>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</si>
  <si>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</si>
  <si>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</si>
  <si>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</si>
  <si>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</si>
  <si>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</si>
  <si>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</si>
  <si>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</si>
  <si>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</si>
  <si>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</si>
  <si>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</si>
  <si>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</si>
  <si>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</si>
  <si>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</si>
  <si>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</si>
  <si>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</si>
  <si>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</si>
  <si>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</si>
  <si>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</si>
  <si>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</si>
  <si>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</si>
  <si>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</si>
  <si>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</si>
  <si>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</si>
  <si>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</si>
  <si>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</si>
  <si>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</si>
  <si>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</si>
  <si>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</si>
  <si>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</si>
  <si>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</si>
  <si>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</si>
  <si>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</si>
  <si>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</si>
  <si>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</si>
  <si>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</si>
  <si>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</si>
  <si>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</si>
  <si>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</si>
  <si>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</si>
  <si>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</si>
  <si>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</si>
  <si>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</si>
  <si>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</si>
  <si>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</si>
  <si>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</si>
  <si>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</si>
  <si>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</si>
  <si>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</si>
  <si>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</si>
  <si>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</si>
  <si>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</si>
  <si>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</si>
  <si>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</si>
  <si>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</si>
  <si>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</si>
  <si>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</si>
  <si>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</si>
  <si>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</si>
  <si>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</si>
  <si>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</si>
  <si>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</si>
  <si>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</si>
  <si>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</si>
  <si>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</si>
  <si>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</si>
  <si>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</si>
  <si>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</si>
  <si>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</si>
  <si>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</si>
  <si>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</si>
  <si>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</si>
  <si>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</si>
  <si>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</si>
  <si>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</si>
  <si>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</si>
  <si>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</si>
  <si>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</si>
  <si>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</si>
  <si>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</si>
  <si>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</si>
  <si>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</si>
  <si>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</si>
  <si>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</si>
  <si>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</si>
  <si>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</si>
  <si>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</si>
  <si>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</si>
  <si>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</si>
  <si>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</si>
  <si>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</si>
  <si>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</si>
  <si>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</si>
  <si>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</si>
  <si>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</si>
  <si>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</si>
  <si>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</si>
  <si>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</si>
  <si>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</si>
  <si>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</si>
  <si>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</si>
  <si>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</si>
  <si>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</si>
  <si>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</si>
  <si>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</si>
  <si>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</si>
  <si>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</si>
  <si>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</si>
  <si>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</si>
  <si>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</si>
  <si>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</si>
  <si>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</si>
  <si>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</si>
  <si>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</si>
  <si>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</si>
  <si>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</si>
  <si>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</si>
  <si>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</si>
  <si>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</si>
  <si>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</si>
  <si>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</si>
  <si>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</si>
  <si>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</si>
  <si>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</si>
  <si>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</si>
  <si>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</si>
  <si>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</si>
  <si>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</si>
  <si>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</si>
  <si>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</si>
  <si>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</si>
  <si>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</si>
  <si>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</si>
  <si>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</si>
  <si>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</si>
  <si>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</si>
  <si>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</si>
  <si>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</si>
  <si>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</si>
  <si>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</si>
  <si>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</si>
  <si>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</si>
  <si>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</si>
  <si>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</si>
  <si>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</si>
  <si>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</si>
  <si>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</si>
  <si>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</si>
  <si>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</si>
  <si>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</si>
  <si>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</si>
  <si>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</si>
  <si>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</si>
  <si>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</si>
  <si>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</si>
  <si>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</si>
  <si>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</si>
  <si>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</si>
  <si>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</si>
  <si>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</si>
  <si>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</si>
  <si>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</si>
  <si>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</si>
  <si>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</si>
  <si>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</si>
  <si>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</si>
  <si>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</si>
  <si>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</si>
  <si>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</si>
  <si>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</si>
  <si>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</si>
  <si>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</si>
  <si>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</si>
  <si>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</si>
  <si>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</si>
  <si>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</si>
  <si>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</si>
  <si>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</si>
  <si>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</si>
  <si>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</si>
  <si>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</si>
  <si>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</si>
  <si>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</si>
  <si>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</si>
  <si>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</si>
  <si>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</si>
  <si>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</si>
  <si>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</si>
  <si>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</si>
  <si>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</si>
  <si>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</si>
  <si>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</si>
  <si>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</si>
  <si>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</si>
  <si>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</si>
  <si>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</si>
  <si>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</si>
  <si>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</si>
  <si>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</si>
  <si>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</si>
  <si>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</si>
  <si>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</si>
  <si>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</si>
  <si>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</si>
  <si>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</si>
  <si>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</si>
  <si>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</si>
  <si>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</si>
  <si>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</si>
  <si>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</si>
  <si>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</si>
  <si>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</si>
  <si>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</si>
  <si>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</si>
  <si>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</si>
  <si>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</si>
  <si>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</si>
  <si>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</si>
  <si>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</si>
  <si>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</si>
  <si>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</si>
  <si>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</si>
  <si>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</si>
  <si>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</si>
  <si>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</si>
  <si>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</si>
  <si>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</si>
  <si>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</si>
  <si>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</si>
  <si>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</si>
  <si>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</si>
  <si>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</si>
  <si>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</si>
  <si>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</si>
  <si>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</si>
  <si>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</si>
  <si>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</si>
  <si>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</si>
  <si>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</si>
  <si>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</si>
  <si>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</si>
  <si>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</si>
  <si>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</si>
  <si>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</si>
  <si>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</si>
  <si>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</si>
  <si>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</si>
  <si>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</si>
  <si>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</si>
  <si>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</si>
  <si>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</si>
  <si>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</si>
  <si>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</si>
  <si>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</si>
  <si>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</si>
  <si>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</si>
  <si>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천북면</t>
    <phoneticPr fontId="19" type="noConversion"/>
  </si>
  <si>
    <t>신덕리</t>
    <phoneticPr fontId="19" type="noConversion"/>
  </si>
  <si>
    <t>신죽리</t>
    <phoneticPr fontId="19" type="noConversion"/>
  </si>
  <si>
    <t>기타</t>
  </si>
  <si>
    <t>s1</t>
    <phoneticPr fontId="19" type="noConversion"/>
  </si>
  <si>
    <t>서울특별시 천북면 신죽리  , s1</t>
  </si>
  <si>
    <t>가정용</t>
  </si>
  <si>
    <t>s2</t>
    <phoneticPr fontId="19" type="noConversion"/>
  </si>
  <si>
    <t>서울특별시 천북면 신죽리  , s2</t>
  </si>
  <si>
    <t>s3</t>
    <phoneticPr fontId="19" type="noConversion"/>
  </si>
  <si>
    <t>서울특별시 천북면 신죽리  , s3</t>
  </si>
  <si>
    <t>s4</t>
    <phoneticPr fontId="19" type="noConversion"/>
  </si>
  <si>
    <t>서울특별시 천북면 신죽리  , s4</t>
  </si>
  <si>
    <t>s5</t>
    <phoneticPr fontId="19" type="noConversion"/>
  </si>
  <si>
    <t>서울특별시 천북면 신죽리  , s5</t>
  </si>
  <si>
    <t>s6</t>
    <phoneticPr fontId="19" type="noConversion"/>
  </si>
  <si>
    <t>서울특별시 천북면 신죽리  , s6</t>
  </si>
  <si>
    <t>s7</t>
    <phoneticPr fontId="19" type="noConversion"/>
  </si>
  <si>
    <t>서울특별시 천북면 신죽리  , s7</t>
  </si>
  <si>
    <t>s8</t>
    <phoneticPr fontId="19" type="noConversion"/>
  </si>
  <si>
    <t>서울특별시 천북면 신죽리  , s8</t>
  </si>
  <si>
    <t>s9</t>
    <phoneticPr fontId="19" type="noConversion"/>
  </si>
  <si>
    <t>서울특별시 천북면 신덕리  , s9</t>
  </si>
  <si>
    <t>s10</t>
    <phoneticPr fontId="19" type="noConversion"/>
  </si>
  <si>
    <t>서울특별시 천북면 신덕리  , s10</t>
  </si>
  <si>
    <t>s11</t>
    <phoneticPr fontId="19" type="noConversion"/>
  </si>
  <si>
    <t>서울특별시 천북면 신덕리  , s11</t>
  </si>
  <si>
    <t>s12</t>
    <phoneticPr fontId="19" type="noConversion"/>
  </si>
  <si>
    <t>서울특별시 천북면 신덕리  , s12</t>
  </si>
  <si>
    <t>s13</t>
    <phoneticPr fontId="19" type="noConversion"/>
  </si>
  <si>
    <t>서울특별시 천북면 신덕리  , s13</t>
  </si>
  <si>
    <t>s14</t>
    <phoneticPr fontId="19" type="noConversion"/>
  </si>
  <si>
    <t>서울특별시 천북면 신덕리  , s14</t>
  </si>
  <si>
    <t>s15</t>
    <phoneticPr fontId="19" type="noConversion"/>
  </si>
  <si>
    <t>서울특별시 천북면 신덕리  , s15</t>
  </si>
  <si>
    <t>s16</t>
    <phoneticPr fontId="19" type="noConversion"/>
  </si>
  <si>
    <t>서울특별시 천북면 신덕리  , s16</t>
  </si>
  <si>
    <t>s17</t>
    <phoneticPr fontId="19" type="noConversion"/>
  </si>
  <si>
    <t>서울특별시 천북면 신덕리  , s17</t>
  </si>
  <si>
    <t>s18</t>
    <phoneticPr fontId="19" type="noConversion"/>
  </si>
  <si>
    <t>서울특별시 천북면 신덕리  , s18</t>
  </si>
  <si>
    <t>s19</t>
    <phoneticPr fontId="19" type="noConversion"/>
  </si>
  <si>
    <t>서울특별시 천북면 신덕리  , s19</t>
  </si>
  <si>
    <t>s20</t>
    <phoneticPr fontId="19" type="noConversion"/>
  </si>
  <si>
    <t>서울특별시 천북면 신덕리  , s20</t>
  </si>
  <si>
    <t>s21</t>
    <phoneticPr fontId="19" type="noConversion"/>
  </si>
  <si>
    <t>서울특별시 천북면 신덕리  , s21</t>
  </si>
  <si>
    <t>a1</t>
    <phoneticPr fontId="19" type="noConversion"/>
  </si>
  <si>
    <t>서울특별시 천북면 신덕리  , a1</t>
  </si>
  <si>
    <t>답작용</t>
  </si>
  <si>
    <t>a2</t>
    <phoneticPr fontId="19" type="noConversion"/>
  </si>
  <si>
    <t>서울특별시 천북면 신덕리  , a2</t>
  </si>
  <si>
    <t>a3</t>
    <phoneticPr fontId="19" type="noConversion"/>
  </si>
  <si>
    <t>서울특별시 천북면 신덕리  , a3</t>
  </si>
  <si>
    <t>a4</t>
    <phoneticPr fontId="19" type="noConversion"/>
  </si>
  <si>
    <t>서울특별시 천북면 신덕리  , a4</t>
  </si>
  <si>
    <t>a5</t>
    <phoneticPr fontId="19" type="noConversion"/>
  </si>
  <si>
    <t>서울특별시 천북면 신덕리  , a5</t>
  </si>
  <si>
    <t>a6</t>
    <phoneticPr fontId="19" type="noConversion"/>
  </si>
  <si>
    <t>서울특별시 천북면 신덕리  , a6</t>
  </si>
  <si>
    <t>a7</t>
    <phoneticPr fontId="19" type="noConversion"/>
  </si>
  <si>
    <t>서울특별시 천북면 신죽리  , a7</t>
  </si>
  <si>
    <t>a8</t>
    <phoneticPr fontId="19" type="noConversion"/>
  </si>
  <si>
    <t>서울특별시 천북면 신죽리  , a8</t>
  </si>
  <si>
    <t>a9</t>
    <phoneticPr fontId="19" type="noConversion"/>
  </si>
  <si>
    <t>서울특별시 천북면 신죽리  , a9</t>
  </si>
  <si>
    <t>a10</t>
    <phoneticPr fontId="19" type="noConversion"/>
  </si>
  <si>
    <t>서울특별시 천북면 신죽리  , a10</t>
  </si>
  <si>
    <t>a11</t>
    <phoneticPr fontId="19" type="noConversion"/>
  </si>
  <si>
    <t>서울특별시 천북면 신죽리  , a11</t>
  </si>
  <si>
    <t>a12</t>
    <phoneticPr fontId="19" type="noConversion"/>
  </si>
  <si>
    <t>서울특별시 천북면 신덕리  , a12</t>
  </si>
  <si>
    <t>a13</t>
    <phoneticPr fontId="19" type="noConversion"/>
  </si>
  <si>
    <t>서울특별시 천북면 신덕리  , a13</t>
  </si>
  <si>
    <t>a14</t>
    <phoneticPr fontId="19" type="noConversion"/>
  </si>
  <si>
    <t>서울특별시 천북면 신덕리  , a14</t>
  </si>
  <si>
    <t>전작용</t>
  </si>
  <si>
    <t>a15</t>
    <phoneticPr fontId="19" type="noConversion"/>
  </si>
  <si>
    <t>서울특별시 천북면 신죽리  , a15</t>
  </si>
  <si>
    <t>a16</t>
    <phoneticPr fontId="19" type="noConversion"/>
  </si>
  <si>
    <t>서울특별시 천북면 신덕리  , a16</t>
  </si>
  <si>
    <t>a17</t>
    <phoneticPr fontId="19" type="noConversion"/>
  </si>
  <si>
    <t>서울특별시 천북면 신덕리  , a17</t>
  </si>
  <si>
    <t>a18</t>
    <phoneticPr fontId="19" type="noConversion"/>
  </si>
  <si>
    <t>서울특별시 천북면 신덕리  , a18</t>
  </si>
  <si>
    <t>a19</t>
    <phoneticPr fontId="19" type="noConversion"/>
  </si>
  <si>
    <t>서울특별시 천북면 신덕리  , a19</t>
  </si>
  <si>
    <t>a20</t>
    <phoneticPr fontId="19" type="noConversion"/>
  </si>
  <si>
    <t>서울특별시 천북면 신덕리  , a20</t>
  </si>
  <si>
    <t>a21</t>
    <phoneticPr fontId="19" type="noConversion"/>
  </si>
  <si>
    <t>서울특별시 천북면 신덕리  , a21</t>
  </si>
  <si>
    <t>✔</t>
    <phoneticPr fontId="19" type="noConversion"/>
  </si>
  <si>
    <t xml:space="preserve"> 2023-12-20.</t>
    <phoneticPr fontId="19" type="noConversion"/>
  </si>
  <si>
    <t>서울특별시 천북면 신죽리  , s1</t>
    <phoneticPr fontId="19" type="noConversion"/>
  </si>
  <si>
    <t>서울특별시 천북면 신죽리  , s2</t>
    <phoneticPr fontId="19" type="noConversion"/>
  </si>
  <si>
    <t>서울특별시 천북면 신죽리  , s3</t>
    <phoneticPr fontId="19" type="noConversion"/>
  </si>
  <si>
    <t>서울특별시 천북면 신죽리  , s4</t>
    <phoneticPr fontId="19" type="noConversion"/>
  </si>
  <si>
    <t>서울특별시 천북면 신죽리  , s5</t>
    <phoneticPr fontId="19" type="noConversion"/>
  </si>
  <si>
    <t>서울특별시 천북면 신죽리  , s6</t>
    <phoneticPr fontId="19" type="noConversion"/>
  </si>
  <si>
    <t>서울특별시 천북면 신죽리  , s7</t>
    <phoneticPr fontId="19" type="noConversion"/>
  </si>
  <si>
    <t>서울특별시 천북면 신죽리  , s8</t>
    <phoneticPr fontId="19" type="noConversion"/>
  </si>
  <si>
    <t>서울특별시 천북면 신덕리  , s9</t>
    <phoneticPr fontId="19" type="noConversion"/>
  </si>
  <si>
    <t>서울특별시 천북면 신덕리  , s10</t>
    <phoneticPr fontId="19" type="noConversion"/>
  </si>
  <si>
    <t>서울특별시 천북면 신덕리  , s11</t>
    <phoneticPr fontId="19" type="noConversion"/>
  </si>
  <si>
    <t>서울특별시 천북면 신덕리  , s12</t>
    <phoneticPr fontId="19" type="noConversion"/>
  </si>
  <si>
    <t>서울특별시 천북면 신덕리  , s13</t>
    <phoneticPr fontId="19" type="noConversion"/>
  </si>
  <si>
    <t>서울특별시 천북면 신덕리  , s14</t>
    <phoneticPr fontId="19" type="noConversion"/>
  </si>
  <si>
    <t>서울특별시 천북면 신덕리  , s15</t>
    <phoneticPr fontId="19" type="noConversion"/>
  </si>
  <si>
    <t>서울특별시 천북면 신덕리  , s16</t>
    <phoneticPr fontId="19" type="noConversion"/>
  </si>
  <si>
    <t>서울특별시 천북면 신덕리  , s17</t>
    <phoneticPr fontId="19" type="noConversion"/>
  </si>
  <si>
    <t>서울특별시 천북면 신덕리  , s18</t>
    <phoneticPr fontId="19" type="noConversion"/>
  </si>
  <si>
    <t>서울특별시 천북면 신덕리  , s19</t>
    <phoneticPr fontId="19" type="noConversion"/>
  </si>
  <si>
    <t>서울특별시 천북면 신덕리  , s20</t>
    <phoneticPr fontId="19" type="noConversion"/>
  </si>
  <si>
    <t>서울특별시 천북면 신덕리  , s21</t>
    <phoneticPr fontId="19" type="noConversion"/>
  </si>
  <si>
    <t>서울특별시 천북면 신덕리  , a1</t>
    <phoneticPr fontId="19" type="noConversion"/>
  </si>
  <si>
    <t>서울특별시 천북면 신덕리  , a2</t>
    <phoneticPr fontId="19" type="noConversion"/>
  </si>
  <si>
    <t>서울특별시 천북면 신덕리  , a3</t>
    <phoneticPr fontId="19" type="noConversion"/>
  </si>
  <si>
    <t>서울특별시 천북면 신덕리  , a4</t>
    <phoneticPr fontId="19" type="noConversion"/>
  </si>
  <si>
    <t>서울특별시 천북면 신덕리  , a5</t>
    <phoneticPr fontId="19" type="noConversion"/>
  </si>
  <si>
    <t>서울특별시 천북면 신덕리  , a6</t>
    <phoneticPr fontId="19" type="noConversion"/>
  </si>
  <si>
    <t>서울특별시 천북면 신죽리  , a7</t>
    <phoneticPr fontId="19" type="noConversion"/>
  </si>
  <si>
    <t>서울특별시 천북면 신죽리  , a8</t>
    <phoneticPr fontId="19" type="noConversion"/>
  </si>
  <si>
    <t>서울특별시 천북면 신죽리  , a9</t>
    <phoneticPr fontId="19" type="noConversion"/>
  </si>
  <si>
    <t>서울특별시 천북면 신죽리  , a10</t>
    <phoneticPr fontId="19" type="noConversion"/>
  </si>
  <si>
    <t>서울특별시 천북면 신죽리  , a11</t>
    <phoneticPr fontId="19" type="noConversion"/>
  </si>
  <si>
    <t>서울특별시 천북면 신덕리  , a12</t>
    <phoneticPr fontId="19" type="noConversion"/>
  </si>
  <si>
    <t>서울특별시 천북면 신덕리  , a13</t>
    <phoneticPr fontId="19" type="noConversion"/>
  </si>
  <si>
    <t>서울특별시 천북면 신덕리  , a14</t>
    <phoneticPr fontId="19" type="noConversion"/>
  </si>
  <si>
    <t>서울특별시 천북면 신죽리  , a15</t>
    <phoneticPr fontId="19" type="noConversion"/>
  </si>
  <si>
    <t>서울특별시 천북면 신덕리  , a16</t>
    <phoneticPr fontId="19" type="noConversion"/>
  </si>
  <si>
    <t>서울특별시 천북면 신덕리  , a17</t>
    <phoneticPr fontId="19" type="noConversion"/>
  </si>
  <si>
    <t>서울특별시 천북면 신덕리  , a18</t>
    <phoneticPr fontId="19" type="noConversion"/>
  </si>
  <si>
    <t>서울특별시 천북면 신덕리  , a19</t>
    <phoneticPr fontId="19" type="noConversion"/>
  </si>
  <si>
    <t>서울특별시 천북면 신덕리  , a20</t>
    <phoneticPr fontId="19" type="noConversion"/>
  </si>
  <si>
    <t>서울특별시 천북면 신덕리  , a21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</si>
</sst>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0</xdr:row>
          <xdr:rowOff>133350</xdr:rowOff>
        </xdr:from>
        <xdr:to>
          <xdr:col>11</xdr:col>
          <xdr:colOff>676275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790575</xdr:colOff>
          <xdr:row>0</xdr:row>
          <xdr:rowOff>142875</xdr:rowOff>
        </xdr:from>
        <xdr:to>
          <xdr:col>13</xdr:col>
          <xdr:colOff>104775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723900</xdr:colOff>
          <xdr:row>0</xdr:row>
          <xdr:rowOff>133350</xdr:rowOff>
        </xdr:from>
        <xdr:to>
          <xdr:col>12</xdr:col>
          <xdr:colOff>752475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R7" sqref="R7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355</v>
      </c>
      <c r="D2" s="2" t="s">
        <v>357</v>
      </c>
      <c r="I2" s="2"/>
      <c r="J2" s="2"/>
      <c r="K2" s="2" t="s">
        <v>146</v>
      </c>
      <c r="L2" s="12">
        <v>0.67</v>
      </c>
      <c r="M2" s="2" t="str">
        <f>D2&amp;" " &amp; E2</f>
        <v xml:space="preserve">신죽리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355</v>
      </c>
      <c r="D3" s="2" t="s">
        <v>357</v>
      </c>
      <c r="I3" s="2"/>
      <c r="J3" s="2"/>
      <c r="K3" s="2" t="s">
        <v>146</v>
      </c>
      <c r="L3" s="12">
        <v>0.67</v>
      </c>
      <c r="M3" s="2" t="str">
        <f t="shared" ref="M3:M9" si="0">D3&amp;" " &amp; E3</f>
        <v xml:space="preserve">신죽리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355</v>
      </c>
      <c r="D4" s="2" t="s">
        <v>357</v>
      </c>
      <c r="I4" s="2"/>
      <c r="J4" s="2"/>
      <c r="K4" s="2" t="s">
        <v>146</v>
      </c>
      <c r="L4" s="12">
        <v>0.67</v>
      </c>
      <c r="M4" s="2" t="str">
        <f t="shared" si="0"/>
        <v xml:space="preserve">신죽리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355</v>
      </c>
      <c r="D5" s="2" t="s">
        <v>357</v>
      </c>
      <c r="I5" s="2"/>
      <c r="J5" s="2"/>
      <c r="K5" s="2" t="s">
        <v>146</v>
      </c>
      <c r="L5" s="12">
        <v>0.67</v>
      </c>
      <c r="M5" s="2" t="str">
        <f t="shared" si="0"/>
        <v xml:space="preserve">신죽리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355</v>
      </c>
      <c r="D6" s="2" t="s">
        <v>357</v>
      </c>
      <c r="I6" s="2"/>
      <c r="J6" s="2"/>
      <c r="K6" s="2" t="s">
        <v>146</v>
      </c>
      <c r="L6" s="12">
        <v>0.67</v>
      </c>
      <c r="M6" s="2" t="str">
        <f t="shared" si="0"/>
        <v xml:space="preserve">신죽리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355</v>
      </c>
      <c r="D7" s="2" t="s">
        <v>357</v>
      </c>
      <c r="I7" s="2"/>
      <c r="J7" s="2"/>
      <c r="K7" s="2" t="s">
        <v>146</v>
      </c>
      <c r="L7" s="12">
        <v>0.67</v>
      </c>
      <c r="M7" s="2" t="str">
        <f t="shared" si="0"/>
        <v xml:space="preserve">신죽리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355</v>
      </c>
      <c r="D8" s="2" t="s">
        <v>357</v>
      </c>
      <c r="I8" s="2"/>
      <c r="J8" s="2"/>
      <c r="K8" s="2" t="s">
        <v>146</v>
      </c>
      <c r="L8" s="12">
        <v>0.67</v>
      </c>
      <c r="M8" s="2" t="str">
        <f t="shared" si="0"/>
        <v xml:space="preserve">신죽리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355</v>
      </c>
      <c r="D9" s="2" t="s">
        <v>357</v>
      </c>
      <c r="I9" s="2"/>
      <c r="J9" s="2"/>
      <c r="K9" s="2" t="s">
        <v>146</v>
      </c>
      <c r="L9" s="12">
        <v>0.67</v>
      </c>
      <c r="M9" s="2" t="str">
        <f t="shared" si="0"/>
        <v xml:space="preserve">신죽리 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355</v>
      </c>
      <c r="D10" s="2" t="s">
        <v>356</v>
      </c>
      <c r="I10" s="2"/>
      <c r="J10" s="2"/>
      <c r="K10" s="2" t="s">
        <v>147</v>
      </c>
      <c r="L10" s="12">
        <v>3.15</v>
      </c>
      <c r="M10" s="2" t="str">
        <f t="shared" ref="M10:M11" si="1">D10&amp;" " &amp; E10</f>
        <v xml:space="preserve">신덕리 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355</v>
      </c>
      <c r="D11" s="2" t="s">
        <v>356</v>
      </c>
      <c r="I11" s="2"/>
      <c r="J11" s="2"/>
      <c r="K11" s="2" t="s">
        <v>146</v>
      </c>
      <c r="L11" s="12">
        <v>0.67</v>
      </c>
      <c r="M11" s="2" t="str">
        <f t="shared" si="1"/>
        <v xml:space="preserve">신덕리 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355</v>
      </c>
      <c r="D12" s="2" t="s">
        <v>356</v>
      </c>
      <c r="I12" s="2"/>
      <c r="J12" s="2"/>
      <c r="K12" s="2" t="s">
        <v>146</v>
      </c>
      <c r="L12" s="12">
        <v>0.67</v>
      </c>
      <c r="M12" s="2" t="str">
        <f t="shared" ref="M12:M13" si="2">D12&amp;" " &amp; E12</f>
        <v xml:space="preserve">신덕리 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355</v>
      </c>
      <c r="D13" s="2" t="s">
        <v>356</v>
      </c>
      <c r="I13" s="2"/>
      <c r="J13" s="2"/>
      <c r="K13" s="2" t="s">
        <v>146</v>
      </c>
      <c r="L13" s="12">
        <v>0.67</v>
      </c>
      <c r="M13" s="2" t="str">
        <f t="shared" si="2"/>
        <v xml:space="preserve">신덕리 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355</v>
      </c>
      <c r="D14" s="2" t="s">
        <v>356</v>
      </c>
      <c r="I14" s="2"/>
      <c r="J14" s="2"/>
      <c r="K14" s="2" t="s">
        <v>146</v>
      </c>
      <c r="L14" s="12">
        <v>0.67</v>
      </c>
      <c r="M14" s="2" t="str">
        <f t="shared" ref="M14:M15" si="3">D14&amp;" " &amp; E14</f>
        <v xml:space="preserve">신덕리 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355</v>
      </c>
      <c r="D15" s="2" t="s">
        <v>356</v>
      </c>
      <c r="I15" s="2"/>
      <c r="J15" s="2"/>
      <c r="K15" s="2" t="s">
        <v>146</v>
      </c>
      <c r="L15" s="12">
        <v>0.67</v>
      </c>
      <c r="M15" s="2" t="str">
        <f t="shared" si="3"/>
        <v xml:space="preserve">신덕리 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355</v>
      </c>
      <c r="D16" s="2" t="s">
        <v>356</v>
      </c>
      <c r="I16" s="2"/>
      <c r="J16" s="2"/>
      <c r="K16" s="2" t="s">
        <v>146</v>
      </c>
      <c r="L16" s="12">
        <v>0.67</v>
      </c>
      <c r="M16" s="2" t="str">
        <f t="shared" ref="M16:M17" si="4">D16&amp;" " &amp; E16</f>
        <v xml:space="preserve">신덕리 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355</v>
      </c>
      <c r="D17" s="2" t="s">
        <v>356</v>
      </c>
      <c r="I17" s="2"/>
      <c r="J17" s="2"/>
      <c r="K17" s="2" t="s">
        <v>146</v>
      </c>
      <c r="L17" s="12">
        <v>0.67</v>
      </c>
      <c r="M17" s="2" t="str">
        <f t="shared" si="4"/>
        <v xml:space="preserve">신덕리 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355</v>
      </c>
      <c r="D18" s="2" t="s">
        <v>356</v>
      </c>
      <c r="I18" s="2"/>
      <c r="J18" s="2"/>
      <c r="K18" s="2" t="s">
        <v>146</v>
      </c>
      <c r="L18" s="12">
        <v>0.67</v>
      </c>
      <c r="M18" s="2" t="str">
        <f t="shared" ref="M18:M19" si="5">D18&amp;" " &amp; E18</f>
        <v xml:space="preserve">신덕리 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355</v>
      </c>
      <c r="D19" s="2" t="s">
        <v>356</v>
      </c>
      <c r="I19" s="2"/>
      <c r="J19" s="2"/>
      <c r="K19" s="2" t="s">
        <v>146</v>
      </c>
      <c r="L19" s="12">
        <v>0.67</v>
      </c>
      <c r="M19" s="2" t="str">
        <f t="shared" si="5"/>
        <v xml:space="preserve">신덕리 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355</v>
      </c>
      <c r="D20" s="2" t="s">
        <v>356</v>
      </c>
      <c r="I20" s="2"/>
      <c r="J20" s="2"/>
      <c r="K20" s="2" t="s">
        <v>146</v>
      </c>
      <c r="L20" s="12">
        <v>0.67</v>
      </c>
      <c r="M20" s="2" t="str">
        <f t="shared" ref="M20" si="6">D20&amp;" " &amp; E20</f>
        <v xml:space="preserve">신덕리 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355</v>
      </c>
      <c r="D21" s="2" t="s">
        <v>356</v>
      </c>
      <c r="I21" s="2"/>
      <c r="J21" s="2"/>
      <c r="K21" s="2" t="s">
        <v>146</v>
      </c>
      <c r="L21" s="12">
        <v>0.67</v>
      </c>
      <c r="M21" s="2" t="str">
        <f t="shared" ref="M21:M22" si="7">D21&amp;" " &amp; E21</f>
        <v xml:space="preserve">신덕리 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355</v>
      </c>
      <c r="D22" s="2" t="s">
        <v>356</v>
      </c>
      <c r="I22" s="2"/>
      <c r="J22" s="2"/>
      <c r="K22" s="2" t="s">
        <v>146</v>
      </c>
      <c r="L22" s="12">
        <v>0.67</v>
      </c>
      <c r="M22" s="2" t="str">
        <f t="shared" si="7"/>
        <v xml:space="preserve">신덕리 </v>
      </c>
      <c r="S22" s="2" t="s">
        <v>11</v>
      </c>
    </row>
    <row r="23" spans="1:19" ht="21" customHeight="1">
      <c r="B23" s="1"/>
      <c r="I23" s="2"/>
      <c r="J23" s="2"/>
      <c r="L23" s="12"/>
    </row>
    <row r="24" spans="1:19" ht="21.75" customHeight="1">
      <c r="B24" s="1"/>
      <c r="I24" s="2"/>
      <c r="J24" s="2"/>
      <c r="L24" s="12"/>
    </row>
    <row r="25" spans="1:19" ht="21.75" customHeight="1" thickBot="1">
      <c r="K25" s="2" t="s">
        <v>33</v>
      </c>
      <c r="L25" s="35">
        <f>SUM(L2:L24)</f>
        <v>16.55</v>
      </c>
    </row>
    <row r="26" spans="1:19" ht="21.75" customHeight="1">
      <c r="B26" s="13" t="s">
        <v>253</v>
      </c>
      <c r="C26" s="49" t="s">
        <v>254</v>
      </c>
      <c r="D26" s="50"/>
      <c r="E26" s="49" t="s">
        <v>257</v>
      </c>
      <c r="F26" s="50"/>
      <c r="G26" s="49" t="s">
        <v>258</v>
      </c>
      <c r="H26" s="50"/>
      <c r="I26" s="49" t="s">
        <v>259</v>
      </c>
      <c r="J26" s="51"/>
      <c r="L26" s="11"/>
    </row>
    <row r="27" spans="1:19" ht="21.75" customHeight="1">
      <c r="B27" s="18" t="s">
        <v>255</v>
      </c>
      <c r="C27" s="15">
        <f ca="1">E27+G27+I27</f>
        <v>42</v>
      </c>
      <c r="D27" s="15">
        <f ca="1">F27+H27+J27</f>
        <v>74.48</v>
      </c>
      <c r="E27" s="15">
        <f ca="1">IF(F27=0,0,COUNTIF(SS_INSIDE_AREA,"O"))</f>
        <v>21</v>
      </c>
      <c r="F27" s="15">
        <f ca="1">SUMIF(SS_INSIDE_AREA,"O",$L$2:$L$2)</f>
        <v>16.55</v>
      </c>
      <c r="G27" s="15">
        <f ca="1">IF(H27=0,0,COUNTIF(AA_INSIDE_AREA,"O"))</f>
        <v>21</v>
      </c>
      <c r="H27" s="15">
        <f ca="1">aa!$D$26</f>
        <v>57.930000000000007</v>
      </c>
      <c r="I27" s="15">
        <f ca="1">IF(J27=0,0,COUNTIF(II_INSIDE_AREA,"O"))</f>
        <v>0</v>
      </c>
      <c r="J27" s="19">
        <f ca="1">ii!$D$8</f>
        <v>0</v>
      </c>
      <c r="K27" s="2" t="s">
        <v>30</v>
      </c>
      <c r="L27" s="36">
        <f>L25+aa!L25+ii!L5</f>
        <v>74.48</v>
      </c>
    </row>
    <row r="28" spans="1:19" ht="21.75" customHeight="1" thickBot="1">
      <c r="B28" s="14" t="s">
        <v>256</v>
      </c>
      <c r="C28" s="20">
        <f ca="1">E28+G28+I28</f>
        <v>0</v>
      </c>
      <c r="D28" s="20">
        <f ca="1">F28+H28+J28</f>
        <v>0</v>
      </c>
      <c r="E28" s="20">
        <f ca="1">IF(F28=0,0,COUNTIF(SS_INSIDE_AREA,"X"))</f>
        <v>0</v>
      </c>
      <c r="F28" s="20">
        <f ca="1">SUMIF(SS_INSIDE_AREA,"X",$L$2:$L$2)</f>
        <v>0</v>
      </c>
      <c r="G28" s="20">
        <f ca="1">IF(H28=0,0,COUNTIF(AA_INSIDE_AREA,"X"))</f>
        <v>0</v>
      </c>
      <c r="H28" s="20">
        <f ca="1">aa!$D$27</f>
        <v>0</v>
      </c>
      <c r="I28" s="20">
        <f ca="1">IF(J28=0,0,COUNTIF(II_INSIDE_AREA,"X"))</f>
        <v>0</v>
      </c>
      <c r="J28" s="21">
        <f ca="1">ii!$D$9</f>
        <v>0</v>
      </c>
    </row>
    <row r="29" spans="1:19" ht="21.75" customHeight="1">
      <c r="B29"/>
      <c r="C29"/>
      <c r="D29"/>
      <c r="E29"/>
      <c r="F29"/>
      <c r="G29"/>
      <c r="H29"/>
      <c r="I29"/>
      <c r="K29" s="13" t="s">
        <v>31</v>
      </c>
      <c r="L29" s="37">
        <f ca="1">D27</f>
        <v>74.48</v>
      </c>
    </row>
    <row r="30" spans="1:19" ht="21.75" customHeight="1" thickBot="1">
      <c r="B30"/>
      <c r="C30"/>
      <c r="D30"/>
      <c r="E30"/>
      <c r="F30"/>
      <c r="G30"/>
      <c r="H30"/>
      <c r="I30"/>
      <c r="K30" s="14" t="s">
        <v>32</v>
      </c>
      <c r="L30" s="38">
        <f ca="1">C27</f>
        <v>42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762000</xdr:colOff>
                <xdr:row>0</xdr:row>
                <xdr:rowOff>133350</xdr:rowOff>
              </from>
              <to>
                <xdr:col>11</xdr:col>
                <xdr:colOff>676275</xdr:colOff>
                <xdr:row>0</xdr:row>
                <xdr:rowOff>476250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790575</xdr:colOff>
                <xdr:row>0</xdr:row>
                <xdr:rowOff>142875</xdr:rowOff>
              </from>
              <to>
                <xdr:col>13</xdr:col>
                <xdr:colOff>104775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723900</xdr:colOff>
                <xdr:row>0</xdr:row>
                <xdr:rowOff>133350</xdr:rowOff>
              </from>
              <to>
                <xdr:col>12</xdr:col>
                <xdr:colOff>752475</xdr:colOff>
                <xdr:row>0</xdr:row>
                <xdr:rowOff>476250</xdr:rowOff>
              </to>
            </anchor>
          </controlPr>
        </control>
      </mc:Choice>
      <mc:Fallback>
        <control shapeId="2060" r:id="rId20" name="CommandButtonInitial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P14" sqref="P14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355</v>
      </c>
      <c r="D2" s="2" t="s">
        <v>356</v>
      </c>
      <c r="E2" s="10"/>
      <c r="F2" s="9"/>
      <c r="G2" s="9"/>
      <c r="H2" s="9"/>
      <c r="I2" s="9"/>
      <c r="J2" s="9"/>
      <c r="K2" s="9" t="s">
        <v>353</v>
      </c>
      <c r="L2" s="2">
        <v>2.09</v>
      </c>
      <c r="M2" s="28" t="str">
        <f>D2&amp;" "&amp;E2</f>
        <v xml:space="preserve">신덕리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334</v>
      </c>
      <c r="B3" s="1" t="s">
        <v>2</v>
      </c>
      <c r="C3" s="2" t="s">
        <v>355</v>
      </c>
      <c r="D3" s="2" t="s">
        <v>356</v>
      </c>
      <c r="E3" s="10"/>
      <c r="F3" s="9"/>
      <c r="G3" s="9"/>
      <c r="H3" s="9"/>
      <c r="I3" s="9"/>
      <c r="J3" s="9"/>
      <c r="K3" s="9" t="s">
        <v>353</v>
      </c>
      <c r="L3" s="2">
        <v>2.09</v>
      </c>
      <c r="M3" s="28" t="str">
        <f t="shared" ref="M3:M4" si="0">D3&amp;" "&amp;E3</f>
        <v xml:space="preserve">신덕리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355</v>
      </c>
      <c r="D4" s="2" t="s">
        <v>356</v>
      </c>
      <c r="E4" s="10"/>
      <c r="F4" s="9"/>
      <c r="G4" s="9"/>
      <c r="H4" s="9"/>
      <c r="I4" s="9"/>
      <c r="J4" s="9"/>
      <c r="K4" s="9" t="s">
        <v>353</v>
      </c>
      <c r="L4" s="2">
        <v>2.09</v>
      </c>
      <c r="M4" s="28" t="str">
        <f t="shared" si="0"/>
        <v xml:space="preserve">신덕리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335</v>
      </c>
      <c r="B5" s="1" t="s">
        <v>2</v>
      </c>
      <c r="C5" s="2" t="s">
        <v>355</v>
      </c>
      <c r="D5" s="2" t="s">
        <v>356</v>
      </c>
      <c r="E5" s="10"/>
      <c r="F5" s="9"/>
      <c r="G5" s="9"/>
      <c r="H5" s="9"/>
      <c r="I5" s="9"/>
      <c r="J5" s="9"/>
      <c r="K5" s="9" t="s">
        <v>353</v>
      </c>
      <c r="L5" s="2">
        <v>2.09</v>
      </c>
      <c r="M5" s="28" t="str">
        <f t="shared" ref="M5:M6" si="1">D5&amp;" "&amp;E5</f>
        <v xml:space="preserve">신덕리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336</v>
      </c>
      <c r="B6" s="1" t="s">
        <v>2</v>
      </c>
      <c r="C6" s="2" t="s">
        <v>355</v>
      </c>
      <c r="D6" s="2" t="s">
        <v>356</v>
      </c>
      <c r="E6" s="10"/>
      <c r="F6" s="9"/>
      <c r="G6" s="9"/>
      <c r="H6" s="9"/>
      <c r="I6" s="9"/>
      <c r="J6" s="9"/>
      <c r="K6" s="9" t="s">
        <v>353</v>
      </c>
      <c r="L6" s="2">
        <v>2.09</v>
      </c>
      <c r="M6" s="28" t="str">
        <f t="shared" si="1"/>
        <v xml:space="preserve">신덕리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337</v>
      </c>
      <c r="B7" s="1" t="s">
        <v>2</v>
      </c>
      <c r="C7" s="2" t="s">
        <v>355</v>
      </c>
      <c r="D7" s="2" t="s">
        <v>356</v>
      </c>
      <c r="E7" s="10"/>
      <c r="F7" s="9"/>
      <c r="G7" s="9"/>
      <c r="H7" s="9"/>
      <c r="I7" s="9"/>
      <c r="J7" s="9"/>
      <c r="K7" s="9" t="s">
        <v>353</v>
      </c>
      <c r="L7" s="2">
        <v>2.09</v>
      </c>
      <c r="M7" s="28" t="str">
        <f t="shared" ref="M7:M8" si="2">D7&amp;" "&amp;E7</f>
        <v xml:space="preserve">신덕리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338</v>
      </c>
      <c r="B8" s="1" t="s">
        <v>2</v>
      </c>
      <c r="C8" s="2" t="s">
        <v>355</v>
      </c>
      <c r="D8" s="2" t="s">
        <v>357</v>
      </c>
      <c r="E8" s="10"/>
      <c r="F8" s="9"/>
      <c r="G8" s="9"/>
      <c r="H8" s="9"/>
      <c r="I8" s="9"/>
      <c r="J8" s="9"/>
      <c r="K8" s="9" t="s">
        <v>353</v>
      </c>
      <c r="L8" s="2">
        <v>2.09</v>
      </c>
      <c r="M8" s="28" t="str">
        <f t="shared" si="2"/>
        <v xml:space="preserve">신죽리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339</v>
      </c>
      <c r="B9" s="1" t="s">
        <v>2</v>
      </c>
      <c r="C9" s="2" t="s">
        <v>355</v>
      </c>
      <c r="D9" s="2" t="s">
        <v>357</v>
      </c>
      <c r="E9" s="10"/>
      <c r="F9" s="9"/>
      <c r="G9" s="9"/>
      <c r="H9" s="9"/>
      <c r="I9" s="9"/>
      <c r="J9" s="9"/>
      <c r="K9" s="9" t="s">
        <v>353</v>
      </c>
      <c r="L9" s="2">
        <v>2.09</v>
      </c>
      <c r="M9" s="28" t="str">
        <f t="shared" ref="M9:M10" si="3">D9&amp;" "&amp;E9</f>
        <v xml:space="preserve">신죽리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340</v>
      </c>
      <c r="B10" s="1" t="s">
        <v>2</v>
      </c>
      <c r="C10" s="2" t="s">
        <v>355</v>
      </c>
      <c r="D10" s="2" t="s">
        <v>357</v>
      </c>
      <c r="E10" s="10"/>
      <c r="F10" s="9"/>
      <c r="G10" s="9"/>
      <c r="H10" s="9"/>
      <c r="I10" s="9"/>
      <c r="J10" s="9"/>
      <c r="K10" s="9" t="s">
        <v>153</v>
      </c>
      <c r="L10" s="2">
        <v>6.39</v>
      </c>
      <c r="M10" s="28" t="str">
        <f t="shared" si="3"/>
        <v xml:space="preserve">신죽리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341</v>
      </c>
      <c r="B11" s="1" t="s">
        <v>2</v>
      </c>
      <c r="C11" s="2" t="s">
        <v>355</v>
      </c>
      <c r="D11" s="2" t="s">
        <v>357</v>
      </c>
      <c r="E11" s="10"/>
      <c r="F11" s="9"/>
      <c r="G11" s="9"/>
      <c r="H11" s="9"/>
      <c r="I11" s="9"/>
      <c r="J11" s="9"/>
      <c r="K11" s="9" t="s">
        <v>353</v>
      </c>
      <c r="L11" s="2">
        <v>2.09</v>
      </c>
      <c r="M11" s="28" t="str">
        <f t="shared" ref="M11:M12" si="4">D11&amp;" "&amp;E11</f>
        <v xml:space="preserve">신죽리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342</v>
      </c>
      <c r="B12" s="1" t="s">
        <v>2</v>
      </c>
      <c r="C12" s="2" t="s">
        <v>355</v>
      </c>
      <c r="D12" s="2" t="s">
        <v>357</v>
      </c>
      <c r="E12" s="10"/>
      <c r="F12" s="9"/>
      <c r="G12" s="9"/>
      <c r="H12" s="9"/>
      <c r="I12" s="9"/>
      <c r="J12" s="9"/>
      <c r="K12" s="9" t="s">
        <v>353</v>
      </c>
      <c r="L12" s="2">
        <v>2.09</v>
      </c>
      <c r="M12" s="28" t="str">
        <f t="shared" si="4"/>
        <v xml:space="preserve">신죽리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343</v>
      </c>
      <c r="B13" s="1" t="s">
        <v>2</v>
      </c>
      <c r="C13" s="2" t="s">
        <v>355</v>
      </c>
      <c r="D13" s="2" t="s">
        <v>356</v>
      </c>
      <c r="E13" s="10"/>
      <c r="F13" s="9"/>
      <c r="G13" s="9"/>
      <c r="H13" s="9"/>
      <c r="I13" s="9"/>
      <c r="J13" s="9"/>
      <c r="K13" s="9" t="s">
        <v>353</v>
      </c>
      <c r="L13" s="2">
        <v>2.09</v>
      </c>
      <c r="M13" s="28" t="str">
        <f t="shared" ref="M13:M14" si="5">D13&amp;" "&amp;E13</f>
        <v xml:space="preserve">신덕리 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344</v>
      </c>
      <c r="B14" s="1" t="s">
        <v>2</v>
      </c>
      <c r="C14" s="2" t="s">
        <v>355</v>
      </c>
      <c r="D14" s="2" t="s">
        <v>356</v>
      </c>
      <c r="E14" s="10"/>
      <c r="F14" s="9"/>
      <c r="G14" s="9"/>
      <c r="H14" s="9"/>
      <c r="I14" s="9"/>
      <c r="J14" s="9"/>
      <c r="K14" s="9" t="s">
        <v>353</v>
      </c>
      <c r="L14" s="2">
        <v>2.09</v>
      </c>
      <c r="M14" s="28" t="str">
        <f t="shared" si="5"/>
        <v xml:space="preserve">신덕리 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345</v>
      </c>
      <c r="B15" s="1" t="s">
        <v>2</v>
      </c>
      <c r="C15" s="2" t="s">
        <v>355</v>
      </c>
      <c r="D15" s="2" t="s">
        <v>356</v>
      </c>
      <c r="E15" s="10"/>
      <c r="F15" s="9"/>
      <c r="G15" s="9"/>
      <c r="H15" s="9"/>
      <c r="I15" s="9"/>
      <c r="J15" s="9"/>
      <c r="K15" s="9" t="s">
        <v>354</v>
      </c>
      <c r="L15" s="2">
        <v>6.96</v>
      </c>
      <c r="M15" s="28" t="str">
        <f t="shared" ref="M15:M16" si="6">D15&amp;" "&amp;E15</f>
        <v xml:space="preserve">신덕리 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346</v>
      </c>
      <c r="B16" s="1" t="s">
        <v>2</v>
      </c>
      <c r="C16" s="2" t="s">
        <v>355</v>
      </c>
      <c r="D16" s="2" t="s">
        <v>357</v>
      </c>
      <c r="E16" s="10"/>
      <c r="F16" s="9"/>
      <c r="G16" s="9"/>
      <c r="H16" s="9"/>
      <c r="I16" s="9"/>
      <c r="J16" s="9"/>
      <c r="K16" s="9" t="s">
        <v>353</v>
      </c>
      <c r="L16" s="2">
        <v>2.09</v>
      </c>
      <c r="M16" s="28" t="str">
        <f t="shared" si="6"/>
        <v xml:space="preserve">신죽리 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347</v>
      </c>
      <c r="B17" s="1" t="s">
        <v>2</v>
      </c>
      <c r="C17" s="2" t="s">
        <v>355</v>
      </c>
      <c r="D17" s="2" t="s">
        <v>356</v>
      </c>
      <c r="E17" s="10"/>
      <c r="F17" s="9"/>
      <c r="G17" s="9"/>
      <c r="H17" s="9"/>
      <c r="I17" s="9"/>
      <c r="J17" s="9"/>
      <c r="K17" s="9" t="s">
        <v>353</v>
      </c>
      <c r="L17" s="2">
        <v>2.09</v>
      </c>
      <c r="M17" s="28" t="str">
        <f t="shared" ref="M17:M18" si="7">D17&amp;" "&amp;E17</f>
        <v xml:space="preserve">신덕리 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348</v>
      </c>
      <c r="B18" s="1" t="s">
        <v>2</v>
      </c>
      <c r="C18" s="2" t="s">
        <v>355</v>
      </c>
      <c r="D18" s="2" t="s">
        <v>356</v>
      </c>
      <c r="E18" s="10"/>
      <c r="F18" s="9"/>
      <c r="G18" s="9"/>
      <c r="H18" s="9"/>
      <c r="I18" s="9"/>
      <c r="J18" s="9"/>
      <c r="K18" s="9" t="s">
        <v>353</v>
      </c>
      <c r="L18" s="2">
        <v>2.09</v>
      </c>
      <c r="M18" s="28" t="str">
        <f t="shared" si="7"/>
        <v xml:space="preserve">신덕리 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349</v>
      </c>
      <c r="B19" s="1" t="s">
        <v>2</v>
      </c>
      <c r="C19" s="2" t="s">
        <v>355</v>
      </c>
      <c r="D19" s="2" t="s">
        <v>356</v>
      </c>
      <c r="E19" s="10"/>
      <c r="F19" s="9"/>
      <c r="G19" s="9"/>
      <c r="H19" s="9"/>
      <c r="I19" s="9"/>
      <c r="J19" s="9"/>
      <c r="K19" s="9" t="s">
        <v>353</v>
      </c>
      <c r="L19" s="2">
        <v>2.09</v>
      </c>
      <c r="M19" s="28" t="str">
        <f t="shared" ref="M19:M20" si="8">D19&amp;" "&amp;E19</f>
        <v xml:space="preserve">신덕리 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350</v>
      </c>
      <c r="B20" s="1" t="s">
        <v>2</v>
      </c>
      <c r="C20" s="2" t="s">
        <v>355</v>
      </c>
      <c r="D20" s="2" t="s">
        <v>356</v>
      </c>
      <c r="E20" s="10"/>
      <c r="F20" s="9"/>
      <c r="G20" s="9"/>
      <c r="H20" s="9"/>
      <c r="I20" s="9"/>
      <c r="J20" s="9"/>
      <c r="K20" s="9" t="s">
        <v>353</v>
      </c>
      <c r="L20" s="2">
        <v>2.09</v>
      </c>
      <c r="M20" s="28" t="str">
        <f t="shared" si="8"/>
        <v xml:space="preserve">신덕리 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351</v>
      </c>
      <c r="B21" s="1" t="s">
        <v>2</v>
      </c>
      <c r="C21" s="2" t="s">
        <v>355</v>
      </c>
      <c r="D21" s="2" t="s">
        <v>356</v>
      </c>
      <c r="E21" s="10"/>
      <c r="F21" s="9"/>
      <c r="G21" s="9"/>
      <c r="H21" s="9"/>
      <c r="I21" s="9"/>
      <c r="J21" s="9"/>
      <c r="K21" s="9" t="s">
        <v>354</v>
      </c>
      <c r="L21" s="2">
        <v>6.96</v>
      </c>
      <c r="M21" s="28" t="str">
        <f t="shared" ref="M21:M22" si="9">D21&amp;" "&amp;E21</f>
        <v xml:space="preserve">신덕리 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352</v>
      </c>
      <c r="B22" s="1" t="s">
        <v>2</v>
      </c>
      <c r="C22" s="2" t="s">
        <v>355</v>
      </c>
      <c r="D22" s="2" t="s">
        <v>356</v>
      </c>
      <c r="E22" s="10"/>
      <c r="F22" s="9"/>
      <c r="G22" s="9"/>
      <c r="H22" s="9"/>
      <c r="I22" s="9"/>
      <c r="J22" s="9"/>
      <c r="K22" s="9" t="s">
        <v>353</v>
      </c>
      <c r="L22" s="2">
        <v>2.09</v>
      </c>
      <c r="M22" s="28" t="str">
        <f t="shared" si="9"/>
        <v xml:space="preserve">신덕리 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/>
      <c r="B23" s="1"/>
      <c r="C23" s="2"/>
      <c r="D23" s="2"/>
      <c r="E23" s="10"/>
      <c r="F23" s="9"/>
      <c r="G23" s="9"/>
      <c r="H23" s="9"/>
      <c r="I23" s="9"/>
      <c r="J23" s="9"/>
      <c r="K23" s="9"/>
      <c r="L23" s="2"/>
      <c r="M23" s="28"/>
      <c r="N23" s="9"/>
      <c r="O23" s="9"/>
      <c r="P23" s="9"/>
      <c r="Q23" s="3"/>
      <c r="R23" s="9"/>
      <c r="S23" s="2"/>
    </row>
    <row r="24" spans="1:19" ht="21.75" customHeight="1" thickBot="1">
      <c r="L24" s="5"/>
    </row>
    <row r="25" spans="1:19" ht="21.75" customHeight="1">
      <c r="B25" s="24" t="s">
        <v>21</v>
      </c>
      <c r="C25" s="16" t="s">
        <v>20</v>
      </c>
      <c r="D25" s="17" t="s">
        <v>5</v>
      </c>
      <c r="K25" s="2" t="s">
        <v>30</v>
      </c>
      <c r="L25" s="39">
        <f>SUM(L2:L24)</f>
        <v>57.930000000000007</v>
      </c>
      <c r="M25" s="29"/>
    </row>
    <row r="26" spans="1:19" ht="21.75" customHeight="1">
      <c r="B26" s="22" t="s">
        <v>18</v>
      </c>
      <c r="C26" s="15">
        <f ca="1">COUNTIF(AA_INSIDE_AREA,"O")</f>
        <v>21</v>
      </c>
      <c r="D26" s="19">
        <f ca="1">SUMIF(AA_INSIDE_AREA,"O",$L$2:$L$2)</f>
        <v>57.930000000000007</v>
      </c>
    </row>
    <row r="27" spans="1:19" ht="21.75" customHeight="1">
      <c r="B27" s="22" t="s">
        <v>19</v>
      </c>
      <c r="C27" s="15">
        <f ca="1">COUNTIF(AA_INSIDE_AREA,"X")</f>
        <v>0</v>
      </c>
      <c r="D27" s="19">
        <f ca="1">SUMIF(AA_INSIDE_AREA,"X",$L$2:$L$2)</f>
        <v>0</v>
      </c>
      <c r="L27" s="4"/>
    </row>
    <row r="28" spans="1:19" ht="21.75" customHeight="1" thickBot="1">
      <c r="B28" s="23"/>
      <c r="C28" s="20"/>
      <c r="D28" s="21">
        <f ca="1">D26+D27</f>
        <v>57.930000000000007</v>
      </c>
      <c r="L2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autoPict="0" r:id="rId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autoPict="0" r:id="rId1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14" name="CommandButtonInitial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L15" sqref="L15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355</v>
      </c>
      <c r="D2" s="2" t="s">
        <v>356</v>
      </c>
      <c r="E2" s="6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신덕리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43"/>
  <sheetViews>
    <sheetView topLeftCell="A30" workbookViewId="0">
      <selection activeCell="B54" sqref="B54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333</v>
      </c>
    </row>
    <row r="2" spans="1:11" ht="20.100000000000001" customHeight="1">
      <c r="A2" s="28" t="s">
        <v>359</v>
      </c>
      <c r="B2" s="28" t="s">
        <v>360</v>
      </c>
      <c r="C2" s="28">
        <v>1</v>
      </c>
      <c r="D2" s="28">
        <v>0</v>
      </c>
      <c r="E2" s="28">
        <v>0</v>
      </c>
      <c r="F2" s="28">
        <v>0</v>
      </c>
      <c r="G2" s="28">
        <v>0</v>
      </c>
      <c r="H2" s="28">
        <v>0</v>
      </c>
      <c r="I2" s="28" t="s">
        <v>361</v>
      </c>
      <c r="J2" s="28">
        <v>0.67</v>
      </c>
      <c r="K2" s="28" t="s">
        <v>332</v>
      </c>
    </row>
    <row r="3" spans="1:11" ht="20.100000000000001" customHeight="1">
      <c r="A3" s="28" t="s">
        <v>362</v>
      </c>
      <c r="B3" s="28" t="s">
        <v>363</v>
      </c>
      <c r="C3" s="28">
        <v>1</v>
      </c>
      <c r="D3" s="28">
        <v>0</v>
      </c>
      <c r="E3" s="28">
        <v>0</v>
      </c>
      <c r="F3" s="28">
        <v>0</v>
      </c>
      <c r="G3" s="28">
        <v>0</v>
      </c>
      <c r="H3" s="28">
        <v>0</v>
      </c>
      <c r="I3" s="28" t="s">
        <v>361</v>
      </c>
      <c r="J3" s="28">
        <v>0.67</v>
      </c>
      <c r="K3" s="28" t="s">
        <v>332</v>
      </c>
    </row>
    <row r="4" spans="1:11" ht="20.100000000000001" customHeight="1">
      <c r="A4" s="28" t="s">
        <v>364</v>
      </c>
      <c r="B4" s="28" t="s">
        <v>365</v>
      </c>
      <c r="C4" s="28">
        <v>1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 t="s">
        <v>361</v>
      </c>
      <c r="J4" s="28">
        <v>0.67</v>
      </c>
      <c r="K4" s="28" t="s">
        <v>332</v>
      </c>
    </row>
    <row r="5" spans="1:11" ht="20.100000000000001" customHeight="1">
      <c r="A5" s="28" t="s">
        <v>366</v>
      </c>
      <c r="B5" s="28" t="s">
        <v>367</v>
      </c>
      <c r="C5" s="28">
        <v>1</v>
      </c>
      <c r="D5" s="28">
        <v>0</v>
      </c>
      <c r="E5" s="28">
        <v>0</v>
      </c>
      <c r="F5" s="28">
        <v>0</v>
      </c>
      <c r="G5" s="28">
        <v>0</v>
      </c>
      <c r="H5" s="28">
        <v>0</v>
      </c>
      <c r="I5" s="28" t="s">
        <v>361</v>
      </c>
      <c r="J5" s="28">
        <v>0.67</v>
      </c>
      <c r="K5" s="28" t="s">
        <v>332</v>
      </c>
    </row>
    <row r="6" spans="1:11" ht="20.100000000000001" customHeight="1">
      <c r="A6" s="28" t="s">
        <v>368</v>
      </c>
      <c r="B6" s="28" t="s">
        <v>369</v>
      </c>
      <c r="C6" s="28">
        <v>1</v>
      </c>
      <c r="D6" s="28">
        <v>0</v>
      </c>
      <c r="E6" s="28">
        <v>0</v>
      </c>
      <c r="F6" s="28">
        <v>0</v>
      </c>
      <c r="G6" s="28">
        <v>0</v>
      </c>
      <c r="H6" s="28">
        <v>0</v>
      </c>
      <c r="I6" s="28" t="s">
        <v>361</v>
      </c>
      <c r="J6" s="28">
        <v>0.67</v>
      </c>
      <c r="K6" s="28" t="s">
        <v>332</v>
      </c>
    </row>
    <row r="7" spans="1:11" ht="20.100000000000001" customHeight="1">
      <c r="A7" s="28" t="s">
        <v>370</v>
      </c>
      <c r="B7" s="28" t="s">
        <v>371</v>
      </c>
      <c r="C7" s="28">
        <v>1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8" t="s">
        <v>361</v>
      </c>
      <c r="J7" s="28">
        <v>0.67</v>
      </c>
      <c r="K7" s="28" t="s">
        <v>332</v>
      </c>
    </row>
    <row r="8" spans="1:11" ht="20.100000000000001" customHeight="1">
      <c r="A8" s="28" t="s">
        <v>372</v>
      </c>
      <c r="B8" s="28" t="s">
        <v>373</v>
      </c>
      <c r="C8" s="28">
        <v>1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28" t="s">
        <v>361</v>
      </c>
      <c r="J8" s="28">
        <v>0.67</v>
      </c>
      <c r="K8" s="28" t="s">
        <v>332</v>
      </c>
    </row>
    <row r="9" spans="1:11" ht="20.100000000000001" customHeight="1">
      <c r="A9" s="28" t="s">
        <v>374</v>
      </c>
      <c r="B9" s="28" t="s">
        <v>375</v>
      </c>
      <c r="C9" s="28">
        <v>1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28" t="s">
        <v>361</v>
      </c>
      <c r="J9" s="28">
        <v>0.67</v>
      </c>
      <c r="K9" s="28" t="s">
        <v>332</v>
      </c>
    </row>
    <row r="10" spans="1:11" ht="20.100000000000001" customHeight="1">
      <c r="A10" s="28" t="s">
        <v>376</v>
      </c>
      <c r="B10" s="28" t="s">
        <v>377</v>
      </c>
      <c r="C10" s="28">
        <v>1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8" t="s">
        <v>264</v>
      </c>
      <c r="J10" s="28">
        <v>5.2</v>
      </c>
      <c r="K10" s="28" t="s">
        <v>332</v>
      </c>
    </row>
    <row r="11" spans="1:11" ht="20.100000000000001" customHeight="1">
      <c r="A11" s="28" t="s">
        <v>378</v>
      </c>
      <c r="B11" s="28" t="s">
        <v>379</v>
      </c>
      <c r="C11" s="28">
        <v>1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28" t="s">
        <v>361</v>
      </c>
      <c r="J11" s="28">
        <v>0.67</v>
      </c>
      <c r="K11" s="28" t="s">
        <v>332</v>
      </c>
    </row>
    <row r="12" spans="1:11" ht="20.100000000000001" customHeight="1">
      <c r="A12" s="28" t="s">
        <v>380</v>
      </c>
      <c r="B12" s="28" t="s">
        <v>381</v>
      </c>
      <c r="C12" s="28">
        <v>1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 t="s">
        <v>361</v>
      </c>
      <c r="J12" s="28">
        <v>0.67</v>
      </c>
      <c r="K12" s="28" t="s">
        <v>332</v>
      </c>
    </row>
    <row r="13" spans="1:11" ht="20.100000000000001" customHeight="1">
      <c r="A13" s="28" t="s">
        <v>382</v>
      </c>
      <c r="B13" s="28" t="s">
        <v>383</v>
      </c>
      <c r="C13" s="28">
        <v>1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 t="s">
        <v>361</v>
      </c>
      <c r="J13" s="28">
        <v>0.67</v>
      </c>
      <c r="K13" s="28" t="s">
        <v>332</v>
      </c>
    </row>
    <row r="14" spans="1:11" ht="20.100000000000001" customHeight="1">
      <c r="A14" s="28" t="s">
        <v>384</v>
      </c>
      <c r="B14" s="28" t="s">
        <v>385</v>
      </c>
      <c r="C14" s="28">
        <v>1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 t="s">
        <v>361</v>
      </c>
      <c r="J14" s="28">
        <v>0.67</v>
      </c>
      <c r="K14" s="28" t="s">
        <v>332</v>
      </c>
    </row>
    <row r="15" spans="1:11" ht="20.100000000000001" customHeight="1">
      <c r="A15" s="28" t="s">
        <v>386</v>
      </c>
      <c r="B15" s="28" t="s">
        <v>387</v>
      </c>
      <c r="C15" s="28">
        <v>1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 t="s">
        <v>361</v>
      </c>
      <c r="J15" s="28">
        <v>0.67</v>
      </c>
      <c r="K15" s="28" t="s">
        <v>332</v>
      </c>
    </row>
    <row r="16" spans="1:11" ht="20.100000000000001" customHeight="1">
      <c r="A16" s="28" t="s">
        <v>388</v>
      </c>
      <c r="B16" s="28" t="s">
        <v>389</v>
      </c>
      <c r="C16" s="28">
        <v>1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 t="s">
        <v>361</v>
      </c>
      <c r="J16" s="28">
        <v>0.67</v>
      </c>
      <c r="K16" s="28" t="s">
        <v>332</v>
      </c>
    </row>
    <row r="17" spans="1:11" ht="20.100000000000001" customHeight="1">
      <c r="A17" s="28" t="s">
        <v>390</v>
      </c>
      <c r="B17" s="28" t="s">
        <v>391</v>
      </c>
      <c r="C17" s="28">
        <v>1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 t="s">
        <v>361</v>
      </c>
      <c r="J17" s="28">
        <v>0.67</v>
      </c>
      <c r="K17" s="28" t="s">
        <v>332</v>
      </c>
    </row>
    <row r="18" spans="1:11" ht="20.100000000000001" customHeight="1">
      <c r="A18" s="28" t="s">
        <v>392</v>
      </c>
      <c r="B18" s="28" t="s">
        <v>393</v>
      </c>
      <c r="C18" s="28">
        <v>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 t="s">
        <v>361</v>
      </c>
      <c r="J18" s="28">
        <v>0.67</v>
      </c>
      <c r="K18" s="28" t="s">
        <v>332</v>
      </c>
    </row>
    <row r="19" spans="1:11" ht="20.100000000000001" customHeight="1">
      <c r="A19" s="28" t="s">
        <v>394</v>
      </c>
      <c r="B19" s="28" t="s">
        <v>395</v>
      </c>
      <c r="C19" s="28">
        <v>1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 t="s">
        <v>361</v>
      </c>
      <c r="J19" s="28">
        <v>0.67</v>
      </c>
      <c r="K19" s="28" t="s">
        <v>332</v>
      </c>
    </row>
    <row r="20" spans="1:11" ht="20.100000000000001" customHeight="1">
      <c r="A20" s="28" t="s">
        <v>396</v>
      </c>
      <c r="B20" s="28" t="s">
        <v>397</v>
      </c>
      <c r="C20" s="28">
        <v>1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 t="s">
        <v>361</v>
      </c>
      <c r="J20" s="28">
        <v>0.67</v>
      </c>
      <c r="K20" s="28" t="s">
        <v>332</v>
      </c>
    </row>
    <row r="21" spans="1:11" ht="20.100000000000001" customHeight="1">
      <c r="A21" s="28" t="s">
        <v>398</v>
      </c>
      <c r="B21" s="28" t="s">
        <v>399</v>
      </c>
      <c r="C21" s="28">
        <v>1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 t="s">
        <v>361</v>
      </c>
      <c r="J21" s="28">
        <v>0.67</v>
      </c>
      <c r="K21" s="28" t="s">
        <v>332</v>
      </c>
    </row>
    <row r="22" spans="1:11" ht="20.100000000000001" customHeight="1">
      <c r="A22" s="28" t="s">
        <v>400</v>
      </c>
      <c r="B22" s="28" t="s">
        <v>401</v>
      </c>
      <c r="C22" s="28">
        <v>1</v>
      </c>
      <c r="D22" s="28">
        <v>0</v>
      </c>
      <c r="E22" s="28">
        <v>0</v>
      </c>
      <c r="F22" s="28">
        <v>0</v>
      </c>
      <c r="G22" s="28">
        <v>0</v>
      </c>
      <c r="H22" s="28">
        <v>0</v>
      </c>
      <c r="I22" s="28" t="s">
        <v>361</v>
      </c>
      <c r="J22" s="28">
        <v>0.67</v>
      </c>
      <c r="K22" s="28" t="s">
        <v>332</v>
      </c>
    </row>
    <row r="23" spans="1:11" ht="20.100000000000001" customHeight="1">
      <c r="A23" s="28" t="s">
        <v>402</v>
      </c>
      <c r="B23" s="28" t="s">
        <v>403</v>
      </c>
      <c r="C23" s="28">
        <v>1</v>
      </c>
      <c r="D23" s="28">
        <v>0</v>
      </c>
      <c r="E23" s="28">
        <v>0</v>
      </c>
      <c r="F23" s="28">
        <v>0</v>
      </c>
      <c r="G23" s="28">
        <v>0</v>
      </c>
      <c r="H23" s="28">
        <v>0</v>
      </c>
      <c r="I23" s="28" t="s">
        <v>404</v>
      </c>
      <c r="J23" s="28">
        <v>2.52</v>
      </c>
      <c r="K23" s="28" t="s">
        <v>332</v>
      </c>
    </row>
    <row r="24" spans="1:11" ht="20.100000000000001" customHeight="1">
      <c r="A24" s="28" t="s">
        <v>405</v>
      </c>
      <c r="B24" s="28" t="s">
        <v>406</v>
      </c>
      <c r="C24" s="28">
        <v>1</v>
      </c>
      <c r="D24" s="28">
        <v>0</v>
      </c>
      <c r="E24" s="28">
        <v>0</v>
      </c>
      <c r="F24" s="28">
        <v>0</v>
      </c>
      <c r="G24" s="28">
        <v>0</v>
      </c>
      <c r="H24" s="28">
        <v>0</v>
      </c>
      <c r="I24" s="28" t="s">
        <v>404</v>
      </c>
      <c r="J24" s="28">
        <v>2.52</v>
      </c>
      <c r="K24" s="28" t="s">
        <v>332</v>
      </c>
    </row>
    <row r="25" spans="1:11" ht="20.100000000000001" customHeight="1">
      <c r="A25" s="28" t="s">
        <v>407</v>
      </c>
      <c r="B25" s="28" t="s">
        <v>408</v>
      </c>
      <c r="C25" s="28">
        <v>1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 t="s">
        <v>404</v>
      </c>
      <c r="J25" s="28">
        <v>4.67</v>
      </c>
      <c r="K25" s="28" t="s">
        <v>332</v>
      </c>
    </row>
    <row r="26" spans="1:11" ht="20.100000000000001" customHeight="1">
      <c r="A26" s="28" t="s">
        <v>409</v>
      </c>
      <c r="B26" s="28" t="s">
        <v>410</v>
      </c>
      <c r="C26" s="28">
        <v>1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 t="s">
        <v>404</v>
      </c>
      <c r="J26" s="28">
        <v>2.95</v>
      </c>
      <c r="K26" s="28" t="s">
        <v>332</v>
      </c>
    </row>
    <row r="27" spans="1:11" ht="20.100000000000001" customHeight="1">
      <c r="A27" s="28" t="s">
        <v>411</v>
      </c>
      <c r="B27" s="28" t="s">
        <v>412</v>
      </c>
      <c r="C27" s="28">
        <v>1</v>
      </c>
      <c r="D27" s="28">
        <v>0</v>
      </c>
      <c r="E27" s="28">
        <v>0</v>
      </c>
      <c r="F27" s="28">
        <v>0</v>
      </c>
      <c r="G27" s="28">
        <v>0</v>
      </c>
      <c r="H27" s="28">
        <v>0</v>
      </c>
      <c r="I27" s="28" t="s">
        <v>404</v>
      </c>
      <c r="J27" s="28">
        <v>2.52</v>
      </c>
      <c r="K27" s="28" t="s">
        <v>332</v>
      </c>
    </row>
    <row r="28" spans="1:11" ht="20.100000000000001" customHeight="1">
      <c r="A28" s="28" t="s">
        <v>413</v>
      </c>
      <c r="B28" s="28" t="s">
        <v>414</v>
      </c>
      <c r="C28" s="28">
        <v>1</v>
      </c>
      <c r="D28" s="28">
        <v>0</v>
      </c>
      <c r="E28" s="28">
        <v>0</v>
      </c>
      <c r="F28" s="28">
        <v>0</v>
      </c>
      <c r="G28" s="28">
        <v>0</v>
      </c>
      <c r="H28" s="28">
        <v>0</v>
      </c>
      <c r="I28" s="28" t="s">
        <v>404</v>
      </c>
      <c r="J28" s="28">
        <v>3.16</v>
      </c>
      <c r="K28" s="28" t="s">
        <v>332</v>
      </c>
    </row>
    <row r="29" spans="1:11" ht="20.100000000000001" customHeight="1">
      <c r="A29" s="28" t="s">
        <v>415</v>
      </c>
      <c r="B29" s="28" t="s">
        <v>416</v>
      </c>
      <c r="C29" s="28">
        <v>1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 t="s">
        <v>404</v>
      </c>
      <c r="J29" s="28">
        <v>3.16</v>
      </c>
      <c r="K29" s="28" t="s">
        <v>332</v>
      </c>
    </row>
    <row r="30" spans="1:11" ht="20.100000000000001" customHeight="1">
      <c r="A30" s="28" t="s">
        <v>417</v>
      </c>
      <c r="B30" s="28" t="s">
        <v>418</v>
      </c>
      <c r="C30" s="28">
        <v>1</v>
      </c>
      <c r="D30" s="28">
        <v>0</v>
      </c>
      <c r="E30" s="28">
        <v>0</v>
      </c>
      <c r="F30" s="28">
        <v>0</v>
      </c>
      <c r="G30" s="28">
        <v>0</v>
      </c>
      <c r="H30" s="28">
        <v>0</v>
      </c>
      <c r="I30" s="28" t="s">
        <v>404</v>
      </c>
      <c r="J30" s="28">
        <v>5.36</v>
      </c>
      <c r="K30" s="28" t="s">
        <v>332</v>
      </c>
    </row>
    <row r="31" spans="1:11" ht="20.100000000000001" customHeight="1">
      <c r="A31" s="28" t="s">
        <v>419</v>
      </c>
      <c r="B31" s="28" t="s">
        <v>420</v>
      </c>
      <c r="C31" s="28">
        <v>1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 t="s">
        <v>358</v>
      </c>
      <c r="J31" s="28">
        <v>6.39</v>
      </c>
      <c r="K31" s="28" t="s">
        <v>332</v>
      </c>
    </row>
    <row r="32" spans="1:11" ht="20.100000000000001" customHeight="1">
      <c r="A32" s="28" t="s">
        <v>421</v>
      </c>
      <c r="B32" s="28" t="s">
        <v>422</v>
      </c>
      <c r="C32" s="28">
        <v>1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 t="s">
        <v>404</v>
      </c>
      <c r="J32" s="28">
        <v>4.67</v>
      </c>
      <c r="K32" s="28" t="s">
        <v>332</v>
      </c>
    </row>
    <row r="33" spans="1:11" ht="20.100000000000001" customHeight="1">
      <c r="A33" s="28" t="s">
        <v>423</v>
      </c>
      <c r="B33" s="28" t="s">
        <v>424</v>
      </c>
      <c r="C33" s="28">
        <v>1</v>
      </c>
      <c r="D33" s="28">
        <v>0</v>
      </c>
      <c r="E33" s="28">
        <v>0</v>
      </c>
      <c r="F33" s="28">
        <v>0</v>
      </c>
      <c r="G33" s="28">
        <v>0</v>
      </c>
      <c r="H33" s="28">
        <v>0</v>
      </c>
      <c r="I33" s="28" t="s">
        <v>404</v>
      </c>
      <c r="J33" s="28">
        <v>4.45</v>
      </c>
      <c r="K33" s="28" t="s">
        <v>332</v>
      </c>
    </row>
    <row r="34" spans="1:11" ht="20.100000000000001" customHeight="1">
      <c r="A34" s="28" t="s">
        <v>425</v>
      </c>
      <c r="B34" s="28" t="s">
        <v>426</v>
      </c>
      <c r="C34" s="28">
        <v>1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 t="s">
        <v>404</v>
      </c>
      <c r="J34" s="28">
        <v>2.52</v>
      </c>
      <c r="K34" s="28" t="s">
        <v>332</v>
      </c>
    </row>
    <row r="35" spans="1:11" ht="20.100000000000001" customHeight="1">
      <c r="A35" s="28" t="s">
        <v>427</v>
      </c>
      <c r="B35" s="28" t="s">
        <v>428</v>
      </c>
      <c r="C35" s="28">
        <v>1</v>
      </c>
      <c r="D35" s="28">
        <v>0</v>
      </c>
      <c r="E35" s="28">
        <v>0</v>
      </c>
      <c r="F35" s="28">
        <v>0</v>
      </c>
      <c r="G35" s="28">
        <v>0</v>
      </c>
      <c r="H35" s="28">
        <v>0</v>
      </c>
      <c r="I35" s="28" t="s">
        <v>404</v>
      </c>
      <c r="J35" s="28">
        <v>5.0999999999999996</v>
      </c>
      <c r="K35" s="28" t="s">
        <v>332</v>
      </c>
    </row>
    <row r="36" spans="1:11" ht="20.100000000000001" customHeight="1">
      <c r="A36" s="28" t="s">
        <v>429</v>
      </c>
      <c r="B36" s="28" t="s">
        <v>430</v>
      </c>
      <c r="C36" s="28">
        <v>1</v>
      </c>
      <c r="D36" s="28">
        <v>0</v>
      </c>
      <c r="E36" s="28">
        <v>0</v>
      </c>
      <c r="F36" s="28">
        <v>0</v>
      </c>
      <c r="G36" s="28">
        <v>0</v>
      </c>
      <c r="H36" s="28">
        <v>0</v>
      </c>
      <c r="I36" s="28" t="s">
        <v>431</v>
      </c>
      <c r="J36" s="28">
        <v>7.87</v>
      </c>
      <c r="K36" s="28" t="s">
        <v>332</v>
      </c>
    </row>
    <row r="37" spans="1:11" ht="20.100000000000001" customHeight="1">
      <c r="A37" s="28" t="s">
        <v>432</v>
      </c>
      <c r="B37" s="28" t="s">
        <v>433</v>
      </c>
      <c r="C37" s="28">
        <v>1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 t="s">
        <v>404</v>
      </c>
      <c r="J37" s="28">
        <v>4.24</v>
      </c>
      <c r="K37" s="28" t="s">
        <v>332</v>
      </c>
    </row>
    <row r="38" spans="1:11" ht="20.100000000000001" customHeight="1">
      <c r="A38" s="28" t="s">
        <v>434</v>
      </c>
      <c r="B38" s="28" t="s">
        <v>435</v>
      </c>
      <c r="C38" s="28">
        <v>1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 t="s">
        <v>404</v>
      </c>
      <c r="J38" s="28">
        <v>2.52</v>
      </c>
      <c r="K38" s="28" t="s">
        <v>332</v>
      </c>
    </row>
    <row r="39" spans="1:11" ht="20.100000000000001" customHeight="1">
      <c r="A39" s="28" t="s">
        <v>436</v>
      </c>
      <c r="B39" s="28" t="s">
        <v>437</v>
      </c>
      <c r="C39" s="28">
        <v>1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 t="s">
        <v>404</v>
      </c>
      <c r="J39" s="28">
        <v>2.52</v>
      </c>
      <c r="K39" s="28" t="s">
        <v>332</v>
      </c>
    </row>
    <row r="40" spans="1:11" ht="20.100000000000001" customHeight="1">
      <c r="A40" s="28" t="s">
        <v>438</v>
      </c>
      <c r="B40" s="28" t="s">
        <v>439</v>
      </c>
      <c r="C40" s="28">
        <v>1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 t="s">
        <v>404</v>
      </c>
      <c r="J40" s="28">
        <v>2.95</v>
      </c>
      <c r="K40" s="28" t="s">
        <v>332</v>
      </c>
    </row>
    <row r="41" spans="1:11" ht="20.100000000000001" customHeight="1">
      <c r="A41" s="28" t="s">
        <v>440</v>
      </c>
      <c r="B41" s="28" t="s">
        <v>441</v>
      </c>
      <c r="C41" s="28">
        <v>1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 t="s">
        <v>404</v>
      </c>
      <c r="J41" s="28">
        <v>2.95</v>
      </c>
      <c r="K41" s="28" t="s">
        <v>332</v>
      </c>
    </row>
    <row r="42" spans="1:11" ht="20.100000000000001" customHeight="1">
      <c r="A42" s="28" t="s">
        <v>442</v>
      </c>
      <c r="B42" s="28" t="s">
        <v>443</v>
      </c>
      <c r="C42" s="28">
        <v>1</v>
      </c>
      <c r="D42" s="28">
        <v>0</v>
      </c>
      <c r="E42" s="28">
        <v>0</v>
      </c>
      <c r="F42" s="28">
        <v>0</v>
      </c>
      <c r="G42" s="28">
        <v>0</v>
      </c>
      <c r="H42" s="28">
        <v>0</v>
      </c>
      <c r="I42" s="28" t="s">
        <v>431</v>
      </c>
      <c r="J42" s="28">
        <v>7.94</v>
      </c>
      <c r="K42" s="28" t="s">
        <v>332</v>
      </c>
    </row>
    <row r="43" spans="1:11" ht="20.100000000000001" customHeight="1">
      <c r="A43" s="28" t="s">
        <v>444</v>
      </c>
      <c r="B43" s="28" t="s">
        <v>445</v>
      </c>
      <c r="C43" s="28">
        <v>1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 t="s">
        <v>404</v>
      </c>
      <c r="J43" s="28">
        <v>2.52</v>
      </c>
      <c r="K43" s="28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447</v>
      </c>
      <c r="B2" s="28" t="s">
        <v>265</v>
      </c>
      <c r="C2" s="28" t="s">
        <v>446</v>
      </c>
      <c r="D2" s="28" t="s">
        <v>265</v>
      </c>
      <c r="E2" s="28" t="s">
        <v>448</v>
      </c>
      <c r="F2" s="28" t="s">
        <v>446</v>
      </c>
      <c r="G2" s="28" t="s">
        <v>446</v>
      </c>
      <c r="H2" s="28" t="s">
        <v>265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446</v>
      </c>
      <c r="AD2" s="28" t="s">
        <v>446</v>
      </c>
      <c r="AE2" s="28">
        <v>1</v>
      </c>
      <c r="AF2" s="28">
        <v>12</v>
      </c>
      <c r="AG2" s="28">
        <v>365</v>
      </c>
      <c r="AH2" s="28" t="s">
        <v>446</v>
      </c>
      <c r="AI2" s="28" t="s">
        <v>265</v>
      </c>
      <c r="AJ2" s="28">
        <v>1</v>
      </c>
      <c r="AK2" s="28">
        <v>2.36</v>
      </c>
      <c r="AL2" s="28">
        <v>0.28000000000000003</v>
      </c>
      <c r="AM2" s="28">
        <v>0.67</v>
      </c>
      <c r="AN2" s="28">
        <v>19</v>
      </c>
      <c r="AO2" s="28">
        <v>233</v>
      </c>
      <c r="AP2" s="28" t="s">
        <v>446</v>
      </c>
      <c r="AQ2" s="28" t="s">
        <v>265</v>
      </c>
      <c r="AR2" s="28">
        <v>0</v>
      </c>
      <c r="AS2" s="28">
        <v>0</v>
      </c>
      <c r="AT2" s="28">
        <v>0</v>
      </c>
      <c r="AU2" s="28">
        <v>0</v>
      </c>
      <c r="AV2" s="28">
        <v>0</v>
      </c>
      <c r="AW2" s="28" t="s">
        <v>265</v>
      </c>
      <c r="AX2" s="28" t="s">
        <v>265</v>
      </c>
      <c r="AY2" s="28" t="s">
        <v>265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447</v>
      </c>
      <c r="B3" s="28" t="s">
        <v>265</v>
      </c>
      <c r="C3" s="28" t="s">
        <v>446</v>
      </c>
      <c r="D3" s="28" t="s">
        <v>265</v>
      </c>
      <c r="E3" s="28" t="s">
        <v>449</v>
      </c>
      <c r="F3" s="28" t="s">
        <v>446</v>
      </c>
      <c r="G3" s="28" t="s">
        <v>446</v>
      </c>
      <c r="H3" s="28" t="s">
        <v>265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446</v>
      </c>
      <c r="AD3" s="28" t="s">
        <v>446</v>
      </c>
      <c r="AE3" s="28">
        <v>1</v>
      </c>
      <c r="AF3" s="28">
        <v>12</v>
      </c>
      <c r="AG3" s="28">
        <v>365</v>
      </c>
      <c r="AH3" s="28" t="s">
        <v>446</v>
      </c>
      <c r="AI3" s="28" t="s">
        <v>265</v>
      </c>
      <c r="AJ3" s="28">
        <v>1</v>
      </c>
      <c r="AK3" s="28">
        <v>2.36</v>
      </c>
      <c r="AL3" s="28">
        <v>0.28000000000000003</v>
      </c>
      <c r="AM3" s="28">
        <v>0.67</v>
      </c>
      <c r="AN3" s="28">
        <v>19</v>
      </c>
      <c r="AO3" s="28">
        <v>233</v>
      </c>
      <c r="AP3" s="28" t="s">
        <v>446</v>
      </c>
      <c r="AQ3" s="28" t="s">
        <v>265</v>
      </c>
      <c r="AR3" s="28">
        <v>0</v>
      </c>
      <c r="AS3" s="28">
        <v>0</v>
      </c>
      <c r="AT3" s="28">
        <v>0</v>
      </c>
      <c r="AU3" s="28">
        <v>0</v>
      </c>
      <c r="AV3" s="28">
        <v>0</v>
      </c>
      <c r="AW3" s="28" t="s">
        <v>265</v>
      </c>
      <c r="AX3" s="28" t="s">
        <v>265</v>
      </c>
      <c r="AY3" s="28" t="s">
        <v>265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447</v>
      </c>
      <c r="B4" s="28" t="s">
        <v>265</v>
      </c>
      <c r="C4" s="28" t="s">
        <v>446</v>
      </c>
      <c r="D4" s="28" t="s">
        <v>265</v>
      </c>
      <c r="E4" s="28" t="s">
        <v>450</v>
      </c>
      <c r="F4" s="28" t="s">
        <v>446</v>
      </c>
      <c r="G4" s="28" t="s">
        <v>446</v>
      </c>
      <c r="H4" s="28" t="s">
        <v>265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446</v>
      </c>
      <c r="AD4" s="28" t="s">
        <v>446</v>
      </c>
      <c r="AE4" s="28">
        <v>1</v>
      </c>
      <c r="AF4" s="28">
        <v>12</v>
      </c>
      <c r="AG4" s="28">
        <v>365</v>
      </c>
      <c r="AH4" s="28" t="s">
        <v>446</v>
      </c>
      <c r="AI4" s="28" t="s">
        <v>265</v>
      </c>
      <c r="AJ4" s="28">
        <v>1</v>
      </c>
      <c r="AK4" s="28">
        <v>2.36</v>
      </c>
      <c r="AL4" s="28">
        <v>0.28000000000000003</v>
      </c>
      <c r="AM4" s="28">
        <v>0.67</v>
      </c>
      <c r="AN4" s="28">
        <v>19</v>
      </c>
      <c r="AO4" s="28">
        <v>233</v>
      </c>
      <c r="AP4" s="28" t="s">
        <v>446</v>
      </c>
      <c r="AQ4" s="28" t="s">
        <v>265</v>
      </c>
      <c r="AR4" s="28">
        <v>0</v>
      </c>
      <c r="AS4" s="28">
        <v>0</v>
      </c>
      <c r="AT4" s="28">
        <v>0</v>
      </c>
      <c r="AU4" s="28">
        <v>0</v>
      </c>
      <c r="AV4" s="28">
        <v>0</v>
      </c>
      <c r="AW4" s="28" t="s">
        <v>265</v>
      </c>
      <c r="AX4" s="28" t="s">
        <v>265</v>
      </c>
      <c r="AY4" s="28" t="s">
        <v>265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447</v>
      </c>
      <c r="B5" s="28" t="s">
        <v>265</v>
      </c>
      <c r="C5" s="28" t="s">
        <v>446</v>
      </c>
      <c r="D5" s="28" t="s">
        <v>265</v>
      </c>
      <c r="E5" s="28" t="s">
        <v>451</v>
      </c>
      <c r="F5" s="28" t="s">
        <v>446</v>
      </c>
      <c r="G5" s="28" t="s">
        <v>446</v>
      </c>
      <c r="H5" s="28" t="s">
        <v>265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446</v>
      </c>
      <c r="AD5" s="28" t="s">
        <v>446</v>
      </c>
      <c r="AE5" s="28">
        <v>1</v>
      </c>
      <c r="AF5" s="28">
        <v>12</v>
      </c>
      <c r="AG5" s="28">
        <v>365</v>
      </c>
      <c r="AH5" s="28" t="s">
        <v>446</v>
      </c>
      <c r="AI5" s="28" t="s">
        <v>265</v>
      </c>
      <c r="AJ5" s="28">
        <v>1</v>
      </c>
      <c r="AK5" s="28">
        <v>2.36</v>
      </c>
      <c r="AL5" s="28">
        <v>0.28000000000000003</v>
      </c>
      <c r="AM5" s="28">
        <v>0.67</v>
      </c>
      <c r="AN5" s="28">
        <v>19</v>
      </c>
      <c r="AO5" s="28">
        <v>233</v>
      </c>
      <c r="AP5" s="28" t="s">
        <v>446</v>
      </c>
      <c r="AQ5" s="28" t="s">
        <v>265</v>
      </c>
      <c r="AR5" s="28">
        <v>0</v>
      </c>
      <c r="AS5" s="28">
        <v>0</v>
      </c>
      <c r="AT5" s="28">
        <v>0</v>
      </c>
      <c r="AU5" s="28">
        <v>0</v>
      </c>
      <c r="AV5" s="28">
        <v>0</v>
      </c>
      <c r="AW5" s="28" t="s">
        <v>265</v>
      </c>
      <c r="AX5" s="28" t="s">
        <v>265</v>
      </c>
      <c r="AY5" s="28" t="s">
        <v>265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447</v>
      </c>
      <c r="B6" s="28" t="s">
        <v>265</v>
      </c>
      <c r="C6" s="28" t="s">
        <v>446</v>
      </c>
      <c r="D6" s="28" t="s">
        <v>265</v>
      </c>
      <c r="E6" s="28" t="s">
        <v>452</v>
      </c>
      <c r="F6" s="28" t="s">
        <v>446</v>
      </c>
      <c r="G6" s="28" t="s">
        <v>446</v>
      </c>
      <c r="H6" s="28" t="s">
        <v>265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446</v>
      </c>
      <c r="AD6" s="28" t="s">
        <v>446</v>
      </c>
      <c r="AE6" s="28">
        <v>1</v>
      </c>
      <c r="AF6" s="28">
        <v>12</v>
      </c>
      <c r="AG6" s="28">
        <v>365</v>
      </c>
      <c r="AH6" s="28" t="s">
        <v>446</v>
      </c>
      <c r="AI6" s="28" t="s">
        <v>265</v>
      </c>
      <c r="AJ6" s="28">
        <v>1</v>
      </c>
      <c r="AK6" s="28">
        <v>2.36</v>
      </c>
      <c r="AL6" s="28">
        <v>0.28000000000000003</v>
      </c>
      <c r="AM6" s="28">
        <v>0.67</v>
      </c>
      <c r="AN6" s="28">
        <v>19</v>
      </c>
      <c r="AO6" s="28">
        <v>233</v>
      </c>
      <c r="AP6" s="28" t="s">
        <v>446</v>
      </c>
      <c r="AQ6" s="28" t="s">
        <v>265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 t="s">
        <v>265</v>
      </c>
      <c r="AX6" s="28" t="s">
        <v>265</v>
      </c>
      <c r="AY6" s="28" t="s">
        <v>265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447</v>
      </c>
      <c r="B7" s="28" t="s">
        <v>265</v>
      </c>
      <c r="C7" s="28" t="s">
        <v>446</v>
      </c>
      <c r="D7" s="28" t="s">
        <v>265</v>
      </c>
      <c r="E7" s="28" t="s">
        <v>453</v>
      </c>
      <c r="F7" s="28" t="s">
        <v>446</v>
      </c>
      <c r="G7" s="28" t="s">
        <v>446</v>
      </c>
      <c r="H7" s="28" t="s">
        <v>265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446</v>
      </c>
      <c r="AD7" s="28" t="s">
        <v>446</v>
      </c>
      <c r="AE7" s="28">
        <v>1</v>
      </c>
      <c r="AF7" s="28">
        <v>12</v>
      </c>
      <c r="AG7" s="28">
        <v>365</v>
      </c>
      <c r="AH7" s="28" t="s">
        <v>446</v>
      </c>
      <c r="AI7" s="28" t="s">
        <v>265</v>
      </c>
      <c r="AJ7" s="28">
        <v>1</v>
      </c>
      <c r="AK7" s="28">
        <v>2.36</v>
      </c>
      <c r="AL7" s="28">
        <v>0.28000000000000003</v>
      </c>
      <c r="AM7" s="28">
        <v>0.67</v>
      </c>
      <c r="AN7" s="28">
        <v>19</v>
      </c>
      <c r="AO7" s="28">
        <v>233</v>
      </c>
      <c r="AP7" s="28" t="s">
        <v>446</v>
      </c>
      <c r="AQ7" s="28" t="s">
        <v>265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 t="s">
        <v>265</v>
      </c>
      <c r="AX7" s="28" t="s">
        <v>265</v>
      </c>
      <c r="AY7" s="28" t="s">
        <v>265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447</v>
      </c>
      <c r="B8" s="28" t="s">
        <v>265</v>
      </c>
      <c r="C8" s="28" t="s">
        <v>446</v>
      </c>
      <c r="D8" s="28" t="s">
        <v>265</v>
      </c>
      <c r="E8" s="28" t="s">
        <v>454</v>
      </c>
      <c r="F8" s="28" t="s">
        <v>446</v>
      </c>
      <c r="G8" s="28" t="s">
        <v>446</v>
      </c>
      <c r="H8" s="28" t="s">
        <v>265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446</v>
      </c>
      <c r="AD8" s="28" t="s">
        <v>446</v>
      </c>
      <c r="AE8" s="28">
        <v>1</v>
      </c>
      <c r="AF8" s="28">
        <v>12</v>
      </c>
      <c r="AG8" s="28">
        <v>365</v>
      </c>
      <c r="AH8" s="28" t="s">
        <v>446</v>
      </c>
      <c r="AI8" s="28" t="s">
        <v>265</v>
      </c>
      <c r="AJ8" s="28">
        <v>1</v>
      </c>
      <c r="AK8" s="28">
        <v>2.36</v>
      </c>
      <c r="AL8" s="28">
        <v>0.28000000000000003</v>
      </c>
      <c r="AM8" s="28">
        <v>0.67</v>
      </c>
      <c r="AN8" s="28">
        <v>19</v>
      </c>
      <c r="AO8" s="28">
        <v>233</v>
      </c>
      <c r="AP8" s="28" t="s">
        <v>446</v>
      </c>
      <c r="AQ8" s="28" t="s">
        <v>265</v>
      </c>
      <c r="AR8" s="28">
        <v>0</v>
      </c>
      <c r="AS8" s="28">
        <v>0</v>
      </c>
      <c r="AT8" s="28">
        <v>0</v>
      </c>
      <c r="AU8" s="28">
        <v>0</v>
      </c>
      <c r="AV8" s="28">
        <v>0</v>
      </c>
      <c r="AW8" s="28" t="s">
        <v>265</v>
      </c>
      <c r="AX8" s="28" t="s">
        <v>265</v>
      </c>
      <c r="AY8" s="28" t="s">
        <v>265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447</v>
      </c>
      <c r="B9" s="28" t="s">
        <v>265</v>
      </c>
      <c r="C9" s="28" t="s">
        <v>446</v>
      </c>
      <c r="D9" s="28" t="s">
        <v>265</v>
      </c>
      <c r="E9" s="28" t="s">
        <v>455</v>
      </c>
      <c r="F9" s="28" t="s">
        <v>446</v>
      </c>
      <c r="G9" s="28" t="s">
        <v>446</v>
      </c>
      <c r="H9" s="28" t="s">
        <v>265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446</v>
      </c>
      <c r="AD9" s="28" t="s">
        <v>446</v>
      </c>
      <c r="AE9" s="28">
        <v>1</v>
      </c>
      <c r="AF9" s="28">
        <v>12</v>
      </c>
      <c r="AG9" s="28">
        <v>365</v>
      </c>
      <c r="AH9" s="28" t="s">
        <v>446</v>
      </c>
      <c r="AI9" s="28" t="s">
        <v>265</v>
      </c>
      <c r="AJ9" s="28">
        <v>1</v>
      </c>
      <c r="AK9" s="28">
        <v>2.36</v>
      </c>
      <c r="AL9" s="28">
        <v>0.28000000000000003</v>
      </c>
      <c r="AM9" s="28">
        <v>0.67</v>
      </c>
      <c r="AN9" s="28">
        <v>19</v>
      </c>
      <c r="AO9" s="28">
        <v>233</v>
      </c>
      <c r="AP9" s="28" t="s">
        <v>446</v>
      </c>
      <c r="AQ9" s="28" t="s">
        <v>265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 t="s">
        <v>265</v>
      </c>
      <c r="AX9" s="28" t="s">
        <v>265</v>
      </c>
      <c r="AY9" s="28" t="s">
        <v>265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447</v>
      </c>
      <c r="B10" s="28" t="s">
        <v>265</v>
      </c>
      <c r="C10" s="28" t="s">
        <v>446</v>
      </c>
      <c r="D10" s="28" t="s">
        <v>265</v>
      </c>
      <c r="E10" s="28" t="s">
        <v>456</v>
      </c>
      <c r="F10" s="28" t="s">
        <v>446</v>
      </c>
      <c r="G10" s="28" t="s">
        <v>265</v>
      </c>
      <c r="H10" s="28" t="s">
        <v>446</v>
      </c>
      <c r="I10" s="28" t="s">
        <v>265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265</v>
      </c>
      <c r="AC10" s="28" t="s">
        <v>446</v>
      </c>
      <c r="AD10" s="28" t="s">
        <v>446</v>
      </c>
      <c r="AE10" s="28">
        <v>1</v>
      </c>
      <c r="AF10" s="28">
        <v>12</v>
      </c>
      <c r="AG10" s="28">
        <v>365</v>
      </c>
      <c r="AH10" s="28" t="s">
        <v>265</v>
      </c>
      <c r="AI10" s="28" t="s">
        <v>446</v>
      </c>
      <c r="AJ10" s="28" t="s">
        <v>265</v>
      </c>
      <c r="AK10" s="28" t="s">
        <v>265</v>
      </c>
      <c r="AL10" s="28" t="s">
        <v>265</v>
      </c>
      <c r="AM10" s="28">
        <v>5.2</v>
      </c>
      <c r="AN10" s="28">
        <v>151</v>
      </c>
      <c r="AO10" s="42">
        <v>1810</v>
      </c>
      <c r="AP10" s="28" t="s">
        <v>446</v>
      </c>
      <c r="AQ10" s="28" t="s">
        <v>265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 t="s">
        <v>446</v>
      </c>
      <c r="AX10" s="28" t="s">
        <v>265</v>
      </c>
      <c r="AY10" s="28" t="s">
        <v>446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447</v>
      </c>
      <c r="B11" s="28" t="s">
        <v>265</v>
      </c>
      <c r="C11" s="28" t="s">
        <v>446</v>
      </c>
      <c r="D11" s="28" t="s">
        <v>265</v>
      </c>
      <c r="E11" s="28" t="s">
        <v>457</v>
      </c>
      <c r="F11" s="28" t="s">
        <v>446</v>
      </c>
      <c r="G11" s="28" t="s">
        <v>446</v>
      </c>
      <c r="H11" s="28" t="s">
        <v>265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446</v>
      </c>
      <c r="AD11" s="28" t="s">
        <v>446</v>
      </c>
      <c r="AE11" s="28">
        <v>1</v>
      </c>
      <c r="AF11" s="28">
        <v>12</v>
      </c>
      <c r="AG11" s="28">
        <v>365</v>
      </c>
      <c r="AH11" s="28" t="s">
        <v>446</v>
      </c>
      <c r="AI11" s="28" t="s">
        <v>265</v>
      </c>
      <c r="AJ11" s="28">
        <v>1</v>
      </c>
      <c r="AK11" s="28">
        <v>2.36</v>
      </c>
      <c r="AL11" s="28">
        <v>0.28000000000000003</v>
      </c>
      <c r="AM11" s="28">
        <v>0.67</v>
      </c>
      <c r="AN11" s="28">
        <v>19</v>
      </c>
      <c r="AO11" s="28">
        <v>233</v>
      </c>
      <c r="AP11" s="28" t="s">
        <v>446</v>
      </c>
      <c r="AQ11" s="28" t="s">
        <v>265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 t="s">
        <v>265</v>
      </c>
      <c r="AX11" s="28" t="s">
        <v>265</v>
      </c>
      <c r="AY11" s="28" t="s">
        <v>265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447</v>
      </c>
      <c r="B12" s="28" t="s">
        <v>265</v>
      </c>
      <c r="C12" s="28" t="s">
        <v>446</v>
      </c>
      <c r="D12" s="28" t="s">
        <v>265</v>
      </c>
      <c r="E12" s="28" t="s">
        <v>458</v>
      </c>
      <c r="F12" s="28" t="s">
        <v>446</v>
      </c>
      <c r="G12" s="28" t="s">
        <v>446</v>
      </c>
      <c r="H12" s="28" t="s">
        <v>265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446</v>
      </c>
      <c r="AD12" s="28" t="s">
        <v>446</v>
      </c>
      <c r="AE12" s="28">
        <v>1</v>
      </c>
      <c r="AF12" s="28">
        <v>12</v>
      </c>
      <c r="AG12" s="28">
        <v>365</v>
      </c>
      <c r="AH12" s="28" t="s">
        <v>446</v>
      </c>
      <c r="AI12" s="28" t="s">
        <v>265</v>
      </c>
      <c r="AJ12" s="28">
        <v>1</v>
      </c>
      <c r="AK12" s="28">
        <v>2.36</v>
      </c>
      <c r="AL12" s="28">
        <v>0.28000000000000003</v>
      </c>
      <c r="AM12" s="28">
        <v>0.67</v>
      </c>
      <c r="AN12" s="28">
        <v>19</v>
      </c>
      <c r="AO12" s="28">
        <v>233</v>
      </c>
      <c r="AP12" s="28" t="s">
        <v>446</v>
      </c>
      <c r="AQ12" s="28" t="s">
        <v>265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 t="s">
        <v>265</v>
      </c>
      <c r="AX12" s="28" t="s">
        <v>265</v>
      </c>
      <c r="AY12" s="28" t="s">
        <v>265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447</v>
      </c>
      <c r="B13" s="28" t="s">
        <v>265</v>
      </c>
      <c r="C13" s="28" t="s">
        <v>446</v>
      </c>
      <c r="D13" s="28" t="s">
        <v>265</v>
      </c>
      <c r="E13" s="28" t="s">
        <v>459</v>
      </c>
      <c r="F13" s="28" t="s">
        <v>446</v>
      </c>
      <c r="G13" s="28" t="s">
        <v>446</v>
      </c>
      <c r="H13" s="28" t="s">
        <v>265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446</v>
      </c>
      <c r="AD13" s="28" t="s">
        <v>446</v>
      </c>
      <c r="AE13" s="28">
        <v>1</v>
      </c>
      <c r="AF13" s="28">
        <v>12</v>
      </c>
      <c r="AG13" s="28">
        <v>365</v>
      </c>
      <c r="AH13" s="28" t="s">
        <v>446</v>
      </c>
      <c r="AI13" s="28" t="s">
        <v>265</v>
      </c>
      <c r="AJ13" s="28">
        <v>1</v>
      </c>
      <c r="AK13" s="28">
        <v>2.36</v>
      </c>
      <c r="AL13" s="28">
        <v>0.28000000000000003</v>
      </c>
      <c r="AM13" s="28">
        <v>0.67</v>
      </c>
      <c r="AN13" s="28">
        <v>19</v>
      </c>
      <c r="AO13" s="28">
        <v>233</v>
      </c>
      <c r="AP13" s="28" t="s">
        <v>446</v>
      </c>
      <c r="AQ13" s="28" t="s">
        <v>265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 t="s">
        <v>265</v>
      </c>
      <c r="AX13" s="28" t="s">
        <v>265</v>
      </c>
      <c r="AY13" s="28" t="s">
        <v>265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447</v>
      </c>
      <c r="B14" s="28" t="s">
        <v>265</v>
      </c>
      <c r="C14" s="28" t="s">
        <v>446</v>
      </c>
      <c r="D14" s="28" t="s">
        <v>265</v>
      </c>
      <c r="E14" s="28" t="s">
        <v>460</v>
      </c>
      <c r="F14" s="28" t="s">
        <v>446</v>
      </c>
      <c r="G14" s="28" t="s">
        <v>446</v>
      </c>
      <c r="H14" s="28" t="s">
        <v>265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446</v>
      </c>
      <c r="AD14" s="28" t="s">
        <v>446</v>
      </c>
      <c r="AE14" s="28">
        <v>1</v>
      </c>
      <c r="AF14" s="28">
        <v>12</v>
      </c>
      <c r="AG14" s="28">
        <v>365</v>
      </c>
      <c r="AH14" s="28" t="s">
        <v>446</v>
      </c>
      <c r="AI14" s="28" t="s">
        <v>265</v>
      </c>
      <c r="AJ14" s="28">
        <v>1</v>
      </c>
      <c r="AK14" s="28">
        <v>2.36</v>
      </c>
      <c r="AL14" s="28">
        <v>0.28000000000000003</v>
      </c>
      <c r="AM14" s="28">
        <v>0.67</v>
      </c>
      <c r="AN14" s="28">
        <v>19</v>
      </c>
      <c r="AO14" s="28">
        <v>233</v>
      </c>
      <c r="AP14" s="28" t="s">
        <v>446</v>
      </c>
      <c r="AQ14" s="28" t="s">
        <v>265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 t="s">
        <v>265</v>
      </c>
      <c r="AX14" s="28" t="s">
        <v>265</v>
      </c>
      <c r="AY14" s="28" t="s">
        <v>265</v>
      </c>
      <c r="AZ14" s="28" t="s">
        <v>265</v>
      </c>
      <c r="BA14" s="28" t="s">
        <v>265</v>
      </c>
      <c r="BB14" s="28" t="s">
        <v>265</v>
      </c>
    </row>
    <row r="15" spans="1:54" ht="20.100000000000001" customHeight="1">
      <c r="A15" s="28" t="s">
        <v>447</v>
      </c>
      <c r="B15" s="28" t="s">
        <v>265</v>
      </c>
      <c r="C15" s="28" t="s">
        <v>446</v>
      </c>
      <c r="D15" s="28" t="s">
        <v>265</v>
      </c>
      <c r="E15" s="28" t="s">
        <v>461</v>
      </c>
      <c r="F15" s="28" t="s">
        <v>446</v>
      </c>
      <c r="G15" s="28" t="s">
        <v>446</v>
      </c>
      <c r="H15" s="28" t="s">
        <v>265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446</v>
      </c>
      <c r="AD15" s="28" t="s">
        <v>446</v>
      </c>
      <c r="AE15" s="28">
        <v>1</v>
      </c>
      <c r="AF15" s="28">
        <v>12</v>
      </c>
      <c r="AG15" s="28">
        <v>365</v>
      </c>
      <c r="AH15" s="28" t="s">
        <v>446</v>
      </c>
      <c r="AI15" s="28" t="s">
        <v>265</v>
      </c>
      <c r="AJ15" s="28">
        <v>1</v>
      </c>
      <c r="AK15" s="28">
        <v>2.36</v>
      </c>
      <c r="AL15" s="28">
        <v>0.28000000000000003</v>
      </c>
      <c r="AM15" s="28">
        <v>0.67</v>
      </c>
      <c r="AN15" s="28">
        <v>19</v>
      </c>
      <c r="AO15" s="28">
        <v>233</v>
      </c>
      <c r="AP15" s="28" t="s">
        <v>446</v>
      </c>
      <c r="AQ15" s="28" t="s">
        <v>265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 t="s">
        <v>265</v>
      </c>
      <c r="AX15" s="28" t="s">
        <v>265</v>
      </c>
      <c r="AY15" s="28" t="s">
        <v>265</v>
      </c>
      <c r="AZ15" s="28" t="s">
        <v>265</v>
      </c>
      <c r="BA15" s="28" t="s">
        <v>265</v>
      </c>
      <c r="BB15" s="28" t="s">
        <v>265</v>
      </c>
    </row>
    <row r="16" spans="1:54" ht="20.100000000000001" customHeight="1">
      <c r="A16" s="28" t="s">
        <v>447</v>
      </c>
      <c r="B16" s="28" t="s">
        <v>265</v>
      </c>
      <c r="C16" s="28" t="s">
        <v>446</v>
      </c>
      <c r="D16" s="28" t="s">
        <v>265</v>
      </c>
      <c r="E16" s="28" t="s">
        <v>462</v>
      </c>
      <c r="F16" s="28" t="s">
        <v>446</v>
      </c>
      <c r="G16" s="28" t="s">
        <v>446</v>
      </c>
      <c r="H16" s="28" t="s">
        <v>265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446</v>
      </c>
      <c r="AD16" s="28" t="s">
        <v>446</v>
      </c>
      <c r="AE16" s="28">
        <v>1</v>
      </c>
      <c r="AF16" s="28">
        <v>12</v>
      </c>
      <c r="AG16" s="28">
        <v>365</v>
      </c>
      <c r="AH16" s="28" t="s">
        <v>446</v>
      </c>
      <c r="AI16" s="28" t="s">
        <v>265</v>
      </c>
      <c r="AJ16" s="28">
        <v>1</v>
      </c>
      <c r="AK16" s="28">
        <v>2.36</v>
      </c>
      <c r="AL16" s="28">
        <v>0.28000000000000003</v>
      </c>
      <c r="AM16" s="28">
        <v>0.67</v>
      </c>
      <c r="AN16" s="28">
        <v>19</v>
      </c>
      <c r="AO16" s="28">
        <v>233</v>
      </c>
      <c r="AP16" s="28" t="s">
        <v>446</v>
      </c>
      <c r="AQ16" s="28" t="s">
        <v>265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 t="s">
        <v>265</v>
      </c>
      <c r="AX16" s="28" t="s">
        <v>265</v>
      </c>
      <c r="AY16" s="28" t="s">
        <v>265</v>
      </c>
      <c r="AZ16" s="28" t="s">
        <v>265</v>
      </c>
      <c r="BA16" s="28" t="s">
        <v>265</v>
      </c>
      <c r="BB16" s="28" t="s">
        <v>265</v>
      </c>
    </row>
    <row r="17" spans="1:54" ht="20.100000000000001" customHeight="1">
      <c r="A17" s="28" t="s">
        <v>447</v>
      </c>
      <c r="B17" s="28" t="s">
        <v>265</v>
      </c>
      <c r="C17" s="28" t="s">
        <v>446</v>
      </c>
      <c r="D17" s="28" t="s">
        <v>265</v>
      </c>
      <c r="E17" s="28" t="s">
        <v>463</v>
      </c>
      <c r="F17" s="28" t="s">
        <v>446</v>
      </c>
      <c r="G17" s="28" t="s">
        <v>446</v>
      </c>
      <c r="H17" s="28" t="s">
        <v>265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446</v>
      </c>
      <c r="AD17" s="28" t="s">
        <v>446</v>
      </c>
      <c r="AE17" s="28">
        <v>1</v>
      </c>
      <c r="AF17" s="28">
        <v>12</v>
      </c>
      <c r="AG17" s="28">
        <v>365</v>
      </c>
      <c r="AH17" s="28" t="s">
        <v>446</v>
      </c>
      <c r="AI17" s="28" t="s">
        <v>265</v>
      </c>
      <c r="AJ17" s="28">
        <v>1</v>
      </c>
      <c r="AK17" s="28">
        <v>2.36</v>
      </c>
      <c r="AL17" s="28">
        <v>0.28000000000000003</v>
      </c>
      <c r="AM17" s="28">
        <v>0.67</v>
      </c>
      <c r="AN17" s="28">
        <v>19</v>
      </c>
      <c r="AO17" s="28">
        <v>233</v>
      </c>
      <c r="AP17" s="28" t="s">
        <v>446</v>
      </c>
      <c r="AQ17" s="28" t="s">
        <v>265</v>
      </c>
      <c r="AR17" s="28">
        <v>0</v>
      </c>
      <c r="AS17" s="28">
        <v>0</v>
      </c>
      <c r="AT17" s="28">
        <v>0</v>
      </c>
      <c r="AU17" s="28">
        <v>0</v>
      </c>
      <c r="AV17" s="28">
        <v>0</v>
      </c>
      <c r="AW17" s="28" t="s">
        <v>265</v>
      </c>
      <c r="AX17" s="28" t="s">
        <v>265</v>
      </c>
      <c r="AY17" s="28" t="s">
        <v>265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447</v>
      </c>
      <c r="B18" s="28" t="s">
        <v>265</v>
      </c>
      <c r="C18" s="28" t="s">
        <v>446</v>
      </c>
      <c r="D18" s="28" t="s">
        <v>265</v>
      </c>
      <c r="E18" s="28" t="s">
        <v>464</v>
      </c>
      <c r="F18" s="28" t="s">
        <v>446</v>
      </c>
      <c r="G18" s="28" t="s">
        <v>446</v>
      </c>
      <c r="H18" s="28" t="s">
        <v>265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446</v>
      </c>
      <c r="AD18" s="28" t="s">
        <v>446</v>
      </c>
      <c r="AE18" s="28">
        <v>1</v>
      </c>
      <c r="AF18" s="28">
        <v>12</v>
      </c>
      <c r="AG18" s="28">
        <v>365</v>
      </c>
      <c r="AH18" s="28" t="s">
        <v>446</v>
      </c>
      <c r="AI18" s="28" t="s">
        <v>265</v>
      </c>
      <c r="AJ18" s="28">
        <v>1</v>
      </c>
      <c r="AK18" s="28">
        <v>2.36</v>
      </c>
      <c r="AL18" s="28">
        <v>0.28000000000000003</v>
      </c>
      <c r="AM18" s="28">
        <v>0.67</v>
      </c>
      <c r="AN18" s="28">
        <v>19</v>
      </c>
      <c r="AO18" s="28">
        <v>233</v>
      </c>
      <c r="AP18" s="28" t="s">
        <v>446</v>
      </c>
      <c r="AQ18" s="28" t="s">
        <v>265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 t="s">
        <v>265</v>
      </c>
      <c r="AX18" s="28" t="s">
        <v>265</v>
      </c>
      <c r="AY18" s="28" t="s">
        <v>265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447</v>
      </c>
      <c r="B19" s="28" t="s">
        <v>265</v>
      </c>
      <c r="C19" s="28" t="s">
        <v>446</v>
      </c>
      <c r="D19" s="28" t="s">
        <v>265</v>
      </c>
      <c r="E19" s="28" t="s">
        <v>465</v>
      </c>
      <c r="F19" s="28" t="s">
        <v>446</v>
      </c>
      <c r="G19" s="28" t="s">
        <v>446</v>
      </c>
      <c r="H19" s="28" t="s">
        <v>265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446</v>
      </c>
      <c r="AD19" s="28" t="s">
        <v>446</v>
      </c>
      <c r="AE19" s="28">
        <v>1</v>
      </c>
      <c r="AF19" s="28">
        <v>12</v>
      </c>
      <c r="AG19" s="28">
        <v>365</v>
      </c>
      <c r="AH19" s="28" t="s">
        <v>446</v>
      </c>
      <c r="AI19" s="28" t="s">
        <v>265</v>
      </c>
      <c r="AJ19" s="28">
        <v>1</v>
      </c>
      <c r="AK19" s="28">
        <v>2.36</v>
      </c>
      <c r="AL19" s="28">
        <v>0.28000000000000003</v>
      </c>
      <c r="AM19" s="28">
        <v>0.67</v>
      </c>
      <c r="AN19" s="28">
        <v>19</v>
      </c>
      <c r="AO19" s="28">
        <v>233</v>
      </c>
      <c r="AP19" s="28" t="s">
        <v>446</v>
      </c>
      <c r="AQ19" s="28" t="s">
        <v>265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 t="s">
        <v>265</v>
      </c>
      <c r="AX19" s="28" t="s">
        <v>265</v>
      </c>
      <c r="AY19" s="28" t="s">
        <v>265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447</v>
      </c>
      <c r="B20" s="28" t="s">
        <v>265</v>
      </c>
      <c r="C20" s="28" t="s">
        <v>446</v>
      </c>
      <c r="D20" s="28" t="s">
        <v>265</v>
      </c>
      <c r="E20" s="28" t="s">
        <v>466</v>
      </c>
      <c r="F20" s="28" t="s">
        <v>446</v>
      </c>
      <c r="G20" s="28" t="s">
        <v>446</v>
      </c>
      <c r="H20" s="28" t="s">
        <v>265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446</v>
      </c>
      <c r="AD20" s="28" t="s">
        <v>446</v>
      </c>
      <c r="AE20" s="28">
        <v>1</v>
      </c>
      <c r="AF20" s="28">
        <v>12</v>
      </c>
      <c r="AG20" s="28">
        <v>365</v>
      </c>
      <c r="AH20" s="28" t="s">
        <v>446</v>
      </c>
      <c r="AI20" s="28" t="s">
        <v>265</v>
      </c>
      <c r="AJ20" s="28">
        <v>1</v>
      </c>
      <c r="AK20" s="28">
        <v>2.36</v>
      </c>
      <c r="AL20" s="28">
        <v>0.28000000000000003</v>
      </c>
      <c r="AM20" s="28">
        <v>0.67</v>
      </c>
      <c r="AN20" s="28">
        <v>19</v>
      </c>
      <c r="AO20" s="28">
        <v>233</v>
      </c>
      <c r="AP20" s="28" t="s">
        <v>446</v>
      </c>
      <c r="AQ20" s="28" t="s">
        <v>265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 t="s">
        <v>265</v>
      </c>
      <c r="AX20" s="28" t="s">
        <v>265</v>
      </c>
      <c r="AY20" s="28" t="s">
        <v>265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447</v>
      </c>
      <c r="B21" s="28" t="s">
        <v>265</v>
      </c>
      <c r="C21" s="28" t="s">
        <v>446</v>
      </c>
      <c r="D21" s="28" t="s">
        <v>265</v>
      </c>
      <c r="E21" s="28" t="s">
        <v>467</v>
      </c>
      <c r="F21" s="28" t="s">
        <v>446</v>
      </c>
      <c r="G21" s="28" t="s">
        <v>446</v>
      </c>
      <c r="H21" s="28" t="s">
        <v>265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446</v>
      </c>
      <c r="AD21" s="28" t="s">
        <v>446</v>
      </c>
      <c r="AE21" s="28">
        <v>1</v>
      </c>
      <c r="AF21" s="28">
        <v>12</v>
      </c>
      <c r="AG21" s="28">
        <v>365</v>
      </c>
      <c r="AH21" s="28" t="s">
        <v>446</v>
      </c>
      <c r="AI21" s="28" t="s">
        <v>265</v>
      </c>
      <c r="AJ21" s="28">
        <v>1</v>
      </c>
      <c r="AK21" s="28">
        <v>2.36</v>
      </c>
      <c r="AL21" s="28">
        <v>0.28000000000000003</v>
      </c>
      <c r="AM21" s="28">
        <v>0.67</v>
      </c>
      <c r="AN21" s="28">
        <v>19</v>
      </c>
      <c r="AO21" s="28">
        <v>233</v>
      </c>
      <c r="AP21" s="28" t="s">
        <v>446</v>
      </c>
      <c r="AQ21" s="28" t="s">
        <v>265</v>
      </c>
      <c r="AR21" s="28">
        <v>0</v>
      </c>
      <c r="AS21" s="28">
        <v>0</v>
      </c>
      <c r="AT21" s="28">
        <v>0</v>
      </c>
      <c r="AU21" s="28">
        <v>0</v>
      </c>
      <c r="AV21" s="28">
        <v>0</v>
      </c>
      <c r="AW21" s="28" t="s">
        <v>265</v>
      </c>
      <c r="AX21" s="28" t="s">
        <v>265</v>
      </c>
      <c r="AY21" s="28" t="s">
        <v>265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447</v>
      </c>
      <c r="B22" s="28" t="s">
        <v>265</v>
      </c>
      <c r="C22" s="28" t="s">
        <v>446</v>
      </c>
      <c r="D22" s="28" t="s">
        <v>265</v>
      </c>
      <c r="E22" s="28" t="s">
        <v>468</v>
      </c>
      <c r="F22" s="28" t="s">
        <v>446</v>
      </c>
      <c r="G22" s="28" t="s">
        <v>446</v>
      </c>
      <c r="H22" s="28" t="s">
        <v>265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446</v>
      </c>
      <c r="AD22" s="28" t="s">
        <v>446</v>
      </c>
      <c r="AE22" s="28">
        <v>1</v>
      </c>
      <c r="AF22" s="28">
        <v>12</v>
      </c>
      <c r="AG22" s="28">
        <v>365</v>
      </c>
      <c r="AH22" s="28" t="s">
        <v>446</v>
      </c>
      <c r="AI22" s="28" t="s">
        <v>265</v>
      </c>
      <c r="AJ22" s="28">
        <v>1</v>
      </c>
      <c r="AK22" s="28">
        <v>2.36</v>
      </c>
      <c r="AL22" s="28">
        <v>0.28000000000000003</v>
      </c>
      <c r="AM22" s="28">
        <v>0.67</v>
      </c>
      <c r="AN22" s="28">
        <v>19</v>
      </c>
      <c r="AO22" s="28">
        <v>233</v>
      </c>
      <c r="AP22" s="28" t="s">
        <v>446</v>
      </c>
      <c r="AQ22" s="28" t="s">
        <v>265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 t="s">
        <v>265</v>
      </c>
      <c r="AX22" s="28" t="s">
        <v>265</v>
      </c>
      <c r="AY22" s="28" t="s">
        <v>265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447</v>
      </c>
      <c r="B23" s="28" t="s">
        <v>265</v>
      </c>
      <c r="C23" s="28" t="s">
        <v>446</v>
      </c>
      <c r="D23" s="28" t="s">
        <v>265</v>
      </c>
      <c r="E23" s="28" t="s">
        <v>469</v>
      </c>
      <c r="F23" s="28" t="s">
        <v>265</v>
      </c>
      <c r="G23" s="28" t="s">
        <v>265</v>
      </c>
      <c r="H23" s="28" t="s">
        <v>265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446</v>
      </c>
      <c r="V23" s="28" t="s">
        <v>265</v>
      </c>
      <c r="W23" s="28" t="s">
        <v>446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446</v>
      </c>
      <c r="AD23" s="28" t="s">
        <v>265</v>
      </c>
      <c r="AE23" s="28">
        <v>3</v>
      </c>
      <c r="AF23" s="28">
        <v>11</v>
      </c>
      <c r="AG23" s="28">
        <v>274</v>
      </c>
      <c r="AH23" s="28" t="s">
        <v>265</v>
      </c>
      <c r="AI23" s="28" t="s">
        <v>446</v>
      </c>
      <c r="AJ23" s="28" t="s">
        <v>265</v>
      </c>
      <c r="AK23" s="28" t="s">
        <v>265</v>
      </c>
      <c r="AL23" s="28" t="s">
        <v>265</v>
      </c>
      <c r="AM23" s="28">
        <v>2.52</v>
      </c>
      <c r="AN23" s="28">
        <v>73</v>
      </c>
      <c r="AO23" s="28">
        <v>585</v>
      </c>
      <c r="AP23" s="28" t="s">
        <v>446</v>
      </c>
      <c r="AQ23" s="28" t="s">
        <v>265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 t="s">
        <v>446</v>
      </c>
      <c r="AX23" s="28" t="s">
        <v>265</v>
      </c>
      <c r="AY23" s="28" t="s">
        <v>446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447</v>
      </c>
      <c r="B24" s="28" t="s">
        <v>265</v>
      </c>
      <c r="C24" s="28" t="s">
        <v>446</v>
      </c>
      <c r="D24" s="28" t="s">
        <v>265</v>
      </c>
      <c r="E24" s="28" t="s">
        <v>470</v>
      </c>
      <c r="F24" s="28" t="s">
        <v>265</v>
      </c>
      <c r="G24" s="28" t="s">
        <v>265</v>
      </c>
      <c r="H24" s="28" t="s">
        <v>265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446</v>
      </c>
      <c r="V24" s="28" t="s">
        <v>265</v>
      </c>
      <c r="W24" s="28" t="s">
        <v>446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446</v>
      </c>
      <c r="AD24" s="28" t="s">
        <v>265</v>
      </c>
      <c r="AE24" s="28">
        <v>3</v>
      </c>
      <c r="AF24" s="28">
        <v>11</v>
      </c>
      <c r="AG24" s="28">
        <v>274</v>
      </c>
      <c r="AH24" s="28" t="s">
        <v>265</v>
      </c>
      <c r="AI24" s="28" t="s">
        <v>446</v>
      </c>
      <c r="AJ24" s="28" t="s">
        <v>265</v>
      </c>
      <c r="AK24" s="28" t="s">
        <v>265</v>
      </c>
      <c r="AL24" s="28" t="s">
        <v>265</v>
      </c>
      <c r="AM24" s="28">
        <v>2.52</v>
      </c>
      <c r="AN24" s="28">
        <v>73</v>
      </c>
      <c r="AO24" s="28">
        <v>585</v>
      </c>
      <c r="AP24" s="28" t="s">
        <v>446</v>
      </c>
      <c r="AQ24" s="28" t="s">
        <v>265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 t="s">
        <v>446</v>
      </c>
      <c r="AX24" s="28" t="s">
        <v>265</v>
      </c>
      <c r="AY24" s="28" t="s">
        <v>446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447</v>
      </c>
      <c r="B25" s="28" t="s">
        <v>265</v>
      </c>
      <c r="C25" s="28" t="s">
        <v>446</v>
      </c>
      <c r="D25" s="28" t="s">
        <v>265</v>
      </c>
      <c r="E25" s="28" t="s">
        <v>471</v>
      </c>
      <c r="F25" s="28" t="s">
        <v>265</v>
      </c>
      <c r="G25" s="28" t="s">
        <v>265</v>
      </c>
      <c r="H25" s="28" t="s">
        <v>265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446</v>
      </c>
      <c r="V25" s="28" t="s">
        <v>265</v>
      </c>
      <c r="W25" s="28" t="s">
        <v>446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446</v>
      </c>
      <c r="AD25" s="28" t="s">
        <v>265</v>
      </c>
      <c r="AE25" s="28">
        <v>3</v>
      </c>
      <c r="AF25" s="28">
        <v>11</v>
      </c>
      <c r="AG25" s="28">
        <v>274</v>
      </c>
      <c r="AH25" s="28" t="s">
        <v>265</v>
      </c>
      <c r="AI25" s="28" t="s">
        <v>446</v>
      </c>
      <c r="AJ25" s="28" t="s">
        <v>265</v>
      </c>
      <c r="AK25" s="28" t="s">
        <v>265</v>
      </c>
      <c r="AL25" s="28" t="s">
        <v>265</v>
      </c>
      <c r="AM25" s="28">
        <v>4.67</v>
      </c>
      <c r="AN25" s="28">
        <v>135</v>
      </c>
      <c r="AO25" s="42">
        <v>1083</v>
      </c>
      <c r="AP25" s="28" t="s">
        <v>446</v>
      </c>
      <c r="AQ25" s="28" t="s">
        <v>265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 t="s">
        <v>446</v>
      </c>
      <c r="AX25" s="28" t="s">
        <v>265</v>
      </c>
      <c r="AY25" s="28" t="s">
        <v>446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447</v>
      </c>
      <c r="B26" s="28" t="s">
        <v>265</v>
      </c>
      <c r="C26" s="28" t="s">
        <v>446</v>
      </c>
      <c r="D26" s="28" t="s">
        <v>265</v>
      </c>
      <c r="E26" s="28" t="s">
        <v>472</v>
      </c>
      <c r="F26" s="28" t="s">
        <v>265</v>
      </c>
      <c r="G26" s="28" t="s">
        <v>265</v>
      </c>
      <c r="H26" s="28" t="s">
        <v>265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446</v>
      </c>
      <c r="V26" s="28" t="s">
        <v>265</v>
      </c>
      <c r="W26" s="28" t="s">
        <v>446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446</v>
      </c>
      <c r="AD26" s="28" t="s">
        <v>265</v>
      </c>
      <c r="AE26" s="28">
        <v>3</v>
      </c>
      <c r="AF26" s="28">
        <v>11</v>
      </c>
      <c r="AG26" s="28">
        <v>274</v>
      </c>
      <c r="AH26" s="28" t="s">
        <v>265</v>
      </c>
      <c r="AI26" s="28" t="s">
        <v>446</v>
      </c>
      <c r="AJ26" s="28" t="s">
        <v>265</v>
      </c>
      <c r="AK26" s="28" t="s">
        <v>265</v>
      </c>
      <c r="AL26" s="28" t="s">
        <v>265</v>
      </c>
      <c r="AM26" s="28">
        <v>2.95</v>
      </c>
      <c r="AN26" s="28">
        <v>86</v>
      </c>
      <c r="AO26" s="28">
        <v>684</v>
      </c>
      <c r="AP26" s="28" t="s">
        <v>446</v>
      </c>
      <c r="AQ26" s="28" t="s">
        <v>265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 t="s">
        <v>446</v>
      </c>
      <c r="AX26" s="28" t="s">
        <v>265</v>
      </c>
      <c r="AY26" s="28" t="s">
        <v>446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447</v>
      </c>
      <c r="B27" s="28" t="s">
        <v>265</v>
      </c>
      <c r="C27" s="28" t="s">
        <v>446</v>
      </c>
      <c r="D27" s="28" t="s">
        <v>265</v>
      </c>
      <c r="E27" s="28" t="s">
        <v>473</v>
      </c>
      <c r="F27" s="28" t="s">
        <v>265</v>
      </c>
      <c r="G27" s="28" t="s">
        <v>265</v>
      </c>
      <c r="H27" s="28" t="s">
        <v>265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446</v>
      </c>
      <c r="V27" s="28" t="s">
        <v>265</v>
      </c>
      <c r="W27" s="28" t="s">
        <v>446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446</v>
      </c>
      <c r="AD27" s="28" t="s">
        <v>265</v>
      </c>
      <c r="AE27" s="28">
        <v>3</v>
      </c>
      <c r="AF27" s="28">
        <v>11</v>
      </c>
      <c r="AG27" s="28">
        <v>274</v>
      </c>
      <c r="AH27" s="28" t="s">
        <v>265</v>
      </c>
      <c r="AI27" s="28" t="s">
        <v>446</v>
      </c>
      <c r="AJ27" s="28" t="s">
        <v>265</v>
      </c>
      <c r="AK27" s="28" t="s">
        <v>265</v>
      </c>
      <c r="AL27" s="28" t="s">
        <v>265</v>
      </c>
      <c r="AM27" s="28">
        <v>2.52</v>
      </c>
      <c r="AN27" s="28">
        <v>73</v>
      </c>
      <c r="AO27" s="28">
        <v>585</v>
      </c>
      <c r="AP27" s="28" t="s">
        <v>446</v>
      </c>
      <c r="AQ27" s="28" t="s">
        <v>265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 t="s">
        <v>446</v>
      </c>
      <c r="AX27" s="28" t="s">
        <v>265</v>
      </c>
      <c r="AY27" s="28" t="s">
        <v>446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447</v>
      </c>
      <c r="B28" s="28" t="s">
        <v>265</v>
      </c>
      <c r="C28" s="28" t="s">
        <v>446</v>
      </c>
      <c r="D28" s="28" t="s">
        <v>265</v>
      </c>
      <c r="E28" s="28" t="s">
        <v>474</v>
      </c>
      <c r="F28" s="28" t="s">
        <v>265</v>
      </c>
      <c r="G28" s="28" t="s">
        <v>265</v>
      </c>
      <c r="H28" s="28" t="s">
        <v>265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446</v>
      </c>
      <c r="V28" s="28" t="s">
        <v>265</v>
      </c>
      <c r="W28" s="28" t="s">
        <v>446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446</v>
      </c>
      <c r="AD28" s="28" t="s">
        <v>265</v>
      </c>
      <c r="AE28" s="28">
        <v>3</v>
      </c>
      <c r="AF28" s="28">
        <v>11</v>
      </c>
      <c r="AG28" s="28">
        <v>274</v>
      </c>
      <c r="AH28" s="28" t="s">
        <v>265</v>
      </c>
      <c r="AI28" s="28" t="s">
        <v>446</v>
      </c>
      <c r="AJ28" s="28" t="s">
        <v>265</v>
      </c>
      <c r="AK28" s="28" t="s">
        <v>265</v>
      </c>
      <c r="AL28" s="28" t="s">
        <v>265</v>
      </c>
      <c r="AM28" s="28">
        <v>3.16</v>
      </c>
      <c r="AN28" s="28">
        <v>92</v>
      </c>
      <c r="AO28" s="28">
        <v>733</v>
      </c>
      <c r="AP28" s="28" t="s">
        <v>446</v>
      </c>
      <c r="AQ28" s="28" t="s">
        <v>265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 t="s">
        <v>446</v>
      </c>
      <c r="AX28" s="28" t="s">
        <v>265</v>
      </c>
      <c r="AY28" s="28" t="s">
        <v>446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447</v>
      </c>
      <c r="B29" s="28" t="s">
        <v>265</v>
      </c>
      <c r="C29" s="28" t="s">
        <v>446</v>
      </c>
      <c r="D29" s="28" t="s">
        <v>265</v>
      </c>
      <c r="E29" s="28" t="s">
        <v>475</v>
      </c>
      <c r="F29" s="28" t="s">
        <v>265</v>
      </c>
      <c r="G29" s="28" t="s">
        <v>265</v>
      </c>
      <c r="H29" s="28" t="s">
        <v>265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446</v>
      </c>
      <c r="V29" s="28" t="s">
        <v>265</v>
      </c>
      <c r="W29" s="28" t="s">
        <v>446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446</v>
      </c>
      <c r="AD29" s="28" t="s">
        <v>265</v>
      </c>
      <c r="AE29" s="28">
        <v>3</v>
      </c>
      <c r="AF29" s="28">
        <v>11</v>
      </c>
      <c r="AG29" s="28">
        <v>274</v>
      </c>
      <c r="AH29" s="28" t="s">
        <v>265</v>
      </c>
      <c r="AI29" s="28" t="s">
        <v>446</v>
      </c>
      <c r="AJ29" s="28" t="s">
        <v>265</v>
      </c>
      <c r="AK29" s="28" t="s">
        <v>265</v>
      </c>
      <c r="AL29" s="28" t="s">
        <v>265</v>
      </c>
      <c r="AM29" s="28">
        <v>3.16</v>
      </c>
      <c r="AN29" s="28">
        <v>92</v>
      </c>
      <c r="AO29" s="28">
        <v>733</v>
      </c>
      <c r="AP29" s="28" t="s">
        <v>446</v>
      </c>
      <c r="AQ29" s="28" t="s">
        <v>265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 t="s">
        <v>446</v>
      </c>
      <c r="AX29" s="28" t="s">
        <v>265</v>
      </c>
      <c r="AY29" s="28" t="s">
        <v>446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447</v>
      </c>
      <c r="B30" s="28" t="s">
        <v>265</v>
      </c>
      <c r="C30" s="28" t="s">
        <v>446</v>
      </c>
      <c r="D30" s="28" t="s">
        <v>265</v>
      </c>
      <c r="E30" s="28" t="s">
        <v>476</v>
      </c>
      <c r="F30" s="28" t="s">
        <v>265</v>
      </c>
      <c r="G30" s="28" t="s">
        <v>265</v>
      </c>
      <c r="H30" s="28" t="s">
        <v>265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446</v>
      </c>
      <c r="V30" s="28" t="s">
        <v>265</v>
      </c>
      <c r="W30" s="28" t="s">
        <v>446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446</v>
      </c>
      <c r="AD30" s="28" t="s">
        <v>265</v>
      </c>
      <c r="AE30" s="28">
        <v>3</v>
      </c>
      <c r="AF30" s="28">
        <v>11</v>
      </c>
      <c r="AG30" s="28">
        <v>274</v>
      </c>
      <c r="AH30" s="28" t="s">
        <v>265</v>
      </c>
      <c r="AI30" s="28" t="s">
        <v>446</v>
      </c>
      <c r="AJ30" s="28" t="s">
        <v>265</v>
      </c>
      <c r="AK30" s="28" t="s">
        <v>265</v>
      </c>
      <c r="AL30" s="28" t="s">
        <v>265</v>
      </c>
      <c r="AM30" s="28">
        <v>5.36</v>
      </c>
      <c r="AN30" s="28">
        <v>155</v>
      </c>
      <c r="AO30" s="42">
        <v>1244</v>
      </c>
      <c r="AP30" s="28" t="s">
        <v>446</v>
      </c>
      <c r="AQ30" s="28" t="s">
        <v>265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 t="s">
        <v>446</v>
      </c>
      <c r="AX30" s="28" t="s">
        <v>265</v>
      </c>
      <c r="AY30" s="28" t="s">
        <v>446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447</v>
      </c>
      <c r="B31" s="28" t="s">
        <v>265</v>
      </c>
      <c r="C31" s="28" t="s">
        <v>446</v>
      </c>
      <c r="D31" s="28" t="s">
        <v>265</v>
      </c>
      <c r="E31" s="28" t="s">
        <v>477</v>
      </c>
      <c r="F31" s="28" t="s">
        <v>265</v>
      </c>
      <c r="G31" s="28" t="s">
        <v>265</v>
      </c>
      <c r="H31" s="28" t="s">
        <v>265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446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446</v>
      </c>
      <c r="AB31" s="28" t="s">
        <v>265</v>
      </c>
      <c r="AC31" s="28" t="s">
        <v>446</v>
      </c>
      <c r="AD31" s="28" t="s">
        <v>265</v>
      </c>
      <c r="AE31" s="28">
        <v>3</v>
      </c>
      <c r="AF31" s="28">
        <v>11</v>
      </c>
      <c r="AG31" s="28">
        <v>274</v>
      </c>
      <c r="AH31" s="28" t="s">
        <v>265</v>
      </c>
      <c r="AI31" s="28" t="s">
        <v>446</v>
      </c>
      <c r="AJ31" s="28" t="s">
        <v>265</v>
      </c>
      <c r="AK31" s="28" t="s">
        <v>265</v>
      </c>
      <c r="AL31" s="28" t="s">
        <v>265</v>
      </c>
      <c r="AM31" s="28">
        <v>6.39</v>
      </c>
      <c r="AN31" s="28">
        <v>185</v>
      </c>
      <c r="AO31" s="42">
        <v>1482</v>
      </c>
      <c r="AP31" s="28" t="s">
        <v>446</v>
      </c>
      <c r="AQ31" s="28" t="s">
        <v>265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 t="s">
        <v>446</v>
      </c>
      <c r="AX31" s="28" t="s">
        <v>265</v>
      </c>
      <c r="AY31" s="28" t="s">
        <v>446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447</v>
      </c>
      <c r="B32" s="28" t="s">
        <v>265</v>
      </c>
      <c r="C32" s="28" t="s">
        <v>446</v>
      </c>
      <c r="D32" s="28" t="s">
        <v>265</v>
      </c>
      <c r="E32" s="28" t="s">
        <v>478</v>
      </c>
      <c r="F32" s="28" t="s">
        <v>265</v>
      </c>
      <c r="G32" s="28" t="s">
        <v>265</v>
      </c>
      <c r="H32" s="28" t="s">
        <v>265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446</v>
      </c>
      <c r="V32" s="28" t="s">
        <v>265</v>
      </c>
      <c r="W32" s="28" t="s">
        <v>446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446</v>
      </c>
      <c r="AD32" s="28" t="s">
        <v>265</v>
      </c>
      <c r="AE32" s="28">
        <v>3</v>
      </c>
      <c r="AF32" s="28">
        <v>11</v>
      </c>
      <c r="AG32" s="28">
        <v>274</v>
      </c>
      <c r="AH32" s="28" t="s">
        <v>265</v>
      </c>
      <c r="AI32" s="28" t="s">
        <v>446</v>
      </c>
      <c r="AJ32" s="28" t="s">
        <v>265</v>
      </c>
      <c r="AK32" s="28" t="s">
        <v>265</v>
      </c>
      <c r="AL32" s="28" t="s">
        <v>265</v>
      </c>
      <c r="AM32" s="28">
        <v>4.67</v>
      </c>
      <c r="AN32" s="28">
        <v>135</v>
      </c>
      <c r="AO32" s="42">
        <v>1083</v>
      </c>
      <c r="AP32" s="28" t="s">
        <v>446</v>
      </c>
      <c r="AQ32" s="28" t="s">
        <v>265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 t="s">
        <v>446</v>
      </c>
      <c r="AX32" s="28" t="s">
        <v>265</v>
      </c>
      <c r="AY32" s="28" t="s">
        <v>446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447</v>
      </c>
      <c r="B33" s="28" t="s">
        <v>265</v>
      </c>
      <c r="C33" s="28" t="s">
        <v>446</v>
      </c>
      <c r="D33" s="28" t="s">
        <v>265</v>
      </c>
      <c r="E33" s="28" t="s">
        <v>479</v>
      </c>
      <c r="F33" s="28" t="s">
        <v>265</v>
      </c>
      <c r="G33" s="28" t="s">
        <v>265</v>
      </c>
      <c r="H33" s="28" t="s">
        <v>265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446</v>
      </c>
      <c r="V33" s="28" t="s">
        <v>265</v>
      </c>
      <c r="W33" s="28" t="s">
        <v>446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446</v>
      </c>
      <c r="AD33" s="28" t="s">
        <v>265</v>
      </c>
      <c r="AE33" s="28">
        <v>3</v>
      </c>
      <c r="AF33" s="28">
        <v>11</v>
      </c>
      <c r="AG33" s="28">
        <v>274</v>
      </c>
      <c r="AH33" s="28" t="s">
        <v>265</v>
      </c>
      <c r="AI33" s="28" t="s">
        <v>446</v>
      </c>
      <c r="AJ33" s="28" t="s">
        <v>265</v>
      </c>
      <c r="AK33" s="28" t="s">
        <v>265</v>
      </c>
      <c r="AL33" s="28" t="s">
        <v>265</v>
      </c>
      <c r="AM33" s="28">
        <v>4.45</v>
      </c>
      <c r="AN33" s="28">
        <v>129</v>
      </c>
      <c r="AO33" s="42">
        <v>1032</v>
      </c>
      <c r="AP33" s="28" t="s">
        <v>446</v>
      </c>
      <c r="AQ33" s="28" t="s">
        <v>265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 t="s">
        <v>446</v>
      </c>
      <c r="AX33" s="28" t="s">
        <v>265</v>
      </c>
      <c r="AY33" s="28" t="s">
        <v>446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447</v>
      </c>
      <c r="B34" s="28" t="s">
        <v>265</v>
      </c>
      <c r="C34" s="28" t="s">
        <v>446</v>
      </c>
      <c r="D34" s="28" t="s">
        <v>265</v>
      </c>
      <c r="E34" s="28" t="s">
        <v>480</v>
      </c>
      <c r="F34" s="28" t="s">
        <v>265</v>
      </c>
      <c r="G34" s="28" t="s">
        <v>265</v>
      </c>
      <c r="H34" s="28" t="s">
        <v>265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446</v>
      </c>
      <c r="V34" s="28" t="s">
        <v>265</v>
      </c>
      <c r="W34" s="28" t="s">
        <v>446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446</v>
      </c>
      <c r="AD34" s="28" t="s">
        <v>265</v>
      </c>
      <c r="AE34" s="28">
        <v>3</v>
      </c>
      <c r="AF34" s="28">
        <v>11</v>
      </c>
      <c r="AG34" s="28">
        <v>274</v>
      </c>
      <c r="AH34" s="28" t="s">
        <v>265</v>
      </c>
      <c r="AI34" s="28" t="s">
        <v>446</v>
      </c>
      <c r="AJ34" s="28" t="s">
        <v>265</v>
      </c>
      <c r="AK34" s="28" t="s">
        <v>265</v>
      </c>
      <c r="AL34" s="28" t="s">
        <v>265</v>
      </c>
      <c r="AM34" s="28">
        <v>2.52</v>
      </c>
      <c r="AN34" s="28">
        <v>73</v>
      </c>
      <c r="AO34" s="28">
        <v>585</v>
      </c>
      <c r="AP34" s="28" t="s">
        <v>446</v>
      </c>
      <c r="AQ34" s="28" t="s">
        <v>265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 t="s">
        <v>446</v>
      </c>
      <c r="AX34" s="28" t="s">
        <v>265</v>
      </c>
      <c r="AY34" s="28" t="s">
        <v>446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447</v>
      </c>
      <c r="B35" s="28" t="s">
        <v>265</v>
      </c>
      <c r="C35" s="28" t="s">
        <v>446</v>
      </c>
      <c r="D35" s="28" t="s">
        <v>265</v>
      </c>
      <c r="E35" s="28" t="s">
        <v>481</v>
      </c>
      <c r="F35" s="28" t="s">
        <v>265</v>
      </c>
      <c r="G35" s="28" t="s">
        <v>265</v>
      </c>
      <c r="H35" s="28" t="s">
        <v>265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446</v>
      </c>
      <c r="V35" s="28" t="s">
        <v>265</v>
      </c>
      <c r="W35" s="28" t="s">
        <v>446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446</v>
      </c>
      <c r="AD35" s="28" t="s">
        <v>265</v>
      </c>
      <c r="AE35" s="28">
        <v>3</v>
      </c>
      <c r="AF35" s="28">
        <v>11</v>
      </c>
      <c r="AG35" s="28">
        <v>274</v>
      </c>
      <c r="AH35" s="28" t="s">
        <v>265</v>
      </c>
      <c r="AI35" s="28" t="s">
        <v>446</v>
      </c>
      <c r="AJ35" s="28" t="s">
        <v>265</v>
      </c>
      <c r="AK35" s="28" t="s">
        <v>265</v>
      </c>
      <c r="AL35" s="28" t="s">
        <v>265</v>
      </c>
      <c r="AM35" s="28">
        <v>5.0999999999999996</v>
      </c>
      <c r="AN35" s="28">
        <v>148</v>
      </c>
      <c r="AO35" s="42">
        <v>1183</v>
      </c>
      <c r="AP35" s="28" t="s">
        <v>446</v>
      </c>
      <c r="AQ35" s="28" t="s">
        <v>265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 t="s">
        <v>446</v>
      </c>
      <c r="AX35" s="28" t="s">
        <v>265</v>
      </c>
      <c r="AY35" s="28" t="s">
        <v>446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447</v>
      </c>
      <c r="B36" s="28" t="s">
        <v>265</v>
      </c>
      <c r="C36" s="28" t="s">
        <v>446</v>
      </c>
      <c r="D36" s="28" t="s">
        <v>265</v>
      </c>
      <c r="E36" s="28" t="s">
        <v>482</v>
      </c>
      <c r="F36" s="28" t="s">
        <v>265</v>
      </c>
      <c r="G36" s="28" t="s">
        <v>265</v>
      </c>
      <c r="H36" s="28" t="s">
        <v>265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446</v>
      </c>
      <c r="V36" s="28" t="s">
        <v>446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446</v>
      </c>
      <c r="AD36" s="28" t="s">
        <v>265</v>
      </c>
      <c r="AE36" s="28">
        <v>3</v>
      </c>
      <c r="AF36" s="28">
        <v>11</v>
      </c>
      <c r="AG36" s="28">
        <v>274</v>
      </c>
      <c r="AH36" s="28" t="s">
        <v>265</v>
      </c>
      <c r="AI36" s="28" t="s">
        <v>446</v>
      </c>
      <c r="AJ36" s="28" t="s">
        <v>265</v>
      </c>
      <c r="AK36" s="28" t="s">
        <v>265</v>
      </c>
      <c r="AL36" s="28" t="s">
        <v>265</v>
      </c>
      <c r="AM36" s="28">
        <v>7.87</v>
      </c>
      <c r="AN36" s="28">
        <v>228</v>
      </c>
      <c r="AO36" s="42">
        <v>1826</v>
      </c>
      <c r="AP36" s="28" t="s">
        <v>446</v>
      </c>
      <c r="AQ36" s="28" t="s">
        <v>265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 t="s">
        <v>446</v>
      </c>
      <c r="AX36" s="28" t="s">
        <v>265</v>
      </c>
      <c r="AY36" s="28" t="s">
        <v>446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447</v>
      </c>
      <c r="B37" s="28" t="s">
        <v>265</v>
      </c>
      <c r="C37" s="28" t="s">
        <v>446</v>
      </c>
      <c r="D37" s="28" t="s">
        <v>265</v>
      </c>
      <c r="E37" s="28" t="s">
        <v>483</v>
      </c>
      <c r="F37" s="28" t="s">
        <v>265</v>
      </c>
      <c r="G37" s="28" t="s">
        <v>265</v>
      </c>
      <c r="H37" s="28" t="s">
        <v>265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446</v>
      </c>
      <c r="V37" s="28" t="s">
        <v>265</v>
      </c>
      <c r="W37" s="28" t="s">
        <v>446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446</v>
      </c>
      <c r="AD37" s="28" t="s">
        <v>265</v>
      </c>
      <c r="AE37" s="28">
        <v>3</v>
      </c>
      <c r="AF37" s="28">
        <v>11</v>
      </c>
      <c r="AG37" s="28">
        <v>274</v>
      </c>
      <c r="AH37" s="28" t="s">
        <v>265</v>
      </c>
      <c r="AI37" s="28" t="s">
        <v>446</v>
      </c>
      <c r="AJ37" s="28" t="s">
        <v>265</v>
      </c>
      <c r="AK37" s="28" t="s">
        <v>265</v>
      </c>
      <c r="AL37" s="28" t="s">
        <v>265</v>
      </c>
      <c r="AM37" s="28">
        <v>4.24</v>
      </c>
      <c r="AN37" s="28">
        <v>123</v>
      </c>
      <c r="AO37" s="28">
        <v>984</v>
      </c>
      <c r="AP37" s="28" t="s">
        <v>446</v>
      </c>
      <c r="AQ37" s="28" t="s">
        <v>265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 t="s">
        <v>446</v>
      </c>
      <c r="AX37" s="28" t="s">
        <v>265</v>
      </c>
      <c r="AY37" s="28" t="s">
        <v>446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447</v>
      </c>
      <c r="B38" s="28" t="s">
        <v>265</v>
      </c>
      <c r="C38" s="28" t="s">
        <v>446</v>
      </c>
      <c r="D38" s="28" t="s">
        <v>265</v>
      </c>
      <c r="E38" s="28" t="s">
        <v>484</v>
      </c>
      <c r="F38" s="28" t="s">
        <v>265</v>
      </c>
      <c r="G38" s="28" t="s">
        <v>265</v>
      </c>
      <c r="H38" s="28" t="s">
        <v>265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446</v>
      </c>
      <c r="V38" s="28" t="s">
        <v>265</v>
      </c>
      <c r="W38" s="28" t="s">
        <v>446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446</v>
      </c>
      <c r="AD38" s="28" t="s">
        <v>265</v>
      </c>
      <c r="AE38" s="28">
        <v>3</v>
      </c>
      <c r="AF38" s="28">
        <v>11</v>
      </c>
      <c r="AG38" s="28">
        <v>274</v>
      </c>
      <c r="AH38" s="28" t="s">
        <v>265</v>
      </c>
      <c r="AI38" s="28" t="s">
        <v>446</v>
      </c>
      <c r="AJ38" s="28" t="s">
        <v>265</v>
      </c>
      <c r="AK38" s="28" t="s">
        <v>265</v>
      </c>
      <c r="AL38" s="28" t="s">
        <v>265</v>
      </c>
      <c r="AM38" s="28">
        <v>2.52</v>
      </c>
      <c r="AN38" s="28">
        <v>73</v>
      </c>
      <c r="AO38" s="28">
        <v>585</v>
      </c>
      <c r="AP38" s="28" t="s">
        <v>446</v>
      </c>
      <c r="AQ38" s="28" t="s">
        <v>265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 t="s">
        <v>446</v>
      </c>
      <c r="AX38" s="28" t="s">
        <v>265</v>
      </c>
      <c r="AY38" s="28" t="s">
        <v>446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447</v>
      </c>
      <c r="B39" s="28" t="s">
        <v>265</v>
      </c>
      <c r="C39" s="28" t="s">
        <v>446</v>
      </c>
      <c r="D39" s="28" t="s">
        <v>265</v>
      </c>
      <c r="E39" s="28" t="s">
        <v>485</v>
      </c>
      <c r="F39" s="28" t="s">
        <v>265</v>
      </c>
      <c r="G39" s="28" t="s">
        <v>265</v>
      </c>
      <c r="H39" s="28" t="s">
        <v>265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446</v>
      </c>
      <c r="V39" s="28" t="s">
        <v>265</v>
      </c>
      <c r="W39" s="28" t="s">
        <v>446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446</v>
      </c>
      <c r="AD39" s="28" t="s">
        <v>265</v>
      </c>
      <c r="AE39" s="28">
        <v>3</v>
      </c>
      <c r="AF39" s="28">
        <v>11</v>
      </c>
      <c r="AG39" s="28">
        <v>274</v>
      </c>
      <c r="AH39" s="28" t="s">
        <v>265</v>
      </c>
      <c r="AI39" s="28" t="s">
        <v>446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585</v>
      </c>
      <c r="AP39" s="28" t="s">
        <v>446</v>
      </c>
      <c r="AQ39" s="28" t="s">
        <v>265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 t="s">
        <v>446</v>
      </c>
      <c r="AX39" s="28" t="s">
        <v>265</v>
      </c>
      <c r="AY39" s="28" t="s">
        <v>446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447</v>
      </c>
      <c r="B40" s="28" t="s">
        <v>265</v>
      </c>
      <c r="C40" s="28" t="s">
        <v>446</v>
      </c>
      <c r="D40" s="28" t="s">
        <v>265</v>
      </c>
      <c r="E40" s="28" t="s">
        <v>486</v>
      </c>
      <c r="F40" s="28" t="s">
        <v>265</v>
      </c>
      <c r="G40" s="28" t="s">
        <v>265</v>
      </c>
      <c r="H40" s="28" t="s">
        <v>265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446</v>
      </c>
      <c r="V40" s="28" t="s">
        <v>265</v>
      </c>
      <c r="W40" s="28" t="s">
        <v>446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446</v>
      </c>
      <c r="AD40" s="28" t="s">
        <v>265</v>
      </c>
      <c r="AE40" s="28">
        <v>3</v>
      </c>
      <c r="AF40" s="28">
        <v>11</v>
      </c>
      <c r="AG40" s="28">
        <v>274</v>
      </c>
      <c r="AH40" s="28" t="s">
        <v>265</v>
      </c>
      <c r="AI40" s="28" t="s">
        <v>446</v>
      </c>
      <c r="AJ40" s="28" t="s">
        <v>265</v>
      </c>
      <c r="AK40" s="28" t="s">
        <v>265</v>
      </c>
      <c r="AL40" s="28" t="s">
        <v>265</v>
      </c>
      <c r="AM40" s="28">
        <v>2.95</v>
      </c>
      <c r="AN40" s="28">
        <v>86</v>
      </c>
      <c r="AO40" s="28">
        <v>684</v>
      </c>
      <c r="AP40" s="28" t="s">
        <v>446</v>
      </c>
      <c r="AQ40" s="28" t="s">
        <v>265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 t="s">
        <v>446</v>
      </c>
      <c r="AX40" s="28" t="s">
        <v>265</v>
      </c>
      <c r="AY40" s="28" t="s">
        <v>446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447</v>
      </c>
      <c r="B41" s="28" t="s">
        <v>265</v>
      </c>
      <c r="C41" s="28" t="s">
        <v>446</v>
      </c>
      <c r="D41" s="28" t="s">
        <v>265</v>
      </c>
      <c r="E41" s="28" t="s">
        <v>487</v>
      </c>
      <c r="F41" s="28" t="s">
        <v>265</v>
      </c>
      <c r="G41" s="28" t="s">
        <v>265</v>
      </c>
      <c r="H41" s="28" t="s">
        <v>265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446</v>
      </c>
      <c r="V41" s="28" t="s">
        <v>265</v>
      </c>
      <c r="W41" s="28" t="s">
        <v>446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446</v>
      </c>
      <c r="AD41" s="28" t="s">
        <v>265</v>
      </c>
      <c r="AE41" s="28">
        <v>3</v>
      </c>
      <c r="AF41" s="28">
        <v>11</v>
      </c>
      <c r="AG41" s="28">
        <v>274</v>
      </c>
      <c r="AH41" s="28" t="s">
        <v>265</v>
      </c>
      <c r="AI41" s="28" t="s">
        <v>446</v>
      </c>
      <c r="AJ41" s="28" t="s">
        <v>265</v>
      </c>
      <c r="AK41" s="28" t="s">
        <v>265</v>
      </c>
      <c r="AL41" s="28" t="s">
        <v>265</v>
      </c>
      <c r="AM41" s="28">
        <v>2.95</v>
      </c>
      <c r="AN41" s="28">
        <v>86</v>
      </c>
      <c r="AO41" s="28">
        <v>684</v>
      </c>
      <c r="AP41" s="28" t="s">
        <v>446</v>
      </c>
      <c r="AQ41" s="28" t="s">
        <v>265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 t="s">
        <v>446</v>
      </c>
      <c r="AX41" s="28" t="s">
        <v>265</v>
      </c>
      <c r="AY41" s="28" t="s">
        <v>446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447</v>
      </c>
      <c r="B42" s="28" t="s">
        <v>265</v>
      </c>
      <c r="C42" s="28" t="s">
        <v>446</v>
      </c>
      <c r="D42" s="28" t="s">
        <v>265</v>
      </c>
      <c r="E42" s="28" t="s">
        <v>488</v>
      </c>
      <c r="F42" s="28" t="s">
        <v>265</v>
      </c>
      <c r="G42" s="28" t="s">
        <v>265</v>
      </c>
      <c r="H42" s="28" t="s">
        <v>265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446</v>
      </c>
      <c r="V42" s="28" t="s">
        <v>446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446</v>
      </c>
      <c r="AD42" s="28" t="s">
        <v>265</v>
      </c>
      <c r="AE42" s="28">
        <v>3</v>
      </c>
      <c r="AF42" s="28">
        <v>11</v>
      </c>
      <c r="AG42" s="28">
        <v>274</v>
      </c>
      <c r="AH42" s="28" t="s">
        <v>265</v>
      </c>
      <c r="AI42" s="28" t="s">
        <v>446</v>
      </c>
      <c r="AJ42" s="28" t="s">
        <v>265</v>
      </c>
      <c r="AK42" s="28" t="s">
        <v>265</v>
      </c>
      <c r="AL42" s="28" t="s">
        <v>265</v>
      </c>
      <c r="AM42" s="28">
        <v>7.94</v>
      </c>
      <c r="AN42" s="28">
        <v>230</v>
      </c>
      <c r="AO42" s="42">
        <v>1842</v>
      </c>
      <c r="AP42" s="28" t="s">
        <v>446</v>
      </c>
      <c r="AQ42" s="28" t="s">
        <v>265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 t="s">
        <v>446</v>
      </c>
      <c r="AX42" s="28" t="s">
        <v>265</v>
      </c>
      <c r="AY42" s="28" t="s">
        <v>446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447</v>
      </c>
      <c r="B43" s="28" t="s">
        <v>265</v>
      </c>
      <c r="C43" s="28" t="s">
        <v>446</v>
      </c>
      <c r="D43" s="28" t="s">
        <v>265</v>
      </c>
      <c r="E43" s="28" t="s">
        <v>489</v>
      </c>
      <c r="F43" s="28" t="s">
        <v>265</v>
      </c>
      <c r="G43" s="28" t="s">
        <v>265</v>
      </c>
      <c r="H43" s="28" t="s">
        <v>265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446</v>
      </c>
      <c r="V43" s="28" t="s">
        <v>265</v>
      </c>
      <c r="W43" s="28" t="s">
        <v>446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446</v>
      </c>
      <c r="AD43" s="28" t="s">
        <v>265</v>
      </c>
      <c r="AE43" s="28">
        <v>3</v>
      </c>
      <c r="AF43" s="28">
        <v>11</v>
      </c>
      <c r="AG43" s="28">
        <v>274</v>
      </c>
      <c r="AH43" s="28" t="s">
        <v>265</v>
      </c>
      <c r="AI43" s="28" t="s">
        <v>446</v>
      </c>
      <c r="AJ43" s="28" t="s">
        <v>265</v>
      </c>
      <c r="AK43" s="28" t="s">
        <v>265</v>
      </c>
      <c r="AL43" s="28" t="s">
        <v>265</v>
      </c>
      <c r="AM43" s="28">
        <v>2.52</v>
      </c>
      <c r="AN43" s="28">
        <v>73</v>
      </c>
      <c r="AO43" s="28">
        <v>585</v>
      </c>
      <c r="AP43" s="28" t="s">
        <v>446</v>
      </c>
      <c r="AQ43" s="28" t="s">
        <v>265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 t="s">
        <v>446</v>
      </c>
      <c r="AX43" s="28" t="s">
        <v>265</v>
      </c>
      <c r="AY43" s="28" t="s">
        <v>446</v>
      </c>
      <c r="AZ43" s="28" t="s">
        <v>265</v>
      </c>
      <c r="BA43" s="28" t="s">
        <v>265</v>
      </c>
      <c r="BB43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2024-02-15T12:51:15Z</dcterms:modified>
</cp:coreProperties>
</file>