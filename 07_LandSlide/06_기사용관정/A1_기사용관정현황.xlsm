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8AEF00F2-443A-446B-93E5-BE00827608D8}" xr6:coauthVersionLast="47" xr6:coauthVersionMax="47" xr10:uidLastSave="{00000000-0000-0000-0000-000000000000}"/>
  <bookViews>
    <workbookView xWindow="14175" yWindow="4350" windowWidth="30225" windowHeight="20790" firstSheet="2" activeTab="3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</definedNames>
  <calcPr calcId="191029"/>
</workbook>
</file>

<file path=xl/calcChain.xml><?xml version="1.0" encoding="utf-8"?>
<calcChain xmlns="http://schemas.openxmlformats.org/spreadsheetml/2006/main">
  <c r="M14" i="8" l="1"/>
  <c r="M13" i="8"/>
  <c r="M12" i="8"/>
  <c r="M41" i="10"/>
  <c r="M40" i="10"/>
  <c r="M3" i="11"/>
  <c r="M39" i="10"/>
  <c r="M11" i="8"/>
  <c r="M10" i="8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9" i="8"/>
  <c r="M8" i="8"/>
  <c r="M25" i="10"/>
  <c r="M24" i="10"/>
  <c r="M23" i="10"/>
  <c r="M22" i="10"/>
  <c r="M21" i="10"/>
  <c r="M20" i="10"/>
  <c r="M19" i="10"/>
  <c r="M13" i="10"/>
  <c r="M14" i="10"/>
  <c r="M15" i="10"/>
  <c r="M16" i="10"/>
  <c r="M17" i="10"/>
  <c r="M18" i="10"/>
  <c r="M12" i="10"/>
  <c r="M11" i="10"/>
  <c r="M10" i="10"/>
  <c r="M9" i="10"/>
  <c r="M8" i="10"/>
  <c r="M7" i="10"/>
  <c r="M5" i="10"/>
  <c r="M6" i="10"/>
  <c r="M7" i="8" l="1"/>
  <c r="F20" i="8"/>
  <c r="E20" i="8" s="1"/>
  <c r="F19" i="8"/>
  <c r="E19" i="8" s="1"/>
  <c r="M3" i="8"/>
  <c r="M4" i="8"/>
  <c r="M5" i="8"/>
  <c r="M6" i="8"/>
  <c r="M2" i="8"/>
  <c r="J9" i="12"/>
  <c r="M3" i="10"/>
  <c r="M4" i="10"/>
  <c r="M2" i="10"/>
  <c r="D10" i="11" l="1"/>
  <c r="C10" i="11"/>
  <c r="D9" i="11"/>
  <c r="L6" i="11"/>
  <c r="C9" i="11" s="1"/>
  <c r="M2" i="11"/>
  <c r="C46" i="10"/>
  <c r="C45" i="10"/>
  <c r="J20" i="8" l="1"/>
  <c r="I20" i="8" s="1"/>
  <c r="J19" i="8"/>
  <c r="I19" i="8" s="1"/>
  <c r="D46" i="10"/>
  <c r="D11" i="11"/>
  <c r="D45" i="10"/>
  <c r="L44" i="10"/>
  <c r="L17" i="8"/>
  <c r="H20" i="8" l="1"/>
  <c r="H19" i="8"/>
  <c r="L19" i="8"/>
  <c r="D47" i="10"/>
  <c r="D20" i="8" l="1"/>
  <c r="G20" i="8"/>
  <c r="C20" i="8" s="1"/>
  <c r="D19" i="8"/>
  <c r="L21" i="8" s="1"/>
  <c r="G19" i="8"/>
  <c r="C19" i="8" s="1"/>
  <c r="L22" i="8" s="1"/>
</calcChain>
</file>

<file path=xl/sharedStrings.xml><?xml version="1.0" encoding="utf-8"?>
<sst xmlns="http://schemas.openxmlformats.org/spreadsheetml/2006/main" count="3280" uniqueCount="489">
  <si>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</si>
  <si>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</si>
  <si>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</si>
  <si>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</si>
  <si>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</si>
  <si>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</si>
  <si>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</si>
  <si>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</si>
  <si>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</si>
  <si>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</si>
  <si>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</si>
  <si>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</si>
  <si>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</si>
  <si>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</si>
  <si>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</si>
  <si>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</si>
  <si>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</si>
  <si>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</si>
  <si>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</si>
  <si>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</si>
  <si>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</si>
  <si>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</si>
  <si>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</si>
  <si>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</si>
  <si>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</si>
  <si>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</si>
  <si>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</si>
  <si>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</si>
  <si>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</si>
  <si>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</si>
  <si>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</si>
  <si>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</si>
  <si>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</si>
  <si>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</si>
  <si>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</si>
  <si>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</si>
  <si>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</si>
  <si>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허가공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</si>
  <si>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</si>
  <si>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</si>
  <si>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</si>
  <si>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</si>
  <si>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</si>
  <si>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</si>
  <si>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</si>
  <si>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</si>
  <si>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</si>
  <si>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</si>
  <si>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</si>
  <si>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</si>
  <si>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</si>
  <si>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</si>
  <si>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</si>
  <si>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</si>
  <si>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</si>
  <si>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</si>
  <si>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</si>
  <si>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</si>
  <si>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</si>
  <si>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</si>
  <si>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</si>
  <si>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</si>
  <si>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</si>
  <si>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</si>
  <si>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</si>
  <si>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</si>
  <si>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</si>
  <si>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</si>
  <si>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</si>
  <si>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</si>
  <si>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</si>
  <si>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</si>
  <si>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</si>
  <si>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</si>
  <si>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</si>
  <si>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</si>
  <si>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</si>
  <si>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</si>
  <si>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</si>
  <si>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</si>
  <si>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</si>
  <si>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</si>
  <si>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</si>
  <si>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</si>
  <si>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</si>
  <si>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</si>
  <si>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</si>
  <si>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</si>
  <si>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</si>
  <si>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</si>
  <si>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</si>
  <si>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</si>
  <si>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</si>
  <si>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</si>
  <si>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</si>
  <si>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</si>
  <si>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</si>
  <si>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</si>
  <si>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</si>
  <si>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</si>
  <si>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</si>
  <si>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</si>
  <si>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</si>
  <si>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</si>
  <si>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</si>
  <si>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</si>
  <si>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</si>
  <si>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</si>
  <si>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</si>
  <si>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</si>
  <si>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</si>
  <si>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</si>
  <si>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</si>
  <si>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</si>
  <si>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</si>
  <si>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</si>
  <si>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</si>
  <si>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</si>
  <si>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</si>
  <si>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</si>
  <si>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</si>
  <si>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</si>
  <si>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</si>
  <si>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</si>
  <si>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</si>
  <si>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</si>
  <si>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</si>
  <si>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</si>
  <si>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</si>
  <si>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</si>
  <si>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</si>
  <si>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</si>
  <si>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</si>
  <si>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</si>
  <si>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</si>
  <si>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</si>
  <si>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</si>
  <si>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</si>
  <si>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</si>
  <si>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</si>
  <si>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</si>
  <si>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</si>
  <si>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</si>
  <si>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</si>
  <si>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</si>
  <si>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</si>
  <si>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</si>
  <si>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</si>
  <si>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</si>
  <si>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</si>
  <si>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</si>
  <si>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</si>
  <si>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</si>
  <si>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</si>
  <si>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</si>
  <si>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</si>
  <si>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</si>
  <si>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</si>
  <si>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</si>
  <si>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</si>
  <si>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</si>
  <si>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</si>
  <si>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</si>
  <si>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</si>
  <si>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</si>
  <si>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</si>
  <si>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</si>
  <si>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</si>
  <si>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</si>
  <si>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</si>
  <si>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</si>
  <si>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</si>
  <si>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</si>
  <si>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</si>
  <si>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</si>
  <si>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</si>
  <si>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</si>
  <si>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</si>
  <si>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</si>
  <si>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</si>
  <si>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</si>
  <si>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</si>
  <si>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</si>
  <si>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</si>
  <si>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</si>
  <si>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</si>
  <si>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</si>
  <si>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</si>
  <si>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</si>
  <si>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</si>
  <si>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</si>
  <si>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</si>
  <si>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</si>
  <si>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</si>
  <si>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</si>
  <si>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date</t>
    <phoneticPr fontId="19" type="noConversion"/>
  </si>
  <si>
    <t>a3</t>
    <phoneticPr fontId="19" type="noConversion"/>
  </si>
  <si>
    <t>address</t>
    <phoneticPr fontId="19" type="noConversion"/>
  </si>
  <si>
    <t>b1</t>
    <phoneticPr fontId="19" type="noConversion"/>
  </si>
  <si>
    <t>b2</t>
    <phoneticPr fontId="19" type="noConversion"/>
  </si>
  <si>
    <t>b3</t>
    <phoneticPr fontId="19" type="noConversion"/>
  </si>
  <si>
    <t>b4</t>
    <phoneticPr fontId="19" type="noConversion"/>
  </si>
  <si>
    <t>b5</t>
    <phoneticPr fontId="19" type="noConversion"/>
  </si>
  <si>
    <t>b6</t>
    <phoneticPr fontId="19" type="noConversion"/>
  </si>
  <si>
    <t>b7</t>
    <phoneticPr fontId="19" type="noConversion"/>
  </si>
  <si>
    <t>b8</t>
    <phoneticPr fontId="19" type="noConversion"/>
  </si>
  <si>
    <t>b9</t>
    <phoneticPr fontId="19" type="noConversion"/>
  </si>
  <si>
    <t>c1</t>
    <phoneticPr fontId="19" type="noConversion"/>
  </si>
  <si>
    <t>c2</t>
    <phoneticPr fontId="19" type="noConversion"/>
  </si>
  <si>
    <t>c3</t>
    <phoneticPr fontId="19" type="noConversion"/>
  </si>
  <si>
    <t>c4</t>
    <phoneticPr fontId="19" type="noConversion"/>
  </si>
  <si>
    <t>c5</t>
    <phoneticPr fontId="19" type="noConversion"/>
  </si>
  <si>
    <t>c6</t>
    <phoneticPr fontId="19" type="noConversion"/>
  </si>
  <si>
    <t>d1</t>
    <phoneticPr fontId="19" type="noConversion"/>
  </si>
  <si>
    <t>d2</t>
    <phoneticPr fontId="19" type="noConversion"/>
  </si>
  <si>
    <t>d3</t>
    <phoneticPr fontId="19" type="noConversion"/>
  </si>
  <si>
    <t>d4</t>
    <phoneticPr fontId="19" type="noConversion"/>
  </si>
  <si>
    <t>d5</t>
    <phoneticPr fontId="19" type="noConversion"/>
  </si>
  <si>
    <t>d6</t>
    <phoneticPr fontId="19" type="noConversion"/>
  </si>
  <si>
    <t>d7</t>
    <phoneticPr fontId="19" type="noConversion"/>
  </si>
  <si>
    <t>e1</t>
    <phoneticPr fontId="19" type="noConversion"/>
  </si>
  <si>
    <t>e2</t>
    <phoneticPr fontId="19" type="noConversion"/>
  </si>
  <si>
    <t>e3</t>
    <phoneticPr fontId="19" type="noConversion"/>
  </si>
  <si>
    <t>e4</t>
    <phoneticPr fontId="19" type="noConversion"/>
  </si>
  <si>
    <t>e5</t>
    <phoneticPr fontId="19" type="noConversion"/>
  </si>
  <si>
    <t>f1</t>
    <phoneticPr fontId="19" type="noConversion"/>
  </si>
  <si>
    <t>f2</t>
    <phoneticPr fontId="19" type="noConversion"/>
  </si>
  <si>
    <t>f3</t>
    <phoneticPr fontId="19" type="noConversion"/>
  </si>
  <si>
    <t>f4</t>
    <phoneticPr fontId="19" type="noConversion"/>
  </si>
  <si>
    <t>f5</t>
    <phoneticPr fontId="19" type="noConversion"/>
  </si>
  <si>
    <t>g1</t>
    <phoneticPr fontId="19" type="noConversion"/>
  </si>
  <si>
    <t>g2</t>
    <phoneticPr fontId="19" type="noConversion"/>
  </si>
  <si>
    <t>g3</t>
    <phoneticPr fontId="19" type="noConversion"/>
  </si>
  <si>
    <t>h1</t>
    <phoneticPr fontId="19" type="noConversion"/>
  </si>
  <si>
    <t>h2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</si>
  <si>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</si>
  <si>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</si>
  <si>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</si>
  <si>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</si>
  <si>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j1</t>
    <phoneticPr fontId="19" type="noConversion"/>
  </si>
  <si>
    <t>j2</t>
    <phoneticPr fontId="19" type="noConversion"/>
  </si>
  <si>
    <t>j3</t>
    <phoneticPr fontId="19" type="noConversion"/>
  </si>
  <si>
    <t>j4</t>
    <phoneticPr fontId="19" type="noConversion"/>
  </si>
  <si>
    <t>j5</t>
    <phoneticPr fontId="19" type="noConversion"/>
  </si>
  <si>
    <t>j6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</si>
  <si>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</si>
  <si>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</si>
  <si>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</si>
  <si>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</si>
  <si>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</si>
  <si>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</si>
  <si>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</si>
  <si>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</si>
  <si>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</si>
  <si>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</si>
  <si>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</si>
  <si>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</si>
  <si>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</si>
  <si>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</si>
  <si>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</si>
  <si>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</si>
  <si>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</si>
  <si>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</si>
  <si>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</si>
  <si>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</si>
  <si>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</si>
  <si>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</si>
  <si>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</si>
  <si>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</si>
  <si>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</si>
  <si>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</si>
  <si>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</si>
  <si>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</si>
  <si>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</si>
  <si>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</si>
  <si>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</si>
  <si>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</si>
  <si>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</si>
  <si>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</si>
  <si>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</si>
  <si>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</si>
  <si>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</si>
  <si>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</si>
  <si>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</si>
  <si>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</si>
  <si>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</si>
  <si>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</si>
  <si>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</si>
  <si>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</si>
  <si>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</si>
  <si>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</si>
  <si>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</si>
  <si>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</si>
  <si>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</si>
  <si>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</si>
  <si>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</si>
  <si>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</si>
  <si>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</si>
  <si>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</si>
  <si>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</si>
  <si>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</si>
  <si>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</si>
  <si>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</si>
  <si>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</si>
  <si>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</si>
  <si>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</si>
  <si>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</si>
  <si>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</si>
  <si>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</si>
  <si>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</si>
  <si>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</si>
  <si>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</si>
  <si>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</si>
  <si>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답작용</t>
    <phoneticPr fontId="19" type="noConversion"/>
  </si>
  <si>
    <t>전작용</t>
    <phoneticPr fontId="19" type="noConversion"/>
  </si>
  <si>
    <t>buyeo</t>
    <phoneticPr fontId="19" type="noConversion"/>
  </si>
  <si>
    <t>s6</t>
  </si>
  <si>
    <t>a4</t>
  </si>
  <si>
    <t>a5</t>
  </si>
  <si>
    <t>초촌면</t>
    <phoneticPr fontId="19" type="noConversion"/>
  </si>
  <si>
    <t>산직리</t>
    <phoneticPr fontId="19" type="noConversion"/>
  </si>
  <si>
    <t>356-1</t>
    <phoneticPr fontId="19" type="noConversion"/>
  </si>
  <si>
    <t>소사리</t>
    <phoneticPr fontId="19" type="noConversion"/>
  </si>
  <si>
    <t>송국리</t>
    <phoneticPr fontId="19" type="noConversion"/>
  </si>
  <si>
    <t>258-1</t>
    <phoneticPr fontId="19" type="noConversion"/>
  </si>
  <si>
    <t>원예용</t>
    <phoneticPr fontId="19" type="noConversion"/>
  </si>
  <si>
    <t>a6</t>
  </si>
  <si>
    <t>a7</t>
  </si>
  <si>
    <t>a8</t>
  </si>
  <si>
    <t>a9</t>
  </si>
  <si>
    <t>a10</t>
  </si>
  <si>
    <t>a11</t>
  </si>
  <si>
    <t>a12</t>
  </si>
  <si>
    <t>a13</t>
  </si>
  <si>
    <t>266-1</t>
    <phoneticPr fontId="19" type="noConversion"/>
  </si>
  <si>
    <t>413-5</t>
    <phoneticPr fontId="19" type="noConversion"/>
  </si>
  <si>
    <t>s7</t>
  </si>
  <si>
    <t>s8</t>
  </si>
  <si>
    <t>s9</t>
  </si>
  <si>
    <t>s10</t>
  </si>
  <si>
    <t>s11</t>
  </si>
  <si>
    <t>s12</t>
  </si>
  <si>
    <t>217-3</t>
    <phoneticPr fontId="19" type="noConversion"/>
  </si>
  <si>
    <t>211-2</t>
    <phoneticPr fontId="19" type="noConversion"/>
  </si>
  <si>
    <t>158-2</t>
    <phoneticPr fontId="19" type="noConversion"/>
  </si>
  <si>
    <t>산15-1</t>
    <phoneticPr fontId="19" type="noConversion"/>
  </si>
  <si>
    <t>276-16</t>
    <phoneticPr fontId="19" type="noConversion"/>
  </si>
  <si>
    <t>876-5</t>
    <phoneticPr fontId="19" type="noConversion"/>
  </si>
  <si>
    <t>876-1</t>
    <phoneticPr fontId="19" type="noConversion"/>
  </si>
  <si>
    <t>276-10</t>
    <phoneticPr fontId="19" type="noConversion"/>
  </si>
  <si>
    <t>573</t>
    <phoneticPr fontId="19" type="noConversion"/>
  </si>
  <si>
    <t>a14</t>
  </si>
  <si>
    <t>a15</t>
  </si>
  <si>
    <t>a16</t>
  </si>
  <si>
    <t>a17</t>
  </si>
  <si>
    <t>산65-3</t>
    <phoneticPr fontId="19" type="noConversion"/>
  </si>
  <si>
    <t>553-12</t>
    <phoneticPr fontId="19" type="noConversion"/>
  </si>
  <si>
    <t>609-12</t>
    <phoneticPr fontId="19" type="noConversion"/>
  </si>
  <si>
    <t>163-14</t>
    <phoneticPr fontId="19" type="noConversion"/>
  </si>
  <si>
    <t>760-2</t>
    <phoneticPr fontId="19" type="noConversion"/>
  </si>
  <si>
    <t>a18</t>
  </si>
  <si>
    <t>a19</t>
  </si>
  <si>
    <t>a20</t>
  </si>
  <si>
    <t>a21</t>
  </si>
  <si>
    <t>a22</t>
  </si>
  <si>
    <t>a23</t>
  </si>
  <si>
    <t>진호리</t>
    <phoneticPr fontId="19" type="noConversion"/>
  </si>
  <si>
    <t>128</t>
    <phoneticPr fontId="19" type="noConversion"/>
  </si>
  <si>
    <t>208</t>
    <phoneticPr fontId="19" type="noConversion"/>
  </si>
  <si>
    <t>222-1</t>
    <phoneticPr fontId="19" type="noConversion"/>
  </si>
  <si>
    <t>221-6</t>
    <phoneticPr fontId="19" type="noConversion"/>
  </si>
  <si>
    <t>218-6</t>
    <phoneticPr fontId="19" type="noConversion"/>
  </si>
  <si>
    <t>217-4</t>
    <phoneticPr fontId="19" type="noConversion"/>
  </si>
  <si>
    <t>344-12</t>
    <phoneticPr fontId="19" type="noConversion"/>
  </si>
  <si>
    <t>621-29</t>
    <phoneticPr fontId="19" type="noConversion"/>
  </si>
  <si>
    <t>346</t>
    <phoneticPr fontId="19" type="noConversion"/>
  </si>
  <si>
    <t>203-1</t>
    <phoneticPr fontId="19" type="noConversion"/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</si>
  <si>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</si>
  <si>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</si>
  <si>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</si>
  <si>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</si>
  <si>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</si>
  <si>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</si>
  <si>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</si>
  <si>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</si>
  <si>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</si>
  <si>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</si>
  <si>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</si>
  <si>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</si>
  <si>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</si>
  <si>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</si>
  <si>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350</t>
    <phoneticPr fontId="19" type="noConversion"/>
  </si>
  <si>
    <t>356-4</t>
    <phoneticPr fontId="19" type="noConversion"/>
  </si>
  <si>
    <t>748</t>
    <phoneticPr fontId="19" type="noConversion"/>
  </si>
  <si>
    <t>761</t>
    <phoneticPr fontId="19" type="noConversion"/>
  </si>
  <si>
    <t>750-4</t>
    <phoneticPr fontId="19" type="noConversion"/>
  </si>
  <si>
    <t>750-3</t>
    <phoneticPr fontId="19" type="noConversion"/>
  </si>
  <si>
    <t>619-4</t>
    <phoneticPr fontId="19" type="noConversion"/>
  </si>
  <si>
    <t>363</t>
    <phoneticPr fontId="19" type="noConversion"/>
  </si>
  <si>
    <t>552-2</t>
    <phoneticPr fontId="19" type="noConversion"/>
  </si>
  <si>
    <t>544-6</t>
    <phoneticPr fontId="19" type="noConversion"/>
  </si>
  <si>
    <t>542-5</t>
    <phoneticPr fontId="19" type="noConversion"/>
  </si>
  <si>
    <t>542-2</t>
    <phoneticPr fontId="19" type="noConversion"/>
  </si>
  <si>
    <t>545-1</t>
    <phoneticPr fontId="19" type="noConversion"/>
  </si>
  <si>
    <t>545-5</t>
    <phoneticPr fontId="19" type="noConversion"/>
  </si>
  <si>
    <t>369</t>
    <phoneticPr fontId="19" type="noConversion"/>
  </si>
  <si>
    <t>a38</t>
  </si>
  <si>
    <t>a39</t>
  </si>
  <si>
    <t>a40</t>
  </si>
  <si>
    <t>370-3</t>
    <phoneticPr fontId="19" type="noConversion"/>
  </si>
  <si>
    <t>543-1</t>
    <phoneticPr fontId="19" type="noConversion"/>
  </si>
  <si>
    <t>세탑리</t>
    <phoneticPr fontId="19" type="noConversion"/>
  </si>
  <si>
    <t>43</t>
    <phoneticPr fontId="19" type="noConversion"/>
  </si>
  <si>
    <t>28</t>
    <phoneticPr fontId="19" type="noConversion"/>
  </si>
  <si>
    <t>24-9</t>
    <phoneticPr fontId="19" type="noConversion"/>
  </si>
  <si>
    <t>24-8</t>
    <phoneticPr fontId="19" type="noConversion"/>
  </si>
  <si>
    <t>13</t>
    <phoneticPr fontId="19" type="noConversion"/>
  </si>
  <si>
    <t>남산리</t>
    <phoneticPr fontId="19" type="noConversion"/>
  </si>
  <si>
    <t>279-2</t>
    <phoneticPr fontId="19" type="noConversion"/>
  </si>
  <si>
    <t>277</t>
    <phoneticPr fontId="19" type="noConversion"/>
  </si>
  <si>
    <t>386-1</t>
    <phoneticPr fontId="19" type="noConversion"/>
  </si>
  <si>
    <t>s13</t>
  </si>
  <si>
    <t>373-1</t>
    <phoneticPr fontId="19" type="noConversion"/>
  </si>
  <si>
    <t>s1</t>
  </si>
  <si>
    <t>가정용</t>
  </si>
  <si>
    <t>간이상수도</t>
  </si>
  <si>
    <t>일반용</t>
  </si>
  <si>
    <t>전라남도 초촌면 송국리 258-1 , a1</t>
  </si>
  <si>
    <t>원예용</t>
  </si>
  <si>
    <t>전라남도 초촌면 송국리 266-1 , a2</t>
  </si>
  <si>
    <t>답작용</t>
  </si>
  <si>
    <t>전라남도 초촌면 송국리 217-3 , a3</t>
  </si>
  <si>
    <t>전라남도 초촌면 산직리 산15-1 , a4</t>
  </si>
  <si>
    <t>전작용</t>
  </si>
  <si>
    <t>전라남도 초촌면 산직리 산15-1 , a5</t>
  </si>
  <si>
    <t>전라남도 초촌면 산직리 276-16 , a6</t>
  </si>
  <si>
    <t>전라남도 초촌면 산직리 876-5 , a7</t>
  </si>
  <si>
    <t>전라남도 초촌면 산직리 876-1 , a8</t>
  </si>
  <si>
    <t>전라남도 초촌면 산직리 276-10 , a9</t>
  </si>
  <si>
    <t>전라남도 초촌면 소사리 573 , a10</t>
  </si>
  <si>
    <t>전라남도 초촌면 소사리 산65-3 , a11</t>
  </si>
  <si>
    <t>전라남도 초촌면 소사리 609-12 , a12</t>
  </si>
  <si>
    <t>전라남도 초촌면 소사리 163-14 , a13</t>
  </si>
  <si>
    <t>전라남도 초촌면 소사리 760-2 , a14</t>
  </si>
  <si>
    <t>전라남도 초촌면 진호리 128 , a15</t>
  </si>
  <si>
    <t>전라남도 초촌면 진호리 222-1 , a16</t>
  </si>
  <si>
    <t>전라남도 초촌면 진호리 221-6 , a17</t>
  </si>
  <si>
    <t>전라남도 초촌면 진호리 218-6 , a18</t>
  </si>
  <si>
    <t>전라남도 초촌면 진호리 217-4 , a19</t>
  </si>
  <si>
    <t>전라남도 초촌면 진호리 344-12 , a20</t>
  </si>
  <si>
    <t>전라남도 초촌면 진호리 346 , a21</t>
  </si>
  <si>
    <t>전라남도 초촌면 진호리 203-1 , a22</t>
  </si>
  <si>
    <t>전라남도 초촌면 진호리 350 , a23</t>
  </si>
  <si>
    <t>전라남도 초촌면 진호리 356-1 , a24</t>
  </si>
  <si>
    <t>전라남도 초촌면 소사리 748 , a25</t>
  </si>
  <si>
    <t>전라남도 초촌면 소사리 761 , a26</t>
  </si>
  <si>
    <t>전라남도 초촌면 소사리 750-4 , a27</t>
  </si>
  <si>
    <t>전라남도 초촌면 소사리 750-3 , a28</t>
  </si>
  <si>
    <t>전라남도 초촌면 소사리 619-4 , a29</t>
  </si>
  <si>
    <t>전라남도 초촌면 송국리 363 , a30</t>
  </si>
  <si>
    <t>전라남도 초촌면 송국리 544-6 , a31</t>
  </si>
  <si>
    <t>전라남도 초촌면 송국리 542-5 , a32</t>
  </si>
  <si>
    <t>전라남도 초촌면 송국리 542-2 , a33</t>
  </si>
  <si>
    <t>전라남도 초촌면 송국리 545-1 , a34</t>
  </si>
  <si>
    <t>전라남도 초촌면 송국리 545-5 , a35</t>
  </si>
  <si>
    <t>전라남도 초촌면 송국리 369 , a36</t>
  </si>
  <si>
    <t>전라남도 초촌면 송국리 370-3 , a37</t>
  </si>
  <si>
    <t>전라남도 초촌면 세탑리 28 , a38</t>
  </si>
  <si>
    <t>전라남도 초촌면 세탑리 13 , a39</t>
  </si>
  <si>
    <t>전라남도 초촌면 남산리 279-2 , a40</t>
  </si>
  <si>
    <t>전라남도 초촌면 세탑리 24-9 , i1</t>
  </si>
  <si>
    <t>자유입지업체</t>
  </si>
  <si>
    <t>전라남도 초촌면 세탑리 24-8 , i2</t>
  </si>
  <si>
    <t>기타</t>
  </si>
  <si>
    <t xml:space="preserve"> </t>
  </si>
  <si>
    <t>충청남도 부여군 초촌면 송국리 413-5 , s1</t>
  </si>
  <si>
    <t>충청남도 부여군 초촌면 송국리 211-2 , s2</t>
  </si>
  <si>
    <t>충청남도 부여군 초촌면 송국리 158-2 , s3</t>
  </si>
  <si>
    <t>충청남도 부여군 초촌면 소사리 553-12 , s4</t>
  </si>
  <si>
    <t>충청남도 부여군 초촌면 진호리 208 , s5</t>
  </si>
  <si>
    <t>충청남도 부여군 초촌면 소사리 621-29 , s6</t>
  </si>
  <si>
    <t>충청남도 부여군 초촌면 진호리 356-4 , s7</t>
  </si>
  <si>
    <t>충청남도 부여군 초촌면 송국리 552-2 , s8</t>
  </si>
  <si>
    <t>충청남도 부여군 초촌면 송국리 543-1 , s9</t>
  </si>
  <si>
    <t>충청남도 부여군 초촌면 세탑리 43 , s10</t>
  </si>
  <si>
    <t>충청남도 부여군 초촌면 남산리 277 , s11</t>
  </si>
  <si>
    <t>충청남도 부여군 초촌면 진호리 386-1 , s12</t>
  </si>
  <si>
    <t>충청남도 부여군 초촌면 진호리 373-1 , s13</t>
  </si>
  <si>
    <t xml:space="preserve"> 2022-08-13.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</si>
</sst>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_ "/>
  </numFmts>
  <fonts count="35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8"/>
      <color theme="3"/>
      <name val="Calibri Light"/>
      <family val="2"/>
      <charset val="129"/>
      <scheme val="major"/>
    </font>
    <font>
      <b/>
      <sz val="15"/>
      <color theme="3"/>
      <name val="Calibri"/>
      <family val="2"/>
      <charset val="129"/>
      <scheme val="minor"/>
    </font>
    <font>
      <b/>
      <sz val="13"/>
      <color theme="3"/>
      <name val="Calibri"/>
      <family val="2"/>
      <charset val="129"/>
      <scheme val="minor"/>
    </font>
    <font>
      <b/>
      <sz val="11"/>
      <color theme="3"/>
      <name val="Calibri"/>
      <family val="2"/>
      <charset val="129"/>
      <scheme val="minor"/>
    </font>
    <font>
      <sz val="11"/>
      <color rgb="FF006100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color rgb="FF3F3F76"/>
      <name val="Calibri"/>
      <family val="2"/>
      <charset val="129"/>
      <scheme val="minor"/>
    </font>
    <font>
      <b/>
      <sz val="11"/>
      <color rgb="FF3F3F3F"/>
      <name val="Calibri"/>
      <family val="2"/>
      <charset val="129"/>
      <scheme val="minor"/>
    </font>
    <font>
      <b/>
      <sz val="11"/>
      <color rgb="FFFA7D00"/>
      <name val="Calibri"/>
      <family val="2"/>
      <charset val="129"/>
      <scheme val="minor"/>
    </font>
    <font>
      <sz val="11"/>
      <color rgb="FFFA7D00"/>
      <name val="Calibri"/>
      <family val="2"/>
      <charset val="129"/>
      <scheme val="minor"/>
    </font>
    <font>
      <b/>
      <sz val="11"/>
      <color theme="0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  <font>
      <i/>
      <sz val="11"/>
      <color rgb="FF7F7F7F"/>
      <name val="Calibri"/>
      <family val="2"/>
      <charset val="129"/>
      <scheme val="minor"/>
    </font>
    <font>
      <b/>
      <sz val="11"/>
      <color theme="1"/>
      <name val="Calibri"/>
      <family val="2"/>
      <charset val="129"/>
      <scheme val="minor"/>
    </font>
    <font>
      <sz val="11"/>
      <color theme="0"/>
      <name val="Calibri"/>
      <family val="2"/>
      <charset val="129"/>
      <scheme val="minor"/>
    </font>
    <font>
      <sz val="10"/>
      <color theme="1"/>
      <name val="Calibri"/>
      <family val="3"/>
      <charset val="129"/>
      <scheme val="minor"/>
    </font>
    <font>
      <sz val="8"/>
      <name val="Calibri"/>
      <family val="2"/>
      <charset val="129"/>
      <scheme val="minor"/>
    </font>
    <font>
      <sz val="10"/>
      <color rgb="FF000000"/>
      <name val="Calibri"/>
      <family val="3"/>
      <charset val="129"/>
      <scheme val="minor"/>
    </font>
    <font>
      <b/>
      <i/>
      <sz val="10"/>
      <color rgb="FFFF0000"/>
      <name val="Calibri"/>
      <family val="3"/>
      <charset val="129"/>
      <scheme val="minor"/>
    </font>
    <font>
      <b/>
      <i/>
      <sz val="12"/>
      <color rgb="FFFF0000"/>
      <name val="Calibri"/>
      <family val="3"/>
      <charset val="129"/>
      <scheme val="minor"/>
    </font>
    <font>
      <sz val="10"/>
      <color theme="1"/>
      <name val="Calibri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Calibri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Calibri"/>
      <family val="3"/>
      <charset val="129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4" borderId="10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 vertical="center"/>
    </xf>
    <xf numFmtId="0" fontId="18" fillId="34" borderId="14" xfId="0" applyFont="1" applyFill="1" applyBorder="1" applyAlignment="1">
      <alignment horizontal="center" vertical="center"/>
    </xf>
    <xf numFmtId="0" fontId="18" fillId="34" borderId="15" xfId="0" applyFont="1" applyFill="1" applyBorder="1" applyAlignment="1">
      <alignment horizontal="center" vertical="center"/>
    </xf>
    <xf numFmtId="0" fontId="18" fillId="34" borderId="11" xfId="0" applyFont="1" applyFill="1" applyBorder="1" applyAlignment="1">
      <alignment horizontal="center" vertical="center"/>
    </xf>
    <xf numFmtId="0" fontId="18" fillId="34" borderId="16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18" fillId="34" borderId="18" xfId="0" applyFont="1" applyFill="1" applyBorder="1" applyAlignment="1">
      <alignment horizontal="center" vertical="center"/>
    </xf>
    <xf numFmtId="0" fontId="18" fillId="34" borderId="13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center" vertical="center"/>
    </xf>
    <xf numFmtId="0" fontId="0" fillId="35" borderId="19" xfId="0" applyFill="1" applyBorder="1" applyAlignment="1">
      <alignment horizontal="center" vertical="center"/>
    </xf>
    <xf numFmtId="0" fontId="0" fillId="35" borderId="20" xfId="0" applyFill="1" applyBorder="1" applyAlignment="1">
      <alignment horizontal="center" vertical="center"/>
    </xf>
    <xf numFmtId="0" fontId="26" fillId="0" borderId="0" xfId="0" applyFont="1" applyAlignment="1">
      <alignment horizontal="justify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165" fontId="27" fillId="0" borderId="0" xfId="0" applyNumberFormat="1" applyFont="1" applyAlignment="1">
      <alignment horizontal="center" vertical="center"/>
    </xf>
    <xf numFmtId="0" fontId="27" fillId="35" borderId="21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34" borderId="11" xfId="0" applyFont="1" applyFill="1" applyBorder="1" applyAlignment="1">
      <alignment horizontal="center" vertical="center"/>
    </xf>
    <xf numFmtId="0" fontId="33" fillId="34" borderId="13" xfId="0" applyFont="1" applyFill="1" applyBorder="1" applyAlignment="1">
      <alignment horizontal="center" vertical="center"/>
    </xf>
    <xf numFmtId="164" fontId="32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28" fillId="36" borderId="0" xfId="0" applyFont="1" applyFill="1" applyAlignment="1">
      <alignment horizontal="center" vertical="center"/>
    </xf>
    <xf numFmtId="0" fontId="28" fillId="35" borderId="0" xfId="0" applyFont="1" applyFill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0" fontId="18" fillId="34" borderId="22" xfId="0" applyFont="1" applyFill="1" applyBorder="1" applyAlignment="1">
      <alignment horizontal="center" vertical="center"/>
    </xf>
    <xf numFmtId="0" fontId="18" fillId="34" borderId="23" xfId="0" applyFont="1" applyFill="1" applyBorder="1" applyAlignment="1">
      <alignment horizontal="center" vertical="center"/>
    </xf>
    <xf numFmtId="0" fontId="18" fillId="34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1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542925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561975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0</xdr:row>
          <xdr:rowOff>66675</xdr:rowOff>
        </xdr:from>
        <xdr:to>
          <xdr:col>20</xdr:col>
          <xdr:colOff>409575</xdr:colOff>
          <xdr:row>0</xdr:row>
          <xdr:rowOff>352425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0</xdr:row>
          <xdr:rowOff>409575</xdr:rowOff>
        </xdr:from>
        <xdr:to>
          <xdr:col>20</xdr:col>
          <xdr:colOff>409575</xdr:colOff>
          <xdr:row>1</xdr:row>
          <xdr:rowOff>95250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1</xdr:row>
          <xdr:rowOff>152400</xdr:rowOff>
        </xdr:from>
        <xdr:to>
          <xdr:col>20</xdr:col>
          <xdr:colOff>409575</xdr:colOff>
          <xdr:row>2</xdr:row>
          <xdr:rowOff>161925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0</xdr:row>
          <xdr:rowOff>142875</xdr:rowOff>
        </xdr:from>
        <xdr:to>
          <xdr:col>12</xdr:col>
          <xdr:colOff>1590675</xdr:colOff>
          <xdr:row>0</xdr:row>
          <xdr:rowOff>504825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1</xdr:row>
          <xdr:rowOff>142875</xdr:rowOff>
        </xdr:from>
        <xdr:to>
          <xdr:col>22</xdr:col>
          <xdr:colOff>180975</xdr:colOff>
          <xdr:row>2</xdr:row>
          <xdr:rowOff>152400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457200</xdr:colOff>
          <xdr:row>0</xdr:row>
          <xdr:rowOff>390525</xdr:rowOff>
        </xdr:from>
        <xdr:to>
          <xdr:col>22</xdr:col>
          <xdr:colOff>190500</xdr:colOff>
          <xdr:row>1</xdr:row>
          <xdr:rowOff>76200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0</xdr:row>
          <xdr:rowOff>76200</xdr:rowOff>
        </xdr:from>
        <xdr:to>
          <xdr:col>22</xdr:col>
          <xdr:colOff>180975</xdr:colOff>
          <xdr:row>0</xdr:row>
          <xdr:rowOff>361950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</xdr:row>
          <xdr:rowOff>238125</xdr:rowOff>
        </xdr:from>
        <xdr:to>
          <xdr:col>22</xdr:col>
          <xdr:colOff>76200</xdr:colOff>
          <xdr:row>4</xdr:row>
          <xdr:rowOff>9525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514350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514350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1</xdr:row>
          <xdr:rowOff>142875</xdr:rowOff>
        </xdr:from>
        <xdr:to>
          <xdr:col>20</xdr:col>
          <xdr:colOff>514350</xdr:colOff>
          <xdr:row>2</xdr:row>
          <xdr:rowOff>152400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190500</xdr:rowOff>
        </xdr:from>
        <xdr:to>
          <xdr:col>20</xdr:col>
          <xdr:colOff>523875</xdr:colOff>
          <xdr:row>3</xdr:row>
          <xdr:rowOff>200025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0</xdr:row>
          <xdr:rowOff>114300</xdr:rowOff>
        </xdr:from>
        <xdr:to>
          <xdr:col>12</xdr:col>
          <xdr:colOff>1476375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419100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476250</xdr:colOff>
          <xdr:row>0</xdr:row>
          <xdr:rowOff>133350</xdr:rowOff>
        </xdr:from>
        <xdr:to>
          <xdr:col>22</xdr:col>
          <xdr:colOff>28575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0</xdr:row>
          <xdr:rowOff>133350</xdr:rowOff>
        </xdr:from>
        <xdr:to>
          <xdr:col>23</xdr:col>
          <xdr:colOff>371475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L25" totalsRowShown="0" headerRowDxfId="30" dataDxfId="29">
  <autoFilter ref="B2:L25" xr:uid="{123FB0B2-C50F-4FE7-93B5-DE95F922DE44}"/>
  <tableColumns count="11">
    <tableColumn id="1" xr3:uid="{89731D60-C8C9-47C7-B7A4-E2F5EF58BF21}" name="Formula" dataDxfId="28"/>
    <tableColumn id="2" xr3:uid="{9D6B4C5E-CA7C-4AE7-AB86-8D1849DE472E}" name="default" dataDxfId="27"/>
    <tableColumn id="3" xr3:uid="{8B96CB70-D422-4CD0-83FB-078E7C628187}" name="nonsan" dataDxfId="26"/>
    <tableColumn id="4" xr3:uid="{CCFAC7DF-2CE0-4E08-BE53-E84748DDA1A7}" name="daejeon" dataDxfId="25"/>
    <tableColumn id="5" xr3:uid="{366D5D7C-9532-44C4-A1D5-7BF125E25A9F}" name="yeonki" dataDxfId="24"/>
    <tableColumn id="6" xr3:uid="{1994D4E0-8A83-4EB4-B964-F7F509A24B92}" name="boryoung" dataDxfId="23"/>
    <tableColumn id="7" xr3:uid="{1706C14C-015E-415E-8A69-C36F6E711045}" name="dangjin" dataDxfId="22"/>
    <tableColumn id="8" xr3:uid="{A176E1D7-8F43-46CB-B588-387913D781D4}" name="seosan" dataDxfId="21"/>
    <tableColumn id="9" xr3:uid="{A4165988-557D-42A9-8139-6B9E8318D589}" name="yesan" dataDxfId="20"/>
    <tableColumn id="10" xr3:uid="{4892EC8C-4EC4-4A88-956F-2CD247B07208}" name="sejong" dataDxfId="19"/>
    <tableColumn id="11" xr3:uid="{D75235A8-F174-4AEE-A793-5FC36829F163}" name="buyeo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L30"/>
  <sheetViews>
    <sheetView workbookViewId="0">
      <selection activeCell="O12" sqref="O12"/>
    </sheetView>
  </sheetViews>
  <sheetFormatPr defaultColWidth="9.140625" defaultRowHeight="15"/>
  <cols>
    <col min="1" max="1" width="9.140625" style="36"/>
    <col min="2" max="2" width="25.7109375" style="36" customWidth="1"/>
    <col min="3" max="24" width="13.7109375" style="36" customWidth="1"/>
    <col min="25" max="16384" width="9.140625" style="36"/>
  </cols>
  <sheetData>
    <row r="1" spans="1:12" ht="36" customHeight="1">
      <c r="B1" s="37" t="s">
        <v>270</v>
      </c>
    </row>
    <row r="2" spans="1:12" ht="34.5" customHeight="1">
      <c r="B2" s="36" t="s">
        <v>259</v>
      </c>
      <c r="C2" s="36" t="s">
        <v>268</v>
      </c>
      <c r="D2" s="36" t="s">
        <v>260</v>
      </c>
      <c r="E2" s="36" t="s">
        <v>261</v>
      </c>
      <c r="F2" s="36" t="s">
        <v>262</v>
      </c>
      <c r="G2" s="36" t="s">
        <v>263</v>
      </c>
      <c r="H2" s="36" t="s">
        <v>264</v>
      </c>
      <c r="I2" s="36" t="s">
        <v>265</v>
      </c>
      <c r="J2" s="36" t="s">
        <v>266</v>
      </c>
      <c r="K2" s="36" t="s">
        <v>267</v>
      </c>
      <c r="L2" s="36" t="s">
        <v>315</v>
      </c>
    </row>
    <row r="3" spans="1:12" ht="20.100000000000001" customHeight="1">
      <c r="A3" s="36">
        <v>1</v>
      </c>
      <c r="B3" s="36" t="s">
        <v>280</v>
      </c>
      <c r="C3" s="36">
        <v>0.17299999999999999</v>
      </c>
      <c r="D3" s="36">
        <v>0.17299999999999999</v>
      </c>
      <c r="E3" s="36">
        <v>0.17299999999999999</v>
      </c>
      <c r="F3" s="36">
        <v>0.26500000000000001</v>
      </c>
      <c r="G3" s="36">
        <v>0.17299999999999999</v>
      </c>
      <c r="H3" s="36">
        <v>0.17299999999999999</v>
      </c>
      <c r="I3" s="36">
        <v>0.17299999999999999</v>
      </c>
      <c r="J3" s="36">
        <v>0.26500000000000001</v>
      </c>
      <c r="K3" s="36">
        <v>0.17299999999999999</v>
      </c>
      <c r="L3" s="36">
        <v>0.26500000000000001</v>
      </c>
    </row>
    <row r="4" spans="1:12" ht="20.100000000000001" customHeight="1">
      <c r="A4" s="36">
        <v>2</v>
      </c>
      <c r="B4" s="36" t="s">
        <v>281</v>
      </c>
      <c r="C4" s="36">
        <v>0.21</v>
      </c>
      <c r="D4" s="36">
        <v>0.21</v>
      </c>
      <c r="E4" s="36">
        <v>0.21</v>
      </c>
      <c r="F4" s="36">
        <v>0.18099999999999999</v>
      </c>
      <c r="G4" s="36">
        <v>0.21</v>
      </c>
      <c r="H4" s="36">
        <v>0.21</v>
      </c>
      <c r="I4" s="36">
        <v>0.21</v>
      </c>
      <c r="J4" s="36">
        <v>0.18099999999999999</v>
      </c>
      <c r="K4" s="36">
        <v>0.21</v>
      </c>
      <c r="L4" s="36">
        <v>0.18099999999999999</v>
      </c>
    </row>
    <row r="5" spans="1:12" ht="20.100000000000001" customHeight="1">
      <c r="A5" s="36">
        <v>3</v>
      </c>
      <c r="B5" s="36" t="s">
        <v>282</v>
      </c>
      <c r="C5" s="36">
        <v>2.42</v>
      </c>
      <c r="D5" s="36">
        <v>2.42</v>
      </c>
      <c r="E5" s="36">
        <v>2.4300000000000002</v>
      </c>
      <c r="F5" s="36">
        <v>2.75</v>
      </c>
      <c r="G5" s="36">
        <v>2.36</v>
      </c>
      <c r="H5" s="36">
        <v>2.59</v>
      </c>
      <c r="I5" s="36">
        <v>2.4300000000000002</v>
      </c>
      <c r="J5" s="36">
        <v>2.34</v>
      </c>
      <c r="K5" s="36">
        <v>2.57</v>
      </c>
      <c r="L5" s="36">
        <v>2.31</v>
      </c>
    </row>
    <row r="6" spans="1:12" ht="20.100000000000001" customHeight="1">
      <c r="A6" s="36">
        <v>4</v>
      </c>
      <c r="B6" s="36" t="s">
        <v>283</v>
      </c>
      <c r="C6" s="36">
        <v>3.1539999999999999</v>
      </c>
      <c r="D6" s="36">
        <v>3.1539999999999999</v>
      </c>
      <c r="E6" s="36">
        <v>2.1190000000000002</v>
      </c>
      <c r="F6" s="36">
        <v>3.5209999999999999</v>
      </c>
      <c r="G6" s="36">
        <v>3.1539999999999999</v>
      </c>
      <c r="H6" s="36">
        <v>3.1539999999999999</v>
      </c>
      <c r="I6" s="36">
        <v>3.5209999999999999</v>
      </c>
      <c r="J6" s="36">
        <v>3.5209999999999999</v>
      </c>
      <c r="K6" s="36">
        <v>3.1539999999999999</v>
      </c>
      <c r="L6" s="36">
        <v>3.5209999999999999</v>
      </c>
    </row>
    <row r="7" spans="1:12" ht="20.100000000000001" customHeight="1">
      <c r="A7" s="36">
        <v>5</v>
      </c>
      <c r="B7" s="36" t="s">
        <v>284</v>
      </c>
      <c r="C7" s="36">
        <v>2.3E-2</v>
      </c>
      <c r="D7" s="36">
        <v>2.3E-2</v>
      </c>
      <c r="E7" s="36">
        <v>2.1000000000000001E-2</v>
      </c>
      <c r="F7" s="36">
        <v>1.0999999999999999E-2</v>
      </c>
      <c r="G7" s="36">
        <v>2.3E-2</v>
      </c>
      <c r="H7" s="36">
        <v>2.3E-2</v>
      </c>
      <c r="I7" s="36">
        <v>1.0999999999999999E-2</v>
      </c>
      <c r="J7" s="36">
        <v>1.0999999999999999E-2</v>
      </c>
      <c r="K7" s="36">
        <v>2.3E-2</v>
      </c>
      <c r="L7" s="36">
        <v>1.0999999999999999E-2</v>
      </c>
    </row>
    <row r="8" spans="1:12" ht="20.100000000000001" customHeight="1">
      <c r="A8" s="36">
        <v>6</v>
      </c>
      <c r="B8" s="36" t="s">
        <v>285</v>
      </c>
      <c r="C8" s="36">
        <v>7.9859999999999998</v>
      </c>
      <c r="D8" s="36">
        <v>7.9859999999999998</v>
      </c>
      <c r="E8" s="36">
        <v>7.9859999999999998</v>
      </c>
      <c r="F8" s="36">
        <v>11.686999999999999</v>
      </c>
      <c r="G8" s="36">
        <v>7.9859999999999998</v>
      </c>
      <c r="H8" s="36">
        <v>7.9859999999999998</v>
      </c>
      <c r="I8" s="36">
        <v>7.9859999999999998</v>
      </c>
      <c r="J8" s="36">
        <v>11.686999999999999</v>
      </c>
      <c r="K8" s="36">
        <v>7.9859999999999998</v>
      </c>
      <c r="L8" s="36">
        <v>11.686999999999999</v>
      </c>
    </row>
    <row r="9" spans="1:12" ht="20.100000000000001" customHeight="1">
      <c r="A9" s="36">
        <v>7</v>
      </c>
      <c r="B9" s="36" t="s">
        <v>286</v>
      </c>
      <c r="C9" s="36">
        <v>5.0000000000000001E-3</v>
      </c>
      <c r="D9" s="36">
        <v>5.0000000000000001E-3</v>
      </c>
      <c r="E9" s="36">
        <v>5.0000000000000001E-3</v>
      </c>
      <c r="F9" s="36">
        <v>7.0000000000000001E-3</v>
      </c>
      <c r="G9" s="36">
        <v>5.0000000000000001E-3</v>
      </c>
      <c r="H9" s="36">
        <v>5.0000000000000001E-3</v>
      </c>
      <c r="I9" s="36">
        <v>5.0000000000000001E-3</v>
      </c>
      <c r="J9" s="36">
        <v>7.0000000000000001E-3</v>
      </c>
      <c r="K9" s="36">
        <v>5.0000000000000001E-3</v>
      </c>
      <c r="L9" s="36">
        <v>7.0000000000000001E-3</v>
      </c>
    </row>
    <row r="10" spans="1:12" ht="20.100000000000001" customHeight="1">
      <c r="A10" s="36">
        <v>8</v>
      </c>
      <c r="B10" s="36" t="s">
        <v>287</v>
      </c>
      <c r="C10" s="36">
        <v>0.17299999999999999</v>
      </c>
      <c r="D10" s="36">
        <v>0.17299999999999999</v>
      </c>
      <c r="E10" s="36">
        <v>7.13</v>
      </c>
      <c r="F10" s="36">
        <v>0.26500000000000001</v>
      </c>
      <c r="G10" s="36">
        <v>0.17299999999999999</v>
      </c>
      <c r="H10" s="36">
        <v>0.17299999999999999</v>
      </c>
      <c r="I10" s="36">
        <v>0.17299999999999999</v>
      </c>
      <c r="J10" s="36">
        <v>0.26500000000000001</v>
      </c>
      <c r="K10" s="36">
        <v>7.13</v>
      </c>
      <c r="L10" s="36">
        <v>0.26500000000000001</v>
      </c>
    </row>
    <row r="11" spans="1:12" ht="20.100000000000001" customHeight="1">
      <c r="A11" s="36">
        <v>9</v>
      </c>
      <c r="B11" s="36" t="s">
        <v>288</v>
      </c>
      <c r="C11" s="36">
        <v>0.21</v>
      </c>
      <c r="D11" s="36">
        <v>0.21</v>
      </c>
      <c r="E11" s="36">
        <v>1E-3</v>
      </c>
      <c r="F11" s="36">
        <v>0.18099999999999999</v>
      </c>
      <c r="G11" s="36">
        <v>0.21</v>
      </c>
      <c r="H11" s="36">
        <v>0.21</v>
      </c>
      <c r="I11" s="36">
        <v>0.21</v>
      </c>
      <c r="J11" s="36">
        <v>0.18099999999999999</v>
      </c>
      <c r="K11" s="36">
        <v>1E-3</v>
      </c>
      <c r="L11" s="36">
        <v>0.18099999999999999</v>
      </c>
    </row>
    <row r="12" spans="1:12" ht="20.100000000000001" customHeight="1">
      <c r="A12" s="36">
        <v>10</v>
      </c>
      <c r="B12" s="36" t="s">
        <v>289</v>
      </c>
      <c r="C12" s="36">
        <v>7.13</v>
      </c>
      <c r="D12" s="36">
        <v>7.13</v>
      </c>
      <c r="E12" s="36">
        <v>6.4630000000000001</v>
      </c>
      <c r="F12" s="36">
        <v>7.2869999999999999</v>
      </c>
      <c r="G12" s="36">
        <v>7.13</v>
      </c>
      <c r="H12" s="36">
        <v>7.13</v>
      </c>
      <c r="I12" s="36">
        <v>7.13</v>
      </c>
      <c r="J12" s="36">
        <v>7.2869999999999999</v>
      </c>
      <c r="K12" s="36">
        <v>6.4630000000000001</v>
      </c>
      <c r="L12" s="36">
        <v>7.2869999999999999</v>
      </c>
    </row>
    <row r="13" spans="1:12" ht="20.100000000000001" customHeight="1">
      <c r="A13" s="36">
        <v>11</v>
      </c>
      <c r="B13" s="36" t="s">
        <v>290</v>
      </c>
      <c r="C13" s="36">
        <v>1E-3</v>
      </c>
      <c r="D13" s="36">
        <v>1E-3</v>
      </c>
      <c r="E13" s="36">
        <v>0.17799999999999999</v>
      </c>
      <c r="F13" s="36">
        <v>1E-3</v>
      </c>
      <c r="G13" s="36">
        <v>1E-3</v>
      </c>
      <c r="H13" s="36">
        <v>1E-3</v>
      </c>
      <c r="I13" s="36">
        <v>1E-3</v>
      </c>
      <c r="J13" s="36">
        <v>1E-3</v>
      </c>
      <c r="K13" s="36">
        <v>0.17799999999999999</v>
      </c>
      <c r="L13" s="36">
        <v>1E-3</v>
      </c>
    </row>
    <row r="14" spans="1:12" ht="20.100000000000001" customHeight="1">
      <c r="A14" s="36">
        <v>12</v>
      </c>
      <c r="B14" s="36" t="s">
        <v>291</v>
      </c>
      <c r="C14" s="36">
        <v>5.66</v>
      </c>
      <c r="D14" s="36">
        <v>5.66</v>
      </c>
      <c r="E14" s="36">
        <v>5.66</v>
      </c>
      <c r="F14" s="36">
        <v>5.66</v>
      </c>
      <c r="G14" s="36">
        <v>6.9640000000000004</v>
      </c>
      <c r="H14" s="36">
        <v>6.9640000000000004</v>
      </c>
      <c r="I14" s="36">
        <v>63964</v>
      </c>
      <c r="J14" s="36">
        <v>6.9640000000000004</v>
      </c>
      <c r="K14" s="36">
        <v>5.66</v>
      </c>
      <c r="L14" s="36">
        <v>5.66</v>
      </c>
    </row>
    <row r="15" spans="1:12" ht="20.100000000000001" customHeight="1">
      <c r="A15" s="36">
        <v>13</v>
      </c>
      <c r="B15" s="36" t="s">
        <v>292</v>
      </c>
      <c r="C15" s="36">
        <v>1.4E-2</v>
      </c>
      <c r="D15" s="36">
        <v>1.4E-2</v>
      </c>
      <c r="E15" s="36">
        <v>1.4E-2</v>
      </c>
      <c r="F15" s="36">
        <v>1.4E-2</v>
      </c>
      <c r="G15" s="36">
        <v>1.2999999999999999E-2</v>
      </c>
      <c r="H15" s="36">
        <v>1.2999999999999999E-2</v>
      </c>
      <c r="I15" s="36">
        <v>1.2999999999999999E-2</v>
      </c>
      <c r="J15" s="36">
        <v>1.2999999999999999E-2</v>
      </c>
      <c r="K15" s="36">
        <v>1.4E-2</v>
      </c>
      <c r="L15" s="36">
        <v>1.4E-2</v>
      </c>
    </row>
    <row r="16" spans="1:12" ht="20.100000000000001" customHeight="1">
      <c r="A16" s="36">
        <v>14</v>
      </c>
      <c r="B16" s="36" t="s">
        <v>293</v>
      </c>
      <c r="C16" s="36">
        <v>1.98</v>
      </c>
      <c r="D16" s="36">
        <v>1.98</v>
      </c>
      <c r="E16" s="36">
        <v>1.98</v>
      </c>
      <c r="F16" s="36">
        <v>1.98</v>
      </c>
      <c r="G16" s="36">
        <v>2.089</v>
      </c>
      <c r="H16" s="36">
        <v>2.089</v>
      </c>
      <c r="I16" s="36">
        <v>2.089</v>
      </c>
      <c r="J16" s="36">
        <v>2.089</v>
      </c>
      <c r="K16" s="36">
        <v>1.98</v>
      </c>
      <c r="L16" s="36">
        <v>1.98</v>
      </c>
    </row>
    <row r="17" spans="1:12" ht="20.100000000000001" customHeight="1">
      <c r="A17" s="36">
        <v>15</v>
      </c>
      <c r="B17" s="36" t="s">
        <v>294</v>
      </c>
      <c r="C17" s="36">
        <v>4.3999999999999997E-2</v>
      </c>
      <c r="D17" s="36">
        <v>4.3999999999999997E-2</v>
      </c>
      <c r="E17" s="36">
        <v>4.3999999999999997E-2</v>
      </c>
      <c r="F17" s="36">
        <v>4.3999999999999997E-2</v>
      </c>
      <c r="G17" s="36">
        <v>4.2999999999999997E-2</v>
      </c>
      <c r="H17" s="36">
        <v>4.2999999999999997E-2</v>
      </c>
      <c r="I17" s="36">
        <v>4.2999999999999997E-2</v>
      </c>
      <c r="J17" s="36">
        <v>4.2999999999999997E-2</v>
      </c>
      <c r="K17" s="36">
        <v>4.3999999999999997E-2</v>
      </c>
      <c r="L17" s="36">
        <v>4.3999999999999997E-2</v>
      </c>
    </row>
    <row r="18" spans="1:12" ht="20.100000000000001" customHeight="1">
      <c r="A18" s="36">
        <v>16</v>
      </c>
      <c r="B18" s="36" t="s">
        <v>295</v>
      </c>
      <c r="C18" s="36">
        <v>2.7890000000000001</v>
      </c>
      <c r="D18" s="36">
        <v>2.7890000000000001</v>
      </c>
      <c r="E18" s="36">
        <v>2.7890000000000001</v>
      </c>
      <c r="F18" s="36">
        <v>2.7890000000000001</v>
      </c>
      <c r="G18" s="36">
        <v>2.7890000000000001</v>
      </c>
      <c r="H18" s="36">
        <v>2.7890000000000001</v>
      </c>
      <c r="I18" s="36">
        <v>2.7890000000000001</v>
      </c>
      <c r="J18" s="36">
        <v>2.7890000000000001</v>
      </c>
      <c r="K18" s="36">
        <v>2.7890000000000001</v>
      </c>
      <c r="L18" s="36">
        <v>2.7890000000000001</v>
      </c>
    </row>
    <row r="19" spans="1:12" ht="20.100000000000001" customHeight="1">
      <c r="A19" s="36">
        <v>17</v>
      </c>
      <c r="B19" s="36" t="s">
        <v>296</v>
      </c>
      <c r="C19" s="36">
        <v>1.0999999999999999E-2</v>
      </c>
      <c r="D19" s="36">
        <v>1.0999999999999999E-2</v>
      </c>
      <c r="E19" s="36">
        <v>1.0999999999999999E-2</v>
      </c>
      <c r="F19" s="36">
        <v>1.0999999999999999E-2</v>
      </c>
      <c r="G19" s="36">
        <v>1.0999999999999999E-2</v>
      </c>
      <c r="H19" s="36">
        <v>1.0999999999999999E-2</v>
      </c>
      <c r="I19" s="36">
        <v>1.0999999999999999E-2</v>
      </c>
      <c r="J19" s="36">
        <v>1.0999999999999999E-2</v>
      </c>
      <c r="K19" s="36">
        <v>1.0999999999999999E-2</v>
      </c>
      <c r="L19" s="36">
        <v>1.0999999999999999E-2</v>
      </c>
    </row>
    <row r="20" spans="1:12" ht="20.100000000000001" customHeight="1">
      <c r="A20" s="36">
        <v>18</v>
      </c>
      <c r="B20" s="36" t="s">
        <v>297</v>
      </c>
      <c r="C20" s="36">
        <v>3.48</v>
      </c>
      <c r="D20" s="36">
        <v>3.48</v>
      </c>
      <c r="E20" s="36">
        <v>3.48</v>
      </c>
      <c r="F20" s="36">
        <v>3.48</v>
      </c>
      <c r="G20" s="36">
        <v>3.48</v>
      </c>
      <c r="H20" s="36">
        <v>3.48</v>
      </c>
      <c r="I20" s="36">
        <v>3.48</v>
      </c>
      <c r="J20" s="36">
        <v>3.48</v>
      </c>
      <c r="K20" s="36">
        <v>3.48</v>
      </c>
      <c r="L20" s="36">
        <v>3.48</v>
      </c>
    </row>
    <row r="21" spans="1:12" ht="20.100000000000001" customHeight="1">
      <c r="A21" s="36">
        <v>19</v>
      </c>
      <c r="B21" s="36" t="s">
        <v>298</v>
      </c>
      <c r="C21" s="36">
        <v>8.9999999999999993E-3</v>
      </c>
      <c r="D21" s="36">
        <v>8.9999999999999993E-3</v>
      </c>
      <c r="E21" s="36">
        <v>8.9999999999999993E-3</v>
      </c>
      <c r="F21" s="36">
        <v>8.9999999999999993E-3</v>
      </c>
      <c r="G21" s="36">
        <v>8.9999999999999993E-3</v>
      </c>
      <c r="H21" s="36">
        <v>8.9999999999999993E-3</v>
      </c>
      <c r="I21" s="36">
        <v>8.9999999999999993E-3</v>
      </c>
      <c r="J21" s="36">
        <v>8.9999999999999993E-3</v>
      </c>
      <c r="K21" s="36">
        <v>8.9999999999999993E-3</v>
      </c>
      <c r="L21" s="36">
        <v>8.9999999999999993E-3</v>
      </c>
    </row>
    <row r="22" spans="1:12" ht="20.100000000000001" customHeight="1">
      <c r="A22" s="36">
        <v>20</v>
      </c>
      <c r="B22" s="36" t="s">
        <v>299</v>
      </c>
      <c r="C22" s="36">
        <v>4.7190000000000003</v>
      </c>
      <c r="D22" s="36">
        <v>4.7190000000000003</v>
      </c>
      <c r="E22" s="36">
        <v>4.7190000000000003</v>
      </c>
      <c r="F22" s="36">
        <v>4.7190000000000003</v>
      </c>
      <c r="G22" s="36">
        <v>4.7190000000000003</v>
      </c>
      <c r="H22" s="36">
        <v>4.7190000000000003</v>
      </c>
      <c r="I22" s="36">
        <v>4.7190000000000003</v>
      </c>
      <c r="J22" s="36">
        <v>4.7190000000000003</v>
      </c>
      <c r="K22" s="36">
        <v>4.7190000000000003</v>
      </c>
      <c r="L22" s="36">
        <v>4.7190000000000003</v>
      </c>
    </row>
    <row r="23" spans="1:12" ht="20.100000000000001" customHeight="1">
      <c r="A23" s="36">
        <v>21</v>
      </c>
      <c r="B23" s="36" t="s">
        <v>300</v>
      </c>
      <c r="C23" s="36">
        <v>1E-3</v>
      </c>
      <c r="D23" s="36">
        <v>1E-3</v>
      </c>
      <c r="E23" s="36">
        <v>1E-3</v>
      </c>
      <c r="F23" s="36">
        <v>1E-3</v>
      </c>
      <c r="G23" s="36">
        <v>1E-3</v>
      </c>
      <c r="H23" s="36">
        <v>1E-3</v>
      </c>
      <c r="I23" s="36">
        <v>1E-3</v>
      </c>
      <c r="J23" s="36">
        <v>1E-3</v>
      </c>
      <c r="K23" s="36">
        <v>1E-3</v>
      </c>
      <c r="L23" s="36">
        <v>1E-3</v>
      </c>
    </row>
    <row r="24" spans="1:12" ht="20.100000000000001" customHeight="1">
      <c r="A24" s="36">
        <v>22</v>
      </c>
      <c r="B24" s="36" t="s">
        <v>301</v>
      </c>
      <c r="C24" s="36">
        <v>5.492</v>
      </c>
      <c r="D24" s="36">
        <v>5.492</v>
      </c>
      <c r="E24" s="36">
        <v>5.492</v>
      </c>
      <c r="F24" s="36">
        <v>5.492</v>
      </c>
      <c r="G24" s="36">
        <v>5.492</v>
      </c>
      <c r="H24" s="36">
        <v>5.492</v>
      </c>
      <c r="I24" s="36">
        <v>5.492</v>
      </c>
      <c r="J24" s="36">
        <v>5.492</v>
      </c>
      <c r="K24" s="36">
        <v>5.492</v>
      </c>
      <c r="L24" s="36">
        <v>5.492</v>
      </c>
    </row>
    <row r="25" spans="1:12" ht="20.100000000000001" customHeight="1">
      <c r="A25" s="36">
        <v>23</v>
      </c>
      <c r="B25" s="36" t="s">
        <v>302</v>
      </c>
      <c r="C25" s="36">
        <v>4.1000000000000002E-2</v>
      </c>
      <c r="D25" s="36">
        <v>4.1000000000000002E-2</v>
      </c>
      <c r="E25" s="36">
        <v>4.1000000000000002E-2</v>
      </c>
      <c r="F25" s="36">
        <v>4.1000000000000002E-2</v>
      </c>
      <c r="G25" s="36">
        <v>4.1000000000000002E-2</v>
      </c>
      <c r="H25" s="36">
        <v>4.1000000000000002E-2</v>
      </c>
      <c r="I25" s="36">
        <v>4.1000000000000002E-2</v>
      </c>
      <c r="J25" s="36">
        <v>4.1000000000000002E-2</v>
      </c>
      <c r="K25" s="36">
        <v>4.1000000000000002E-2</v>
      </c>
      <c r="L25" s="36">
        <v>4.1000000000000002E-2</v>
      </c>
    </row>
    <row r="26" spans="1:12" ht="20.100000000000001" customHeight="1"/>
    <row r="27" spans="1:12" ht="20.100000000000001" customHeight="1"/>
    <row r="28" spans="1:12" ht="20.100000000000001" customHeight="1"/>
    <row r="29" spans="1:12" ht="20.100000000000001" customHeight="1"/>
    <row r="30" spans="1:12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542925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D27" sqref="D27"/>
    </sheetView>
  </sheetViews>
  <sheetFormatPr defaultColWidth="9.140625" defaultRowHeight="15"/>
  <cols>
    <col min="1" max="1" width="9.140625" style="36"/>
    <col min="2" max="2" width="25.7109375" style="36" customWidth="1"/>
    <col min="3" max="25" width="13.7109375" style="36" customWidth="1"/>
    <col min="26" max="16384" width="9.140625" style="36"/>
  </cols>
  <sheetData>
    <row r="1" spans="2:12" ht="36" customHeight="1">
      <c r="B1" s="37" t="s">
        <v>269</v>
      </c>
      <c r="C1" s="37"/>
    </row>
    <row r="2" spans="2:12" ht="34.5" customHeight="1">
      <c r="B2" s="36" t="s">
        <v>259</v>
      </c>
      <c r="C2" s="36" t="s">
        <v>268</v>
      </c>
      <c r="D2" s="36" t="s">
        <v>271</v>
      </c>
      <c r="E2" s="36" t="s">
        <v>272</v>
      </c>
      <c r="F2" s="36" t="s">
        <v>273</v>
      </c>
      <c r="G2" s="36" t="s">
        <v>274</v>
      </c>
      <c r="H2" s="36" t="s">
        <v>275</v>
      </c>
      <c r="I2" s="36" t="s">
        <v>276</v>
      </c>
      <c r="J2" s="36" t="s">
        <v>277</v>
      </c>
      <c r="K2" s="36" t="s">
        <v>278</v>
      </c>
      <c r="L2" s="36" t="s">
        <v>279</v>
      </c>
    </row>
    <row r="3" spans="2:12" ht="20.100000000000001" customHeight="1">
      <c r="B3" s="36" t="s">
        <v>280</v>
      </c>
      <c r="C3" s="36">
        <v>0.17299999999999999</v>
      </c>
      <c r="D3" s="36">
        <v>0.17299999999999999</v>
      </c>
      <c r="E3" s="36">
        <v>0.17299999999999999</v>
      </c>
      <c r="F3" s="36">
        <v>0.17299999999999999</v>
      </c>
      <c r="G3" s="36">
        <v>0.17299999999999999</v>
      </c>
      <c r="H3" s="36">
        <v>0.17299999999999999</v>
      </c>
      <c r="I3" s="36">
        <v>0.17299999999999999</v>
      </c>
      <c r="J3" s="36">
        <v>0.17299999999999999</v>
      </c>
    </row>
    <row r="4" spans="2:12" ht="20.100000000000001" customHeight="1">
      <c r="B4" s="36" t="s">
        <v>281</v>
      </c>
      <c r="C4" s="36">
        <v>0.21</v>
      </c>
      <c r="D4" s="36">
        <v>0.21</v>
      </c>
      <c r="E4" s="36">
        <v>0.21</v>
      </c>
      <c r="F4" s="36">
        <v>0.21</v>
      </c>
      <c r="G4" s="36">
        <v>0.21</v>
      </c>
      <c r="H4" s="36">
        <v>0.21</v>
      </c>
      <c r="I4" s="36">
        <v>0.21</v>
      </c>
      <c r="J4" s="36">
        <v>0.21</v>
      </c>
    </row>
    <row r="5" spans="2:12" ht="20.100000000000001" customHeight="1">
      <c r="B5" s="36" t="s">
        <v>282</v>
      </c>
      <c r="C5" s="36">
        <v>2.44</v>
      </c>
      <c r="D5" s="36">
        <v>2.44</v>
      </c>
      <c r="E5" s="36">
        <v>2.56</v>
      </c>
      <c r="F5" s="36">
        <v>2.38</v>
      </c>
      <c r="G5" s="36">
        <v>2.46</v>
      </c>
      <c r="H5" s="36">
        <v>2.48</v>
      </c>
      <c r="I5" s="36">
        <v>2.38</v>
      </c>
      <c r="J5" s="36">
        <v>2.8</v>
      </c>
    </row>
    <row r="6" spans="2:12" ht="20.100000000000001" customHeight="1">
      <c r="B6" s="36" t="s">
        <v>283</v>
      </c>
      <c r="C6" s="36">
        <v>2.1190000000000002</v>
      </c>
      <c r="D6" s="36">
        <v>2.1190000000000002</v>
      </c>
      <c r="E6" s="36">
        <v>2.1190000000000002</v>
      </c>
      <c r="F6" s="36">
        <v>2.1190000000000002</v>
      </c>
      <c r="G6" s="36">
        <v>2.1190000000000002</v>
      </c>
      <c r="H6" s="36">
        <v>2.1190000000000002</v>
      </c>
      <c r="I6" s="36">
        <v>2.1190000000000002</v>
      </c>
      <c r="J6" s="36">
        <v>3.1539999999999999</v>
      </c>
    </row>
    <row r="7" spans="2:12" ht="20.100000000000001" customHeight="1">
      <c r="B7" s="36" t="s">
        <v>284</v>
      </c>
      <c r="C7" s="36">
        <v>2.1000000000000001E-2</v>
      </c>
      <c r="D7" s="36">
        <v>2.1000000000000001E-2</v>
      </c>
      <c r="E7" s="36">
        <v>2.1000000000000001E-2</v>
      </c>
      <c r="F7" s="36">
        <v>2.1000000000000001E-2</v>
      </c>
      <c r="G7" s="36">
        <v>2.1000000000000001E-2</v>
      </c>
      <c r="H7" s="36">
        <v>2.1000000000000001E-2</v>
      </c>
      <c r="I7" s="36">
        <v>2.1000000000000001E-2</v>
      </c>
      <c r="J7" s="36">
        <v>2.3E-2</v>
      </c>
    </row>
    <row r="8" spans="2:12" ht="20.100000000000001" customHeight="1">
      <c r="B8" s="36" t="s">
        <v>285</v>
      </c>
      <c r="C8" s="36">
        <v>7.9859999999999998</v>
      </c>
      <c r="D8" s="36">
        <v>7.9859999999999998</v>
      </c>
      <c r="E8" s="36">
        <v>7.9859999999999998</v>
      </c>
      <c r="F8" s="36">
        <v>7.9859999999999998</v>
      </c>
      <c r="G8" s="36">
        <v>7.9859999999999998</v>
      </c>
      <c r="H8" s="36">
        <v>7.9859999999999998</v>
      </c>
      <c r="I8" s="36">
        <v>7.9859999999999998</v>
      </c>
      <c r="J8" s="36">
        <v>7.9859999999999998</v>
      </c>
    </row>
    <row r="9" spans="2:12" ht="20.100000000000001" customHeight="1">
      <c r="B9" s="36" t="s">
        <v>286</v>
      </c>
      <c r="C9" s="36">
        <v>5.0000000000000001E-3</v>
      </c>
      <c r="D9" s="36">
        <v>5.0000000000000001E-3</v>
      </c>
      <c r="E9" s="36">
        <v>5.0000000000000001E-3</v>
      </c>
      <c r="F9" s="36">
        <v>5.0000000000000001E-3</v>
      </c>
      <c r="G9" s="36">
        <v>5.0000000000000001E-3</v>
      </c>
      <c r="H9" s="36">
        <v>5.0000000000000001E-3</v>
      </c>
      <c r="I9" s="36">
        <v>5.0000000000000001E-3</v>
      </c>
      <c r="J9" s="36">
        <v>5.0000000000000001E-3</v>
      </c>
    </row>
    <row r="10" spans="2:12" ht="20.100000000000001" customHeight="1">
      <c r="B10" s="36" t="s">
        <v>287</v>
      </c>
      <c r="C10" s="36">
        <v>7.13</v>
      </c>
      <c r="D10" s="36">
        <v>7.13</v>
      </c>
      <c r="E10" s="36">
        <v>7.13</v>
      </c>
      <c r="F10" s="36">
        <v>7.13</v>
      </c>
      <c r="G10" s="36">
        <v>7.13</v>
      </c>
      <c r="H10" s="36">
        <v>7.13</v>
      </c>
      <c r="I10" s="36">
        <v>7.13</v>
      </c>
      <c r="J10" s="36">
        <v>7.13</v>
      </c>
    </row>
    <row r="11" spans="2:12" ht="20.100000000000001" customHeight="1">
      <c r="B11" s="36" t="s">
        <v>288</v>
      </c>
      <c r="C11" s="36">
        <v>1E-3</v>
      </c>
      <c r="D11" s="36">
        <v>1E-3</v>
      </c>
      <c r="E11" s="36">
        <v>1E-3</v>
      </c>
      <c r="F11" s="36">
        <v>1E-3</v>
      </c>
      <c r="G11" s="36">
        <v>1E-3</v>
      </c>
      <c r="H11" s="36">
        <v>1E-3</v>
      </c>
      <c r="I11" s="36">
        <v>1E-3</v>
      </c>
      <c r="J11" s="36">
        <v>1E-3</v>
      </c>
    </row>
    <row r="12" spans="2:12" ht="20.100000000000001" customHeight="1">
      <c r="B12" s="36" t="s">
        <v>289</v>
      </c>
      <c r="C12" s="36">
        <v>6.4630000000000001</v>
      </c>
      <c r="D12" s="36">
        <v>6.4630000000000001</v>
      </c>
      <c r="E12" s="36">
        <v>6.4630000000000001</v>
      </c>
      <c r="F12" s="36">
        <v>6.4630000000000001</v>
      </c>
      <c r="G12" s="36">
        <v>6.4630000000000001</v>
      </c>
      <c r="H12" s="36">
        <v>6.4630000000000001</v>
      </c>
      <c r="I12" s="36">
        <v>6.4630000000000001</v>
      </c>
      <c r="J12" s="36">
        <v>6.4630000000000001</v>
      </c>
    </row>
    <row r="13" spans="2:12" ht="20.100000000000001" customHeight="1">
      <c r="B13" s="36" t="s">
        <v>290</v>
      </c>
      <c r="C13" s="36">
        <v>0.17799999999999999</v>
      </c>
      <c r="D13" s="36">
        <v>0.17799999999999999</v>
      </c>
      <c r="E13" s="36">
        <v>0.17799999999999999</v>
      </c>
      <c r="F13" s="36">
        <v>0.17799999999999999</v>
      </c>
      <c r="G13" s="36">
        <v>0.17799999999999999</v>
      </c>
      <c r="H13" s="36">
        <v>0.17799999999999999</v>
      </c>
      <c r="I13" s="36">
        <v>0.17799999999999999</v>
      </c>
      <c r="J13" s="36">
        <v>0.17799999999999999</v>
      </c>
    </row>
    <row r="14" spans="2:12" ht="20.100000000000001" customHeight="1">
      <c r="B14" s="36" t="s">
        <v>291</v>
      </c>
      <c r="C14" s="36">
        <v>6.9640000000000004</v>
      </c>
      <c r="D14" s="36">
        <v>6.9640000000000004</v>
      </c>
      <c r="E14" s="36">
        <v>5.66</v>
      </c>
      <c r="F14" s="36">
        <v>5.66</v>
      </c>
      <c r="G14" s="36">
        <v>5.66</v>
      </c>
      <c r="H14" s="36">
        <v>5.66</v>
      </c>
      <c r="I14" s="36">
        <v>4.3380000000000001</v>
      </c>
      <c r="J14" s="36">
        <v>4.3380000000000001</v>
      </c>
    </row>
    <row r="15" spans="2:12" ht="20.100000000000001" customHeight="1">
      <c r="B15" s="36" t="s">
        <v>292</v>
      </c>
      <c r="C15" s="36">
        <v>1.2999999999999999E-2</v>
      </c>
      <c r="D15" s="36">
        <v>1.2999999999999999E-2</v>
      </c>
      <c r="E15" s="36">
        <v>1.4E-2</v>
      </c>
      <c r="F15" s="36">
        <v>1.4E-2</v>
      </c>
      <c r="G15" s="36">
        <v>1.4E-2</v>
      </c>
      <c r="H15" s="36">
        <v>1.4E-2</v>
      </c>
      <c r="I15" s="36">
        <v>4.1000000000000002E-2</v>
      </c>
      <c r="J15" s="36">
        <v>4.1000000000000002E-2</v>
      </c>
    </row>
    <row r="16" spans="2:12" ht="20.100000000000001" customHeight="1">
      <c r="B16" s="36" t="s">
        <v>293</v>
      </c>
      <c r="C16" s="36">
        <v>2.089</v>
      </c>
      <c r="D16" s="36">
        <v>2.089</v>
      </c>
      <c r="E16" s="36">
        <v>1.98</v>
      </c>
      <c r="F16" s="36">
        <v>1.98</v>
      </c>
      <c r="G16" s="36">
        <v>1.98</v>
      </c>
      <c r="H16" s="36">
        <v>1.98</v>
      </c>
      <c r="I16" s="36">
        <v>0.20300000000000001</v>
      </c>
      <c r="J16" s="36">
        <v>0.20300000000000001</v>
      </c>
    </row>
    <row r="17" spans="2:10" ht="20.100000000000001" customHeight="1">
      <c r="B17" s="36" t="s">
        <v>294</v>
      </c>
      <c r="C17" s="36">
        <v>4.2999999999999997E-2</v>
      </c>
      <c r="D17" s="36">
        <v>4.2999999999999997E-2</v>
      </c>
      <c r="E17" s="36">
        <v>4.3999999999999997E-2</v>
      </c>
      <c r="F17" s="36">
        <v>4.3999999999999997E-2</v>
      </c>
      <c r="G17" s="36">
        <v>4.3999999999999997E-2</v>
      </c>
      <c r="H17" s="36">
        <v>4.3999999999999997E-2</v>
      </c>
      <c r="I17" s="36">
        <v>4.7E-2</v>
      </c>
      <c r="J17" s="36">
        <v>4.1000000000000002E-2</v>
      </c>
    </row>
    <row r="18" spans="2:10" ht="20.100000000000001" customHeight="1">
      <c r="B18" s="36" t="s">
        <v>295</v>
      </c>
      <c r="C18" s="36">
        <v>2.7890000000000001</v>
      </c>
      <c r="D18" s="36">
        <v>2.7890000000000001</v>
      </c>
      <c r="E18" s="36">
        <v>2.7890000000000001</v>
      </c>
      <c r="F18" s="36">
        <v>2.7890000000000001</v>
      </c>
      <c r="G18" s="36">
        <v>2.7890000000000001</v>
      </c>
      <c r="H18" s="36">
        <v>2.7890000000000001</v>
      </c>
      <c r="I18" s="36">
        <v>2.7890000000000001</v>
      </c>
      <c r="J18" s="36">
        <v>2.7890000000000001</v>
      </c>
    </row>
    <row r="19" spans="2:10" ht="20.100000000000001" customHeight="1">
      <c r="B19" s="36" t="s">
        <v>296</v>
      </c>
      <c r="C19" s="36">
        <v>1.0999999999999999E-2</v>
      </c>
      <c r="D19" s="36">
        <v>1.0999999999999999E-2</v>
      </c>
      <c r="E19" s="36">
        <v>1.0999999999999999E-2</v>
      </c>
      <c r="F19" s="36">
        <v>1.0999999999999999E-2</v>
      </c>
      <c r="G19" s="36">
        <v>1.0999999999999999E-2</v>
      </c>
      <c r="H19" s="36">
        <v>1.0999999999999999E-2</v>
      </c>
      <c r="I19" s="36">
        <v>1.0999999999999999E-2</v>
      </c>
      <c r="J19" s="36">
        <v>1.0999999999999999E-2</v>
      </c>
    </row>
    <row r="20" spans="2:10" ht="20.100000000000001" customHeight="1">
      <c r="B20" s="36" t="s">
        <v>297</v>
      </c>
      <c r="C20" s="36">
        <v>3.48</v>
      </c>
      <c r="D20" s="36">
        <v>3.48</v>
      </c>
      <c r="E20" s="36">
        <v>3.48</v>
      </c>
      <c r="F20" s="36">
        <v>3.48</v>
      </c>
      <c r="G20" s="36">
        <v>3.48</v>
      </c>
      <c r="H20" s="36">
        <v>3.48</v>
      </c>
      <c r="I20" s="36">
        <v>3.48</v>
      </c>
      <c r="J20" s="36">
        <v>3.48</v>
      </c>
    </row>
    <row r="21" spans="2:10" ht="20.100000000000001" customHeight="1">
      <c r="B21" s="36" t="s">
        <v>298</v>
      </c>
      <c r="C21" s="36">
        <v>8.9999999999999993E-3</v>
      </c>
      <c r="D21" s="36">
        <v>8.9999999999999993E-3</v>
      </c>
      <c r="E21" s="36">
        <v>8.9999999999999993E-3</v>
      </c>
      <c r="F21" s="36">
        <v>8.9999999999999993E-3</v>
      </c>
      <c r="G21" s="36">
        <v>8.9999999999999993E-3</v>
      </c>
      <c r="H21" s="36">
        <v>8.9999999999999993E-3</v>
      </c>
      <c r="I21" s="36">
        <v>8.9999999999999993E-3</v>
      </c>
      <c r="J21" s="36">
        <v>8.9999999999999993E-3</v>
      </c>
    </row>
    <row r="22" spans="2:10" ht="20.100000000000001" customHeight="1">
      <c r="B22" s="36" t="s">
        <v>299</v>
      </c>
      <c r="C22" s="36">
        <v>4.7190000000000003</v>
      </c>
      <c r="D22" s="36">
        <v>4.7190000000000003</v>
      </c>
      <c r="E22" s="36">
        <v>4.7190000000000003</v>
      </c>
      <c r="F22" s="36">
        <v>4.7190000000000003</v>
      </c>
      <c r="G22" s="36">
        <v>4.7190000000000003</v>
      </c>
      <c r="H22" s="36">
        <v>4.7190000000000003</v>
      </c>
      <c r="I22" s="36">
        <v>4.7190000000000003</v>
      </c>
      <c r="J22" s="36">
        <v>4.7190000000000003</v>
      </c>
    </row>
    <row r="23" spans="2:10" ht="20.100000000000001" customHeight="1">
      <c r="B23" s="36" t="s">
        <v>300</v>
      </c>
      <c r="C23" s="36">
        <v>1E-3</v>
      </c>
      <c r="D23" s="36">
        <v>1E-3</v>
      </c>
      <c r="E23" s="36">
        <v>1E-3</v>
      </c>
      <c r="F23" s="36">
        <v>1E-3</v>
      </c>
      <c r="G23" s="36">
        <v>1E-3</v>
      </c>
      <c r="H23" s="36">
        <v>1E-3</v>
      </c>
      <c r="I23" s="36">
        <v>1E-3</v>
      </c>
      <c r="J23" s="36">
        <v>1E-3</v>
      </c>
    </row>
    <row r="24" spans="2:10" ht="20.100000000000001" customHeight="1">
      <c r="B24" s="36" t="s">
        <v>301</v>
      </c>
      <c r="C24" s="36">
        <v>5.492</v>
      </c>
      <c r="D24" s="36">
        <v>5.492</v>
      </c>
      <c r="E24" s="36">
        <v>5.492</v>
      </c>
      <c r="F24" s="36">
        <v>5.492</v>
      </c>
      <c r="G24" s="36">
        <v>5.492</v>
      </c>
      <c r="H24" s="36">
        <v>5.492</v>
      </c>
      <c r="I24" s="36">
        <v>5.492</v>
      </c>
      <c r="J24" s="36">
        <v>5.492</v>
      </c>
    </row>
    <row r="25" spans="2:10" ht="20.100000000000001" customHeight="1">
      <c r="B25" s="36" t="s">
        <v>302</v>
      </c>
      <c r="C25" s="36">
        <v>4.1000000000000002E-2</v>
      </c>
      <c r="D25" s="36">
        <v>4.1000000000000002E-2</v>
      </c>
      <c r="E25" s="36">
        <v>4.1000000000000002E-2</v>
      </c>
      <c r="F25" s="36">
        <v>4.1000000000000002E-2</v>
      </c>
      <c r="G25" s="36">
        <v>4.1000000000000002E-2</v>
      </c>
      <c r="H25" s="36">
        <v>4.1000000000000002E-2</v>
      </c>
      <c r="I25" s="36">
        <v>4.1000000000000002E-2</v>
      </c>
      <c r="J25" s="36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561975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37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109375" style="2" customWidth="1"/>
    <col min="3" max="3" width="7.42578125" style="2" customWidth="1"/>
    <col min="4" max="4" width="7.85546875" style="2" customWidth="1"/>
    <col min="5" max="5" width="10.140625" style="7" customWidth="1"/>
    <col min="6" max="6" width="9.140625" style="2" customWidth="1"/>
    <col min="7" max="7" width="9.85546875" style="2" customWidth="1"/>
    <col min="8" max="8" width="8.28515625" style="2" customWidth="1"/>
    <col min="9" max="10" width="9" style="8"/>
    <col min="11" max="11" width="14.42578125" style="2" customWidth="1"/>
    <col min="12" max="12" width="11.42578125" style="2" customWidth="1"/>
    <col min="13" max="13" width="25.28515625" style="2" customWidth="1"/>
    <col min="14" max="17" width="9" style="2"/>
    <col min="18" max="18" width="11.42578125" style="2" bestFit="1" customWidth="1"/>
    <col min="19" max="16384" width="9" style="2"/>
  </cols>
  <sheetData>
    <row r="1" spans="1:19" ht="47.25" customHeight="1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304</v>
      </c>
      <c r="G1" s="1" t="s">
        <v>303</v>
      </c>
      <c r="H1" s="1" t="s">
        <v>305</v>
      </c>
      <c r="I1" s="1" t="s">
        <v>10</v>
      </c>
      <c r="J1" s="1" t="s">
        <v>245</v>
      </c>
      <c r="K1" s="2" t="s">
        <v>18</v>
      </c>
      <c r="L1" s="1" t="s">
        <v>7</v>
      </c>
      <c r="M1" s="1"/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S1" s="2" t="s">
        <v>12</v>
      </c>
    </row>
    <row r="2" spans="1:19" ht="21.75" customHeight="1">
      <c r="A2" s="2" t="s">
        <v>25</v>
      </c>
      <c r="B2" s="1" t="s">
        <v>24</v>
      </c>
      <c r="C2" s="2" t="s">
        <v>319</v>
      </c>
      <c r="D2" s="2" t="s">
        <v>323</v>
      </c>
      <c r="E2" s="7" t="s">
        <v>335</v>
      </c>
      <c r="F2" s="2">
        <v>30</v>
      </c>
      <c r="G2" s="2">
        <v>50</v>
      </c>
      <c r="H2" s="2">
        <v>0.3</v>
      </c>
      <c r="I2" s="2">
        <v>30</v>
      </c>
      <c r="J2" s="2">
        <v>15</v>
      </c>
      <c r="K2" s="2" t="s">
        <v>150</v>
      </c>
      <c r="L2" s="14">
        <v>0.68</v>
      </c>
      <c r="M2" s="2" t="str">
        <f>D2&amp;" " &amp; E2</f>
        <v>송국리 413-5</v>
      </c>
      <c r="N2" s="2">
        <v>30</v>
      </c>
      <c r="O2" s="2">
        <v>50</v>
      </c>
      <c r="P2" s="2">
        <v>0.3</v>
      </c>
      <c r="Q2" s="2">
        <v>0.68</v>
      </c>
      <c r="R2" s="2" t="s">
        <v>150</v>
      </c>
      <c r="S2" s="2" t="s">
        <v>13</v>
      </c>
    </row>
    <row r="3" spans="1:19" ht="21.75" customHeight="1">
      <c r="A3" s="2" t="s">
        <v>28</v>
      </c>
      <c r="B3" s="43" t="s">
        <v>37</v>
      </c>
      <c r="C3" s="2" t="s">
        <v>319</v>
      </c>
      <c r="D3" s="2" t="s">
        <v>323</v>
      </c>
      <c r="E3" s="7" t="s">
        <v>343</v>
      </c>
      <c r="F3" s="2">
        <v>150</v>
      </c>
      <c r="G3" s="2">
        <v>250</v>
      </c>
      <c r="H3" s="2">
        <v>2</v>
      </c>
      <c r="I3" s="2">
        <v>160</v>
      </c>
      <c r="J3" s="2">
        <v>50</v>
      </c>
      <c r="K3" s="2" t="s">
        <v>155</v>
      </c>
      <c r="L3" s="14">
        <v>7.39</v>
      </c>
      <c r="M3" s="2" t="str">
        <f t="shared" ref="M3:M14" si="0">D3&amp;" " &amp; E3</f>
        <v>송국리 211-2</v>
      </c>
      <c r="N3" s="2">
        <v>150</v>
      </c>
      <c r="O3" s="2">
        <v>250</v>
      </c>
      <c r="P3" s="2">
        <v>2</v>
      </c>
      <c r="Q3" s="2">
        <v>7.39</v>
      </c>
      <c r="R3" s="2" t="s">
        <v>155</v>
      </c>
      <c r="S3" s="2" t="s">
        <v>13</v>
      </c>
    </row>
    <row r="4" spans="1:19" ht="21.75" customHeight="1">
      <c r="A4" s="2" t="s">
        <v>29</v>
      </c>
      <c r="B4" s="43" t="s">
        <v>37</v>
      </c>
      <c r="C4" s="2" t="s">
        <v>319</v>
      </c>
      <c r="D4" s="2" t="s">
        <v>323</v>
      </c>
      <c r="E4" s="7" t="s">
        <v>344</v>
      </c>
      <c r="F4" s="2">
        <v>150</v>
      </c>
      <c r="G4" s="2">
        <v>250</v>
      </c>
      <c r="H4" s="2">
        <v>5</v>
      </c>
      <c r="I4" s="2">
        <v>180</v>
      </c>
      <c r="J4" s="2">
        <v>50</v>
      </c>
      <c r="K4" s="2" t="s">
        <v>155</v>
      </c>
      <c r="L4" s="14">
        <v>7.39</v>
      </c>
      <c r="M4" s="2" t="str">
        <f t="shared" si="0"/>
        <v>송국리 158-2</v>
      </c>
      <c r="N4" s="2">
        <v>150</v>
      </c>
      <c r="O4" s="2">
        <v>250</v>
      </c>
      <c r="P4" s="2">
        <v>5</v>
      </c>
      <c r="Q4" s="2">
        <v>7.39</v>
      </c>
      <c r="R4" s="2" t="s">
        <v>155</v>
      </c>
      <c r="S4" s="2" t="s">
        <v>13</v>
      </c>
    </row>
    <row r="5" spans="1:19" ht="21.75" customHeight="1">
      <c r="A5" s="2" t="s">
        <v>30</v>
      </c>
      <c r="B5" s="43" t="s">
        <v>37</v>
      </c>
      <c r="C5" s="2" t="s">
        <v>319</v>
      </c>
      <c r="D5" s="2" t="s">
        <v>322</v>
      </c>
      <c r="E5" s="7" t="s">
        <v>356</v>
      </c>
      <c r="F5" s="2">
        <v>145</v>
      </c>
      <c r="G5" s="2">
        <v>250</v>
      </c>
      <c r="H5" s="2">
        <v>3</v>
      </c>
      <c r="I5" s="2">
        <v>150</v>
      </c>
      <c r="J5" s="2">
        <v>50</v>
      </c>
      <c r="K5" s="2" t="s">
        <v>155</v>
      </c>
      <c r="L5" s="14">
        <v>7.39</v>
      </c>
      <c r="M5" s="2" t="str">
        <f t="shared" si="0"/>
        <v>소사리 553-12</v>
      </c>
      <c r="N5" s="2">
        <v>145</v>
      </c>
      <c r="O5" s="2">
        <v>250</v>
      </c>
      <c r="P5" s="2">
        <v>3</v>
      </c>
      <c r="Q5" s="2">
        <v>7.39</v>
      </c>
      <c r="R5" s="2" t="s">
        <v>155</v>
      </c>
      <c r="S5" s="2" t="s">
        <v>13</v>
      </c>
    </row>
    <row r="6" spans="1:19" ht="21.75" customHeight="1">
      <c r="A6" s="2" t="s">
        <v>31</v>
      </c>
      <c r="B6" s="1" t="s">
        <v>24</v>
      </c>
      <c r="C6" s="2" t="s">
        <v>319</v>
      </c>
      <c r="D6" s="2" t="s">
        <v>366</v>
      </c>
      <c r="E6" s="7" t="s">
        <v>368</v>
      </c>
      <c r="F6" s="2">
        <v>100</v>
      </c>
      <c r="G6" s="2">
        <v>150</v>
      </c>
      <c r="H6" s="2">
        <v>1</v>
      </c>
      <c r="I6" s="2">
        <v>30</v>
      </c>
      <c r="J6" s="2">
        <v>25</v>
      </c>
      <c r="K6" s="2" t="s">
        <v>150</v>
      </c>
      <c r="L6" s="14">
        <v>0.68</v>
      </c>
      <c r="M6" s="2" t="str">
        <f t="shared" si="0"/>
        <v>진호리 208</v>
      </c>
      <c r="N6" s="2">
        <v>100</v>
      </c>
      <c r="O6" s="2">
        <v>150</v>
      </c>
      <c r="P6" s="2">
        <v>1</v>
      </c>
      <c r="Q6" s="2">
        <v>0.68</v>
      </c>
      <c r="R6" s="2" t="s">
        <v>150</v>
      </c>
      <c r="S6" s="2" t="s">
        <v>13</v>
      </c>
    </row>
    <row r="7" spans="1:19" ht="21.75" customHeight="1">
      <c r="A7" s="2" t="s">
        <v>316</v>
      </c>
      <c r="B7" s="1" t="s">
        <v>24</v>
      </c>
      <c r="C7" s="2" t="s">
        <v>319</v>
      </c>
      <c r="D7" s="2" t="s">
        <v>322</v>
      </c>
      <c r="E7" s="7" t="s">
        <v>374</v>
      </c>
      <c r="F7" s="2">
        <v>100</v>
      </c>
      <c r="G7" s="2">
        <v>150</v>
      </c>
      <c r="H7" s="2">
        <v>1</v>
      </c>
      <c r="I7" s="2">
        <v>27</v>
      </c>
      <c r="J7" s="2">
        <v>20</v>
      </c>
      <c r="K7" s="2" t="s">
        <v>151</v>
      </c>
      <c r="L7" s="14">
        <v>3.82</v>
      </c>
      <c r="M7" s="2" t="str">
        <f t="shared" si="0"/>
        <v>소사리 621-29</v>
      </c>
      <c r="N7" s="2">
        <v>100</v>
      </c>
      <c r="O7" s="2">
        <v>150</v>
      </c>
      <c r="P7" s="2">
        <v>1</v>
      </c>
      <c r="Q7" s="2">
        <v>3.82</v>
      </c>
      <c r="R7" s="2" t="s">
        <v>151</v>
      </c>
      <c r="S7" s="2" t="s">
        <v>13</v>
      </c>
    </row>
    <row r="8" spans="1:19" ht="21.75" customHeight="1">
      <c r="A8" s="2" t="s">
        <v>336</v>
      </c>
      <c r="B8" s="43" t="s">
        <v>37</v>
      </c>
      <c r="C8" s="2" t="s">
        <v>319</v>
      </c>
      <c r="D8" s="2" t="s">
        <v>366</v>
      </c>
      <c r="E8" s="7" t="s">
        <v>392</v>
      </c>
      <c r="F8" s="2">
        <v>150</v>
      </c>
      <c r="G8" s="2">
        <v>250</v>
      </c>
      <c r="H8" s="2">
        <v>5</v>
      </c>
      <c r="I8" s="2">
        <v>170</v>
      </c>
      <c r="J8" s="2">
        <v>50</v>
      </c>
      <c r="K8" s="2" t="s">
        <v>155</v>
      </c>
      <c r="L8" s="14">
        <v>7.39</v>
      </c>
      <c r="M8" s="2" t="str">
        <f t="shared" si="0"/>
        <v>진호리 356-4</v>
      </c>
      <c r="N8" s="2">
        <v>150</v>
      </c>
      <c r="O8" s="2">
        <v>250</v>
      </c>
      <c r="P8" s="2">
        <v>5</v>
      </c>
      <c r="Q8" s="2">
        <v>7.39</v>
      </c>
      <c r="R8" s="2" t="s">
        <v>155</v>
      </c>
      <c r="S8" s="2" t="s">
        <v>13</v>
      </c>
    </row>
    <row r="9" spans="1:19" ht="21.75" customHeight="1">
      <c r="A9" s="2" t="s">
        <v>337</v>
      </c>
      <c r="B9" s="1" t="s">
        <v>24</v>
      </c>
      <c r="C9" s="2" t="s">
        <v>319</v>
      </c>
      <c r="D9" s="2" t="s">
        <v>323</v>
      </c>
      <c r="E9" s="7" t="s">
        <v>399</v>
      </c>
      <c r="F9" s="2">
        <v>150</v>
      </c>
      <c r="G9" s="2">
        <v>250</v>
      </c>
      <c r="H9" s="2">
        <v>5</v>
      </c>
      <c r="I9" s="2">
        <v>173</v>
      </c>
      <c r="J9" s="2">
        <v>50</v>
      </c>
      <c r="K9" s="2" t="s">
        <v>155</v>
      </c>
      <c r="L9" s="14">
        <v>7.39</v>
      </c>
      <c r="M9" s="2" t="str">
        <f t="shared" si="0"/>
        <v>송국리 552-2</v>
      </c>
      <c r="N9" s="2">
        <v>150</v>
      </c>
      <c r="O9" s="2">
        <v>250</v>
      </c>
      <c r="P9" s="2">
        <v>5</v>
      </c>
      <c r="Q9" s="2">
        <v>7.39</v>
      </c>
      <c r="R9" s="2" t="s">
        <v>155</v>
      </c>
      <c r="S9" s="2" t="s">
        <v>13</v>
      </c>
    </row>
    <row r="10" spans="1:19" ht="21.75" customHeight="1">
      <c r="A10" s="2" t="s">
        <v>338</v>
      </c>
      <c r="B10" s="1" t="s">
        <v>24</v>
      </c>
      <c r="C10" s="2" t="s">
        <v>319</v>
      </c>
      <c r="D10" s="2" t="s">
        <v>323</v>
      </c>
      <c r="E10" s="7" t="s">
        <v>410</v>
      </c>
      <c r="F10" s="2">
        <v>80</v>
      </c>
      <c r="G10" s="2">
        <v>150</v>
      </c>
      <c r="H10" s="2">
        <v>2</v>
      </c>
      <c r="I10" s="2">
        <v>65</v>
      </c>
      <c r="J10" s="2">
        <v>40</v>
      </c>
      <c r="K10" s="2" t="s">
        <v>150</v>
      </c>
      <c r="L10" s="14">
        <v>0.68</v>
      </c>
      <c r="M10" s="2" t="str">
        <f t="shared" si="0"/>
        <v>송국리 543-1</v>
      </c>
      <c r="N10" s="2">
        <v>80</v>
      </c>
      <c r="O10" s="2">
        <v>150</v>
      </c>
      <c r="P10" s="2">
        <v>2</v>
      </c>
      <c r="Q10" s="2">
        <v>0.68</v>
      </c>
      <c r="R10" s="2" t="s">
        <v>150</v>
      </c>
      <c r="S10" s="2" t="s">
        <v>13</v>
      </c>
    </row>
    <row r="11" spans="1:19" ht="21.75" customHeight="1">
      <c r="A11" s="2" t="s">
        <v>339</v>
      </c>
      <c r="B11" s="1" t="s">
        <v>24</v>
      </c>
      <c r="C11" s="2" t="s">
        <v>319</v>
      </c>
      <c r="D11" s="2" t="s">
        <v>411</v>
      </c>
      <c r="E11" s="7" t="s">
        <v>412</v>
      </c>
      <c r="F11" s="2">
        <v>60</v>
      </c>
      <c r="G11" s="2">
        <v>150</v>
      </c>
      <c r="H11" s="2">
        <v>1</v>
      </c>
      <c r="I11" s="2">
        <v>60</v>
      </c>
      <c r="J11" s="2">
        <v>25</v>
      </c>
      <c r="K11" s="2" t="s">
        <v>151</v>
      </c>
      <c r="L11" s="14">
        <v>4.18</v>
      </c>
      <c r="M11" s="2" t="str">
        <f t="shared" si="0"/>
        <v>세탑리 43</v>
      </c>
      <c r="N11" s="2">
        <v>60</v>
      </c>
      <c r="O11" s="2">
        <v>150</v>
      </c>
      <c r="P11" s="2">
        <v>1</v>
      </c>
      <c r="Q11" s="2">
        <v>4.18</v>
      </c>
      <c r="R11" s="2" t="s">
        <v>151</v>
      </c>
      <c r="S11" s="2" t="s">
        <v>13</v>
      </c>
    </row>
    <row r="12" spans="1:19" ht="21.75" customHeight="1">
      <c r="A12" s="2" t="s">
        <v>340</v>
      </c>
      <c r="B12" s="1" t="s">
        <v>24</v>
      </c>
      <c r="C12" s="2" t="s">
        <v>319</v>
      </c>
      <c r="D12" s="2" t="s">
        <v>417</v>
      </c>
      <c r="E12" s="7" t="s">
        <v>419</v>
      </c>
      <c r="F12" s="2">
        <v>18</v>
      </c>
      <c r="G12" s="2">
        <v>50</v>
      </c>
      <c r="H12" s="2">
        <v>0.3</v>
      </c>
      <c r="I12" s="2">
        <v>25</v>
      </c>
      <c r="J12" s="2">
        <v>13</v>
      </c>
      <c r="K12" s="2" t="s">
        <v>150</v>
      </c>
      <c r="L12" s="14">
        <v>0.68</v>
      </c>
      <c r="M12" s="2" t="str">
        <f t="shared" si="0"/>
        <v>남산리 277</v>
      </c>
      <c r="N12" s="2">
        <v>18</v>
      </c>
      <c r="O12" s="2">
        <v>50</v>
      </c>
      <c r="P12" s="2">
        <v>0.3</v>
      </c>
      <c r="Q12" s="2">
        <v>0.68</v>
      </c>
      <c r="R12" s="2" t="s">
        <v>150</v>
      </c>
      <c r="S12" s="2" t="s">
        <v>13</v>
      </c>
    </row>
    <row r="13" spans="1:19" ht="21.75" customHeight="1">
      <c r="A13" s="2" t="s">
        <v>341</v>
      </c>
      <c r="B13" s="1" t="s">
        <v>24</v>
      </c>
      <c r="C13" s="2" t="s">
        <v>319</v>
      </c>
      <c r="D13" s="2" t="s">
        <v>366</v>
      </c>
      <c r="E13" s="7" t="s">
        <v>420</v>
      </c>
      <c r="F13" s="2">
        <v>60</v>
      </c>
      <c r="G13" s="2">
        <v>125</v>
      </c>
      <c r="H13" s="2">
        <v>1</v>
      </c>
      <c r="I13" s="2">
        <v>80</v>
      </c>
      <c r="J13" s="2">
        <v>25</v>
      </c>
      <c r="K13" s="2" t="s">
        <v>151</v>
      </c>
      <c r="L13" s="14">
        <v>4.4000000000000004</v>
      </c>
      <c r="M13" s="2" t="str">
        <f t="shared" si="0"/>
        <v>진호리 386-1</v>
      </c>
      <c r="N13" s="2">
        <v>60</v>
      </c>
      <c r="O13" s="2">
        <v>125</v>
      </c>
      <c r="P13" s="2">
        <v>1</v>
      </c>
      <c r="Q13" s="2">
        <v>4.4000000000000004</v>
      </c>
      <c r="R13" s="2" t="s">
        <v>151</v>
      </c>
      <c r="S13" s="2" t="s">
        <v>13</v>
      </c>
    </row>
    <row r="14" spans="1:19" ht="21.75" customHeight="1">
      <c r="A14" s="2" t="s">
        <v>421</v>
      </c>
      <c r="B14" s="1" t="s">
        <v>24</v>
      </c>
      <c r="C14" s="2" t="s">
        <v>319</v>
      </c>
      <c r="D14" s="2" t="s">
        <v>366</v>
      </c>
      <c r="E14" s="7" t="s">
        <v>422</v>
      </c>
      <c r="F14" s="2">
        <v>30</v>
      </c>
      <c r="G14" s="2">
        <v>50</v>
      </c>
      <c r="H14" s="2">
        <v>0.3</v>
      </c>
      <c r="I14" s="2">
        <v>20</v>
      </c>
      <c r="J14" s="2">
        <v>15</v>
      </c>
      <c r="K14" s="2" t="s">
        <v>150</v>
      </c>
      <c r="L14" s="14">
        <v>0.68</v>
      </c>
      <c r="M14" s="2" t="str">
        <f t="shared" si="0"/>
        <v>진호리 373-1</v>
      </c>
      <c r="N14" s="2">
        <v>30</v>
      </c>
      <c r="O14" s="2">
        <v>50</v>
      </c>
      <c r="P14" s="2">
        <v>0.3</v>
      </c>
      <c r="Q14" s="2">
        <v>0.68</v>
      </c>
      <c r="R14" s="2" t="s">
        <v>150</v>
      </c>
      <c r="S14" s="2" t="s">
        <v>13</v>
      </c>
    </row>
    <row r="15" spans="1:19" ht="21" customHeight="1">
      <c r="B15" s="1"/>
      <c r="I15" s="2"/>
      <c r="J15" s="2"/>
      <c r="L15" s="3"/>
    </row>
    <row r="16" spans="1:19" ht="21.75" customHeight="1">
      <c r="I16" s="2"/>
      <c r="J16" s="2"/>
    </row>
    <row r="17" spans="2:12" ht="21.75" customHeight="1" thickBot="1">
      <c r="K17" s="2" t="s">
        <v>36</v>
      </c>
      <c r="L17" s="38">
        <f>SUM(L2:L16)</f>
        <v>52.75</v>
      </c>
    </row>
    <row r="18" spans="2:12" ht="21.75" customHeight="1">
      <c r="B18" s="15" t="s">
        <v>306</v>
      </c>
      <c r="C18" s="47" t="s">
        <v>307</v>
      </c>
      <c r="D18" s="48"/>
      <c r="E18" s="47" t="s">
        <v>310</v>
      </c>
      <c r="F18" s="48"/>
      <c r="G18" s="47" t="s">
        <v>311</v>
      </c>
      <c r="H18" s="48"/>
      <c r="I18" s="47" t="s">
        <v>312</v>
      </c>
      <c r="J18" s="49"/>
      <c r="L18" s="13"/>
    </row>
    <row r="19" spans="2:12" ht="21.75" customHeight="1">
      <c r="B19" s="20" t="s">
        <v>308</v>
      </c>
      <c r="C19" s="17">
        <f ca="1">E19+G19+I19</f>
        <v>55</v>
      </c>
      <c r="D19" s="17">
        <f ca="1">F19+H19+J19</f>
        <v>296.00000000000011</v>
      </c>
      <c r="E19" s="17">
        <f ca="1">IF(F19=0,0,COUNTIF(SS_INSIDE_AREA,"O"))</f>
        <v>13</v>
      </c>
      <c r="F19" s="17">
        <f ca="1">SUMIF(SS_INSIDE_AREA,"O",$L$2:$L$2)</f>
        <v>52.75</v>
      </c>
      <c r="G19" s="17">
        <f ca="1">IF(H19=0,0,COUNTIF(AA_INSIDE_AREA,"O"))</f>
        <v>40</v>
      </c>
      <c r="H19" s="17">
        <f ca="1">aa!$D$45</f>
        <v>229.25000000000009</v>
      </c>
      <c r="I19" s="17">
        <f ca="1">IF(J19=0,0,COUNTIF(II_INSIDE_AREA,"O"))</f>
        <v>2</v>
      </c>
      <c r="J19" s="21">
        <f ca="1">ii!$D$9</f>
        <v>14</v>
      </c>
      <c r="K19" s="2" t="s">
        <v>33</v>
      </c>
      <c r="L19" s="39">
        <f>L17+aa!L44+ii!L6</f>
        <v>296.00000000000011</v>
      </c>
    </row>
    <row r="20" spans="2:12" ht="21.75" customHeight="1" thickBot="1">
      <c r="B20" s="16" t="s">
        <v>309</v>
      </c>
      <c r="C20" s="22">
        <f ca="1">E20+G20+I20</f>
        <v>0</v>
      </c>
      <c r="D20" s="22">
        <f ca="1">F20+H20+J20</f>
        <v>0</v>
      </c>
      <c r="E20" s="22">
        <f ca="1">IF(F20=0,0,COUNTIF(SS_INSIDE_AREA,"X"))</f>
        <v>0</v>
      </c>
      <c r="F20" s="22">
        <f ca="1">SUMIF(SS_INSIDE_AREA,"X",$L$2:$L$2)</f>
        <v>0</v>
      </c>
      <c r="G20" s="22">
        <f ca="1">IF(H20=0,0,COUNTIF(AA_INSIDE_AREA,"X"))</f>
        <v>0</v>
      </c>
      <c r="H20" s="22">
        <f ca="1">aa!$D$46</f>
        <v>0</v>
      </c>
      <c r="I20" s="22">
        <f ca="1">IF(J20=0,0,COUNTIF(II_INSIDE_AREA,"X"))</f>
        <v>0</v>
      </c>
      <c r="J20" s="23">
        <f ca="1">ii!$D$10</f>
        <v>0</v>
      </c>
    </row>
    <row r="21" spans="2:12" ht="21.75" customHeight="1">
      <c r="B21"/>
      <c r="C21"/>
      <c r="D21"/>
      <c r="E21"/>
      <c r="F21"/>
      <c r="G21"/>
      <c r="H21"/>
      <c r="I21"/>
      <c r="K21" s="15" t="s">
        <v>34</v>
      </c>
      <c r="L21" s="40">
        <f ca="1">D19</f>
        <v>296.00000000000011</v>
      </c>
    </row>
    <row r="22" spans="2:12" ht="21.75" customHeight="1" thickBot="1">
      <c r="B22"/>
      <c r="C22"/>
      <c r="D22"/>
      <c r="E22"/>
      <c r="F22"/>
      <c r="G22"/>
      <c r="H22"/>
      <c r="I22"/>
      <c r="K22" s="16" t="s">
        <v>35</v>
      </c>
      <c r="L22" s="41">
        <f ca="1">C19</f>
        <v>55</v>
      </c>
    </row>
    <row r="23" spans="2:12" ht="21.75" customHeight="1">
      <c r="B23"/>
      <c r="C23"/>
      <c r="D23"/>
      <c r="E23"/>
      <c r="F23"/>
      <c r="G23"/>
      <c r="H23"/>
      <c r="I23"/>
    </row>
    <row r="24" spans="2:12" ht="21.75" customHeight="1">
      <c r="B24"/>
      <c r="C24"/>
      <c r="D24"/>
      <c r="E24"/>
      <c r="F24"/>
      <c r="G24"/>
      <c r="H24"/>
      <c r="I24"/>
    </row>
    <row r="25" spans="2:12" ht="21.75" customHeight="1">
      <c r="B25"/>
      <c r="C25"/>
      <c r="D25"/>
      <c r="E25"/>
      <c r="F25"/>
      <c r="G25"/>
      <c r="H25"/>
      <c r="I25"/>
    </row>
    <row r="26" spans="2:12" ht="21.75" customHeight="1">
      <c r="B26"/>
      <c r="C26"/>
      <c r="D26"/>
      <c r="E26"/>
      <c r="F26"/>
      <c r="G26"/>
      <c r="H26"/>
      <c r="I26"/>
    </row>
    <row r="27" spans="2:12" ht="21.75" customHeight="1">
      <c r="B27"/>
      <c r="C27"/>
      <c r="D27"/>
      <c r="E27"/>
      <c r="F27"/>
      <c r="G27"/>
      <c r="H27"/>
      <c r="I27"/>
    </row>
    <row r="28" spans="2:12" ht="21.75" customHeight="1">
      <c r="B28"/>
      <c r="C28"/>
      <c r="D28"/>
      <c r="E28"/>
      <c r="F28"/>
      <c r="G28"/>
      <c r="H28"/>
      <c r="I28"/>
    </row>
    <row r="29" spans="2:12" ht="21.75" customHeight="1">
      <c r="B29"/>
      <c r="C29"/>
      <c r="D29"/>
      <c r="E29"/>
      <c r="F29"/>
      <c r="G29"/>
      <c r="H29"/>
      <c r="I29"/>
    </row>
    <row r="30" spans="2:12" ht="21.75" customHeight="1">
      <c r="B30"/>
      <c r="C30"/>
      <c r="D30"/>
      <c r="E30"/>
      <c r="F30"/>
      <c r="G30"/>
      <c r="H30"/>
      <c r="I30"/>
    </row>
    <row r="31" spans="2:12" ht="21.75" customHeight="1">
      <c r="B31"/>
      <c r="C31"/>
      <c r="D31"/>
      <c r="E31"/>
      <c r="F31"/>
      <c r="G31"/>
      <c r="H31"/>
      <c r="I31"/>
    </row>
    <row r="37" spans="11:17" ht="21.75" customHeight="1">
      <c r="K37" s="12"/>
      <c r="L37" s="12"/>
      <c r="M37" s="12"/>
      <c r="N37" s="12"/>
      <c r="O37" s="12"/>
      <c r="P37" s="12"/>
      <c r="Q37" s="12"/>
    </row>
  </sheetData>
  <dataConsolidate/>
  <mergeCells count="4">
    <mergeCell ref="C18:D18"/>
    <mergeCell ref="E18:F18"/>
    <mergeCell ref="G18:H18"/>
    <mergeCell ref="I18:J18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9" r:id="rId4" name="TextBox_AREA">
          <controlPr defaultSize="0" disabled="1" autoLine="0" r:id="rId5">
            <anchor moveWithCells="1">
              <from>
                <xdr:col>19</xdr:col>
                <xdr:colOff>114300</xdr:colOff>
                <xdr:row>2</xdr:row>
                <xdr:rowOff>238125</xdr:rowOff>
              </from>
              <to>
                <xdr:col>22</xdr:col>
                <xdr:colOff>76200</xdr:colOff>
                <xdr:row>4</xdr:row>
                <xdr:rowOff>9525</xdr:rowOff>
              </to>
            </anchor>
          </controlPr>
        </control>
      </mc:Choice>
      <mc:Fallback>
        <control shapeId="2059" r:id="rId4" name="TextBox_AREA"/>
      </mc:Fallback>
    </mc:AlternateContent>
    <mc:AlternateContent xmlns:mc="http://schemas.openxmlformats.org/markup-compatibility/2006">
      <mc:Choice Requires="x14">
        <control shapeId="2058" r:id="rId6" name="CommandButton5">
          <controlPr defaultSize="0" autoLine="0" autoPict="0" r:id="rId7">
            <anchor moveWithCells="1">
              <from>
                <xdr:col>20</xdr:col>
                <xdr:colOff>447675</xdr:colOff>
                <xdr:row>0</xdr:row>
                <xdr:rowOff>76200</xdr:rowOff>
              </from>
              <to>
                <xdr:col>22</xdr:col>
                <xdr:colOff>180975</xdr:colOff>
                <xdr:row>0</xdr:row>
                <xdr:rowOff>361950</xdr:rowOff>
              </to>
            </anchor>
          </controlPr>
        </control>
      </mc:Choice>
      <mc:Fallback>
        <control shapeId="2058" r:id="rId6" name="CommandButton5"/>
      </mc:Fallback>
    </mc:AlternateContent>
    <mc:AlternateContent xmlns:mc="http://schemas.openxmlformats.org/markup-compatibility/2006">
      <mc:Choice Requires="x14">
        <control shapeId="2052" r:id="rId8" name="CommandButton2">
          <controlPr defaultSize="0" autoLine="0" r:id="rId9">
            <anchor moveWithCells="1">
              <from>
                <xdr:col>12</xdr:col>
                <xdr:colOff>371475</xdr:colOff>
                <xdr:row>0</xdr:row>
                <xdr:rowOff>142875</xdr:rowOff>
              </from>
              <to>
                <xdr:col>12</xdr:col>
                <xdr:colOff>1590675</xdr:colOff>
                <xdr:row>0</xdr:row>
                <xdr:rowOff>504825</xdr:rowOff>
              </to>
            </anchor>
          </controlPr>
        </control>
      </mc:Choice>
      <mc:Fallback>
        <control shapeId="2052" r:id="rId8" name="CommandButton2"/>
      </mc:Fallback>
    </mc:AlternateContent>
    <mc:AlternateContent xmlns:mc="http://schemas.openxmlformats.org/markup-compatibility/2006">
      <mc:Choice Requires="x14">
        <control shapeId="2049" r:id="rId10" name="CommandButtonCopy">
          <controlPr defaultSize="0" autoLine="0" autoPict="0" r:id="rId11">
            <anchor moveWithCells="1">
              <from>
                <xdr:col>19</xdr:col>
                <xdr:colOff>76200</xdr:colOff>
                <xdr:row>0</xdr:row>
                <xdr:rowOff>66675</xdr:rowOff>
              </from>
              <to>
                <xdr:col>20</xdr:col>
                <xdr:colOff>409575</xdr:colOff>
                <xdr:row>0</xdr:row>
                <xdr:rowOff>352425</xdr:rowOff>
              </to>
            </anchor>
          </controlPr>
        </control>
      </mc:Choice>
      <mc:Fallback>
        <control shapeId="2049" r:id="rId10" name="CommandButtonCopy"/>
      </mc:Fallback>
    </mc:AlternateContent>
    <mc:AlternateContent xmlns:mc="http://schemas.openxmlformats.org/markup-compatibility/2006">
      <mc:Choice Requires="x14">
        <control shapeId="2050" r:id="rId12" name="CommandButtonDelete">
          <controlPr defaultSize="0" autoLine="0" autoPict="0" r:id="rId13">
            <anchor moveWithCells="1">
              <from>
                <xdr:col>19</xdr:col>
                <xdr:colOff>76200</xdr:colOff>
                <xdr:row>0</xdr:row>
                <xdr:rowOff>409575</xdr:rowOff>
              </from>
              <to>
                <xdr:col>20</xdr:col>
                <xdr:colOff>409575</xdr:colOff>
                <xdr:row>1</xdr:row>
                <xdr:rowOff>95250</xdr:rowOff>
              </to>
            </anchor>
          </controlPr>
        </control>
      </mc:Choice>
      <mc:Fallback>
        <control shapeId="2050" r:id="rId12" name="CommandButtonDelete"/>
      </mc:Fallback>
    </mc:AlternateContent>
    <mc:AlternateContent xmlns:mc="http://schemas.openxmlformats.org/markup-compatibility/2006">
      <mc:Choice Requires="x14">
        <control shapeId="2051" r:id="rId14" name="CommandButton1">
          <controlPr defaultSize="0" autoLine="0" autoPict="0" r:id="rId15">
            <anchor moveWithCells="1">
              <from>
                <xdr:col>19</xdr:col>
                <xdr:colOff>76200</xdr:colOff>
                <xdr:row>1</xdr:row>
                <xdr:rowOff>152400</xdr:rowOff>
              </from>
              <to>
                <xdr:col>20</xdr:col>
                <xdr:colOff>409575</xdr:colOff>
                <xdr:row>2</xdr:row>
                <xdr:rowOff>161925</xdr:rowOff>
              </to>
            </anchor>
          </controlPr>
        </control>
      </mc:Choice>
      <mc:Fallback>
        <control shapeId="2051" r:id="rId14" name="CommandButton1"/>
      </mc:Fallback>
    </mc:AlternateContent>
    <mc:AlternateContent xmlns:mc="http://schemas.openxmlformats.org/markup-compatibility/2006">
      <mc:Choice Requires="x14">
        <control shapeId="2053" r:id="rId16" name="CommandButton3">
          <controlPr defaultSize="0" autoLine="0" autoPict="0" r:id="rId17">
            <anchor moveWithCells="1">
              <from>
                <xdr:col>20</xdr:col>
                <xdr:colOff>447675</xdr:colOff>
                <xdr:row>1</xdr:row>
                <xdr:rowOff>142875</xdr:rowOff>
              </from>
              <to>
                <xdr:col>22</xdr:col>
                <xdr:colOff>180975</xdr:colOff>
                <xdr:row>2</xdr:row>
                <xdr:rowOff>152400</xdr:rowOff>
              </to>
            </anchor>
          </controlPr>
        </control>
      </mc:Choice>
      <mc:Fallback>
        <control shapeId="2053" r:id="rId16" name="CommandButton3"/>
      </mc:Fallback>
    </mc:AlternateContent>
    <mc:AlternateContent xmlns:mc="http://schemas.openxmlformats.org/markup-compatibility/2006">
      <mc:Choice Requires="x14">
        <control shapeId="2054" r:id="rId18" name="CommandButton4">
          <controlPr defaultSize="0" autoLine="0" autoPict="0" r:id="rId19">
            <anchor moveWithCells="1">
              <from>
                <xdr:col>20</xdr:col>
                <xdr:colOff>457200</xdr:colOff>
                <xdr:row>0</xdr:row>
                <xdr:rowOff>390525</xdr:rowOff>
              </from>
              <to>
                <xdr:col>22</xdr:col>
                <xdr:colOff>190500</xdr:colOff>
                <xdr:row>1</xdr:row>
                <xdr:rowOff>76200</xdr:rowOff>
              </to>
            </anchor>
          </controlPr>
        </control>
      </mc:Choice>
      <mc:Fallback>
        <control shapeId="2054" r:id="rId18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47"/>
  <sheetViews>
    <sheetView tabSelected="1" workbookViewId="0">
      <selection activeCell="R21" sqref="R21"/>
    </sheetView>
  </sheetViews>
  <sheetFormatPr defaultColWidth="9" defaultRowHeight="21.75" customHeight="1"/>
  <cols>
    <col min="1" max="1" width="9" style="2"/>
    <col min="2" max="2" width="7.7109375" style="10" customWidth="1"/>
    <col min="3" max="3" width="7.42578125" style="2" customWidth="1"/>
    <col min="4" max="4" width="7.85546875" style="2" customWidth="1"/>
    <col min="5" max="5" width="10.140625" style="7" customWidth="1"/>
    <col min="6" max="6" width="9.140625" style="2" customWidth="1"/>
    <col min="7" max="7" width="9.85546875" style="2" customWidth="1"/>
    <col min="8" max="8" width="10.140625" style="2" customWidth="1"/>
    <col min="9" max="10" width="9" style="8"/>
    <col min="11" max="11" width="10.140625" style="2" customWidth="1"/>
    <col min="12" max="12" width="10.5703125" style="2" customWidth="1"/>
    <col min="13" max="13" width="25.28515625" style="31" customWidth="1"/>
    <col min="14" max="16384" width="9" style="2"/>
  </cols>
  <sheetData>
    <row r="1" spans="1:19" ht="47.25" customHeight="1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245</v>
      </c>
      <c r="K1" s="2" t="s">
        <v>18</v>
      </c>
      <c r="L1" s="1" t="s">
        <v>7</v>
      </c>
      <c r="M1" s="30" t="s">
        <v>8</v>
      </c>
      <c r="N1" s="2" t="s">
        <v>14</v>
      </c>
      <c r="O1" s="2" t="s">
        <v>15</v>
      </c>
      <c r="P1" s="2" t="s">
        <v>19</v>
      </c>
      <c r="Q1" s="2" t="s">
        <v>17</v>
      </c>
      <c r="R1" s="2" t="s">
        <v>18</v>
      </c>
      <c r="S1" s="2" t="s">
        <v>12</v>
      </c>
    </row>
    <row r="2" spans="1:19" s="8" customFormat="1" ht="21.75" customHeight="1">
      <c r="A2" s="1" t="s">
        <v>6</v>
      </c>
      <c r="B2" s="1" t="s">
        <v>4</v>
      </c>
      <c r="C2" s="2" t="s">
        <v>319</v>
      </c>
      <c r="D2" s="2" t="s">
        <v>323</v>
      </c>
      <c r="E2" s="11" t="s">
        <v>324</v>
      </c>
      <c r="F2" s="10">
        <v>20</v>
      </c>
      <c r="G2" s="10">
        <v>50</v>
      </c>
      <c r="H2" s="10">
        <v>0.5</v>
      </c>
      <c r="I2" s="10">
        <v>40</v>
      </c>
      <c r="J2" s="10">
        <v>30</v>
      </c>
      <c r="K2" s="10" t="s">
        <v>325</v>
      </c>
      <c r="L2" s="2">
        <v>3.23</v>
      </c>
      <c r="M2" s="31" t="str">
        <f>D2&amp;" "&amp;E2</f>
        <v>송국리 258-1</v>
      </c>
      <c r="N2" s="10"/>
      <c r="O2" s="10"/>
      <c r="P2" s="10"/>
      <c r="R2" s="10"/>
      <c r="S2" s="8" t="s">
        <v>13</v>
      </c>
    </row>
    <row r="3" spans="1:19" s="8" customFormat="1" ht="21.75" customHeight="1">
      <c r="A3" s="1" t="s">
        <v>26</v>
      </c>
      <c r="B3" s="1" t="s">
        <v>4</v>
      </c>
      <c r="C3" s="2" t="s">
        <v>319</v>
      </c>
      <c r="D3" s="2" t="s">
        <v>323</v>
      </c>
      <c r="E3" s="11" t="s">
        <v>334</v>
      </c>
      <c r="F3" s="10">
        <v>20</v>
      </c>
      <c r="G3" s="10">
        <v>100</v>
      </c>
      <c r="H3" s="10">
        <v>1</v>
      </c>
      <c r="I3" s="10">
        <v>80</v>
      </c>
      <c r="J3" s="10">
        <v>50</v>
      </c>
      <c r="K3" s="10" t="s">
        <v>313</v>
      </c>
      <c r="L3" s="2">
        <v>5.5</v>
      </c>
      <c r="M3" s="31" t="str">
        <f t="shared" ref="M3:M41" si="0">D3&amp;" "&amp;E3</f>
        <v>송국리 266-1</v>
      </c>
      <c r="N3" s="10"/>
      <c r="O3" s="10"/>
      <c r="P3" s="10"/>
      <c r="R3" s="10"/>
      <c r="S3" s="8" t="s">
        <v>13</v>
      </c>
    </row>
    <row r="4" spans="1:19" s="8" customFormat="1" ht="21.75" customHeight="1">
      <c r="A4" s="1" t="s">
        <v>27</v>
      </c>
      <c r="B4" s="1" t="s">
        <v>24</v>
      </c>
      <c r="C4" s="2" t="s">
        <v>319</v>
      </c>
      <c r="D4" s="2" t="s">
        <v>323</v>
      </c>
      <c r="E4" s="11" t="s">
        <v>342</v>
      </c>
      <c r="F4" s="10">
        <v>20</v>
      </c>
      <c r="G4" s="10">
        <v>50</v>
      </c>
      <c r="H4" s="10">
        <v>0.5</v>
      </c>
      <c r="I4" s="10">
        <v>30</v>
      </c>
      <c r="J4" s="10">
        <v>20</v>
      </c>
      <c r="K4" s="10" t="s">
        <v>313</v>
      </c>
      <c r="L4" s="2">
        <v>3.3</v>
      </c>
      <c r="M4" s="31" t="str">
        <f t="shared" si="0"/>
        <v>송국리 217-3</v>
      </c>
      <c r="N4" s="10"/>
      <c r="O4" s="10"/>
      <c r="P4" s="10"/>
      <c r="R4" s="10"/>
      <c r="S4" s="8" t="s">
        <v>13</v>
      </c>
    </row>
    <row r="5" spans="1:19" s="8" customFormat="1" ht="21.75" customHeight="1">
      <c r="A5" s="1" t="s">
        <v>317</v>
      </c>
      <c r="B5" s="1" t="s">
        <v>24</v>
      </c>
      <c r="C5" s="2" t="s">
        <v>319</v>
      </c>
      <c r="D5" s="2" t="s">
        <v>320</v>
      </c>
      <c r="E5" s="11" t="s">
        <v>345</v>
      </c>
      <c r="F5" s="10">
        <v>36</v>
      </c>
      <c r="G5" s="10">
        <v>50</v>
      </c>
      <c r="H5" s="10">
        <v>0.5</v>
      </c>
      <c r="I5" s="10">
        <v>25</v>
      </c>
      <c r="J5" s="10">
        <v>13</v>
      </c>
      <c r="K5" s="10" t="s">
        <v>314</v>
      </c>
      <c r="L5" s="2">
        <v>6.01</v>
      </c>
      <c r="M5" s="31" t="str">
        <f t="shared" si="0"/>
        <v>산직리 산15-1</v>
      </c>
      <c r="N5" s="10"/>
      <c r="O5" s="10"/>
      <c r="P5" s="10"/>
      <c r="R5" s="10"/>
      <c r="S5" s="8" t="s">
        <v>13</v>
      </c>
    </row>
    <row r="6" spans="1:19" s="8" customFormat="1" ht="21.75" customHeight="1">
      <c r="A6" s="1" t="s">
        <v>318</v>
      </c>
      <c r="B6" s="1" t="s">
        <v>24</v>
      </c>
      <c r="C6" s="2" t="s">
        <v>319</v>
      </c>
      <c r="D6" s="2" t="s">
        <v>320</v>
      </c>
      <c r="E6" s="11" t="s">
        <v>345</v>
      </c>
      <c r="F6" s="10">
        <v>20</v>
      </c>
      <c r="G6" s="10">
        <v>50</v>
      </c>
      <c r="H6" s="10">
        <v>0.3</v>
      </c>
      <c r="I6" s="10">
        <v>30</v>
      </c>
      <c r="J6" s="10">
        <v>16</v>
      </c>
      <c r="K6" s="10" t="s">
        <v>314</v>
      </c>
      <c r="L6" s="2">
        <v>6.08</v>
      </c>
      <c r="M6" s="31" t="str">
        <f t="shared" si="0"/>
        <v>산직리 산15-1</v>
      </c>
      <c r="N6" s="10"/>
      <c r="O6" s="10"/>
      <c r="P6" s="10"/>
      <c r="R6" s="10"/>
      <c r="S6" s="8" t="s">
        <v>13</v>
      </c>
    </row>
    <row r="7" spans="1:19" s="8" customFormat="1" ht="21.75" customHeight="1">
      <c r="A7" s="1" t="s">
        <v>326</v>
      </c>
      <c r="B7" s="1" t="s">
        <v>24</v>
      </c>
      <c r="C7" s="2" t="s">
        <v>319</v>
      </c>
      <c r="D7" s="2" t="s">
        <v>320</v>
      </c>
      <c r="E7" s="11" t="s">
        <v>346</v>
      </c>
      <c r="F7" s="10">
        <v>60</v>
      </c>
      <c r="G7" s="10">
        <v>150</v>
      </c>
      <c r="H7" s="10">
        <v>2</v>
      </c>
      <c r="I7" s="10">
        <v>70</v>
      </c>
      <c r="J7" s="10">
        <v>32</v>
      </c>
      <c r="K7" s="10" t="s">
        <v>314</v>
      </c>
      <c r="L7" s="2">
        <v>6.64</v>
      </c>
      <c r="M7" s="31" t="str">
        <f t="shared" si="0"/>
        <v>산직리 276-16</v>
      </c>
      <c r="N7" s="10"/>
      <c r="O7" s="10"/>
      <c r="P7" s="10"/>
      <c r="R7" s="10"/>
      <c r="S7" s="8" t="s">
        <v>13</v>
      </c>
    </row>
    <row r="8" spans="1:19" s="8" customFormat="1" ht="21.75" customHeight="1">
      <c r="A8" s="1" t="s">
        <v>327</v>
      </c>
      <c r="B8" s="1" t="s">
        <v>24</v>
      </c>
      <c r="C8" s="2" t="s">
        <v>319</v>
      </c>
      <c r="D8" s="2" t="s">
        <v>320</v>
      </c>
      <c r="E8" s="11" t="s">
        <v>347</v>
      </c>
      <c r="F8" s="10">
        <v>30</v>
      </c>
      <c r="G8" s="10">
        <v>100</v>
      </c>
      <c r="H8" s="10">
        <v>0.5</v>
      </c>
      <c r="I8" s="10">
        <v>50</v>
      </c>
      <c r="J8" s="10">
        <v>35</v>
      </c>
      <c r="K8" s="10" t="s">
        <v>313</v>
      </c>
      <c r="L8" s="2">
        <v>4.18</v>
      </c>
      <c r="M8" s="31" t="str">
        <f t="shared" si="0"/>
        <v>산직리 876-5</v>
      </c>
      <c r="N8" s="10"/>
      <c r="O8" s="10"/>
      <c r="P8" s="10"/>
      <c r="R8" s="10"/>
      <c r="S8" s="8" t="s">
        <v>13</v>
      </c>
    </row>
    <row r="9" spans="1:19" s="8" customFormat="1" ht="21.75" customHeight="1">
      <c r="A9" s="1" t="s">
        <v>328</v>
      </c>
      <c r="B9" s="1" t="s">
        <v>24</v>
      </c>
      <c r="C9" s="2" t="s">
        <v>319</v>
      </c>
      <c r="D9" s="2" t="s">
        <v>320</v>
      </c>
      <c r="E9" s="11" t="s">
        <v>348</v>
      </c>
      <c r="F9" s="10">
        <v>24</v>
      </c>
      <c r="G9" s="10">
        <v>50</v>
      </c>
      <c r="H9" s="10">
        <v>0.5</v>
      </c>
      <c r="I9" s="10">
        <v>50</v>
      </c>
      <c r="J9" s="10">
        <v>32</v>
      </c>
      <c r="K9" s="10" t="s">
        <v>313</v>
      </c>
      <c r="L9" s="2">
        <v>4.18</v>
      </c>
      <c r="M9" s="31" t="str">
        <f t="shared" si="0"/>
        <v>산직리 876-1</v>
      </c>
      <c r="N9" s="10"/>
      <c r="O9" s="10"/>
      <c r="P9" s="10"/>
      <c r="R9" s="10"/>
      <c r="S9" s="8" t="s">
        <v>13</v>
      </c>
    </row>
    <row r="10" spans="1:19" s="8" customFormat="1" ht="21.75" customHeight="1">
      <c r="A10" s="1" t="s">
        <v>329</v>
      </c>
      <c r="B10" s="1" t="s">
        <v>24</v>
      </c>
      <c r="C10" s="2" t="s">
        <v>319</v>
      </c>
      <c r="D10" s="2" t="s">
        <v>320</v>
      </c>
      <c r="E10" s="11" t="s">
        <v>349</v>
      </c>
      <c r="F10" s="10">
        <v>30</v>
      </c>
      <c r="G10" s="10">
        <v>50</v>
      </c>
      <c r="H10" s="10">
        <v>0.5</v>
      </c>
      <c r="I10" s="10">
        <v>40</v>
      </c>
      <c r="J10" s="10">
        <v>40</v>
      </c>
      <c r="K10" s="10" t="s">
        <v>314</v>
      </c>
      <c r="L10" s="2">
        <v>6.22</v>
      </c>
      <c r="M10" s="31" t="str">
        <f t="shared" si="0"/>
        <v>산직리 276-10</v>
      </c>
      <c r="N10" s="10"/>
      <c r="O10" s="10"/>
      <c r="P10" s="10"/>
      <c r="R10" s="10"/>
      <c r="S10" s="8" t="s">
        <v>13</v>
      </c>
    </row>
    <row r="11" spans="1:19" s="8" customFormat="1" ht="21.75" customHeight="1">
      <c r="A11" s="1" t="s">
        <v>330</v>
      </c>
      <c r="B11" s="1" t="s">
        <v>24</v>
      </c>
      <c r="C11" s="2" t="s">
        <v>319</v>
      </c>
      <c r="D11" s="2" t="s">
        <v>322</v>
      </c>
      <c r="E11" s="11" t="s">
        <v>350</v>
      </c>
      <c r="F11" s="10">
        <v>100</v>
      </c>
      <c r="G11" s="10">
        <v>150</v>
      </c>
      <c r="H11" s="10">
        <v>2</v>
      </c>
      <c r="I11" s="10">
        <v>90</v>
      </c>
      <c r="J11" s="10">
        <v>25</v>
      </c>
      <c r="K11" s="10" t="s">
        <v>314</v>
      </c>
      <c r="L11" s="2">
        <v>6.92</v>
      </c>
      <c r="M11" s="31" t="str">
        <f t="shared" si="0"/>
        <v>소사리 573</v>
      </c>
      <c r="N11" s="10"/>
      <c r="O11" s="10"/>
      <c r="P11" s="10"/>
      <c r="R11" s="10"/>
      <c r="S11" s="8" t="s">
        <v>13</v>
      </c>
    </row>
    <row r="12" spans="1:19" s="8" customFormat="1" ht="21.75" customHeight="1">
      <c r="A12" s="1" t="s">
        <v>331</v>
      </c>
      <c r="B12" s="1" t="s">
        <v>24</v>
      </c>
      <c r="C12" s="2" t="s">
        <v>319</v>
      </c>
      <c r="D12" s="2" t="s">
        <v>322</v>
      </c>
      <c r="E12" s="11" t="s">
        <v>355</v>
      </c>
      <c r="F12" s="10">
        <v>100</v>
      </c>
      <c r="G12" s="10">
        <v>150</v>
      </c>
      <c r="H12" s="10">
        <v>2</v>
      </c>
      <c r="I12" s="10">
        <v>95</v>
      </c>
      <c r="J12" s="10">
        <v>40</v>
      </c>
      <c r="K12" s="10" t="s">
        <v>314</v>
      </c>
      <c r="L12" s="2">
        <v>6.99</v>
      </c>
      <c r="M12" s="31" t="str">
        <f t="shared" si="0"/>
        <v>소사리 산65-3</v>
      </c>
      <c r="N12" s="10"/>
      <c r="O12" s="10"/>
      <c r="P12" s="10"/>
      <c r="R12" s="10"/>
      <c r="S12" s="8" t="s">
        <v>13</v>
      </c>
    </row>
    <row r="13" spans="1:19" s="8" customFormat="1" ht="21.75" customHeight="1">
      <c r="A13" s="1" t="s">
        <v>332</v>
      </c>
      <c r="B13" s="1" t="s">
        <v>24</v>
      </c>
      <c r="C13" s="2" t="s">
        <v>319</v>
      </c>
      <c r="D13" s="2" t="s">
        <v>322</v>
      </c>
      <c r="E13" s="11" t="s">
        <v>357</v>
      </c>
      <c r="F13" s="10">
        <v>27</v>
      </c>
      <c r="G13" s="10">
        <v>50</v>
      </c>
      <c r="H13" s="10">
        <v>0.5</v>
      </c>
      <c r="I13" s="10">
        <v>30</v>
      </c>
      <c r="J13" s="10">
        <v>35</v>
      </c>
      <c r="K13" s="10" t="s">
        <v>314</v>
      </c>
      <c r="L13" s="2">
        <v>6.08</v>
      </c>
      <c r="M13" s="31" t="str">
        <f t="shared" si="0"/>
        <v>소사리 609-12</v>
      </c>
      <c r="N13" s="10"/>
      <c r="O13" s="10"/>
      <c r="P13" s="10"/>
      <c r="R13" s="10"/>
      <c r="S13" s="8" t="s">
        <v>13</v>
      </c>
    </row>
    <row r="14" spans="1:19" s="8" customFormat="1" ht="21.75" customHeight="1">
      <c r="A14" s="1" t="s">
        <v>333</v>
      </c>
      <c r="B14" s="1" t="s">
        <v>24</v>
      </c>
      <c r="C14" s="2" t="s">
        <v>319</v>
      </c>
      <c r="D14" s="2" t="s">
        <v>322</v>
      </c>
      <c r="E14" s="11" t="s">
        <v>358</v>
      </c>
      <c r="F14" s="10">
        <v>30</v>
      </c>
      <c r="G14" s="10">
        <v>50</v>
      </c>
      <c r="H14" s="10">
        <v>0.5</v>
      </c>
      <c r="I14" s="10">
        <v>30</v>
      </c>
      <c r="J14" s="10">
        <v>15</v>
      </c>
      <c r="K14" s="10" t="s">
        <v>314</v>
      </c>
      <c r="L14" s="2">
        <v>6.08</v>
      </c>
      <c r="M14" s="31" t="str">
        <f t="shared" si="0"/>
        <v>소사리 163-14</v>
      </c>
      <c r="N14" s="10"/>
      <c r="O14" s="10"/>
      <c r="P14" s="10"/>
      <c r="R14" s="10"/>
      <c r="S14" s="8" t="s">
        <v>13</v>
      </c>
    </row>
    <row r="15" spans="1:19" s="8" customFormat="1" ht="21.75" customHeight="1">
      <c r="A15" s="1" t="s">
        <v>351</v>
      </c>
      <c r="B15" s="1" t="s">
        <v>24</v>
      </c>
      <c r="C15" s="2" t="s">
        <v>319</v>
      </c>
      <c r="D15" s="2" t="s">
        <v>322</v>
      </c>
      <c r="E15" s="11" t="s">
        <v>359</v>
      </c>
      <c r="F15" s="10">
        <v>30</v>
      </c>
      <c r="G15" s="10">
        <v>50</v>
      </c>
      <c r="H15" s="10">
        <v>0.5</v>
      </c>
      <c r="I15" s="10">
        <v>50</v>
      </c>
      <c r="J15" s="10">
        <v>32</v>
      </c>
      <c r="K15" s="10" t="s">
        <v>313</v>
      </c>
      <c r="L15" s="2">
        <v>4.18</v>
      </c>
      <c r="M15" s="31" t="str">
        <f t="shared" si="0"/>
        <v>소사리 760-2</v>
      </c>
      <c r="N15" s="10"/>
      <c r="O15" s="10"/>
      <c r="P15" s="10"/>
      <c r="R15" s="10"/>
      <c r="S15" s="8" t="s">
        <v>13</v>
      </c>
    </row>
    <row r="16" spans="1:19" s="8" customFormat="1" ht="21.75" customHeight="1">
      <c r="A16" s="1" t="s">
        <v>352</v>
      </c>
      <c r="B16" s="1" t="s">
        <v>24</v>
      </c>
      <c r="C16" s="2" t="s">
        <v>319</v>
      </c>
      <c r="D16" s="2" t="s">
        <v>366</v>
      </c>
      <c r="E16" s="11" t="s">
        <v>367</v>
      </c>
      <c r="F16" s="10">
        <v>30</v>
      </c>
      <c r="G16" s="10">
        <v>50</v>
      </c>
      <c r="H16" s="10">
        <v>0.5</v>
      </c>
      <c r="I16" s="10">
        <v>80</v>
      </c>
      <c r="J16" s="10">
        <v>32</v>
      </c>
      <c r="K16" s="10" t="s">
        <v>313</v>
      </c>
      <c r="L16" s="2">
        <v>5.5</v>
      </c>
      <c r="M16" s="31" t="str">
        <f t="shared" si="0"/>
        <v>진호리 128</v>
      </c>
      <c r="N16" s="10"/>
      <c r="O16" s="10"/>
      <c r="P16" s="10"/>
      <c r="R16" s="10"/>
      <c r="S16" s="8" t="s">
        <v>13</v>
      </c>
    </row>
    <row r="17" spans="1:19" s="8" customFormat="1" ht="21.75" customHeight="1">
      <c r="A17" s="1" t="s">
        <v>353</v>
      </c>
      <c r="B17" s="1" t="s">
        <v>24</v>
      </c>
      <c r="C17" s="2" t="s">
        <v>319</v>
      </c>
      <c r="D17" s="2" t="s">
        <v>366</v>
      </c>
      <c r="E17" s="11" t="s">
        <v>369</v>
      </c>
      <c r="F17" s="10">
        <v>20</v>
      </c>
      <c r="G17" s="10">
        <v>50</v>
      </c>
      <c r="H17" s="10">
        <v>0.3</v>
      </c>
      <c r="I17" s="10">
        <v>50</v>
      </c>
      <c r="J17" s="10">
        <v>20</v>
      </c>
      <c r="K17" s="10" t="s">
        <v>313</v>
      </c>
      <c r="L17" s="2">
        <v>4.18</v>
      </c>
      <c r="M17" s="31" t="str">
        <f t="shared" si="0"/>
        <v>진호리 222-1</v>
      </c>
      <c r="N17" s="10"/>
      <c r="O17" s="10"/>
      <c r="P17" s="10"/>
      <c r="R17" s="10"/>
      <c r="S17" s="8" t="s">
        <v>13</v>
      </c>
    </row>
    <row r="18" spans="1:19" s="8" customFormat="1" ht="21.75" customHeight="1">
      <c r="A18" s="1" t="s">
        <v>354</v>
      </c>
      <c r="B18" s="1" t="s">
        <v>24</v>
      </c>
      <c r="C18" s="2" t="s">
        <v>319</v>
      </c>
      <c r="D18" s="2" t="s">
        <v>366</v>
      </c>
      <c r="E18" s="11" t="s">
        <v>370</v>
      </c>
      <c r="F18" s="10">
        <v>20</v>
      </c>
      <c r="G18" s="10">
        <v>50</v>
      </c>
      <c r="H18" s="10">
        <v>0.5</v>
      </c>
      <c r="I18" s="10">
        <v>50</v>
      </c>
      <c r="J18" s="10">
        <v>30</v>
      </c>
      <c r="K18" s="10" t="s">
        <v>313</v>
      </c>
      <c r="L18" s="2">
        <v>4.18</v>
      </c>
      <c r="M18" s="31" t="str">
        <f t="shared" si="0"/>
        <v>진호리 221-6</v>
      </c>
      <c r="N18" s="10"/>
      <c r="O18" s="10"/>
      <c r="P18" s="10"/>
      <c r="R18" s="10"/>
      <c r="S18" s="8" t="s">
        <v>13</v>
      </c>
    </row>
    <row r="19" spans="1:19" s="8" customFormat="1" ht="21.75" customHeight="1">
      <c r="A19" s="1" t="s">
        <v>360</v>
      </c>
      <c r="B19" s="43" t="s">
        <v>37</v>
      </c>
      <c r="C19" s="2" t="s">
        <v>319</v>
      </c>
      <c r="D19" s="2" t="s">
        <v>366</v>
      </c>
      <c r="E19" s="11" t="s">
        <v>371</v>
      </c>
      <c r="F19" s="10">
        <v>60</v>
      </c>
      <c r="G19" s="10">
        <v>250</v>
      </c>
      <c r="H19" s="10">
        <v>5</v>
      </c>
      <c r="I19" s="10">
        <v>170</v>
      </c>
      <c r="J19" s="10">
        <v>50</v>
      </c>
      <c r="K19" s="10" t="s">
        <v>313</v>
      </c>
      <c r="L19" s="2">
        <v>9.4600000000000009</v>
      </c>
      <c r="M19" s="31" t="str">
        <f t="shared" si="0"/>
        <v>진호리 218-6</v>
      </c>
      <c r="N19" s="10"/>
      <c r="O19" s="10"/>
      <c r="P19" s="10"/>
      <c r="R19" s="10"/>
      <c r="S19" s="8" t="s">
        <v>13</v>
      </c>
    </row>
    <row r="20" spans="1:19" s="8" customFormat="1" ht="21.75" customHeight="1">
      <c r="A20" s="1" t="s">
        <v>361</v>
      </c>
      <c r="B20" s="1" t="s">
        <v>24</v>
      </c>
      <c r="C20" s="2" t="s">
        <v>319</v>
      </c>
      <c r="D20" s="2" t="s">
        <v>366</v>
      </c>
      <c r="E20" s="11" t="s">
        <v>372</v>
      </c>
      <c r="F20" s="10">
        <v>20</v>
      </c>
      <c r="G20" s="10">
        <v>50</v>
      </c>
      <c r="H20" s="10">
        <v>1</v>
      </c>
      <c r="I20" s="10">
        <v>50</v>
      </c>
      <c r="J20" s="10">
        <v>30</v>
      </c>
      <c r="K20" s="10" t="s">
        <v>325</v>
      </c>
      <c r="L20" s="2">
        <v>3.34</v>
      </c>
      <c r="M20" s="31" t="str">
        <f t="shared" si="0"/>
        <v>진호리 217-4</v>
      </c>
      <c r="N20" s="10"/>
      <c r="O20" s="10"/>
      <c r="P20" s="10"/>
      <c r="R20" s="10"/>
      <c r="S20" s="8" t="s">
        <v>13</v>
      </c>
    </row>
    <row r="21" spans="1:19" s="8" customFormat="1" ht="21.75" customHeight="1">
      <c r="A21" s="1" t="s">
        <v>362</v>
      </c>
      <c r="B21" s="1" t="s">
        <v>24</v>
      </c>
      <c r="C21" s="2" t="s">
        <v>319</v>
      </c>
      <c r="D21" s="2" t="s">
        <v>366</v>
      </c>
      <c r="E21" s="11" t="s">
        <v>373</v>
      </c>
      <c r="F21" s="10">
        <v>20</v>
      </c>
      <c r="G21" s="10">
        <v>50</v>
      </c>
      <c r="H21" s="10">
        <v>0.5</v>
      </c>
      <c r="I21" s="10">
        <v>30</v>
      </c>
      <c r="J21" s="10">
        <v>50</v>
      </c>
      <c r="K21" s="10" t="s">
        <v>314</v>
      </c>
      <c r="L21" s="2">
        <v>6.08</v>
      </c>
      <c r="M21" s="31" t="str">
        <f t="shared" si="0"/>
        <v>진호리 344-12</v>
      </c>
      <c r="N21" s="10"/>
      <c r="O21" s="10"/>
      <c r="P21" s="10"/>
      <c r="R21" s="10"/>
      <c r="S21" s="8" t="s">
        <v>13</v>
      </c>
    </row>
    <row r="22" spans="1:19" s="8" customFormat="1" ht="21.75" customHeight="1">
      <c r="A22" s="1" t="s">
        <v>363</v>
      </c>
      <c r="B22" s="1" t="s">
        <v>24</v>
      </c>
      <c r="C22" s="2" t="s">
        <v>319</v>
      </c>
      <c r="D22" s="2" t="s">
        <v>366</v>
      </c>
      <c r="E22" s="11" t="s">
        <v>375</v>
      </c>
      <c r="F22" s="10">
        <v>100</v>
      </c>
      <c r="G22" s="10">
        <v>150</v>
      </c>
      <c r="H22" s="10">
        <v>1</v>
      </c>
      <c r="I22" s="10">
        <v>70</v>
      </c>
      <c r="J22" s="10">
        <v>32</v>
      </c>
      <c r="K22" s="10" t="s">
        <v>314</v>
      </c>
      <c r="L22" s="2">
        <v>6.64</v>
      </c>
      <c r="M22" s="31" t="str">
        <f t="shared" si="0"/>
        <v>진호리 346</v>
      </c>
      <c r="N22" s="10"/>
      <c r="O22" s="10"/>
      <c r="P22" s="10"/>
      <c r="R22" s="10"/>
      <c r="S22" s="8" t="s">
        <v>13</v>
      </c>
    </row>
    <row r="23" spans="1:19" s="8" customFormat="1" ht="21.75" customHeight="1">
      <c r="A23" s="1" t="s">
        <v>364</v>
      </c>
      <c r="B23" s="1" t="s">
        <v>24</v>
      </c>
      <c r="C23" s="2" t="s">
        <v>319</v>
      </c>
      <c r="D23" s="2" t="s">
        <v>366</v>
      </c>
      <c r="E23" s="11" t="s">
        <v>376</v>
      </c>
      <c r="F23" s="10">
        <v>24</v>
      </c>
      <c r="G23" s="10">
        <v>50</v>
      </c>
      <c r="H23" s="10">
        <v>0.5</v>
      </c>
      <c r="I23" s="10">
        <v>50</v>
      </c>
      <c r="J23" s="10">
        <v>30</v>
      </c>
      <c r="K23" s="10" t="s">
        <v>313</v>
      </c>
      <c r="L23" s="2">
        <v>4.18</v>
      </c>
      <c r="M23" s="31" t="str">
        <f t="shared" si="0"/>
        <v>진호리 203-1</v>
      </c>
      <c r="N23" s="10"/>
      <c r="O23" s="10"/>
      <c r="P23" s="10"/>
      <c r="R23" s="10"/>
      <c r="S23" s="8" t="s">
        <v>13</v>
      </c>
    </row>
    <row r="24" spans="1:19" s="8" customFormat="1" ht="21.75" customHeight="1">
      <c r="A24" s="1" t="s">
        <v>365</v>
      </c>
      <c r="B24" s="1" t="s">
        <v>24</v>
      </c>
      <c r="C24" s="2" t="s">
        <v>319</v>
      </c>
      <c r="D24" s="2" t="s">
        <v>366</v>
      </c>
      <c r="E24" s="11" t="s">
        <v>391</v>
      </c>
      <c r="F24" s="10">
        <v>70</v>
      </c>
      <c r="G24" s="10">
        <v>150</v>
      </c>
      <c r="H24" s="10">
        <v>1</v>
      </c>
      <c r="I24" s="10">
        <v>70</v>
      </c>
      <c r="J24" s="10">
        <v>32</v>
      </c>
      <c r="K24" s="10" t="s">
        <v>313</v>
      </c>
      <c r="L24" s="2">
        <v>5.0599999999999996</v>
      </c>
      <c r="M24" s="31" t="str">
        <f t="shared" si="0"/>
        <v>진호리 350</v>
      </c>
      <c r="N24" s="10"/>
      <c r="O24" s="10"/>
      <c r="P24" s="10"/>
      <c r="R24" s="10"/>
      <c r="S24" s="8" t="s">
        <v>13</v>
      </c>
    </row>
    <row r="25" spans="1:19" s="8" customFormat="1" ht="21.75" customHeight="1">
      <c r="A25" s="1" t="s">
        <v>377</v>
      </c>
      <c r="B25" s="43" t="s">
        <v>37</v>
      </c>
      <c r="C25" s="2" t="s">
        <v>319</v>
      </c>
      <c r="D25" s="2" t="s">
        <v>366</v>
      </c>
      <c r="E25" s="11" t="s">
        <v>321</v>
      </c>
      <c r="F25" s="10">
        <v>100</v>
      </c>
      <c r="G25" s="10">
        <v>250</v>
      </c>
      <c r="H25" s="10">
        <v>5</v>
      </c>
      <c r="I25" s="10">
        <v>200</v>
      </c>
      <c r="J25" s="10">
        <v>50</v>
      </c>
      <c r="K25" s="10" t="s">
        <v>313</v>
      </c>
      <c r="L25" s="2">
        <v>10.78</v>
      </c>
      <c r="M25" s="31" t="str">
        <f t="shared" si="0"/>
        <v>진호리 356-1</v>
      </c>
      <c r="N25" s="10"/>
      <c r="O25" s="10"/>
      <c r="P25" s="10"/>
      <c r="R25" s="10"/>
      <c r="S25" s="8" t="s">
        <v>13</v>
      </c>
    </row>
    <row r="26" spans="1:19" s="8" customFormat="1" ht="21.75" customHeight="1">
      <c r="A26" s="1" t="s">
        <v>378</v>
      </c>
      <c r="B26" s="1" t="s">
        <v>24</v>
      </c>
      <c r="C26" s="2" t="s">
        <v>319</v>
      </c>
      <c r="D26" s="2" t="s">
        <v>322</v>
      </c>
      <c r="E26" s="11" t="s">
        <v>393</v>
      </c>
      <c r="F26" s="10">
        <v>80</v>
      </c>
      <c r="G26" s="10">
        <v>250</v>
      </c>
      <c r="H26" s="10">
        <v>7.5</v>
      </c>
      <c r="I26" s="10">
        <v>301</v>
      </c>
      <c r="J26" s="10">
        <v>60</v>
      </c>
      <c r="K26" s="10" t="s">
        <v>313</v>
      </c>
      <c r="L26" s="2">
        <v>15.22</v>
      </c>
      <c r="M26" s="31" t="str">
        <f t="shared" si="0"/>
        <v>소사리 748</v>
      </c>
      <c r="N26" s="10"/>
      <c r="O26" s="10"/>
      <c r="P26" s="10"/>
      <c r="R26" s="10"/>
      <c r="S26" s="8" t="s">
        <v>13</v>
      </c>
    </row>
    <row r="27" spans="1:19" s="8" customFormat="1" ht="21.75" customHeight="1">
      <c r="A27" s="1" t="s">
        <v>379</v>
      </c>
      <c r="B27" s="1" t="s">
        <v>24</v>
      </c>
      <c r="C27" s="2" t="s">
        <v>319</v>
      </c>
      <c r="D27" s="2" t="s">
        <v>322</v>
      </c>
      <c r="E27" s="11" t="s">
        <v>394</v>
      </c>
      <c r="F27" s="10">
        <v>80</v>
      </c>
      <c r="G27" s="10">
        <v>250</v>
      </c>
      <c r="H27" s="10">
        <v>3</v>
      </c>
      <c r="I27" s="10">
        <v>95</v>
      </c>
      <c r="J27" s="10">
        <v>40</v>
      </c>
      <c r="K27" s="10" t="s">
        <v>313</v>
      </c>
      <c r="L27" s="2">
        <v>6.16</v>
      </c>
      <c r="M27" s="31" t="str">
        <f t="shared" si="0"/>
        <v>소사리 761</v>
      </c>
      <c r="N27" s="10"/>
      <c r="O27" s="10"/>
      <c r="P27" s="10"/>
      <c r="R27" s="10"/>
      <c r="S27" s="8" t="s">
        <v>13</v>
      </c>
    </row>
    <row r="28" spans="1:19" s="8" customFormat="1" ht="21.75" customHeight="1">
      <c r="A28" s="1" t="s">
        <v>380</v>
      </c>
      <c r="B28" s="1" t="s">
        <v>24</v>
      </c>
      <c r="C28" s="2" t="s">
        <v>319</v>
      </c>
      <c r="D28" s="2" t="s">
        <v>322</v>
      </c>
      <c r="E28" s="11" t="s">
        <v>395</v>
      </c>
      <c r="F28" s="10">
        <v>100</v>
      </c>
      <c r="G28" s="10">
        <v>150</v>
      </c>
      <c r="H28" s="10">
        <v>2</v>
      </c>
      <c r="I28" s="10">
        <v>80</v>
      </c>
      <c r="J28" s="10">
        <v>32</v>
      </c>
      <c r="K28" s="10" t="s">
        <v>325</v>
      </c>
      <c r="L28" s="2">
        <v>3.67</v>
      </c>
      <c r="M28" s="31" t="str">
        <f t="shared" si="0"/>
        <v>소사리 750-4</v>
      </c>
      <c r="N28" s="10"/>
      <c r="O28" s="10"/>
      <c r="P28" s="10"/>
      <c r="R28" s="10"/>
      <c r="S28" s="8" t="s">
        <v>13</v>
      </c>
    </row>
    <row r="29" spans="1:19" s="8" customFormat="1" ht="21.75" customHeight="1">
      <c r="A29" s="1" t="s">
        <v>381</v>
      </c>
      <c r="B29" s="1" t="s">
        <v>24</v>
      </c>
      <c r="C29" s="2" t="s">
        <v>319</v>
      </c>
      <c r="D29" s="2" t="s">
        <v>322</v>
      </c>
      <c r="E29" s="11" t="s">
        <v>396</v>
      </c>
      <c r="F29" s="10">
        <v>100</v>
      </c>
      <c r="G29" s="10">
        <v>150</v>
      </c>
      <c r="H29" s="10">
        <v>2</v>
      </c>
      <c r="I29" s="10">
        <v>80</v>
      </c>
      <c r="J29" s="10">
        <v>32</v>
      </c>
      <c r="K29" s="10" t="s">
        <v>325</v>
      </c>
      <c r="L29" s="2">
        <v>3.67</v>
      </c>
      <c r="M29" s="31" t="str">
        <f t="shared" si="0"/>
        <v>소사리 750-3</v>
      </c>
      <c r="N29" s="10"/>
      <c r="O29" s="10"/>
      <c r="P29" s="10"/>
      <c r="R29" s="10"/>
      <c r="S29" s="8" t="s">
        <v>13</v>
      </c>
    </row>
    <row r="30" spans="1:19" s="8" customFormat="1" ht="21.75" customHeight="1">
      <c r="A30" s="1" t="s">
        <v>382</v>
      </c>
      <c r="B30" s="1" t="s">
        <v>24</v>
      </c>
      <c r="C30" s="2" t="s">
        <v>319</v>
      </c>
      <c r="D30" s="2" t="s">
        <v>322</v>
      </c>
      <c r="E30" s="11" t="s">
        <v>397</v>
      </c>
      <c r="F30" s="10">
        <v>30</v>
      </c>
      <c r="G30" s="10">
        <v>50</v>
      </c>
      <c r="H30" s="10">
        <v>0.5</v>
      </c>
      <c r="I30" s="10">
        <v>30</v>
      </c>
      <c r="J30" s="10">
        <v>15</v>
      </c>
      <c r="K30" s="10" t="s">
        <v>314</v>
      </c>
      <c r="L30" s="2">
        <v>6.08</v>
      </c>
      <c r="M30" s="31" t="str">
        <f t="shared" si="0"/>
        <v>소사리 619-4</v>
      </c>
      <c r="N30" s="10"/>
      <c r="O30" s="10"/>
      <c r="P30" s="10"/>
      <c r="R30" s="10"/>
      <c r="S30" s="8" t="s">
        <v>13</v>
      </c>
    </row>
    <row r="31" spans="1:19" s="8" customFormat="1" ht="21.75" customHeight="1">
      <c r="A31" s="1" t="s">
        <v>383</v>
      </c>
      <c r="B31" s="1" t="s">
        <v>24</v>
      </c>
      <c r="C31" s="2" t="s">
        <v>319</v>
      </c>
      <c r="D31" s="2" t="s">
        <v>323</v>
      </c>
      <c r="E31" s="11" t="s">
        <v>398</v>
      </c>
      <c r="F31" s="10">
        <v>85</v>
      </c>
      <c r="G31" s="10">
        <v>250</v>
      </c>
      <c r="H31" s="10">
        <v>3</v>
      </c>
      <c r="I31" s="10">
        <v>150</v>
      </c>
      <c r="J31" s="10">
        <v>50</v>
      </c>
      <c r="K31" s="10" t="s">
        <v>313</v>
      </c>
      <c r="L31" s="2">
        <v>8.58</v>
      </c>
      <c r="M31" s="31" t="str">
        <f t="shared" si="0"/>
        <v>송국리 363</v>
      </c>
      <c r="N31" s="10"/>
      <c r="O31" s="10"/>
      <c r="P31" s="10"/>
      <c r="R31" s="10"/>
      <c r="S31" s="8" t="s">
        <v>13</v>
      </c>
    </row>
    <row r="32" spans="1:19" s="8" customFormat="1" ht="21.75" customHeight="1">
      <c r="A32" s="1" t="s">
        <v>384</v>
      </c>
      <c r="B32" s="1" t="s">
        <v>24</v>
      </c>
      <c r="C32" s="2" t="s">
        <v>319</v>
      </c>
      <c r="D32" s="2" t="s">
        <v>323</v>
      </c>
      <c r="E32" s="11" t="s">
        <v>400</v>
      </c>
      <c r="F32" s="10">
        <v>24</v>
      </c>
      <c r="G32" s="10">
        <v>50</v>
      </c>
      <c r="H32" s="10">
        <v>0.5</v>
      </c>
      <c r="I32" s="10">
        <v>40</v>
      </c>
      <c r="J32" s="10">
        <v>32</v>
      </c>
      <c r="K32" s="10" t="s">
        <v>313</v>
      </c>
      <c r="L32" s="2">
        <v>3.74</v>
      </c>
      <c r="M32" s="31" t="str">
        <f t="shared" si="0"/>
        <v>송국리 544-6</v>
      </c>
      <c r="N32" s="10"/>
      <c r="O32" s="10"/>
      <c r="P32" s="10"/>
      <c r="R32" s="10"/>
      <c r="S32" s="8" t="s">
        <v>13</v>
      </c>
    </row>
    <row r="33" spans="1:19" s="8" customFormat="1" ht="21.75" customHeight="1">
      <c r="A33" s="1" t="s">
        <v>385</v>
      </c>
      <c r="B33" s="1" t="s">
        <v>24</v>
      </c>
      <c r="C33" s="2" t="s">
        <v>319</v>
      </c>
      <c r="D33" s="2" t="s">
        <v>323</v>
      </c>
      <c r="E33" s="11" t="s">
        <v>401</v>
      </c>
      <c r="F33" s="10">
        <v>100</v>
      </c>
      <c r="G33" s="10">
        <v>150</v>
      </c>
      <c r="H33" s="10">
        <v>1</v>
      </c>
      <c r="I33" s="10">
        <v>100</v>
      </c>
      <c r="J33" s="10">
        <v>32</v>
      </c>
      <c r="K33" s="10" t="s">
        <v>313</v>
      </c>
      <c r="L33" s="2">
        <v>6.38</v>
      </c>
      <c r="M33" s="31" t="str">
        <f t="shared" si="0"/>
        <v>송국리 542-5</v>
      </c>
      <c r="N33" s="10"/>
      <c r="O33" s="10"/>
      <c r="P33" s="10"/>
      <c r="R33" s="10"/>
      <c r="S33" s="8" t="s">
        <v>13</v>
      </c>
    </row>
    <row r="34" spans="1:19" s="8" customFormat="1" ht="21.75" customHeight="1">
      <c r="A34" s="1" t="s">
        <v>386</v>
      </c>
      <c r="B34" s="1" t="s">
        <v>24</v>
      </c>
      <c r="C34" s="2" t="s">
        <v>319</v>
      </c>
      <c r="D34" s="2" t="s">
        <v>323</v>
      </c>
      <c r="E34" s="11" t="s">
        <v>402</v>
      </c>
      <c r="F34" s="10">
        <v>100</v>
      </c>
      <c r="G34" s="10">
        <v>150</v>
      </c>
      <c r="H34" s="10">
        <v>1</v>
      </c>
      <c r="I34" s="10">
        <v>50</v>
      </c>
      <c r="J34" s="10">
        <v>25</v>
      </c>
      <c r="K34" s="10" t="s">
        <v>325</v>
      </c>
      <c r="L34" s="2">
        <v>3.34</v>
      </c>
      <c r="M34" s="31" t="str">
        <f t="shared" si="0"/>
        <v>송국리 542-2</v>
      </c>
      <c r="N34" s="10"/>
      <c r="O34" s="10"/>
      <c r="P34" s="10"/>
      <c r="R34" s="10"/>
      <c r="S34" s="8" t="s">
        <v>13</v>
      </c>
    </row>
    <row r="35" spans="1:19" s="8" customFormat="1" ht="21.75" customHeight="1">
      <c r="A35" s="1" t="s">
        <v>387</v>
      </c>
      <c r="B35" s="1" t="s">
        <v>24</v>
      </c>
      <c r="C35" s="2" t="s">
        <v>319</v>
      </c>
      <c r="D35" s="2" t="s">
        <v>323</v>
      </c>
      <c r="E35" s="11" t="s">
        <v>403</v>
      </c>
      <c r="F35" s="10">
        <v>100</v>
      </c>
      <c r="G35" s="10">
        <v>150</v>
      </c>
      <c r="H35" s="10">
        <v>1</v>
      </c>
      <c r="I35" s="10">
        <v>50</v>
      </c>
      <c r="J35" s="10">
        <v>25</v>
      </c>
      <c r="K35" s="10" t="s">
        <v>313</v>
      </c>
      <c r="L35" s="2">
        <v>4.18</v>
      </c>
      <c r="M35" s="31" t="str">
        <f t="shared" si="0"/>
        <v>송국리 545-1</v>
      </c>
      <c r="N35" s="10"/>
      <c r="O35" s="10"/>
      <c r="P35" s="10"/>
      <c r="R35" s="10"/>
      <c r="S35" s="8" t="s">
        <v>13</v>
      </c>
    </row>
    <row r="36" spans="1:19" s="8" customFormat="1" ht="21.75" customHeight="1">
      <c r="A36" s="1" t="s">
        <v>388</v>
      </c>
      <c r="B36" s="1" t="s">
        <v>24</v>
      </c>
      <c r="C36" s="2" t="s">
        <v>319</v>
      </c>
      <c r="D36" s="2" t="s">
        <v>323</v>
      </c>
      <c r="E36" s="11" t="s">
        <v>404</v>
      </c>
      <c r="F36" s="10">
        <v>20</v>
      </c>
      <c r="G36" s="10">
        <v>50</v>
      </c>
      <c r="H36" s="10">
        <v>0.3</v>
      </c>
      <c r="I36" s="10">
        <v>50</v>
      </c>
      <c r="J36" s="10">
        <v>20</v>
      </c>
      <c r="K36" s="10" t="s">
        <v>313</v>
      </c>
      <c r="L36" s="2">
        <v>4.18</v>
      </c>
      <c r="M36" s="31" t="str">
        <f t="shared" si="0"/>
        <v>송국리 545-5</v>
      </c>
      <c r="N36" s="10"/>
      <c r="O36" s="10"/>
      <c r="P36" s="10"/>
      <c r="R36" s="10"/>
      <c r="S36" s="8" t="s">
        <v>13</v>
      </c>
    </row>
    <row r="37" spans="1:19" s="8" customFormat="1" ht="21.75" customHeight="1">
      <c r="A37" s="1" t="s">
        <v>389</v>
      </c>
      <c r="B37" s="1" t="s">
        <v>24</v>
      </c>
      <c r="C37" s="2" t="s">
        <v>319</v>
      </c>
      <c r="D37" s="2" t="s">
        <v>323</v>
      </c>
      <c r="E37" s="11" t="s">
        <v>405</v>
      </c>
      <c r="F37" s="10">
        <v>30</v>
      </c>
      <c r="G37" s="10">
        <v>50</v>
      </c>
      <c r="H37" s="10">
        <v>0.5</v>
      </c>
      <c r="I37" s="10">
        <v>30</v>
      </c>
      <c r="J37" s="10">
        <v>32</v>
      </c>
      <c r="K37" s="10" t="s">
        <v>313</v>
      </c>
      <c r="L37" s="2">
        <v>3.3</v>
      </c>
      <c r="M37" s="31" t="str">
        <f t="shared" si="0"/>
        <v>송국리 369</v>
      </c>
      <c r="N37" s="10"/>
      <c r="O37" s="10"/>
      <c r="P37" s="10"/>
      <c r="R37" s="10"/>
      <c r="S37" s="8" t="s">
        <v>13</v>
      </c>
    </row>
    <row r="38" spans="1:19" s="8" customFormat="1" ht="21.75" customHeight="1">
      <c r="A38" s="1" t="s">
        <v>390</v>
      </c>
      <c r="B38" s="43" t="s">
        <v>37</v>
      </c>
      <c r="C38" s="2" t="s">
        <v>319</v>
      </c>
      <c r="D38" s="2" t="s">
        <v>323</v>
      </c>
      <c r="E38" s="11" t="s">
        <v>409</v>
      </c>
      <c r="F38" s="10">
        <v>114</v>
      </c>
      <c r="G38" s="10">
        <v>200</v>
      </c>
      <c r="H38" s="10">
        <v>3</v>
      </c>
      <c r="I38" s="10">
        <v>160</v>
      </c>
      <c r="J38" s="10">
        <v>32</v>
      </c>
      <c r="K38" s="10" t="s">
        <v>313</v>
      </c>
      <c r="L38" s="2">
        <v>9.02</v>
      </c>
      <c r="M38" s="31" t="str">
        <f t="shared" si="0"/>
        <v>송국리 370-3</v>
      </c>
      <c r="N38" s="10"/>
      <c r="O38" s="10"/>
      <c r="P38" s="10"/>
      <c r="R38" s="10"/>
      <c r="S38" s="8" t="s">
        <v>13</v>
      </c>
    </row>
    <row r="39" spans="1:19" s="8" customFormat="1" ht="21.75" customHeight="1">
      <c r="A39" s="1" t="s">
        <v>406</v>
      </c>
      <c r="B39" s="1" t="s">
        <v>24</v>
      </c>
      <c r="C39" s="2" t="s">
        <v>319</v>
      </c>
      <c r="D39" s="2" t="s">
        <v>411</v>
      </c>
      <c r="E39" s="11" t="s">
        <v>413</v>
      </c>
      <c r="F39" s="10">
        <v>96</v>
      </c>
      <c r="G39" s="10">
        <v>150</v>
      </c>
      <c r="H39" s="10">
        <v>2</v>
      </c>
      <c r="I39" s="10">
        <v>80</v>
      </c>
      <c r="J39" s="10">
        <v>30</v>
      </c>
      <c r="K39" s="10" t="s">
        <v>313</v>
      </c>
      <c r="L39" s="2">
        <v>5.5</v>
      </c>
      <c r="M39" s="31" t="str">
        <f t="shared" si="0"/>
        <v>세탑리 28</v>
      </c>
      <c r="N39" s="10"/>
      <c r="O39" s="10"/>
      <c r="P39" s="10"/>
      <c r="R39" s="10"/>
      <c r="S39" s="8" t="s">
        <v>13</v>
      </c>
    </row>
    <row r="40" spans="1:19" s="8" customFormat="1" ht="21.75" customHeight="1">
      <c r="A40" s="1" t="s">
        <v>407</v>
      </c>
      <c r="B40" s="1" t="s">
        <v>24</v>
      </c>
      <c r="C40" s="2" t="s">
        <v>319</v>
      </c>
      <c r="D40" s="2" t="s">
        <v>411</v>
      </c>
      <c r="E40" s="11" t="s">
        <v>416</v>
      </c>
      <c r="F40" s="10">
        <v>100</v>
      </c>
      <c r="G40" s="10">
        <v>150</v>
      </c>
      <c r="H40" s="10">
        <v>2</v>
      </c>
      <c r="I40" s="10">
        <v>100</v>
      </c>
      <c r="J40" s="10">
        <v>32</v>
      </c>
      <c r="K40" s="10" t="s">
        <v>314</v>
      </c>
      <c r="L40" s="2">
        <v>7.06</v>
      </c>
      <c r="M40" s="31" t="str">
        <f t="shared" si="0"/>
        <v>세탑리 13</v>
      </c>
      <c r="N40" s="10"/>
      <c r="O40" s="10"/>
      <c r="P40" s="10"/>
      <c r="R40" s="10"/>
      <c r="S40" s="8" t="s">
        <v>13</v>
      </c>
    </row>
    <row r="41" spans="1:19" s="8" customFormat="1" ht="21.75" customHeight="1">
      <c r="A41" s="1" t="s">
        <v>408</v>
      </c>
      <c r="B41" s="1" t="s">
        <v>24</v>
      </c>
      <c r="C41" s="2" t="s">
        <v>319</v>
      </c>
      <c r="D41" s="2" t="s">
        <v>417</v>
      </c>
      <c r="E41" s="11" t="s">
        <v>418</v>
      </c>
      <c r="F41" s="10">
        <v>21</v>
      </c>
      <c r="G41" s="10">
        <v>50</v>
      </c>
      <c r="H41" s="10">
        <v>0.5</v>
      </c>
      <c r="I41" s="10">
        <v>50</v>
      </c>
      <c r="J41" s="10">
        <v>40</v>
      </c>
      <c r="K41" s="10" t="s">
        <v>313</v>
      </c>
      <c r="L41" s="2">
        <v>4.18</v>
      </c>
      <c r="M41" s="31" t="str">
        <f t="shared" si="0"/>
        <v>남산리 279-2</v>
      </c>
      <c r="N41" s="10"/>
      <c r="O41" s="10"/>
      <c r="P41" s="10"/>
      <c r="R41" s="10"/>
      <c r="S41" s="8" t="s">
        <v>13</v>
      </c>
    </row>
    <row r="42" spans="1:19" s="8" customFormat="1" ht="21.75" customHeight="1">
      <c r="A42" s="1"/>
      <c r="B42" s="1"/>
      <c r="C42" s="2"/>
      <c r="D42" s="2"/>
      <c r="E42" s="11"/>
      <c r="F42" s="10"/>
      <c r="G42" s="10"/>
      <c r="H42" s="10"/>
      <c r="I42" s="10"/>
      <c r="J42" s="10"/>
      <c r="K42" s="10"/>
      <c r="L42" s="2"/>
      <c r="M42" s="31"/>
      <c r="N42" s="10"/>
      <c r="O42" s="10"/>
      <c r="P42" s="10"/>
      <c r="Q42" s="3"/>
      <c r="R42" s="10"/>
      <c r="S42" s="2"/>
    </row>
    <row r="43" spans="1:19" ht="21.75" customHeight="1" thickBot="1">
      <c r="L43" s="5"/>
    </row>
    <row r="44" spans="1:19" ht="21.75" customHeight="1">
      <c r="B44" s="26" t="s">
        <v>23</v>
      </c>
      <c r="C44" s="18" t="s">
        <v>22</v>
      </c>
      <c r="D44" s="19" t="s">
        <v>7</v>
      </c>
      <c r="K44" s="2" t="s">
        <v>33</v>
      </c>
      <c r="L44" s="42">
        <f>SUM(L2:L43)</f>
        <v>229.25000000000009</v>
      </c>
      <c r="M44" s="32"/>
    </row>
    <row r="45" spans="1:19" ht="21.75" customHeight="1">
      <c r="B45" s="24" t="s">
        <v>20</v>
      </c>
      <c r="C45" s="17">
        <f ca="1">COUNTIF(AA_INSIDE_AREA,"O")</f>
        <v>40</v>
      </c>
      <c r="D45" s="21">
        <f ca="1">SUMIF(AA_INSIDE_AREA,"O",$L$2:$L$2)</f>
        <v>229.25000000000009</v>
      </c>
    </row>
    <row r="46" spans="1:19" ht="21.75" customHeight="1">
      <c r="B46" s="24" t="s">
        <v>21</v>
      </c>
      <c r="C46" s="17">
        <f ca="1">COUNTIF(AA_INSIDE_AREA,"X")</f>
        <v>0</v>
      </c>
      <c r="D46" s="21">
        <f ca="1">SUMIF(AA_INSIDE_AREA,"X",$L$2:$L$2)</f>
        <v>0</v>
      </c>
      <c r="L46" s="4"/>
    </row>
    <row r="47" spans="1:19" ht="21.75" customHeight="1" thickBot="1">
      <c r="B47" s="25"/>
      <c r="C47" s="22"/>
      <c r="D47" s="23">
        <f ca="1">D45+D46</f>
        <v>229.25000000000009</v>
      </c>
      <c r="L47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514350</xdr:colOff>
                <xdr:row>0</xdr:row>
                <xdr:rowOff>371475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514350</xdr:colOff>
                <xdr:row>1</xdr:row>
                <xdr:rowOff>95250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19</xdr:col>
                <xdr:colOff>133350</xdr:colOff>
                <xdr:row>1</xdr:row>
                <xdr:rowOff>142875</xdr:rowOff>
              </from>
              <to>
                <xdr:col>20</xdr:col>
                <xdr:colOff>514350</xdr:colOff>
                <xdr:row>2</xdr:row>
                <xdr:rowOff>152400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6" r:id="rId10" name="CommandButton4">
          <controlPr defaultSize="0" autoLine="0" r:id="rId11">
            <anchor moveWithCells="1">
              <from>
                <xdr:col>19</xdr:col>
                <xdr:colOff>142875</xdr:colOff>
                <xdr:row>2</xdr:row>
                <xdr:rowOff>190500</xdr:rowOff>
              </from>
              <to>
                <xdr:col>20</xdr:col>
                <xdr:colOff>523875</xdr:colOff>
                <xdr:row>3</xdr:row>
                <xdr:rowOff>200025</xdr:rowOff>
              </to>
            </anchor>
          </controlPr>
        </control>
      </mc:Choice>
      <mc:Fallback>
        <control shapeId="3076" r:id="rId10" name="CommandButton4"/>
      </mc:Fallback>
    </mc:AlternateContent>
    <mc:AlternateContent xmlns:mc="http://schemas.openxmlformats.org/markup-compatibility/2006">
      <mc:Choice Requires="x14">
        <control shapeId="3077" r:id="rId12" name="CommandButton5">
          <controlPr defaultSize="0" autoLine="0" r:id="rId13">
            <anchor moveWithCells="1">
              <from>
                <xdr:col>12</xdr:col>
                <xdr:colOff>257175</xdr:colOff>
                <xdr:row>0</xdr:row>
                <xdr:rowOff>114300</xdr:rowOff>
              </from>
              <to>
                <xdr:col>12</xdr:col>
                <xdr:colOff>1476375</xdr:colOff>
                <xdr:row>0</xdr:row>
                <xdr:rowOff>476250</xdr:rowOff>
              </to>
            </anchor>
          </controlPr>
        </control>
      </mc:Choice>
      <mc:Fallback>
        <control shapeId="3077" r:id="rId12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1"/>
  <sheetViews>
    <sheetView workbookViewId="0">
      <selection activeCell="M2" sqref="M2"/>
    </sheetView>
  </sheetViews>
  <sheetFormatPr defaultRowHeight="15"/>
  <cols>
    <col min="1" max="4" width="9" style="8"/>
    <col min="5" max="5" width="9" style="9"/>
    <col min="6" max="6" width="11" style="8" customWidth="1"/>
    <col min="7" max="7" width="9" style="8" customWidth="1"/>
    <col min="8" max="8" width="9.42578125" style="8" customWidth="1"/>
    <col min="9" max="10" width="9" style="8"/>
    <col min="11" max="11" width="13" style="8" customWidth="1"/>
    <col min="12" max="12" width="10.85546875" style="8" customWidth="1"/>
    <col min="13" max="13" width="19.85546875" customWidth="1"/>
    <col min="14" max="17" width="9" style="8"/>
    <col min="18" max="18" width="11.140625" style="8" customWidth="1"/>
    <col min="19" max="19" width="9" style="8"/>
    <col min="21" max="21" width="11" customWidth="1"/>
  </cols>
  <sheetData>
    <row r="1" spans="1:19" s="2" customFormat="1" ht="47.25" customHeight="1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245</v>
      </c>
      <c r="L1" s="1" t="s">
        <v>7</v>
      </c>
      <c r="M1" s="1" t="s">
        <v>8</v>
      </c>
      <c r="N1" s="2" t="s">
        <v>14</v>
      </c>
      <c r="O1" s="2" t="s">
        <v>15</v>
      </c>
      <c r="P1" s="2" t="s">
        <v>19</v>
      </c>
      <c r="Q1" s="2" t="s">
        <v>7</v>
      </c>
      <c r="R1" s="2" t="s">
        <v>18</v>
      </c>
      <c r="S1" s="2" t="s">
        <v>12</v>
      </c>
    </row>
    <row r="2" spans="1:19" ht="21.75" customHeight="1">
      <c r="A2" s="8" t="s">
        <v>11</v>
      </c>
      <c r="B2" s="1" t="s">
        <v>4</v>
      </c>
      <c r="C2" s="2" t="s">
        <v>319</v>
      </c>
      <c r="D2" s="2" t="s">
        <v>411</v>
      </c>
      <c r="E2" s="7" t="s">
        <v>414</v>
      </c>
      <c r="F2" s="2">
        <v>100</v>
      </c>
      <c r="G2" s="2">
        <v>200</v>
      </c>
      <c r="H2" s="2">
        <v>2</v>
      </c>
      <c r="I2" s="2">
        <v>95</v>
      </c>
      <c r="J2" s="2">
        <v>32</v>
      </c>
      <c r="K2" s="2" t="s">
        <v>162</v>
      </c>
      <c r="L2" s="2">
        <v>9</v>
      </c>
      <c r="M2" s="2" t="str">
        <f>D2&amp;" "&amp;E2&amp;" 번지"</f>
        <v>세탑리 24-9 번지</v>
      </c>
      <c r="N2" s="2"/>
      <c r="O2" s="2"/>
      <c r="P2" s="2"/>
      <c r="Q2" s="2"/>
      <c r="R2" s="2"/>
      <c r="S2" s="2" t="s">
        <v>13</v>
      </c>
    </row>
    <row r="3" spans="1:19" ht="21.75" customHeight="1">
      <c r="A3" s="8" t="s">
        <v>132</v>
      </c>
      <c r="B3" s="1" t="s">
        <v>4</v>
      </c>
      <c r="C3" s="2" t="s">
        <v>319</v>
      </c>
      <c r="D3" s="2" t="s">
        <v>411</v>
      </c>
      <c r="E3" s="7" t="s">
        <v>415</v>
      </c>
      <c r="F3" s="2">
        <v>60</v>
      </c>
      <c r="G3" s="2">
        <v>100</v>
      </c>
      <c r="H3" s="2">
        <v>1</v>
      </c>
      <c r="I3" s="2">
        <v>50</v>
      </c>
      <c r="J3" s="2">
        <v>20</v>
      </c>
      <c r="K3" s="2" t="s">
        <v>157</v>
      </c>
      <c r="L3" s="2">
        <v>5</v>
      </c>
      <c r="M3" s="2" t="str">
        <f t="shared" ref="M3" si="0">D3&amp;" "&amp;E3&amp;" 번지"</f>
        <v>세탑리 24-8 번지</v>
      </c>
      <c r="N3" s="2"/>
      <c r="O3" s="2"/>
      <c r="P3" s="2"/>
      <c r="Q3" s="2"/>
      <c r="R3" s="2"/>
      <c r="S3" s="2" t="s">
        <v>13</v>
      </c>
    </row>
    <row r="4" spans="1:19" ht="21.75" customHeight="1"/>
    <row r="5" spans="1:19" ht="21.75" customHeight="1"/>
    <row r="6" spans="1:19" ht="21.75" customHeight="1">
      <c r="K6" s="8" t="s">
        <v>33</v>
      </c>
      <c r="L6" s="38">
        <f>SUM(L2:L5)</f>
        <v>14</v>
      </c>
      <c r="S6" s="13"/>
    </row>
    <row r="7" spans="1:19" ht="18.75" customHeight="1" thickBot="1"/>
    <row r="8" spans="1:19" ht="18.75" customHeight="1">
      <c r="B8" s="26" t="s">
        <v>32</v>
      </c>
      <c r="C8" s="18" t="s">
        <v>22</v>
      </c>
      <c r="D8" s="19" t="s">
        <v>7</v>
      </c>
      <c r="L8" s="4"/>
      <c r="S8" s="4"/>
    </row>
    <row r="9" spans="1:19" ht="18.75" customHeight="1">
      <c r="B9" s="24" t="s">
        <v>20</v>
      </c>
      <c r="C9" s="17">
        <f ca="1">IF(L6=0,0,COUNTIF(II_INSIDE_AREA,"O"))</f>
        <v>2</v>
      </c>
      <c r="D9" s="21">
        <f ca="1">SUMIF(II_INSIDE_AREA,"O",$L$2:$L$2)</f>
        <v>14</v>
      </c>
      <c r="L9" s="4"/>
      <c r="S9" s="4"/>
    </row>
    <row r="10" spans="1:19" ht="18.75" customHeight="1">
      <c r="B10" s="24" t="s">
        <v>21</v>
      </c>
      <c r="C10" s="17">
        <f ca="1">COUNTIF(II_INSIDE_AREA,"X")</f>
        <v>0</v>
      </c>
      <c r="D10" s="21">
        <f ca="1">SUMIF(II_INSIDE_AREA,"X",$L$2:$L$2)</f>
        <v>0</v>
      </c>
    </row>
    <row r="11" spans="1:19" ht="18.75" customHeight="1" thickBot="1">
      <c r="B11" s="25"/>
      <c r="C11" s="22"/>
      <c r="D11" s="23">
        <f ca="1">D9+D10</f>
        <v>14</v>
      </c>
    </row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  <row r="51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22</xdr:col>
                <xdr:colOff>85725</xdr:colOff>
                <xdr:row>0</xdr:row>
                <xdr:rowOff>133350</xdr:rowOff>
              </from>
              <to>
                <xdr:col>23</xdr:col>
                <xdr:colOff>371475</xdr:colOff>
                <xdr:row>0</xdr:row>
                <xdr:rowOff>419100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476250</xdr:colOff>
                <xdr:row>0</xdr:row>
                <xdr:rowOff>133350</xdr:rowOff>
              </from>
              <to>
                <xdr:col>22</xdr:col>
                <xdr:colOff>28575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419100</xdr:colOff>
                <xdr:row>0</xdr:row>
                <xdr:rowOff>419100</xdr:rowOff>
              </to>
            </anchor>
          </controlPr>
        </control>
      </mc:Choice>
      <mc:Fallback>
        <control shapeId="4097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6" workbookViewId="0">
      <selection activeCell="J35" sqref="J35"/>
    </sheetView>
  </sheetViews>
  <sheetFormatPr defaultRowHeight="15"/>
  <cols>
    <col min="3" max="3" width="19.5703125" style="8" customWidth="1"/>
    <col min="4" max="4" width="9" style="8"/>
    <col min="5" max="5" width="28.140625" style="31" customWidth="1"/>
  </cols>
  <sheetData>
    <row r="1" spans="1:10" ht="21.75" customHeight="1">
      <c r="A1" s="29" t="s">
        <v>193</v>
      </c>
      <c r="C1" s="27" t="s">
        <v>142</v>
      </c>
      <c r="D1" s="28" t="s">
        <v>143</v>
      </c>
      <c r="E1" s="33" t="s">
        <v>145</v>
      </c>
    </row>
    <row r="2" spans="1:10" ht="20.100000000000001" customHeight="1">
      <c r="A2" s="29" t="s">
        <v>194</v>
      </c>
      <c r="C2" s="8" t="s">
        <v>91</v>
      </c>
      <c r="D2" s="8" t="s">
        <v>38</v>
      </c>
      <c r="E2" s="31" t="s">
        <v>192</v>
      </c>
    </row>
    <row r="3" spans="1:10" ht="20.100000000000001" customHeight="1">
      <c r="C3" s="8" t="s">
        <v>92</v>
      </c>
      <c r="D3" s="8" t="s">
        <v>39</v>
      </c>
      <c r="E3" s="31" t="s">
        <v>146</v>
      </c>
    </row>
    <row r="4" spans="1:10" ht="20.100000000000001" customHeight="1">
      <c r="C4" s="8" t="s">
        <v>144</v>
      </c>
      <c r="D4" s="8" t="s">
        <v>40</v>
      </c>
      <c r="E4" s="31" t="s">
        <v>147</v>
      </c>
    </row>
    <row r="5" spans="1:10" ht="20.100000000000001" customHeight="1">
      <c r="C5" s="8" t="s">
        <v>27</v>
      </c>
      <c r="D5" s="8" t="s">
        <v>41</v>
      </c>
      <c r="E5" s="31" t="s">
        <v>148</v>
      </c>
    </row>
    <row r="6" spans="1:10" ht="20.100000000000001" customHeight="1">
      <c r="C6" s="8" t="s">
        <v>93</v>
      </c>
      <c r="D6" s="8" t="s">
        <v>42</v>
      </c>
      <c r="E6" s="31" t="s">
        <v>149</v>
      </c>
    </row>
    <row r="7" spans="1:10" ht="20.100000000000001" customHeight="1">
      <c r="C7" s="8" t="s">
        <v>94</v>
      </c>
      <c r="D7" s="8" t="s">
        <v>43</v>
      </c>
      <c r="E7" s="31" t="s">
        <v>36</v>
      </c>
    </row>
    <row r="8" spans="1:10" ht="20.100000000000001" customHeight="1">
      <c r="C8" s="8" t="s">
        <v>95</v>
      </c>
      <c r="D8" s="8" t="s">
        <v>44</v>
      </c>
      <c r="E8" s="31" t="s">
        <v>150</v>
      </c>
    </row>
    <row r="9" spans="1:10" ht="20.100000000000001" customHeight="1">
      <c r="C9" s="8" t="s">
        <v>96</v>
      </c>
      <c r="D9" s="8" t="s">
        <v>45</v>
      </c>
      <c r="E9" s="31" t="s">
        <v>151</v>
      </c>
      <c r="J9" s="8" t="str">
        <f>INDEX(itable[value], MATCH("d1", itable[key], 0))</f>
        <v>u</v>
      </c>
    </row>
    <row r="10" spans="1:10" ht="20.100000000000001" customHeight="1">
      <c r="C10" s="8" t="s">
        <v>97</v>
      </c>
      <c r="D10" s="8" t="s">
        <v>46</v>
      </c>
      <c r="E10" s="31" t="s">
        <v>152</v>
      </c>
    </row>
    <row r="11" spans="1:10" ht="20.100000000000001" customHeight="1">
      <c r="C11" s="8" t="s">
        <v>98</v>
      </c>
      <c r="D11" s="8" t="s">
        <v>47</v>
      </c>
      <c r="E11" s="31" t="s">
        <v>153</v>
      </c>
    </row>
    <row r="12" spans="1:10" ht="20.100000000000001" customHeight="1">
      <c r="C12" s="8" t="s">
        <v>99</v>
      </c>
      <c r="D12" s="8" t="s">
        <v>48</v>
      </c>
      <c r="E12" s="31" t="s">
        <v>154</v>
      </c>
    </row>
    <row r="13" spans="1:10" ht="20.100000000000001" customHeight="1">
      <c r="C13" s="8" t="s">
        <v>100</v>
      </c>
      <c r="D13" s="8" t="s">
        <v>49</v>
      </c>
      <c r="E13" s="31" t="s">
        <v>155</v>
      </c>
    </row>
    <row r="14" spans="1:10" ht="20.100000000000001" customHeight="1">
      <c r="C14" s="8" t="s">
        <v>101</v>
      </c>
      <c r="D14" s="8" t="s">
        <v>50</v>
      </c>
      <c r="E14" s="31" t="s">
        <v>156</v>
      </c>
    </row>
    <row r="15" spans="1:10" ht="20.100000000000001" customHeight="1">
      <c r="C15" s="8" t="s">
        <v>102</v>
      </c>
      <c r="D15" s="8" t="s">
        <v>51</v>
      </c>
      <c r="E15" s="31" t="s">
        <v>157</v>
      </c>
    </row>
    <row r="16" spans="1:10" ht="20.100000000000001" customHeight="1">
      <c r="C16" s="8" t="s">
        <v>103</v>
      </c>
      <c r="D16" s="8" t="s">
        <v>52</v>
      </c>
      <c r="E16" s="31" t="s">
        <v>158</v>
      </c>
    </row>
    <row r="17" spans="3:5" ht="20.100000000000001" customHeight="1">
      <c r="C17" s="8" t="s">
        <v>104</v>
      </c>
      <c r="D17" s="8" t="s">
        <v>53</v>
      </c>
      <c r="E17" s="31" t="s">
        <v>159</v>
      </c>
    </row>
    <row r="18" spans="3:5" ht="20.100000000000001" customHeight="1">
      <c r="C18" s="8" t="s">
        <v>105</v>
      </c>
      <c r="D18" s="8" t="s">
        <v>54</v>
      </c>
      <c r="E18" s="31" t="s">
        <v>160</v>
      </c>
    </row>
    <row r="19" spans="3:5" ht="20.100000000000001" customHeight="1">
      <c r="C19" s="8" t="s">
        <v>106</v>
      </c>
      <c r="D19" s="8" t="s">
        <v>55</v>
      </c>
      <c r="E19" s="31" t="s">
        <v>161</v>
      </c>
    </row>
    <row r="20" spans="3:5" ht="20.100000000000001" customHeight="1">
      <c r="C20" s="8" t="s">
        <v>107</v>
      </c>
      <c r="D20" s="8" t="s">
        <v>56</v>
      </c>
      <c r="E20" s="31" t="s">
        <v>162</v>
      </c>
    </row>
    <row r="21" spans="3:5" ht="20.100000000000001" customHeight="1">
      <c r="C21" s="8" t="s">
        <v>108</v>
      </c>
      <c r="D21" s="8" t="s">
        <v>57</v>
      </c>
      <c r="E21" s="31" t="s">
        <v>157</v>
      </c>
    </row>
    <row r="22" spans="3:5" ht="20.100000000000001" customHeight="1">
      <c r="C22" s="8" t="s">
        <v>109</v>
      </c>
      <c r="D22" s="8" t="s">
        <v>58</v>
      </c>
      <c r="E22" s="31" t="s">
        <v>163</v>
      </c>
    </row>
    <row r="23" spans="3:5" ht="20.100000000000001" customHeight="1">
      <c r="C23" s="8" t="s">
        <v>110</v>
      </c>
      <c r="D23" s="8" t="s">
        <v>59</v>
      </c>
      <c r="E23" s="31" t="s">
        <v>164</v>
      </c>
    </row>
    <row r="24" spans="3:5" ht="20.100000000000001" customHeight="1">
      <c r="C24" s="8" t="s">
        <v>111</v>
      </c>
      <c r="D24" s="8" t="s">
        <v>60</v>
      </c>
      <c r="E24" s="31" t="s">
        <v>165</v>
      </c>
    </row>
    <row r="25" spans="3:5" ht="20.100000000000001" customHeight="1">
      <c r="C25" s="8" t="s">
        <v>112</v>
      </c>
      <c r="D25" s="8" t="s">
        <v>61</v>
      </c>
      <c r="E25" s="31" t="s">
        <v>166</v>
      </c>
    </row>
    <row r="26" spans="3:5" ht="20.100000000000001" customHeight="1">
      <c r="C26" s="8" t="s">
        <v>113</v>
      </c>
      <c r="D26" s="8" t="s">
        <v>62</v>
      </c>
      <c r="E26" s="31" t="s">
        <v>167</v>
      </c>
    </row>
    <row r="27" spans="3:5" ht="20.100000000000001" customHeight="1">
      <c r="C27" s="8" t="s">
        <v>114</v>
      </c>
      <c r="D27" s="8" t="s">
        <v>63</v>
      </c>
      <c r="E27" s="31" t="s">
        <v>168</v>
      </c>
    </row>
    <row r="28" spans="3:5" ht="20.100000000000001" customHeight="1">
      <c r="C28" s="8" t="s">
        <v>115</v>
      </c>
      <c r="D28" s="8" t="s">
        <v>64</v>
      </c>
      <c r="E28" s="31" t="s">
        <v>157</v>
      </c>
    </row>
    <row r="29" spans="3:5" ht="20.100000000000001" customHeight="1">
      <c r="C29" s="8" t="s">
        <v>116</v>
      </c>
      <c r="D29" s="8" t="s">
        <v>65</v>
      </c>
      <c r="E29" s="31" t="s">
        <v>169</v>
      </c>
    </row>
    <row r="30" spans="3:5" ht="20.100000000000001" customHeight="1">
      <c r="C30" s="8" t="s">
        <v>117</v>
      </c>
      <c r="D30" s="8" t="s">
        <v>66</v>
      </c>
      <c r="E30" s="31" t="s">
        <v>170</v>
      </c>
    </row>
    <row r="31" spans="3:5" ht="20.100000000000001" customHeight="1">
      <c r="C31" s="8" t="s">
        <v>118</v>
      </c>
      <c r="D31" s="8" t="s">
        <v>67</v>
      </c>
      <c r="E31" s="31" t="s">
        <v>171</v>
      </c>
    </row>
    <row r="32" spans="3:5" ht="20.100000000000001" customHeight="1">
      <c r="C32" s="8" t="s">
        <v>119</v>
      </c>
      <c r="D32" s="8" t="s">
        <v>68</v>
      </c>
      <c r="E32" s="34" t="s">
        <v>172</v>
      </c>
    </row>
    <row r="33" spans="3:7" ht="20.100000000000001" customHeight="1">
      <c r="C33" s="8" t="s">
        <v>120</v>
      </c>
      <c r="D33" s="8" t="s">
        <v>69</v>
      </c>
      <c r="E33" s="34" t="s">
        <v>173</v>
      </c>
    </row>
    <row r="34" spans="3:7" ht="20.100000000000001" customHeight="1">
      <c r="C34" s="8" t="s">
        <v>251</v>
      </c>
      <c r="D34" s="8" t="s">
        <v>70</v>
      </c>
      <c r="E34" s="35" t="s">
        <v>252</v>
      </c>
      <c r="G34" t="s">
        <v>254</v>
      </c>
    </row>
    <row r="35" spans="3:7" ht="20.100000000000001" customHeight="1">
      <c r="C35" s="8" t="s">
        <v>121</v>
      </c>
      <c r="D35" s="8" t="s">
        <v>71</v>
      </c>
      <c r="E35" s="31" t="s">
        <v>174</v>
      </c>
      <c r="G35" t="s">
        <v>255</v>
      </c>
    </row>
    <row r="36" spans="3:7" ht="20.100000000000001" customHeight="1">
      <c r="C36" s="8" t="s">
        <v>122</v>
      </c>
      <c r="D36" s="8" t="s">
        <v>72</v>
      </c>
      <c r="E36" s="31" t="s">
        <v>175</v>
      </c>
      <c r="G36" t="s">
        <v>255</v>
      </c>
    </row>
    <row r="37" spans="3:7" ht="20.100000000000001" customHeight="1">
      <c r="C37" s="8" t="s">
        <v>123</v>
      </c>
      <c r="D37" s="8" t="s">
        <v>73</v>
      </c>
      <c r="E37" s="31" t="s">
        <v>176</v>
      </c>
    </row>
    <row r="38" spans="3:7" ht="20.100000000000001" customHeight="1">
      <c r="C38" s="8" t="s">
        <v>124</v>
      </c>
      <c r="D38" s="8" t="s">
        <v>74</v>
      </c>
      <c r="E38" s="31" t="s">
        <v>177</v>
      </c>
    </row>
    <row r="39" spans="3:7" ht="20.100000000000001" customHeight="1">
      <c r="C39" s="8" t="s">
        <v>125</v>
      </c>
      <c r="D39" s="8" t="s">
        <v>75</v>
      </c>
      <c r="E39" s="34" t="s">
        <v>178</v>
      </c>
    </row>
    <row r="40" spans="3:7" ht="20.100000000000001" customHeight="1">
      <c r="C40" s="8" t="s">
        <v>126</v>
      </c>
      <c r="D40" s="8" t="s">
        <v>76</v>
      </c>
      <c r="E40" s="34" t="s">
        <v>179</v>
      </c>
    </row>
    <row r="41" spans="3:7" ht="20.100000000000001" customHeight="1">
      <c r="C41" s="8" t="s">
        <v>127</v>
      </c>
      <c r="D41" s="8" t="s">
        <v>77</v>
      </c>
      <c r="E41" s="34" t="s">
        <v>180</v>
      </c>
    </row>
    <row r="42" spans="3:7" ht="20.100000000000001" customHeight="1">
      <c r="C42" s="8" t="s">
        <v>128</v>
      </c>
      <c r="D42" s="8" t="s">
        <v>78</v>
      </c>
      <c r="E42" s="34" t="s">
        <v>181</v>
      </c>
    </row>
    <row r="43" spans="3:7" ht="20.100000000000001" customHeight="1">
      <c r="C43" s="8" t="s">
        <v>129</v>
      </c>
      <c r="D43" s="8" t="s">
        <v>79</v>
      </c>
      <c r="E43" s="31" t="s">
        <v>182</v>
      </c>
    </row>
    <row r="44" spans="3:7" ht="20.100000000000001" customHeight="1">
      <c r="C44" s="8" t="s">
        <v>130</v>
      </c>
      <c r="D44" s="8" t="s">
        <v>80</v>
      </c>
      <c r="E44" s="31" t="s">
        <v>183</v>
      </c>
    </row>
    <row r="45" spans="3:7" ht="20.100000000000001" customHeight="1">
      <c r="C45" s="8" t="s">
        <v>131</v>
      </c>
      <c r="D45" s="8" t="s">
        <v>81</v>
      </c>
      <c r="E45" s="31" t="s">
        <v>14</v>
      </c>
    </row>
    <row r="46" spans="3:7" ht="20.100000000000001" customHeight="1">
      <c r="C46" s="8" t="s">
        <v>132</v>
      </c>
      <c r="D46" s="8" t="s">
        <v>82</v>
      </c>
      <c r="E46" s="31" t="s">
        <v>15</v>
      </c>
    </row>
    <row r="47" spans="3:7" ht="20.100000000000001" customHeight="1">
      <c r="C47" s="8" t="s">
        <v>133</v>
      </c>
      <c r="D47" s="8" t="s">
        <v>83</v>
      </c>
      <c r="E47" s="31" t="s">
        <v>184</v>
      </c>
    </row>
    <row r="48" spans="3:7" ht="20.100000000000001" customHeight="1">
      <c r="C48" s="8" t="s">
        <v>134</v>
      </c>
      <c r="D48" s="8" t="s">
        <v>84</v>
      </c>
      <c r="E48" s="31" t="s">
        <v>10</v>
      </c>
    </row>
    <row r="49" spans="3:5" ht="20.100000000000001" customHeight="1">
      <c r="C49" s="8" t="s">
        <v>135</v>
      </c>
      <c r="D49" s="8" t="s">
        <v>85</v>
      </c>
      <c r="E49" s="31" t="s">
        <v>185</v>
      </c>
    </row>
    <row r="50" spans="3:5" ht="20.100000000000001" customHeight="1">
      <c r="C50" s="8" t="s">
        <v>136</v>
      </c>
      <c r="D50" s="8" t="s">
        <v>86</v>
      </c>
      <c r="E50" s="34" t="s">
        <v>186</v>
      </c>
    </row>
    <row r="51" spans="3:5" ht="20.100000000000001" customHeight="1">
      <c r="C51" s="8" t="s">
        <v>137</v>
      </c>
      <c r="D51" s="8" t="s">
        <v>87</v>
      </c>
      <c r="E51" s="34" t="s">
        <v>187</v>
      </c>
    </row>
    <row r="52" spans="3:5" ht="20.100000000000001" customHeight="1">
      <c r="C52" s="8" t="s">
        <v>138</v>
      </c>
      <c r="D52" s="8" t="s">
        <v>88</v>
      </c>
      <c r="E52" s="34" t="s">
        <v>188</v>
      </c>
    </row>
    <row r="53" spans="3:5" ht="20.100000000000001" customHeight="1">
      <c r="C53" s="8" t="s">
        <v>139</v>
      </c>
      <c r="D53" s="8" t="s">
        <v>89</v>
      </c>
      <c r="E53" s="34" t="s">
        <v>189</v>
      </c>
    </row>
    <row r="54" spans="3:5" ht="20.100000000000001" customHeight="1">
      <c r="C54" s="8" t="s">
        <v>140</v>
      </c>
      <c r="D54" s="8" t="s">
        <v>90</v>
      </c>
      <c r="E54" s="34" t="s">
        <v>190</v>
      </c>
    </row>
    <row r="55" spans="3:5" ht="20.100000000000001" customHeight="1">
      <c r="C55" s="8" t="s">
        <v>141</v>
      </c>
      <c r="D55" s="8" t="s">
        <v>253</v>
      </c>
      <c r="E55" s="34" t="s">
        <v>191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J56"/>
  <sheetViews>
    <sheetView topLeftCell="B1" workbookViewId="0">
      <selection activeCell="R21" sqref="R21"/>
    </sheetView>
  </sheetViews>
  <sheetFormatPr defaultColWidth="9" defaultRowHeight="20.100000000000001" customHeight="1"/>
  <cols>
    <col min="1" max="1" width="9" style="31"/>
    <col min="2" max="2" width="38.42578125" style="31" customWidth="1"/>
    <col min="3" max="3" width="10.42578125" style="31" customWidth="1"/>
    <col min="4" max="4" width="9" style="31"/>
    <col min="5" max="5" width="10.7109375" style="31" customWidth="1"/>
    <col min="6" max="6" width="9" style="31"/>
    <col min="7" max="7" width="10.28515625" style="31" customWidth="1"/>
    <col min="8" max="8" width="11.5703125" style="31" customWidth="1"/>
    <col min="9" max="9" width="14.5703125" style="31" customWidth="1"/>
    <col min="10" max="10" width="10.42578125" style="31" customWidth="1"/>
    <col min="11" max="16384" width="9" style="31"/>
  </cols>
  <sheetData>
    <row r="1" spans="1:10" s="45" customFormat="1" ht="20.100000000000001" customHeight="1">
      <c r="A1" s="45" t="s">
        <v>5</v>
      </c>
      <c r="B1" s="45" t="s">
        <v>197</v>
      </c>
      <c r="C1" s="45" t="s">
        <v>250</v>
      </c>
      <c r="D1" s="45" t="s">
        <v>246</v>
      </c>
      <c r="E1" s="45" t="s">
        <v>247</v>
      </c>
      <c r="F1" s="45" t="s">
        <v>248</v>
      </c>
      <c r="G1" s="45" t="s">
        <v>249</v>
      </c>
      <c r="H1" s="45" t="s">
        <v>256</v>
      </c>
      <c r="I1" s="45" t="s">
        <v>257</v>
      </c>
      <c r="J1" s="45" t="s">
        <v>258</v>
      </c>
    </row>
    <row r="2" spans="1:10" ht="20.100000000000001" customHeight="1">
      <c r="A2" s="31" t="s">
        <v>423</v>
      </c>
      <c r="B2" s="31" t="s">
        <v>475</v>
      </c>
      <c r="C2" s="31">
        <v>1</v>
      </c>
      <c r="D2" s="31">
        <v>30</v>
      </c>
      <c r="E2" s="31">
        <v>50</v>
      </c>
      <c r="F2" s="31">
        <v>0.3</v>
      </c>
      <c r="G2" s="31">
        <v>30</v>
      </c>
      <c r="H2" s="31">
        <v>15</v>
      </c>
      <c r="I2" s="31" t="s">
        <v>424</v>
      </c>
      <c r="J2" s="31">
        <v>0.68</v>
      </c>
    </row>
    <row r="3" spans="1:10" ht="20.100000000000001" customHeight="1">
      <c r="A3" s="31" t="s">
        <v>28</v>
      </c>
      <c r="B3" s="31" t="s">
        <v>476</v>
      </c>
      <c r="C3" s="31">
        <v>0</v>
      </c>
      <c r="D3" s="31">
        <v>150</v>
      </c>
      <c r="E3" s="31">
        <v>250</v>
      </c>
      <c r="F3" s="31">
        <v>2</v>
      </c>
      <c r="G3" s="31">
        <v>160</v>
      </c>
      <c r="H3" s="31">
        <v>50</v>
      </c>
      <c r="I3" s="31" t="s">
        <v>425</v>
      </c>
      <c r="J3" s="31">
        <v>7.39</v>
      </c>
    </row>
    <row r="4" spans="1:10" ht="20.100000000000001" customHeight="1">
      <c r="A4" s="31" t="s">
        <v>29</v>
      </c>
      <c r="B4" s="31" t="s">
        <v>477</v>
      </c>
      <c r="C4" s="31">
        <v>0</v>
      </c>
      <c r="D4" s="31">
        <v>150</v>
      </c>
      <c r="E4" s="31">
        <v>250</v>
      </c>
      <c r="F4" s="31">
        <v>5</v>
      </c>
      <c r="G4" s="31">
        <v>180</v>
      </c>
      <c r="H4" s="31">
        <v>50</v>
      </c>
      <c r="I4" s="31" t="s">
        <v>425</v>
      </c>
      <c r="J4" s="31">
        <v>7.39</v>
      </c>
    </row>
    <row r="5" spans="1:10" ht="20.100000000000001" customHeight="1">
      <c r="A5" s="31" t="s">
        <v>30</v>
      </c>
      <c r="B5" s="31" t="s">
        <v>478</v>
      </c>
      <c r="C5" s="31">
        <v>0</v>
      </c>
      <c r="D5" s="31">
        <v>145</v>
      </c>
      <c r="E5" s="31">
        <v>250</v>
      </c>
      <c r="F5" s="31">
        <v>3</v>
      </c>
      <c r="G5" s="31">
        <v>150</v>
      </c>
      <c r="H5" s="31">
        <v>50</v>
      </c>
      <c r="I5" s="31" t="s">
        <v>425</v>
      </c>
      <c r="J5" s="31">
        <v>7.39</v>
      </c>
    </row>
    <row r="6" spans="1:10" ht="20.100000000000001" customHeight="1">
      <c r="A6" s="31" t="s">
        <v>31</v>
      </c>
      <c r="B6" s="31" t="s">
        <v>479</v>
      </c>
      <c r="C6" s="31">
        <v>1</v>
      </c>
      <c r="D6" s="31">
        <v>100</v>
      </c>
      <c r="E6" s="31">
        <v>150</v>
      </c>
      <c r="F6" s="31">
        <v>1</v>
      </c>
      <c r="G6" s="31">
        <v>30</v>
      </c>
      <c r="H6" s="31">
        <v>25</v>
      </c>
      <c r="I6" s="31" t="s">
        <v>424</v>
      </c>
      <c r="J6" s="31">
        <v>0.68</v>
      </c>
    </row>
    <row r="7" spans="1:10" ht="20.100000000000001" customHeight="1">
      <c r="A7" s="31" t="s">
        <v>316</v>
      </c>
      <c r="B7" s="31" t="s">
        <v>480</v>
      </c>
      <c r="C7" s="31">
        <v>1</v>
      </c>
      <c r="D7" s="31">
        <v>100</v>
      </c>
      <c r="E7" s="31">
        <v>150</v>
      </c>
      <c r="F7" s="31">
        <v>1</v>
      </c>
      <c r="G7" s="31">
        <v>27</v>
      </c>
      <c r="H7" s="31">
        <v>20</v>
      </c>
      <c r="I7" s="31" t="s">
        <v>426</v>
      </c>
      <c r="J7" s="31">
        <v>3.82</v>
      </c>
    </row>
    <row r="8" spans="1:10" ht="20.100000000000001" customHeight="1">
      <c r="A8" s="31" t="s">
        <v>336</v>
      </c>
      <c r="B8" s="31" t="s">
        <v>481</v>
      </c>
      <c r="C8" s="31">
        <v>0</v>
      </c>
      <c r="D8" s="31">
        <v>150</v>
      </c>
      <c r="E8" s="31">
        <v>250</v>
      </c>
      <c r="F8" s="31">
        <v>5</v>
      </c>
      <c r="G8" s="31">
        <v>170</v>
      </c>
      <c r="H8" s="31">
        <v>50</v>
      </c>
      <c r="I8" s="31" t="s">
        <v>425</v>
      </c>
      <c r="J8" s="31">
        <v>7.39</v>
      </c>
    </row>
    <row r="9" spans="1:10" ht="20.100000000000001" customHeight="1">
      <c r="A9" s="31" t="s">
        <v>337</v>
      </c>
      <c r="B9" s="31" t="s">
        <v>482</v>
      </c>
      <c r="C9" s="31">
        <v>1</v>
      </c>
      <c r="D9" s="31">
        <v>150</v>
      </c>
      <c r="E9" s="31">
        <v>250</v>
      </c>
      <c r="F9" s="31">
        <v>5</v>
      </c>
      <c r="G9" s="31">
        <v>173</v>
      </c>
      <c r="H9" s="31">
        <v>50</v>
      </c>
      <c r="I9" s="31" t="s">
        <v>425</v>
      </c>
      <c r="J9" s="31">
        <v>7.39</v>
      </c>
    </row>
    <row r="10" spans="1:10" ht="20.100000000000001" customHeight="1">
      <c r="A10" s="31" t="s">
        <v>338</v>
      </c>
      <c r="B10" s="31" t="s">
        <v>483</v>
      </c>
      <c r="C10" s="31">
        <v>1</v>
      </c>
      <c r="D10" s="31">
        <v>80</v>
      </c>
      <c r="E10" s="31">
        <v>150</v>
      </c>
      <c r="F10" s="31">
        <v>2</v>
      </c>
      <c r="G10" s="31">
        <v>65</v>
      </c>
      <c r="H10" s="31">
        <v>40</v>
      </c>
      <c r="I10" s="31" t="s">
        <v>424</v>
      </c>
      <c r="J10" s="31">
        <v>0.68</v>
      </c>
    </row>
    <row r="11" spans="1:10" ht="20.100000000000001" customHeight="1">
      <c r="A11" s="31" t="s">
        <v>339</v>
      </c>
      <c r="B11" s="31" t="s">
        <v>484</v>
      </c>
      <c r="C11" s="31">
        <v>1</v>
      </c>
      <c r="D11" s="31">
        <v>60</v>
      </c>
      <c r="E11" s="31">
        <v>150</v>
      </c>
      <c r="F11" s="31">
        <v>1</v>
      </c>
      <c r="G11" s="31">
        <v>60</v>
      </c>
      <c r="H11" s="31">
        <v>25</v>
      </c>
      <c r="I11" s="31" t="s">
        <v>426</v>
      </c>
      <c r="J11" s="31">
        <v>4.18</v>
      </c>
    </row>
    <row r="12" spans="1:10" ht="20.100000000000001" customHeight="1">
      <c r="A12" s="31" t="s">
        <v>340</v>
      </c>
      <c r="B12" s="31" t="s">
        <v>485</v>
      </c>
      <c r="C12" s="31">
        <v>1</v>
      </c>
      <c r="D12" s="31">
        <v>18</v>
      </c>
      <c r="E12" s="31">
        <v>50</v>
      </c>
      <c r="F12" s="31">
        <v>0.3</v>
      </c>
      <c r="G12" s="31">
        <v>25</v>
      </c>
      <c r="H12" s="31">
        <v>13</v>
      </c>
      <c r="I12" s="31" t="s">
        <v>424</v>
      </c>
      <c r="J12" s="31">
        <v>0.68</v>
      </c>
    </row>
    <row r="13" spans="1:10" ht="20.100000000000001" customHeight="1">
      <c r="A13" s="31" t="s">
        <v>341</v>
      </c>
      <c r="B13" s="31" t="s">
        <v>486</v>
      </c>
      <c r="C13" s="31">
        <v>1</v>
      </c>
      <c r="D13" s="31">
        <v>60</v>
      </c>
      <c r="E13" s="31">
        <v>125</v>
      </c>
      <c r="F13" s="31">
        <v>1</v>
      </c>
      <c r="G13" s="31">
        <v>80</v>
      </c>
      <c r="H13" s="31">
        <v>25</v>
      </c>
      <c r="I13" s="31" t="s">
        <v>426</v>
      </c>
      <c r="J13" s="31">
        <v>4.4000000000000004</v>
      </c>
    </row>
    <row r="14" spans="1:10" ht="20.100000000000001" customHeight="1">
      <c r="A14" s="31" t="s">
        <v>421</v>
      </c>
      <c r="B14" s="31" t="s">
        <v>487</v>
      </c>
      <c r="C14" s="31">
        <v>1</v>
      </c>
      <c r="D14" s="31">
        <v>30</v>
      </c>
      <c r="E14" s="31">
        <v>50</v>
      </c>
      <c r="F14" s="31">
        <v>0.3</v>
      </c>
      <c r="G14" s="31">
        <v>20</v>
      </c>
      <c r="H14" s="31">
        <v>15</v>
      </c>
      <c r="I14" s="31" t="s">
        <v>424</v>
      </c>
      <c r="J14" s="31">
        <v>0.68</v>
      </c>
    </row>
    <row r="15" spans="1:10" ht="20.100000000000001" customHeight="1">
      <c r="A15" s="31" t="s">
        <v>92</v>
      </c>
      <c r="B15" s="31" t="s">
        <v>427</v>
      </c>
      <c r="C15" s="31">
        <v>1</v>
      </c>
      <c r="D15" s="31">
        <v>20</v>
      </c>
      <c r="E15" s="31">
        <v>50</v>
      </c>
      <c r="F15" s="31">
        <v>0.5</v>
      </c>
      <c r="G15" s="31">
        <v>40</v>
      </c>
      <c r="H15" s="31">
        <v>30</v>
      </c>
      <c r="I15" s="31" t="s">
        <v>428</v>
      </c>
      <c r="J15" s="31">
        <v>3.23</v>
      </c>
    </row>
    <row r="16" spans="1:10" ht="20.100000000000001" customHeight="1">
      <c r="A16" s="31" t="s">
        <v>26</v>
      </c>
      <c r="B16" s="31" t="s">
        <v>429</v>
      </c>
      <c r="C16" s="31">
        <v>1</v>
      </c>
      <c r="D16" s="31">
        <v>20</v>
      </c>
      <c r="E16" s="31">
        <v>100</v>
      </c>
      <c r="F16" s="31">
        <v>1</v>
      </c>
      <c r="G16" s="31">
        <v>80</v>
      </c>
      <c r="H16" s="31">
        <v>50</v>
      </c>
      <c r="I16" s="31" t="s">
        <v>430</v>
      </c>
      <c r="J16" s="31">
        <v>5.5</v>
      </c>
    </row>
    <row r="17" spans="1:10" ht="20.100000000000001" customHeight="1">
      <c r="A17" s="31" t="s">
        <v>27</v>
      </c>
      <c r="B17" s="31" t="s">
        <v>431</v>
      </c>
      <c r="C17" s="31">
        <v>1</v>
      </c>
      <c r="D17" s="31">
        <v>20</v>
      </c>
      <c r="E17" s="31">
        <v>50</v>
      </c>
      <c r="F17" s="31">
        <v>0.5</v>
      </c>
      <c r="G17" s="31">
        <v>30</v>
      </c>
      <c r="H17" s="31">
        <v>20</v>
      </c>
      <c r="I17" s="31" t="s">
        <v>430</v>
      </c>
      <c r="J17" s="31">
        <v>3.3</v>
      </c>
    </row>
    <row r="18" spans="1:10" ht="20.100000000000001" customHeight="1">
      <c r="A18" s="31" t="s">
        <v>317</v>
      </c>
      <c r="B18" s="31" t="s">
        <v>432</v>
      </c>
      <c r="C18" s="31">
        <v>1</v>
      </c>
      <c r="D18" s="31">
        <v>36</v>
      </c>
      <c r="E18" s="31">
        <v>50</v>
      </c>
      <c r="F18" s="31">
        <v>0.5</v>
      </c>
      <c r="G18" s="31">
        <v>25</v>
      </c>
      <c r="H18" s="31">
        <v>13</v>
      </c>
      <c r="I18" s="31" t="s">
        <v>433</v>
      </c>
      <c r="J18" s="31">
        <v>6.01</v>
      </c>
    </row>
    <row r="19" spans="1:10" ht="20.100000000000001" customHeight="1">
      <c r="A19" s="31" t="s">
        <v>318</v>
      </c>
      <c r="B19" s="31" t="s">
        <v>434</v>
      </c>
      <c r="C19" s="31">
        <v>1</v>
      </c>
      <c r="D19" s="31">
        <v>20</v>
      </c>
      <c r="E19" s="31">
        <v>50</v>
      </c>
      <c r="F19" s="31">
        <v>0.3</v>
      </c>
      <c r="G19" s="31">
        <v>30</v>
      </c>
      <c r="H19" s="31">
        <v>16</v>
      </c>
      <c r="I19" s="31" t="s">
        <v>433</v>
      </c>
      <c r="J19" s="31">
        <v>6.08</v>
      </c>
    </row>
    <row r="20" spans="1:10" ht="20.100000000000001" customHeight="1">
      <c r="A20" s="31" t="s">
        <v>326</v>
      </c>
      <c r="B20" s="31" t="s">
        <v>435</v>
      </c>
      <c r="C20" s="31">
        <v>1</v>
      </c>
      <c r="D20" s="31">
        <v>60</v>
      </c>
      <c r="E20" s="31">
        <v>150</v>
      </c>
      <c r="F20" s="31">
        <v>2</v>
      </c>
      <c r="G20" s="31">
        <v>70</v>
      </c>
      <c r="H20" s="31">
        <v>32</v>
      </c>
      <c r="I20" s="31" t="s">
        <v>433</v>
      </c>
      <c r="J20" s="31">
        <v>6.64</v>
      </c>
    </row>
    <row r="21" spans="1:10" ht="20.100000000000001" customHeight="1">
      <c r="A21" s="31" t="s">
        <v>327</v>
      </c>
      <c r="B21" s="31" t="s">
        <v>436</v>
      </c>
      <c r="C21" s="31">
        <v>1</v>
      </c>
      <c r="D21" s="31">
        <v>30</v>
      </c>
      <c r="E21" s="31">
        <v>100</v>
      </c>
      <c r="F21" s="31">
        <v>0.5</v>
      </c>
      <c r="G21" s="31">
        <v>50</v>
      </c>
      <c r="H21" s="31">
        <v>35</v>
      </c>
      <c r="I21" s="31" t="s">
        <v>430</v>
      </c>
      <c r="J21" s="31">
        <v>4.18</v>
      </c>
    </row>
    <row r="22" spans="1:10" ht="20.100000000000001" customHeight="1">
      <c r="A22" s="31" t="s">
        <v>328</v>
      </c>
      <c r="B22" s="31" t="s">
        <v>437</v>
      </c>
      <c r="C22" s="31">
        <v>1</v>
      </c>
      <c r="D22" s="31">
        <v>24</v>
      </c>
      <c r="E22" s="31">
        <v>50</v>
      </c>
      <c r="F22" s="31">
        <v>0.5</v>
      </c>
      <c r="G22" s="31">
        <v>50</v>
      </c>
      <c r="H22" s="31">
        <v>32</v>
      </c>
      <c r="I22" s="31" t="s">
        <v>430</v>
      </c>
      <c r="J22" s="31">
        <v>4.18</v>
      </c>
    </row>
    <row r="23" spans="1:10" ht="20.100000000000001" customHeight="1">
      <c r="A23" s="31" t="s">
        <v>329</v>
      </c>
      <c r="B23" s="31" t="s">
        <v>438</v>
      </c>
      <c r="C23" s="31">
        <v>1</v>
      </c>
      <c r="D23" s="31">
        <v>30</v>
      </c>
      <c r="E23" s="31">
        <v>50</v>
      </c>
      <c r="F23" s="31">
        <v>0.5</v>
      </c>
      <c r="G23" s="31">
        <v>40</v>
      </c>
      <c r="H23" s="31">
        <v>40</v>
      </c>
      <c r="I23" s="31" t="s">
        <v>433</v>
      </c>
      <c r="J23" s="31">
        <v>6.22</v>
      </c>
    </row>
    <row r="24" spans="1:10" ht="20.100000000000001" customHeight="1">
      <c r="A24" s="31" t="s">
        <v>330</v>
      </c>
      <c r="B24" s="31" t="s">
        <v>439</v>
      </c>
      <c r="C24" s="31">
        <v>1</v>
      </c>
      <c r="D24" s="31">
        <v>100</v>
      </c>
      <c r="E24" s="31">
        <v>150</v>
      </c>
      <c r="F24" s="31">
        <v>2</v>
      </c>
      <c r="G24" s="31">
        <v>90</v>
      </c>
      <c r="H24" s="31">
        <v>25</v>
      </c>
      <c r="I24" s="31" t="s">
        <v>433</v>
      </c>
      <c r="J24" s="31">
        <v>6.92</v>
      </c>
    </row>
    <row r="25" spans="1:10" ht="20.100000000000001" customHeight="1">
      <c r="A25" s="31" t="s">
        <v>331</v>
      </c>
      <c r="B25" s="31" t="s">
        <v>440</v>
      </c>
      <c r="C25" s="31">
        <v>1</v>
      </c>
      <c r="D25" s="31">
        <v>100</v>
      </c>
      <c r="E25" s="31">
        <v>150</v>
      </c>
      <c r="F25" s="31">
        <v>2</v>
      </c>
      <c r="G25" s="31">
        <v>95</v>
      </c>
      <c r="H25" s="31">
        <v>40</v>
      </c>
      <c r="I25" s="31" t="s">
        <v>433</v>
      </c>
      <c r="J25" s="31">
        <v>6.99</v>
      </c>
    </row>
    <row r="26" spans="1:10" ht="20.100000000000001" customHeight="1">
      <c r="A26" s="31" t="s">
        <v>332</v>
      </c>
      <c r="B26" s="31" t="s">
        <v>441</v>
      </c>
      <c r="C26" s="31">
        <v>1</v>
      </c>
      <c r="D26" s="31">
        <v>27</v>
      </c>
      <c r="E26" s="31">
        <v>50</v>
      </c>
      <c r="F26" s="31">
        <v>0.5</v>
      </c>
      <c r="G26" s="31">
        <v>30</v>
      </c>
      <c r="H26" s="31">
        <v>35</v>
      </c>
      <c r="I26" s="31" t="s">
        <v>433</v>
      </c>
      <c r="J26" s="31">
        <v>6.08</v>
      </c>
    </row>
    <row r="27" spans="1:10" ht="20.100000000000001" customHeight="1">
      <c r="A27" s="31" t="s">
        <v>333</v>
      </c>
      <c r="B27" s="31" t="s">
        <v>442</v>
      </c>
      <c r="C27" s="31">
        <v>1</v>
      </c>
      <c r="D27" s="31">
        <v>30</v>
      </c>
      <c r="E27" s="31">
        <v>50</v>
      </c>
      <c r="F27" s="31">
        <v>0.5</v>
      </c>
      <c r="G27" s="31">
        <v>30</v>
      </c>
      <c r="H27" s="31">
        <v>15</v>
      </c>
      <c r="I27" s="31" t="s">
        <v>433</v>
      </c>
      <c r="J27" s="31">
        <v>6.08</v>
      </c>
    </row>
    <row r="28" spans="1:10" ht="20.100000000000001" customHeight="1">
      <c r="A28" s="31" t="s">
        <v>351</v>
      </c>
      <c r="B28" s="31" t="s">
        <v>443</v>
      </c>
      <c r="C28" s="31">
        <v>1</v>
      </c>
      <c r="D28" s="31">
        <v>30</v>
      </c>
      <c r="E28" s="31">
        <v>50</v>
      </c>
      <c r="F28" s="31">
        <v>0.5</v>
      </c>
      <c r="G28" s="31">
        <v>50</v>
      </c>
      <c r="H28" s="31">
        <v>32</v>
      </c>
      <c r="I28" s="31" t="s">
        <v>430</v>
      </c>
      <c r="J28" s="31">
        <v>4.18</v>
      </c>
    </row>
    <row r="29" spans="1:10" ht="20.100000000000001" customHeight="1">
      <c r="A29" s="31" t="s">
        <v>352</v>
      </c>
      <c r="B29" s="31" t="s">
        <v>444</v>
      </c>
      <c r="C29" s="31">
        <v>1</v>
      </c>
      <c r="D29" s="31">
        <v>30</v>
      </c>
      <c r="E29" s="31">
        <v>50</v>
      </c>
      <c r="F29" s="31">
        <v>0.5</v>
      </c>
      <c r="G29" s="31">
        <v>80</v>
      </c>
      <c r="H29" s="31">
        <v>32</v>
      </c>
      <c r="I29" s="31" t="s">
        <v>430</v>
      </c>
      <c r="J29" s="31">
        <v>5.5</v>
      </c>
    </row>
    <row r="30" spans="1:10" ht="20.100000000000001" customHeight="1">
      <c r="A30" s="31" t="s">
        <v>353</v>
      </c>
      <c r="B30" s="31" t="s">
        <v>445</v>
      </c>
      <c r="C30" s="31">
        <v>1</v>
      </c>
      <c r="D30" s="31">
        <v>20</v>
      </c>
      <c r="E30" s="31">
        <v>50</v>
      </c>
      <c r="F30" s="31">
        <v>0.3</v>
      </c>
      <c r="G30" s="31">
        <v>50</v>
      </c>
      <c r="H30" s="31">
        <v>20</v>
      </c>
      <c r="I30" s="31" t="s">
        <v>430</v>
      </c>
      <c r="J30" s="31">
        <v>4.18</v>
      </c>
    </row>
    <row r="31" spans="1:10" ht="20.100000000000001" customHeight="1">
      <c r="A31" s="31" t="s">
        <v>354</v>
      </c>
      <c r="B31" s="31" t="s">
        <v>446</v>
      </c>
      <c r="C31" s="31">
        <v>1</v>
      </c>
      <c r="D31" s="31">
        <v>20</v>
      </c>
      <c r="E31" s="31">
        <v>50</v>
      </c>
      <c r="F31" s="31">
        <v>0.5</v>
      </c>
      <c r="G31" s="31">
        <v>50</v>
      </c>
      <c r="H31" s="31">
        <v>30</v>
      </c>
      <c r="I31" s="31" t="s">
        <v>430</v>
      </c>
      <c r="J31" s="31">
        <v>4.18</v>
      </c>
    </row>
    <row r="32" spans="1:10" ht="20.100000000000001" customHeight="1">
      <c r="A32" s="31" t="s">
        <v>360</v>
      </c>
      <c r="B32" s="31" t="s">
        <v>447</v>
      </c>
      <c r="C32" s="31">
        <v>0</v>
      </c>
      <c r="D32" s="31">
        <v>60</v>
      </c>
      <c r="E32" s="31">
        <v>250</v>
      </c>
      <c r="F32" s="31">
        <v>5</v>
      </c>
      <c r="G32" s="31">
        <v>170</v>
      </c>
      <c r="H32" s="31">
        <v>50</v>
      </c>
      <c r="I32" s="31" t="s">
        <v>430</v>
      </c>
      <c r="J32" s="31">
        <v>9.4600000000000009</v>
      </c>
    </row>
    <row r="33" spans="1:10" ht="20.100000000000001" customHeight="1">
      <c r="A33" s="31" t="s">
        <v>361</v>
      </c>
      <c r="B33" s="31" t="s">
        <v>448</v>
      </c>
      <c r="C33" s="31">
        <v>1</v>
      </c>
      <c r="D33" s="31">
        <v>20</v>
      </c>
      <c r="E33" s="31">
        <v>50</v>
      </c>
      <c r="F33" s="31">
        <v>1</v>
      </c>
      <c r="G33" s="31">
        <v>50</v>
      </c>
      <c r="H33" s="31">
        <v>30</v>
      </c>
      <c r="I33" s="31" t="s">
        <v>428</v>
      </c>
      <c r="J33" s="31">
        <v>3.34</v>
      </c>
    </row>
    <row r="34" spans="1:10" ht="20.100000000000001" customHeight="1">
      <c r="A34" s="31" t="s">
        <v>362</v>
      </c>
      <c r="B34" s="31" t="s">
        <v>449</v>
      </c>
      <c r="C34" s="31">
        <v>1</v>
      </c>
      <c r="D34" s="31">
        <v>20</v>
      </c>
      <c r="E34" s="31">
        <v>50</v>
      </c>
      <c r="F34" s="31">
        <v>0.5</v>
      </c>
      <c r="G34" s="31">
        <v>30</v>
      </c>
      <c r="H34" s="31">
        <v>50</v>
      </c>
      <c r="I34" s="31" t="s">
        <v>433</v>
      </c>
      <c r="J34" s="31">
        <v>6.08</v>
      </c>
    </row>
    <row r="35" spans="1:10" ht="20.100000000000001" customHeight="1">
      <c r="A35" s="31" t="s">
        <v>363</v>
      </c>
      <c r="B35" s="31" t="s">
        <v>450</v>
      </c>
      <c r="C35" s="31">
        <v>1</v>
      </c>
      <c r="D35" s="31">
        <v>100</v>
      </c>
      <c r="E35" s="31">
        <v>150</v>
      </c>
      <c r="F35" s="31">
        <v>1</v>
      </c>
      <c r="G35" s="31">
        <v>70</v>
      </c>
      <c r="H35" s="31">
        <v>32</v>
      </c>
      <c r="I35" s="31" t="s">
        <v>433</v>
      </c>
      <c r="J35" s="31">
        <v>6.64</v>
      </c>
    </row>
    <row r="36" spans="1:10" ht="20.100000000000001" customHeight="1">
      <c r="A36" s="31" t="s">
        <v>364</v>
      </c>
      <c r="B36" s="31" t="s">
        <v>451</v>
      </c>
      <c r="C36" s="31">
        <v>1</v>
      </c>
      <c r="D36" s="31">
        <v>24</v>
      </c>
      <c r="E36" s="31">
        <v>50</v>
      </c>
      <c r="F36" s="31">
        <v>0.5</v>
      </c>
      <c r="G36" s="31">
        <v>50</v>
      </c>
      <c r="H36" s="31">
        <v>30</v>
      </c>
      <c r="I36" s="31" t="s">
        <v>430</v>
      </c>
      <c r="J36" s="31">
        <v>4.18</v>
      </c>
    </row>
    <row r="37" spans="1:10" ht="20.100000000000001" customHeight="1">
      <c r="A37" s="31" t="s">
        <v>365</v>
      </c>
      <c r="B37" s="31" t="s">
        <v>452</v>
      </c>
      <c r="C37" s="31">
        <v>1</v>
      </c>
      <c r="D37" s="31">
        <v>70</v>
      </c>
      <c r="E37" s="31">
        <v>150</v>
      </c>
      <c r="F37" s="31">
        <v>1</v>
      </c>
      <c r="G37" s="31">
        <v>70</v>
      </c>
      <c r="H37" s="31">
        <v>32</v>
      </c>
      <c r="I37" s="31" t="s">
        <v>430</v>
      </c>
      <c r="J37" s="31">
        <v>5.0599999999999996</v>
      </c>
    </row>
    <row r="38" spans="1:10" ht="20.100000000000001" customHeight="1">
      <c r="A38" s="31" t="s">
        <v>377</v>
      </c>
      <c r="B38" s="31" t="s">
        <v>453</v>
      </c>
      <c r="C38" s="31">
        <v>0</v>
      </c>
      <c r="D38" s="31">
        <v>100</v>
      </c>
      <c r="E38" s="31">
        <v>250</v>
      </c>
      <c r="F38" s="31">
        <v>5</v>
      </c>
      <c r="G38" s="31">
        <v>200</v>
      </c>
      <c r="H38" s="31">
        <v>50</v>
      </c>
      <c r="I38" s="31" t="s">
        <v>430</v>
      </c>
      <c r="J38" s="31">
        <v>10.78</v>
      </c>
    </row>
    <row r="39" spans="1:10" ht="20.100000000000001" customHeight="1">
      <c r="A39" s="31" t="s">
        <v>378</v>
      </c>
      <c r="B39" s="31" t="s">
        <v>454</v>
      </c>
      <c r="C39" s="31">
        <v>1</v>
      </c>
      <c r="D39" s="31">
        <v>80</v>
      </c>
      <c r="E39" s="31">
        <v>250</v>
      </c>
      <c r="F39" s="31">
        <v>7.5</v>
      </c>
      <c r="G39" s="31">
        <v>301</v>
      </c>
      <c r="H39" s="31">
        <v>60</v>
      </c>
      <c r="I39" s="31" t="s">
        <v>430</v>
      </c>
      <c r="J39" s="31">
        <v>15.22</v>
      </c>
    </row>
    <row r="40" spans="1:10" ht="20.100000000000001" customHeight="1">
      <c r="A40" s="31" t="s">
        <v>379</v>
      </c>
      <c r="B40" s="31" t="s">
        <v>455</v>
      </c>
      <c r="C40" s="31">
        <v>1</v>
      </c>
      <c r="D40" s="31">
        <v>80</v>
      </c>
      <c r="E40" s="31">
        <v>250</v>
      </c>
      <c r="F40" s="31">
        <v>3</v>
      </c>
      <c r="G40" s="31">
        <v>95</v>
      </c>
      <c r="H40" s="31">
        <v>40</v>
      </c>
      <c r="I40" s="31" t="s">
        <v>430</v>
      </c>
      <c r="J40" s="31">
        <v>6.16</v>
      </c>
    </row>
    <row r="41" spans="1:10" ht="20.100000000000001" customHeight="1">
      <c r="A41" s="31" t="s">
        <v>380</v>
      </c>
      <c r="B41" s="31" t="s">
        <v>456</v>
      </c>
      <c r="C41" s="31">
        <v>1</v>
      </c>
      <c r="D41" s="31">
        <v>100</v>
      </c>
      <c r="E41" s="31">
        <v>150</v>
      </c>
      <c r="F41" s="31">
        <v>2</v>
      </c>
      <c r="G41" s="31">
        <v>80</v>
      </c>
      <c r="H41" s="31">
        <v>32</v>
      </c>
      <c r="I41" s="31" t="s">
        <v>428</v>
      </c>
      <c r="J41" s="31">
        <v>3.67</v>
      </c>
    </row>
    <row r="42" spans="1:10" ht="20.100000000000001" customHeight="1">
      <c r="A42" s="31" t="s">
        <v>381</v>
      </c>
      <c r="B42" s="31" t="s">
        <v>457</v>
      </c>
      <c r="C42" s="31">
        <v>1</v>
      </c>
      <c r="D42" s="31">
        <v>100</v>
      </c>
      <c r="E42" s="31">
        <v>150</v>
      </c>
      <c r="F42" s="31">
        <v>2</v>
      </c>
      <c r="G42" s="31">
        <v>80</v>
      </c>
      <c r="H42" s="31">
        <v>32</v>
      </c>
      <c r="I42" s="31" t="s">
        <v>428</v>
      </c>
      <c r="J42" s="31">
        <v>3.67</v>
      </c>
    </row>
    <row r="43" spans="1:10" ht="20.100000000000001" customHeight="1">
      <c r="A43" s="31" t="s">
        <v>382</v>
      </c>
      <c r="B43" s="31" t="s">
        <v>458</v>
      </c>
      <c r="C43" s="31">
        <v>1</v>
      </c>
      <c r="D43" s="31">
        <v>30</v>
      </c>
      <c r="E43" s="31">
        <v>50</v>
      </c>
      <c r="F43" s="31">
        <v>0.5</v>
      </c>
      <c r="G43" s="31">
        <v>30</v>
      </c>
      <c r="H43" s="31">
        <v>15</v>
      </c>
      <c r="I43" s="31" t="s">
        <v>433</v>
      </c>
      <c r="J43" s="31">
        <v>6.08</v>
      </c>
    </row>
    <row r="44" spans="1:10" ht="20.100000000000001" customHeight="1">
      <c r="A44" s="31" t="s">
        <v>383</v>
      </c>
      <c r="B44" s="31" t="s">
        <v>459</v>
      </c>
      <c r="C44" s="31">
        <v>1</v>
      </c>
      <c r="D44" s="31">
        <v>85</v>
      </c>
      <c r="E44" s="31">
        <v>250</v>
      </c>
      <c r="F44" s="31">
        <v>3</v>
      </c>
      <c r="G44" s="31">
        <v>150</v>
      </c>
      <c r="H44" s="31">
        <v>50</v>
      </c>
      <c r="I44" s="31" t="s">
        <v>430</v>
      </c>
      <c r="J44" s="31">
        <v>8.58</v>
      </c>
    </row>
    <row r="45" spans="1:10" ht="20.100000000000001" customHeight="1">
      <c r="A45" s="31" t="s">
        <v>384</v>
      </c>
      <c r="B45" s="31" t="s">
        <v>460</v>
      </c>
      <c r="C45" s="31">
        <v>1</v>
      </c>
      <c r="D45" s="31">
        <v>24</v>
      </c>
      <c r="E45" s="31">
        <v>50</v>
      </c>
      <c r="F45" s="31">
        <v>0.5</v>
      </c>
      <c r="G45" s="31">
        <v>40</v>
      </c>
      <c r="H45" s="31">
        <v>32</v>
      </c>
      <c r="I45" s="31" t="s">
        <v>430</v>
      </c>
      <c r="J45" s="31">
        <v>3.74</v>
      </c>
    </row>
    <row r="46" spans="1:10" ht="20.100000000000001" customHeight="1">
      <c r="A46" s="31" t="s">
        <v>385</v>
      </c>
      <c r="B46" s="31" t="s">
        <v>461</v>
      </c>
      <c r="C46" s="31">
        <v>1</v>
      </c>
      <c r="D46" s="31">
        <v>100</v>
      </c>
      <c r="E46" s="31">
        <v>150</v>
      </c>
      <c r="F46" s="31">
        <v>1</v>
      </c>
      <c r="G46" s="31">
        <v>100</v>
      </c>
      <c r="H46" s="31">
        <v>32</v>
      </c>
      <c r="I46" s="31" t="s">
        <v>430</v>
      </c>
      <c r="J46" s="31">
        <v>6.38</v>
      </c>
    </row>
    <row r="47" spans="1:10" ht="20.100000000000001" customHeight="1">
      <c r="A47" s="31" t="s">
        <v>386</v>
      </c>
      <c r="B47" s="31" t="s">
        <v>462</v>
      </c>
      <c r="C47" s="31">
        <v>1</v>
      </c>
      <c r="D47" s="31">
        <v>100</v>
      </c>
      <c r="E47" s="31">
        <v>150</v>
      </c>
      <c r="F47" s="31">
        <v>1</v>
      </c>
      <c r="G47" s="31">
        <v>50</v>
      </c>
      <c r="H47" s="31">
        <v>25</v>
      </c>
      <c r="I47" s="31" t="s">
        <v>428</v>
      </c>
      <c r="J47" s="31">
        <v>3.34</v>
      </c>
    </row>
    <row r="48" spans="1:10" ht="20.100000000000001" customHeight="1">
      <c r="A48" s="31" t="s">
        <v>387</v>
      </c>
      <c r="B48" s="31" t="s">
        <v>463</v>
      </c>
      <c r="C48" s="31">
        <v>1</v>
      </c>
      <c r="D48" s="31">
        <v>100</v>
      </c>
      <c r="E48" s="31">
        <v>150</v>
      </c>
      <c r="F48" s="31">
        <v>1</v>
      </c>
      <c r="G48" s="31">
        <v>50</v>
      </c>
      <c r="H48" s="31">
        <v>25</v>
      </c>
      <c r="I48" s="31" t="s">
        <v>430</v>
      </c>
      <c r="J48" s="31">
        <v>4.18</v>
      </c>
    </row>
    <row r="49" spans="1:10" ht="20.100000000000001" customHeight="1">
      <c r="A49" s="31" t="s">
        <v>388</v>
      </c>
      <c r="B49" s="31" t="s">
        <v>464</v>
      </c>
      <c r="C49" s="31">
        <v>1</v>
      </c>
      <c r="D49" s="31">
        <v>20</v>
      </c>
      <c r="E49" s="31">
        <v>50</v>
      </c>
      <c r="F49" s="31">
        <v>0.3</v>
      </c>
      <c r="G49" s="31">
        <v>50</v>
      </c>
      <c r="H49" s="31">
        <v>20</v>
      </c>
      <c r="I49" s="31" t="s">
        <v>430</v>
      </c>
      <c r="J49" s="31">
        <v>4.18</v>
      </c>
    </row>
    <row r="50" spans="1:10" ht="20.100000000000001" customHeight="1">
      <c r="A50" s="31" t="s">
        <v>389</v>
      </c>
      <c r="B50" s="31" t="s">
        <v>465</v>
      </c>
      <c r="C50" s="31">
        <v>1</v>
      </c>
      <c r="D50" s="31">
        <v>30</v>
      </c>
      <c r="E50" s="31">
        <v>50</v>
      </c>
      <c r="F50" s="31">
        <v>0.5</v>
      </c>
      <c r="G50" s="31">
        <v>30</v>
      </c>
      <c r="H50" s="31">
        <v>32</v>
      </c>
      <c r="I50" s="31" t="s">
        <v>430</v>
      </c>
      <c r="J50" s="31">
        <v>3.3</v>
      </c>
    </row>
    <row r="51" spans="1:10" ht="20.100000000000001" customHeight="1">
      <c r="A51" s="31" t="s">
        <v>390</v>
      </c>
      <c r="B51" s="31" t="s">
        <v>466</v>
      </c>
      <c r="C51" s="31">
        <v>0</v>
      </c>
      <c r="D51" s="31">
        <v>114</v>
      </c>
      <c r="E51" s="31">
        <v>200</v>
      </c>
      <c r="F51" s="31">
        <v>3</v>
      </c>
      <c r="G51" s="31">
        <v>160</v>
      </c>
      <c r="H51" s="31">
        <v>32</v>
      </c>
      <c r="I51" s="31" t="s">
        <v>430</v>
      </c>
      <c r="J51" s="31">
        <v>9.02</v>
      </c>
    </row>
    <row r="52" spans="1:10" ht="20.100000000000001" customHeight="1">
      <c r="A52" s="31" t="s">
        <v>406</v>
      </c>
      <c r="B52" s="31" t="s">
        <v>467</v>
      </c>
      <c r="C52" s="31">
        <v>1</v>
      </c>
      <c r="D52" s="31">
        <v>96</v>
      </c>
      <c r="E52" s="31">
        <v>150</v>
      </c>
      <c r="F52" s="31">
        <v>2</v>
      </c>
      <c r="G52" s="31">
        <v>80</v>
      </c>
      <c r="H52" s="31">
        <v>30</v>
      </c>
      <c r="I52" s="31" t="s">
        <v>430</v>
      </c>
      <c r="J52" s="31">
        <v>5.5</v>
      </c>
    </row>
    <row r="53" spans="1:10" ht="20.100000000000001" customHeight="1">
      <c r="A53" s="31" t="s">
        <v>407</v>
      </c>
      <c r="B53" s="31" t="s">
        <v>468</v>
      </c>
      <c r="C53" s="31">
        <v>1</v>
      </c>
      <c r="D53" s="31">
        <v>100</v>
      </c>
      <c r="E53" s="31">
        <v>150</v>
      </c>
      <c r="F53" s="31">
        <v>2</v>
      </c>
      <c r="G53" s="31">
        <v>100</v>
      </c>
      <c r="H53" s="31">
        <v>32</v>
      </c>
      <c r="I53" s="31" t="s">
        <v>433</v>
      </c>
      <c r="J53" s="31">
        <v>7.06</v>
      </c>
    </row>
    <row r="54" spans="1:10" ht="20.100000000000001" customHeight="1">
      <c r="A54" s="31" t="s">
        <v>408</v>
      </c>
      <c r="B54" s="31" t="s">
        <v>469</v>
      </c>
      <c r="C54" s="31">
        <v>1</v>
      </c>
      <c r="D54" s="31">
        <v>21</v>
      </c>
      <c r="E54" s="31">
        <v>50</v>
      </c>
      <c r="F54" s="31">
        <v>0.5</v>
      </c>
      <c r="G54" s="31">
        <v>50</v>
      </c>
      <c r="H54" s="31">
        <v>40</v>
      </c>
      <c r="I54" s="31" t="s">
        <v>430</v>
      </c>
      <c r="J54" s="31">
        <v>4.18</v>
      </c>
    </row>
    <row r="55" spans="1:10" ht="20.100000000000001" customHeight="1">
      <c r="A55" s="31" t="s">
        <v>131</v>
      </c>
      <c r="B55" s="31" t="s">
        <v>470</v>
      </c>
      <c r="C55" s="31">
        <v>1</v>
      </c>
      <c r="D55" s="31">
        <v>100</v>
      </c>
      <c r="E55" s="31">
        <v>200</v>
      </c>
      <c r="F55" s="31">
        <v>2</v>
      </c>
      <c r="G55" s="31">
        <v>95</v>
      </c>
      <c r="H55" s="31">
        <v>32</v>
      </c>
      <c r="I55" s="31" t="s">
        <v>471</v>
      </c>
      <c r="J55" s="31">
        <v>9</v>
      </c>
    </row>
    <row r="56" spans="1:10" ht="20.100000000000001" customHeight="1">
      <c r="A56" s="31" t="s">
        <v>132</v>
      </c>
      <c r="B56" s="31" t="s">
        <v>472</v>
      </c>
      <c r="C56" s="31">
        <v>1</v>
      </c>
      <c r="D56" s="31">
        <v>60</v>
      </c>
      <c r="E56" s="31">
        <v>100</v>
      </c>
      <c r="F56" s="31">
        <v>1</v>
      </c>
      <c r="G56" s="31">
        <v>50</v>
      </c>
      <c r="H56" s="31">
        <v>20</v>
      </c>
      <c r="I56" s="31" t="s">
        <v>473</v>
      </c>
      <c r="J56" s="31">
        <v>5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56"/>
  <sheetViews>
    <sheetView workbookViewId="0">
      <selection activeCell="J16" sqref="J16"/>
    </sheetView>
  </sheetViews>
  <sheetFormatPr defaultColWidth="9" defaultRowHeight="20.100000000000001" customHeight="1"/>
  <cols>
    <col min="1" max="1" width="20.42578125" style="31" customWidth="1"/>
    <col min="2" max="4" width="9" style="31"/>
    <col min="5" max="5" width="42.42578125" style="31" customWidth="1"/>
    <col min="6" max="16384" width="9" style="31"/>
  </cols>
  <sheetData>
    <row r="1" spans="1:54" s="44" customFormat="1" ht="20.100000000000001" customHeight="1">
      <c r="A1" s="44" t="s">
        <v>195</v>
      </c>
      <c r="B1" s="44" t="s">
        <v>6</v>
      </c>
      <c r="C1" s="44" t="s">
        <v>144</v>
      </c>
      <c r="D1" s="44" t="s">
        <v>196</v>
      </c>
      <c r="E1" s="44" t="s">
        <v>93</v>
      </c>
      <c r="F1" s="44" t="s">
        <v>198</v>
      </c>
      <c r="G1" s="44" t="s">
        <v>199</v>
      </c>
      <c r="H1" s="44" t="s">
        <v>200</v>
      </c>
      <c r="I1" s="44" t="s">
        <v>201</v>
      </c>
      <c r="J1" s="44" t="s">
        <v>202</v>
      </c>
      <c r="K1" s="44" t="s">
        <v>203</v>
      </c>
      <c r="L1" s="44" t="s">
        <v>204</v>
      </c>
      <c r="M1" s="44" t="s">
        <v>205</v>
      </c>
      <c r="N1" s="44" t="s">
        <v>206</v>
      </c>
      <c r="O1" s="44" t="s">
        <v>207</v>
      </c>
      <c r="P1" s="44" t="s">
        <v>208</v>
      </c>
      <c r="Q1" s="44" t="s">
        <v>209</v>
      </c>
      <c r="R1" s="44" t="s">
        <v>210</v>
      </c>
      <c r="S1" s="44" t="s">
        <v>211</v>
      </c>
      <c r="T1" s="44" t="s">
        <v>212</v>
      </c>
      <c r="U1" s="44" t="s">
        <v>213</v>
      </c>
      <c r="V1" s="44" t="s">
        <v>214</v>
      </c>
      <c r="W1" s="44" t="s">
        <v>215</v>
      </c>
      <c r="X1" s="44" t="s">
        <v>216</v>
      </c>
      <c r="Y1" s="44" t="s">
        <v>217</v>
      </c>
      <c r="Z1" s="44" t="s">
        <v>218</v>
      </c>
      <c r="AA1" s="44" t="s">
        <v>219</v>
      </c>
      <c r="AB1" s="44" t="s">
        <v>220</v>
      </c>
      <c r="AC1" s="44" t="s">
        <v>221</v>
      </c>
      <c r="AD1" s="44" t="s">
        <v>222</v>
      </c>
      <c r="AE1" s="44" t="s">
        <v>223</v>
      </c>
      <c r="AF1" s="44" t="s">
        <v>224</v>
      </c>
      <c r="AG1" s="44" t="s">
        <v>251</v>
      </c>
      <c r="AH1" s="44" t="s">
        <v>225</v>
      </c>
      <c r="AI1" s="44" t="s">
        <v>226</v>
      </c>
      <c r="AJ1" s="44" t="s">
        <v>227</v>
      </c>
      <c r="AK1" s="44" t="s">
        <v>228</v>
      </c>
      <c r="AL1" s="44" t="s">
        <v>229</v>
      </c>
      <c r="AM1" s="44" t="s">
        <v>230</v>
      </c>
      <c r="AN1" s="44" t="s">
        <v>231</v>
      </c>
      <c r="AO1" s="44" t="s">
        <v>232</v>
      </c>
      <c r="AP1" s="44" t="s">
        <v>233</v>
      </c>
      <c r="AQ1" s="44" t="s">
        <v>234</v>
      </c>
      <c r="AR1" s="44" t="s">
        <v>11</v>
      </c>
      <c r="AS1" s="44" t="s">
        <v>235</v>
      </c>
      <c r="AT1" s="44" t="s">
        <v>236</v>
      </c>
      <c r="AU1" s="44" t="s">
        <v>237</v>
      </c>
      <c r="AV1" s="44" t="s">
        <v>238</v>
      </c>
      <c r="AW1" s="44" t="s">
        <v>239</v>
      </c>
      <c r="AX1" s="44" t="s">
        <v>240</v>
      </c>
      <c r="AY1" s="44" t="s">
        <v>241</v>
      </c>
      <c r="AZ1" s="44" t="s">
        <v>242</v>
      </c>
      <c r="BA1" s="44" t="s">
        <v>243</v>
      </c>
      <c r="BB1" s="44" t="s">
        <v>244</v>
      </c>
    </row>
    <row r="2" spans="1:54" ht="20.100000000000001" customHeight="1">
      <c r="A2" s="31" t="s">
        <v>488</v>
      </c>
      <c r="B2" s="31" t="s">
        <v>474</v>
      </c>
      <c r="C2" s="31" t="s">
        <v>193</v>
      </c>
      <c r="D2" s="31" t="s">
        <v>474</v>
      </c>
      <c r="E2" s="31" t="s">
        <v>475</v>
      </c>
      <c r="F2" s="31" t="s">
        <v>193</v>
      </c>
      <c r="G2" s="31" t="s">
        <v>193</v>
      </c>
      <c r="H2" s="31" t="s">
        <v>474</v>
      </c>
      <c r="I2" s="31" t="s">
        <v>474</v>
      </c>
      <c r="J2" s="31" t="s">
        <v>474</v>
      </c>
      <c r="K2" s="31" t="s">
        <v>474</v>
      </c>
      <c r="L2" s="31" t="s">
        <v>474</v>
      </c>
      <c r="M2" s="31" t="s">
        <v>474</v>
      </c>
      <c r="N2" s="31" t="s">
        <v>474</v>
      </c>
      <c r="O2" s="31" t="s">
        <v>474</v>
      </c>
      <c r="P2" s="31" t="s">
        <v>474</v>
      </c>
      <c r="Q2" s="31" t="s">
        <v>474</v>
      </c>
      <c r="R2" s="31" t="s">
        <v>474</v>
      </c>
      <c r="S2" s="31" t="s">
        <v>474</v>
      </c>
      <c r="T2" s="31" t="s">
        <v>474</v>
      </c>
      <c r="U2" s="31" t="s">
        <v>474</v>
      </c>
      <c r="V2" s="31" t="s">
        <v>474</v>
      </c>
      <c r="W2" s="31" t="s">
        <v>474</v>
      </c>
      <c r="X2" s="31" t="s">
        <v>474</v>
      </c>
      <c r="Y2" s="31" t="s">
        <v>474</v>
      </c>
      <c r="Z2" s="31" t="s">
        <v>474</v>
      </c>
      <c r="AA2" s="31" t="s">
        <v>474</v>
      </c>
      <c r="AB2" s="31" t="s">
        <v>474</v>
      </c>
      <c r="AC2" s="31" t="s">
        <v>193</v>
      </c>
      <c r="AD2" s="31" t="s">
        <v>193</v>
      </c>
      <c r="AE2" s="31">
        <v>1</v>
      </c>
      <c r="AF2" s="31">
        <v>12</v>
      </c>
      <c r="AG2" s="31">
        <v>365</v>
      </c>
      <c r="AH2" s="31" t="s">
        <v>193</v>
      </c>
      <c r="AI2" s="31" t="s">
        <v>474</v>
      </c>
      <c r="AJ2" s="31">
        <v>1</v>
      </c>
      <c r="AK2" s="31">
        <v>2.31</v>
      </c>
      <c r="AL2" s="31">
        <v>0.28999999999999998</v>
      </c>
      <c r="AM2" s="31">
        <v>0.68</v>
      </c>
      <c r="AN2" s="31">
        <v>20</v>
      </c>
      <c r="AO2" s="31">
        <v>237</v>
      </c>
      <c r="AP2" s="31" t="s">
        <v>474</v>
      </c>
      <c r="AQ2" s="31" t="s">
        <v>474</v>
      </c>
      <c r="AR2" s="31">
        <v>30</v>
      </c>
      <c r="AS2" s="31">
        <v>50</v>
      </c>
      <c r="AT2" s="31">
        <v>0.3</v>
      </c>
      <c r="AU2" s="31">
        <v>30</v>
      </c>
      <c r="AV2" s="31">
        <v>15</v>
      </c>
      <c r="AW2" s="31" t="s">
        <v>474</v>
      </c>
      <c r="AX2" s="31" t="s">
        <v>474</v>
      </c>
      <c r="AY2" s="31" t="s">
        <v>474</v>
      </c>
      <c r="AZ2" s="31" t="s">
        <v>474</v>
      </c>
      <c r="BA2" s="31" t="s">
        <v>474</v>
      </c>
      <c r="BB2" s="31" t="s">
        <v>474</v>
      </c>
    </row>
    <row r="3" spans="1:54" ht="20.100000000000001" customHeight="1">
      <c r="A3" s="31" t="s">
        <v>488</v>
      </c>
      <c r="B3" s="31" t="s">
        <v>193</v>
      </c>
      <c r="C3" s="31" t="s">
        <v>474</v>
      </c>
      <c r="D3" s="31" t="s">
        <v>474</v>
      </c>
      <c r="E3" s="31" t="s">
        <v>476</v>
      </c>
      <c r="F3" s="31" t="s">
        <v>193</v>
      </c>
      <c r="G3" s="31" t="s">
        <v>474</v>
      </c>
      <c r="H3" s="31" t="s">
        <v>474</v>
      </c>
      <c r="I3" s="31" t="s">
        <v>474</v>
      </c>
      <c r="J3" s="31" t="s">
        <v>474</v>
      </c>
      <c r="K3" s="31" t="s">
        <v>474</v>
      </c>
      <c r="L3" s="31" t="s">
        <v>193</v>
      </c>
      <c r="M3" s="31" t="s">
        <v>474</v>
      </c>
      <c r="N3" s="31" t="s">
        <v>474</v>
      </c>
      <c r="O3" s="31" t="s">
        <v>474</v>
      </c>
      <c r="P3" s="31" t="s">
        <v>474</v>
      </c>
      <c r="Q3" s="31" t="s">
        <v>474</v>
      </c>
      <c r="R3" s="31" t="s">
        <v>474</v>
      </c>
      <c r="S3" s="31" t="s">
        <v>474</v>
      </c>
      <c r="T3" s="31" t="s">
        <v>474</v>
      </c>
      <c r="U3" s="31" t="s">
        <v>474</v>
      </c>
      <c r="V3" s="31" t="s">
        <v>474</v>
      </c>
      <c r="W3" s="31" t="s">
        <v>474</v>
      </c>
      <c r="X3" s="31" t="s">
        <v>474</v>
      </c>
      <c r="Y3" s="31" t="s">
        <v>474</v>
      </c>
      <c r="Z3" s="31" t="s">
        <v>474</v>
      </c>
      <c r="AA3" s="31" t="s">
        <v>474</v>
      </c>
      <c r="AB3" s="31" t="s">
        <v>193</v>
      </c>
      <c r="AC3" s="31" t="s">
        <v>474</v>
      </c>
      <c r="AD3" s="31" t="s">
        <v>193</v>
      </c>
      <c r="AE3" s="31">
        <v>1</v>
      </c>
      <c r="AF3" s="31">
        <v>12</v>
      </c>
      <c r="AG3" s="31">
        <v>365</v>
      </c>
      <c r="AH3" s="31" t="s">
        <v>193</v>
      </c>
      <c r="AI3" s="31" t="s">
        <v>474</v>
      </c>
      <c r="AJ3" s="31">
        <v>30</v>
      </c>
      <c r="AK3" s="31">
        <v>90</v>
      </c>
      <c r="AL3" s="31">
        <v>382.7</v>
      </c>
      <c r="AM3" s="31">
        <v>7.39</v>
      </c>
      <c r="AN3" s="31">
        <v>214</v>
      </c>
      <c r="AO3" s="46">
        <v>2572</v>
      </c>
      <c r="AP3" s="31" t="s">
        <v>474</v>
      </c>
      <c r="AQ3" s="31" t="s">
        <v>474</v>
      </c>
      <c r="AR3" s="31">
        <v>150</v>
      </c>
      <c r="AS3" s="31">
        <v>250</v>
      </c>
      <c r="AT3" s="31">
        <v>2</v>
      </c>
      <c r="AU3" s="31">
        <v>160</v>
      </c>
      <c r="AV3" s="31">
        <v>50</v>
      </c>
      <c r="AW3" s="31" t="s">
        <v>193</v>
      </c>
      <c r="AX3" s="31" t="s">
        <v>193</v>
      </c>
      <c r="AY3" s="31" t="s">
        <v>193</v>
      </c>
      <c r="AZ3" s="31" t="s">
        <v>193</v>
      </c>
      <c r="BA3" s="31" t="s">
        <v>193</v>
      </c>
      <c r="BB3" s="31" t="s">
        <v>474</v>
      </c>
    </row>
    <row r="4" spans="1:54" ht="20.100000000000001" customHeight="1">
      <c r="A4" s="31" t="s">
        <v>488</v>
      </c>
      <c r="B4" s="31" t="s">
        <v>193</v>
      </c>
      <c r="C4" s="31" t="s">
        <v>474</v>
      </c>
      <c r="D4" s="31" t="s">
        <v>474</v>
      </c>
      <c r="E4" s="31" t="s">
        <v>477</v>
      </c>
      <c r="F4" s="31" t="s">
        <v>193</v>
      </c>
      <c r="G4" s="31" t="s">
        <v>474</v>
      </c>
      <c r="H4" s="31" t="s">
        <v>474</v>
      </c>
      <c r="I4" s="31" t="s">
        <v>474</v>
      </c>
      <c r="J4" s="31" t="s">
        <v>474</v>
      </c>
      <c r="K4" s="31" t="s">
        <v>474</v>
      </c>
      <c r="L4" s="31" t="s">
        <v>193</v>
      </c>
      <c r="M4" s="31" t="s">
        <v>474</v>
      </c>
      <c r="N4" s="31" t="s">
        <v>474</v>
      </c>
      <c r="O4" s="31" t="s">
        <v>474</v>
      </c>
      <c r="P4" s="31" t="s">
        <v>474</v>
      </c>
      <c r="Q4" s="31" t="s">
        <v>474</v>
      </c>
      <c r="R4" s="31" t="s">
        <v>474</v>
      </c>
      <c r="S4" s="31" t="s">
        <v>474</v>
      </c>
      <c r="T4" s="31" t="s">
        <v>474</v>
      </c>
      <c r="U4" s="31" t="s">
        <v>474</v>
      </c>
      <c r="V4" s="31" t="s">
        <v>474</v>
      </c>
      <c r="W4" s="31" t="s">
        <v>474</v>
      </c>
      <c r="X4" s="31" t="s">
        <v>474</v>
      </c>
      <c r="Y4" s="31" t="s">
        <v>474</v>
      </c>
      <c r="Z4" s="31" t="s">
        <v>474</v>
      </c>
      <c r="AA4" s="31" t="s">
        <v>474</v>
      </c>
      <c r="AB4" s="31" t="s">
        <v>193</v>
      </c>
      <c r="AC4" s="31" t="s">
        <v>474</v>
      </c>
      <c r="AD4" s="31" t="s">
        <v>193</v>
      </c>
      <c r="AE4" s="31">
        <v>1</v>
      </c>
      <c r="AF4" s="31">
        <v>12</v>
      </c>
      <c r="AG4" s="31">
        <v>365</v>
      </c>
      <c r="AH4" s="31" t="s">
        <v>193</v>
      </c>
      <c r="AI4" s="31" t="s">
        <v>474</v>
      </c>
      <c r="AJ4" s="31">
        <v>30</v>
      </c>
      <c r="AK4" s="31">
        <v>90</v>
      </c>
      <c r="AL4" s="31">
        <v>382.7</v>
      </c>
      <c r="AM4" s="31">
        <v>7.39</v>
      </c>
      <c r="AN4" s="31">
        <v>214</v>
      </c>
      <c r="AO4" s="46">
        <v>2572</v>
      </c>
      <c r="AP4" s="31" t="s">
        <v>474</v>
      </c>
      <c r="AQ4" s="31" t="s">
        <v>474</v>
      </c>
      <c r="AR4" s="31">
        <v>150</v>
      </c>
      <c r="AS4" s="31">
        <v>250</v>
      </c>
      <c r="AT4" s="31">
        <v>5</v>
      </c>
      <c r="AU4" s="31">
        <v>180</v>
      </c>
      <c r="AV4" s="31">
        <v>50</v>
      </c>
      <c r="AW4" s="31" t="s">
        <v>193</v>
      </c>
      <c r="AX4" s="31" t="s">
        <v>193</v>
      </c>
      <c r="AY4" s="31" t="s">
        <v>193</v>
      </c>
      <c r="AZ4" s="31" t="s">
        <v>193</v>
      </c>
      <c r="BA4" s="31" t="s">
        <v>193</v>
      </c>
      <c r="BB4" s="31" t="s">
        <v>474</v>
      </c>
    </row>
    <row r="5" spans="1:54" ht="20.100000000000001" customHeight="1">
      <c r="A5" s="31" t="s">
        <v>488</v>
      </c>
      <c r="B5" s="31" t="s">
        <v>193</v>
      </c>
      <c r="C5" s="31" t="s">
        <v>474</v>
      </c>
      <c r="D5" s="31" t="s">
        <v>474</v>
      </c>
      <c r="E5" s="31" t="s">
        <v>478</v>
      </c>
      <c r="F5" s="31" t="s">
        <v>193</v>
      </c>
      <c r="G5" s="31" t="s">
        <v>474</v>
      </c>
      <c r="H5" s="31" t="s">
        <v>474</v>
      </c>
      <c r="I5" s="31" t="s">
        <v>474</v>
      </c>
      <c r="J5" s="31" t="s">
        <v>474</v>
      </c>
      <c r="K5" s="31" t="s">
        <v>474</v>
      </c>
      <c r="L5" s="31" t="s">
        <v>193</v>
      </c>
      <c r="M5" s="31" t="s">
        <v>474</v>
      </c>
      <c r="N5" s="31" t="s">
        <v>474</v>
      </c>
      <c r="O5" s="31" t="s">
        <v>474</v>
      </c>
      <c r="P5" s="31" t="s">
        <v>474</v>
      </c>
      <c r="Q5" s="31" t="s">
        <v>474</v>
      </c>
      <c r="R5" s="31" t="s">
        <v>474</v>
      </c>
      <c r="S5" s="31" t="s">
        <v>474</v>
      </c>
      <c r="T5" s="31" t="s">
        <v>474</v>
      </c>
      <c r="U5" s="31" t="s">
        <v>474</v>
      </c>
      <c r="V5" s="31" t="s">
        <v>474</v>
      </c>
      <c r="W5" s="31" t="s">
        <v>474</v>
      </c>
      <c r="X5" s="31" t="s">
        <v>474</v>
      </c>
      <c r="Y5" s="31" t="s">
        <v>474</v>
      </c>
      <c r="Z5" s="31" t="s">
        <v>474</v>
      </c>
      <c r="AA5" s="31" t="s">
        <v>474</v>
      </c>
      <c r="AB5" s="31" t="s">
        <v>193</v>
      </c>
      <c r="AC5" s="31" t="s">
        <v>474</v>
      </c>
      <c r="AD5" s="31" t="s">
        <v>193</v>
      </c>
      <c r="AE5" s="31">
        <v>1</v>
      </c>
      <c r="AF5" s="31">
        <v>12</v>
      </c>
      <c r="AG5" s="31">
        <v>365</v>
      </c>
      <c r="AH5" s="31" t="s">
        <v>193</v>
      </c>
      <c r="AI5" s="31" t="s">
        <v>474</v>
      </c>
      <c r="AJ5" s="31">
        <v>30</v>
      </c>
      <c r="AK5" s="31">
        <v>90</v>
      </c>
      <c r="AL5" s="31">
        <v>382.7</v>
      </c>
      <c r="AM5" s="31">
        <v>7.39</v>
      </c>
      <c r="AN5" s="31">
        <v>214</v>
      </c>
      <c r="AO5" s="46">
        <v>2572</v>
      </c>
      <c r="AP5" s="31" t="s">
        <v>474</v>
      </c>
      <c r="AQ5" s="31" t="s">
        <v>474</v>
      </c>
      <c r="AR5" s="31">
        <v>145</v>
      </c>
      <c r="AS5" s="31">
        <v>250</v>
      </c>
      <c r="AT5" s="31">
        <v>3</v>
      </c>
      <c r="AU5" s="31">
        <v>150</v>
      </c>
      <c r="AV5" s="31">
        <v>50</v>
      </c>
      <c r="AW5" s="31" t="s">
        <v>193</v>
      </c>
      <c r="AX5" s="31" t="s">
        <v>193</v>
      </c>
      <c r="AY5" s="31" t="s">
        <v>193</v>
      </c>
      <c r="AZ5" s="31" t="s">
        <v>193</v>
      </c>
      <c r="BA5" s="31" t="s">
        <v>193</v>
      </c>
      <c r="BB5" s="31" t="s">
        <v>474</v>
      </c>
    </row>
    <row r="6" spans="1:54" ht="20.100000000000001" customHeight="1">
      <c r="A6" s="31" t="s">
        <v>488</v>
      </c>
      <c r="B6" s="31" t="s">
        <v>474</v>
      </c>
      <c r="C6" s="31" t="s">
        <v>193</v>
      </c>
      <c r="D6" s="31" t="s">
        <v>474</v>
      </c>
      <c r="E6" s="31" t="s">
        <v>479</v>
      </c>
      <c r="F6" s="31" t="s">
        <v>193</v>
      </c>
      <c r="G6" s="31" t="s">
        <v>193</v>
      </c>
      <c r="H6" s="31" t="s">
        <v>474</v>
      </c>
      <c r="I6" s="31" t="s">
        <v>474</v>
      </c>
      <c r="J6" s="31" t="s">
        <v>474</v>
      </c>
      <c r="K6" s="31" t="s">
        <v>474</v>
      </c>
      <c r="L6" s="31" t="s">
        <v>474</v>
      </c>
      <c r="M6" s="31" t="s">
        <v>474</v>
      </c>
      <c r="N6" s="31" t="s">
        <v>474</v>
      </c>
      <c r="O6" s="31" t="s">
        <v>474</v>
      </c>
      <c r="P6" s="31" t="s">
        <v>474</v>
      </c>
      <c r="Q6" s="31" t="s">
        <v>474</v>
      </c>
      <c r="R6" s="31" t="s">
        <v>474</v>
      </c>
      <c r="S6" s="31" t="s">
        <v>474</v>
      </c>
      <c r="T6" s="31" t="s">
        <v>474</v>
      </c>
      <c r="U6" s="31" t="s">
        <v>474</v>
      </c>
      <c r="V6" s="31" t="s">
        <v>474</v>
      </c>
      <c r="W6" s="31" t="s">
        <v>474</v>
      </c>
      <c r="X6" s="31" t="s">
        <v>474</v>
      </c>
      <c r="Y6" s="31" t="s">
        <v>474</v>
      </c>
      <c r="Z6" s="31" t="s">
        <v>474</v>
      </c>
      <c r="AA6" s="31" t="s">
        <v>474</v>
      </c>
      <c r="AB6" s="31" t="s">
        <v>474</v>
      </c>
      <c r="AC6" s="31" t="s">
        <v>193</v>
      </c>
      <c r="AD6" s="31" t="s">
        <v>193</v>
      </c>
      <c r="AE6" s="31">
        <v>1</v>
      </c>
      <c r="AF6" s="31">
        <v>12</v>
      </c>
      <c r="AG6" s="31">
        <v>365</v>
      </c>
      <c r="AH6" s="31" t="s">
        <v>193</v>
      </c>
      <c r="AI6" s="31" t="s">
        <v>474</v>
      </c>
      <c r="AJ6" s="31">
        <v>1</v>
      </c>
      <c r="AK6" s="31">
        <v>2.31</v>
      </c>
      <c r="AL6" s="31">
        <v>0.28999999999999998</v>
      </c>
      <c r="AM6" s="31">
        <v>0.68</v>
      </c>
      <c r="AN6" s="31">
        <v>20</v>
      </c>
      <c r="AO6" s="31">
        <v>237</v>
      </c>
      <c r="AP6" s="31" t="s">
        <v>474</v>
      </c>
      <c r="AQ6" s="31" t="s">
        <v>474</v>
      </c>
      <c r="AR6" s="31">
        <v>100</v>
      </c>
      <c r="AS6" s="31">
        <v>150</v>
      </c>
      <c r="AT6" s="31">
        <v>1</v>
      </c>
      <c r="AU6" s="31">
        <v>30</v>
      </c>
      <c r="AV6" s="31">
        <v>25</v>
      </c>
      <c r="AW6" s="31" t="s">
        <v>474</v>
      </c>
      <c r="AX6" s="31" t="s">
        <v>474</v>
      </c>
      <c r="AY6" s="31" t="s">
        <v>474</v>
      </c>
      <c r="AZ6" s="31" t="s">
        <v>474</v>
      </c>
      <c r="BA6" s="31" t="s">
        <v>474</v>
      </c>
      <c r="BB6" s="31" t="s">
        <v>474</v>
      </c>
    </row>
    <row r="7" spans="1:54" ht="20.100000000000001" customHeight="1">
      <c r="A7" s="31" t="s">
        <v>488</v>
      </c>
      <c r="B7" s="31" t="s">
        <v>474</v>
      </c>
      <c r="C7" s="31" t="s">
        <v>193</v>
      </c>
      <c r="D7" s="31" t="s">
        <v>474</v>
      </c>
      <c r="E7" s="31" t="s">
        <v>480</v>
      </c>
      <c r="F7" s="31" t="s">
        <v>193</v>
      </c>
      <c r="G7" s="31" t="s">
        <v>474</v>
      </c>
      <c r="H7" s="31" t="s">
        <v>193</v>
      </c>
      <c r="I7" s="31" t="s">
        <v>474</v>
      </c>
      <c r="J7" s="31" t="s">
        <v>474</v>
      </c>
      <c r="K7" s="31" t="s">
        <v>474</v>
      </c>
      <c r="L7" s="31" t="s">
        <v>474</v>
      </c>
      <c r="M7" s="31" t="s">
        <v>474</v>
      </c>
      <c r="N7" s="31" t="s">
        <v>474</v>
      </c>
      <c r="O7" s="31" t="s">
        <v>474</v>
      </c>
      <c r="P7" s="31" t="s">
        <v>474</v>
      </c>
      <c r="Q7" s="31" t="s">
        <v>474</v>
      </c>
      <c r="R7" s="31" t="s">
        <v>474</v>
      </c>
      <c r="S7" s="31" t="s">
        <v>474</v>
      </c>
      <c r="T7" s="31" t="s">
        <v>474</v>
      </c>
      <c r="U7" s="31" t="s">
        <v>474</v>
      </c>
      <c r="V7" s="31" t="s">
        <v>474</v>
      </c>
      <c r="W7" s="31" t="s">
        <v>474</v>
      </c>
      <c r="X7" s="31" t="s">
        <v>474</v>
      </c>
      <c r="Y7" s="31" t="s">
        <v>474</v>
      </c>
      <c r="Z7" s="31" t="s">
        <v>474</v>
      </c>
      <c r="AA7" s="31" t="s">
        <v>474</v>
      </c>
      <c r="AB7" s="31" t="s">
        <v>474</v>
      </c>
      <c r="AC7" s="31" t="s">
        <v>193</v>
      </c>
      <c r="AD7" s="31" t="s">
        <v>193</v>
      </c>
      <c r="AE7" s="31">
        <v>1</v>
      </c>
      <c r="AF7" s="31">
        <v>12</v>
      </c>
      <c r="AG7" s="31">
        <v>365</v>
      </c>
      <c r="AH7" s="31" t="s">
        <v>474</v>
      </c>
      <c r="AI7" s="31" t="s">
        <v>193</v>
      </c>
      <c r="AJ7" s="31" t="s">
        <v>474</v>
      </c>
      <c r="AK7" s="31" t="s">
        <v>474</v>
      </c>
      <c r="AL7" s="31" t="s">
        <v>474</v>
      </c>
      <c r="AM7" s="31">
        <v>3.82</v>
      </c>
      <c r="AN7" s="31">
        <v>111</v>
      </c>
      <c r="AO7" s="46">
        <v>1329</v>
      </c>
      <c r="AP7" s="31" t="s">
        <v>474</v>
      </c>
      <c r="AQ7" s="31" t="s">
        <v>474</v>
      </c>
      <c r="AR7" s="31">
        <v>100</v>
      </c>
      <c r="AS7" s="31">
        <v>150</v>
      </c>
      <c r="AT7" s="31">
        <v>1</v>
      </c>
      <c r="AU7" s="31">
        <v>27</v>
      </c>
      <c r="AV7" s="31">
        <v>20</v>
      </c>
      <c r="AW7" s="31" t="s">
        <v>193</v>
      </c>
      <c r="AX7" s="31" t="s">
        <v>474</v>
      </c>
      <c r="AY7" s="31" t="s">
        <v>193</v>
      </c>
      <c r="AZ7" s="31" t="s">
        <v>474</v>
      </c>
      <c r="BA7" s="31" t="s">
        <v>474</v>
      </c>
      <c r="BB7" s="31" t="s">
        <v>474</v>
      </c>
    </row>
    <row r="8" spans="1:54" ht="20.100000000000001" customHeight="1">
      <c r="A8" s="31" t="s">
        <v>488</v>
      </c>
      <c r="B8" s="31" t="s">
        <v>193</v>
      </c>
      <c r="C8" s="31" t="s">
        <v>474</v>
      </c>
      <c r="D8" s="31" t="s">
        <v>474</v>
      </c>
      <c r="E8" s="31" t="s">
        <v>481</v>
      </c>
      <c r="F8" s="31" t="s">
        <v>193</v>
      </c>
      <c r="G8" s="31" t="s">
        <v>474</v>
      </c>
      <c r="H8" s="31" t="s">
        <v>474</v>
      </c>
      <c r="I8" s="31" t="s">
        <v>474</v>
      </c>
      <c r="J8" s="31" t="s">
        <v>474</v>
      </c>
      <c r="K8" s="31" t="s">
        <v>474</v>
      </c>
      <c r="L8" s="31" t="s">
        <v>193</v>
      </c>
      <c r="M8" s="31" t="s">
        <v>474</v>
      </c>
      <c r="N8" s="31" t="s">
        <v>474</v>
      </c>
      <c r="O8" s="31" t="s">
        <v>474</v>
      </c>
      <c r="P8" s="31" t="s">
        <v>474</v>
      </c>
      <c r="Q8" s="31" t="s">
        <v>474</v>
      </c>
      <c r="R8" s="31" t="s">
        <v>474</v>
      </c>
      <c r="S8" s="31" t="s">
        <v>474</v>
      </c>
      <c r="T8" s="31" t="s">
        <v>474</v>
      </c>
      <c r="U8" s="31" t="s">
        <v>474</v>
      </c>
      <c r="V8" s="31" t="s">
        <v>474</v>
      </c>
      <c r="W8" s="31" t="s">
        <v>474</v>
      </c>
      <c r="X8" s="31" t="s">
        <v>474</v>
      </c>
      <c r="Y8" s="31" t="s">
        <v>474</v>
      </c>
      <c r="Z8" s="31" t="s">
        <v>474</v>
      </c>
      <c r="AA8" s="31" t="s">
        <v>474</v>
      </c>
      <c r="AB8" s="31" t="s">
        <v>193</v>
      </c>
      <c r="AC8" s="31" t="s">
        <v>474</v>
      </c>
      <c r="AD8" s="31" t="s">
        <v>193</v>
      </c>
      <c r="AE8" s="31">
        <v>1</v>
      </c>
      <c r="AF8" s="31">
        <v>12</v>
      </c>
      <c r="AG8" s="31">
        <v>365</v>
      </c>
      <c r="AH8" s="31" t="s">
        <v>193</v>
      </c>
      <c r="AI8" s="31" t="s">
        <v>474</v>
      </c>
      <c r="AJ8" s="31">
        <v>30</v>
      </c>
      <c r="AK8" s="31">
        <v>90</v>
      </c>
      <c r="AL8" s="31">
        <v>382.7</v>
      </c>
      <c r="AM8" s="31">
        <v>7.39</v>
      </c>
      <c r="AN8" s="31">
        <v>214</v>
      </c>
      <c r="AO8" s="46">
        <v>2572</v>
      </c>
      <c r="AP8" s="31" t="s">
        <v>474</v>
      </c>
      <c r="AQ8" s="31" t="s">
        <v>474</v>
      </c>
      <c r="AR8" s="31">
        <v>150</v>
      </c>
      <c r="AS8" s="31">
        <v>250</v>
      </c>
      <c r="AT8" s="31">
        <v>5</v>
      </c>
      <c r="AU8" s="31">
        <v>170</v>
      </c>
      <c r="AV8" s="31">
        <v>50</v>
      </c>
      <c r="AW8" s="31" t="s">
        <v>193</v>
      </c>
      <c r="AX8" s="31" t="s">
        <v>193</v>
      </c>
      <c r="AY8" s="31" t="s">
        <v>193</v>
      </c>
      <c r="AZ8" s="31" t="s">
        <v>193</v>
      </c>
      <c r="BA8" s="31" t="s">
        <v>193</v>
      </c>
      <c r="BB8" s="31" t="s">
        <v>474</v>
      </c>
    </row>
    <row r="9" spans="1:54" ht="20.100000000000001" customHeight="1">
      <c r="A9" s="31" t="s">
        <v>488</v>
      </c>
      <c r="B9" s="31" t="s">
        <v>474</v>
      </c>
      <c r="C9" s="31" t="s">
        <v>193</v>
      </c>
      <c r="D9" s="31" t="s">
        <v>474</v>
      </c>
      <c r="E9" s="31" t="s">
        <v>482</v>
      </c>
      <c r="F9" s="31" t="s">
        <v>193</v>
      </c>
      <c r="G9" s="31" t="s">
        <v>474</v>
      </c>
      <c r="H9" s="31" t="s">
        <v>474</v>
      </c>
      <c r="I9" s="31" t="s">
        <v>474</v>
      </c>
      <c r="J9" s="31" t="s">
        <v>474</v>
      </c>
      <c r="K9" s="31" t="s">
        <v>474</v>
      </c>
      <c r="L9" s="31" t="s">
        <v>193</v>
      </c>
      <c r="M9" s="31" t="s">
        <v>474</v>
      </c>
      <c r="N9" s="31" t="s">
        <v>474</v>
      </c>
      <c r="O9" s="31" t="s">
        <v>474</v>
      </c>
      <c r="P9" s="31" t="s">
        <v>474</v>
      </c>
      <c r="Q9" s="31" t="s">
        <v>474</v>
      </c>
      <c r="R9" s="31" t="s">
        <v>474</v>
      </c>
      <c r="S9" s="31" t="s">
        <v>474</v>
      </c>
      <c r="T9" s="31" t="s">
        <v>474</v>
      </c>
      <c r="U9" s="31" t="s">
        <v>474</v>
      </c>
      <c r="V9" s="31" t="s">
        <v>474</v>
      </c>
      <c r="W9" s="31" t="s">
        <v>474</v>
      </c>
      <c r="X9" s="31" t="s">
        <v>474</v>
      </c>
      <c r="Y9" s="31" t="s">
        <v>474</v>
      </c>
      <c r="Z9" s="31" t="s">
        <v>474</v>
      </c>
      <c r="AA9" s="31" t="s">
        <v>474</v>
      </c>
      <c r="AB9" s="31" t="s">
        <v>193</v>
      </c>
      <c r="AC9" s="31" t="s">
        <v>474</v>
      </c>
      <c r="AD9" s="31" t="s">
        <v>193</v>
      </c>
      <c r="AE9" s="31">
        <v>1</v>
      </c>
      <c r="AF9" s="31">
        <v>12</v>
      </c>
      <c r="AG9" s="31">
        <v>365</v>
      </c>
      <c r="AH9" s="31" t="s">
        <v>193</v>
      </c>
      <c r="AI9" s="31" t="s">
        <v>474</v>
      </c>
      <c r="AJ9" s="31">
        <v>30</v>
      </c>
      <c r="AK9" s="31">
        <v>90</v>
      </c>
      <c r="AL9" s="31">
        <v>382.7</v>
      </c>
      <c r="AM9" s="31">
        <v>7.39</v>
      </c>
      <c r="AN9" s="31">
        <v>214</v>
      </c>
      <c r="AO9" s="46">
        <v>2572</v>
      </c>
      <c r="AP9" s="31" t="s">
        <v>474</v>
      </c>
      <c r="AQ9" s="31" t="s">
        <v>474</v>
      </c>
      <c r="AR9" s="31">
        <v>150</v>
      </c>
      <c r="AS9" s="31">
        <v>250</v>
      </c>
      <c r="AT9" s="31">
        <v>5</v>
      </c>
      <c r="AU9" s="31">
        <v>173</v>
      </c>
      <c r="AV9" s="31">
        <v>50</v>
      </c>
      <c r="AW9" s="31" t="s">
        <v>193</v>
      </c>
      <c r="AX9" s="31" t="s">
        <v>193</v>
      </c>
      <c r="AY9" s="31" t="s">
        <v>193</v>
      </c>
      <c r="AZ9" s="31" t="s">
        <v>193</v>
      </c>
      <c r="BA9" s="31" t="s">
        <v>193</v>
      </c>
      <c r="BB9" s="31" t="s">
        <v>474</v>
      </c>
    </row>
    <row r="10" spans="1:54" ht="20.100000000000001" customHeight="1">
      <c r="A10" s="31" t="s">
        <v>488</v>
      </c>
      <c r="B10" s="31" t="s">
        <v>474</v>
      </c>
      <c r="C10" s="31" t="s">
        <v>193</v>
      </c>
      <c r="D10" s="31" t="s">
        <v>474</v>
      </c>
      <c r="E10" s="31" t="s">
        <v>483</v>
      </c>
      <c r="F10" s="31" t="s">
        <v>193</v>
      </c>
      <c r="G10" s="31" t="s">
        <v>193</v>
      </c>
      <c r="H10" s="31" t="s">
        <v>474</v>
      </c>
      <c r="I10" s="31" t="s">
        <v>474</v>
      </c>
      <c r="J10" s="31" t="s">
        <v>474</v>
      </c>
      <c r="K10" s="31" t="s">
        <v>474</v>
      </c>
      <c r="L10" s="31" t="s">
        <v>474</v>
      </c>
      <c r="M10" s="31" t="s">
        <v>474</v>
      </c>
      <c r="N10" s="31" t="s">
        <v>474</v>
      </c>
      <c r="O10" s="31" t="s">
        <v>474</v>
      </c>
      <c r="P10" s="31" t="s">
        <v>474</v>
      </c>
      <c r="Q10" s="31" t="s">
        <v>474</v>
      </c>
      <c r="R10" s="31" t="s">
        <v>474</v>
      </c>
      <c r="S10" s="31" t="s">
        <v>474</v>
      </c>
      <c r="T10" s="31" t="s">
        <v>474</v>
      </c>
      <c r="U10" s="31" t="s">
        <v>474</v>
      </c>
      <c r="V10" s="31" t="s">
        <v>474</v>
      </c>
      <c r="W10" s="31" t="s">
        <v>474</v>
      </c>
      <c r="X10" s="31" t="s">
        <v>474</v>
      </c>
      <c r="Y10" s="31" t="s">
        <v>474</v>
      </c>
      <c r="Z10" s="31" t="s">
        <v>474</v>
      </c>
      <c r="AA10" s="31" t="s">
        <v>474</v>
      </c>
      <c r="AB10" s="31" t="s">
        <v>474</v>
      </c>
      <c r="AC10" s="31" t="s">
        <v>193</v>
      </c>
      <c r="AD10" s="31" t="s">
        <v>193</v>
      </c>
      <c r="AE10" s="31">
        <v>1</v>
      </c>
      <c r="AF10" s="31">
        <v>12</v>
      </c>
      <c r="AG10" s="31">
        <v>365</v>
      </c>
      <c r="AH10" s="31" t="s">
        <v>193</v>
      </c>
      <c r="AI10" s="31" t="s">
        <v>474</v>
      </c>
      <c r="AJ10" s="31">
        <v>1</v>
      </c>
      <c r="AK10" s="31">
        <v>2.31</v>
      </c>
      <c r="AL10" s="31">
        <v>0.28999999999999998</v>
      </c>
      <c r="AM10" s="31">
        <v>0.68</v>
      </c>
      <c r="AN10" s="31">
        <v>20</v>
      </c>
      <c r="AO10" s="31">
        <v>237</v>
      </c>
      <c r="AP10" s="31" t="s">
        <v>474</v>
      </c>
      <c r="AQ10" s="31" t="s">
        <v>474</v>
      </c>
      <c r="AR10" s="31">
        <v>80</v>
      </c>
      <c r="AS10" s="31">
        <v>150</v>
      </c>
      <c r="AT10" s="31">
        <v>2</v>
      </c>
      <c r="AU10" s="31">
        <v>65</v>
      </c>
      <c r="AV10" s="31">
        <v>40</v>
      </c>
      <c r="AW10" s="31" t="s">
        <v>474</v>
      </c>
      <c r="AX10" s="31" t="s">
        <v>474</v>
      </c>
      <c r="AY10" s="31" t="s">
        <v>474</v>
      </c>
      <c r="AZ10" s="31" t="s">
        <v>474</v>
      </c>
      <c r="BA10" s="31" t="s">
        <v>474</v>
      </c>
      <c r="BB10" s="31" t="s">
        <v>474</v>
      </c>
    </row>
    <row r="11" spans="1:54" ht="20.100000000000001" customHeight="1">
      <c r="A11" s="31" t="s">
        <v>488</v>
      </c>
      <c r="B11" s="31" t="s">
        <v>474</v>
      </c>
      <c r="C11" s="31" t="s">
        <v>193</v>
      </c>
      <c r="D11" s="31" t="s">
        <v>474</v>
      </c>
      <c r="E11" s="31" t="s">
        <v>484</v>
      </c>
      <c r="F11" s="31" t="s">
        <v>193</v>
      </c>
      <c r="G11" s="31" t="s">
        <v>474</v>
      </c>
      <c r="H11" s="31" t="s">
        <v>193</v>
      </c>
      <c r="I11" s="31" t="s">
        <v>474</v>
      </c>
      <c r="J11" s="31" t="s">
        <v>474</v>
      </c>
      <c r="K11" s="31" t="s">
        <v>474</v>
      </c>
      <c r="L11" s="31" t="s">
        <v>474</v>
      </c>
      <c r="M11" s="31" t="s">
        <v>474</v>
      </c>
      <c r="N11" s="31" t="s">
        <v>474</v>
      </c>
      <c r="O11" s="31" t="s">
        <v>474</v>
      </c>
      <c r="P11" s="31" t="s">
        <v>474</v>
      </c>
      <c r="Q11" s="31" t="s">
        <v>474</v>
      </c>
      <c r="R11" s="31" t="s">
        <v>474</v>
      </c>
      <c r="S11" s="31" t="s">
        <v>474</v>
      </c>
      <c r="T11" s="31" t="s">
        <v>474</v>
      </c>
      <c r="U11" s="31" t="s">
        <v>474</v>
      </c>
      <c r="V11" s="31" t="s">
        <v>474</v>
      </c>
      <c r="W11" s="31" t="s">
        <v>474</v>
      </c>
      <c r="X11" s="31" t="s">
        <v>474</v>
      </c>
      <c r="Y11" s="31" t="s">
        <v>474</v>
      </c>
      <c r="Z11" s="31" t="s">
        <v>474</v>
      </c>
      <c r="AA11" s="31" t="s">
        <v>474</v>
      </c>
      <c r="AB11" s="31" t="s">
        <v>474</v>
      </c>
      <c r="AC11" s="31" t="s">
        <v>193</v>
      </c>
      <c r="AD11" s="31" t="s">
        <v>193</v>
      </c>
      <c r="AE11" s="31">
        <v>1</v>
      </c>
      <c r="AF11" s="31">
        <v>12</v>
      </c>
      <c r="AG11" s="31">
        <v>365</v>
      </c>
      <c r="AH11" s="31" t="s">
        <v>474</v>
      </c>
      <c r="AI11" s="31" t="s">
        <v>193</v>
      </c>
      <c r="AJ11" s="31" t="s">
        <v>474</v>
      </c>
      <c r="AK11" s="31" t="s">
        <v>474</v>
      </c>
      <c r="AL11" s="31" t="s">
        <v>474</v>
      </c>
      <c r="AM11" s="31">
        <v>4.18</v>
      </c>
      <c r="AN11" s="31">
        <v>121</v>
      </c>
      <c r="AO11" s="46">
        <v>1455</v>
      </c>
      <c r="AP11" s="31" t="s">
        <v>474</v>
      </c>
      <c r="AQ11" s="31" t="s">
        <v>474</v>
      </c>
      <c r="AR11" s="31">
        <v>60</v>
      </c>
      <c r="AS11" s="31">
        <v>150</v>
      </c>
      <c r="AT11" s="31">
        <v>1</v>
      </c>
      <c r="AU11" s="31">
        <v>60</v>
      </c>
      <c r="AV11" s="31">
        <v>25</v>
      </c>
      <c r="AW11" s="31" t="s">
        <v>193</v>
      </c>
      <c r="AX11" s="31" t="s">
        <v>474</v>
      </c>
      <c r="AY11" s="31" t="s">
        <v>193</v>
      </c>
      <c r="AZ11" s="31" t="s">
        <v>474</v>
      </c>
      <c r="BA11" s="31" t="s">
        <v>474</v>
      </c>
      <c r="BB11" s="31" t="s">
        <v>474</v>
      </c>
    </row>
    <row r="12" spans="1:54" ht="20.100000000000001" customHeight="1">
      <c r="A12" s="31" t="s">
        <v>488</v>
      </c>
      <c r="B12" s="31" t="s">
        <v>474</v>
      </c>
      <c r="C12" s="31" t="s">
        <v>193</v>
      </c>
      <c r="D12" s="31" t="s">
        <v>474</v>
      </c>
      <c r="E12" s="31" t="s">
        <v>485</v>
      </c>
      <c r="F12" s="31" t="s">
        <v>193</v>
      </c>
      <c r="G12" s="31" t="s">
        <v>193</v>
      </c>
      <c r="H12" s="31" t="s">
        <v>474</v>
      </c>
      <c r="I12" s="31" t="s">
        <v>474</v>
      </c>
      <c r="J12" s="31" t="s">
        <v>474</v>
      </c>
      <c r="K12" s="31" t="s">
        <v>474</v>
      </c>
      <c r="L12" s="31" t="s">
        <v>474</v>
      </c>
      <c r="M12" s="31" t="s">
        <v>474</v>
      </c>
      <c r="N12" s="31" t="s">
        <v>474</v>
      </c>
      <c r="O12" s="31" t="s">
        <v>474</v>
      </c>
      <c r="P12" s="31" t="s">
        <v>474</v>
      </c>
      <c r="Q12" s="31" t="s">
        <v>474</v>
      </c>
      <c r="R12" s="31" t="s">
        <v>474</v>
      </c>
      <c r="S12" s="31" t="s">
        <v>474</v>
      </c>
      <c r="T12" s="31" t="s">
        <v>474</v>
      </c>
      <c r="U12" s="31" t="s">
        <v>474</v>
      </c>
      <c r="V12" s="31" t="s">
        <v>474</v>
      </c>
      <c r="W12" s="31" t="s">
        <v>474</v>
      </c>
      <c r="X12" s="31" t="s">
        <v>474</v>
      </c>
      <c r="Y12" s="31" t="s">
        <v>474</v>
      </c>
      <c r="Z12" s="31" t="s">
        <v>474</v>
      </c>
      <c r="AA12" s="31" t="s">
        <v>474</v>
      </c>
      <c r="AB12" s="31" t="s">
        <v>474</v>
      </c>
      <c r="AC12" s="31" t="s">
        <v>193</v>
      </c>
      <c r="AD12" s="31" t="s">
        <v>193</v>
      </c>
      <c r="AE12" s="31">
        <v>1</v>
      </c>
      <c r="AF12" s="31">
        <v>12</v>
      </c>
      <c r="AG12" s="31">
        <v>365</v>
      </c>
      <c r="AH12" s="31" t="s">
        <v>193</v>
      </c>
      <c r="AI12" s="31" t="s">
        <v>474</v>
      </c>
      <c r="AJ12" s="31">
        <v>1</v>
      </c>
      <c r="AK12" s="31">
        <v>2.31</v>
      </c>
      <c r="AL12" s="31">
        <v>0.28999999999999998</v>
      </c>
      <c r="AM12" s="31">
        <v>0.68</v>
      </c>
      <c r="AN12" s="31">
        <v>20</v>
      </c>
      <c r="AO12" s="31">
        <v>237</v>
      </c>
      <c r="AP12" s="31" t="s">
        <v>474</v>
      </c>
      <c r="AQ12" s="31" t="s">
        <v>474</v>
      </c>
      <c r="AR12" s="31">
        <v>18</v>
      </c>
      <c r="AS12" s="31">
        <v>50</v>
      </c>
      <c r="AT12" s="31">
        <v>0.3</v>
      </c>
      <c r="AU12" s="31">
        <v>25</v>
      </c>
      <c r="AV12" s="31">
        <v>13</v>
      </c>
      <c r="AW12" s="31" t="s">
        <v>474</v>
      </c>
      <c r="AX12" s="31" t="s">
        <v>474</v>
      </c>
      <c r="AY12" s="31" t="s">
        <v>474</v>
      </c>
      <c r="AZ12" s="31" t="s">
        <v>474</v>
      </c>
      <c r="BA12" s="31" t="s">
        <v>474</v>
      </c>
      <c r="BB12" s="31" t="s">
        <v>474</v>
      </c>
    </row>
    <row r="13" spans="1:54" ht="20.100000000000001" customHeight="1">
      <c r="A13" s="31" t="s">
        <v>488</v>
      </c>
      <c r="B13" s="31" t="s">
        <v>474</v>
      </c>
      <c r="C13" s="31" t="s">
        <v>193</v>
      </c>
      <c r="D13" s="31" t="s">
        <v>474</v>
      </c>
      <c r="E13" s="31" t="s">
        <v>486</v>
      </c>
      <c r="F13" s="31" t="s">
        <v>193</v>
      </c>
      <c r="G13" s="31" t="s">
        <v>474</v>
      </c>
      <c r="H13" s="31" t="s">
        <v>193</v>
      </c>
      <c r="I13" s="31" t="s">
        <v>474</v>
      </c>
      <c r="J13" s="31" t="s">
        <v>474</v>
      </c>
      <c r="K13" s="31" t="s">
        <v>474</v>
      </c>
      <c r="L13" s="31" t="s">
        <v>474</v>
      </c>
      <c r="M13" s="31" t="s">
        <v>474</v>
      </c>
      <c r="N13" s="31" t="s">
        <v>474</v>
      </c>
      <c r="O13" s="31" t="s">
        <v>474</v>
      </c>
      <c r="P13" s="31" t="s">
        <v>474</v>
      </c>
      <c r="Q13" s="31" t="s">
        <v>474</v>
      </c>
      <c r="R13" s="31" t="s">
        <v>474</v>
      </c>
      <c r="S13" s="31" t="s">
        <v>474</v>
      </c>
      <c r="T13" s="31" t="s">
        <v>474</v>
      </c>
      <c r="U13" s="31" t="s">
        <v>474</v>
      </c>
      <c r="V13" s="31" t="s">
        <v>474</v>
      </c>
      <c r="W13" s="31" t="s">
        <v>474</v>
      </c>
      <c r="X13" s="31" t="s">
        <v>474</v>
      </c>
      <c r="Y13" s="31" t="s">
        <v>474</v>
      </c>
      <c r="Z13" s="31" t="s">
        <v>474</v>
      </c>
      <c r="AA13" s="31" t="s">
        <v>474</v>
      </c>
      <c r="AB13" s="31" t="s">
        <v>474</v>
      </c>
      <c r="AC13" s="31" t="s">
        <v>193</v>
      </c>
      <c r="AD13" s="31" t="s">
        <v>193</v>
      </c>
      <c r="AE13" s="31">
        <v>1</v>
      </c>
      <c r="AF13" s="31">
        <v>12</v>
      </c>
      <c r="AG13" s="31">
        <v>365</v>
      </c>
      <c r="AH13" s="31" t="s">
        <v>474</v>
      </c>
      <c r="AI13" s="31" t="s">
        <v>193</v>
      </c>
      <c r="AJ13" s="31" t="s">
        <v>474</v>
      </c>
      <c r="AK13" s="31" t="s">
        <v>474</v>
      </c>
      <c r="AL13" s="31" t="s">
        <v>474</v>
      </c>
      <c r="AM13" s="31">
        <v>4.4000000000000004</v>
      </c>
      <c r="AN13" s="31">
        <v>128</v>
      </c>
      <c r="AO13" s="46">
        <v>1531</v>
      </c>
      <c r="AP13" s="31" t="s">
        <v>474</v>
      </c>
      <c r="AQ13" s="31" t="s">
        <v>474</v>
      </c>
      <c r="AR13" s="31">
        <v>60</v>
      </c>
      <c r="AS13" s="31">
        <v>125</v>
      </c>
      <c r="AT13" s="31">
        <v>1</v>
      </c>
      <c r="AU13" s="31">
        <v>80</v>
      </c>
      <c r="AV13" s="31">
        <v>25</v>
      </c>
      <c r="AW13" s="31" t="s">
        <v>193</v>
      </c>
      <c r="AX13" s="31" t="s">
        <v>474</v>
      </c>
      <c r="AY13" s="31" t="s">
        <v>193</v>
      </c>
      <c r="AZ13" s="31" t="s">
        <v>474</v>
      </c>
      <c r="BA13" s="31" t="s">
        <v>474</v>
      </c>
      <c r="BB13" s="31" t="s">
        <v>474</v>
      </c>
    </row>
    <row r="14" spans="1:54" ht="20.100000000000001" customHeight="1">
      <c r="A14" s="31" t="s">
        <v>488</v>
      </c>
      <c r="B14" s="31" t="s">
        <v>474</v>
      </c>
      <c r="C14" s="31" t="s">
        <v>193</v>
      </c>
      <c r="D14" s="31" t="s">
        <v>474</v>
      </c>
      <c r="E14" s="31" t="s">
        <v>487</v>
      </c>
      <c r="F14" s="31" t="s">
        <v>193</v>
      </c>
      <c r="G14" s="31" t="s">
        <v>193</v>
      </c>
      <c r="H14" s="31" t="s">
        <v>474</v>
      </c>
      <c r="I14" s="31" t="s">
        <v>474</v>
      </c>
      <c r="J14" s="31" t="s">
        <v>474</v>
      </c>
      <c r="K14" s="31" t="s">
        <v>474</v>
      </c>
      <c r="L14" s="31" t="s">
        <v>474</v>
      </c>
      <c r="M14" s="31" t="s">
        <v>474</v>
      </c>
      <c r="N14" s="31" t="s">
        <v>474</v>
      </c>
      <c r="O14" s="31" t="s">
        <v>474</v>
      </c>
      <c r="P14" s="31" t="s">
        <v>474</v>
      </c>
      <c r="Q14" s="31" t="s">
        <v>474</v>
      </c>
      <c r="R14" s="31" t="s">
        <v>474</v>
      </c>
      <c r="S14" s="31" t="s">
        <v>474</v>
      </c>
      <c r="T14" s="31" t="s">
        <v>474</v>
      </c>
      <c r="U14" s="31" t="s">
        <v>474</v>
      </c>
      <c r="V14" s="31" t="s">
        <v>474</v>
      </c>
      <c r="W14" s="31" t="s">
        <v>474</v>
      </c>
      <c r="X14" s="31" t="s">
        <v>474</v>
      </c>
      <c r="Y14" s="31" t="s">
        <v>474</v>
      </c>
      <c r="Z14" s="31" t="s">
        <v>474</v>
      </c>
      <c r="AA14" s="31" t="s">
        <v>474</v>
      </c>
      <c r="AB14" s="31" t="s">
        <v>474</v>
      </c>
      <c r="AC14" s="31" t="s">
        <v>193</v>
      </c>
      <c r="AD14" s="31" t="s">
        <v>193</v>
      </c>
      <c r="AE14" s="31">
        <v>1</v>
      </c>
      <c r="AF14" s="31">
        <v>12</v>
      </c>
      <c r="AG14" s="31">
        <v>365</v>
      </c>
      <c r="AH14" s="31" t="s">
        <v>193</v>
      </c>
      <c r="AI14" s="31" t="s">
        <v>474</v>
      </c>
      <c r="AJ14" s="31">
        <v>1</v>
      </c>
      <c r="AK14" s="31">
        <v>2.31</v>
      </c>
      <c r="AL14" s="31">
        <v>0.28999999999999998</v>
      </c>
      <c r="AM14" s="31">
        <v>0.68</v>
      </c>
      <c r="AN14" s="31">
        <v>20</v>
      </c>
      <c r="AO14" s="31">
        <v>237</v>
      </c>
      <c r="AP14" s="31" t="s">
        <v>474</v>
      </c>
      <c r="AQ14" s="31" t="s">
        <v>474</v>
      </c>
      <c r="AR14" s="31">
        <v>30</v>
      </c>
      <c r="AS14" s="31">
        <v>50</v>
      </c>
      <c r="AT14" s="31">
        <v>0.3</v>
      </c>
      <c r="AU14" s="31">
        <v>20</v>
      </c>
      <c r="AV14" s="31">
        <v>15</v>
      </c>
      <c r="AW14" s="31" t="s">
        <v>474</v>
      </c>
      <c r="AX14" s="31" t="s">
        <v>474</v>
      </c>
      <c r="AY14" s="31" t="s">
        <v>474</v>
      </c>
      <c r="AZ14" s="31" t="s">
        <v>474</v>
      </c>
      <c r="BA14" s="31" t="s">
        <v>474</v>
      </c>
      <c r="BB14" s="31" t="s">
        <v>474</v>
      </c>
    </row>
    <row r="15" spans="1:54" ht="20.100000000000001" customHeight="1">
      <c r="A15" s="31" t="s">
        <v>488</v>
      </c>
      <c r="B15" s="31" t="s">
        <v>474</v>
      </c>
      <c r="C15" s="31" t="s">
        <v>193</v>
      </c>
      <c r="D15" s="31" t="s">
        <v>474</v>
      </c>
      <c r="E15" s="31" t="s">
        <v>427</v>
      </c>
      <c r="F15" s="31" t="s">
        <v>474</v>
      </c>
      <c r="G15" s="31" t="s">
        <v>474</v>
      </c>
      <c r="H15" s="31" t="s">
        <v>474</v>
      </c>
      <c r="I15" s="31" t="s">
        <v>474</v>
      </c>
      <c r="J15" s="31" t="s">
        <v>474</v>
      </c>
      <c r="K15" s="31" t="s">
        <v>474</v>
      </c>
      <c r="L15" s="31" t="s">
        <v>474</v>
      </c>
      <c r="M15" s="31" t="s">
        <v>474</v>
      </c>
      <c r="N15" s="31" t="s">
        <v>474</v>
      </c>
      <c r="O15" s="31" t="s">
        <v>474</v>
      </c>
      <c r="P15" s="31" t="s">
        <v>474</v>
      </c>
      <c r="Q15" s="31" t="s">
        <v>474</v>
      </c>
      <c r="R15" s="31" t="s">
        <v>474</v>
      </c>
      <c r="S15" s="31" t="s">
        <v>474</v>
      </c>
      <c r="T15" s="31" t="s">
        <v>474</v>
      </c>
      <c r="U15" s="31" t="s">
        <v>193</v>
      </c>
      <c r="V15" s="31" t="s">
        <v>474</v>
      </c>
      <c r="W15" s="31" t="s">
        <v>474</v>
      </c>
      <c r="X15" s="31" t="s">
        <v>193</v>
      </c>
      <c r="Y15" s="31" t="s">
        <v>474</v>
      </c>
      <c r="Z15" s="31" t="s">
        <v>474</v>
      </c>
      <c r="AA15" s="31" t="s">
        <v>474</v>
      </c>
      <c r="AB15" s="31" t="s">
        <v>474</v>
      </c>
      <c r="AC15" s="31" t="s">
        <v>193</v>
      </c>
      <c r="AD15" s="31" t="s">
        <v>474</v>
      </c>
      <c r="AE15" s="31">
        <v>3</v>
      </c>
      <c r="AF15" s="31">
        <v>11</v>
      </c>
      <c r="AG15" s="31">
        <v>274</v>
      </c>
      <c r="AH15" s="31" t="s">
        <v>474</v>
      </c>
      <c r="AI15" s="31" t="s">
        <v>193</v>
      </c>
      <c r="AJ15" s="31" t="s">
        <v>474</v>
      </c>
      <c r="AK15" s="31" t="s">
        <v>474</v>
      </c>
      <c r="AL15" s="31" t="s">
        <v>474</v>
      </c>
      <c r="AM15" s="31">
        <v>3.23</v>
      </c>
      <c r="AN15" s="31">
        <v>94</v>
      </c>
      <c r="AO15" s="31">
        <v>749</v>
      </c>
      <c r="AP15" s="31" t="s">
        <v>474</v>
      </c>
      <c r="AQ15" s="31" t="s">
        <v>474</v>
      </c>
      <c r="AR15" s="31">
        <v>20</v>
      </c>
      <c r="AS15" s="31">
        <v>50</v>
      </c>
      <c r="AT15" s="31">
        <v>0.5</v>
      </c>
      <c r="AU15" s="31">
        <v>40</v>
      </c>
      <c r="AV15" s="31">
        <v>30</v>
      </c>
      <c r="AW15" s="31" t="s">
        <v>193</v>
      </c>
      <c r="AX15" s="31" t="s">
        <v>474</v>
      </c>
      <c r="AY15" s="31" t="s">
        <v>193</v>
      </c>
      <c r="AZ15" s="31" t="s">
        <v>474</v>
      </c>
      <c r="BA15" s="31" t="s">
        <v>474</v>
      </c>
      <c r="BB15" s="31" t="s">
        <v>474</v>
      </c>
    </row>
    <row r="16" spans="1:54" ht="20.100000000000001" customHeight="1">
      <c r="A16" s="31" t="s">
        <v>488</v>
      </c>
      <c r="B16" s="31" t="s">
        <v>474</v>
      </c>
      <c r="C16" s="31" t="s">
        <v>193</v>
      </c>
      <c r="D16" s="31" t="s">
        <v>474</v>
      </c>
      <c r="E16" s="31" t="s">
        <v>429</v>
      </c>
      <c r="F16" s="31" t="s">
        <v>474</v>
      </c>
      <c r="G16" s="31" t="s">
        <v>474</v>
      </c>
      <c r="H16" s="31" t="s">
        <v>474</v>
      </c>
      <c r="I16" s="31" t="s">
        <v>474</v>
      </c>
      <c r="J16" s="31" t="s">
        <v>474</v>
      </c>
      <c r="K16" s="31" t="s">
        <v>474</v>
      </c>
      <c r="L16" s="31" t="s">
        <v>474</v>
      </c>
      <c r="M16" s="31" t="s">
        <v>474</v>
      </c>
      <c r="N16" s="31" t="s">
        <v>474</v>
      </c>
      <c r="O16" s="31" t="s">
        <v>474</v>
      </c>
      <c r="P16" s="31" t="s">
        <v>474</v>
      </c>
      <c r="Q16" s="31" t="s">
        <v>474</v>
      </c>
      <c r="R16" s="31" t="s">
        <v>474</v>
      </c>
      <c r="S16" s="31" t="s">
        <v>474</v>
      </c>
      <c r="T16" s="31" t="s">
        <v>474</v>
      </c>
      <c r="U16" s="31" t="s">
        <v>193</v>
      </c>
      <c r="V16" s="31" t="s">
        <v>474</v>
      </c>
      <c r="W16" s="31" t="s">
        <v>193</v>
      </c>
      <c r="X16" s="31" t="s">
        <v>474</v>
      </c>
      <c r="Y16" s="31" t="s">
        <v>474</v>
      </c>
      <c r="Z16" s="31" t="s">
        <v>474</v>
      </c>
      <c r="AA16" s="31" t="s">
        <v>474</v>
      </c>
      <c r="AB16" s="31" t="s">
        <v>474</v>
      </c>
      <c r="AC16" s="31" t="s">
        <v>193</v>
      </c>
      <c r="AD16" s="31" t="s">
        <v>474</v>
      </c>
      <c r="AE16" s="31">
        <v>3</v>
      </c>
      <c r="AF16" s="31">
        <v>11</v>
      </c>
      <c r="AG16" s="31">
        <v>274</v>
      </c>
      <c r="AH16" s="31" t="s">
        <v>474</v>
      </c>
      <c r="AI16" s="31" t="s">
        <v>193</v>
      </c>
      <c r="AJ16" s="31" t="s">
        <v>474</v>
      </c>
      <c r="AK16" s="31" t="s">
        <v>474</v>
      </c>
      <c r="AL16" s="31" t="s">
        <v>474</v>
      </c>
      <c r="AM16" s="31">
        <v>5.5</v>
      </c>
      <c r="AN16" s="31">
        <v>160</v>
      </c>
      <c r="AO16" s="46">
        <v>1276</v>
      </c>
      <c r="AP16" s="31" t="s">
        <v>474</v>
      </c>
      <c r="AQ16" s="31" t="s">
        <v>474</v>
      </c>
      <c r="AR16" s="31">
        <v>20</v>
      </c>
      <c r="AS16" s="31">
        <v>100</v>
      </c>
      <c r="AT16" s="31">
        <v>1</v>
      </c>
      <c r="AU16" s="31">
        <v>80</v>
      </c>
      <c r="AV16" s="31">
        <v>50</v>
      </c>
      <c r="AW16" s="31" t="s">
        <v>193</v>
      </c>
      <c r="AX16" s="31" t="s">
        <v>474</v>
      </c>
      <c r="AY16" s="31" t="s">
        <v>193</v>
      </c>
      <c r="AZ16" s="31" t="s">
        <v>474</v>
      </c>
      <c r="BA16" s="31" t="s">
        <v>474</v>
      </c>
      <c r="BB16" s="31" t="s">
        <v>474</v>
      </c>
    </row>
    <row r="17" spans="1:54" ht="20.100000000000001" customHeight="1">
      <c r="A17" s="31" t="s">
        <v>488</v>
      </c>
      <c r="B17" s="31" t="s">
        <v>474</v>
      </c>
      <c r="C17" s="31" t="s">
        <v>193</v>
      </c>
      <c r="D17" s="31" t="s">
        <v>474</v>
      </c>
      <c r="E17" s="31" t="s">
        <v>431</v>
      </c>
      <c r="F17" s="31" t="s">
        <v>474</v>
      </c>
      <c r="G17" s="31" t="s">
        <v>474</v>
      </c>
      <c r="H17" s="31" t="s">
        <v>474</v>
      </c>
      <c r="I17" s="31" t="s">
        <v>474</v>
      </c>
      <c r="J17" s="31" t="s">
        <v>474</v>
      </c>
      <c r="K17" s="31" t="s">
        <v>474</v>
      </c>
      <c r="L17" s="31" t="s">
        <v>474</v>
      </c>
      <c r="M17" s="31" t="s">
        <v>474</v>
      </c>
      <c r="N17" s="31" t="s">
        <v>474</v>
      </c>
      <c r="O17" s="31" t="s">
        <v>474</v>
      </c>
      <c r="P17" s="31" t="s">
        <v>474</v>
      </c>
      <c r="Q17" s="31" t="s">
        <v>474</v>
      </c>
      <c r="R17" s="31" t="s">
        <v>474</v>
      </c>
      <c r="S17" s="31" t="s">
        <v>474</v>
      </c>
      <c r="T17" s="31" t="s">
        <v>474</v>
      </c>
      <c r="U17" s="31" t="s">
        <v>193</v>
      </c>
      <c r="V17" s="31" t="s">
        <v>474</v>
      </c>
      <c r="W17" s="31" t="s">
        <v>193</v>
      </c>
      <c r="X17" s="31" t="s">
        <v>474</v>
      </c>
      <c r="Y17" s="31" t="s">
        <v>474</v>
      </c>
      <c r="Z17" s="31" t="s">
        <v>474</v>
      </c>
      <c r="AA17" s="31" t="s">
        <v>474</v>
      </c>
      <c r="AB17" s="31" t="s">
        <v>474</v>
      </c>
      <c r="AC17" s="31" t="s">
        <v>193</v>
      </c>
      <c r="AD17" s="31" t="s">
        <v>474</v>
      </c>
      <c r="AE17" s="31">
        <v>3</v>
      </c>
      <c r="AF17" s="31">
        <v>11</v>
      </c>
      <c r="AG17" s="31">
        <v>274</v>
      </c>
      <c r="AH17" s="31" t="s">
        <v>474</v>
      </c>
      <c r="AI17" s="31" t="s">
        <v>193</v>
      </c>
      <c r="AJ17" s="31" t="s">
        <v>474</v>
      </c>
      <c r="AK17" s="31" t="s">
        <v>474</v>
      </c>
      <c r="AL17" s="31" t="s">
        <v>474</v>
      </c>
      <c r="AM17" s="31">
        <v>3.3</v>
      </c>
      <c r="AN17" s="31">
        <v>96</v>
      </c>
      <c r="AO17" s="31">
        <v>766</v>
      </c>
      <c r="AP17" s="31" t="s">
        <v>474</v>
      </c>
      <c r="AQ17" s="31" t="s">
        <v>474</v>
      </c>
      <c r="AR17" s="31">
        <v>20</v>
      </c>
      <c r="AS17" s="31">
        <v>50</v>
      </c>
      <c r="AT17" s="31">
        <v>0.5</v>
      </c>
      <c r="AU17" s="31">
        <v>30</v>
      </c>
      <c r="AV17" s="31">
        <v>20</v>
      </c>
      <c r="AW17" s="31" t="s">
        <v>193</v>
      </c>
      <c r="AX17" s="31" t="s">
        <v>474</v>
      </c>
      <c r="AY17" s="31" t="s">
        <v>193</v>
      </c>
      <c r="AZ17" s="31" t="s">
        <v>474</v>
      </c>
      <c r="BA17" s="31" t="s">
        <v>474</v>
      </c>
      <c r="BB17" s="31" t="s">
        <v>474</v>
      </c>
    </row>
    <row r="18" spans="1:54" ht="20.100000000000001" customHeight="1">
      <c r="A18" s="31" t="s">
        <v>488</v>
      </c>
      <c r="B18" s="31" t="s">
        <v>474</v>
      </c>
      <c r="C18" s="31" t="s">
        <v>193</v>
      </c>
      <c r="D18" s="31" t="s">
        <v>474</v>
      </c>
      <c r="E18" s="31" t="s">
        <v>432</v>
      </c>
      <c r="F18" s="31" t="s">
        <v>474</v>
      </c>
      <c r="G18" s="31" t="s">
        <v>474</v>
      </c>
      <c r="H18" s="31" t="s">
        <v>474</v>
      </c>
      <c r="I18" s="31" t="s">
        <v>474</v>
      </c>
      <c r="J18" s="31" t="s">
        <v>474</v>
      </c>
      <c r="K18" s="31" t="s">
        <v>474</v>
      </c>
      <c r="L18" s="31" t="s">
        <v>474</v>
      </c>
      <c r="M18" s="31" t="s">
        <v>474</v>
      </c>
      <c r="N18" s="31" t="s">
        <v>474</v>
      </c>
      <c r="O18" s="31" t="s">
        <v>474</v>
      </c>
      <c r="P18" s="31" t="s">
        <v>474</v>
      </c>
      <c r="Q18" s="31" t="s">
        <v>474</v>
      </c>
      <c r="R18" s="31" t="s">
        <v>474</v>
      </c>
      <c r="S18" s="31" t="s">
        <v>474</v>
      </c>
      <c r="T18" s="31" t="s">
        <v>474</v>
      </c>
      <c r="U18" s="31" t="s">
        <v>193</v>
      </c>
      <c r="V18" s="31" t="s">
        <v>193</v>
      </c>
      <c r="W18" s="31" t="s">
        <v>474</v>
      </c>
      <c r="X18" s="31" t="s">
        <v>474</v>
      </c>
      <c r="Y18" s="31" t="s">
        <v>474</v>
      </c>
      <c r="Z18" s="31" t="s">
        <v>474</v>
      </c>
      <c r="AA18" s="31" t="s">
        <v>474</v>
      </c>
      <c r="AB18" s="31" t="s">
        <v>474</v>
      </c>
      <c r="AC18" s="31" t="s">
        <v>193</v>
      </c>
      <c r="AD18" s="31" t="s">
        <v>474</v>
      </c>
      <c r="AE18" s="31">
        <v>3</v>
      </c>
      <c r="AF18" s="31">
        <v>11</v>
      </c>
      <c r="AG18" s="31">
        <v>274</v>
      </c>
      <c r="AH18" s="31" t="s">
        <v>474</v>
      </c>
      <c r="AI18" s="31" t="s">
        <v>193</v>
      </c>
      <c r="AJ18" s="31" t="s">
        <v>474</v>
      </c>
      <c r="AK18" s="31" t="s">
        <v>474</v>
      </c>
      <c r="AL18" s="31" t="s">
        <v>474</v>
      </c>
      <c r="AM18" s="31">
        <v>6.01</v>
      </c>
      <c r="AN18" s="31">
        <v>174</v>
      </c>
      <c r="AO18" s="46">
        <v>1394</v>
      </c>
      <c r="AP18" s="31" t="s">
        <v>474</v>
      </c>
      <c r="AQ18" s="31" t="s">
        <v>474</v>
      </c>
      <c r="AR18" s="31">
        <v>36</v>
      </c>
      <c r="AS18" s="31">
        <v>50</v>
      </c>
      <c r="AT18" s="31">
        <v>0.5</v>
      </c>
      <c r="AU18" s="31">
        <v>25</v>
      </c>
      <c r="AV18" s="31">
        <v>13</v>
      </c>
      <c r="AW18" s="31" t="s">
        <v>193</v>
      </c>
      <c r="AX18" s="31" t="s">
        <v>474</v>
      </c>
      <c r="AY18" s="31" t="s">
        <v>193</v>
      </c>
      <c r="AZ18" s="31" t="s">
        <v>474</v>
      </c>
      <c r="BA18" s="31" t="s">
        <v>474</v>
      </c>
      <c r="BB18" s="31" t="s">
        <v>474</v>
      </c>
    </row>
    <row r="19" spans="1:54" ht="20.100000000000001" customHeight="1">
      <c r="A19" s="31" t="s">
        <v>488</v>
      </c>
      <c r="B19" s="31" t="s">
        <v>474</v>
      </c>
      <c r="C19" s="31" t="s">
        <v>193</v>
      </c>
      <c r="D19" s="31" t="s">
        <v>474</v>
      </c>
      <c r="E19" s="31" t="s">
        <v>434</v>
      </c>
      <c r="F19" s="31" t="s">
        <v>474</v>
      </c>
      <c r="G19" s="31" t="s">
        <v>474</v>
      </c>
      <c r="H19" s="31" t="s">
        <v>474</v>
      </c>
      <c r="I19" s="31" t="s">
        <v>474</v>
      </c>
      <c r="J19" s="31" t="s">
        <v>474</v>
      </c>
      <c r="K19" s="31" t="s">
        <v>474</v>
      </c>
      <c r="L19" s="31" t="s">
        <v>474</v>
      </c>
      <c r="M19" s="31" t="s">
        <v>474</v>
      </c>
      <c r="N19" s="31" t="s">
        <v>474</v>
      </c>
      <c r="O19" s="31" t="s">
        <v>474</v>
      </c>
      <c r="P19" s="31" t="s">
        <v>474</v>
      </c>
      <c r="Q19" s="31" t="s">
        <v>474</v>
      </c>
      <c r="R19" s="31" t="s">
        <v>474</v>
      </c>
      <c r="S19" s="31" t="s">
        <v>474</v>
      </c>
      <c r="T19" s="31" t="s">
        <v>474</v>
      </c>
      <c r="U19" s="31" t="s">
        <v>193</v>
      </c>
      <c r="V19" s="31" t="s">
        <v>193</v>
      </c>
      <c r="W19" s="31" t="s">
        <v>474</v>
      </c>
      <c r="X19" s="31" t="s">
        <v>474</v>
      </c>
      <c r="Y19" s="31" t="s">
        <v>474</v>
      </c>
      <c r="Z19" s="31" t="s">
        <v>474</v>
      </c>
      <c r="AA19" s="31" t="s">
        <v>474</v>
      </c>
      <c r="AB19" s="31" t="s">
        <v>474</v>
      </c>
      <c r="AC19" s="31" t="s">
        <v>193</v>
      </c>
      <c r="AD19" s="31" t="s">
        <v>474</v>
      </c>
      <c r="AE19" s="31">
        <v>3</v>
      </c>
      <c r="AF19" s="31">
        <v>11</v>
      </c>
      <c r="AG19" s="31">
        <v>274</v>
      </c>
      <c r="AH19" s="31" t="s">
        <v>474</v>
      </c>
      <c r="AI19" s="31" t="s">
        <v>193</v>
      </c>
      <c r="AJ19" s="31" t="s">
        <v>474</v>
      </c>
      <c r="AK19" s="31" t="s">
        <v>474</v>
      </c>
      <c r="AL19" s="31" t="s">
        <v>474</v>
      </c>
      <c r="AM19" s="31">
        <v>6.08</v>
      </c>
      <c r="AN19" s="31">
        <v>176</v>
      </c>
      <c r="AO19" s="46">
        <v>1411</v>
      </c>
      <c r="AP19" s="31" t="s">
        <v>474</v>
      </c>
      <c r="AQ19" s="31" t="s">
        <v>474</v>
      </c>
      <c r="AR19" s="31">
        <v>20</v>
      </c>
      <c r="AS19" s="31">
        <v>50</v>
      </c>
      <c r="AT19" s="31">
        <v>0.3</v>
      </c>
      <c r="AU19" s="31">
        <v>30</v>
      </c>
      <c r="AV19" s="31">
        <v>16</v>
      </c>
      <c r="AW19" s="31" t="s">
        <v>193</v>
      </c>
      <c r="AX19" s="31" t="s">
        <v>474</v>
      </c>
      <c r="AY19" s="31" t="s">
        <v>193</v>
      </c>
      <c r="AZ19" s="31" t="s">
        <v>474</v>
      </c>
      <c r="BA19" s="31" t="s">
        <v>474</v>
      </c>
      <c r="BB19" s="31" t="s">
        <v>474</v>
      </c>
    </row>
    <row r="20" spans="1:54" ht="20.100000000000001" customHeight="1">
      <c r="A20" s="31" t="s">
        <v>488</v>
      </c>
      <c r="B20" s="31" t="s">
        <v>474</v>
      </c>
      <c r="C20" s="31" t="s">
        <v>193</v>
      </c>
      <c r="D20" s="31" t="s">
        <v>474</v>
      </c>
      <c r="E20" s="31" t="s">
        <v>435</v>
      </c>
      <c r="F20" s="31" t="s">
        <v>474</v>
      </c>
      <c r="G20" s="31" t="s">
        <v>474</v>
      </c>
      <c r="H20" s="31" t="s">
        <v>474</v>
      </c>
      <c r="I20" s="31" t="s">
        <v>474</v>
      </c>
      <c r="J20" s="31" t="s">
        <v>474</v>
      </c>
      <c r="K20" s="31" t="s">
        <v>474</v>
      </c>
      <c r="L20" s="31" t="s">
        <v>474</v>
      </c>
      <c r="M20" s="31" t="s">
        <v>474</v>
      </c>
      <c r="N20" s="31" t="s">
        <v>474</v>
      </c>
      <c r="O20" s="31" t="s">
        <v>474</v>
      </c>
      <c r="P20" s="31" t="s">
        <v>474</v>
      </c>
      <c r="Q20" s="31" t="s">
        <v>474</v>
      </c>
      <c r="R20" s="31" t="s">
        <v>474</v>
      </c>
      <c r="S20" s="31" t="s">
        <v>474</v>
      </c>
      <c r="T20" s="31" t="s">
        <v>474</v>
      </c>
      <c r="U20" s="31" t="s">
        <v>193</v>
      </c>
      <c r="V20" s="31" t="s">
        <v>193</v>
      </c>
      <c r="W20" s="31" t="s">
        <v>474</v>
      </c>
      <c r="X20" s="31" t="s">
        <v>474</v>
      </c>
      <c r="Y20" s="31" t="s">
        <v>474</v>
      </c>
      <c r="Z20" s="31" t="s">
        <v>474</v>
      </c>
      <c r="AA20" s="31" t="s">
        <v>474</v>
      </c>
      <c r="AB20" s="31" t="s">
        <v>474</v>
      </c>
      <c r="AC20" s="31" t="s">
        <v>193</v>
      </c>
      <c r="AD20" s="31" t="s">
        <v>474</v>
      </c>
      <c r="AE20" s="31">
        <v>3</v>
      </c>
      <c r="AF20" s="31">
        <v>11</v>
      </c>
      <c r="AG20" s="31">
        <v>274</v>
      </c>
      <c r="AH20" s="31" t="s">
        <v>474</v>
      </c>
      <c r="AI20" s="31" t="s">
        <v>193</v>
      </c>
      <c r="AJ20" s="31" t="s">
        <v>474</v>
      </c>
      <c r="AK20" s="31" t="s">
        <v>474</v>
      </c>
      <c r="AL20" s="31" t="s">
        <v>474</v>
      </c>
      <c r="AM20" s="31">
        <v>6.64</v>
      </c>
      <c r="AN20" s="31">
        <v>193</v>
      </c>
      <c r="AO20" s="46">
        <v>1540</v>
      </c>
      <c r="AP20" s="31" t="s">
        <v>474</v>
      </c>
      <c r="AQ20" s="31" t="s">
        <v>474</v>
      </c>
      <c r="AR20" s="31">
        <v>60</v>
      </c>
      <c r="AS20" s="31">
        <v>150</v>
      </c>
      <c r="AT20" s="31">
        <v>2</v>
      </c>
      <c r="AU20" s="31">
        <v>70</v>
      </c>
      <c r="AV20" s="31">
        <v>32</v>
      </c>
      <c r="AW20" s="31" t="s">
        <v>193</v>
      </c>
      <c r="AX20" s="31" t="s">
        <v>474</v>
      </c>
      <c r="AY20" s="31" t="s">
        <v>193</v>
      </c>
      <c r="AZ20" s="31" t="s">
        <v>474</v>
      </c>
      <c r="BA20" s="31" t="s">
        <v>474</v>
      </c>
      <c r="BB20" s="31" t="s">
        <v>474</v>
      </c>
    </row>
    <row r="21" spans="1:54" ht="20.100000000000001" customHeight="1">
      <c r="A21" s="31" t="s">
        <v>488</v>
      </c>
      <c r="B21" s="31" t="s">
        <v>474</v>
      </c>
      <c r="C21" s="31" t="s">
        <v>193</v>
      </c>
      <c r="D21" s="31" t="s">
        <v>474</v>
      </c>
      <c r="E21" s="31" t="s">
        <v>436</v>
      </c>
      <c r="F21" s="31" t="s">
        <v>474</v>
      </c>
      <c r="G21" s="31" t="s">
        <v>474</v>
      </c>
      <c r="H21" s="31" t="s">
        <v>474</v>
      </c>
      <c r="I21" s="31" t="s">
        <v>474</v>
      </c>
      <c r="J21" s="31" t="s">
        <v>474</v>
      </c>
      <c r="K21" s="31" t="s">
        <v>474</v>
      </c>
      <c r="L21" s="31" t="s">
        <v>474</v>
      </c>
      <c r="M21" s="31" t="s">
        <v>474</v>
      </c>
      <c r="N21" s="31" t="s">
        <v>474</v>
      </c>
      <c r="O21" s="31" t="s">
        <v>474</v>
      </c>
      <c r="P21" s="31" t="s">
        <v>474</v>
      </c>
      <c r="Q21" s="31" t="s">
        <v>474</v>
      </c>
      <c r="R21" s="31" t="s">
        <v>474</v>
      </c>
      <c r="S21" s="31" t="s">
        <v>474</v>
      </c>
      <c r="T21" s="31" t="s">
        <v>474</v>
      </c>
      <c r="U21" s="31" t="s">
        <v>193</v>
      </c>
      <c r="V21" s="31" t="s">
        <v>474</v>
      </c>
      <c r="W21" s="31" t="s">
        <v>193</v>
      </c>
      <c r="X21" s="31" t="s">
        <v>474</v>
      </c>
      <c r="Y21" s="31" t="s">
        <v>474</v>
      </c>
      <c r="Z21" s="31" t="s">
        <v>474</v>
      </c>
      <c r="AA21" s="31" t="s">
        <v>474</v>
      </c>
      <c r="AB21" s="31" t="s">
        <v>474</v>
      </c>
      <c r="AC21" s="31" t="s">
        <v>193</v>
      </c>
      <c r="AD21" s="31" t="s">
        <v>474</v>
      </c>
      <c r="AE21" s="31">
        <v>3</v>
      </c>
      <c r="AF21" s="31">
        <v>11</v>
      </c>
      <c r="AG21" s="31">
        <v>274</v>
      </c>
      <c r="AH21" s="31" t="s">
        <v>474</v>
      </c>
      <c r="AI21" s="31" t="s">
        <v>193</v>
      </c>
      <c r="AJ21" s="31" t="s">
        <v>474</v>
      </c>
      <c r="AK21" s="31" t="s">
        <v>474</v>
      </c>
      <c r="AL21" s="31" t="s">
        <v>474</v>
      </c>
      <c r="AM21" s="31">
        <v>4.18</v>
      </c>
      <c r="AN21" s="31">
        <v>121</v>
      </c>
      <c r="AO21" s="31">
        <v>970</v>
      </c>
      <c r="AP21" s="31" t="s">
        <v>474</v>
      </c>
      <c r="AQ21" s="31" t="s">
        <v>474</v>
      </c>
      <c r="AR21" s="31">
        <v>30</v>
      </c>
      <c r="AS21" s="31">
        <v>100</v>
      </c>
      <c r="AT21" s="31">
        <v>0.5</v>
      </c>
      <c r="AU21" s="31">
        <v>50</v>
      </c>
      <c r="AV21" s="31">
        <v>35</v>
      </c>
      <c r="AW21" s="31" t="s">
        <v>193</v>
      </c>
      <c r="AX21" s="31" t="s">
        <v>474</v>
      </c>
      <c r="AY21" s="31" t="s">
        <v>193</v>
      </c>
      <c r="AZ21" s="31" t="s">
        <v>474</v>
      </c>
      <c r="BA21" s="31" t="s">
        <v>474</v>
      </c>
      <c r="BB21" s="31" t="s">
        <v>474</v>
      </c>
    </row>
    <row r="22" spans="1:54" ht="20.100000000000001" customHeight="1">
      <c r="A22" s="31" t="s">
        <v>488</v>
      </c>
      <c r="B22" s="31" t="s">
        <v>474</v>
      </c>
      <c r="C22" s="31" t="s">
        <v>193</v>
      </c>
      <c r="D22" s="31" t="s">
        <v>474</v>
      </c>
      <c r="E22" s="31" t="s">
        <v>437</v>
      </c>
      <c r="F22" s="31" t="s">
        <v>474</v>
      </c>
      <c r="G22" s="31" t="s">
        <v>474</v>
      </c>
      <c r="H22" s="31" t="s">
        <v>474</v>
      </c>
      <c r="I22" s="31" t="s">
        <v>474</v>
      </c>
      <c r="J22" s="31" t="s">
        <v>474</v>
      </c>
      <c r="K22" s="31" t="s">
        <v>474</v>
      </c>
      <c r="L22" s="31" t="s">
        <v>474</v>
      </c>
      <c r="M22" s="31" t="s">
        <v>474</v>
      </c>
      <c r="N22" s="31" t="s">
        <v>474</v>
      </c>
      <c r="O22" s="31" t="s">
        <v>474</v>
      </c>
      <c r="P22" s="31" t="s">
        <v>474</v>
      </c>
      <c r="Q22" s="31" t="s">
        <v>474</v>
      </c>
      <c r="R22" s="31" t="s">
        <v>474</v>
      </c>
      <c r="S22" s="31" t="s">
        <v>474</v>
      </c>
      <c r="T22" s="31" t="s">
        <v>474</v>
      </c>
      <c r="U22" s="31" t="s">
        <v>193</v>
      </c>
      <c r="V22" s="31" t="s">
        <v>474</v>
      </c>
      <c r="W22" s="31" t="s">
        <v>193</v>
      </c>
      <c r="X22" s="31" t="s">
        <v>474</v>
      </c>
      <c r="Y22" s="31" t="s">
        <v>474</v>
      </c>
      <c r="Z22" s="31" t="s">
        <v>474</v>
      </c>
      <c r="AA22" s="31" t="s">
        <v>474</v>
      </c>
      <c r="AB22" s="31" t="s">
        <v>474</v>
      </c>
      <c r="AC22" s="31" t="s">
        <v>193</v>
      </c>
      <c r="AD22" s="31" t="s">
        <v>474</v>
      </c>
      <c r="AE22" s="31">
        <v>3</v>
      </c>
      <c r="AF22" s="31">
        <v>11</v>
      </c>
      <c r="AG22" s="31">
        <v>274</v>
      </c>
      <c r="AH22" s="31" t="s">
        <v>474</v>
      </c>
      <c r="AI22" s="31" t="s">
        <v>193</v>
      </c>
      <c r="AJ22" s="31" t="s">
        <v>474</v>
      </c>
      <c r="AK22" s="31" t="s">
        <v>474</v>
      </c>
      <c r="AL22" s="31" t="s">
        <v>474</v>
      </c>
      <c r="AM22" s="31">
        <v>4.18</v>
      </c>
      <c r="AN22" s="31">
        <v>121</v>
      </c>
      <c r="AO22" s="31">
        <v>970</v>
      </c>
      <c r="AP22" s="31" t="s">
        <v>474</v>
      </c>
      <c r="AQ22" s="31" t="s">
        <v>474</v>
      </c>
      <c r="AR22" s="31">
        <v>24</v>
      </c>
      <c r="AS22" s="31">
        <v>50</v>
      </c>
      <c r="AT22" s="31">
        <v>0.5</v>
      </c>
      <c r="AU22" s="31">
        <v>50</v>
      </c>
      <c r="AV22" s="31">
        <v>32</v>
      </c>
      <c r="AW22" s="31" t="s">
        <v>193</v>
      </c>
      <c r="AX22" s="31" t="s">
        <v>474</v>
      </c>
      <c r="AY22" s="31" t="s">
        <v>193</v>
      </c>
      <c r="AZ22" s="31" t="s">
        <v>474</v>
      </c>
      <c r="BA22" s="31" t="s">
        <v>474</v>
      </c>
      <c r="BB22" s="31" t="s">
        <v>474</v>
      </c>
    </row>
    <row r="23" spans="1:54" ht="20.100000000000001" customHeight="1">
      <c r="A23" s="31" t="s">
        <v>488</v>
      </c>
      <c r="B23" s="31" t="s">
        <v>474</v>
      </c>
      <c r="C23" s="31" t="s">
        <v>193</v>
      </c>
      <c r="D23" s="31" t="s">
        <v>474</v>
      </c>
      <c r="E23" s="31" t="s">
        <v>438</v>
      </c>
      <c r="F23" s="31" t="s">
        <v>474</v>
      </c>
      <c r="G23" s="31" t="s">
        <v>474</v>
      </c>
      <c r="H23" s="31" t="s">
        <v>474</v>
      </c>
      <c r="I23" s="31" t="s">
        <v>474</v>
      </c>
      <c r="J23" s="31" t="s">
        <v>474</v>
      </c>
      <c r="K23" s="31" t="s">
        <v>474</v>
      </c>
      <c r="L23" s="31" t="s">
        <v>474</v>
      </c>
      <c r="M23" s="31" t="s">
        <v>474</v>
      </c>
      <c r="N23" s="31" t="s">
        <v>474</v>
      </c>
      <c r="O23" s="31" t="s">
        <v>474</v>
      </c>
      <c r="P23" s="31" t="s">
        <v>474</v>
      </c>
      <c r="Q23" s="31" t="s">
        <v>474</v>
      </c>
      <c r="R23" s="31" t="s">
        <v>474</v>
      </c>
      <c r="S23" s="31" t="s">
        <v>474</v>
      </c>
      <c r="T23" s="31" t="s">
        <v>474</v>
      </c>
      <c r="U23" s="31" t="s">
        <v>193</v>
      </c>
      <c r="V23" s="31" t="s">
        <v>193</v>
      </c>
      <c r="W23" s="31" t="s">
        <v>474</v>
      </c>
      <c r="X23" s="31" t="s">
        <v>474</v>
      </c>
      <c r="Y23" s="31" t="s">
        <v>474</v>
      </c>
      <c r="Z23" s="31" t="s">
        <v>474</v>
      </c>
      <c r="AA23" s="31" t="s">
        <v>474</v>
      </c>
      <c r="AB23" s="31" t="s">
        <v>474</v>
      </c>
      <c r="AC23" s="31" t="s">
        <v>193</v>
      </c>
      <c r="AD23" s="31" t="s">
        <v>474</v>
      </c>
      <c r="AE23" s="31">
        <v>3</v>
      </c>
      <c r="AF23" s="31">
        <v>11</v>
      </c>
      <c r="AG23" s="31">
        <v>274</v>
      </c>
      <c r="AH23" s="31" t="s">
        <v>474</v>
      </c>
      <c r="AI23" s="31" t="s">
        <v>193</v>
      </c>
      <c r="AJ23" s="31" t="s">
        <v>474</v>
      </c>
      <c r="AK23" s="31" t="s">
        <v>474</v>
      </c>
      <c r="AL23" s="31" t="s">
        <v>474</v>
      </c>
      <c r="AM23" s="31">
        <v>6.22</v>
      </c>
      <c r="AN23" s="31">
        <v>180</v>
      </c>
      <c r="AO23" s="46">
        <v>1443</v>
      </c>
      <c r="AP23" s="31" t="s">
        <v>474</v>
      </c>
      <c r="AQ23" s="31" t="s">
        <v>474</v>
      </c>
      <c r="AR23" s="31">
        <v>30</v>
      </c>
      <c r="AS23" s="31">
        <v>50</v>
      </c>
      <c r="AT23" s="31">
        <v>0.5</v>
      </c>
      <c r="AU23" s="31">
        <v>40</v>
      </c>
      <c r="AV23" s="31">
        <v>40</v>
      </c>
      <c r="AW23" s="31" t="s">
        <v>193</v>
      </c>
      <c r="AX23" s="31" t="s">
        <v>474</v>
      </c>
      <c r="AY23" s="31" t="s">
        <v>193</v>
      </c>
      <c r="AZ23" s="31" t="s">
        <v>474</v>
      </c>
      <c r="BA23" s="31" t="s">
        <v>474</v>
      </c>
      <c r="BB23" s="31" t="s">
        <v>474</v>
      </c>
    </row>
    <row r="24" spans="1:54" ht="20.100000000000001" customHeight="1">
      <c r="A24" s="31" t="s">
        <v>488</v>
      </c>
      <c r="B24" s="31" t="s">
        <v>474</v>
      </c>
      <c r="C24" s="31" t="s">
        <v>193</v>
      </c>
      <c r="D24" s="31" t="s">
        <v>474</v>
      </c>
      <c r="E24" s="31" t="s">
        <v>439</v>
      </c>
      <c r="F24" s="31" t="s">
        <v>474</v>
      </c>
      <c r="G24" s="31" t="s">
        <v>474</v>
      </c>
      <c r="H24" s="31" t="s">
        <v>474</v>
      </c>
      <c r="I24" s="31" t="s">
        <v>474</v>
      </c>
      <c r="J24" s="31" t="s">
        <v>474</v>
      </c>
      <c r="K24" s="31" t="s">
        <v>474</v>
      </c>
      <c r="L24" s="31" t="s">
        <v>474</v>
      </c>
      <c r="M24" s="31" t="s">
        <v>474</v>
      </c>
      <c r="N24" s="31" t="s">
        <v>474</v>
      </c>
      <c r="O24" s="31" t="s">
        <v>474</v>
      </c>
      <c r="P24" s="31" t="s">
        <v>474</v>
      </c>
      <c r="Q24" s="31" t="s">
        <v>474</v>
      </c>
      <c r="R24" s="31" t="s">
        <v>474</v>
      </c>
      <c r="S24" s="31" t="s">
        <v>474</v>
      </c>
      <c r="T24" s="31" t="s">
        <v>474</v>
      </c>
      <c r="U24" s="31" t="s">
        <v>193</v>
      </c>
      <c r="V24" s="31" t="s">
        <v>193</v>
      </c>
      <c r="W24" s="31" t="s">
        <v>474</v>
      </c>
      <c r="X24" s="31" t="s">
        <v>474</v>
      </c>
      <c r="Y24" s="31" t="s">
        <v>474</v>
      </c>
      <c r="Z24" s="31" t="s">
        <v>474</v>
      </c>
      <c r="AA24" s="31" t="s">
        <v>474</v>
      </c>
      <c r="AB24" s="31" t="s">
        <v>474</v>
      </c>
      <c r="AC24" s="31" t="s">
        <v>193</v>
      </c>
      <c r="AD24" s="31" t="s">
        <v>474</v>
      </c>
      <c r="AE24" s="31">
        <v>3</v>
      </c>
      <c r="AF24" s="31">
        <v>11</v>
      </c>
      <c r="AG24" s="31">
        <v>274</v>
      </c>
      <c r="AH24" s="31" t="s">
        <v>474</v>
      </c>
      <c r="AI24" s="31" t="s">
        <v>193</v>
      </c>
      <c r="AJ24" s="31" t="s">
        <v>474</v>
      </c>
      <c r="AK24" s="31" t="s">
        <v>474</v>
      </c>
      <c r="AL24" s="31" t="s">
        <v>474</v>
      </c>
      <c r="AM24" s="31">
        <v>6.92</v>
      </c>
      <c r="AN24" s="31">
        <v>201</v>
      </c>
      <c r="AO24" s="46">
        <v>1605</v>
      </c>
      <c r="AP24" s="31" t="s">
        <v>474</v>
      </c>
      <c r="AQ24" s="31" t="s">
        <v>474</v>
      </c>
      <c r="AR24" s="31">
        <v>100</v>
      </c>
      <c r="AS24" s="31">
        <v>150</v>
      </c>
      <c r="AT24" s="31">
        <v>2</v>
      </c>
      <c r="AU24" s="31">
        <v>90</v>
      </c>
      <c r="AV24" s="31">
        <v>25</v>
      </c>
      <c r="AW24" s="31" t="s">
        <v>193</v>
      </c>
      <c r="AX24" s="31" t="s">
        <v>474</v>
      </c>
      <c r="AY24" s="31" t="s">
        <v>193</v>
      </c>
      <c r="AZ24" s="31" t="s">
        <v>474</v>
      </c>
      <c r="BA24" s="31" t="s">
        <v>474</v>
      </c>
      <c r="BB24" s="31" t="s">
        <v>474</v>
      </c>
    </row>
    <row r="25" spans="1:54" ht="20.100000000000001" customHeight="1">
      <c r="A25" s="31" t="s">
        <v>488</v>
      </c>
      <c r="B25" s="31" t="s">
        <v>474</v>
      </c>
      <c r="C25" s="31" t="s">
        <v>193</v>
      </c>
      <c r="D25" s="31" t="s">
        <v>474</v>
      </c>
      <c r="E25" s="31" t="s">
        <v>440</v>
      </c>
      <c r="F25" s="31" t="s">
        <v>474</v>
      </c>
      <c r="G25" s="31" t="s">
        <v>474</v>
      </c>
      <c r="H25" s="31" t="s">
        <v>474</v>
      </c>
      <c r="I25" s="31" t="s">
        <v>474</v>
      </c>
      <c r="J25" s="31" t="s">
        <v>474</v>
      </c>
      <c r="K25" s="31" t="s">
        <v>474</v>
      </c>
      <c r="L25" s="31" t="s">
        <v>474</v>
      </c>
      <c r="M25" s="31" t="s">
        <v>474</v>
      </c>
      <c r="N25" s="31" t="s">
        <v>474</v>
      </c>
      <c r="O25" s="31" t="s">
        <v>474</v>
      </c>
      <c r="P25" s="31" t="s">
        <v>474</v>
      </c>
      <c r="Q25" s="31" t="s">
        <v>474</v>
      </c>
      <c r="R25" s="31" t="s">
        <v>474</v>
      </c>
      <c r="S25" s="31" t="s">
        <v>474</v>
      </c>
      <c r="T25" s="31" t="s">
        <v>474</v>
      </c>
      <c r="U25" s="31" t="s">
        <v>193</v>
      </c>
      <c r="V25" s="31" t="s">
        <v>193</v>
      </c>
      <c r="W25" s="31" t="s">
        <v>474</v>
      </c>
      <c r="X25" s="31" t="s">
        <v>474</v>
      </c>
      <c r="Y25" s="31" t="s">
        <v>474</v>
      </c>
      <c r="Z25" s="31" t="s">
        <v>474</v>
      </c>
      <c r="AA25" s="31" t="s">
        <v>474</v>
      </c>
      <c r="AB25" s="31" t="s">
        <v>474</v>
      </c>
      <c r="AC25" s="31" t="s">
        <v>193</v>
      </c>
      <c r="AD25" s="31" t="s">
        <v>474</v>
      </c>
      <c r="AE25" s="31">
        <v>3</v>
      </c>
      <c r="AF25" s="31">
        <v>11</v>
      </c>
      <c r="AG25" s="31">
        <v>274</v>
      </c>
      <c r="AH25" s="31" t="s">
        <v>474</v>
      </c>
      <c r="AI25" s="31" t="s">
        <v>193</v>
      </c>
      <c r="AJ25" s="31" t="s">
        <v>474</v>
      </c>
      <c r="AK25" s="31" t="s">
        <v>474</v>
      </c>
      <c r="AL25" s="31" t="s">
        <v>474</v>
      </c>
      <c r="AM25" s="31">
        <v>6.99</v>
      </c>
      <c r="AN25" s="31">
        <v>203</v>
      </c>
      <c r="AO25" s="46">
        <v>1622</v>
      </c>
      <c r="AP25" s="31" t="s">
        <v>474</v>
      </c>
      <c r="AQ25" s="31" t="s">
        <v>474</v>
      </c>
      <c r="AR25" s="31">
        <v>100</v>
      </c>
      <c r="AS25" s="31">
        <v>150</v>
      </c>
      <c r="AT25" s="31">
        <v>2</v>
      </c>
      <c r="AU25" s="31">
        <v>95</v>
      </c>
      <c r="AV25" s="31">
        <v>40</v>
      </c>
      <c r="AW25" s="31" t="s">
        <v>193</v>
      </c>
      <c r="AX25" s="31" t="s">
        <v>474</v>
      </c>
      <c r="AY25" s="31" t="s">
        <v>193</v>
      </c>
      <c r="AZ25" s="31" t="s">
        <v>474</v>
      </c>
      <c r="BA25" s="31" t="s">
        <v>474</v>
      </c>
      <c r="BB25" s="31" t="s">
        <v>474</v>
      </c>
    </row>
    <row r="26" spans="1:54" ht="20.100000000000001" customHeight="1">
      <c r="A26" s="31" t="s">
        <v>488</v>
      </c>
      <c r="B26" s="31" t="s">
        <v>474</v>
      </c>
      <c r="C26" s="31" t="s">
        <v>193</v>
      </c>
      <c r="D26" s="31" t="s">
        <v>474</v>
      </c>
      <c r="E26" s="31" t="s">
        <v>441</v>
      </c>
      <c r="F26" s="31" t="s">
        <v>474</v>
      </c>
      <c r="G26" s="31" t="s">
        <v>474</v>
      </c>
      <c r="H26" s="31" t="s">
        <v>474</v>
      </c>
      <c r="I26" s="31" t="s">
        <v>474</v>
      </c>
      <c r="J26" s="31" t="s">
        <v>474</v>
      </c>
      <c r="K26" s="31" t="s">
        <v>474</v>
      </c>
      <c r="L26" s="31" t="s">
        <v>474</v>
      </c>
      <c r="M26" s="31" t="s">
        <v>474</v>
      </c>
      <c r="N26" s="31" t="s">
        <v>474</v>
      </c>
      <c r="O26" s="31" t="s">
        <v>474</v>
      </c>
      <c r="P26" s="31" t="s">
        <v>474</v>
      </c>
      <c r="Q26" s="31" t="s">
        <v>474</v>
      </c>
      <c r="R26" s="31" t="s">
        <v>474</v>
      </c>
      <c r="S26" s="31" t="s">
        <v>474</v>
      </c>
      <c r="T26" s="31" t="s">
        <v>474</v>
      </c>
      <c r="U26" s="31" t="s">
        <v>193</v>
      </c>
      <c r="V26" s="31" t="s">
        <v>193</v>
      </c>
      <c r="W26" s="31" t="s">
        <v>474</v>
      </c>
      <c r="X26" s="31" t="s">
        <v>474</v>
      </c>
      <c r="Y26" s="31" t="s">
        <v>474</v>
      </c>
      <c r="Z26" s="31" t="s">
        <v>474</v>
      </c>
      <c r="AA26" s="31" t="s">
        <v>474</v>
      </c>
      <c r="AB26" s="31" t="s">
        <v>474</v>
      </c>
      <c r="AC26" s="31" t="s">
        <v>193</v>
      </c>
      <c r="AD26" s="31" t="s">
        <v>474</v>
      </c>
      <c r="AE26" s="31">
        <v>3</v>
      </c>
      <c r="AF26" s="31">
        <v>11</v>
      </c>
      <c r="AG26" s="31">
        <v>274</v>
      </c>
      <c r="AH26" s="31" t="s">
        <v>474</v>
      </c>
      <c r="AI26" s="31" t="s">
        <v>193</v>
      </c>
      <c r="AJ26" s="31" t="s">
        <v>474</v>
      </c>
      <c r="AK26" s="31" t="s">
        <v>474</v>
      </c>
      <c r="AL26" s="31" t="s">
        <v>474</v>
      </c>
      <c r="AM26" s="31">
        <v>6.08</v>
      </c>
      <c r="AN26" s="31">
        <v>176</v>
      </c>
      <c r="AO26" s="46">
        <v>1411</v>
      </c>
      <c r="AP26" s="31" t="s">
        <v>474</v>
      </c>
      <c r="AQ26" s="31" t="s">
        <v>474</v>
      </c>
      <c r="AR26" s="31">
        <v>27</v>
      </c>
      <c r="AS26" s="31">
        <v>50</v>
      </c>
      <c r="AT26" s="31">
        <v>0.5</v>
      </c>
      <c r="AU26" s="31">
        <v>30</v>
      </c>
      <c r="AV26" s="31">
        <v>35</v>
      </c>
      <c r="AW26" s="31" t="s">
        <v>193</v>
      </c>
      <c r="AX26" s="31" t="s">
        <v>474</v>
      </c>
      <c r="AY26" s="31" t="s">
        <v>193</v>
      </c>
      <c r="AZ26" s="31" t="s">
        <v>474</v>
      </c>
      <c r="BA26" s="31" t="s">
        <v>474</v>
      </c>
      <c r="BB26" s="31" t="s">
        <v>474</v>
      </c>
    </row>
    <row r="27" spans="1:54" ht="20.100000000000001" customHeight="1">
      <c r="A27" s="31" t="s">
        <v>488</v>
      </c>
      <c r="B27" s="31" t="s">
        <v>474</v>
      </c>
      <c r="C27" s="31" t="s">
        <v>193</v>
      </c>
      <c r="D27" s="31" t="s">
        <v>474</v>
      </c>
      <c r="E27" s="31" t="s">
        <v>442</v>
      </c>
      <c r="F27" s="31" t="s">
        <v>474</v>
      </c>
      <c r="G27" s="31" t="s">
        <v>474</v>
      </c>
      <c r="H27" s="31" t="s">
        <v>474</v>
      </c>
      <c r="I27" s="31" t="s">
        <v>474</v>
      </c>
      <c r="J27" s="31" t="s">
        <v>474</v>
      </c>
      <c r="K27" s="31" t="s">
        <v>474</v>
      </c>
      <c r="L27" s="31" t="s">
        <v>474</v>
      </c>
      <c r="M27" s="31" t="s">
        <v>474</v>
      </c>
      <c r="N27" s="31" t="s">
        <v>474</v>
      </c>
      <c r="O27" s="31" t="s">
        <v>474</v>
      </c>
      <c r="P27" s="31" t="s">
        <v>474</v>
      </c>
      <c r="Q27" s="31" t="s">
        <v>474</v>
      </c>
      <c r="R27" s="31" t="s">
        <v>474</v>
      </c>
      <c r="S27" s="31" t="s">
        <v>474</v>
      </c>
      <c r="T27" s="31" t="s">
        <v>474</v>
      </c>
      <c r="U27" s="31" t="s">
        <v>193</v>
      </c>
      <c r="V27" s="31" t="s">
        <v>193</v>
      </c>
      <c r="W27" s="31" t="s">
        <v>474</v>
      </c>
      <c r="X27" s="31" t="s">
        <v>474</v>
      </c>
      <c r="Y27" s="31" t="s">
        <v>474</v>
      </c>
      <c r="Z27" s="31" t="s">
        <v>474</v>
      </c>
      <c r="AA27" s="31" t="s">
        <v>474</v>
      </c>
      <c r="AB27" s="31" t="s">
        <v>474</v>
      </c>
      <c r="AC27" s="31" t="s">
        <v>193</v>
      </c>
      <c r="AD27" s="31" t="s">
        <v>474</v>
      </c>
      <c r="AE27" s="31">
        <v>3</v>
      </c>
      <c r="AF27" s="31">
        <v>11</v>
      </c>
      <c r="AG27" s="31">
        <v>274</v>
      </c>
      <c r="AH27" s="31" t="s">
        <v>474</v>
      </c>
      <c r="AI27" s="31" t="s">
        <v>193</v>
      </c>
      <c r="AJ27" s="31" t="s">
        <v>474</v>
      </c>
      <c r="AK27" s="31" t="s">
        <v>474</v>
      </c>
      <c r="AL27" s="31" t="s">
        <v>474</v>
      </c>
      <c r="AM27" s="31">
        <v>6.08</v>
      </c>
      <c r="AN27" s="31">
        <v>176</v>
      </c>
      <c r="AO27" s="46">
        <v>1411</v>
      </c>
      <c r="AP27" s="31" t="s">
        <v>474</v>
      </c>
      <c r="AQ27" s="31" t="s">
        <v>474</v>
      </c>
      <c r="AR27" s="31">
        <v>30</v>
      </c>
      <c r="AS27" s="31">
        <v>50</v>
      </c>
      <c r="AT27" s="31">
        <v>0.5</v>
      </c>
      <c r="AU27" s="31">
        <v>30</v>
      </c>
      <c r="AV27" s="31">
        <v>15</v>
      </c>
      <c r="AW27" s="31" t="s">
        <v>193</v>
      </c>
      <c r="AX27" s="31" t="s">
        <v>474</v>
      </c>
      <c r="AY27" s="31" t="s">
        <v>193</v>
      </c>
      <c r="AZ27" s="31" t="s">
        <v>474</v>
      </c>
      <c r="BA27" s="31" t="s">
        <v>474</v>
      </c>
      <c r="BB27" s="31" t="s">
        <v>474</v>
      </c>
    </row>
    <row r="28" spans="1:54" ht="20.100000000000001" customHeight="1">
      <c r="A28" s="31" t="s">
        <v>488</v>
      </c>
      <c r="B28" s="31" t="s">
        <v>474</v>
      </c>
      <c r="C28" s="31" t="s">
        <v>193</v>
      </c>
      <c r="D28" s="31" t="s">
        <v>474</v>
      </c>
      <c r="E28" s="31" t="s">
        <v>443</v>
      </c>
      <c r="F28" s="31" t="s">
        <v>474</v>
      </c>
      <c r="G28" s="31" t="s">
        <v>474</v>
      </c>
      <c r="H28" s="31" t="s">
        <v>474</v>
      </c>
      <c r="I28" s="31" t="s">
        <v>474</v>
      </c>
      <c r="J28" s="31" t="s">
        <v>474</v>
      </c>
      <c r="K28" s="31" t="s">
        <v>474</v>
      </c>
      <c r="L28" s="31" t="s">
        <v>474</v>
      </c>
      <c r="M28" s="31" t="s">
        <v>474</v>
      </c>
      <c r="N28" s="31" t="s">
        <v>474</v>
      </c>
      <c r="O28" s="31" t="s">
        <v>474</v>
      </c>
      <c r="P28" s="31" t="s">
        <v>474</v>
      </c>
      <c r="Q28" s="31" t="s">
        <v>474</v>
      </c>
      <c r="R28" s="31" t="s">
        <v>474</v>
      </c>
      <c r="S28" s="31" t="s">
        <v>474</v>
      </c>
      <c r="T28" s="31" t="s">
        <v>474</v>
      </c>
      <c r="U28" s="31" t="s">
        <v>193</v>
      </c>
      <c r="V28" s="31" t="s">
        <v>474</v>
      </c>
      <c r="W28" s="31" t="s">
        <v>193</v>
      </c>
      <c r="X28" s="31" t="s">
        <v>474</v>
      </c>
      <c r="Y28" s="31" t="s">
        <v>474</v>
      </c>
      <c r="Z28" s="31" t="s">
        <v>474</v>
      </c>
      <c r="AA28" s="31" t="s">
        <v>474</v>
      </c>
      <c r="AB28" s="31" t="s">
        <v>474</v>
      </c>
      <c r="AC28" s="31" t="s">
        <v>193</v>
      </c>
      <c r="AD28" s="31" t="s">
        <v>474</v>
      </c>
      <c r="AE28" s="31">
        <v>3</v>
      </c>
      <c r="AF28" s="31">
        <v>11</v>
      </c>
      <c r="AG28" s="31">
        <v>274</v>
      </c>
      <c r="AH28" s="31" t="s">
        <v>474</v>
      </c>
      <c r="AI28" s="31" t="s">
        <v>193</v>
      </c>
      <c r="AJ28" s="31" t="s">
        <v>474</v>
      </c>
      <c r="AK28" s="31" t="s">
        <v>474</v>
      </c>
      <c r="AL28" s="31" t="s">
        <v>474</v>
      </c>
      <c r="AM28" s="31">
        <v>4.18</v>
      </c>
      <c r="AN28" s="31">
        <v>121</v>
      </c>
      <c r="AO28" s="31">
        <v>970</v>
      </c>
      <c r="AP28" s="31" t="s">
        <v>474</v>
      </c>
      <c r="AQ28" s="31" t="s">
        <v>474</v>
      </c>
      <c r="AR28" s="31">
        <v>30</v>
      </c>
      <c r="AS28" s="31">
        <v>50</v>
      </c>
      <c r="AT28" s="31">
        <v>0.5</v>
      </c>
      <c r="AU28" s="31">
        <v>50</v>
      </c>
      <c r="AV28" s="31">
        <v>32</v>
      </c>
      <c r="AW28" s="31" t="s">
        <v>193</v>
      </c>
      <c r="AX28" s="31" t="s">
        <v>474</v>
      </c>
      <c r="AY28" s="31" t="s">
        <v>193</v>
      </c>
      <c r="AZ28" s="31" t="s">
        <v>474</v>
      </c>
      <c r="BA28" s="31" t="s">
        <v>474</v>
      </c>
      <c r="BB28" s="31" t="s">
        <v>474</v>
      </c>
    </row>
    <row r="29" spans="1:54" ht="20.100000000000001" customHeight="1">
      <c r="A29" s="31" t="s">
        <v>488</v>
      </c>
      <c r="B29" s="31" t="s">
        <v>474</v>
      </c>
      <c r="C29" s="31" t="s">
        <v>193</v>
      </c>
      <c r="D29" s="31" t="s">
        <v>474</v>
      </c>
      <c r="E29" s="31" t="s">
        <v>444</v>
      </c>
      <c r="F29" s="31" t="s">
        <v>474</v>
      </c>
      <c r="G29" s="31" t="s">
        <v>474</v>
      </c>
      <c r="H29" s="31" t="s">
        <v>474</v>
      </c>
      <c r="I29" s="31" t="s">
        <v>474</v>
      </c>
      <c r="J29" s="31" t="s">
        <v>474</v>
      </c>
      <c r="K29" s="31" t="s">
        <v>474</v>
      </c>
      <c r="L29" s="31" t="s">
        <v>474</v>
      </c>
      <c r="M29" s="31" t="s">
        <v>474</v>
      </c>
      <c r="N29" s="31" t="s">
        <v>474</v>
      </c>
      <c r="O29" s="31" t="s">
        <v>474</v>
      </c>
      <c r="P29" s="31" t="s">
        <v>474</v>
      </c>
      <c r="Q29" s="31" t="s">
        <v>474</v>
      </c>
      <c r="R29" s="31" t="s">
        <v>474</v>
      </c>
      <c r="S29" s="31" t="s">
        <v>474</v>
      </c>
      <c r="T29" s="31" t="s">
        <v>474</v>
      </c>
      <c r="U29" s="31" t="s">
        <v>193</v>
      </c>
      <c r="V29" s="31" t="s">
        <v>474</v>
      </c>
      <c r="W29" s="31" t="s">
        <v>193</v>
      </c>
      <c r="X29" s="31" t="s">
        <v>474</v>
      </c>
      <c r="Y29" s="31" t="s">
        <v>474</v>
      </c>
      <c r="Z29" s="31" t="s">
        <v>474</v>
      </c>
      <c r="AA29" s="31" t="s">
        <v>474</v>
      </c>
      <c r="AB29" s="31" t="s">
        <v>474</v>
      </c>
      <c r="AC29" s="31" t="s">
        <v>193</v>
      </c>
      <c r="AD29" s="31" t="s">
        <v>474</v>
      </c>
      <c r="AE29" s="31">
        <v>3</v>
      </c>
      <c r="AF29" s="31">
        <v>11</v>
      </c>
      <c r="AG29" s="31">
        <v>274</v>
      </c>
      <c r="AH29" s="31" t="s">
        <v>474</v>
      </c>
      <c r="AI29" s="31" t="s">
        <v>193</v>
      </c>
      <c r="AJ29" s="31" t="s">
        <v>474</v>
      </c>
      <c r="AK29" s="31" t="s">
        <v>474</v>
      </c>
      <c r="AL29" s="31" t="s">
        <v>474</v>
      </c>
      <c r="AM29" s="31">
        <v>5.5</v>
      </c>
      <c r="AN29" s="31">
        <v>160</v>
      </c>
      <c r="AO29" s="46">
        <v>1276</v>
      </c>
      <c r="AP29" s="31" t="s">
        <v>474</v>
      </c>
      <c r="AQ29" s="31" t="s">
        <v>474</v>
      </c>
      <c r="AR29" s="31">
        <v>30</v>
      </c>
      <c r="AS29" s="31">
        <v>50</v>
      </c>
      <c r="AT29" s="31">
        <v>0.5</v>
      </c>
      <c r="AU29" s="31">
        <v>80</v>
      </c>
      <c r="AV29" s="31">
        <v>32</v>
      </c>
      <c r="AW29" s="31" t="s">
        <v>193</v>
      </c>
      <c r="AX29" s="31" t="s">
        <v>474</v>
      </c>
      <c r="AY29" s="31" t="s">
        <v>193</v>
      </c>
      <c r="AZ29" s="31" t="s">
        <v>474</v>
      </c>
      <c r="BA29" s="31" t="s">
        <v>474</v>
      </c>
      <c r="BB29" s="31" t="s">
        <v>474</v>
      </c>
    </row>
    <row r="30" spans="1:54" ht="20.100000000000001" customHeight="1">
      <c r="A30" s="31" t="s">
        <v>488</v>
      </c>
      <c r="B30" s="31" t="s">
        <v>474</v>
      </c>
      <c r="C30" s="31" t="s">
        <v>193</v>
      </c>
      <c r="D30" s="31" t="s">
        <v>474</v>
      </c>
      <c r="E30" s="31" t="s">
        <v>445</v>
      </c>
      <c r="F30" s="31" t="s">
        <v>474</v>
      </c>
      <c r="G30" s="31" t="s">
        <v>474</v>
      </c>
      <c r="H30" s="31" t="s">
        <v>474</v>
      </c>
      <c r="I30" s="31" t="s">
        <v>474</v>
      </c>
      <c r="J30" s="31" t="s">
        <v>474</v>
      </c>
      <c r="K30" s="31" t="s">
        <v>474</v>
      </c>
      <c r="L30" s="31" t="s">
        <v>474</v>
      </c>
      <c r="M30" s="31" t="s">
        <v>474</v>
      </c>
      <c r="N30" s="31" t="s">
        <v>474</v>
      </c>
      <c r="O30" s="31" t="s">
        <v>474</v>
      </c>
      <c r="P30" s="31" t="s">
        <v>474</v>
      </c>
      <c r="Q30" s="31" t="s">
        <v>474</v>
      </c>
      <c r="R30" s="31" t="s">
        <v>474</v>
      </c>
      <c r="S30" s="31" t="s">
        <v>474</v>
      </c>
      <c r="T30" s="31" t="s">
        <v>474</v>
      </c>
      <c r="U30" s="31" t="s">
        <v>193</v>
      </c>
      <c r="V30" s="31" t="s">
        <v>474</v>
      </c>
      <c r="W30" s="31" t="s">
        <v>193</v>
      </c>
      <c r="X30" s="31" t="s">
        <v>474</v>
      </c>
      <c r="Y30" s="31" t="s">
        <v>474</v>
      </c>
      <c r="Z30" s="31" t="s">
        <v>474</v>
      </c>
      <c r="AA30" s="31" t="s">
        <v>474</v>
      </c>
      <c r="AB30" s="31" t="s">
        <v>474</v>
      </c>
      <c r="AC30" s="31" t="s">
        <v>193</v>
      </c>
      <c r="AD30" s="31" t="s">
        <v>474</v>
      </c>
      <c r="AE30" s="31">
        <v>3</v>
      </c>
      <c r="AF30" s="31">
        <v>11</v>
      </c>
      <c r="AG30" s="31">
        <v>274</v>
      </c>
      <c r="AH30" s="31" t="s">
        <v>474</v>
      </c>
      <c r="AI30" s="31" t="s">
        <v>193</v>
      </c>
      <c r="AJ30" s="31" t="s">
        <v>474</v>
      </c>
      <c r="AK30" s="31" t="s">
        <v>474</v>
      </c>
      <c r="AL30" s="31" t="s">
        <v>474</v>
      </c>
      <c r="AM30" s="31">
        <v>4.18</v>
      </c>
      <c r="AN30" s="31">
        <v>121</v>
      </c>
      <c r="AO30" s="31">
        <v>970</v>
      </c>
      <c r="AP30" s="31" t="s">
        <v>474</v>
      </c>
      <c r="AQ30" s="31" t="s">
        <v>474</v>
      </c>
      <c r="AR30" s="31">
        <v>20</v>
      </c>
      <c r="AS30" s="31">
        <v>50</v>
      </c>
      <c r="AT30" s="31">
        <v>0.3</v>
      </c>
      <c r="AU30" s="31">
        <v>50</v>
      </c>
      <c r="AV30" s="31">
        <v>20</v>
      </c>
      <c r="AW30" s="31" t="s">
        <v>193</v>
      </c>
      <c r="AX30" s="31" t="s">
        <v>474</v>
      </c>
      <c r="AY30" s="31" t="s">
        <v>193</v>
      </c>
      <c r="AZ30" s="31" t="s">
        <v>474</v>
      </c>
      <c r="BA30" s="31" t="s">
        <v>474</v>
      </c>
      <c r="BB30" s="31" t="s">
        <v>474</v>
      </c>
    </row>
    <row r="31" spans="1:54" ht="20.100000000000001" customHeight="1">
      <c r="A31" s="31" t="s">
        <v>488</v>
      </c>
      <c r="B31" s="31" t="s">
        <v>474</v>
      </c>
      <c r="C31" s="31" t="s">
        <v>193</v>
      </c>
      <c r="D31" s="31" t="s">
        <v>474</v>
      </c>
      <c r="E31" s="31" t="s">
        <v>446</v>
      </c>
      <c r="F31" s="31" t="s">
        <v>474</v>
      </c>
      <c r="G31" s="31" t="s">
        <v>474</v>
      </c>
      <c r="H31" s="31" t="s">
        <v>474</v>
      </c>
      <c r="I31" s="31" t="s">
        <v>474</v>
      </c>
      <c r="J31" s="31" t="s">
        <v>474</v>
      </c>
      <c r="K31" s="31" t="s">
        <v>474</v>
      </c>
      <c r="L31" s="31" t="s">
        <v>474</v>
      </c>
      <c r="M31" s="31" t="s">
        <v>474</v>
      </c>
      <c r="N31" s="31" t="s">
        <v>474</v>
      </c>
      <c r="O31" s="31" t="s">
        <v>474</v>
      </c>
      <c r="P31" s="31" t="s">
        <v>474</v>
      </c>
      <c r="Q31" s="31" t="s">
        <v>474</v>
      </c>
      <c r="R31" s="31" t="s">
        <v>474</v>
      </c>
      <c r="S31" s="31" t="s">
        <v>474</v>
      </c>
      <c r="T31" s="31" t="s">
        <v>474</v>
      </c>
      <c r="U31" s="31" t="s">
        <v>193</v>
      </c>
      <c r="V31" s="31" t="s">
        <v>474</v>
      </c>
      <c r="W31" s="31" t="s">
        <v>193</v>
      </c>
      <c r="X31" s="31" t="s">
        <v>474</v>
      </c>
      <c r="Y31" s="31" t="s">
        <v>474</v>
      </c>
      <c r="Z31" s="31" t="s">
        <v>474</v>
      </c>
      <c r="AA31" s="31" t="s">
        <v>474</v>
      </c>
      <c r="AB31" s="31" t="s">
        <v>474</v>
      </c>
      <c r="AC31" s="31" t="s">
        <v>193</v>
      </c>
      <c r="AD31" s="31" t="s">
        <v>474</v>
      </c>
      <c r="AE31" s="31">
        <v>3</v>
      </c>
      <c r="AF31" s="31">
        <v>11</v>
      </c>
      <c r="AG31" s="31">
        <v>274</v>
      </c>
      <c r="AH31" s="31" t="s">
        <v>474</v>
      </c>
      <c r="AI31" s="31" t="s">
        <v>193</v>
      </c>
      <c r="AJ31" s="31" t="s">
        <v>474</v>
      </c>
      <c r="AK31" s="31" t="s">
        <v>474</v>
      </c>
      <c r="AL31" s="31" t="s">
        <v>474</v>
      </c>
      <c r="AM31" s="31">
        <v>4.18</v>
      </c>
      <c r="AN31" s="31">
        <v>121</v>
      </c>
      <c r="AO31" s="31">
        <v>970</v>
      </c>
      <c r="AP31" s="31" t="s">
        <v>474</v>
      </c>
      <c r="AQ31" s="31" t="s">
        <v>474</v>
      </c>
      <c r="AR31" s="31">
        <v>20</v>
      </c>
      <c r="AS31" s="31">
        <v>50</v>
      </c>
      <c r="AT31" s="31">
        <v>0.5</v>
      </c>
      <c r="AU31" s="31">
        <v>50</v>
      </c>
      <c r="AV31" s="31">
        <v>30</v>
      </c>
      <c r="AW31" s="31" t="s">
        <v>193</v>
      </c>
      <c r="AX31" s="31" t="s">
        <v>474</v>
      </c>
      <c r="AY31" s="31" t="s">
        <v>193</v>
      </c>
      <c r="AZ31" s="31" t="s">
        <v>474</v>
      </c>
      <c r="BA31" s="31" t="s">
        <v>474</v>
      </c>
      <c r="BB31" s="31" t="s">
        <v>474</v>
      </c>
    </row>
    <row r="32" spans="1:54" ht="20.100000000000001" customHeight="1">
      <c r="A32" s="31" t="s">
        <v>488</v>
      </c>
      <c r="B32" s="31" t="s">
        <v>193</v>
      </c>
      <c r="C32" s="31" t="s">
        <v>474</v>
      </c>
      <c r="D32" s="31" t="s">
        <v>474</v>
      </c>
      <c r="E32" s="31" t="s">
        <v>447</v>
      </c>
      <c r="F32" s="31" t="s">
        <v>474</v>
      </c>
      <c r="G32" s="31" t="s">
        <v>474</v>
      </c>
      <c r="H32" s="31" t="s">
        <v>474</v>
      </c>
      <c r="I32" s="31" t="s">
        <v>474</v>
      </c>
      <c r="J32" s="31" t="s">
        <v>474</v>
      </c>
      <c r="K32" s="31" t="s">
        <v>474</v>
      </c>
      <c r="L32" s="31" t="s">
        <v>474</v>
      </c>
      <c r="M32" s="31" t="s">
        <v>474</v>
      </c>
      <c r="N32" s="31" t="s">
        <v>474</v>
      </c>
      <c r="O32" s="31" t="s">
        <v>474</v>
      </c>
      <c r="P32" s="31" t="s">
        <v>474</v>
      </c>
      <c r="Q32" s="31" t="s">
        <v>474</v>
      </c>
      <c r="R32" s="31" t="s">
        <v>474</v>
      </c>
      <c r="S32" s="31" t="s">
        <v>474</v>
      </c>
      <c r="T32" s="31" t="s">
        <v>474</v>
      </c>
      <c r="U32" s="31" t="s">
        <v>193</v>
      </c>
      <c r="V32" s="31" t="s">
        <v>474</v>
      </c>
      <c r="W32" s="31" t="s">
        <v>193</v>
      </c>
      <c r="X32" s="31" t="s">
        <v>474</v>
      </c>
      <c r="Y32" s="31" t="s">
        <v>474</v>
      </c>
      <c r="Z32" s="31" t="s">
        <v>474</v>
      </c>
      <c r="AA32" s="31" t="s">
        <v>474</v>
      </c>
      <c r="AB32" s="31" t="s">
        <v>193</v>
      </c>
      <c r="AC32" s="31" t="s">
        <v>474</v>
      </c>
      <c r="AD32" s="31" t="s">
        <v>474</v>
      </c>
      <c r="AE32" s="31">
        <v>3</v>
      </c>
      <c r="AF32" s="31">
        <v>11</v>
      </c>
      <c r="AG32" s="31">
        <v>274</v>
      </c>
      <c r="AH32" s="31" t="s">
        <v>474</v>
      </c>
      <c r="AI32" s="31" t="s">
        <v>193</v>
      </c>
      <c r="AJ32" s="31" t="s">
        <v>474</v>
      </c>
      <c r="AK32" s="31" t="s">
        <v>474</v>
      </c>
      <c r="AL32" s="31" t="s">
        <v>474</v>
      </c>
      <c r="AM32" s="31">
        <v>9.4600000000000009</v>
      </c>
      <c r="AN32" s="31">
        <v>274</v>
      </c>
      <c r="AO32" s="46">
        <v>2195</v>
      </c>
      <c r="AP32" s="31" t="s">
        <v>474</v>
      </c>
      <c r="AQ32" s="31" t="s">
        <v>474</v>
      </c>
      <c r="AR32" s="31">
        <v>60</v>
      </c>
      <c r="AS32" s="31">
        <v>250</v>
      </c>
      <c r="AT32" s="31">
        <v>5</v>
      </c>
      <c r="AU32" s="31">
        <v>170</v>
      </c>
      <c r="AV32" s="31">
        <v>50</v>
      </c>
      <c r="AW32" s="31" t="s">
        <v>193</v>
      </c>
      <c r="AX32" s="31" t="s">
        <v>193</v>
      </c>
      <c r="AY32" s="31" t="s">
        <v>193</v>
      </c>
      <c r="AZ32" s="31" t="s">
        <v>193</v>
      </c>
      <c r="BA32" s="31" t="s">
        <v>193</v>
      </c>
      <c r="BB32" s="31" t="s">
        <v>474</v>
      </c>
    </row>
    <row r="33" spans="1:54" ht="20.100000000000001" customHeight="1">
      <c r="A33" s="31" t="s">
        <v>488</v>
      </c>
      <c r="B33" s="31" t="s">
        <v>474</v>
      </c>
      <c r="C33" s="31" t="s">
        <v>193</v>
      </c>
      <c r="D33" s="31" t="s">
        <v>474</v>
      </c>
      <c r="E33" s="31" t="s">
        <v>448</v>
      </c>
      <c r="F33" s="31" t="s">
        <v>474</v>
      </c>
      <c r="G33" s="31" t="s">
        <v>474</v>
      </c>
      <c r="H33" s="31" t="s">
        <v>474</v>
      </c>
      <c r="I33" s="31" t="s">
        <v>474</v>
      </c>
      <c r="J33" s="31" t="s">
        <v>474</v>
      </c>
      <c r="K33" s="31" t="s">
        <v>474</v>
      </c>
      <c r="L33" s="31" t="s">
        <v>474</v>
      </c>
      <c r="M33" s="31" t="s">
        <v>474</v>
      </c>
      <c r="N33" s="31" t="s">
        <v>474</v>
      </c>
      <c r="O33" s="31" t="s">
        <v>474</v>
      </c>
      <c r="P33" s="31" t="s">
        <v>474</v>
      </c>
      <c r="Q33" s="31" t="s">
        <v>474</v>
      </c>
      <c r="R33" s="31" t="s">
        <v>474</v>
      </c>
      <c r="S33" s="31" t="s">
        <v>474</v>
      </c>
      <c r="T33" s="31" t="s">
        <v>474</v>
      </c>
      <c r="U33" s="31" t="s">
        <v>193</v>
      </c>
      <c r="V33" s="31" t="s">
        <v>474</v>
      </c>
      <c r="W33" s="31" t="s">
        <v>474</v>
      </c>
      <c r="X33" s="31" t="s">
        <v>193</v>
      </c>
      <c r="Y33" s="31" t="s">
        <v>474</v>
      </c>
      <c r="Z33" s="31" t="s">
        <v>474</v>
      </c>
      <c r="AA33" s="31" t="s">
        <v>474</v>
      </c>
      <c r="AB33" s="31" t="s">
        <v>474</v>
      </c>
      <c r="AC33" s="31" t="s">
        <v>193</v>
      </c>
      <c r="AD33" s="31" t="s">
        <v>474</v>
      </c>
      <c r="AE33" s="31">
        <v>3</v>
      </c>
      <c r="AF33" s="31">
        <v>11</v>
      </c>
      <c r="AG33" s="31">
        <v>274</v>
      </c>
      <c r="AH33" s="31" t="s">
        <v>474</v>
      </c>
      <c r="AI33" s="31" t="s">
        <v>193</v>
      </c>
      <c r="AJ33" s="31" t="s">
        <v>474</v>
      </c>
      <c r="AK33" s="31" t="s">
        <v>474</v>
      </c>
      <c r="AL33" s="31" t="s">
        <v>474</v>
      </c>
      <c r="AM33" s="31">
        <v>3.34</v>
      </c>
      <c r="AN33" s="31">
        <v>97</v>
      </c>
      <c r="AO33" s="31">
        <v>775</v>
      </c>
      <c r="AP33" s="31" t="s">
        <v>474</v>
      </c>
      <c r="AQ33" s="31" t="s">
        <v>474</v>
      </c>
      <c r="AR33" s="31">
        <v>20</v>
      </c>
      <c r="AS33" s="31">
        <v>50</v>
      </c>
      <c r="AT33" s="31">
        <v>1</v>
      </c>
      <c r="AU33" s="31">
        <v>50</v>
      </c>
      <c r="AV33" s="31">
        <v>30</v>
      </c>
      <c r="AW33" s="31" t="s">
        <v>193</v>
      </c>
      <c r="AX33" s="31" t="s">
        <v>474</v>
      </c>
      <c r="AY33" s="31" t="s">
        <v>193</v>
      </c>
      <c r="AZ33" s="31" t="s">
        <v>474</v>
      </c>
      <c r="BA33" s="31" t="s">
        <v>474</v>
      </c>
      <c r="BB33" s="31" t="s">
        <v>474</v>
      </c>
    </row>
    <row r="34" spans="1:54" ht="20.100000000000001" customHeight="1">
      <c r="A34" s="31" t="s">
        <v>488</v>
      </c>
      <c r="B34" s="31" t="s">
        <v>474</v>
      </c>
      <c r="C34" s="31" t="s">
        <v>193</v>
      </c>
      <c r="D34" s="31" t="s">
        <v>474</v>
      </c>
      <c r="E34" s="31" t="s">
        <v>449</v>
      </c>
      <c r="F34" s="31" t="s">
        <v>474</v>
      </c>
      <c r="G34" s="31" t="s">
        <v>474</v>
      </c>
      <c r="H34" s="31" t="s">
        <v>474</v>
      </c>
      <c r="I34" s="31" t="s">
        <v>474</v>
      </c>
      <c r="J34" s="31" t="s">
        <v>474</v>
      </c>
      <c r="K34" s="31" t="s">
        <v>474</v>
      </c>
      <c r="L34" s="31" t="s">
        <v>474</v>
      </c>
      <c r="M34" s="31" t="s">
        <v>474</v>
      </c>
      <c r="N34" s="31" t="s">
        <v>474</v>
      </c>
      <c r="O34" s="31" t="s">
        <v>474</v>
      </c>
      <c r="P34" s="31" t="s">
        <v>474</v>
      </c>
      <c r="Q34" s="31" t="s">
        <v>474</v>
      </c>
      <c r="R34" s="31" t="s">
        <v>474</v>
      </c>
      <c r="S34" s="31" t="s">
        <v>474</v>
      </c>
      <c r="T34" s="31" t="s">
        <v>474</v>
      </c>
      <c r="U34" s="31" t="s">
        <v>193</v>
      </c>
      <c r="V34" s="31" t="s">
        <v>193</v>
      </c>
      <c r="W34" s="31" t="s">
        <v>474</v>
      </c>
      <c r="X34" s="31" t="s">
        <v>474</v>
      </c>
      <c r="Y34" s="31" t="s">
        <v>474</v>
      </c>
      <c r="Z34" s="31" t="s">
        <v>474</v>
      </c>
      <c r="AA34" s="31" t="s">
        <v>474</v>
      </c>
      <c r="AB34" s="31" t="s">
        <v>474</v>
      </c>
      <c r="AC34" s="31" t="s">
        <v>193</v>
      </c>
      <c r="AD34" s="31" t="s">
        <v>474</v>
      </c>
      <c r="AE34" s="31">
        <v>3</v>
      </c>
      <c r="AF34" s="31">
        <v>11</v>
      </c>
      <c r="AG34" s="31">
        <v>274</v>
      </c>
      <c r="AH34" s="31" t="s">
        <v>474</v>
      </c>
      <c r="AI34" s="31" t="s">
        <v>193</v>
      </c>
      <c r="AJ34" s="31" t="s">
        <v>474</v>
      </c>
      <c r="AK34" s="31" t="s">
        <v>474</v>
      </c>
      <c r="AL34" s="31" t="s">
        <v>474</v>
      </c>
      <c r="AM34" s="31">
        <v>6.08</v>
      </c>
      <c r="AN34" s="31">
        <v>176</v>
      </c>
      <c r="AO34" s="46">
        <v>1411</v>
      </c>
      <c r="AP34" s="31" t="s">
        <v>474</v>
      </c>
      <c r="AQ34" s="31" t="s">
        <v>474</v>
      </c>
      <c r="AR34" s="31">
        <v>20</v>
      </c>
      <c r="AS34" s="31">
        <v>50</v>
      </c>
      <c r="AT34" s="31">
        <v>0.5</v>
      </c>
      <c r="AU34" s="31">
        <v>30</v>
      </c>
      <c r="AV34" s="31">
        <v>50</v>
      </c>
      <c r="AW34" s="31" t="s">
        <v>193</v>
      </c>
      <c r="AX34" s="31" t="s">
        <v>474</v>
      </c>
      <c r="AY34" s="31" t="s">
        <v>193</v>
      </c>
      <c r="AZ34" s="31" t="s">
        <v>474</v>
      </c>
      <c r="BA34" s="31" t="s">
        <v>474</v>
      </c>
      <c r="BB34" s="31" t="s">
        <v>474</v>
      </c>
    </row>
    <row r="35" spans="1:54" ht="20.100000000000001" customHeight="1">
      <c r="A35" s="31" t="s">
        <v>488</v>
      </c>
      <c r="B35" s="31" t="s">
        <v>474</v>
      </c>
      <c r="C35" s="31" t="s">
        <v>193</v>
      </c>
      <c r="D35" s="31" t="s">
        <v>474</v>
      </c>
      <c r="E35" s="31" t="s">
        <v>450</v>
      </c>
      <c r="F35" s="31" t="s">
        <v>474</v>
      </c>
      <c r="G35" s="31" t="s">
        <v>474</v>
      </c>
      <c r="H35" s="31" t="s">
        <v>474</v>
      </c>
      <c r="I35" s="31" t="s">
        <v>474</v>
      </c>
      <c r="J35" s="31" t="s">
        <v>474</v>
      </c>
      <c r="K35" s="31" t="s">
        <v>474</v>
      </c>
      <c r="L35" s="31" t="s">
        <v>474</v>
      </c>
      <c r="M35" s="31" t="s">
        <v>474</v>
      </c>
      <c r="N35" s="31" t="s">
        <v>474</v>
      </c>
      <c r="O35" s="31" t="s">
        <v>474</v>
      </c>
      <c r="P35" s="31" t="s">
        <v>474</v>
      </c>
      <c r="Q35" s="31" t="s">
        <v>474</v>
      </c>
      <c r="R35" s="31" t="s">
        <v>474</v>
      </c>
      <c r="S35" s="31" t="s">
        <v>474</v>
      </c>
      <c r="T35" s="31" t="s">
        <v>474</v>
      </c>
      <c r="U35" s="31" t="s">
        <v>193</v>
      </c>
      <c r="V35" s="31" t="s">
        <v>193</v>
      </c>
      <c r="W35" s="31" t="s">
        <v>474</v>
      </c>
      <c r="X35" s="31" t="s">
        <v>474</v>
      </c>
      <c r="Y35" s="31" t="s">
        <v>474</v>
      </c>
      <c r="Z35" s="31" t="s">
        <v>474</v>
      </c>
      <c r="AA35" s="31" t="s">
        <v>474</v>
      </c>
      <c r="AB35" s="31" t="s">
        <v>474</v>
      </c>
      <c r="AC35" s="31" t="s">
        <v>193</v>
      </c>
      <c r="AD35" s="31" t="s">
        <v>474</v>
      </c>
      <c r="AE35" s="31">
        <v>3</v>
      </c>
      <c r="AF35" s="31">
        <v>11</v>
      </c>
      <c r="AG35" s="31">
        <v>274</v>
      </c>
      <c r="AH35" s="31" t="s">
        <v>474</v>
      </c>
      <c r="AI35" s="31" t="s">
        <v>193</v>
      </c>
      <c r="AJ35" s="31" t="s">
        <v>474</v>
      </c>
      <c r="AK35" s="31" t="s">
        <v>474</v>
      </c>
      <c r="AL35" s="31" t="s">
        <v>474</v>
      </c>
      <c r="AM35" s="31">
        <v>6.64</v>
      </c>
      <c r="AN35" s="31">
        <v>193</v>
      </c>
      <c r="AO35" s="46">
        <v>1540</v>
      </c>
      <c r="AP35" s="31" t="s">
        <v>474</v>
      </c>
      <c r="AQ35" s="31" t="s">
        <v>474</v>
      </c>
      <c r="AR35" s="31">
        <v>100</v>
      </c>
      <c r="AS35" s="31">
        <v>150</v>
      </c>
      <c r="AT35" s="31">
        <v>1</v>
      </c>
      <c r="AU35" s="31">
        <v>70</v>
      </c>
      <c r="AV35" s="31">
        <v>32</v>
      </c>
      <c r="AW35" s="31" t="s">
        <v>193</v>
      </c>
      <c r="AX35" s="31" t="s">
        <v>474</v>
      </c>
      <c r="AY35" s="31" t="s">
        <v>193</v>
      </c>
      <c r="AZ35" s="31" t="s">
        <v>474</v>
      </c>
      <c r="BA35" s="31" t="s">
        <v>474</v>
      </c>
      <c r="BB35" s="31" t="s">
        <v>474</v>
      </c>
    </row>
    <row r="36" spans="1:54" ht="20.100000000000001" customHeight="1">
      <c r="A36" s="31" t="s">
        <v>488</v>
      </c>
      <c r="B36" s="31" t="s">
        <v>474</v>
      </c>
      <c r="C36" s="31" t="s">
        <v>193</v>
      </c>
      <c r="D36" s="31" t="s">
        <v>474</v>
      </c>
      <c r="E36" s="31" t="s">
        <v>451</v>
      </c>
      <c r="F36" s="31" t="s">
        <v>474</v>
      </c>
      <c r="G36" s="31" t="s">
        <v>474</v>
      </c>
      <c r="H36" s="31" t="s">
        <v>474</v>
      </c>
      <c r="I36" s="31" t="s">
        <v>474</v>
      </c>
      <c r="J36" s="31" t="s">
        <v>474</v>
      </c>
      <c r="K36" s="31" t="s">
        <v>474</v>
      </c>
      <c r="L36" s="31" t="s">
        <v>474</v>
      </c>
      <c r="M36" s="31" t="s">
        <v>474</v>
      </c>
      <c r="N36" s="31" t="s">
        <v>474</v>
      </c>
      <c r="O36" s="31" t="s">
        <v>474</v>
      </c>
      <c r="P36" s="31" t="s">
        <v>474</v>
      </c>
      <c r="Q36" s="31" t="s">
        <v>474</v>
      </c>
      <c r="R36" s="31" t="s">
        <v>474</v>
      </c>
      <c r="S36" s="31" t="s">
        <v>474</v>
      </c>
      <c r="T36" s="31" t="s">
        <v>474</v>
      </c>
      <c r="U36" s="31" t="s">
        <v>193</v>
      </c>
      <c r="V36" s="31" t="s">
        <v>474</v>
      </c>
      <c r="W36" s="31" t="s">
        <v>193</v>
      </c>
      <c r="X36" s="31" t="s">
        <v>474</v>
      </c>
      <c r="Y36" s="31" t="s">
        <v>474</v>
      </c>
      <c r="Z36" s="31" t="s">
        <v>474</v>
      </c>
      <c r="AA36" s="31" t="s">
        <v>474</v>
      </c>
      <c r="AB36" s="31" t="s">
        <v>474</v>
      </c>
      <c r="AC36" s="31" t="s">
        <v>193</v>
      </c>
      <c r="AD36" s="31" t="s">
        <v>474</v>
      </c>
      <c r="AE36" s="31">
        <v>3</v>
      </c>
      <c r="AF36" s="31">
        <v>11</v>
      </c>
      <c r="AG36" s="31">
        <v>274</v>
      </c>
      <c r="AH36" s="31" t="s">
        <v>474</v>
      </c>
      <c r="AI36" s="31" t="s">
        <v>193</v>
      </c>
      <c r="AJ36" s="31" t="s">
        <v>474</v>
      </c>
      <c r="AK36" s="31" t="s">
        <v>474</v>
      </c>
      <c r="AL36" s="31" t="s">
        <v>474</v>
      </c>
      <c r="AM36" s="31">
        <v>4.18</v>
      </c>
      <c r="AN36" s="31">
        <v>121</v>
      </c>
      <c r="AO36" s="31">
        <v>970</v>
      </c>
      <c r="AP36" s="31" t="s">
        <v>474</v>
      </c>
      <c r="AQ36" s="31" t="s">
        <v>474</v>
      </c>
      <c r="AR36" s="31">
        <v>24</v>
      </c>
      <c r="AS36" s="31">
        <v>50</v>
      </c>
      <c r="AT36" s="31">
        <v>0.5</v>
      </c>
      <c r="AU36" s="31">
        <v>50</v>
      </c>
      <c r="AV36" s="31">
        <v>30</v>
      </c>
      <c r="AW36" s="31" t="s">
        <v>193</v>
      </c>
      <c r="AX36" s="31" t="s">
        <v>474</v>
      </c>
      <c r="AY36" s="31" t="s">
        <v>193</v>
      </c>
      <c r="AZ36" s="31" t="s">
        <v>474</v>
      </c>
      <c r="BA36" s="31" t="s">
        <v>474</v>
      </c>
      <c r="BB36" s="31" t="s">
        <v>474</v>
      </c>
    </row>
    <row r="37" spans="1:54" ht="20.100000000000001" customHeight="1">
      <c r="A37" s="31" t="s">
        <v>488</v>
      </c>
      <c r="B37" s="31" t="s">
        <v>474</v>
      </c>
      <c r="C37" s="31" t="s">
        <v>193</v>
      </c>
      <c r="D37" s="31" t="s">
        <v>474</v>
      </c>
      <c r="E37" s="31" t="s">
        <v>452</v>
      </c>
      <c r="F37" s="31" t="s">
        <v>474</v>
      </c>
      <c r="G37" s="31" t="s">
        <v>474</v>
      </c>
      <c r="H37" s="31" t="s">
        <v>474</v>
      </c>
      <c r="I37" s="31" t="s">
        <v>474</v>
      </c>
      <c r="J37" s="31" t="s">
        <v>474</v>
      </c>
      <c r="K37" s="31" t="s">
        <v>474</v>
      </c>
      <c r="L37" s="31" t="s">
        <v>474</v>
      </c>
      <c r="M37" s="31" t="s">
        <v>474</v>
      </c>
      <c r="N37" s="31" t="s">
        <v>474</v>
      </c>
      <c r="O37" s="31" t="s">
        <v>474</v>
      </c>
      <c r="P37" s="31" t="s">
        <v>474</v>
      </c>
      <c r="Q37" s="31" t="s">
        <v>474</v>
      </c>
      <c r="R37" s="31" t="s">
        <v>474</v>
      </c>
      <c r="S37" s="31" t="s">
        <v>474</v>
      </c>
      <c r="T37" s="31" t="s">
        <v>474</v>
      </c>
      <c r="U37" s="31" t="s">
        <v>193</v>
      </c>
      <c r="V37" s="31" t="s">
        <v>474</v>
      </c>
      <c r="W37" s="31" t="s">
        <v>193</v>
      </c>
      <c r="X37" s="31" t="s">
        <v>474</v>
      </c>
      <c r="Y37" s="31" t="s">
        <v>474</v>
      </c>
      <c r="Z37" s="31" t="s">
        <v>474</v>
      </c>
      <c r="AA37" s="31" t="s">
        <v>474</v>
      </c>
      <c r="AB37" s="31" t="s">
        <v>474</v>
      </c>
      <c r="AC37" s="31" t="s">
        <v>193</v>
      </c>
      <c r="AD37" s="31" t="s">
        <v>474</v>
      </c>
      <c r="AE37" s="31">
        <v>3</v>
      </c>
      <c r="AF37" s="31">
        <v>11</v>
      </c>
      <c r="AG37" s="31">
        <v>274</v>
      </c>
      <c r="AH37" s="31" t="s">
        <v>474</v>
      </c>
      <c r="AI37" s="31" t="s">
        <v>193</v>
      </c>
      <c r="AJ37" s="31" t="s">
        <v>474</v>
      </c>
      <c r="AK37" s="31" t="s">
        <v>474</v>
      </c>
      <c r="AL37" s="31" t="s">
        <v>474</v>
      </c>
      <c r="AM37" s="31">
        <v>5.0599999999999996</v>
      </c>
      <c r="AN37" s="31">
        <v>147</v>
      </c>
      <c r="AO37" s="46">
        <v>1174</v>
      </c>
      <c r="AP37" s="31" t="s">
        <v>474</v>
      </c>
      <c r="AQ37" s="31" t="s">
        <v>474</v>
      </c>
      <c r="AR37" s="31">
        <v>70</v>
      </c>
      <c r="AS37" s="31">
        <v>150</v>
      </c>
      <c r="AT37" s="31">
        <v>1</v>
      </c>
      <c r="AU37" s="31">
        <v>70</v>
      </c>
      <c r="AV37" s="31">
        <v>32</v>
      </c>
      <c r="AW37" s="31" t="s">
        <v>193</v>
      </c>
      <c r="AX37" s="31" t="s">
        <v>474</v>
      </c>
      <c r="AY37" s="31" t="s">
        <v>193</v>
      </c>
      <c r="AZ37" s="31" t="s">
        <v>474</v>
      </c>
      <c r="BA37" s="31" t="s">
        <v>474</v>
      </c>
      <c r="BB37" s="31" t="s">
        <v>474</v>
      </c>
    </row>
    <row r="38" spans="1:54" ht="20.100000000000001" customHeight="1">
      <c r="A38" s="31" t="s">
        <v>488</v>
      </c>
      <c r="B38" s="31" t="s">
        <v>193</v>
      </c>
      <c r="C38" s="31" t="s">
        <v>474</v>
      </c>
      <c r="D38" s="31" t="s">
        <v>474</v>
      </c>
      <c r="E38" s="31" t="s">
        <v>453</v>
      </c>
      <c r="F38" s="31" t="s">
        <v>474</v>
      </c>
      <c r="G38" s="31" t="s">
        <v>474</v>
      </c>
      <c r="H38" s="31" t="s">
        <v>474</v>
      </c>
      <c r="I38" s="31" t="s">
        <v>474</v>
      </c>
      <c r="J38" s="31" t="s">
        <v>474</v>
      </c>
      <c r="K38" s="31" t="s">
        <v>474</v>
      </c>
      <c r="L38" s="31" t="s">
        <v>474</v>
      </c>
      <c r="M38" s="31" t="s">
        <v>474</v>
      </c>
      <c r="N38" s="31" t="s">
        <v>474</v>
      </c>
      <c r="O38" s="31" t="s">
        <v>474</v>
      </c>
      <c r="P38" s="31" t="s">
        <v>474</v>
      </c>
      <c r="Q38" s="31" t="s">
        <v>474</v>
      </c>
      <c r="R38" s="31" t="s">
        <v>474</v>
      </c>
      <c r="S38" s="31" t="s">
        <v>474</v>
      </c>
      <c r="T38" s="31" t="s">
        <v>474</v>
      </c>
      <c r="U38" s="31" t="s">
        <v>193</v>
      </c>
      <c r="V38" s="31" t="s">
        <v>474</v>
      </c>
      <c r="W38" s="31" t="s">
        <v>193</v>
      </c>
      <c r="X38" s="31" t="s">
        <v>474</v>
      </c>
      <c r="Y38" s="31" t="s">
        <v>474</v>
      </c>
      <c r="Z38" s="31" t="s">
        <v>474</v>
      </c>
      <c r="AA38" s="31" t="s">
        <v>474</v>
      </c>
      <c r="AB38" s="31" t="s">
        <v>193</v>
      </c>
      <c r="AC38" s="31" t="s">
        <v>474</v>
      </c>
      <c r="AD38" s="31" t="s">
        <v>474</v>
      </c>
      <c r="AE38" s="31">
        <v>3</v>
      </c>
      <c r="AF38" s="31">
        <v>11</v>
      </c>
      <c r="AG38" s="31">
        <v>274</v>
      </c>
      <c r="AH38" s="31" t="s">
        <v>474</v>
      </c>
      <c r="AI38" s="31" t="s">
        <v>193</v>
      </c>
      <c r="AJ38" s="31" t="s">
        <v>474</v>
      </c>
      <c r="AK38" s="31" t="s">
        <v>474</v>
      </c>
      <c r="AL38" s="31" t="s">
        <v>474</v>
      </c>
      <c r="AM38" s="31">
        <v>10.78</v>
      </c>
      <c r="AN38" s="31">
        <v>313</v>
      </c>
      <c r="AO38" s="46">
        <v>2501</v>
      </c>
      <c r="AP38" s="31" t="s">
        <v>474</v>
      </c>
      <c r="AQ38" s="31" t="s">
        <v>474</v>
      </c>
      <c r="AR38" s="31">
        <v>100</v>
      </c>
      <c r="AS38" s="31">
        <v>250</v>
      </c>
      <c r="AT38" s="31">
        <v>5</v>
      </c>
      <c r="AU38" s="31">
        <v>200</v>
      </c>
      <c r="AV38" s="31">
        <v>50</v>
      </c>
      <c r="AW38" s="31" t="s">
        <v>193</v>
      </c>
      <c r="AX38" s="31" t="s">
        <v>193</v>
      </c>
      <c r="AY38" s="31" t="s">
        <v>193</v>
      </c>
      <c r="AZ38" s="31" t="s">
        <v>193</v>
      </c>
      <c r="BA38" s="31" t="s">
        <v>193</v>
      </c>
      <c r="BB38" s="31" t="s">
        <v>474</v>
      </c>
    </row>
    <row r="39" spans="1:54" ht="20.100000000000001" customHeight="1">
      <c r="A39" s="31" t="s">
        <v>488</v>
      </c>
      <c r="B39" s="31" t="s">
        <v>474</v>
      </c>
      <c r="C39" s="31" t="s">
        <v>193</v>
      </c>
      <c r="D39" s="31" t="s">
        <v>474</v>
      </c>
      <c r="E39" s="31" t="s">
        <v>454</v>
      </c>
      <c r="F39" s="31" t="s">
        <v>474</v>
      </c>
      <c r="G39" s="31" t="s">
        <v>474</v>
      </c>
      <c r="H39" s="31" t="s">
        <v>474</v>
      </c>
      <c r="I39" s="31" t="s">
        <v>474</v>
      </c>
      <c r="J39" s="31" t="s">
        <v>474</v>
      </c>
      <c r="K39" s="31" t="s">
        <v>474</v>
      </c>
      <c r="L39" s="31" t="s">
        <v>474</v>
      </c>
      <c r="M39" s="31" t="s">
        <v>474</v>
      </c>
      <c r="N39" s="31" t="s">
        <v>474</v>
      </c>
      <c r="O39" s="31" t="s">
        <v>474</v>
      </c>
      <c r="P39" s="31" t="s">
        <v>474</v>
      </c>
      <c r="Q39" s="31" t="s">
        <v>474</v>
      </c>
      <c r="R39" s="31" t="s">
        <v>474</v>
      </c>
      <c r="S39" s="31" t="s">
        <v>474</v>
      </c>
      <c r="T39" s="31" t="s">
        <v>474</v>
      </c>
      <c r="U39" s="31" t="s">
        <v>193</v>
      </c>
      <c r="V39" s="31" t="s">
        <v>474</v>
      </c>
      <c r="W39" s="31" t="s">
        <v>193</v>
      </c>
      <c r="X39" s="31" t="s">
        <v>474</v>
      </c>
      <c r="Y39" s="31" t="s">
        <v>474</v>
      </c>
      <c r="Z39" s="31" t="s">
        <v>474</v>
      </c>
      <c r="AA39" s="31" t="s">
        <v>474</v>
      </c>
      <c r="AB39" s="31" t="s">
        <v>474</v>
      </c>
      <c r="AC39" s="31" t="s">
        <v>193</v>
      </c>
      <c r="AD39" s="31" t="s">
        <v>474</v>
      </c>
      <c r="AE39" s="31">
        <v>3</v>
      </c>
      <c r="AF39" s="31">
        <v>11</v>
      </c>
      <c r="AG39" s="31">
        <v>274</v>
      </c>
      <c r="AH39" s="31" t="s">
        <v>474</v>
      </c>
      <c r="AI39" s="31" t="s">
        <v>193</v>
      </c>
      <c r="AJ39" s="31" t="s">
        <v>474</v>
      </c>
      <c r="AK39" s="31" t="s">
        <v>474</v>
      </c>
      <c r="AL39" s="31" t="s">
        <v>474</v>
      </c>
      <c r="AM39" s="31">
        <v>15.22</v>
      </c>
      <c r="AN39" s="31">
        <v>441</v>
      </c>
      <c r="AO39" s="46">
        <v>3531</v>
      </c>
      <c r="AP39" s="31" t="s">
        <v>474</v>
      </c>
      <c r="AQ39" s="31" t="s">
        <v>474</v>
      </c>
      <c r="AR39" s="31">
        <v>80</v>
      </c>
      <c r="AS39" s="31">
        <v>250</v>
      </c>
      <c r="AT39" s="31">
        <v>7.5</v>
      </c>
      <c r="AU39" s="31">
        <v>301</v>
      </c>
      <c r="AV39" s="31">
        <v>60</v>
      </c>
      <c r="AW39" s="31" t="s">
        <v>193</v>
      </c>
      <c r="AX39" s="31" t="s">
        <v>474</v>
      </c>
      <c r="AY39" s="31" t="s">
        <v>193</v>
      </c>
      <c r="AZ39" s="31" t="s">
        <v>474</v>
      </c>
      <c r="BA39" s="31" t="s">
        <v>474</v>
      </c>
      <c r="BB39" s="31" t="s">
        <v>474</v>
      </c>
    </row>
    <row r="40" spans="1:54" ht="20.100000000000001" customHeight="1">
      <c r="A40" s="31" t="s">
        <v>488</v>
      </c>
      <c r="B40" s="31" t="s">
        <v>474</v>
      </c>
      <c r="C40" s="31" t="s">
        <v>193</v>
      </c>
      <c r="D40" s="31" t="s">
        <v>474</v>
      </c>
      <c r="E40" s="31" t="s">
        <v>455</v>
      </c>
      <c r="F40" s="31" t="s">
        <v>474</v>
      </c>
      <c r="G40" s="31" t="s">
        <v>474</v>
      </c>
      <c r="H40" s="31" t="s">
        <v>474</v>
      </c>
      <c r="I40" s="31" t="s">
        <v>474</v>
      </c>
      <c r="J40" s="31" t="s">
        <v>474</v>
      </c>
      <c r="K40" s="31" t="s">
        <v>474</v>
      </c>
      <c r="L40" s="31" t="s">
        <v>474</v>
      </c>
      <c r="M40" s="31" t="s">
        <v>474</v>
      </c>
      <c r="N40" s="31" t="s">
        <v>474</v>
      </c>
      <c r="O40" s="31" t="s">
        <v>474</v>
      </c>
      <c r="P40" s="31" t="s">
        <v>474</v>
      </c>
      <c r="Q40" s="31" t="s">
        <v>474</v>
      </c>
      <c r="R40" s="31" t="s">
        <v>474</v>
      </c>
      <c r="S40" s="31" t="s">
        <v>474</v>
      </c>
      <c r="T40" s="31" t="s">
        <v>474</v>
      </c>
      <c r="U40" s="31" t="s">
        <v>193</v>
      </c>
      <c r="V40" s="31" t="s">
        <v>474</v>
      </c>
      <c r="W40" s="31" t="s">
        <v>193</v>
      </c>
      <c r="X40" s="31" t="s">
        <v>474</v>
      </c>
      <c r="Y40" s="31" t="s">
        <v>474</v>
      </c>
      <c r="Z40" s="31" t="s">
        <v>474</v>
      </c>
      <c r="AA40" s="31" t="s">
        <v>474</v>
      </c>
      <c r="AB40" s="31" t="s">
        <v>474</v>
      </c>
      <c r="AC40" s="31" t="s">
        <v>193</v>
      </c>
      <c r="AD40" s="31" t="s">
        <v>474</v>
      </c>
      <c r="AE40" s="31">
        <v>3</v>
      </c>
      <c r="AF40" s="31">
        <v>11</v>
      </c>
      <c r="AG40" s="31">
        <v>274</v>
      </c>
      <c r="AH40" s="31" t="s">
        <v>474</v>
      </c>
      <c r="AI40" s="31" t="s">
        <v>193</v>
      </c>
      <c r="AJ40" s="31" t="s">
        <v>474</v>
      </c>
      <c r="AK40" s="31" t="s">
        <v>474</v>
      </c>
      <c r="AL40" s="31" t="s">
        <v>474</v>
      </c>
      <c r="AM40" s="31">
        <v>6.16</v>
      </c>
      <c r="AN40" s="31">
        <v>179</v>
      </c>
      <c r="AO40" s="46">
        <v>1429</v>
      </c>
      <c r="AP40" s="31" t="s">
        <v>474</v>
      </c>
      <c r="AQ40" s="31" t="s">
        <v>474</v>
      </c>
      <c r="AR40" s="31">
        <v>80</v>
      </c>
      <c r="AS40" s="31">
        <v>250</v>
      </c>
      <c r="AT40" s="31">
        <v>3</v>
      </c>
      <c r="AU40" s="31">
        <v>95</v>
      </c>
      <c r="AV40" s="31">
        <v>40</v>
      </c>
      <c r="AW40" s="31" t="s">
        <v>193</v>
      </c>
      <c r="AX40" s="31" t="s">
        <v>474</v>
      </c>
      <c r="AY40" s="31" t="s">
        <v>193</v>
      </c>
      <c r="AZ40" s="31" t="s">
        <v>474</v>
      </c>
      <c r="BA40" s="31" t="s">
        <v>474</v>
      </c>
      <c r="BB40" s="31" t="s">
        <v>474</v>
      </c>
    </row>
    <row r="41" spans="1:54" ht="20.100000000000001" customHeight="1">
      <c r="A41" s="31" t="s">
        <v>488</v>
      </c>
      <c r="B41" s="31" t="s">
        <v>474</v>
      </c>
      <c r="C41" s="31" t="s">
        <v>193</v>
      </c>
      <c r="D41" s="31" t="s">
        <v>474</v>
      </c>
      <c r="E41" s="31" t="s">
        <v>456</v>
      </c>
      <c r="F41" s="31" t="s">
        <v>474</v>
      </c>
      <c r="G41" s="31" t="s">
        <v>474</v>
      </c>
      <c r="H41" s="31" t="s">
        <v>474</v>
      </c>
      <c r="I41" s="31" t="s">
        <v>474</v>
      </c>
      <c r="J41" s="31" t="s">
        <v>474</v>
      </c>
      <c r="K41" s="31" t="s">
        <v>474</v>
      </c>
      <c r="L41" s="31" t="s">
        <v>474</v>
      </c>
      <c r="M41" s="31" t="s">
        <v>474</v>
      </c>
      <c r="N41" s="31" t="s">
        <v>474</v>
      </c>
      <c r="O41" s="31" t="s">
        <v>474</v>
      </c>
      <c r="P41" s="31" t="s">
        <v>474</v>
      </c>
      <c r="Q41" s="31" t="s">
        <v>474</v>
      </c>
      <c r="R41" s="31" t="s">
        <v>474</v>
      </c>
      <c r="S41" s="31" t="s">
        <v>474</v>
      </c>
      <c r="T41" s="31" t="s">
        <v>474</v>
      </c>
      <c r="U41" s="31" t="s">
        <v>193</v>
      </c>
      <c r="V41" s="31" t="s">
        <v>474</v>
      </c>
      <c r="W41" s="31" t="s">
        <v>474</v>
      </c>
      <c r="X41" s="31" t="s">
        <v>193</v>
      </c>
      <c r="Y41" s="31" t="s">
        <v>474</v>
      </c>
      <c r="Z41" s="31" t="s">
        <v>474</v>
      </c>
      <c r="AA41" s="31" t="s">
        <v>474</v>
      </c>
      <c r="AB41" s="31" t="s">
        <v>474</v>
      </c>
      <c r="AC41" s="31" t="s">
        <v>193</v>
      </c>
      <c r="AD41" s="31" t="s">
        <v>474</v>
      </c>
      <c r="AE41" s="31">
        <v>3</v>
      </c>
      <c r="AF41" s="31">
        <v>11</v>
      </c>
      <c r="AG41" s="31">
        <v>274</v>
      </c>
      <c r="AH41" s="31" t="s">
        <v>474</v>
      </c>
      <c r="AI41" s="31" t="s">
        <v>193</v>
      </c>
      <c r="AJ41" s="31" t="s">
        <v>474</v>
      </c>
      <c r="AK41" s="31" t="s">
        <v>474</v>
      </c>
      <c r="AL41" s="31" t="s">
        <v>474</v>
      </c>
      <c r="AM41" s="31">
        <v>3.67</v>
      </c>
      <c r="AN41" s="31">
        <v>106</v>
      </c>
      <c r="AO41" s="31">
        <v>851</v>
      </c>
      <c r="AP41" s="31" t="s">
        <v>474</v>
      </c>
      <c r="AQ41" s="31" t="s">
        <v>474</v>
      </c>
      <c r="AR41" s="31">
        <v>100</v>
      </c>
      <c r="AS41" s="31">
        <v>150</v>
      </c>
      <c r="AT41" s="31">
        <v>2</v>
      </c>
      <c r="AU41" s="31">
        <v>80</v>
      </c>
      <c r="AV41" s="31">
        <v>32</v>
      </c>
      <c r="AW41" s="31" t="s">
        <v>193</v>
      </c>
      <c r="AX41" s="31" t="s">
        <v>474</v>
      </c>
      <c r="AY41" s="31" t="s">
        <v>193</v>
      </c>
      <c r="AZ41" s="31" t="s">
        <v>474</v>
      </c>
      <c r="BA41" s="31" t="s">
        <v>474</v>
      </c>
      <c r="BB41" s="31" t="s">
        <v>474</v>
      </c>
    </row>
    <row r="42" spans="1:54" ht="20.100000000000001" customHeight="1">
      <c r="A42" s="31" t="s">
        <v>488</v>
      </c>
      <c r="B42" s="31" t="s">
        <v>474</v>
      </c>
      <c r="C42" s="31" t="s">
        <v>193</v>
      </c>
      <c r="D42" s="31" t="s">
        <v>474</v>
      </c>
      <c r="E42" s="31" t="s">
        <v>457</v>
      </c>
      <c r="F42" s="31" t="s">
        <v>474</v>
      </c>
      <c r="G42" s="31" t="s">
        <v>474</v>
      </c>
      <c r="H42" s="31" t="s">
        <v>474</v>
      </c>
      <c r="I42" s="31" t="s">
        <v>474</v>
      </c>
      <c r="J42" s="31" t="s">
        <v>474</v>
      </c>
      <c r="K42" s="31" t="s">
        <v>474</v>
      </c>
      <c r="L42" s="31" t="s">
        <v>474</v>
      </c>
      <c r="M42" s="31" t="s">
        <v>474</v>
      </c>
      <c r="N42" s="31" t="s">
        <v>474</v>
      </c>
      <c r="O42" s="31" t="s">
        <v>474</v>
      </c>
      <c r="P42" s="31" t="s">
        <v>474</v>
      </c>
      <c r="Q42" s="31" t="s">
        <v>474</v>
      </c>
      <c r="R42" s="31" t="s">
        <v>474</v>
      </c>
      <c r="S42" s="31" t="s">
        <v>474</v>
      </c>
      <c r="T42" s="31" t="s">
        <v>474</v>
      </c>
      <c r="U42" s="31" t="s">
        <v>193</v>
      </c>
      <c r="V42" s="31" t="s">
        <v>474</v>
      </c>
      <c r="W42" s="31" t="s">
        <v>474</v>
      </c>
      <c r="X42" s="31" t="s">
        <v>193</v>
      </c>
      <c r="Y42" s="31" t="s">
        <v>474</v>
      </c>
      <c r="Z42" s="31" t="s">
        <v>474</v>
      </c>
      <c r="AA42" s="31" t="s">
        <v>474</v>
      </c>
      <c r="AB42" s="31" t="s">
        <v>474</v>
      </c>
      <c r="AC42" s="31" t="s">
        <v>193</v>
      </c>
      <c r="AD42" s="31" t="s">
        <v>474</v>
      </c>
      <c r="AE42" s="31">
        <v>3</v>
      </c>
      <c r="AF42" s="31">
        <v>11</v>
      </c>
      <c r="AG42" s="31">
        <v>274</v>
      </c>
      <c r="AH42" s="31" t="s">
        <v>474</v>
      </c>
      <c r="AI42" s="31" t="s">
        <v>193</v>
      </c>
      <c r="AJ42" s="31" t="s">
        <v>474</v>
      </c>
      <c r="AK42" s="31" t="s">
        <v>474</v>
      </c>
      <c r="AL42" s="31" t="s">
        <v>474</v>
      </c>
      <c r="AM42" s="31">
        <v>3.67</v>
      </c>
      <c r="AN42" s="31">
        <v>106</v>
      </c>
      <c r="AO42" s="31">
        <v>851</v>
      </c>
      <c r="AP42" s="31" t="s">
        <v>474</v>
      </c>
      <c r="AQ42" s="31" t="s">
        <v>474</v>
      </c>
      <c r="AR42" s="31">
        <v>100</v>
      </c>
      <c r="AS42" s="31">
        <v>150</v>
      </c>
      <c r="AT42" s="31">
        <v>2</v>
      </c>
      <c r="AU42" s="31">
        <v>80</v>
      </c>
      <c r="AV42" s="31">
        <v>32</v>
      </c>
      <c r="AW42" s="31" t="s">
        <v>193</v>
      </c>
      <c r="AX42" s="31" t="s">
        <v>474</v>
      </c>
      <c r="AY42" s="31" t="s">
        <v>193</v>
      </c>
      <c r="AZ42" s="31" t="s">
        <v>474</v>
      </c>
      <c r="BA42" s="31" t="s">
        <v>474</v>
      </c>
      <c r="BB42" s="31" t="s">
        <v>474</v>
      </c>
    </row>
    <row r="43" spans="1:54" ht="20.100000000000001" customHeight="1">
      <c r="A43" s="31" t="s">
        <v>488</v>
      </c>
      <c r="B43" s="31" t="s">
        <v>474</v>
      </c>
      <c r="C43" s="31" t="s">
        <v>193</v>
      </c>
      <c r="D43" s="31" t="s">
        <v>474</v>
      </c>
      <c r="E43" s="31" t="s">
        <v>458</v>
      </c>
      <c r="F43" s="31" t="s">
        <v>474</v>
      </c>
      <c r="G43" s="31" t="s">
        <v>474</v>
      </c>
      <c r="H43" s="31" t="s">
        <v>474</v>
      </c>
      <c r="I43" s="31" t="s">
        <v>474</v>
      </c>
      <c r="J43" s="31" t="s">
        <v>474</v>
      </c>
      <c r="K43" s="31" t="s">
        <v>474</v>
      </c>
      <c r="L43" s="31" t="s">
        <v>474</v>
      </c>
      <c r="M43" s="31" t="s">
        <v>474</v>
      </c>
      <c r="N43" s="31" t="s">
        <v>474</v>
      </c>
      <c r="O43" s="31" t="s">
        <v>474</v>
      </c>
      <c r="P43" s="31" t="s">
        <v>474</v>
      </c>
      <c r="Q43" s="31" t="s">
        <v>474</v>
      </c>
      <c r="R43" s="31" t="s">
        <v>474</v>
      </c>
      <c r="S43" s="31" t="s">
        <v>474</v>
      </c>
      <c r="T43" s="31" t="s">
        <v>474</v>
      </c>
      <c r="U43" s="31" t="s">
        <v>193</v>
      </c>
      <c r="V43" s="31" t="s">
        <v>193</v>
      </c>
      <c r="W43" s="31" t="s">
        <v>474</v>
      </c>
      <c r="X43" s="31" t="s">
        <v>474</v>
      </c>
      <c r="Y43" s="31" t="s">
        <v>474</v>
      </c>
      <c r="Z43" s="31" t="s">
        <v>474</v>
      </c>
      <c r="AA43" s="31" t="s">
        <v>474</v>
      </c>
      <c r="AB43" s="31" t="s">
        <v>474</v>
      </c>
      <c r="AC43" s="31" t="s">
        <v>193</v>
      </c>
      <c r="AD43" s="31" t="s">
        <v>474</v>
      </c>
      <c r="AE43" s="31">
        <v>3</v>
      </c>
      <c r="AF43" s="31">
        <v>11</v>
      </c>
      <c r="AG43" s="31">
        <v>274</v>
      </c>
      <c r="AH43" s="31" t="s">
        <v>474</v>
      </c>
      <c r="AI43" s="31" t="s">
        <v>193</v>
      </c>
      <c r="AJ43" s="31" t="s">
        <v>474</v>
      </c>
      <c r="AK43" s="31" t="s">
        <v>474</v>
      </c>
      <c r="AL43" s="31" t="s">
        <v>474</v>
      </c>
      <c r="AM43" s="31">
        <v>6.08</v>
      </c>
      <c r="AN43" s="31">
        <v>176</v>
      </c>
      <c r="AO43" s="46">
        <v>1411</v>
      </c>
      <c r="AP43" s="31" t="s">
        <v>474</v>
      </c>
      <c r="AQ43" s="31" t="s">
        <v>474</v>
      </c>
      <c r="AR43" s="31">
        <v>30</v>
      </c>
      <c r="AS43" s="31">
        <v>50</v>
      </c>
      <c r="AT43" s="31">
        <v>0.5</v>
      </c>
      <c r="AU43" s="31">
        <v>30</v>
      </c>
      <c r="AV43" s="31">
        <v>15</v>
      </c>
      <c r="AW43" s="31" t="s">
        <v>193</v>
      </c>
      <c r="AX43" s="31" t="s">
        <v>474</v>
      </c>
      <c r="AY43" s="31" t="s">
        <v>193</v>
      </c>
      <c r="AZ43" s="31" t="s">
        <v>474</v>
      </c>
      <c r="BA43" s="31" t="s">
        <v>474</v>
      </c>
      <c r="BB43" s="31" t="s">
        <v>474</v>
      </c>
    </row>
    <row r="44" spans="1:54" ht="20.100000000000001" customHeight="1">
      <c r="A44" s="31" t="s">
        <v>488</v>
      </c>
      <c r="B44" s="31" t="s">
        <v>474</v>
      </c>
      <c r="C44" s="31" t="s">
        <v>193</v>
      </c>
      <c r="D44" s="31" t="s">
        <v>474</v>
      </c>
      <c r="E44" s="31" t="s">
        <v>459</v>
      </c>
      <c r="F44" s="31" t="s">
        <v>474</v>
      </c>
      <c r="G44" s="31" t="s">
        <v>474</v>
      </c>
      <c r="H44" s="31" t="s">
        <v>474</v>
      </c>
      <c r="I44" s="31" t="s">
        <v>474</v>
      </c>
      <c r="J44" s="31" t="s">
        <v>474</v>
      </c>
      <c r="K44" s="31" t="s">
        <v>474</v>
      </c>
      <c r="L44" s="31" t="s">
        <v>474</v>
      </c>
      <c r="M44" s="31" t="s">
        <v>474</v>
      </c>
      <c r="N44" s="31" t="s">
        <v>474</v>
      </c>
      <c r="O44" s="31" t="s">
        <v>474</v>
      </c>
      <c r="P44" s="31" t="s">
        <v>474</v>
      </c>
      <c r="Q44" s="31" t="s">
        <v>474</v>
      </c>
      <c r="R44" s="31" t="s">
        <v>474</v>
      </c>
      <c r="S44" s="31" t="s">
        <v>474</v>
      </c>
      <c r="T44" s="31" t="s">
        <v>474</v>
      </c>
      <c r="U44" s="31" t="s">
        <v>193</v>
      </c>
      <c r="V44" s="31" t="s">
        <v>474</v>
      </c>
      <c r="W44" s="31" t="s">
        <v>193</v>
      </c>
      <c r="X44" s="31" t="s">
        <v>474</v>
      </c>
      <c r="Y44" s="31" t="s">
        <v>474</v>
      </c>
      <c r="Z44" s="31" t="s">
        <v>474</v>
      </c>
      <c r="AA44" s="31" t="s">
        <v>474</v>
      </c>
      <c r="AB44" s="31" t="s">
        <v>474</v>
      </c>
      <c r="AC44" s="31" t="s">
        <v>193</v>
      </c>
      <c r="AD44" s="31" t="s">
        <v>474</v>
      </c>
      <c r="AE44" s="31">
        <v>3</v>
      </c>
      <c r="AF44" s="31">
        <v>11</v>
      </c>
      <c r="AG44" s="31">
        <v>274</v>
      </c>
      <c r="AH44" s="31" t="s">
        <v>474</v>
      </c>
      <c r="AI44" s="31" t="s">
        <v>193</v>
      </c>
      <c r="AJ44" s="31" t="s">
        <v>474</v>
      </c>
      <c r="AK44" s="31" t="s">
        <v>474</v>
      </c>
      <c r="AL44" s="31" t="s">
        <v>474</v>
      </c>
      <c r="AM44" s="31">
        <v>8.58</v>
      </c>
      <c r="AN44" s="31">
        <v>249</v>
      </c>
      <c r="AO44" s="46">
        <v>1991</v>
      </c>
      <c r="AP44" s="31" t="s">
        <v>474</v>
      </c>
      <c r="AQ44" s="31" t="s">
        <v>474</v>
      </c>
      <c r="AR44" s="31">
        <v>85</v>
      </c>
      <c r="AS44" s="31">
        <v>250</v>
      </c>
      <c r="AT44" s="31">
        <v>3</v>
      </c>
      <c r="AU44" s="31">
        <v>150</v>
      </c>
      <c r="AV44" s="31">
        <v>50</v>
      </c>
      <c r="AW44" s="31" t="s">
        <v>193</v>
      </c>
      <c r="AX44" s="31" t="s">
        <v>474</v>
      </c>
      <c r="AY44" s="31" t="s">
        <v>193</v>
      </c>
      <c r="AZ44" s="31" t="s">
        <v>474</v>
      </c>
      <c r="BA44" s="31" t="s">
        <v>474</v>
      </c>
      <c r="BB44" s="31" t="s">
        <v>474</v>
      </c>
    </row>
    <row r="45" spans="1:54" ht="20.100000000000001" customHeight="1">
      <c r="A45" s="31" t="s">
        <v>488</v>
      </c>
      <c r="B45" s="31" t="s">
        <v>474</v>
      </c>
      <c r="C45" s="31" t="s">
        <v>193</v>
      </c>
      <c r="D45" s="31" t="s">
        <v>474</v>
      </c>
      <c r="E45" s="31" t="s">
        <v>460</v>
      </c>
      <c r="F45" s="31" t="s">
        <v>474</v>
      </c>
      <c r="G45" s="31" t="s">
        <v>474</v>
      </c>
      <c r="H45" s="31" t="s">
        <v>474</v>
      </c>
      <c r="I45" s="31" t="s">
        <v>474</v>
      </c>
      <c r="J45" s="31" t="s">
        <v>474</v>
      </c>
      <c r="K45" s="31" t="s">
        <v>474</v>
      </c>
      <c r="L45" s="31" t="s">
        <v>474</v>
      </c>
      <c r="M45" s="31" t="s">
        <v>474</v>
      </c>
      <c r="N45" s="31" t="s">
        <v>474</v>
      </c>
      <c r="O45" s="31" t="s">
        <v>474</v>
      </c>
      <c r="P45" s="31" t="s">
        <v>474</v>
      </c>
      <c r="Q45" s="31" t="s">
        <v>474</v>
      </c>
      <c r="R45" s="31" t="s">
        <v>474</v>
      </c>
      <c r="S45" s="31" t="s">
        <v>474</v>
      </c>
      <c r="T45" s="31" t="s">
        <v>474</v>
      </c>
      <c r="U45" s="31" t="s">
        <v>193</v>
      </c>
      <c r="V45" s="31" t="s">
        <v>474</v>
      </c>
      <c r="W45" s="31" t="s">
        <v>193</v>
      </c>
      <c r="X45" s="31" t="s">
        <v>474</v>
      </c>
      <c r="Y45" s="31" t="s">
        <v>474</v>
      </c>
      <c r="Z45" s="31" t="s">
        <v>474</v>
      </c>
      <c r="AA45" s="31" t="s">
        <v>474</v>
      </c>
      <c r="AB45" s="31" t="s">
        <v>474</v>
      </c>
      <c r="AC45" s="31" t="s">
        <v>193</v>
      </c>
      <c r="AD45" s="31" t="s">
        <v>474</v>
      </c>
      <c r="AE45" s="31">
        <v>3</v>
      </c>
      <c r="AF45" s="31">
        <v>11</v>
      </c>
      <c r="AG45" s="31">
        <v>274</v>
      </c>
      <c r="AH45" s="31" t="s">
        <v>474</v>
      </c>
      <c r="AI45" s="31" t="s">
        <v>193</v>
      </c>
      <c r="AJ45" s="31" t="s">
        <v>474</v>
      </c>
      <c r="AK45" s="31" t="s">
        <v>474</v>
      </c>
      <c r="AL45" s="31" t="s">
        <v>474</v>
      </c>
      <c r="AM45" s="31">
        <v>3.74</v>
      </c>
      <c r="AN45" s="31">
        <v>108</v>
      </c>
      <c r="AO45" s="31">
        <v>868</v>
      </c>
      <c r="AP45" s="31" t="s">
        <v>474</v>
      </c>
      <c r="AQ45" s="31" t="s">
        <v>474</v>
      </c>
      <c r="AR45" s="31">
        <v>24</v>
      </c>
      <c r="AS45" s="31">
        <v>50</v>
      </c>
      <c r="AT45" s="31">
        <v>0.5</v>
      </c>
      <c r="AU45" s="31">
        <v>40</v>
      </c>
      <c r="AV45" s="31">
        <v>32</v>
      </c>
      <c r="AW45" s="31" t="s">
        <v>193</v>
      </c>
      <c r="AX45" s="31" t="s">
        <v>474</v>
      </c>
      <c r="AY45" s="31" t="s">
        <v>193</v>
      </c>
      <c r="AZ45" s="31" t="s">
        <v>474</v>
      </c>
      <c r="BA45" s="31" t="s">
        <v>474</v>
      </c>
      <c r="BB45" s="31" t="s">
        <v>474</v>
      </c>
    </row>
    <row r="46" spans="1:54" ht="20.100000000000001" customHeight="1">
      <c r="A46" s="31" t="s">
        <v>488</v>
      </c>
      <c r="B46" s="31" t="s">
        <v>474</v>
      </c>
      <c r="C46" s="31" t="s">
        <v>193</v>
      </c>
      <c r="D46" s="31" t="s">
        <v>474</v>
      </c>
      <c r="E46" s="31" t="s">
        <v>461</v>
      </c>
      <c r="F46" s="31" t="s">
        <v>474</v>
      </c>
      <c r="G46" s="31" t="s">
        <v>474</v>
      </c>
      <c r="H46" s="31" t="s">
        <v>474</v>
      </c>
      <c r="I46" s="31" t="s">
        <v>474</v>
      </c>
      <c r="J46" s="31" t="s">
        <v>474</v>
      </c>
      <c r="K46" s="31" t="s">
        <v>474</v>
      </c>
      <c r="L46" s="31" t="s">
        <v>474</v>
      </c>
      <c r="M46" s="31" t="s">
        <v>474</v>
      </c>
      <c r="N46" s="31" t="s">
        <v>474</v>
      </c>
      <c r="O46" s="31" t="s">
        <v>474</v>
      </c>
      <c r="P46" s="31" t="s">
        <v>474</v>
      </c>
      <c r="Q46" s="31" t="s">
        <v>474</v>
      </c>
      <c r="R46" s="31" t="s">
        <v>474</v>
      </c>
      <c r="S46" s="31" t="s">
        <v>474</v>
      </c>
      <c r="T46" s="31" t="s">
        <v>474</v>
      </c>
      <c r="U46" s="31" t="s">
        <v>193</v>
      </c>
      <c r="V46" s="31" t="s">
        <v>474</v>
      </c>
      <c r="W46" s="31" t="s">
        <v>193</v>
      </c>
      <c r="X46" s="31" t="s">
        <v>474</v>
      </c>
      <c r="Y46" s="31" t="s">
        <v>474</v>
      </c>
      <c r="Z46" s="31" t="s">
        <v>474</v>
      </c>
      <c r="AA46" s="31" t="s">
        <v>474</v>
      </c>
      <c r="AB46" s="31" t="s">
        <v>474</v>
      </c>
      <c r="AC46" s="31" t="s">
        <v>193</v>
      </c>
      <c r="AD46" s="31" t="s">
        <v>474</v>
      </c>
      <c r="AE46" s="31">
        <v>3</v>
      </c>
      <c r="AF46" s="31">
        <v>11</v>
      </c>
      <c r="AG46" s="31">
        <v>274</v>
      </c>
      <c r="AH46" s="31" t="s">
        <v>474</v>
      </c>
      <c r="AI46" s="31" t="s">
        <v>193</v>
      </c>
      <c r="AJ46" s="31" t="s">
        <v>474</v>
      </c>
      <c r="AK46" s="31" t="s">
        <v>474</v>
      </c>
      <c r="AL46" s="31" t="s">
        <v>474</v>
      </c>
      <c r="AM46" s="31">
        <v>6.38</v>
      </c>
      <c r="AN46" s="31">
        <v>185</v>
      </c>
      <c r="AO46" s="46">
        <v>1480</v>
      </c>
      <c r="AP46" s="31" t="s">
        <v>474</v>
      </c>
      <c r="AQ46" s="31" t="s">
        <v>474</v>
      </c>
      <c r="AR46" s="31">
        <v>100</v>
      </c>
      <c r="AS46" s="31">
        <v>150</v>
      </c>
      <c r="AT46" s="31">
        <v>1</v>
      </c>
      <c r="AU46" s="31">
        <v>100</v>
      </c>
      <c r="AV46" s="31">
        <v>32</v>
      </c>
      <c r="AW46" s="31" t="s">
        <v>193</v>
      </c>
      <c r="AX46" s="31" t="s">
        <v>474</v>
      </c>
      <c r="AY46" s="31" t="s">
        <v>193</v>
      </c>
      <c r="AZ46" s="31" t="s">
        <v>474</v>
      </c>
      <c r="BA46" s="31" t="s">
        <v>474</v>
      </c>
      <c r="BB46" s="31" t="s">
        <v>474</v>
      </c>
    </row>
    <row r="47" spans="1:54" ht="20.100000000000001" customHeight="1">
      <c r="A47" s="31" t="s">
        <v>488</v>
      </c>
      <c r="B47" s="31" t="s">
        <v>474</v>
      </c>
      <c r="C47" s="31" t="s">
        <v>193</v>
      </c>
      <c r="D47" s="31" t="s">
        <v>474</v>
      </c>
      <c r="E47" s="31" t="s">
        <v>462</v>
      </c>
      <c r="F47" s="31" t="s">
        <v>474</v>
      </c>
      <c r="G47" s="31" t="s">
        <v>474</v>
      </c>
      <c r="H47" s="31" t="s">
        <v>474</v>
      </c>
      <c r="I47" s="31" t="s">
        <v>474</v>
      </c>
      <c r="J47" s="31" t="s">
        <v>474</v>
      </c>
      <c r="K47" s="31" t="s">
        <v>474</v>
      </c>
      <c r="L47" s="31" t="s">
        <v>474</v>
      </c>
      <c r="M47" s="31" t="s">
        <v>474</v>
      </c>
      <c r="N47" s="31" t="s">
        <v>474</v>
      </c>
      <c r="O47" s="31" t="s">
        <v>474</v>
      </c>
      <c r="P47" s="31" t="s">
        <v>474</v>
      </c>
      <c r="Q47" s="31" t="s">
        <v>474</v>
      </c>
      <c r="R47" s="31" t="s">
        <v>474</v>
      </c>
      <c r="S47" s="31" t="s">
        <v>474</v>
      </c>
      <c r="T47" s="31" t="s">
        <v>474</v>
      </c>
      <c r="U47" s="31" t="s">
        <v>193</v>
      </c>
      <c r="V47" s="31" t="s">
        <v>474</v>
      </c>
      <c r="W47" s="31" t="s">
        <v>474</v>
      </c>
      <c r="X47" s="31" t="s">
        <v>193</v>
      </c>
      <c r="Y47" s="31" t="s">
        <v>474</v>
      </c>
      <c r="Z47" s="31" t="s">
        <v>474</v>
      </c>
      <c r="AA47" s="31" t="s">
        <v>474</v>
      </c>
      <c r="AB47" s="31" t="s">
        <v>474</v>
      </c>
      <c r="AC47" s="31" t="s">
        <v>193</v>
      </c>
      <c r="AD47" s="31" t="s">
        <v>474</v>
      </c>
      <c r="AE47" s="31">
        <v>3</v>
      </c>
      <c r="AF47" s="31">
        <v>11</v>
      </c>
      <c r="AG47" s="31">
        <v>274</v>
      </c>
      <c r="AH47" s="31" t="s">
        <v>474</v>
      </c>
      <c r="AI47" s="31" t="s">
        <v>193</v>
      </c>
      <c r="AJ47" s="31" t="s">
        <v>474</v>
      </c>
      <c r="AK47" s="31" t="s">
        <v>474</v>
      </c>
      <c r="AL47" s="31" t="s">
        <v>474</v>
      </c>
      <c r="AM47" s="31">
        <v>3.34</v>
      </c>
      <c r="AN47" s="31">
        <v>97</v>
      </c>
      <c r="AO47" s="31">
        <v>775</v>
      </c>
      <c r="AP47" s="31" t="s">
        <v>474</v>
      </c>
      <c r="AQ47" s="31" t="s">
        <v>474</v>
      </c>
      <c r="AR47" s="31">
        <v>100</v>
      </c>
      <c r="AS47" s="31">
        <v>150</v>
      </c>
      <c r="AT47" s="31">
        <v>1</v>
      </c>
      <c r="AU47" s="31">
        <v>50</v>
      </c>
      <c r="AV47" s="31">
        <v>25</v>
      </c>
      <c r="AW47" s="31" t="s">
        <v>193</v>
      </c>
      <c r="AX47" s="31" t="s">
        <v>474</v>
      </c>
      <c r="AY47" s="31" t="s">
        <v>193</v>
      </c>
      <c r="AZ47" s="31" t="s">
        <v>474</v>
      </c>
      <c r="BA47" s="31" t="s">
        <v>474</v>
      </c>
      <c r="BB47" s="31" t="s">
        <v>474</v>
      </c>
    </row>
    <row r="48" spans="1:54" ht="20.100000000000001" customHeight="1">
      <c r="A48" s="31" t="s">
        <v>488</v>
      </c>
      <c r="B48" s="31" t="s">
        <v>474</v>
      </c>
      <c r="C48" s="31" t="s">
        <v>193</v>
      </c>
      <c r="D48" s="31" t="s">
        <v>474</v>
      </c>
      <c r="E48" s="31" t="s">
        <v>463</v>
      </c>
      <c r="F48" s="31" t="s">
        <v>474</v>
      </c>
      <c r="G48" s="31" t="s">
        <v>474</v>
      </c>
      <c r="H48" s="31" t="s">
        <v>474</v>
      </c>
      <c r="I48" s="31" t="s">
        <v>474</v>
      </c>
      <c r="J48" s="31" t="s">
        <v>474</v>
      </c>
      <c r="K48" s="31" t="s">
        <v>474</v>
      </c>
      <c r="L48" s="31" t="s">
        <v>474</v>
      </c>
      <c r="M48" s="31" t="s">
        <v>474</v>
      </c>
      <c r="N48" s="31" t="s">
        <v>474</v>
      </c>
      <c r="O48" s="31" t="s">
        <v>474</v>
      </c>
      <c r="P48" s="31" t="s">
        <v>474</v>
      </c>
      <c r="Q48" s="31" t="s">
        <v>474</v>
      </c>
      <c r="R48" s="31" t="s">
        <v>474</v>
      </c>
      <c r="S48" s="31" t="s">
        <v>474</v>
      </c>
      <c r="T48" s="31" t="s">
        <v>474</v>
      </c>
      <c r="U48" s="31" t="s">
        <v>193</v>
      </c>
      <c r="V48" s="31" t="s">
        <v>474</v>
      </c>
      <c r="W48" s="31" t="s">
        <v>193</v>
      </c>
      <c r="X48" s="31" t="s">
        <v>474</v>
      </c>
      <c r="Y48" s="31" t="s">
        <v>474</v>
      </c>
      <c r="Z48" s="31" t="s">
        <v>474</v>
      </c>
      <c r="AA48" s="31" t="s">
        <v>474</v>
      </c>
      <c r="AB48" s="31" t="s">
        <v>474</v>
      </c>
      <c r="AC48" s="31" t="s">
        <v>193</v>
      </c>
      <c r="AD48" s="31" t="s">
        <v>474</v>
      </c>
      <c r="AE48" s="31">
        <v>3</v>
      </c>
      <c r="AF48" s="31">
        <v>11</v>
      </c>
      <c r="AG48" s="31">
        <v>274</v>
      </c>
      <c r="AH48" s="31" t="s">
        <v>474</v>
      </c>
      <c r="AI48" s="31" t="s">
        <v>193</v>
      </c>
      <c r="AJ48" s="31" t="s">
        <v>474</v>
      </c>
      <c r="AK48" s="31" t="s">
        <v>474</v>
      </c>
      <c r="AL48" s="31" t="s">
        <v>474</v>
      </c>
      <c r="AM48" s="31">
        <v>4.18</v>
      </c>
      <c r="AN48" s="31">
        <v>121</v>
      </c>
      <c r="AO48" s="31">
        <v>970</v>
      </c>
      <c r="AP48" s="31" t="s">
        <v>474</v>
      </c>
      <c r="AQ48" s="31" t="s">
        <v>474</v>
      </c>
      <c r="AR48" s="31">
        <v>100</v>
      </c>
      <c r="AS48" s="31">
        <v>150</v>
      </c>
      <c r="AT48" s="31">
        <v>1</v>
      </c>
      <c r="AU48" s="31">
        <v>50</v>
      </c>
      <c r="AV48" s="31">
        <v>25</v>
      </c>
      <c r="AW48" s="31" t="s">
        <v>193</v>
      </c>
      <c r="AX48" s="31" t="s">
        <v>474</v>
      </c>
      <c r="AY48" s="31" t="s">
        <v>193</v>
      </c>
      <c r="AZ48" s="31" t="s">
        <v>474</v>
      </c>
      <c r="BA48" s="31" t="s">
        <v>474</v>
      </c>
      <c r="BB48" s="31" t="s">
        <v>474</v>
      </c>
    </row>
    <row r="49" spans="1:54" ht="20.100000000000001" customHeight="1">
      <c r="A49" s="31" t="s">
        <v>488</v>
      </c>
      <c r="B49" s="31" t="s">
        <v>474</v>
      </c>
      <c r="C49" s="31" t="s">
        <v>193</v>
      </c>
      <c r="D49" s="31" t="s">
        <v>474</v>
      </c>
      <c r="E49" s="31" t="s">
        <v>464</v>
      </c>
      <c r="F49" s="31" t="s">
        <v>474</v>
      </c>
      <c r="G49" s="31" t="s">
        <v>474</v>
      </c>
      <c r="H49" s="31" t="s">
        <v>474</v>
      </c>
      <c r="I49" s="31" t="s">
        <v>474</v>
      </c>
      <c r="J49" s="31" t="s">
        <v>474</v>
      </c>
      <c r="K49" s="31" t="s">
        <v>474</v>
      </c>
      <c r="L49" s="31" t="s">
        <v>474</v>
      </c>
      <c r="M49" s="31" t="s">
        <v>474</v>
      </c>
      <c r="N49" s="31" t="s">
        <v>474</v>
      </c>
      <c r="O49" s="31" t="s">
        <v>474</v>
      </c>
      <c r="P49" s="31" t="s">
        <v>474</v>
      </c>
      <c r="Q49" s="31" t="s">
        <v>474</v>
      </c>
      <c r="R49" s="31" t="s">
        <v>474</v>
      </c>
      <c r="S49" s="31" t="s">
        <v>474</v>
      </c>
      <c r="T49" s="31" t="s">
        <v>474</v>
      </c>
      <c r="U49" s="31" t="s">
        <v>193</v>
      </c>
      <c r="V49" s="31" t="s">
        <v>474</v>
      </c>
      <c r="W49" s="31" t="s">
        <v>193</v>
      </c>
      <c r="X49" s="31" t="s">
        <v>474</v>
      </c>
      <c r="Y49" s="31" t="s">
        <v>474</v>
      </c>
      <c r="Z49" s="31" t="s">
        <v>474</v>
      </c>
      <c r="AA49" s="31" t="s">
        <v>474</v>
      </c>
      <c r="AB49" s="31" t="s">
        <v>474</v>
      </c>
      <c r="AC49" s="31" t="s">
        <v>193</v>
      </c>
      <c r="AD49" s="31" t="s">
        <v>474</v>
      </c>
      <c r="AE49" s="31">
        <v>3</v>
      </c>
      <c r="AF49" s="31">
        <v>11</v>
      </c>
      <c r="AG49" s="31">
        <v>274</v>
      </c>
      <c r="AH49" s="31" t="s">
        <v>474</v>
      </c>
      <c r="AI49" s="31" t="s">
        <v>193</v>
      </c>
      <c r="AJ49" s="31" t="s">
        <v>474</v>
      </c>
      <c r="AK49" s="31" t="s">
        <v>474</v>
      </c>
      <c r="AL49" s="31" t="s">
        <v>474</v>
      </c>
      <c r="AM49" s="31">
        <v>4.18</v>
      </c>
      <c r="AN49" s="31">
        <v>121</v>
      </c>
      <c r="AO49" s="31">
        <v>970</v>
      </c>
      <c r="AP49" s="31" t="s">
        <v>474</v>
      </c>
      <c r="AQ49" s="31" t="s">
        <v>474</v>
      </c>
      <c r="AR49" s="31">
        <v>20</v>
      </c>
      <c r="AS49" s="31">
        <v>50</v>
      </c>
      <c r="AT49" s="31">
        <v>0.3</v>
      </c>
      <c r="AU49" s="31">
        <v>50</v>
      </c>
      <c r="AV49" s="31">
        <v>20</v>
      </c>
      <c r="AW49" s="31" t="s">
        <v>193</v>
      </c>
      <c r="AX49" s="31" t="s">
        <v>474</v>
      </c>
      <c r="AY49" s="31" t="s">
        <v>193</v>
      </c>
      <c r="AZ49" s="31" t="s">
        <v>474</v>
      </c>
      <c r="BA49" s="31" t="s">
        <v>474</v>
      </c>
      <c r="BB49" s="31" t="s">
        <v>474</v>
      </c>
    </row>
    <row r="50" spans="1:54" ht="20.100000000000001" customHeight="1">
      <c r="A50" s="31" t="s">
        <v>488</v>
      </c>
      <c r="B50" s="31" t="s">
        <v>474</v>
      </c>
      <c r="C50" s="31" t="s">
        <v>193</v>
      </c>
      <c r="D50" s="31" t="s">
        <v>474</v>
      </c>
      <c r="E50" s="31" t="s">
        <v>465</v>
      </c>
      <c r="F50" s="31" t="s">
        <v>474</v>
      </c>
      <c r="G50" s="31" t="s">
        <v>474</v>
      </c>
      <c r="H50" s="31" t="s">
        <v>474</v>
      </c>
      <c r="I50" s="31" t="s">
        <v>474</v>
      </c>
      <c r="J50" s="31" t="s">
        <v>474</v>
      </c>
      <c r="K50" s="31" t="s">
        <v>474</v>
      </c>
      <c r="L50" s="31" t="s">
        <v>474</v>
      </c>
      <c r="M50" s="31" t="s">
        <v>474</v>
      </c>
      <c r="N50" s="31" t="s">
        <v>474</v>
      </c>
      <c r="O50" s="31" t="s">
        <v>474</v>
      </c>
      <c r="P50" s="31" t="s">
        <v>474</v>
      </c>
      <c r="Q50" s="31" t="s">
        <v>474</v>
      </c>
      <c r="R50" s="31" t="s">
        <v>474</v>
      </c>
      <c r="S50" s="31" t="s">
        <v>474</v>
      </c>
      <c r="T50" s="31" t="s">
        <v>474</v>
      </c>
      <c r="U50" s="31" t="s">
        <v>193</v>
      </c>
      <c r="V50" s="31" t="s">
        <v>474</v>
      </c>
      <c r="W50" s="31" t="s">
        <v>193</v>
      </c>
      <c r="X50" s="31" t="s">
        <v>474</v>
      </c>
      <c r="Y50" s="31" t="s">
        <v>474</v>
      </c>
      <c r="Z50" s="31" t="s">
        <v>474</v>
      </c>
      <c r="AA50" s="31" t="s">
        <v>474</v>
      </c>
      <c r="AB50" s="31" t="s">
        <v>474</v>
      </c>
      <c r="AC50" s="31" t="s">
        <v>193</v>
      </c>
      <c r="AD50" s="31" t="s">
        <v>474</v>
      </c>
      <c r="AE50" s="31">
        <v>3</v>
      </c>
      <c r="AF50" s="31">
        <v>11</v>
      </c>
      <c r="AG50" s="31">
        <v>274</v>
      </c>
      <c r="AH50" s="31" t="s">
        <v>474</v>
      </c>
      <c r="AI50" s="31" t="s">
        <v>193</v>
      </c>
      <c r="AJ50" s="31" t="s">
        <v>474</v>
      </c>
      <c r="AK50" s="31" t="s">
        <v>474</v>
      </c>
      <c r="AL50" s="31" t="s">
        <v>474</v>
      </c>
      <c r="AM50" s="31">
        <v>3.3</v>
      </c>
      <c r="AN50" s="31">
        <v>96</v>
      </c>
      <c r="AO50" s="31">
        <v>766</v>
      </c>
      <c r="AP50" s="31" t="s">
        <v>474</v>
      </c>
      <c r="AQ50" s="31" t="s">
        <v>474</v>
      </c>
      <c r="AR50" s="31">
        <v>30</v>
      </c>
      <c r="AS50" s="31">
        <v>50</v>
      </c>
      <c r="AT50" s="31">
        <v>0.5</v>
      </c>
      <c r="AU50" s="31">
        <v>30</v>
      </c>
      <c r="AV50" s="31">
        <v>32</v>
      </c>
      <c r="AW50" s="31" t="s">
        <v>193</v>
      </c>
      <c r="AX50" s="31" t="s">
        <v>474</v>
      </c>
      <c r="AY50" s="31" t="s">
        <v>193</v>
      </c>
      <c r="AZ50" s="31" t="s">
        <v>474</v>
      </c>
      <c r="BA50" s="31" t="s">
        <v>474</v>
      </c>
      <c r="BB50" s="31" t="s">
        <v>474</v>
      </c>
    </row>
    <row r="51" spans="1:54" ht="20.100000000000001" customHeight="1">
      <c r="A51" s="31" t="s">
        <v>488</v>
      </c>
      <c r="B51" s="31" t="s">
        <v>193</v>
      </c>
      <c r="C51" s="31" t="s">
        <v>474</v>
      </c>
      <c r="D51" s="31" t="s">
        <v>474</v>
      </c>
      <c r="E51" s="31" t="s">
        <v>466</v>
      </c>
      <c r="F51" s="31" t="s">
        <v>474</v>
      </c>
      <c r="G51" s="31" t="s">
        <v>474</v>
      </c>
      <c r="H51" s="31" t="s">
        <v>474</v>
      </c>
      <c r="I51" s="31" t="s">
        <v>474</v>
      </c>
      <c r="J51" s="31" t="s">
        <v>474</v>
      </c>
      <c r="K51" s="31" t="s">
        <v>474</v>
      </c>
      <c r="L51" s="31" t="s">
        <v>474</v>
      </c>
      <c r="M51" s="31" t="s">
        <v>474</v>
      </c>
      <c r="N51" s="31" t="s">
        <v>474</v>
      </c>
      <c r="O51" s="31" t="s">
        <v>474</v>
      </c>
      <c r="P51" s="31" t="s">
        <v>474</v>
      </c>
      <c r="Q51" s="31" t="s">
        <v>474</v>
      </c>
      <c r="R51" s="31" t="s">
        <v>474</v>
      </c>
      <c r="S51" s="31" t="s">
        <v>474</v>
      </c>
      <c r="T51" s="31" t="s">
        <v>474</v>
      </c>
      <c r="U51" s="31" t="s">
        <v>193</v>
      </c>
      <c r="V51" s="31" t="s">
        <v>474</v>
      </c>
      <c r="W51" s="31" t="s">
        <v>193</v>
      </c>
      <c r="X51" s="31" t="s">
        <v>474</v>
      </c>
      <c r="Y51" s="31" t="s">
        <v>474</v>
      </c>
      <c r="Z51" s="31" t="s">
        <v>474</v>
      </c>
      <c r="AA51" s="31" t="s">
        <v>474</v>
      </c>
      <c r="AB51" s="31" t="s">
        <v>193</v>
      </c>
      <c r="AC51" s="31" t="s">
        <v>474</v>
      </c>
      <c r="AD51" s="31" t="s">
        <v>474</v>
      </c>
      <c r="AE51" s="31">
        <v>3</v>
      </c>
      <c r="AF51" s="31">
        <v>11</v>
      </c>
      <c r="AG51" s="31">
        <v>274</v>
      </c>
      <c r="AH51" s="31" t="s">
        <v>474</v>
      </c>
      <c r="AI51" s="31" t="s">
        <v>193</v>
      </c>
      <c r="AJ51" s="31" t="s">
        <v>474</v>
      </c>
      <c r="AK51" s="31" t="s">
        <v>474</v>
      </c>
      <c r="AL51" s="31" t="s">
        <v>474</v>
      </c>
      <c r="AM51" s="31">
        <v>9.02</v>
      </c>
      <c r="AN51" s="31">
        <v>262</v>
      </c>
      <c r="AO51" s="46">
        <v>2093</v>
      </c>
      <c r="AP51" s="31" t="s">
        <v>474</v>
      </c>
      <c r="AQ51" s="31" t="s">
        <v>474</v>
      </c>
      <c r="AR51" s="31">
        <v>114</v>
      </c>
      <c r="AS51" s="31">
        <v>200</v>
      </c>
      <c r="AT51" s="31">
        <v>3</v>
      </c>
      <c r="AU51" s="31">
        <v>160</v>
      </c>
      <c r="AV51" s="31">
        <v>32</v>
      </c>
      <c r="AW51" s="31" t="s">
        <v>193</v>
      </c>
      <c r="AX51" s="31" t="s">
        <v>193</v>
      </c>
      <c r="AY51" s="31" t="s">
        <v>193</v>
      </c>
      <c r="AZ51" s="31" t="s">
        <v>193</v>
      </c>
      <c r="BA51" s="31" t="s">
        <v>193</v>
      </c>
      <c r="BB51" s="31" t="s">
        <v>474</v>
      </c>
    </row>
    <row r="52" spans="1:54" ht="20.100000000000001" customHeight="1">
      <c r="A52" s="31" t="s">
        <v>488</v>
      </c>
      <c r="B52" s="31" t="s">
        <v>474</v>
      </c>
      <c r="C52" s="31" t="s">
        <v>193</v>
      </c>
      <c r="D52" s="31" t="s">
        <v>474</v>
      </c>
      <c r="E52" s="31" t="s">
        <v>467</v>
      </c>
      <c r="F52" s="31" t="s">
        <v>474</v>
      </c>
      <c r="G52" s="31" t="s">
        <v>474</v>
      </c>
      <c r="H52" s="31" t="s">
        <v>474</v>
      </c>
      <c r="I52" s="31" t="s">
        <v>474</v>
      </c>
      <c r="J52" s="31" t="s">
        <v>474</v>
      </c>
      <c r="K52" s="31" t="s">
        <v>474</v>
      </c>
      <c r="L52" s="31" t="s">
        <v>474</v>
      </c>
      <c r="M52" s="31" t="s">
        <v>474</v>
      </c>
      <c r="N52" s="31" t="s">
        <v>474</v>
      </c>
      <c r="O52" s="31" t="s">
        <v>474</v>
      </c>
      <c r="P52" s="31" t="s">
        <v>474</v>
      </c>
      <c r="Q52" s="31" t="s">
        <v>474</v>
      </c>
      <c r="R52" s="31" t="s">
        <v>474</v>
      </c>
      <c r="S52" s="31" t="s">
        <v>474</v>
      </c>
      <c r="T52" s="31" t="s">
        <v>474</v>
      </c>
      <c r="U52" s="31" t="s">
        <v>193</v>
      </c>
      <c r="V52" s="31" t="s">
        <v>474</v>
      </c>
      <c r="W52" s="31" t="s">
        <v>193</v>
      </c>
      <c r="X52" s="31" t="s">
        <v>474</v>
      </c>
      <c r="Y52" s="31" t="s">
        <v>474</v>
      </c>
      <c r="Z52" s="31" t="s">
        <v>474</v>
      </c>
      <c r="AA52" s="31" t="s">
        <v>474</v>
      </c>
      <c r="AB52" s="31" t="s">
        <v>474</v>
      </c>
      <c r="AC52" s="31" t="s">
        <v>193</v>
      </c>
      <c r="AD52" s="31" t="s">
        <v>474</v>
      </c>
      <c r="AE52" s="31">
        <v>3</v>
      </c>
      <c r="AF52" s="31">
        <v>11</v>
      </c>
      <c r="AG52" s="31">
        <v>274</v>
      </c>
      <c r="AH52" s="31" t="s">
        <v>474</v>
      </c>
      <c r="AI52" s="31" t="s">
        <v>193</v>
      </c>
      <c r="AJ52" s="31" t="s">
        <v>474</v>
      </c>
      <c r="AK52" s="31" t="s">
        <v>474</v>
      </c>
      <c r="AL52" s="31" t="s">
        <v>474</v>
      </c>
      <c r="AM52" s="31">
        <v>5.5</v>
      </c>
      <c r="AN52" s="31">
        <v>160</v>
      </c>
      <c r="AO52" s="46">
        <v>1276</v>
      </c>
      <c r="AP52" s="31" t="s">
        <v>474</v>
      </c>
      <c r="AQ52" s="31" t="s">
        <v>474</v>
      </c>
      <c r="AR52" s="31">
        <v>96</v>
      </c>
      <c r="AS52" s="31">
        <v>150</v>
      </c>
      <c r="AT52" s="31">
        <v>2</v>
      </c>
      <c r="AU52" s="31">
        <v>80</v>
      </c>
      <c r="AV52" s="31">
        <v>30</v>
      </c>
      <c r="AW52" s="31" t="s">
        <v>193</v>
      </c>
      <c r="AX52" s="31" t="s">
        <v>474</v>
      </c>
      <c r="AY52" s="31" t="s">
        <v>193</v>
      </c>
      <c r="AZ52" s="31" t="s">
        <v>474</v>
      </c>
      <c r="BA52" s="31" t="s">
        <v>474</v>
      </c>
      <c r="BB52" s="31" t="s">
        <v>474</v>
      </c>
    </row>
    <row r="53" spans="1:54" ht="20.100000000000001" customHeight="1">
      <c r="A53" s="31" t="s">
        <v>488</v>
      </c>
      <c r="B53" s="31" t="s">
        <v>474</v>
      </c>
      <c r="C53" s="31" t="s">
        <v>193</v>
      </c>
      <c r="D53" s="31" t="s">
        <v>474</v>
      </c>
      <c r="E53" s="31" t="s">
        <v>468</v>
      </c>
      <c r="F53" s="31" t="s">
        <v>474</v>
      </c>
      <c r="G53" s="31" t="s">
        <v>474</v>
      </c>
      <c r="H53" s="31" t="s">
        <v>474</v>
      </c>
      <c r="I53" s="31" t="s">
        <v>474</v>
      </c>
      <c r="J53" s="31" t="s">
        <v>474</v>
      </c>
      <c r="K53" s="31" t="s">
        <v>474</v>
      </c>
      <c r="L53" s="31" t="s">
        <v>474</v>
      </c>
      <c r="M53" s="31" t="s">
        <v>474</v>
      </c>
      <c r="N53" s="31" t="s">
        <v>474</v>
      </c>
      <c r="O53" s="31" t="s">
        <v>474</v>
      </c>
      <c r="P53" s="31" t="s">
        <v>474</v>
      </c>
      <c r="Q53" s="31" t="s">
        <v>474</v>
      </c>
      <c r="R53" s="31" t="s">
        <v>474</v>
      </c>
      <c r="S53" s="31" t="s">
        <v>474</v>
      </c>
      <c r="T53" s="31" t="s">
        <v>474</v>
      </c>
      <c r="U53" s="31" t="s">
        <v>193</v>
      </c>
      <c r="V53" s="31" t="s">
        <v>193</v>
      </c>
      <c r="W53" s="31" t="s">
        <v>474</v>
      </c>
      <c r="X53" s="31" t="s">
        <v>474</v>
      </c>
      <c r="Y53" s="31" t="s">
        <v>474</v>
      </c>
      <c r="Z53" s="31" t="s">
        <v>474</v>
      </c>
      <c r="AA53" s="31" t="s">
        <v>474</v>
      </c>
      <c r="AB53" s="31" t="s">
        <v>474</v>
      </c>
      <c r="AC53" s="31" t="s">
        <v>193</v>
      </c>
      <c r="AD53" s="31" t="s">
        <v>474</v>
      </c>
      <c r="AE53" s="31">
        <v>3</v>
      </c>
      <c r="AF53" s="31">
        <v>11</v>
      </c>
      <c r="AG53" s="31">
        <v>274</v>
      </c>
      <c r="AH53" s="31" t="s">
        <v>474</v>
      </c>
      <c r="AI53" s="31" t="s">
        <v>193</v>
      </c>
      <c r="AJ53" s="31" t="s">
        <v>474</v>
      </c>
      <c r="AK53" s="31" t="s">
        <v>474</v>
      </c>
      <c r="AL53" s="31" t="s">
        <v>474</v>
      </c>
      <c r="AM53" s="31">
        <v>7.06</v>
      </c>
      <c r="AN53" s="31">
        <v>205</v>
      </c>
      <c r="AO53" s="46">
        <v>1638</v>
      </c>
      <c r="AP53" s="31" t="s">
        <v>474</v>
      </c>
      <c r="AQ53" s="31" t="s">
        <v>474</v>
      </c>
      <c r="AR53" s="31">
        <v>100</v>
      </c>
      <c r="AS53" s="31">
        <v>150</v>
      </c>
      <c r="AT53" s="31">
        <v>2</v>
      </c>
      <c r="AU53" s="31">
        <v>100</v>
      </c>
      <c r="AV53" s="31">
        <v>32</v>
      </c>
      <c r="AW53" s="31" t="s">
        <v>193</v>
      </c>
      <c r="AX53" s="31" t="s">
        <v>474</v>
      </c>
      <c r="AY53" s="31" t="s">
        <v>193</v>
      </c>
      <c r="AZ53" s="31" t="s">
        <v>474</v>
      </c>
      <c r="BA53" s="31" t="s">
        <v>474</v>
      </c>
      <c r="BB53" s="31" t="s">
        <v>474</v>
      </c>
    </row>
    <row r="54" spans="1:54" ht="20.100000000000001" customHeight="1">
      <c r="A54" s="31" t="s">
        <v>488</v>
      </c>
      <c r="B54" s="31" t="s">
        <v>474</v>
      </c>
      <c r="C54" s="31" t="s">
        <v>193</v>
      </c>
      <c r="D54" s="31" t="s">
        <v>474</v>
      </c>
      <c r="E54" s="31" t="s">
        <v>469</v>
      </c>
      <c r="F54" s="31" t="s">
        <v>474</v>
      </c>
      <c r="G54" s="31" t="s">
        <v>474</v>
      </c>
      <c r="H54" s="31" t="s">
        <v>474</v>
      </c>
      <c r="I54" s="31" t="s">
        <v>474</v>
      </c>
      <c r="J54" s="31" t="s">
        <v>474</v>
      </c>
      <c r="K54" s="31" t="s">
        <v>474</v>
      </c>
      <c r="L54" s="31" t="s">
        <v>474</v>
      </c>
      <c r="M54" s="31" t="s">
        <v>474</v>
      </c>
      <c r="N54" s="31" t="s">
        <v>474</v>
      </c>
      <c r="O54" s="31" t="s">
        <v>474</v>
      </c>
      <c r="P54" s="31" t="s">
        <v>474</v>
      </c>
      <c r="Q54" s="31" t="s">
        <v>474</v>
      </c>
      <c r="R54" s="31" t="s">
        <v>474</v>
      </c>
      <c r="S54" s="31" t="s">
        <v>474</v>
      </c>
      <c r="T54" s="31" t="s">
        <v>474</v>
      </c>
      <c r="U54" s="31" t="s">
        <v>193</v>
      </c>
      <c r="V54" s="31" t="s">
        <v>474</v>
      </c>
      <c r="W54" s="31" t="s">
        <v>193</v>
      </c>
      <c r="X54" s="31" t="s">
        <v>474</v>
      </c>
      <c r="Y54" s="31" t="s">
        <v>474</v>
      </c>
      <c r="Z54" s="31" t="s">
        <v>474</v>
      </c>
      <c r="AA54" s="31" t="s">
        <v>474</v>
      </c>
      <c r="AB54" s="31" t="s">
        <v>474</v>
      </c>
      <c r="AC54" s="31" t="s">
        <v>193</v>
      </c>
      <c r="AD54" s="31" t="s">
        <v>474</v>
      </c>
      <c r="AE54" s="31">
        <v>3</v>
      </c>
      <c r="AF54" s="31">
        <v>11</v>
      </c>
      <c r="AG54" s="31">
        <v>274</v>
      </c>
      <c r="AH54" s="31" t="s">
        <v>474</v>
      </c>
      <c r="AI54" s="31" t="s">
        <v>193</v>
      </c>
      <c r="AJ54" s="31" t="s">
        <v>474</v>
      </c>
      <c r="AK54" s="31" t="s">
        <v>474</v>
      </c>
      <c r="AL54" s="31" t="s">
        <v>474</v>
      </c>
      <c r="AM54" s="31">
        <v>4.18</v>
      </c>
      <c r="AN54" s="31">
        <v>121</v>
      </c>
      <c r="AO54" s="31">
        <v>970</v>
      </c>
      <c r="AP54" s="31" t="s">
        <v>474</v>
      </c>
      <c r="AQ54" s="31" t="s">
        <v>474</v>
      </c>
      <c r="AR54" s="31">
        <v>21</v>
      </c>
      <c r="AS54" s="31">
        <v>50</v>
      </c>
      <c r="AT54" s="31">
        <v>0.5</v>
      </c>
      <c r="AU54" s="31">
        <v>50</v>
      </c>
      <c r="AV54" s="31">
        <v>40</v>
      </c>
      <c r="AW54" s="31" t="s">
        <v>193</v>
      </c>
      <c r="AX54" s="31" t="s">
        <v>474</v>
      </c>
      <c r="AY54" s="31" t="s">
        <v>193</v>
      </c>
      <c r="AZ54" s="31" t="s">
        <v>474</v>
      </c>
      <c r="BA54" s="31" t="s">
        <v>474</v>
      </c>
      <c r="BB54" s="31" t="s">
        <v>474</v>
      </c>
    </row>
    <row r="55" spans="1:54" ht="20.100000000000001" customHeight="1">
      <c r="A55" s="31" t="s">
        <v>488</v>
      </c>
      <c r="B55" s="31" t="s">
        <v>474</v>
      </c>
      <c r="C55" s="31" t="s">
        <v>193</v>
      </c>
      <c r="D55" s="31" t="s">
        <v>474</v>
      </c>
      <c r="E55" s="31" t="s">
        <v>470</v>
      </c>
      <c r="F55" s="31" t="s">
        <v>474</v>
      </c>
      <c r="G55" s="31" t="s">
        <v>474</v>
      </c>
      <c r="H55" s="31" t="s">
        <v>474</v>
      </c>
      <c r="I55" s="31" t="s">
        <v>474</v>
      </c>
      <c r="J55" s="31" t="s">
        <v>474</v>
      </c>
      <c r="K55" s="31" t="s">
        <v>474</v>
      </c>
      <c r="L55" s="31" t="s">
        <v>474</v>
      </c>
      <c r="M55" s="31" t="s">
        <v>474</v>
      </c>
      <c r="N55" s="31" t="s">
        <v>474</v>
      </c>
      <c r="O55" s="31" t="s">
        <v>193</v>
      </c>
      <c r="P55" s="31" t="s">
        <v>474</v>
      </c>
      <c r="Q55" s="31" t="s">
        <v>474</v>
      </c>
      <c r="R55" s="31" t="s">
        <v>474</v>
      </c>
      <c r="S55" s="31" t="s">
        <v>193</v>
      </c>
      <c r="T55" s="31" t="s">
        <v>474</v>
      </c>
      <c r="U55" s="31" t="s">
        <v>474</v>
      </c>
      <c r="V55" s="31" t="s">
        <v>474</v>
      </c>
      <c r="W55" s="31" t="s">
        <v>474</v>
      </c>
      <c r="X55" s="31" t="s">
        <v>474</v>
      </c>
      <c r="Y55" s="31" t="s">
        <v>474</v>
      </c>
      <c r="Z55" s="31" t="s">
        <v>474</v>
      </c>
      <c r="AA55" s="31" t="s">
        <v>474</v>
      </c>
      <c r="AB55" s="31" t="s">
        <v>474</v>
      </c>
      <c r="AC55" s="31" t="s">
        <v>193</v>
      </c>
      <c r="AD55" s="31" t="s">
        <v>193</v>
      </c>
      <c r="AE55" s="31">
        <v>1</v>
      </c>
      <c r="AF55" s="31">
        <v>12</v>
      </c>
      <c r="AG55" s="31">
        <v>365</v>
      </c>
      <c r="AH55" s="31" t="s">
        <v>474</v>
      </c>
      <c r="AI55" s="31" t="s">
        <v>193</v>
      </c>
      <c r="AJ55" s="31" t="s">
        <v>474</v>
      </c>
      <c r="AK55" s="31" t="s">
        <v>474</v>
      </c>
      <c r="AL55" s="31" t="s">
        <v>474</v>
      </c>
      <c r="AM55" s="31">
        <v>9</v>
      </c>
      <c r="AN55" s="31">
        <v>261</v>
      </c>
      <c r="AO55" s="46">
        <v>2088</v>
      </c>
      <c r="AP55" s="31" t="s">
        <v>474</v>
      </c>
      <c r="AQ55" s="31" t="s">
        <v>474</v>
      </c>
      <c r="AR55" s="31">
        <v>100</v>
      </c>
      <c r="AS55" s="31">
        <v>200</v>
      </c>
      <c r="AT55" s="31">
        <v>2</v>
      </c>
      <c r="AU55" s="31">
        <v>95</v>
      </c>
      <c r="AV55" s="31">
        <v>32</v>
      </c>
      <c r="AW55" s="31" t="s">
        <v>193</v>
      </c>
      <c r="AX55" s="31" t="s">
        <v>474</v>
      </c>
      <c r="AY55" s="31" t="s">
        <v>193</v>
      </c>
      <c r="AZ55" s="31" t="s">
        <v>474</v>
      </c>
      <c r="BA55" s="31" t="s">
        <v>474</v>
      </c>
      <c r="BB55" s="31" t="s">
        <v>474</v>
      </c>
    </row>
    <row r="56" spans="1:54" ht="20.100000000000001" customHeight="1">
      <c r="A56" s="31" t="s">
        <v>488</v>
      </c>
      <c r="B56" s="31" t="s">
        <v>474</v>
      </c>
      <c r="C56" s="31" t="s">
        <v>193</v>
      </c>
      <c r="D56" s="31" t="s">
        <v>474</v>
      </c>
      <c r="E56" s="31" t="s">
        <v>472</v>
      </c>
      <c r="F56" s="31" t="s">
        <v>474</v>
      </c>
      <c r="G56" s="31" t="s">
        <v>474</v>
      </c>
      <c r="H56" s="31" t="s">
        <v>474</v>
      </c>
      <c r="I56" s="31" t="s">
        <v>474</v>
      </c>
      <c r="J56" s="31" t="s">
        <v>474</v>
      </c>
      <c r="K56" s="31" t="s">
        <v>474</v>
      </c>
      <c r="L56" s="31" t="s">
        <v>474</v>
      </c>
      <c r="M56" s="31" t="s">
        <v>474</v>
      </c>
      <c r="N56" s="31" t="s">
        <v>474</v>
      </c>
      <c r="O56" s="31" t="s">
        <v>193</v>
      </c>
      <c r="P56" s="31" t="s">
        <v>474</v>
      </c>
      <c r="Q56" s="31" t="s">
        <v>474</v>
      </c>
      <c r="R56" s="31" t="s">
        <v>474</v>
      </c>
      <c r="S56" s="31" t="s">
        <v>474</v>
      </c>
      <c r="T56" s="31" t="s">
        <v>193</v>
      </c>
      <c r="U56" s="31" t="s">
        <v>474</v>
      </c>
      <c r="V56" s="31" t="s">
        <v>474</v>
      </c>
      <c r="W56" s="31" t="s">
        <v>474</v>
      </c>
      <c r="X56" s="31" t="s">
        <v>474</v>
      </c>
      <c r="Y56" s="31" t="s">
        <v>474</v>
      </c>
      <c r="Z56" s="31" t="s">
        <v>474</v>
      </c>
      <c r="AA56" s="31" t="s">
        <v>474</v>
      </c>
      <c r="AB56" s="31" t="s">
        <v>474</v>
      </c>
      <c r="AC56" s="31" t="s">
        <v>193</v>
      </c>
      <c r="AD56" s="31" t="s">
        <v>193</v>
      </c>
      <c r="AE56" s="31">
        <v>1</v>
      </c>
      <c r="AF56" s="31">
        <v>12</v>
      </c>
      <c r="AG56" s="31">
        <v>365</v>
      </c>
      <c r="AH56" s="31" t="s">
        <v>474</v>
      </c>
      <c r="AI56" s="31" t="s">
        <v>193</v>
      </c>
      <c r="AJ56" s="31" t="s">
        <v>474</v>
      </c>
      <c r="AK56" s="31" t="s">
        <v>474</v>
      </c>
      <c r="AL56" s="31" t="s">
        <v>474</v>
      </c>
      <c r="AM56" s="31">
        <v>5</v>
      </c>
      <c r="AN56" s="31">
        <v>145</v>
      </c>
      <c r="AO56" s="46">
        <v>1160</v>
      </c>
      <c r="AP56" s="31" t="s">
        <v>474</v>
      </c>
      <c r="AQ56" s="31" t="s">
        <v>474</v>
      </c>
      <c r="AR56" s="31">
        <v>60</v>
      </c>
      <c r="AS56" s="31">
        <v>100</v>
      </c>
      <c r="AT56" s="31">
        <v>1</v>
      </c>
      <c r="AU56" s="31">
        <v>50</v>
      </c>
      <c r="AV56" s="31">
        <v>20</v>
      </c>
      <c r="AW56" s="31" t="s">
        <v>193</v>
      </c>
      <c r="AX56" s="31" t="s">
        <v>474</v>
      </c>
      <c r="AY56" s="31" t="s">
        <v>193</v>
      </c>
      <c r="AZ56" s="31" t="s">
        <v>474</v>
      </c>
      <c r="BA56" s="31" t="s">
        <v>474</v>
      </c>
      <c r="BB56" s="31" t="s">
        <v>474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2023-08-13T05:32:51Z</dcterms:modified>
</cp:coreProperties>
</file>