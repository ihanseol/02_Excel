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사용관정\"/>
    </mc:Choice>
  </mc:AlternateContent>
  <xr:revisionPtr revIDLastSave="0" documentId="13_ncr:1_{D0B10FFB-EC9D-4663-8F99-8914AB1ABC9E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14" i="8" l="1"/>
  <c r="M13" i="8"/>
  <c r="M12" i="8"/>
  <c r="M41" i="10"/>
  <c r="M40" i="10"/>
  <c r="M3" i="11"/>
  <c r="M39" i="10"/>
  <c r="M11" i="8"/>
  <c r="M10" i="8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F20" i="8"/>
  <c r="E20" i="8" s="1"/>
  <c r="F19" i="8"/>
  <c r="E19" i="8" s="1"/>
  <c r="M3" i="8"/>
  <c r="M4" i="8"/>
  <c r="M5" i="8"/>
  <c r="M6" i="8"/>
  <c r="M2" i="8"/>
  <c r="J9" i="12"/>
  <c r="M3" i="10"/>
  <c r="M4" i="10"/>
  <c r="M2" i="10"/>
  <c r="D10" i="11" l="1"/>
  <c r="C10" i="11"/>
  <c r="D9" i="11"/>
  <c r="L6" i="11"/>
  <c r="C9" i="11" s="1"/>
  <c r="M2" i="11"/>
  <c r="C46" i="10"/>
  <c r="C45" i="10"/>
  <c r="J20" i="8" l="1"/>
  <c r="I20" i="8" s="1"/>
  <c r="J19" i="8"/>
  <c r="I19" i="8" s="1"/>
  <c r="D46" i="10"/>
  <c r="D11" i="11"/>
  <c r="D45" i="10"/>
  <c r="L44" i="10"/>
  <c r="L17" i="8"/>
  <c r="H20" i="8" l="1"/>
  <c r="H19" i="8"/>
  <c r="L19" i="8"/>
  <c r="D47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<sst xmlns="http://schemas.openxmlformats.org/spreadsheetml/2006/main" count="1135" uniqueCount="440">
  <si>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</si>
  <si>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</si>
  <si>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</si>
  <si>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</si>
  <si>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</si>
  <si>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</si>
  <si>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</si>
  <si>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</si>
  <si>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</si>
  <si>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</si>
  <si>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</si>
  <si>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</si>
  <si>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</si>
  <si>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</si>
  <si>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</si>
  <si>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</si>
  <si>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</si>
  <si>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</si>
  <si>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</si>
  <si>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</si>
  <si>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</si>
  <si>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</si>
  <si>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</si>
  <si>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</si>
  <si>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</si>
  <si>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</si>
  <si>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</si>
  <si>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</si>
  <si>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</si>
  <si>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</si>
  <si>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</si>
  <si>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</si>
  <si>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</si>
  <si>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</si>
  <si>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</si>
  <si>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</si>
  <si>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</si>
  <si>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</si>
  <si>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</si>
  <si>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</si>
  <si>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</si>
  <si>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</si>
  <si>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</si>
  <si>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</si>
  <si>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</si>
  <si>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</si>
  <si>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</si>
  <si>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</si>
  <si>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</si>
  <si>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</si>
  <si>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</si>
  <si>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</si>
  <si>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</si>
  <si>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</si>
  <si>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</si>
  <si>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</si>
  <si>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</si>
  <si>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</si>
  <si>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</si>
  <si>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</si>
  <si>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</si>
  <si>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</si>
  <si>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</si>
  <si>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</si>
  <si>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</si>
  <si>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</si>
  <si>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</si>
  <si>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</si>
  <si>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</si>
  <si>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</si>
  <si>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</si>
  <si>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</si>
  <si>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</si>
  <si>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</si>
  <si>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</si>
  <si>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</si>
  <si>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</si>
  <si>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</si>
  <si>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</si>
  <si>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</si>
  <si>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</si>
  <si>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</si>
  <si>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</si>
  <si>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</si>
  <si>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</si>
  <si>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</si>
  <si>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</si>
  <si>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</si>
  <si>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</si>
  <si>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</si>
  <si>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</si>
  <si>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</si>
  <si>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</si>
  <si>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</si>
  <si>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</si>
  <si>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</si>
  <si>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</si>
  <si>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</si>
  <si>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</si>
  <si>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</si>
  <si>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</si>
  <si>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</si>
  <si>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</si>
  <si>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</si>
  <si>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</si>
  <si>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</si>
  <si>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</si>
  <si>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</si>
  <si>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</si>
  <si>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</si>
  <si>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</si>
  <si>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</si>
  <si>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</si>
  <si>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</si>
  <si>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</si>
  <si>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</si>
  <si>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</si>
  <si>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</si>
  <si>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</si>
  <si>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</si>
  <si>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</si>
  <si>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</si>
  <si>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</si>
  <si>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</si>
  <si>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</si>
  <si>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</si>
  <si>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</si>
  <si>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</si>
  <si>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</si>
  <si>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</si>
  <si>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</si>
  <si>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</si>
  <si>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</si>
  <si>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</si>
  <si>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</si>
  <si>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</si>
  <si>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</si>
  <si>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</si>
  <si>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</si>
  <si>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</si>
  <si>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</si>
  <si>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</si>
  <si>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</si>
  <si>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</si>
  <si>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</si>
  <si>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</si>
  <si>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</si>
  <si>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</si>
  <si>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</si>
  <si>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</si>
  <si>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</si>
  <si>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</si>
  <si>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</si>
  <si>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</si>
  <si>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</si>
  <si>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</si>
  <si>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</si>
  <si>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</si>
  <si>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</si>
  <si>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</si>
  <si>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</si>
  <si>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</si>
  <si>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</si>
  <si>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</si>
  <si>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</si>
  <si>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</si>
  <si>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</si>
  <si>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</si>
  <si>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</si>
  <si>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</si>
  <si>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</si>
  <si>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</si>
  <si>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</si>
  <si>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</si>
  <si>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</si>
  <si>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</si>
  <si>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</si>
  <si>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</si>
  <si>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</si>
  <si>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</si>
  <si>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</si>
  <si>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</si>
  <si>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</si>
  <si>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</si>
  <si>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</si>
  <si>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</si>
  <si>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</si>
  <si>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</si>
  <si>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</si>
  <si>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</si>
  <si>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</si>
  <si>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</si>
  <si>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</si>
  <si>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</si>
  <si>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</si>
  <si>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</si>
  <si>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</si>
  <si>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</si>
  <si>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</si>
  <si>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</si>
  <si>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</si>
  <si>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</si>
  <si>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</si>
  <si>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</si>
  <si>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</si>
  <si>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</si>
  <si>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</si>
  <si>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</si>
  <si>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</si>
  <si>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</si>
  <si>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</si>
  <si>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</si>
  <si>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</si>
  <si>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</si>
  <si>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</si>
  <si>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</si>
  <si>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</si>
  <si>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</si>
  <si>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</si>
  <si>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</si>
  <si>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</si>
  <si>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</si>
  <si>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</si>
  <si>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</si>
  <si>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</si>
  <si>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</si>
  <si>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</si>
  <si>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</si>
  <si>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</si>
  <si>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</si>
  <si>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</si>
  <si>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</si>
  <si>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</si>
  <si>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</si>
  <si>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</si>
  <si>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</si>
  <si>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</si>
  <si>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</si>
  <si>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</si>
  <si>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</si>
  <si>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</si>
  <si>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</si>
  <si>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</si>
  <si>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</si>
  <si>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</si>
  <si>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</si>
  <si>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</si>
  <si>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</si>
  <si>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</si>
  <si>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</si>
  <si>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</si>
  <si>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</si>
  <si>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</si>
  <si>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</si>
  <si>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ad1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</si>
  <si>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</si>
  <si>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</si>
  <si>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</si>
  <si>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</si>
  <si>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</si>
  <si>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</si>
  <si>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</si>
  <si>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</si>
  <si>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</si>
  <si>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</si>
  <si>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</si>
  <si>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</si>
  <si>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</si>
  <si>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</si>
  <si>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</si>
  <si>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</si>
  <si>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</si>
  <si>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</si>
  <si>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</si>
  <si>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</si>
  <si>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</si>
  <si>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</si>
  <si>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</si>
  <si>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</si>
  <si>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</si>
  <si>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</si>
  <si>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</si>
  <si>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</si>
  <si>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</si>
  <si>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</si>
  <si>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</si>
  <si>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</si>
  <si>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</si>
  <si>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</si>
  <si>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</si>
  <si>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</si>
  <si>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</si>
  <si>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</si>
  <si>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</si>
  <si>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</si>
  <si>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</si>
  <si>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</si>
  <si>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</si>
  <si>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</si>
  <si>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</si>
  <si>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</si>
  <si>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</si>
  <si>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</si>
  <si>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</si>
  <si>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</si>
  <si>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</si>
  <si>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</si>
  <si>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</si>
  <si>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</si>
  <si>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</si>
  <si>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</si>
  <si>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</si>
  <si>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</si>
  <si>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</si>
  <si>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전라남도 목포시 죽교동 465-190 , s1</t>
    <phoneticPr fontId="19" type="noConversion"/>
  </si>
  <si>
    <t>s2</t>
    <phoneticPr fontId="19" type="noConversion"/>
  </si>
  <si>
    <t>전라남도 목포시 죽교동 465-94 , s2</t>
    <phoneticPr fontId="19" type="noConversion"/>
  </si>
  <si>
    <t>s3</t>
    <phoneticPr fontId="19" type="noConversion"/>
  </si>
  <si>
    <t>전라남도 목포시 죽교동 701 , s3</t>
    <phoneticPr fontId="19" type="noConversion"/>
  </si>
  <si>
    <t>지열냉난방</t>
    <phoneticPr fontId="19" type="noConversion"/>
  </si>
  <si>
    <t>s4</t>
    <phoneticPr fontId="19" type="noConversion"/>
  </si>
  <si>
    <t>전라남도 목포시 죽교동 536-134 , s4</t>
    <phoneticPr fontId="19" type="noConversion"/>
  </si>
  <si>
    <t>s5</t>
    <phoneticPr fontId="19" type="noConversion"/>
  </si>
  <si>
    <t>전라남도 목포시 죽교동 549-43 , s5</t>
    <phoneticPr fontId="19" type="noConversion"/>
  </si>
  <si>
    <t>전라남도 목포시 죽교동 557-1 , a1</t>
    <phoneticPr fontId="19" type="noConversion"/>
  </si>
  <si>
    <t>답작용</t>
    <phoneticPr fontId="19" type="noConversion"/>
  </si>
  <si>
    <t>전라남도 목포시 죽교동 556-2 , a2</t>
    <phoneticPr fontId="19" type="noConversion"/>
  </si>
  <si>
    <t>전작용</t>
    <phoneticPr fontId="19" type="noConversion"/>
  </si>
  <si>
    <t>전라남도 목포시 죽교동 611 , a3</t>
    <phoneticPr fontId="19" type="noConversion"/>
  </si>
  <si>
    <t xml:space="preserve"> </t>
    <phoneticPr fontId="19" type="noConversion"/>
  </si>
  <si>
    <t>✔</t>
    <phoneticPr fontId="19" type="noConversion"/>
  </si>
  <si>
    <t xml:space="preserve"> 2022-03-18.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</si>
  <si>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</si>
  <si>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</si>
  <si>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</si>
  <si>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</si>
  <si>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</si>
  <si>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</si>
  <si>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</si>
  <si>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</si>
  <si>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</si>
  <si>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</si>
  <si>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</si>
  <si>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</si>
  <si>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</si>
  <si>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</si>
  <si>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</si>
  <si>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</si>
  <si>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</si>
  <si>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</si>
  <si>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</si>
  <si>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</si>
  <si>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</si>
  <si>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</si>
  <si>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</si>
  <si>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</si>
  <si>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</si>
  <si>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</si>
  <si>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</si>
  <si>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</si>
  <si>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</si>
  <si>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</si>
  <si>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</si>
  <si>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</si>
  <si>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</si>
  <si>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</si>
  <si>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</si>
  <si>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</si>
  <si>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</si>
  <si>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</si>
  <si>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</si>
  <si>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</si>
  <si>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</si>
  <si>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</si>
  <si>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</si>
  <si>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</si>
  <si>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</si>
  <si>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</si>
  <si>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</si>
  <si>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</si>
  <si>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</si>
  <si>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</si>
  <si>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</si>
  <si>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</si>
  <si>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</si>
  <si>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</si>
  <si>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</si>
  <si>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</si>
  <si>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</si>
  <si>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</si>
  <si>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</si>
  <si>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</si>
  <si>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</si>
  <si>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</si>
  <si>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</si>
  <si>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</si>
  <si>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</si>
  <si>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</si>
  <si>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</si>
  <si>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</si>
  <si>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</si>
  <si>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</si>
  <si>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</si>
  <si>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</si>
  <si>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</si>
  <si>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</si>
  <si>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</si>
  <si>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</si>
  <si>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</si>
  <si>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</si>
  <si>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</si>
  <si>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</si>
  <si>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</si>
  <si>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750-3</t>
    <phoneticPr fontId="19" type="noConversion"/>
  </si>
  <si>
    <t>619-4</t>
    <phoneticPr fontId="19" type="noConversion"/>
  </si>
  <si>
    <t>363</t>
    <phoneticPr fontId="19" type="noConversion"/>
  </si>
  <si>
    <t>552-2</t>
    <phoneticPr fontId="19" type="noConversion"/>
  </si>
  <si>
    <t>544-6</t>
    <phoneticPr fontId="19" type="noConversion"/>
  </si>
  <si>
    <t>542-5</t>
    <phoneticPr fontId="19" type="noConversion"/>
  </si>
  <si>
    <t>542-2</t>
    <phoneticPr fontId="19" type="noConversion"/>
  </si>
  <si>
    <t>545-1</t>
    <phoneticPr fontId="19" type="noConversion"/>
  </si>
  <si>
    <t>545-5</t>
    <phoneticPr fontId="19" type="noConversion"/>
  </si>
  <si>
    <t>369</t>
    <phoneticPr fontId="19" type="noConversion"/>
  </si>
  <si>
    <t>a38</t>
  </si>
  <si>
    <t>a39</t>
  </si>
  <si>
    <t>a40</t>
  </si>
  <si>
    <t>370-3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</si>
  <si>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</si>
  <si>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</si>
  <si>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</si>
  <si>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28</t>
    <phoneticPr fontId="19" type="noConversion"/>
  </si>
  <si>
    <t>24-9</t>
    <phoneticPr fontId="19" type="noConversion"/>
  </si>
  <si>
    <t>24-8</t>
    <phoneticPr fontId="19" type="noConversion"/>
  </si>
  <si>
    <t>13</t>
    <phoneticPr fontId="19" type="noConversion"/>
  </si>
  <si>
    <t>남산리</t>
    <phoneticPr fontId="19" type="noConversion"/>
  </si>
  <si>
    <t>279-2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</si>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</sst>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Calibri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65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8" fillId="35" borderId="0" xfId="0" applyFont="1" applyFill="1" applyAlignment="1">
      <alignment horizontal="center" vertical="center"/>
    </xf>
    <xf numFmtId="14" fontId="28" fillId="36" borderId="0" xfId="0" applyNumberFormat="1" applyFont="1" applyFill="1" applyAlignment="1">
      <alignment horizontal="center" vertical="center"/>
    </xf>
    <xf numFmtId="0" fontId="28" fillId="3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21</xdr:col>
          <xdr:colOff>504825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21</xdr:col>
          <xdr:colOff>533400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295275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40625" defaultRowHeight="15"/>
  <cols>
    <col min="1" max="1" width="9.140625" style="41"/>
    <col min="2" max="2" width="25.7109375" style="41" customWidth="1"/>
    <col min="3" max="24" width="13.7109375" style="41" customWidth="1"/>
    <col min="25" max="16384" width="9.140625" style="41"/>
  </cols>
  <sheetData>
    <row r="1" spans="1:12" ht="36" customHeight="1">
      <c r="B1" s="42" t="s">
        <v>271</v>
      </c>
    </row>
    <row r="2" spans="1:12" ht="34.5" customHeight="1">
      <c r="B2" s="41" t="s">
        <v>260</v>
      </c>
      <c r="C2" s="41" t="s">
        <v>269</v>
      </c>
      <c r="D2" s="41" t="s">
        <v>261</v>
      </c>
      <c r="E2" s="41" t="s">
        <v>262</v>
      </c>
      <c r="F2" s="41" t="s">
        <v>263</v>
      </c>
      <c r="G2" s="41" t="s">
        <v>264</v>
      </c>
      <c r="H2" s="41" t="s">
        <v>265</v>
      </c>
      <c r="I2" s="41" t="s">
        <v>266</v>
      </c>
      <c r="J2" s="41" t="s">
        <v>267</v>
      </c>
      <c r="K2" s="41" t="s">
        <v>268</v>
      </c>
      <c r="L2" s="41" t="s">
        <v>332</v>
      </c>
    </row>
    <row r="3" spans="1:12" ht="20.100000000000001" customHeight="1">
      <c r="A3" s="41">
        <v>1</v>
      </c>
      <c r="B3" s="41" t="s">
        <v>281</v>
      </c>
      <c r="C3" s="41">
        <v>0.17299999999999999</v>
      </c>
      <c r="D3" s="41">
        <v>0.17299999999999999</v>
      </c>
      <c r="E3" s="41">
        <v>0.17299999999999999</v>
      </c>
      <c r="F3" s="41">
        <v>0.26500000000000001</v>
      </c>
      <c r="G3" s="41">
        <v>0.17299999999999999</v>
      </c>
      <c r="H3" s="41">
        <v>0.17299999999999999</v>
      </c>
      <c r="I3" s="41">
        <v>0.17299999999999999</v>
      </c>
      <c r="J3" s="41">
        <v>0.26500000000000001</v>
      </c>
      <c r="K3" s="41">
        <v>0.17299999999999999</v>
      </c>
      <c r="L3" s="41">
        <v>0.26500000000000001</v>
      </c>
    </row>
    <row r="4" spans="1:12" ht="20.100000000000001" customHeight="1">
      <c r="A4" s="41">
        <v>2</v>
      </c>
      <c r="B4" s="41" t="s">
        <v>282</v>
      </c>
      <c r="C4" s="41">
        <v>0.21</v>
      </c>
      <c r="D4" s="41">
        <v>0.21</v>
      </c>
      <c r="E4" s="41">
        <v>0.21</v>
      </c>
      <c r="F4" s="41">
        <v>0.18099999999999999</v>
      </c>
      <c r="G4" s="41">
        <v>0.21</v>
      </c>
      <c r="H4" s="41">
        <v>0.21</v>
      </c>
      <c r="I4" s="41">
        <v>0.21</v>
      </c>
      <c r="J4" s="41">
        <v>0.18099999999999999</v>
      </c>
      <c r="K4" s="41">
        <v>0.21</v>
      </c>
      <c r="L4" s="41">
        <v>0.18099999999999999</v>
      </c>
    </row>
    <row r="5" spans="1:12" ht="20.100000000000001" customHeight="1">
      <c r="A5" s="41">
        <v>3</v>
      </c>
      <c r="B5" s="41" t="s">
        <v>283</v>
      </c>
      <c r="C5" s="41">
        <v>2.42</v>
      </c>
      <c r="D5" s="41">
        <v>2.42</v>
      </c>
      <c r="E5" s="41">
        <v>2.4300000000000002</v>
      </c>
      <c r="F5" s="41">
        <v>2.75</v>
      </c>
      <c r="G5" s="41">
        <v>2.36</v>
      </c>
      <c r="H5" s="41">
        <v>2.59</v>
      </c>
      <c r="I5" s="41">
        <v>2.4300000000000002</v>
      </c>
      <c r="J5" s="41">
        <v>2.34</v>
      </c>
      <c r="K5" s="41">
        <v>2.57</v>
      </c>
      <c r="L5" s="41">
        <v>2.31</v>
      </c>
    </row>
    <row r="6" spans="1:12" ht="20.100000000000001" customHeight="1">
      <c r="A6" s="41">
        <v>4</v>
      </c>
      <c r="B6" s="41" t="s">
        <v>284</v>
      </c>
      <c r="C6" s="41">
        <v>3.1539999999999999</v>
      </c>
      <c r="D6" s="41">
        <v>3.1539999999999999</v>
      </c>
      <c r="E6" s="41">
        <v>2.1190000000000002</v>
      </c>
      <c r="F6" s="41">
        <v>3.5209999999999999</v>
      </c>
      <c r="G6" s="41">
        <v>3.1539999999999999</v>
      </c>
      <c r="H6" s="41">
        <v>3.1539999999999999</v>
      </c>
      <c r="I6" s="41">
        <v>3.5209999999999999</v>
      </c>
      <c r="J6" s="41">
        <v>3.5209999999999999</v>
      </c>
      <c r="K6" s="41">
        <v>3.1539999999999999</v>
      </c>
      <c r="L6" s="41">
        <v>3.5209999999999999</v>
      </c>
    </row>
    <row r="7" spans="1:12" ht="20.100000000000001" customHeight="1">
      <c r="A7" s="41">
        <v>5</v>
      </c>
      <c r="B7" s="41" t="s">
        <v>285</v>
      </c>
      <c r="C7" s="41">
        <v>2.3E-2</v>
      </c>
      <c r="D7" s="41">
        <v>2.3E-2</v>
      </c>
      <c r="E7" s="41">
        <v>2.1000000000000001E-2</v>
      </c>
      <c r="F7" s="41">
        <v>1.0999999999999999E-2</v>
      </c>
      <c r="G7" s="41">
        <v>2.3E-2</v>
      </c>
      <c r="H7" s="41">
        <v>2.3E-2</v>
      </c>
      <c r="I7" s="41">
        <v>1.0999999999999999E-2</v>
      </c>
      <c r="J7" s="41">
        <v>1.0999999999999999E-2</v>
      </c>
      <c r="K7" s="41">
        <v>2.3E-2</v>
      </c>
      <c r="L7" s="41">
        <v>1.0999999999999999E-2</v>
      </c>
    </row>
    <row r="8" spans="1:12" ht="20.100000000000001" customHeight="1">
      <c r="A8" s="41">
        <v>6</v>
      </c>
      <c r="B8" s="41" t="s">
        <v>286</v>
      </c>
      <c r="C8" s="41">
        <v>7.9859999999999998</v>
      </c>
      <c r="D8" s="41">
        <v>7.9859999999999998</v>
      </c>
      <c r="E8" s="41">
        <v>7.9859999999999998</v>
      </c>
      <c r="F8" s="41">
        <v>11.686999999999999</v>
      </c>
      <c r="G8" s="41">
        <v>7.9859999999999998</v>
      </c>
      <c r="H8" s="41">
        <v>7.9859999999999998</v>
      </c>
      <c r="I8" s="41">
        <v>7.9859999999999998</v>
      </c>
      <c r="J8" s="41">
        <v>11.686999999999999</v>
      </c>
      <c r="K8" s="41">
        <v>7.9859999999999998</v>
      </c>
      <c r="L8" s="41">
        <v>11.686999999999999</v>
      </c>
    </row>
    <row r="9" spans="1:12" ht="20.100000000000001" customHeight="1">
      <c r="A9" s="41">
        <v>7</v>
      </c>
      <c r="B9" s="41" t="s">
        <v>287</v>
      </c>
      <c r="C9" s="41">
        <v>5.0000000000000001E-3</v>
      </c>
      <c r="D9" s="41">
        <v>5.0000000000000001E-3</v>
      </c>
      <c r="E9" s="41">
        <v>5.0000000000000001E-3</v>
      </c>
      <c r="F9" s="41">
        <v>7.0000000000000001E-3</v>
      </c>
      <c r="G9" s="41">
        <v>5.0000000000000001E-3</v>
      </c>
      <c r="H9" s="41">
        <v>5.0000000000000001E-3</v>
      </c>
      <c r="I9" s="41">
        <v>5.0000000000000001E-3</v>
      </c>
      <c r="J9" s="41">
        <v>7.0000000000000001E-3</v>
      </c>
      <c r="K9" s="41">
        <v>5.0000000000000001E-3</v>
      </c>
      <c r="L9" s="41">
        <v>7.0000000000000001E-3</v>
      </c>
    </row>
    <row r="10" spans="1:12" ht="20.100000000000001" customHeight="1">
      <c r="A10" s="41">
        <v>8</v>
      </c>
      <c r="B10" s="41" t="s">
        <v>288</v>
      </c>
      <c r="C10" s="41">
        <v>0.17299999999999999</v>
      </c>
      <c r="D10" s="41">
        <v>0.17299999999999999</v>
      </c>
      <c r="E10" s="41">
        <v>7.13</v>
      </c>
      <c r="F10" s="41">
        <v>0.26500000000000001</v>
      </c>
      <c r="G10" s="41">
        <v>0.17299999999999999</v>
      </c>
      <c r="H10" s="41">
        <v>0.17299999999999999</v>
      </c>
      <c r="I10" s="41">
        <v>0.17299999999999999</v>
      </c>
      <c r="J10" s="41">
        <v>0.26500000000000001</v>
      </c>
      <c r="K10" s="41">
        <v>7.13</v>
      </c>
      <c r="L10" s="41">
        <v>0.26500000000000001</v>
      </c>
    </row>
    <row r="11" spans="1:12" ht="20.100000000000001" customHeight="1">
      <c r="A11" s="41">
        <v>9</v>
      </c>
      <c r="B11" s="41" t="s">
        <v>289</v>
      </c>
      <c r="C11" s="41">
        <v>0.21</v>
      </c>
      <c r="D11" s="41">
        <v>0.21</v>
      </c>
      <c r="E11" s="41">
        <v>1E-3</v>
      </c>
      <c r="F11" s="41">
        <v>0.18099999999999999</v>
      </c>
      <c r="G11" s="41">
        <v>0.21</v>
      </c>
      <c r="H11" s="41">
        <v>0.21</v>
      </c>
      <c r="I11" s="41">
        <v>0.21</v>
      </c>
      <c r="J11" s="41">
        <v>0.18099999999999999</v>
      </c>
      <c r="K11" s="41">
        <v>1E-3</v>
      </c>
      <c r="L11" s="41">
        <v>0.18099999999999999</v>
      </c>
    </row>
    <row r="12" spans="1:12" ht="20.100000000000001" customHeight="1">
      <c r="A12" s="41">
        <v>10</v>
      </c>
      <c r="B12" s="41" t="s">
        <v>290</v>
      </c>
      <c r="C12" s="41">
        <v>7.13</v>
      </c>
      <c r="D12" s="41">
        <v>7.13</v>
      </c>
      <c r="E12" s="41">
        <v>6.4630000000000001</v>
      </c>
      <c r="F12" s="41">
        <v>7.2869999999999999</v>
      </c>
      <c r="G12" s="41">
        <v>7.13</v>
      </c>
      <c r="H12" s="41">
        <v>7.13</v>
      </c>
      <c r="I12" s="41">
        <v>7.13</v>
      </c>
      <c r="J12" s="41">
        <v>7.2869999999999999</v>
      </c>
      <c r="K12" s="41">
        <v>6.4630000000000001</v>
      </c>
      <c r="L12" s="41">
        <v>7.2869999999999999</v>
      </c>
    </row>
    <row r="13" spans="1:12" ht="20.100000000000001" customHeight="1">
      <c r="A13" s="41">
        <v>11</v>
      </c>
      <c r="B13" s="41" t="s">
        <v>291</v>
      </c>
      <c r="C13" s="41">
        <v>1E-3</v>
      </c>
      <c r="D13" s="41">
        <v>1E-3</v>
      </c>
      <c r="E13" s="41">
        <v>0.17799999999999999</v>
      </c>
      <c r="F13" s="41">
        <v>1E-3</v>
      </c>
      <c r="G13" s="41">
        <v>1E-3</v>
      </c>
      <c r="H13" s="41">
        <v>1E-3</v>
      </c>
      <c r="I13" s="41">
        <v>1E-3</v>
      </c>
      <c r="J13" s="41">
        <v>1E-3</v>
      </c>
      <c r="K13" s="41">
        <v>0.17799999999999999</v>
      </c>
      <c r="L13" s="41">
        <v>1E-3</v>
      </c>
    </row>
    <row r="14" spans="1:12" ht="20.100000000000001" customHeight="1">
      <c r="A14" s="41">
        <v>12</v>
      </c>
      <c r="B14" s="41" t="s">
        <v>292</v>
      </c>
      <c r="C14" s="41">
        <v>5.66</v>
      </c>
      <c r="D14" s="41">
        <v>5.66</v>
      </c>
      <c r="E14" s="41">
        <v>5.66</v>
      </c>
      <c r="F14" s="41">
        <v>5.66</v>
      </c>
      <c r="G14" s="41">
        <v>6.9640000000000004</v>
      </c>
      <c r="H14" s="41">
        <v>6.9640000000000004</v>
      </c>
      <c r="I14" s="41">
        <v>63964</v>
      </c>
      <c r="J14" s="41">
        <v>6.9640000000000004</v>
      </c>
      <c r="K14" s="41">
        <v>5.66</v>
      </c>
      <c r="L14" s="41">
        <v>5.66</v>
      </c>
    </row>
    <row r="15" spans="1:12" ht="20.100000000000001" customHeight="1">
      <c r="A15" s="41">
        <v>13</v>
      </c>
      <c r="B15" s="41" t="s">
        <v>293</v>
      </c>
      <c r="C15" s="41">
        <v>1.4E-2</v>
      </c>
      <c r="D15" s="41">
        <v>1.4E-2</v>
      </c>
      <c r="E15" s="41">
        <v>1.4E-2</v>
      </c>
      <c r="F15" s="41">
        <v>1.4E-2</v>
      </c>
      <c r="G15" s="41">
        <v>1.2999999999999999E-2</v>
      </c>
      <c r="H15" s="41">
        <v>1.2999999999999999E-2</v>
      </c>
      <c r="I15" s="41">
        <v>1.2999999999999999E-2</v>
      </c>
      <c r="J15" s="41">
        <v>1.2999999999999999E-2</v>
      </c>
      <c r="K15" s="41">
        <v>1.4E-2</v>
      </c>
      <c r="L15" s="41">
        <v>1.4E-2</v>
      </c>
    </row>
    <row r="16" spans="1:12" ht="20.100000000000001" customHeight="1">
      <c r="A16" s="41">
        <v>14</v>
      </c>
      <c r="B16" s="41" t="s">
        <v>294</v>
      </c>
      <c r="C16" s="41">
        <v>1.98</v>
      </c>
      <c r="D16" s="41">
        <v>1.98</v>
      </c>
      <c r="E16" s="41">
        <v>1.98</v>
      </c>
      <c r="F16" s="41">
        <v>1.98</v>
      </c>
      <c r="G16" s="41">
        <v>2.089</v>
      </c>
      <c r="H16" s="41">
        <v>2.089</v>
      </c>
      <c r="I16" s="41">
        <v>2.089</v>
      </c>
      <c r="J16" s="41">
        <v>2.089</v>
      </c>
      <c r="K16" s="41">
        <v>1.98</v>
      </c>
      <c r="L16" s="41">
        <v>1.98</v>
      </c>
    </row>
    <row r="17" spans="1:12" ht="20.100000000000001" customHeight="1">
      <c r="A17" s="41">
        <v>15</v>
      </c>
      <c r="B17" s="41" t="s">
        <v>295</v>
      </c>
      <c r="C17" s="41">
        <v>4.3999999999999997E-2</v>
      </c>
      <c r="D17" s="41">
        <v>4.3999999999999997E-2</v>
      </c>
      <c r="E17" s="41">
        <v>4.3999999999999997E-2</v>
      </c>
      <c r="F17" s="41">
        <v>4.3999999999999997E-2</v>
      </c>
      <c r="G17" s="41">
        <v>4.2999999999999997E-2</v>
      </c>
      <c r="H17" s="41">
        <v>4.2999999999999997E-2</v>
      </c>
      <c r="I17" s="41">
        <v>4.2999999999999997E-2</v>
      </c>
      <c r="J17" s="41">
        <v>4.2999999999999997E-2</v>
      </c>
      <c r="K17" s="41">
        <v>4.3999999999999997E-2</v>
      </c>
      <c r="L17" s="41">
        <v>4.3999999999999997E-2</v>
      </c>
    </row>
    <row r="18" spans="1:12" ht="20.100000000000001" customHeight="1">
      <c r="A18" s="41">
        <v>16</v>
      </c>
      <c r="B18" s="41" t="s">
        <v>296</v>
      </c>
      <c r="C18" s="41">
        <v>2.7890000000000001</v>
      </c>
      <c r="D18" s="41">
        <v>2.7890000000000001</v>
      </c>
      <c r="E18" s="41">
        <v>2.7890000000000001</v>
      </c>
      <c r="F18" s="41">
        <v>2.7890000000000001</v>
      </c>
      <c r="G18" s="41">
        <v>2.7890000000000001</v>
      </c>
      <c r="H18" s="41">
        <v>2.7890000000000001</v>
      </c>
      <c r="I18" s="41">
        <v>2.7890000000000001</v>
      </c>
      <c r="J18" s="41">
        <v>2.7890000000000001</v>
      </c>
      <c r="K18" s="41">
        <v>2.7890000000000001</v>
      </c>
      <c r="L18" s="41">
        <v>2.7890000000000001</v>
      </c>
    </row>
    <row r="19" spans="1:12" ht="20.100000000000001" customHeight="1">
      <c r="A19" s="41">
        <v>17</v>
      </c>
      <c r="B19" s="41" t="s">
        <v>297</v>
      </c>
      <c r="C19" s="41">
        <v>1.0999999999999999E-2</v>
      </c>
      <c r="D19" s="41">
        <v>1.0999999999999999E-2</v>
      </c>
      <c r="E19" s="41">
        <v>1.0999999999999999E-2</v>
      </c>
      <c r="F19" s="41">
        <v>1.0999999999999999E-2</v>
      </c>
      <c r="G19" s="41">
        <v>1.0999999999999999E-2</v>
      </c>
      <c r="H19" s="41">
        <v>1.0999999999999999E-2</v>
      </c>
      <c r="I19" s="41">
        <v>1.0999999999999999E-2</v>
      </c>
      <c r="J19" s="41">
        <v>1.0999999999999999E-2</v>
      </c>
      <c r="K19" s="41">
        <v>1.0999999999999999E-2</v>
      </c>
      <c r="L19" s="41">
        <v>1.0999999999999999E-2</v>
      </c>
    </row>
    <row r="20" spans="1:12" ht="20.100000000000001" customHeight="1">
      <c r="A20" s="41">
        <v>18</v>
      </c>
      <c r="B20" s="41" t="s">
        <v>298</v>
      </c>
      <c r="C20" s="41">
        <v>3.48</v>
      </c>
      <c r="D20" s="41">
        <v>3.48</v>
      </c>
      <c r="E20" s="41">
        <v>3.48</v>
      </c>
      <c r="F20" s="41">
        <v>3.48</v>
      </c>
      <c r="G20" s="41">
        <v>3.48</v>
      </c>
      <c r="H20" s="41">
        <v>3.48</v>
      </c>
      <c r="I20" s="41">
        <v>3.48</v>
      </c>
      <c r="J20" s="41">
        <v>3.48</v>
      </c>
      <c r="K20" s="41">
        <v>3.48</v>
      </c>
      <c r="L20" s="41">
        <v>3.48</v>
      </c>
    </row>
    <row r="21" spans="1:12" ht="20.100000000000001" customHeight="1">
      <c r="A21" s="41">
        <v>19</v>
      </c>
      <c r="B21" s="41" t="s">
        <v>299</v>
      </c>
      <c r="C21" s="41">
        <v>8.9999999999999993E-3</v>
      </c>
      <c r="D21" s="41">
        <v>8.9999999999999993E-3</v>
      </c>
      <c r="E21" s="41">
        <v>8.9999999999999993E-3</v>
      </c>
      <c r="F21" s="41">
        <v>8.9999999999999993E-3</v>
      </c>
      <c r="G21" s="41">
        <v>8.9999999999999993E-3</v>
      </c>
      <c r="H21" s="41">
        <v>8.9999999999999993E-3</v>
      </c>
      <c r="I21" s="41">
        <v>8.9999999999999993E-3</v>
      </c>
      <c r="J21" s="41">
        <v>8.9999999999999993E-3</v>
      </c>
      <c r="K21" s="41">
        <v>8.9999999999999993E-3</v>
      </c>
      <c r="L21" s="41">
        <v>8.9999999999999993E-3</v>
      </c>
    </row>
    <row r="22" spans="1:12" ht="20.100000000000001" customHeight="1">
      <c r="A22" s="41">
        <v>20</v>
      </c>
      <c r="B22" s="41" t="s">
        <v>300</v>
      </c>
      <c r="C22" s="41">
        <v>4.7190000000000003</v>
      </c>
      <c r="D22" s="41">
        <v>4.7190000000000003</v>
      </c>
      <c r="E22" s="41">
        <v>4.7190000000000003</v>
      </c>
      <c r="F22" s="41">
        <v>4.7190000000000003</v>
      </c>
      <c r="G22" s="41">
        <v>4.7190000000000003</v>
      </c>
      <c r="H22" s="41">
        <v>4.7190000000000003</v>
      </c>
      <c r="I22" s="41">
        <v>4.7190000000000003</v>
      </c>
      <c r="J22" s="41">
        <v>4.7190000000000003</v>
      </c>
      <c r="K22" s="41">
        <v>4.7190000000000003</v>
      </c>
      <c r="L22" s="41">
        <v>4.7190000000000003</v>
      </c>
    </row>
    <row r="23" spans="1:12" ht="20.100000000000001" customHeight="1">
      <c r="A23" s="41">
        <v>21</v>
      </c>
      <c r="B23" s="41" t="s">
        <v>301</v>
      </c>
      <c r="C23" s="41">
        <v>1E-3</v>
      </c>
      <c r="D23" s="41">
        <v>1E-3</v>
      </c>
      <c r="E23" s="41">
        <v>1E-3</v>
      </c>
      <c r="F23" s="41">
        <v>1E-3</v>
      </c>
      <c r="G23" s="41">
        <v>1E-3</v>
      </c>
      <c r="H23" s="41">
        <v>1E-3</v>
      </c>
      <c r="I23" s="41">
        <v>1E-3</v>
      </c>
      <c r="J23" s="41">
        <v>1E-3</v>
      </c>
      <c r="K23" s="41">
        <v>1E-3</v>
      </c>
      <c r="L23" s="41">
        <v>1E-3</v>
      </c>
    </row>
    <row r="24" spans="1:12" ht="20.100000000000001" customHeight="1">
      <c r="A24" s="41">
        <v>22</v>
      </c>
      <c r="B24" s="41" t="s">
        <v>302</v>
      </c>
      <c r="C24" s="41">
        <v>5.492</v>
      </c>
      <c r="D24" s="41">
        <v>5.492</v>
      </c>
      <c r="E24" s="41">
        <v>5.492</v>
      </c>
      <c r="F24" s="41">
        <v>5.492</v>
      </c>
      <c r="G24" s="41">
        <v>5.492</v>
      </c>
      <c r="H24" s="41">
        <v>5.492</v>
      </c>
      <c r="I24" s="41">
        <v>5.492</v>
      </c>
      <c r="J24" s="41">
        <v>5.492</v>
      </c>
      <c r="K24" s="41">
        <v>5.492</v>
      </c>
      <c r="L24" s="41">
        <v>5.492</v>
      </c>
    </row>
    <row r="25" spans="1:12" ht="20.100000000000001" customHeight="1">
      <c r="A25" s="41">
        <v>23</v>
      </c>
      <c r="B25" s="41" t="s">
        <v>303</v>
      </c>
      <c r="C25" s="41">
        <v>4.1000000000000002E-2</v>
      </c>
      <c r="D25" s="41">
        <v>4.1000000000000002E-2</v>
      </c>
      <c r="E25" s="41">
        <v>4.1000000000000002E-2</v>
      </c>
      <c r="F25" s="41">
        <v>4.1000000000000002E-2</v>
      </c>
      <c r="G25" s="41">
        <v>4.1000000000000002E-2</v>
      </c>
      <c r="H25" s="41">
        <v>4.1000000000000002E-2</v>
      </c>
      <c r="I25" s="41">
        <v>4.1000000000000002E-2</v>
      </c>
      <c r="J25" s="41">
        <v>4.1000000000000002E-2</v>
      </c>
      <c r="K25" s="41">
        <v>4.1000000000000002E-2</v>
      </c>
      <c r="L25" s="41">
        <v>4.1000000000000002E-2</v>
      </c>
    </row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40625" defaultRowHeight="15"/>
  <cols>
    <col min="1" max="1" width="9.140625" style="41"/>
    <col min="2" max="2" width="25.7109375" style="41" customWidth="1"/>
    <col min="3" max="25" width="13.7109375" style="41" customWidth="1"/>
    <col min="26" max="16384" width="9.140625" style="41"/>
  </cols>
  <sheetData>
    <row r="1" spans="2:12" ht="36" customHeight="1">
      <c r="B1" s="42" t="s">
        <v>270</v>
      </c>
      <c r="C1" s="42"/>
    </row>
    <row r="2" spans="2:12" ht="34.5" customHeight="1">
      <c r="B2" s="41" t="s">
        <v>260</v>
      </c>
      <c r="C2" s="41" t="s">
        <v>269</v>
      </c>
      <c r="D2" s="41" t="s">
        <v>272</v>
      </c>
      <c r="E2" s="41" t="s">
        <v>273</v>
      </c>
      <c r="F2" s="41" t="s">
        <v>274</v>
      </c>
      <c r="G2" s="41" t="s">
        <v>275</v>
      </c>
      <c r="H2" s="41" t="s">
        <v>276</v>
      </c>
      <c r="I2" s="41" t="s">
        <v>277</v>
      </c>
      <c r="J2" s="41" t="s">
        <v>278</v>
      </c>
      <c r="K2" s="41" t="s">
        <v>279</v>
      </c>
      <c r="L2" s="41" t="s">
        <v>280</v>
      </c>
    </row>
    <row r="3" spans="2:12" ht="20.100000000000001" customHeight="1">
      <c r="B3" s="41" t="s">
        <v>281</v>
      </c>
      <c r="C3" s="41">
        <v>0.17299999999999999</v>
      </c>
      <c r="D3" s="41">
        <v>0.17299999999999999</v>
      </c>
      <c r="E3" s="41">
        <v>0.17299999999999999</v>
      </c>
      <c r="F3" s="41">
        <v>0.17299999999999999</v>
      </c>
      <c r="G3" s="41">
        <v>0.17299999999999999</v>
      </c>
      <c r="H3" s="41">
        <v>0.17299999999999999</v>
      </c>
      <c r="I3" s="41">
        <v>0.17299999999999999</v>
      </c>
      <c r="J3" s="41">
        <v>0.17299999999999999</v>
      </c>
    </row>
    <row r="4" spans="2:12" ht="20.100000000000001" customHeight="1">
      <c r="B4" s="41" t="s">
        <v>282</v>
      </c>
      <c r="C4" s="41">
        <v>0.21</v>
      </c>
      <c r="D4" s="41">
        <v>0.21</v>
      </c>
      <c r="E4" s="41">
        <v>0.21</v>
      </c>
      <c r="F4" s="41">
        <v>0.21</v>
      </c>
      <c r="G4" s="41">
        <v>0.21</v>
      </c>
      <c r="H4" s="41">
        <v>0.21</v>
      </c>
      <c r="I4" s="41">
        <v>0.21</v>
      </c>
      <c r="J4" s="41">
        <v>0.21</v>
      </c>
    </row>
    <row r="5" spans="2:12" ht="20.100000000000001" customHeight="1">
      <c r="B5" s="41" t="s">
        <v>283</v>
      </c>
      <c r="C5" s="41">
        <v>2.44</v>
      </c>
      <c r="D5" s="41">
        <v>2.44</v>
      </c>
      <c r="E5" s="41">
        <v>2.56</v>
      </c>
      <c r="F5" s="41">
        <v>2.38</v>
      </c>
      <c r="G5" s="41">
        <v>2.46</v>
      </c>
      <c r="H5" s="41">
        <v>2.48</v>
      </c>
      <c r="I5" s="41">
        <v>2.38</v>
      </c>
      <c r="J5" s="41">
        <v>2.8</v>
      </c>
    </row>
    <row r="6" spans="2:12" ht="20.100000000000001" customHeight="1">
      <c r="B6" s="41" t="s">
        <v>284</v>
      </c>
      <c r="C6" s="41">
        <v>2.1190000000000002</v>
      </c>
      <c r="D6" s="41">
        <v>2.1190000000000002</v>
      </c>
      <c r="E6" s="41">
        <v>2.1190000000000002</v>
      </c>
      <c r="F6" s="41">
        <v>2.1190000000000002</v>
      </c>
      <c r="G6" s="41">
        <v>2.1190000000000002</v>
      </c>
      <c r="H6" s="41">
        <v>2.1190000000000002</v>
      </c>
      <c r="I6" s="41">
        <v>2.1190000000000002</v>
      </c>
      <c r="J6" s="41">
        <v>3.1539999999999999</v>
      </c>
    </row>
    <row r="7" spans="2:12" ht="20.100000000000001" customHeight="1">
      <c r="B7" s="41" t="s">
        <v>285</v>
      </c>
      <c r="C7" s="41">
        <v>2.1000000000000001E-2</v>
      </c>
      <c r="D7" s="41">
        <v>2.1000000000000001E-2</v>
      </c>
      <c r="E7" s="41">
        <v>2.1000000000000001E-2</v>
      </c>
      <c r="F7" s="41">
        <v>2.1000000000000001E-2</v>
      </c>
      <c r="G7" s="41">
        <v>2.1000000000000001E-2</v>
      </c>
      <c r="H7" s="41">
        <v>2.1000000000000001E-2</v>
      </c>
      <c r="I7" s="41">
        <v>2.1000000000000001E-2</v>
      </c>
      <c r="J7" s="41">
        <v>2.3E-2</v>
      </c>
    </row>
    <row r="8" spans="2:12" ht="20.100000000000001" customHeight="1">
      <c r="B8" s="41" t="s">
        <v>286</v>
      </c>
      <c r="C8" s="41">
        <v>7.9859999999999998</v>
      </c>
      <c r="D8" s="41">
        <v>7.9859999999999998</v>
      </c>
      <c r="E8" s="41">
        <v>7.9859999999999998</v>
      </c>
      <c r="F8" s="41">
        <v>7.9859999999999998</v>
      </c>
      <c r="G8" s="41">
        <v>7.9859999999999998</v>
      </c>
      <c r="H8" s="41">
        <v>7.9859999999999998</v>
      </c>
      <c r="I8" s="41">
        <v>7.9859999999999998</v>
      </c>
      <c r="J8" s="41">
        <v>7.9859999999999998</v>
      </c>
    </row>
    <row r="9" spans="2:12" ht="20.100000000000001" customHeight="1">
      <c r="B9" s="41" t="s">
        <v>287</v>
      </c>
      <c r="C9" s="41">
        <v>5.0000000000000001E-3</v>
      </c>
      <c r="D9" s="41">
        <v>5.0000000000000001E-3</v>
      </c>
      <c r="E9" s="41">
        <v>5.0000000000000001E-3</v>
      </c>
      <c r="F9" s="41">
        <v>5.0000000000000001E-3</v>
      </c>
      <c r="G9" s="41">
        <v>5.0000000000000001E-3</v>
      </c>
      <c r="H9" s="41">
        <v>5.0000000000000001E-3</v>
      </c>
      <c r="I9" s="41">
        <v>5.0000000000000001E-3</v>
      </c>
      <c r="J9" s="41">
        <v>5.0000000000000001E-3</v>
      </c>
    </row>
    <row r="10" spans="2:12" ht="20.100000000000001" customHeight="1">
      <c r="B10" s="41" t="s">
        <v>288</v>
      </c>
      <c r="C10" s="41">
        <v>7.13</v>
      </c>
      <c r="D10" s="41">
        <v>7.13</v>
      </c>
      <c r="E10" s="41">
        <v>7.13</v>
      </c>
      <c r="F10" s="41">
        <v>7.13</v>
      </c>
      <c r="G10" s="41">
        <v>7.13</v>
      </c>
      <c r="H10" s="41">
        <v>7.13</v>
      </c>
      <c r="I10" s="41">
        <v>7.13</v>
      </c>
      <c r="J10" s="41">
        <v>7.13</v>
      </c>
    </row>
    <row r="11" spans="2:12" ht="20.100000000000001" customHeight="1">
      <c r="B11" s="41" t="s">
        <v>289</v>
      </c>
      <c r="C11" s="41">
        <v>1E-3</v>
      </c>
      <c r="D11" s="41">
        <v>1E-3</v>
      </c>
      <c r="E11" s="41">
        <v>1E-3</v>
      </c>
      <c r="F11" s="41">
        <v>1E-3</v>
      </c>
      <c r="G11" s="41">
        <v>1E-3</v>
      </c>
      <c r="H11" s="41">
        <v>1E-3</v>
      </c>
      <c r="I11" s="41">
        <v>1E-3</v>
      </c>
      <c r="J11" s="41">
        <v>1E-3</v>
      </c>
    </row>
    <row r="12" spans="2:12" ht="20.100000000000001" customHeight="1">
      <c r="B12" s="41" t="s">
        <v>290</v>
      </c>
      <c r="C12" s="41">
        <v>6.4630000000000001</v>
      </c>
      <c r="D12" s="41">
        <v>6.4630000000000001</v>
      </c>
      <c r="E12" s="41">
        <v>6.4630000000000001</v>
      </c>
      <c r="F12" s="41">
        <v>6.4630000000000001</v>
      </c>
      <c r="G12" s="41">
        <v>6.4630000000000001</v>
      </c>
      <c r="H12" s="41">
        <v>6.4630000000000001</v>
      </c>
      <c r="I12" s="41">
        <v>6.4630000000000001</v>
      </c>
      <c r="J12" s="41">
        <v>6.4630000000000001</v>
      </c>
    </row>
    <row r="13" spans="2:12" ht="20.100000000000001" customHeight="1">
      <c r="B13" s="41" t="s">
        <v>291</v>
      </c>
      <c r="C13" s="41">
        <v>0.17799999999999999</v>
      </c>
      <c r="D13" s="41">
        <v>0.17799999999999999</v>
      </c>
      <c r="E13" s="41">
        <v>0.17799999999999999</v>
      </c>
      <c r="F13" s="41">
        <v>0.17799999999999999</v>
      </c>
      <c r="G13" s="41">
        <v>0.17799999999999999</v>
      </c>
      <c r="H13" s="41">
        <v>0.17799999999999999</v>
      </c>
      <c r="I13" s="41">
        <v>0.17799999999999999</v>
      </c>
      <c r="J13" s="41">
        <v>0.17799999999999999</v>
      </c>
    </row>
    <row r="14" spans="2:12" ht="20.100000000000001" customHeight="1">
      <c r="B14" s="41" t="s">
        <v>292</v>
      </c>
      <c r="C14" s="41">
        <v>6.9640000000000004</v>
      </c>
      <c r="D14" s="41">
        <v>6.9640000000000004</v>
      </c>
      <c r="E14" s="41">
        <v>5.66</v>
      </c>
      <c r="F14" s="41">
        <v>5.66</v>
      </c>
      <c r="G14" s="41">
        <v>5.66</v>
      </c>
      <c r="H14" s="41">
        <v>5.66</v>
      </c>
      <c r="I14" s="41">
        <v>4.3380000000000001</v>
      </c>
      <c r="J14" s="41">
        <v>4.3380000000000001</v>
      </c>
    </row>
    <row r="15" spans="2:12" ht="20.100000000000001" customHeight="1">
      <c r="B15" s="41" t="s">
        <v>293</v>
      </c>
      <c r="C15" s="41">
        <v>1.2999999999999999E-2</v>
      </c>
      <c r="D15" s="41">
        <v>1.2999999999999999E-2</v>
      </c>
      <c r="E15" s="41">
        <v>1.4E-2</v>
      </c>
      <c r="F15" s="41">
        <v>1.4E-2</v>
      </c>
      <c r="G15" s="41">
        <v>1.4E-2</v>
      </c>
      <c r="H15" s="41">
        <v>1.4E-2</v>
      </c>
      <c r="I15" s="41">
        <v>4.1000000000000002E-2</v>
      </c>
      <c r="J15" s="41">
        <v>4.1000000000000002E-2</v>
      </c>
    </row>
    <row r="16" spans="2:12" ht="20.100000000000001" customHeight="1">
      <c r="B16" s="41" t="s">
        <v>294</v>
      </c>
      <c r="C16" s="41">
        <v>2.089</v>
      </c>
      <c r="D16" s="41">
        <v>2.089</v>
      </c>
      <c r="E16" s="41">
        <v>1.98</v>
      </c>
      <c r="F16" s="41">
        <v>1.98</v>
      </c>
      <c r="G16" s="41">
        <v>1.98</v>
      </c>
      <c r="H16" s="41">
        <v>1.98</v>
      </c>
      <c r="I16" s="41">
        <v>0.20300000000000001</v>
      </c>
      <c r="J16" s="41">
        <v>0.20300000000000001</v>
      </c>
    </row>
    <row r="17" spans="2:10" ht="20.100000000000001" customHeight="1">
      <c r="B17" s="41" t="s">
        <v>295</v>
      </c>
      <c r="C17" s="41">
        <v>4.2999999999999997E-2</v>
      </c>
      <c r="D17" s="41">
        <v>4.2999999999999997E-2</v>
      </c>
      <c r="E17" s="41">
        <v>4.3999999999999997E-2</v>
      </c>
      <c r="F17" s="41">
        <v>4.3999999999999997E-2</v>
      </c>
      <c r="G17" s="41">
        <v>4.3999999999999997E-2</v>
      </c>
      <c r="H17" s="41">
        <v>4.3999999999999997E-2</v>
      </c>
      <c r="I17" s="41">
        <v>4.7E-2</v>
      </c>
      <c r="J17" s="41">
        <v>4.1000000000000002E-2</v>
      </c>
    </row>
    <row r="18" spans="2:10" ht="20.100000000000001" customHeight="1">
      <c r="B18" s="41" t="s">
        <v>296</v>
      </c>
      <c r="C18" s="41">
        <v>2.7890000000000001</v>
      </c>
      <c r="D18" s="41">
        <v>2.7890000000000001</v>
      </c>
      <c r="E18" s="41">
        <v>2.7890000000000001</v>
      </c>
      <c r="F18" s="41">
        <v>2.7890000000000001</v>
      </c>
      <c r="G18" s="41">
        <v>2.7890000000000001</v>
      </c>
      <c r="H18" s="41">
        <v>2.7890000000000001</v>
      </c>
      <c r="I18" s="41">
        <v>2.7890000000000001</v>
      </c>
      <c r="J18" s="41">
        <v>2.7890000000000001</v>
      </c>
    </row>
    <row r="19" spans="2:10" ht="20.100000000000001" customHeight="1">
      <c r="B19" s="41" t="s">
        <v>297</v>
      </c>
      <c r="C19" s="41">
        <v>1.0999999999999999E-2</v>
      </c>
      <c r="D19" s="41">
        <v>1.0999999999999999E-2</v>
      </c>
      <c r="E19" s="41">
        <v>1.0999999999999999E-2</v>
      </c>
      <c r="F19" s="41">
        <v>1.0999999999999999E-2</v>
      </c>
      <c r="G19" s="41">
        <v>1.0999999999999999E-2</v>
      </c>
      <c r="H19" s="41">
        <v>1.0999999999999999E-2</v>
      </c>
      <c r="I19" s="41">
        <v>1.0999999999999999E-2</v>
      </c>
      <c r="J19" s="41">
        <v>1.0999999999999999E-2</v>
      </c>
    </row>
    <row r="20" spans="2:10" ht="20.100000000000001" customHeight="1">
      <c r="B20" s="41" t="s">
        <v>298</v>
      </c>
      <c r="C20" s="41">
        <v>3.48</v>
      </c>
      <c r="D20" s="41">
        <v>3.48</v>
      </c>
      <c r="E20" s="41">
        <v>3.48</v>
      </c>
      <c r="F20" s="41">
        <v>3.48</v>
      </c>
      <c r="G20" s="41">
        <v>3.48</v>
      </c>
      <c r="H20" s="41">
        <v>3.48</v>
      </c>
      <c r="I20" s="41">
        <v>3.48</v>
      </c>
      <c r="J20" s="41">
        <v>3.48</v>
      </c>
    </row>
    <row r="21" spans="2:10" ht="20.100000000000001" customHeight="1">
      <c r="B21" s="41" t="s">
        <v>299</v>
      </c>
      <c r="C21" s="41">
        <v>8.9999999999999993E-3</v>
      </c>
      <c r="D21" s="41">
        <v>8.9999999999999993E-3</v>
      </c>
      <c r="E21" s="41">
        <v>8.9999999999999993E-3</v>
      </c>
      <c r="F21" s="41">
        <v>8.9999999999999993E-3</v>
      </c>
      <c r="G21" s="41">
        <v>8.9999999999999993E-3</v>
      </c>
      <c r="H21" s="41">
        <v>8.9999999999999993E-3</v>
      </c>
      <c r="I21" s="41">
        <v>8.9999999999999993E-3</v>
      </c>
      <c r="J21" s="41">
        <v>8.9999999999999993E-3</v>
      </c>
    </row>
    <row r="22" spans="2:10" ht="20.100000000000001" customHeight="1">
      <c r="B22" s="41" t="s">
        <v>300</v>
      </c>
      <c r="C22" s="41">
        <v>4.7190000000000003</v>
      </c>
      <c r="D22" s="41">
        <v>4.7190000000000003</v>
      </c>
      <c r="E22" s="41">
        <v>4.7190000000000003</v>
      </c>
      <c r="F22" s="41">
        <v>4.7190000000000003</v>
      </c>
      <c r="G22" s="41">
        <v>4.7190000000000003</v>
      </c>
      <c r="H22" s="41">
        <v>4.7190000000000003</v>
      </c>
      <c r="I22" s="41">
        <v>4.7190000000000003</v>
      </c>
      <c r="J22" s="41">
        <v>4.7190000000000003</v>
      </c>
    </row>
    <row r="23" spans="2:10" ht="20.100000000000001" customHeight="1">
      <c r="B23" s="41" t="s">
        <v>301</v>
      </c>
      <c r="C23" s="41">
        <v>1E-3</v>
      </c>
      <c r="D23" s="41">
        <v>1E-3</v>
      </c>
      <c r="E23" s="41">
        <v>1E-3</v>
      </c>
      <c r="F23" s="41">
        <v>1E-3</v>
      </c>
      <c r="G23" s="41">
        <v>1E-3</v>
      </c>
      <c r="H23" s="41">
        <v>1E-3</v>
      </c>
      <c r="I23" s="41">
        <v>1E-3</v>
      </c>
      <c r="J23" s="41">
        <v>1E-3</v>
      </c>
    </row>
    <row r="24" spans="2:10" ht="20.100000000000001" customHeight="1">
      <c r="B24" s="41" t="s">
        <v>302</v>
      </c>
      <c r="C24" s="41">
        <v>5.492</v>
      </c>
      <c r="D24" s="41">
        <v>5.492</v>
      </c>
      <c r="E24" s="41">
        <v>5.492</v>
      </c>
      <c r="F24" s="41">
        <v>5.492</v>
      </c>
      <c r="G24" s="41">
        <v>5.492</v>
      </c>
      <c r="H24" s="41">
        <v>5.492</v>
      </c>
      <c r="I24" s="41">
        <v>5.492</v>
      </c>
      <c r="J24" s="41">
        <v>5.492</v>
      </c>
    </row>
    <row r="25" spans="2:10" ht="20.100000000000001" customHeight="1">
      <c r="B25" s="41" t="s">
        <v>303</v>
      </c>
      <c r="C25" s="41">
        <v>4.1000000000000002E-2</v>
      </c>
      <c r="D25" s="41">
        <v>4.1000000000000002E-2</v>
      </c>
      <c r="E25" s="41">
        <v>4.1000000000000002E-2</v>
      </c>
      <c r="F25" s="41">
        <v>4.1000000000000002E-2</v>
      </c>
      <c r="G25" s="41">
        <v>4.1000000000000002E-2</v>
      </c>
      <c r="H25" s="41">
        <v>4.1000000000000002E-2</v>
      </c>
      <c r="I25" s="41">
        <v>4.1000000000000002E-2</v>
      </c>
      <c r="J25" s="41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tabSelected="1" workbookViewId="0">
      <selection activeCell="K20" sqref="K20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305</v>
      </c>
      <c r="G1" s="1" t="s">
        <v>304</v>
      </c>
      <c r="H1" s="1" t="s">
        <v>306</v>
      </c>
      <c r="I1" s="1" t="s">
        <v>10</v>
      </c>
      <c r="J1" s="1" t="s">
        <v>245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25</v>
      </c>
      <c r="B2" s="1" t="s">
        <v>24</v>
      </c>
      <c r="C2" s="2" t="s">
        <v>336</v>
      </c>
      <c r="D2" s="2" t="s">
        <v>340</v>
      </c>
      <c r="E2" s="7" t="s">
        <v>352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S2" s="2" t="s">
        <v>13</v>
      </c>
    </row>
    <row r="3" spans="1:19" ht="21.75" customHeight="1">
      <c r="A3" s="2" t="s">
        <v>28</v>
      </c>
      <c r="B3" s="48" t="s">
        <v>37</v>
      </c>
      <c r="C3" s="2" t="s">
        <v>336</v>
      </c>
      <c r="D3" s="2" t="s">
        <v>340</v>
      </c>
      <c r="E3" s="7" t="s">
        <v>360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7.39</v>
      </c>
      <c r="M3" s="2" t="str">
        <f t="shared" ref="M3:M14" si="0">D3&amp;" " &amp; E3</f>
        <v>송국리 211-2</v>
      </c>
      <c r="S3" s="2" t="s">
        <v>13</v>
      </c>
    </row>
    <row r="4" spans="1:19" ht="21.75" customHeight="1">
      <c r="A4" s="2" t="s">
        <v>29</v>
      </c>
      <c r="B4" s="48" t="s">
        <v>37</v>
      </c>
      <c r="C4" s="2" t="s">
        <v>336</v>
      </c>
      <c r="D4" s="2" t="s">
        <v>340</v>
      </c>
      <c r="E4" s="7" t="s">
        <v>361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7.39</v>
      </c>
      <c r="M4" s="2" t="str">
        <f t="shared" si="0"/>
        <v>송국리 158-2</v>
      </c>
      <c r="S4" s="2" t="s">
        <v>13</v>
      </c>
    </row>
    <row r="5" spans="1:19" ht="21.75" customHeight="1">
      <c r="A5" s="2" t="s">
        <v>30</v>
      </c>
      <c r="B5" s="48" t="s">
        <v>37</v>
      </c>
      <c r="C5" s="2" t="s">
        <v>336</v>
      </c>
      <c r="D5" s="2" t="s">
        <v>339</v>
      </c>
      <c r="E5" s="7" t="s">
        <v>373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7.39</v>
      </c>
      <c r="M5" s="2" t="str">
        <f t="shared" si="0"/>
        <v>소사리 553-12</v>
      </c>
      <c r="S5" s="2" t="s">
        <v>13</v>
      </c>
    </row>
    <row r="6" spans="1:19" ht="21.75" customHeight="1">
      <c r="A6" s="2" t="s">
        <v>31</v>
      </c>
      <c r="B6" s="1" t="s">
        <v>24</v>
      </c>
      <c r="C6" s="2" t="s">
        <v>336</v>
      </c>
      <c r="D6" s="2" t="s">
        <v>383</v>
      </c>
      <c r="E6" s="7" t="s">
        <v>385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S6" s="2" t="s">
        <v>13</v>
      </c>
    </row>
    <row r="7" spans="1:19" ht="21.75" customHeight="1">
      <c r="A7" s="2" t="s">
        <v>333</v>
      </c>
      <c r="B7" s="1" t="s">
        <v>24</v>
      </c>
      <c r="C7" s="2" t="s">
        <v>336</v>
      </c>
      <c r="D7" s="2" t="s">
        <v>339</v>
      </c>
      <c r="E7" s="7" t="s">
        <v>391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3.82</v>
      </c>
      <c r="M7" s="2" t="str">
        <f t="shared" si="0"/>
        <v>소사리 621-29</v>
      </c>
      <c r="S7" s="2" t="s">
        <v>13</v>
      </c>
    </row>
    <row r="8" spans="1:19" ht="21.75" customHeight="1">
      <c r="A8" s="2" t="s">
        <v>353</v>
      </c>
      <c r="B8" s="48" t="s">
        <v>37</v>
      </c>
      <c r="C8" s="2" t="s">
        <v>336</v>
      </c>
      <c r="D8" s="2" t="s">
        <v>383</v>
      </c>
      <c r="E8" s="7" t="s">
        <v>409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7.39</v>
      </c>
      <c r="M8" s="2" t="str">
        <f t="shared" si="0"/>
        <v>진호리 356-4</v>
      </c>
      <c r="S8" s="2" t="s">
        <v>13</v>
      </c>
    </row>
    <row r="9" spans="1:19" ht="21.75" customHeight="1">
      <c r="A9" s="2" t="s">
        <v>354</v>
      </c>
      <c r="B9" s="1" t="s">
        <v>24</v>
      </c>
      <c r="C9" s="2" t="s">
        <v>336</v>
      </c>
      <c r="D9" s="2" t="s">
        <v>340</v>
      </c>
      <c r="E9" s="7" t="s">
        <v>416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7.39</v>
      </c>
      <c r="M9" s="2" t="str">
        <f t="shared" si="0"/>
        <v>송국리 552-2</v>
      </c>
      <c r="S9" s="2" t="s">
        <v>13</v>
      </c>
    </row>
    <row r="10" spans="1:19" ht="21.75" customHeight="1">
      <c r="A10" s="2" t="s">
        <v>355</v>
      </c>
      <c r="B10" s="1" t="s">
        <v>24</v>
      </c>
      <c r="C10" s="2" t="s">
        <v>336</v>
      </c>
      <c r="D10" s="2" t="s">
        <v>340</v>
      </c>
      <c r="E10" s="7" t="s">
        <v>427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S10" s="2" t="s">
        <v>13</v>
      </c>
    </row>
    <row r="11" spans="1:19" ht="21.75" customHeight="1">
      <c r="A11" s="2" t="s">
        <v>356</v>
      </c>
      <c r="B11" s="1" t="s">
        <v>24</v>
      </c>
      <c r="C11" s="2" t="s">
        <v>336</v>
      </c>
      <c r="D11" s="2" t="s">
        <v>428</v>
      </c>
      <c r="E11" s="7" t="s">
        <v>429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4.18</v>
      </c>
      <c r="M11" s="2" t="str">
        <f t="shared" si="0"/>
        <v>세탑리 43</v>
      </c>
      <c r="S11" s="2" t="s">
        <v>13</v>
      </c>
    </row>
    <row r="12" spans="1:19" ht="21.75" customHeight="1">
      <c r="A12" s="2" t="s">
        <v>357</v>
      </c>
      <c r="B12" s="1" t="s">
        <v>24</v>
      </c>
      <c r="C12" s="2" t="s">
        <v>336</v>
      </c>
      <c r="D12" s="2" t="s">
        <v>434</v>
      </c>
      <c r="E12" s="7" t="s">
        <v>436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S12" s="2" t="s">
        <v>13</v>
      </c>
    </row>
    <row r="13" spans="1:19" ht="21.75" customHeight="1">
      <c r="A13" s="2" t="s">
        <v>358</v>
      </c>
      <c r="B13" s="1" t="s">
        <v>24</v>
      </c>
      <c r="C13" s="2" t="s">
        <v>336</v>
      </c>
      <c r="D13" s="2" t="s">
        <v>383</v>
      </c>
      <c r="E13" s="7" t="s">
        <v>437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4.4000000000000004</v>
      </c>
      <c r="M13" s="2" t="str">
        <f t="shared" si="0"/>
        <v>진호리 386-1</v>
      </c>
      <c r="S13" s="2" t="s">
        <v>13</v>
      </c>
    </row>
    <row r="14" spans="1:19" ht="21.75" customHeight="1">
      <c r="A14" s="2" t="s">
        <v>438</v>
      </c>
      <c r="B14" s="1" t="s">
        <v>24</v>
      </c>
      <c r="C14" s="2" t="s">
        <v>336</v>
      </c>
      <c r="D14" s="2" t="s">
        <v>383</v>
      </c>
      <c r="E14" s="7" t="s">
        <v>439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S14" s="2" t="s">
        <v>13</v>
      </c>
    </row>
    <row r="15" spans="1:19" ht="21" customHeight="1">
      <c r="B15" s="1"/>
      <c r="I15" s="2"/>
      <c r="J15" s="2"/>
      <c r="L15" s="3"/>
    </row>
    <row r="16" spans="1:19" ht="21.75" customHeight="1">
      <c r="I16" s="2"/>
      <c r="J16" s="2"/>
    </row>
    <row r="17" spans="2:12" ht="21.75" customHeight="1" thickBot="1">
      <c r="K17" s="2" t="s">
        <v>36</v>
      </c>
      <c r="L17" s="43">
        <f>SUM(L2:L16)</f>
        <v>52.75</v>
      </c>
    </row>
    <row r="18" spans="2:12" ht="21.75" customHeight="1">
      <c r="B18" s="15" t="s">
        <v>307</v>
      </c>
      <c r="C18" s="49" t="s">
        <v>308</v>
      </c>
      <c r="D18" s="50"/>
      <c r="E18" s="49" t="s">
        <v>311</v>
      </c>
      <c r="F18" s="50"/>
      <c r="G18" s="49" t="s">
        <v>312</v>
      </c>
      <c r="H18" s="50"/>
      <c r="I18" s="49" t="s">
        <v>313</v>
      </c>
      <c r="J18" s="51"/>
      <c r="L18" s="13"/>
    </row>
    <row r="19" spans="2:12" ht="21.75" customHeight="1">
      <c r="B19" s="20" t="s">
        <v>309</v>
      </c>
      <c r="C19" s="17">
        <f ca="1">E19+G19+I19</f>
        <v>55</v>
      </c>
      <c r="D19" s="17">
        <f ca="1">F19+H19+J19</f>
        <v>296.00000000000011</v>
      </c>
      <c r="E19" s="17">
        <f ca="1">IF(F19=0,0,COUNTIF(SS_INSIDE_AREA,"O"))</f>
        <v>13</v>
      </c>
      <c r="F19" s="17">
        <f ca="1">SUMIF(SS_INSIDE_AREA,"O",$L$2:$L$2)</f>
        <v>52.75</v>
      </c>
      <c r="G19" s="17">
        <f ca="1">IF(H19=0,0,COUNTIF(AA_INSIDE_AREA,"O"))</f>
        <v>40</v>
      </c>
      <c r="H19" s="17">
        <f ca="1">aa!$D$45</f>
        <v>229.25000000000009</v>
      </c>
      <c r="I19" s="17">
        <f ca="1">IF(J19=0,0,COUNTIF(II_INSIDE_AREA,"O"))</f>
        <v>2</v>
      </c>
      <c r="J19" s="21">
        <f ca="1">ii!$D$9</f>
        <v>14</v>
      </c>
      <c r="K19" s="2" t="s">
        <v>33</v>
      </c>
      <c r="L19" s="44">
        <f>L17+aa!L44+ii!L6</f>
        <v>296.00000000000011</v>
      </c>
    </row>
    <row r="20" spans="2:12" ht="21.75" customHeight="1" thickBot="1">
      <c r="B20" s="16" t="s">
        <v>310</v>
      </c>
      <c r="C20" s="22">
        <f ca="1">E20+G20+I20</f>
        <v>0</v>
      </c>
      <c r="D20" s="22">
        <f ca="1">F20+H20+J20</f>
        <v>0</v>
      </c>
      <c r="E20" s="22">
        <f ca="1">IF(F20=0,0,COUNTIF(SS_INSIDE_AREA,"X"))</f>
        <v>0</v>
      </c>
      <c r="F20" s="22">
        <f ca="1">SUMIF(SS_INSIDE_AREA,"X",$L$2:$L$2)</f>
        <v>0</v>
      </c>
      <c r="G20" s="22">
        <f ca="1">IF(H20=0,0,COUNTIF(AA_INSIDE_AREA,"X"))</f>
        <v>0</v>
      </c>
      <c r="H20" s="22">
        <f ca="1">aa!$D$46</f>
        <v>0</v>
      </c>
      <c r="I20" s="22">
        <f ca="1">IF(J20=0,0,COUNTIF(II_INSIDE_AREA,"X"))</f>
        <v>0</v>
      </c>
      <c r="J20" s="23">
        <f ca="1">ii!$D$10</f>
        <v>0</v>
      </c>
    </row>
    <row r="21" spans="2:12" ht="21.75" customHeight="1">
      <c r="B21"/>
      <c r="C21"/>
      <c r="D21"/>
      <c r="E21"/>
      <c r="F21"/>
      <c r="G21"/>
      <c r="H21"/>
      <c r="I21"/>
      <c r="K21" s="15" t="s">
        <v>34</v>
      </c>
      <c r="L21" s="45">
        <f ca="1">D19</f>
        <v>296.00000000000011</v>
      </c>
    </row>
    <row r="22" spans="2:12" ht="21.75" customHeight="1" thickBot="1">
      <c r="B22"/>
      <c r="C22"/>
      <c r="D22"/>
      <c r="E22"/>
      <c r="F22"/>
      <c r="G22"/>
      <c r="H22"/>
      <c r="I22"/>
      <c r="K22" s="16" t="s">
        <v>35</v>
      </c>
      <c r="L22" s="46">
        <f ca="1">C19</f>
        <v>55</v>
      </c>
    </row>
    <row r="23" spans="2:12" ht="21.75" customHeight="1">
      <c r="B23"/>
      <c r="C23"/>
      <c r="D23"/>
      <c r="E23"/>
      <c r="F23"/>
      <c r="G23"/>
      <c r="H23"/>
      <c r="I23"/>
    </row>
    <row r="24" spans="2:12" ht="21.75" customHeight="1">
      <c r="B24"/>
      <c r="C24"/>
      <c r="D24"/>
      <c r="E24"/>
      <c r="F24"/>
      <c r="G24"/>
      <c r="H24"/>
      <c r="I24"/>
    </row>
    <row r="25" spans="2:12" ht="21.75" customHeight="1">
      <c r="B25"/>
      <c r="C25"/>
      <c r="D25"/>
      <c r="E25"/>
      <c r="F25"/>
      <c r="G25"/>
      <c r="H25"/>
      <c r="I25"/>
    </row>
    <row r="26" spans="2:12" ht="21.75" customHeight="1">
      <c r="B26"/>
      <c r="C26"/>
      <c r="D26"/>
      <c r="E26"/>
      <c r="F26"/>
      <c r="G26"/>
      <c r="H26"/>
      <c r="I26"/>
    </row>
    <row r="27" spans="2:12" ht="21.75" customHeight="1">
      <c r="B27"/>
      <c r="C27"/>
      <c r="D27"/>
      <c r="E27"/>
      <c r="F27"/>
      <c r="G27"/>
      <c r="H27"/>
      <c r="I27"/>
    </row>
    <row r="28" spans="2:12" ht="21.75" customHeight="1">
      <c r="B28"/>
      <c r="C28"/>
      <c r="D28"/>
      <c r="E28"/>
      <c r="F28"/>
      <c r="G28"/>
      <c r="H28"/>
      <c r="I28"/>
    </row>
    <row r="29" spans="2:12" ht="21.75" customHeight="1">
      <c r="B29"/>
      <c r="C29"/>
      <c r="D29"/>
      <c r="E29"/>
      <c r="F29"/>
      <c r="G29"/>
      <c r="H29"/>
      <c r="I29"/>
    </row>
    <row r="30" spans="2:12" ht="21.75" customHeight="1">
      <c r="B30"/>
      <c r="C30"/>
      <c r="D30"/>
      <c r="E30"/>
      <c r="F30"/>
      <c r="G30"/>
      <c r="H30"/>
      <c r="I30"/>
    </row>
    <row r="31" spans="2:12" ht="21.75" customHeight="1">
      <c r="B31"/>
      <c r="C31"/>
      <c r="D31"/>
      <c r="E31"/>
      <c r="F31"/>
      <c r="G31"/>
      <c r="H31"/>
      <c r="I31"/>
    </row>
    <row r="37" spans="11:17" ht="21.75" customHeight="1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22</xdr:col>
                <xdr:colOff>76200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7"/>
  <sheetViews>
    <sheetView workbookViewId="0">
      <selection activeCell="H15" sqref="H15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1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336</v>
      </c>
      <c r="D2" s="2" t="s">
        <v>340</v>
      </c>
      <c r="E2" s="11" t="s">
        <v>341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342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26</v>
      </c>
      <c r="B3" s="1" t="s">
        <v>4</v>
      </c>
      <c r="C3" s="2" t="s">
        <v>336</v>
      </c>
      <c r="D3" s="2" t="s">
        <v>340</v>
      </c>
      <c r="E3" s="11" t="s">
        <v>351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325</v>
      </c>
      <c r="L3" s="2">
        <v>5.5</v>
      </c>
      <c r="M3" s="31" t="str">
        <f t="shared" ref="M3:M41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27</v>
      </c>
      <c r="B4" s="1" t="s">
        <v>24</v>
      </c>
      <c r="C4" s="2" t="s">
        <v>336</v>
      </c>
      <c r="D4" s="2" t="s">
        <v>340</v>
      </c>
      <c r="E4" s="11" t="s">
        <v>359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325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 t="s">
        <v>334</v>
      </c>
      <c r="B5" s="1" t="s">
        <v>24</v>
      </c>
      <c r="C5" s="2" t="s">
        <v>336</v>
      </c>
      <c r="D5" s="2" t="s">
        <v>337</v>
      </c>
      <c r="E5" s="11" t="s">
        <v>362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327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>
      <c r="A6" s="1" t="s">
        <v>335</v>
      </c>
      <c r="B6" s="1" t="s">
        <v>24</v>
      </c>
      <c r="C6" s="2" t="s">
        <v>336</v>
      </c>
      <c r="D6" s="2" t="s">
        <v>337</v>
      </c>
      <c r="E6" s="11" t="s">
        <v>362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327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>
      <c r="A7" s="1" t="s">
        <v>343</v>
      </c>
      <c r="B7" s="1" t="s">
        <v>24</v>
      </c>
      <c r="C7" s="2" t="s">
        <v>336</v>
      </c>
      <c r="D7" s="2" t="s">
        <v>337</v>
      </c>
      <c r="E7" s="11" t="s">
        <v>363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327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>
      <c r="A8" s="1" t="s">
        <v>344</v>
      </c>
      <c r="B8" s="1" t="s">
        <v>24</v>
      </c>
      <c r="C8" s="2" t="s">
        <v>336</v>
      </c>
      <c r="D8" s="2" t="s">
        <v>337</v>
      </c>
      <c r="E8" s="11" t="s">
        <v>364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325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>
      <c r="A9" s="1" t="s">
        <v>345</v>
      </c>
      <c r="B9" s="1" t="s">
        <v>24</v>
      </c>
      <c r="C9" s="2" t="s">
        <v>336</v>
      </c>
      <c r="D9" s="2" t="s">
        <v>337</v>
      </c>
      <c r="E9" s="11" t="s">
        <v>365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325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>
      <c r="A10" s="1" t="s">
        <v>346</v>
      </c>
      <c r="B10" s="1" t="s">
        <v>24</v>
      </c>
      <c r="C10" s="2" t="s">
        <v>336</v>
      </c>
      <c r="D10" s="2" t="s">
        <v>337</v>
      </c>
      <c r="E10" s="11" t="s">
        <v>366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327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>
      <c r="A11" s="1" t="s">
        <v>347</v>
      </c>
      <c r="B11" s="1" t="s">
        <v>24</v>
      </c>
      <c r="C11" s="2" t="s">
        <v>336</v>
      </c>
      <c r="D11" s="2" t="s">
        <v>339</v>
      </c>
      <c r="E11" s="11" t="s">
        <v>367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327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>
      <c r="A12" s="1" t="s">
        <v>348</v>
      </c>
      <c r="B12" s="1" t="s">
        <v>24</v>
      </c>
      <c r="C12" s="2" t="s">
        <v>336</v>
      </c>
      <c r="D12" s="2" t="s">
        <v>339</v>
      </c>
      <c r="E12" s="11" t="s">
        <v>372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327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>
      <c r="A13" s="1" t="s">
        <v>349</v>
      </c>
      <c r="B13" s="1" t="s">
        <v>24</v>
      </c>
      <c r="C13" s="2" t="s">
        <v>336</v>
      </c>
      <c r="D13" s="2" t="s">
        <v>339</v>
      </c>
      <c r="E13" s="11" t="s">
        <v>374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327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>
      <c r="A14" s="1" t="s">
        <v>350</v>
      </c>
      <c r="B14" s="1" t="s">
        <v>24</v>
      </c>
      <c r="C14" s="2" t="s">
        <v>336</v>
      </c>
      <c r="D14" s="2" t="s">
        <v>339</v>
      </c>
      <c r="E14" s="11" t="s">
        <v>375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327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>
      <c r="A15" s="1" t="s">
        <v>368</v>
      </c>
      <c r="B15" s="1" t="s">
        <v>24</v>
      </c>
      <c r="C15" s="2" t="s">
        <v>336</v>
      </c>
      <c r="D15" s="2" t="s">
        <v>339</v>
      </c>
      <c r="E15" s="11" t="s">
        <v>376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325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>
      <c r="A16" s="1" t="s">
        <v>369</v>
      </c>
      <c r="B16" s="1" t="s">
        <v>24</v>
      </c>
      <c r="C16" s="2" t="s">
        <v>336</v>
      </c>
      <c r="D16" s="2" t="s">
        <v>383</v>
      </c>
      <c r="E16" s="11" t="s">
        <v>384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325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>
      <c r="A17" s="1" t="s">
        <v>370</v>
      </c>
      <c r="B17" s="1" t="s">
        <v>24</v>
      </c>
      <c r="C17" s="2" t="s">
        <v>336</v>
      </c>
      <c r="D17" s="2" t="s">
        <v>383</v>
      </c>
      <c r="E17" s="11" t="s">
        <v>386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325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>
      <c r="A18" s="1" t="s">
        <v>371</v>
      </c>
      <c r="B18" s="1" t="s">
        <v>24</v>
      </c>
      <c r="C18" s="2" t="s">
        <v>336</v>
      </c>
      <c r="D18" s="2" t="s">
        <v>383</v>
      </c>
      <c r="E18" s="11" t="s">
        <v>387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325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>
      <c r="A19" s="1" t="s">
        <v>377</v>
      </c>
      <c r="B19" s="48" t="s">
        <v>37</v>
      </c>
      <c r="C19" s="2" t="s">
        <v>336</v>
      </c>
      <c r="D19" s="2" t="s">
        <v>383</v>
      </c>
      <c r="E19" s="11" t="s">
        <v>388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325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>
      <c r="A20" s="1" t="s">
        <v>378</v>
      </c>
      <c r="B20" s="1" t="s">
        <v>24</v>
      </c>
      <c r="C20" s="2" t="s">
        <v>336</v>
      </c>
      <c r="D20" s="2" t="s">
        <v>383</v>
      </c>
      <c r="E20" s="11" t="s">
        <v>389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342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>
      <c r="A21" s="1" t="s">
        <v>379</v>
      </c>
      <c r="B21" s="1" t="s">
        <v>24</v>
      </c>
      <c r="C21" s="2" t="s">
        <v>336</v>
      </c>
      <c r="D21" s="2" t="s">
        <v>383</v>
      </c>
      <c r="E21" s="11" t="s">
        <v>390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327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>
      <c r="A22" s="1" t="s">
        <v>380</v>
      </c>
      <c r="B22" s="1" t="s">
        <v>24</v>
      </c>
      <c r="C22" s="2" t="s">
        <v>336</v>
      </c>
      <c r="D22" s="2" t="s">
        <v>383</v>
      </c>
      <c r="E22" s="11" t="s">
        <v>392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327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>
      <c r="A23" s="1" t="s">
        <v>381</v>
      </c>
      <c r="B23" s="1" t="s">
        <v>24</v>
      </c>
      <c r="C23" s="2" t="s">
        <v>336</v>
      </c>
      <c r="D23" s="2" t="s">
        <v>383</v>
      </c>
      <c r="E23" s="11" t="s">
        <v>393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325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>
      <c r="A24" s="1" t="s">
        <v>382</v>
      </c>
      <c r="B24" s="1" t="s">
        <v>24</v>
      </c>
      <c r="C24" s="2" t="s">
        <v>336</v>
      </c>
      <c r="D24" s="2" t="s">
        <v>383</v>
      </c>
      <c r="E24" s="11" t="s">
        <v>408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325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>
      <c r="A25" s="1" t="s">
        <v>394</v>
      </c>
      <c r="B25" s="48" t="s">
        <v>37</v>
      </c>
      <c r="C25" s="2" t="s">
        <v>336</v>
      </c>
      <c r="D25" s="2" t="s">
        <v>383</v>
      </c>
      <c r="E25" s="11" t="s">
        <v>338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325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>
      <c r="A26" s="1" t="s">
        <v>395</v>
      </c>
      <c r="B26" s="1" t="s">
        <v>24</v>
      </c>
      <c r="C26" s="2" t="s">
        <v>336</v>
      </c>
      <c r="D26" s="2" t="s">
        <v>339</v>
      </c>
      <c r="E26" s="11" t="s">
        <v>410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325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>
      <c r="A27" s="1" t="s">
        <v>396</v>
      </c>
      <c r="B27" s="1" t="s">
        <v>24</v>
      </c>
      <c r="C27" s="2" t="s">
        <v>336</v>
      </c>
      <c r="D27" s="2" t="s">
        <v>339</v>
      </c>
      <c r="E27" s="11" t="s">
        <v>411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325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>
      <c r="A28" s="1" t="s">
        <v>397</v>
      </c>
      <c r="B28" s="1" t="s">
        <v>24</v>
      </c>
      <c r="C28" s="2" t="s">
        <v>336</v>
      </c>
      <c r="D28" s="2" t="s">
        <v>339</v>
      </c>
      <c r="E28" s="11" t="s">
        <v>412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342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>
      <c r="A29" s="1" t="s">
        <v>398</v>
      </c>
      <c r="B29" s="1" t="s">
        <v>24</v>
      </c>
      <c r="C29" s="2" t="s">
        <v>336</v>
      </c>
      <c r="D29" s="2" t="s">
        <v>339</v>
      </c>
      <c r="E29" s="11" t="s">
        <v>413</v>
      </c>
      <c r="F29" s="10">
        <v>100</v>
      </c>
      <c r="G29" s="10">
        <v>150</v>
      </c>
      <c r="H29" s="10">
        <v>2</v>
      </c>
      <c r="I29" s="10">
        <v>80</v>
      </c>
      <c r="J29" s="10">
        <v>32</v>
      </c>
      <c r="K29" s="10" t="s">
        <v>342</v>
      </c>
      <c r="L29" s="2">
        <v>3.67</v>
      </c>
      <c r="M29" s="31" t="str">
        <f t="shared" si="0"/>
        <v>소사리 750-3</v>
      </c>
      <c r="N29" s="10"/>
      <c r="O29" s="10"/>
      <c r="P29" s="10"/>
      <c r="R29" s="10"/>
      <c r="S29" s="8" t="s">
        <v>13</v>
      </c>
    </row>
    <row r="30" spans="1:19" s="8" customFormat="1" ht="21.75" customHeight="1">
      <c r="A30" s="1" t="s">
        <v>399</v>
      </c>
      <c r="B30" s="1" t="s">
        <v>24</v>
      </c>
      <c r="C30" s="2" t="s">
        <v>336</v>
      </c>
      <c r="D30" s="2" t="s">
        <v>339</v>
      </c>
      <c r="E30" s="11" t="s">
        <v>414</v>
      </c>
      <c r="F30" s="10">
        <v>30</v>
      </c>
      <c r="G30" s="10">
        <v>50</v>
      </c>
      <c r="H30" s="10">
        <v>0.5</v>
      </c>
      <c r="I30" s="10">
        <v>30</v>
      </c>
      <c r="J30" s="10">
        <v>15</v>
      </c>
      <c r="K30" s="10" t="s">
        <v>327</v>
      </c>
      <c r="L30" s="2">
        <v>6.08</v>
      </c>
      <c r="M30" s="31" t="str">
        <f t="shared" si="0"/>
        <v>소사리 619-4</v>
      </c>
      <c r="N30" s="10"/>
      <c r="O30" s="10"/>
      <c r="P30" s="10"/>
      <c r="R30" s="10"/>
      <c r="S30" s="8" t="s">
        <v>13</v>
      </c>
    </row>
    <row r="31" spans="1:19" s="8" customFormat="1" ht="21.75" customHeight="1">
      <c r="A31" s="1" t="s">
        <v>400</v>
      </c>
      <c r="B31" s="1" t="s">
        <v>24</v>
      </c>
      <c r="C31" s="2" t="s">
        <v>336</v>
      </c>
      <c r="D31" s="2" t="s">
        <v>340</v>
      </c>
      <c r="E31" s="11" t="s">
        <v>415</v>
      </c>
      <c r="F31" s="10">
        <v>85</v>
      </c>
      <c r="G31" s="10">
        <v>250</v>
      </c>
      <c r="H31" s="10">
        <v>3</v>
      </c>
      <c r="I31" s="10">
        <v>150</v>
      </c>
      <c r="J31" s="10">
        <v>50</v>
      </c>
      <c r="K31" s="10" t="s">
        <v>325</v>
      </c>
      <c r="L31" s="2">
        <v>8.58</v>
      </c>
      <c r="M31" s="31" t="str">
        <f t="shared" si="0"/>
        <v>송국리 363</v>
      </c>
      <c r="N31" s="10"/>
      <c r="O31" s="10"/>
      <c r="P31" s="10"/>
      <c r="R31" s="10"/>
      <c r="S31" s="8" t="s">
        <v>13</v>
      </c>
    </row>
    <row r="32" spans="1:19" s="8" customFormat="1" ht="21.75" customHeight="1">
      <c r="A32" s="1" t="s">
        <v>401</v>
      </c>
      <c r="B32" s="1" t="s">
        <v>24</v>
      </c>
      <c r="C32" s="2" t="s">
        <v>336</v>
      </c>
      <c r="D32" s="2" t="s">
        <v>340</v>
      </c>
      <c r="E32" s="11" t="s">
        <v>417</v>
      </c>
      <c r="F32" s="10">
        <v>24</v>
      </c>
      <c r="G32" s="10">
        <v>50</v>
      </c>
      <c r="H32" s="10">
        <v>0.5</v>
      </c>
      <c r="I32" s="10">
        <v>40</v>
      </c>
      <c r="J32" s="10">
        <v>32</v>
      </c>
      <c r="K32" s="10" t="s">
        <v>325</v>
      </c>
      <c r="L32" s="2">
        <v>3.74</v>
      </c>
      <c r="M32" s="31" t="str">
        <f t="shared" si="0"/>
        <v>송국리 544-6</v>
      </c>
      <c r="N32" s="10"/>
      <c r="O32" s="10"/>
      <c r="P32" s="10"/>
      <c r="R32" s="10"/>
      <c r="S32" s="8" t="s">
        <v>13</v>
      </c>
    </row>
    <row r="33" spans="1:19" s="8" customFormat="1" ht="21.75" customHeight="1">
      <c r="A33" s="1" t="s">
        <v>402</v>
      </c>
      <c r="B33" s="1" t="s">
        <v>24</v>
      </c>
      <c r="C33" s="2" t="s">
        <v>336</v>
      </c>
      <c r="D33" s="2" t="s">
        <v>340</v>
      </c>
      <c r="E33" s="11" t="s">
        <v>418</v>
      </c>
      <c r="F33" s="10">
        <v>100</v>
      </c>
      <c r="G33" s="10">
        <v>150</v>
      </c>
      <c r="H33" s="10">
        <v>1</v>
      </c>
      <c r="I33" s="10">
        <v>100</v>
      </c>
      <c r="J33" s="10">
        <v>32</v>
      </c>
      <c r="K33" s="10" t="s">
        <v>325</v>
      </c>
      <c r="L33" s="2">
        <v>6.38</v>
      </c>
      <c r="M33" s="31" t="str">
        <f t="shared" si="0"/>
        <v>송국리 542-5</v>
      </c>
      <c r="N33" s="10"/>
      <c r="O33" s="10"/>
      <c r="P33" s="10"/>
      <c r="R33" s="10"/>
      <c r="S33" s="8" t="s">
        <v>13</v>
      </c>
    </row>
    <row r="34" spans="1:19" s="8" customFormat="1" ht="21.75" customHeight="1">
      <c r="A34" s="1" t="s">
        <v>403</v>
      </c>
      <c r="B34" s="1" t="s">
        <v>24</v>
      </c>
      <c r="C34" s="2" t="s">
        <v>336</v>
      </c>
      <c r="D34" s="2" t="s">
        <v>340</v>
      </c>
      <c r="E34" s="11" t="s">
        <v>419</v>
      </c>
      <c r="F34" s="10">
        <v>100</v>
      </c>
      <c r="G34" s="10">
        <v>150</v>
      </c>
      <c r="H34" s="10">
        <v>1</v>
      </c>
      <c r="I34" s="10">
        <v>50</v>
      </c>
      <c r="J34" s="10">
        <v>25</v>
      </c>
      <c r="K34" s="10" t="s">
        <v>342</v>
      </c>
      <c r="L34" s="2">
        <v>3.34</v>
      </c>
      <c r="M34" s="31" t="str">
        <f t="shared" si="0"/>
        <v>송국리 542-2</v>
      </c>
      <c r="N34" s="10"/>
      <c r="O34" s="10"/>
      <c r="P34" s="10"/>
      <c r="R34" s="10"/>
      <c r="S34" s="8" t="s">
        <v>13</v>
      </c>
    </row>
    <row r="35" spans="1:19" s="8" customFormat="1" ht="21.75" customHeight="1">
      <c r="A35" s="1" t="s">
        <v>404</v>
      </c>
      <c r="B35" s="1" t="s">
        <v>24</v>
      </c>
      <c r="C35" s="2" t="s">
        <v>336</v>
      </c>
      <c r="D35" s="2" t="s">
        <v>340</v>
      </c>
      <c r="E35" s="11" t="s">
        <v>420</v>
      </c>
      <c r="F35" s="10">
        <v>100</v>
      </c>
      <c r="G35" s="10">
        <v>150</v>
      </c>
      <c r="H35" s="10">
        <v>1</v>
      </c>
      <c r="I35" s="10">
        <v>50</v>
      </c>
      <c r="J35" s="10">
        <v>25</v>
      </c>
      <c r="K35" s="10" t="s">
        <v>325</v>
      </c>
      <c r="L35" s="2">
        <v>4.18</v>
      </c>
      <c r="M35" s="31" t="str">
        <f t="shared" si="0"/>
        <v>송국리 545-1</v>
      </c>
      <c r="N35" s="10"/>
      <c r="O35" s="10"/>
      <c r="P35" s="10"/>
      <c r="R35" s="10"/>
      <c r="S35" s="8" t="s">
        <v>13</v>
      </c>
    </row>
    <row r="36" spans="1:19" s="8" customFormat="1" ht="21.75" customHeight="1">
      <c r="A36" s="1" t="s">
        <v>405</v>
      </c>
      <c r="B36" s="1" t="s">
        <v>24</v>
      </c>
      <c r="C36" s="2" t="s">
        <v>336</v>
      </c>
      <c r="D36" s="2" t="s">
        <v>340</v>
      </c>
      <c r="E36" s="11" t="s">
        <v>421</v>
      </c>
      <c r="F36" s="10">
        <v>20</v>
      </c>
      <c r="G36" s="10">
        <v>50</v>
      </c>
      <c r="H36" s="10">
        <v>0.3</v>
      </c>
      <c r="I36" s="10">
        <v>50</v>
      </c>
      <c r="J36" s="10">
        <v>20</v>
      </c>
      <c r="K36" s="10" t="s">
        <v>325</v>
      </c>
      <c r="L36" s="2">
        <v>4.18</v>
      </c>
      <c r="M36" s="31" t="str">
        <f t="shared" si="0"/>
        <v>송국리 545-5</v>
      </c>
      <c r="N36" s="10"/>
      <c r="O36" s="10"/>
      <c r="P36" s="10"/>
      <c r="R36" s="10"/>
      <c r="S36" s="8" t="s">
        <v>13</v>
      </c>
    </row>
    <row r="37" spans="1:19" s="8" customFormat="1" ht="21.75" customHeight="1">
      <c r="A37" s="1" t="s">
        <v>406</v>
      </c>
      <c r="B37" s="1" t="s">
        <v>24</v>
      </c>
      <c r="C37" s="2" t="s">
        <v>336</v>
      </c>
      <c r="D37" s="2" t="s">
        <v>340</v>
      </c>
      <c r="E37" s="11" t="s">
        <v>422</v>
      </c>
      <c r="F37" s="10">
        <v>30</v>
      </c>
      <c r="G37" s="10">
        <v>50</v>
      </c>
      <c r="H37" s="10">
        <v>0.5</v>
      </c>
      <c r="I37" s="10">
        <v>30</v>
      </c>
      <c r="J37" s="10">
        <v>32</v>
      </c>
      <c r="K37" s="10" t="s">
        <v>325</v>
      </c>
      <c r="L37" s="2">
        <v>3.3</v>
      </c>
      <c r="M37" s="31" t="str">
        <f t="shared" si="0"/>
        <v>송국리 369</v>
      </c>
      <c r="N37" s="10"/>
      <c r="O37" s="10"/>
      <c r="P37" s="10"/>
      <c r="R37" s="10"/>
      <c r="S37" s="8" t="s">
        <v>13</v>
      </c>
    </row>
    <row r="38" spans="1:19" s="8" customFormat="1" ht="21.75" customHeight="1">
      <c r="A38" s="1" t="s">
        <v>407</v>
      </c>
      <c r="B38" s="48" t="s">
        <v>37</v>
      </c>
      <c r="C38" s="2" t="s">
        <v>336</v>
      </c>
      <c r="D38" s="2" t="s">
        <v>340</v>
      </c>
      <c r="E38" s="11" t="s">
        <v>426</v>
      </c>
      <c r="F38" s="10">
        <v>114</v>
      </c>
      <c r="G38" s="10">
        <v>200</v>
      </c>
      <c r="H38" s="10">
        <v>3</v>
      </c>
      <c r="I38" s="10">
        <v>160</v>
      </c>
      <c r="J38" s="10">
        <v>32</v>
      </c>
      <c r="K38" s="10" t="s">
        <v>325</v>
      </c>
      <c r="L38" s="2">
        <v>9.02</v>
      </c>
      <c r="M38" s="31" t="str">
        <f t="shared" si="0"/>
        <v>송국리 370-3</v>
      </c>
      <c r="N38" s="10"/>
      <c r="O38" s="10"/>
      <c r="P38" s="10"/>
      <c r="R38" s="10"/>
      <c r="S38" s="8" t="s">
        <v>13</v>
      </c>
    </row>
    <row r="39" spans="1:19" s="8" customFormat="1" ht="21.75" customHeight="1">
      <c r="A39" s="1" t="s">
        <v>423</v>
      </c>
      <c r="B39" s="1" t="s">
        <v>24</v>
      </c>
      <c r="C39" s="2" t="s">
        <v>336</v>
      </c>
      <c r="D39" s="2" t="s">
        <v>428</v>
      </c>
      <c r="E39" s="11" t="s">
        <v>430</v>
      </c>
      <c r="F39" s="10">
        <v>96</v>
      </c>
      <c r="G39" s="10">
        <v>150</v>
      </c>
      <c r="H39" s="10">
        <v>2</v>
      </c>
      <c r="I39" s="10">
        <v>80</v>
      </c>
      <c r="J39" s="10">
        <v>30</v>
      </c>
      <c r="K39" s="10" t="s">
        <v>325</v>
      </c>
      <c r="L39" s="2">
        <v>5.5</v>
      </c>
      <c r="M39" s="31" t="str">
        <f t="shared" si="0"/>
        <v>세탑리 28</v>
      </c>
      <c r="N39" s="10"/>
      <c r="O39" s="10"/>
      <c r="P39" s="10"/>
      <c r="R39" s="10"/>
      <c r="S39" s="8" t="s">
        <v>13</v>
      </c>
    </row>
    <row r="40" spans="1:19" s="8" customFormat="1" ht="21.75" customHeight="1">
      <c r="A40" s="1" t="s">
        <v>424</v>
      </c>
      <c r="B40" s="1" t="s">
        <v>24</v>
      </c>
      <c r="C40" s="2" t="s">
        <v>336</v>
      </c>
      <c r="D40" s="2" t="s">
        <v>428</v>
      </c>
      <c r="E40" s="11" t="s">
        <v>433</v>
      </c>
      <c r="F40" s="10">
        <v>100</v>
      </c>
      <c r="G40" s="10">
        <v>150</v>
      </c>
      <c r="H40" s="10">
        <v>2</v>
      </c>
      <c r="I40" s="10">
        <v>100</v>
      </c>
      <c r="J40" s="10">
        <v>32</v>
      </c>
      <c r="K40" s="10" t="s">
        <v>327</v>
      </c>
      <c r="L40" s="2">
        <v>7.06</v>
      </c>
      <c r="M40" s="31" t="str">
        <f t="shared" si="0"/>
        <v>세탑리 13</v>
      </c>
      <c r="N40" s="10"/>
      <c r="O40" s="10"/>
      <c r="P40" s="10"/>
      <c r="R40" s="10"/>
      <c r="S40" s="8" t="s">
        <v>13</v>
      </c>
    </row>
    <row r="41" spans="1:19" s="8" customFormat="1" ht="21.75" customHeight="1">
      <c r="A41" s="1" t="s">
        <v>425</v>
      </c>
      <c r="B41" s="1" t="s">
        <v>24</v>
      </c>
      <c r="C41" s="2" t="s">
        <v>336</v>
      </c>
      <c r="D41" s="2" t="s">
        <v>434</v>
      </c>
      <c r="E41" s="11" t="s">
        <v>435</v>
      </c>
      <c r="F41" s="10">
        <v>21</v>
      </c>
      <c r="G41" s="10">
        <v>50</v>
      </c>
      <c r="H41" s="10">
        <v>0.5</v>
      </c>
      <c r="I41" s="10">
        <v>50</v>
      </c>
      <c r="J41" s="10">
        <v>40</v>
      </c>
      <c r="K41" s="10" t="s">
        <v>325</v>
      </c>
      <c r="L41" s="2">
        <v>4.18</v>
      </c>
      <c r="M41" s="31" t="str">
        <f t="shared" si="0"/>
        <v>남산리 279-2</v>
      </c>
      <c r="N41" s="10"/>
      <c r="O41" s="10"/>
      <c r="P41" s="10"/>
      <c r="R41" s="10"/>
      <c r="S41" s="8" t="s">
        <v>13</v>
      </c>
    </row>
    <row r="42" spans="1:19" s="8" customFormat="1" ht="21.75" customHeight="1">
      <c r="A42" s="1"/>
      <c r="B42" s="1"/>
      <c r="C42" s="2"/>
      <c r="D42" s="2"/>
      <c r="E42" s="11"/>
      <c r="F42" s="10"/>
      <c r="G42" s="10"/>
      <c r="H42" s="10"/>
      <c r="I42" s="10"/>
      <c r="J42" s="10"/>
      <c r="K42" s="10"/>
      <c r="L42" s="2"/>
      <c r="M42" s="31"/>
      <c r="N42" s="10"/>
      <c r="O42" s="10"/>
      <c r="P42" s="10"/>
      <c r="Q42" s="3"/>
      <c r="R42" s="10"/>
      <c r="S42" s="2"/>
    </row>
    <row r="43" spans="1:19" ht="21.75" customHeight="1" thickBot="1">
      <c r="L43" s="5"/>
    </row>
    <row r="44" spans="1:19" ht="21.75" customHeight="1">
      <c r="B44" s="26" t="s">
        <v>23</v>
      </c>
      <c r="C44" s="18" t="s">
        <v>22</v>
      </c>
      <c r="D44" s="19" t="s">
        <v>7</v>
      </c>
      <c r="K44" s="2" t="s">
        <v>33</v>
      </c>
      <c r="L44" s="47">
        <f>SUM(L2:L43)</f>
        <v>229.25000000000009</v>
      </c>
      <c r="M44" s="32"/>
    </row>
    <row r="45" spans="1:19" ht="21.75" customHeight="1">
      <c r="B45" s="24" t="s">
        <v>20</v>
      </c>
      <c r="C45" s="17">
        <f ca="1">COUNTIF(AA_INSIDE_AREA,"O")</f>
        <v>40</v>
      </c>
      <c r="D45" s="21">
        <f ca="1">SUMIF(AA_INSIDE_AREA,"O",$L$2:$L$2)</f>
        <v>229.25000000000009</v>
      </c>
    </row>
    <row r="46" spans="1:19" ht="21.75" customHeight="1">
      <c r="B46" s="24" t="s">
        <v>21</v>
      </c>
      <c r="C46" s="17">
        <f ca="1">COUNTIF(AA_INSIDE_AREA,"X")</f>
        <v>0</v>
      </c>
      <c r="D46" s="21">
        <f ca="1">SUMIF(AA_INSIDE_AREA,"X",$L$2:$L$2)</f>
        <v>0</v>
      </c>
      <c r="L46" s="4"/>
    </row>
    <row r="47" spans="1:19" ht="21.75" customHeight="1" thickBot="1">
      <c r="B47" s="25"/>
      <c r="C47" s="22"/>
      <c r="D47" s="23">
        <f ca="1">D45+D46</f>
        <v>229.25000000000009</v>
      </c>
      <c r="L47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514350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514350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514350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523875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336</v>
      </c>
      <c r="D2" s="2" t="s">
        <v>428</v>
      </c>
      <c r="E2" s="7" t="s">
        <v>431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>
      <c r="A3" s="8" t="s">
        <v>132</v>
      </c>
      <c r="B3" s="1" t="s">
        <v>4</v>
      </c>
      <c r="C3" s="2" t="s">
        <v>336</v>
      </c>
      <c r="D3" s="2" t="s">
        <v>428</v>
      </c>
      <c r="E3" s="7" t="s">
        <v>432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/>
    <row r="5" spans="1:19" ht="21.75" customHeight="1"/>
    <row r="6" spans="1:19" ht="21.75" customHeight="1">
      <c r="K6" s="8" t="s">
        <v>33</v>
      </c>
      <c r="L6" s="43">
        <f>SUM(L2:L5)</f>
        <v>14</v>
      </c>
      <c r="S6" s="13"/>
    </row>
    <row r="7" spans="1:19" ht="18.75" customHeight="1" thickBot="1"/>
    <row r="8" spans="1:19" ht="18.75" customHeight="1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>
      <c r="B11" s="25"/>
      <c r="C11" s="22"/>
      <c r="D11" s="23">
        <f ca="1">D9+D10</f>
        <v>14</v>
      </c>
    </row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371475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22</xdr:col>
                <xdr:colOff>28575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419100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1" customWidth="1"/>
  </cols>
  <sheetData>
    <row r="1" spans="1:10" ht="21.75" customHeight="1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>
      <c r="C3" s="8" t="s">
        <v>92</v>
      </c>
      <c r="D3" s="8" t="s">
        <v>39</v>
      </c>
      <c r="E3" s="31" t="s">
        <v>146</v>
      </c>
    </row>
    <row r="4" spans="1:10" ht="20.100000000000001" customHeight="1">
      <c r="C4" s="8" t="s">
        <v>144</v>
      </c>
      <c r="D4" s="8" t="s">
        <v>40</v>
      </c>
      <c r="E4" s="31" t="s">
        <v>147</v>
      </c>
    </row>
    <row r="5" spans="1:10" ht="20.100000000000001" customHeight="1">
      <c r="C5" s="8" t="s">
        <v>27</v>
      </c>
      <c r="D5" s="8" t="s">
        <v>41</v>
      </c>
      <c r="E5" s="31" t="s">
        <v>148</v>
      </c>
    </row>
    <row r="6" spans="1:10" ht="20.100000000000001" customHeight="1">
      <c r="C6" s="8" t="s">
        <v>93</v>
      </c>
      <c r="D6" s="8" t="s">
        <v>42</v>
      </c>
      <c r="E6" s="31" t="s">
        <v>149</v>
      </c>
    </row>
    <row r="7" spans="1:10" ht="20.100000000000001" customHeight="1">
      <c r="C7" s="8" t="s">
        <v>94</v>
      </c>
      <c r="D7" s="8" t="s">
        <v>43</v>
      </c>
      <c r="E7" s="31" t="s">
        <v>36</v>
      </c>
    </row>
    <row r="8" spans="1:10" ht="20.100000000000001" customHeight="1">
      <c r="C8" s="8" t="s">
        <v>95</v>
      </c>
      <c r="D8" s="8" t="s">
        <v>44</v>
      </c>
      <c r="E8" s="31" t="s">
        <v>150</v>
      </c>
    </row>
    <row r="9" spans="1:10" ht="20.100000000000001" customHeight="1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>
      <c r="C10" s="8" t="s">
        <v>97</v>
      </c>
      <c r="D10" s="8" t="s">
        <v>46</v>
      </c>
      <c r="E10" s="31" t="s">
        <v>152</v>
      </c>
    </row>
    <row r="11" spans="1:10" ht="20.100000000000001" customHeight="1">
      <c r="C11" s="8" t="s">
        <v>98</v>
      </c>
      <c r="D11" s="8" t="s">
        <v>47</v>
      </c>
      <c r="E11" s="31" t="s">
        <v>153</v>
      </c>
    </row>
    <row r="12" spans="1:10" ht="20.100000000000001" customHeight="1">
      <c r="C12" s="8" t="s">
        <v>99</v>
      </c>
      <c r="D12" s="8" t="s">
        <v>48</v>
      </c>
      <c r="E12" s="31" t="s">
        <v>154</v>
      </c>
    </row>
    <row r="13" spans="1:10" ht="20.100000000000001" customHeight="1">
      <c r="C13" s="8" t="s">
        <v>100</v>
      </c>
      <c r="D13" s="8" t="s">
        <v>49</v>
      </c>
      <c r="E13" s="31" t="s">
        <v>155</v>
      </c>
    </row>
    <row r="14" spans="1:10" ht="20.100000000000001" customHeight="1">
      <c r="C14" s="8" t="s">
        <v>101</v>
      </c>
      <c r="D14" s="8" t="s">
        <v>50</v>
      </c>
      <c r="E14" s="31" t="s">
        <v>156</v>
      </c>
    </row>
    <row r="15" spans="1:10" ht="20.100000000000001" customHeight="1">
      <c r="C15" s="8" t="s">
        <v>102</v>
      </c>
      <c r="D15" s="8" t="s">
        <v>51</v>
      </c>
      <c r="E15" s="31" t="s">
        <v>157</v>
      </c>
    </row>
    <row r="16" spans="1:10" ht="20.100000000000001" customHeight="1">
      <c r="C16" s="8" t="s">
        <v>103</v>
      </c>
      <c r="D16" s="8" t="s">
        <v>52</v>
      </c>
      <c r="E16" s="31" t="s">
        <v>158</v>
      </c>
    </row>
    <row r="17" spans="3:5" ht="20.100000000000001" customHeight="1">
      <c r="C17" s="8" t="s">
        <v>104</v>
      </c>
      <c r="D17" s="8" t="s">
        <v>53</v>
      </c>
      <c r="E17" s="31" t="s">
        <v>159</v>
      </c>
    </row>
    <row r="18" spans="3:5" ht="20.100000000000001" customHeight="1">
      <c r="C18" s="8" t="s">
        <v>105</v>
      </c>
      <c r="D18" s="8" t="s">
        <v>54</v>
      </c>
      <c r="E18" s="31" t="s">
        <v>160</v>
      </c>
    </row>
    <row r="19" spans="3:5" ht="20.100000000000001" customHeight="1">
      <c r="C19" s="8" t="s">
        <v>106</v>
      </c>
      <c r="D19" s="8" t="s">
        <v>55</v>
      </c>
      <c r="E19" s="31" t="s">
        <v>161</v>
      </c>
    </row>
    <row r="20" spans="3:5" ht="20.100000000000001" customHeight="1">
      <c r="C20" s="8" t="s">
        <v>107</v>
      </c>
      <c r="D20" s="8" t="s">
        <v>56</v>
      </c>
      <c r="E20" s="31" t="s">
        <v>162</v>
      </c>
    </row>
    <row r="21" spans="3:5" ht="20.100000000000001" customHeight="1">
      <c r="C21" s="8" t="s">
        <v>108</v>
      </c>
      <c r="D21" s="8" t="s">
        <v>57</v>
      </c>
      <c r="E21" s="31" t="s">
        <v>157</v>
      </c>
    </row>
    <row r="22" spans="3:5" ht="20.100000000000001" customHeight="1">
      <c r="C22" s="8" t="s">
        <v>109</v>
      </c>
      <c r="D22" s="8" t="s">
        <v>58</v>
      </c>
      <c r="E22" s="31" t="s">
        <v>163</v>
      </c>
    </row>
    <row r="23" spans="3:5" ht="20.100000000000001" customHeight="1">
      <c r="C23" s="8" t="s">
        <v>110</v>
      </c>
      <c r="D23" s="8" t="s">
        <v>59</v>
      </c>
      <c r="E23" s="31" t="s">
        <v>164</v>
      </c>
    </row>
    <row r="24" spans="3:5" ht="20.100000000000001" customHeight="1">
      <c r="C24" s="8" t="s">
        <v>111</v>
      </c>
      <c r="D24" s="8" t="s">
        <v>60</v>
      </c>
      <c r="E24" s="31" t="s">
        <v>165</v>
      </c>
    </row>
    <row r="25" spans="3:5" ht="20.100000000000001" customHeight="1">
      <c r="C25" s="8" t="s">
        <v>112</v>
      </c>
      <c r="D25" s="8" t="s">
        <v>61</v>
      </c>
      <c r="E25" s="31" t="s">
        <v>166</v>
      </c>
    </row>
    <row r="26" spans="3:5" ht="20.100000000000001" customHeight="1">
      <c r="C26" s="8" t="s">
        <v>113</v>
      </c>
      <c r="D26" s="8" t="s">
        <v>62</v>
      </c>
      <c r="E26" s="31" t="s">
        <v>167</v>
      </c>
    </row>
    <row r="27" spans="3:5" ht="20.100000000000001" customHeight="1">
      <c r="C27" s="8" t="s">
        <v>114</v>
      </c>
      <c r="D27" s="8" t="s">
        <v>63</v>
      </c>
      <c r="E27" s="31" t="s">
        <v>168</v>
      </c>
    </row>
    <row r="28" spans="3:5" ht="20.100000000000001" customHeight="1">
      <c r="C28" s="8" t="s">
        <v>115</v>
      </c>
      <c r="D28" s="8" t="s">
        <v>64</v>
      </c>
      <c r="E28" s="31" t="s">
        <v>157</v>
      </c>
    </row>
    <row r="29" spans="3:5" ht="20.100000000000001" customHeight="1">
      <c r="C29" s="8" t="s">
        <v>116</v>
      </c>
      <c r="D29" s="8" t="s">
        <v>65</v>
      </c>
      <c r="E29" s="31" t="s">
        <v>169</v>
      </c>
    </row>
    <row r="30" spans="3:5" ht="20.100000000000001" customHeight="1">
      <c r="C30" s="8" t="s">
        <v>117</v>
      </c>
      <c r="D30" s="8" t="s">
        <v>66</v>
      </c>
      <c r="E30" s="31" t="s">
        <v>170</v>
      </c>
    </row>
    <row r="31" spans="3:5" ht="20.100000000000001" customHeight="1">
      <c r="C31" s="8" t="s">
        <v>118</v>
      </c>
      <c r="D31" s="8" t="s">
        <v>67</v>
      </c>
      <c r="E31" s="31" t="s">
        <v>171</v>
      </c>
    </row>
    <row r="32" spans="3:5" ht="20.100000000000001" customHeight="1">
      <c r="C32" s="8" t="s">
        <v>119</v>
      </c>
      <c r="D32" s="8" t="s">
        <v>68</v>
      </c>
      <c r="E32" s="34" t="s">
        <v>172</v>
      </c>
    </row>
    <row r="33" spans="3:7" ht="20.100000000000001" customHeight="1">
      <c r="C33" s="8" t="s">
        <v>120</v>
      </c>
      <c r="D33" s="8" t="s">
        <v>69</v>
      </c>
      <c r="E33" s="34" t="s">
        <v>173</v>
      </c>
    </row>
    <row r="34" spans="3:7" ht="20.100000000000001" customHeight="1">
      <c r="C34" s="8" t="s">
        <v>251</v>
      </c>
      <c r="D34" s="8" t="s">
        <v>70</v>
      </c>
      <c r="E34" s="35" t="s">
        <v>252</v>
      </c>
      <c r="G34" t="s">
        <v>255</v>
      </c>
    </row>
    <row r="35" spans="3:7" ht="20.100000000000001" customHeight="1">
      <c r="C35" s="8" t="s">
        <v>121</v>
      </c>
      <c r="D35" s="8" t="s">
        <v>71</v>
      </c>
      <c r="E35" s="31" t="s">
        <v>174</v>
      </c>
      <c r="G35" t="s">
        <v>256</v>
      </c>
    </row>
    <row r="36" spans="3:7" ht="20.100000000000001" customHeight="1">
      <c r="C36" s="8" t="s">
        <v>122</v>
      </c>
      <c r="D36" s="8" t="s">
        <v>72</v>
      </c>
      <c r="E36" s="31" t="s">
        <v>175</v>
      </c>
      <c r="G36" t="s">
        <v>256</v>
      </c>
    </row>
    <row r="37" spans="3:7" ht="20.100000000000001" customHeight="1">
      <c r="C37" s="8" t="s">
        <v>123</v>
      </c>
      <c r="D37" s="8" t="s">
        <v>73</v>
      </c>
      <c r="E37" s="31" t="s">
        <v>176</v>
      </c>
    </row>
    <row r="38" spans="3:7" ht="20.100000000000001" customHeight="1">
      <c r="C38" s="8" t="s">
        <v>124</v>
      </c>
      <c r="D38" s="8" t="s">
        <v>74</v>
      </c>
      <c r="E38" s="31" t="s">
        <v>177</v>
      </c>
    </row>
    <row r="39" spans="3:7" ht="20.100000000000001" customHeight="1">
      <c r="C39" s="8" t="s">
        <v>125</v>
      </c>
      <c r="D39" s="8" t="s">
        <v>75</v>
      </c>
      <c r="E39" s="34" t="s">
        <v>178</v>
      </c>
    </row>
    <row r="40" spans="3:7" ht="20.100000000000001" customHeight="1">
      <c r="C40" s="8" t="s">
        <v>126</v>
      </c>
      <c r="D40" s="8" t="s">
        <v>76</v>
      </c>
      <c r="E40" s="34" t="s">
        <v>179</v>
      </c>
    </row>
    <row r="41" spans="3:7" ht="20.100000000000001" customHeight="1">
      <c r="C41" s="8" t="s">
        <v>127</v>
      </c>
      <c r="D41" s="8" t="s">
        <v>77</v>
      </c>
      <c r="E41" s="34" t="s">
        <v>180</v>
      </c>
    </row>
    <row r="42" spans="3:7" ht="20.100000000000001" customHeight="1">
      <c r="C42" s="8" t="s">
        <v>128</v>
      </c>
      <c r="D42" s="8" t="s">
        <v>78</v>
      </c>
      <c r="E42" s="34" t="s">
        <v>181</v>
      </c>
    </row>
    <row r="43" spans="3:7" ht="20.100000000000001" customHeight="1">
      <c r="C43" s="8" t="s">
        <v>129</v>
      </c>
      <c r="D43" s="8" t="s">
        <v>79</v>
      </c>
      <c r="E43" s="31" t="s">
        <v>182</v>
      </c>
    </row>
    <row r="44" spans="3:7" ht="20.100000000000001" customHeight="1">
      <c r="C44" s="8" t="s">
        <v>130</v>
      </c>
      <c r="D44" s="8" t="s">
        <v>80</v>
      </c>
      <c r="E44" s="31" t="s">
        <v>183</v>
      </c>
    </row>
    <row r="45" spans="3:7" ht="20.100000000000001" customHeight="1">
      <c r="C45" s="8" t="s">
        <v>131</v>
      </c>
      <c r="D45" s="8" t="s">
        <v>81</v>
      </c>
      <c r="E45" s="31" t="s">
        <v>14</v>
      </c>
    </row>
    <row r="46" spans="3:7" ht="20.100000000000001" customHeight="1">
      <c r="C46" s="8" t="s">
        <v>132</v>
      </c>
      <c r="D46" s="8" t="s">
        <v>82</v>
      </c>
      <c r="E46" s="31" t="s">
        <v>15</v>
      </c>
    </row>
    <row r="47" spans="3:7" ht="20.100000000000001" customHeight="1">
      <c r="C47" s="8" t="s">
        <v>133</v>
      </c>
      <c r="D47" s="8" t="s">
        <v>83</v>
      </c>
      <c r="E47" s="31" t="s">
        <v>184</v>
      </c>
    </row>
    <row r="48" spans="3:7" ht="20.100000000000001" customHeight="1">
      <c r="C48" s="8" t="s">
        <v>134</v>
      </c>
      <c r="D48" s="8" t="s">
        <v>84</v>
      </c>
      <c r="E48" s="31" t="s">
        <v>10</v>
      </c>
    </row>
    <row r="49" spans="3:5" ht="20.100000000000001" customHeight="1">
      <c r="C49" s="8" t="s">
        <v>135</v>
      </c>
      <c r="D49" s="8" t="s">
        <v>85</v>
      </c>
      <c r="E49" s="31" t="s">
        <v>185</v>
      </c>
    </row>
    <row r="50" spans="3:5" ht="20.100000000000001" customHeight="1">
      <c r="C50" s="8" t="s">
        <v>136</v>
      </c>
      <c r="D50" s="8" t="s">
        <v>86</v>
      </c>
      <c r="E50" s="34" t="s">
        <v>186</v>
      </c>
    </row>
    <row r="51" spans="3:5" ht="20.100000000000001" customHeight="1">
      <c r="C51" s="8" t="s">
        <v>137</v>
      </c>
      <c r="D51" s="8" t="s">
        <v>87</v>
      </c>
      <c r="E51" s="34" t="s">
        <v>187</v>
      </c>
    </row>
    <row r="52" spans="3:5" ht="20.100000000000001" customHeight="1">
      <c r="C52" s="8" t="s">
        <v>138</v>
      </c>
      <c r="D52" s="8" t="s">
        <v>88</v>
      </c>
      <c r="E52" s="34" t="s">
        <v>188</v>
      </c>
    </row>
    <row r="53" spans="3:5" ht="20.100000000000001" customHeight="1">
      <c r="C53" s="8" t="s">
        <v>139</v>
      </c>
      <c r="D53" s="8" t="s">
        <v>89</v>
      </c>
      <c r="E53" s="34" t="s">
        <v>189</v>
      </c>
    </row>
    <row r="54" spans="3:5" ht="20.100000000000001" customHeight="1">
      <c r="C54" s="8" t="s">
        <v>140</v>
      </c>
      <c r="D54" s="8" t="s">
        <v>90</v>
      </c>
      <c r="E54" s="34" t="s">
        <v>190</v>
      </c>
    </row>
    <row r="55" spans="3:5" ht="20.100000000000001" customHeight="1">
      <c r="C55" s="8" t="s">
        <v>141</v>
      </c>
      <c r="D55" s="8" t="s">
        <v>253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1"/>
    <col min="2" max="2" width="38.42578125" style="31" customWidth="1"/>
    <col min="3" max="3" width="10.42578125" style="31" customWidth="1"/>
    <col min="4" max="4" width="9" style="31"/>
    <col min="5" max="5" width="10.7109375" style="31" customWidth="1"/>
    <col min="6" max="6" width="9" style="31"/>
    <col min="7" max="7" width="10.28515625" style="31" customWidth="1"/>
    <col min="8" max="8" width="11.5703125" style="31" customWidth="1"/>
    <col min="9" max="9" width="14.5703125" style="31" customWidth="1"/>
    <col min="10" max="10" width="10.42578125" style="31" customWidth="1"/>
    <col min="11" max="16384" width="9" style="31"/>
  </cols>
  <sheetData>
    <row r="1" spans="1:10" s="36" customFormat="1" ht="20.100000000000001" customHeight="1">
      <c r="A1" s="36" t="s">
        <v>5</v>
      </c>
      <c r="B1" s="36" t="s">
        <v>197</v>
      </c>
      <c r="C1" s="36" t="s">
        <v>250</v>
      </c>
      <c r="D1" s="36" t="s">
        <v>246</v>
      </c>
      <c r="E1" s="36" t="s">
        <v>247</v>
      </c>
      <c r="F1" s="36" t="s">
        <v>248</v>
      </c>
      <c r="G1" s="36" t="s">
        <v>249</v>
      </c>
      <c r="H1" s="36" t="s">
        <v>257</v>
      </c>
      <c r="I1" s="36" t="s">
        <v>258</v>
      </c>
      <c r="J1" s="36" t="s">
        <v>259</v>
      </c>
    </row>
    <row r="2" spans="1:10" ht="20.100000000000001" customHeight="1">
      <c r="A2" s="31" t="s">
        <v>25</v>
      </c>
      <c r="B2" s="31" t="s">
        <v>314</v>
      </c>
      <c r="C2" s="31">
        <v>1</v>
      </c>
      <c r="D2" s="31">
        <v>100</v>
      </c>
      <c r="E2" s="31">
        <v>150</v>
      </c>
      <c r="F2" s="31">
        <v>1</v>
      </c>
      <c r="G2" s="31">
        <v>80</v>
      </c>
      <c r="H2" s="31">
        <v>32</v>
      </c>
      <c r="I2" s="31" t="s">
        <v>151</v>
      </c>
      <c r="J2" s="31">
        <v>3.8</v>
      </c>
    </row>
    <row r="3" spans="1:10" ht="20.100000000000001" customHeight="1">
      <c r="A3" s="31" t="s">
        <v>315</v>
      </c>
      <c r="B3" s="31" t="s">
        <v>316</v>
      </c>
      <c r="C3" s="31">
        <v>1</v>
      </c>
      <c r="D3" s="31">
        <v>100</v>
      </c>
      <c r="E3" s="31">
        <v>150</v>
      </c>
      <c r="F3" s="31">
        <v>1</v>
      </c>
      <c r="G3" s="31">
        <v>50</v>
      </c>
      <c r="H3" s="31">
        <v>30</v>
      </c>
      <c r="I3" s="31" t="s">
        <v>151</v>
      </c>
      <c r="J3" s="31">
        <v>3.17</v>
      </c>
    </row>
    <row r="4" spans="1:10" ht="20.100000000000001" customHeight="1">
      <c r="A4" s="31" t="s">
        <v>317</v>
      </c>
      <c r="B4" s="31" t="s">
        <v>318</v>
      </c>
      <c r="C4" s="31">
        <v>0</v>
      </c>
      <c r="D4" s="31">
        <v>480</v>
      </c>
      <c r="E4" s="31">
        <v>200</v>
      </c>
      <c r="F4" s="31">
        <v>5</v>
      </c>
      <c r="G4" s="31">
        <v>50</v>
      </c>
      <c r="H4" s="31">
        <v>50</v>
      </c>
      <c r="I4" s="31" t="s">
        <v>319</v>
      </c>
      <c r="J4" s="31">
        <v>0.5</v>
      </c>
    </row>
    <row r="5" spans="1:10" ht="20.100000000000001" customHeight="1">
      <c r="A5" s="31" t="s">
        <v>320</v>
      </c>
      <c r="B5" s="31" t="s">
        <v>321</v>
      </c>
      <c r="C5" s="31">
        <v>1</v>
      </c>
      <c r="D5" s="31">
        <v>90</v>
      </c>
      <c r="E5" s="31">
        <v>150</v>
      </c>
      <c r="F5" s="31">
        <v>1</v>
      </c>
      <c r="G5" s="31">
        <v>50</v>
      </c>
      <c r="H5" s="31">
        <v>25</v>
      </c>
      <c r="I5" s="31" t="s">
        <v>151</v>
      </c>
      <c r="J5" s="31">
        <v>3.17</v>
      </c>
    </row>
    <row r="6" spans="1:10" ht="20.100000000000001" customHeight="1">
      <c r="A6" s="31" t="s">
        <v>322</v>
      </c>
      <c r="B6" s="31" t="s">
        <v>323</v>
      </c>
      <c r="C6" s="31">
        <v>1</v>
      </c>
      <c r="D6" s="31">
        <v>100</v>
      </c>
      <c r="E6" s="31">
        <v>200</v>
      </c>
      <c r="F6" s="31">
        <v>2</v>
      </c>
      <c r="G6" s="31">
        <v>70</v>
      </c>
      <c r="H6" s="31">
        <v>30</v>
      </c>
      <c r="I6" s="31" t="s">
        <v>157</v>
      </c>
      <c r="J6" s="31">
        <v>0.69</v>
      </c>
    </row>
    <row r="7" spans="1:10" ht="20.100000000000001" customHeight="1">
      <c r="A7" s="31" t="s">
        <v>6</v>
      </c>
      <c r="B7" s="31" t="s">
        <v>324</v>
      </c>
      <c r="C7" s="31">
        <v>1</v>
      </c>
      <c r="D7" s="31">
        <v>45</v>
      </c>
      <c r="E7" s="31">
        <v>150</v>
      </c>
      <c r="F7" s="31">
        <v>1</v>
      </c>
      <c r="G7" s="31">
        <v>30</v>
      </c>
      <c r="H7" s="31">
        <v>30</v>
      </c>
      <c r="I7" s="31" t="s">
        <v>325</v>
      </c>
      <c r="J7" s="31">
        <v>3.38</v>
      </c>
    </row>
    <row r="8" spans="1:10" ht="20.100000000000001" customHeight="1">
      <c r="A8" s="31" t="s">
        <v>144</v>
      </c>
      <c r="B8" s="31" t="s">
        <v>326</v>
      </c>
      <c r="C8" s="31">
        <v>1</v>
      </c>
      <c r="D8" s="31">
        <v>45</v>
      </c>
      <c r="E8" s="31">
        <v>150</v>
      </c>
      <c r="F8" s="31">
        <v>1</v>
      </c>
      <c r="G8" s="31">
        <v>60</v>
      </c>
      <c r="H8" s="31">
        <v>30</v>
      </c>
      <c r="I8" s="31" t="s">
        <v>327</v>
      </c>
      <c r="J8" s="31">
        <v>7.74</v>
      </c>
    </row>
    <row r="9" spans="1:10" ht="20.100000000000001" customHeight="1">
      <c r="A9" s="31" t="s">
        <v>196</v>
      </c>
      <c r="B9" s="31" t="s">
        <v>328</v>
      </c>
      <c r="C9" s="31">
        <v>1</v>
      </c>
      <c r="D9" s="31">
        <v>50</v>
      </c>
      <c r="E9" s="31">
        <v>125</v>
      </c>
      <c r="F9" s="31">
        <v>1</v>
      </c>
      <c r="G9" s="31">
        <v>80</v>
      </c>
      <c r="H9" s="31">
        <v>30</v>
      </c>
      <c r="I9" s="31" t="s">
        <v>327</v>
      </c>
      <c r="J9" s="31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/>
  <cols>
    <col min="1" max="1" width="20.42578125" style="39" customWidth="1"/>
    <col min="2" max="4" width="9" style="31"/>
    <col min="5" max="5" width="42.42578125" style="31" customWidth="1"/>
    <col min="6" max="16384" width="9" style="31"/>
  </cols>
  <sheetData>
    <row r="1" spans="1:54" s="38" customFormat="1" ht="20.100000000000001" customHeight="1">
      <c r="A1" s="37" t="s">
        <v>195</v>
      </c>
      <c r="B1" s="38" t="s">
        <v>6</v>
      </c>
      <c r="C1" s="38" t="s">
        <v>144</v>
      </c>
      <c r="D1" s="38" t="s">
        <v>196</v>
      </c>
      <c r="E1" s="38" t="s">
        <v>254</v>
      </c>
      <c r="F1" s="38" t="s">
        <v>198</v>
      </c>
      <c r="G1" s="38" t="s">
        <v>199</v>
      </c>
      <c r="H1" s="38" t="s">
        <v>200</v>
      </c>
      <c r="I1" s="38" t="s">
        <v>201</v>
      </c>
      <c r="J1" s="38" t="s">
        <v>202</v>
      </c>
      <c r="K1" s="38" t="s">
        <v>203</v>
      </c>
      <c r="L1" s="38" t="s">
        <v>204</v>
      </c>
      <c r="M1" s="38" t="s">
        <v>205</v>
      </c>
      <c r="N1" s="38" t="s">
        <v>206</v>
      </c>
      <c r="O1" s="38" t="s">
        <v>207</v>
      </c>
      <c r="P1" s="38" t="s">
        <v>208</v>
      </c>
      <c r="Q1" s="38" t="s">
        <v>209</v>
      </c>
      <c r="R1" s="38" t="s">
        <v>210</v>
      </c>
      <c r="S1" s="38" t="s">
        <v>211</v>
      </c>
      <c r="T1" s="38" t="s">
        <v>212</v>
      </c>
      <c r="U1" s="38" t="s">
        <v>213</v>
      </c>
      <c r="V1" s="38" t="s">
        <v>214</v>
      </c>
      <c r="W1" s="38" t="s">
        <v>215</v>
      </c>
      <c r="X1" s="38" t="s">
        <v>216</v>
      </c>
      <c r="Y1" s="38" t="s">
        <v>217</v>
      </c>
      <c r="Z1" s="38" t="s">
        <v>218</v>
      </c>
      <c r="AA1" s="38" t="s">
        <v>219</v>
      </c>
      <c r="AB1" s="38" t="s">
        <v>220</v>
      </c>
      <c r="AC1" s="38" t="s">
        <v>221</v>
      </c>
      <c r="AD1" s="38" t="s">
        <v>222</v>
      </c>
      <c r="AE1" s="38" t="s">
        <v>223</v>
      </c>
      <c r="AF1" s="38" t="s">
        <v>224</v>
      </c>
      <c r="AG1" s="38" t="s">
        <v>251</v>
      </c>
      <c r="AH1" s="38" t="s">
        <v>225</v>
      </c>
      <c r="AI1" s="38" t="s">
        <v>226</v>
      </c>
      <c r="AJ1" s="38" t="s">
        <v>227</v>
      </c>
      <c r="AK1" s="38" t="s">
        <v>228</v>
      </c>
      <c r="AL1" s="38" t="s">
        <v>229</v>
      </c>
      <c r="AM1" s="38" t="s">
        <v>230</v>
      </c>
      <c r="AN1" s="38" t="s">
        <v>231</v>
      </c>
      <c r="AO1" s="38" t="s">
        <v>232</v>
      </c>
      <c r="AP1" s="38" t="s">
        <v>233</v>
      </c>
      <c r="AQ1" s="38" t="s">
        <v>234</v>
      </c>
      <c r="AR1" s="38" t="s">
        <v>11</v>
      </c>
      <c r="AS1" s="38" t="s">
        <v>235</v>
      </c>
      <c r="AT1" s="38" t="s">
        <v>236</v>
      </c>
      <c r="AU1" s="38" t="s">
        <v>237</v>
      </c>
      <c r="AV1" s="38" t="s">
        <v>238</v>
      </c>
      <c r="AW1" s="38" t="s">
        <v>239</v>
      </c>
      <c r="AX1" s="38" t="s">
        <v>240</v>
      </c>
      <c r="AY1" s="38" t="s">
        <v>241</v>
      </c>
      <c r="AZ1" s="38" t="s">
        <v>242</v>
      </c>
      <c r="BA1" s="38" t="s">
        <v>243</v>
      </c>
      <c r="BB1" s="38" t="s">
        <v>244</v>
      </c>
    </row>
    <row r="2" spans="1:54" ht="20.100000000000001" customHeight="1">
      <c r="A2" s="39" t="s">
        <v>331</v>
      </c>
      <c r="B2" s="31" t="s">
        <v>329</v>
      </c>
      <c r="C2" s="31" t="s">
        <v>330</v>
      </c>
      <c r="D2" s="31" t="s">
        <v>329</v>
      </c>
      <c r="E2" s="31" t="s">
        <v>314</v>
      </c>
      <c r="F2" s="31" t="s">
        <v>330</v>
      </c>
      <c r="G2" s="31" t="s">
        <v>329</v>
      </c>
      <c r="H2" s="31" t="s">
        <v>330</v>
      </c>
      <c r="I2" s="31" t="s">
        <v>329</v>
      </c>
      <c r="J2" s="31" t="s">
        <v>329</v>
      </c>
      <c r="K2" s="31" t="s">
        <v>329</v>
      </c>
      <c r="L2" s="31" t="s">
        <v>329</v>
      </c>
      <c r="M2" s="31" t="s">
        <v>329</v>
      </c>
      <c r="N2" s="31" t="s">
        <v>329</v>
      </c>
      <c r="O2" s="31" t="s">
        <v>329</v>
      </c>
      <c r="P2" s="31" t="s">
        <v>329</v>
      </c>
      <c r="Q2" s="31" t="s">
        <v>329</v>
      </c>
      <c r="R2" s="31" t="s">
        <v>329</v>
      </c>
      <c r="S2" s="31" t="s">
        <v>329</v>
      </c>
      <c r="T2" s="31" t="s">
        <v>329</v>
      </c>
      <c r="U2" s="31" t="s">
        <v>329</v>
      </c>
      <c r="V2" s="31" t="s">
        <v>329</v>
      </c>
      <c r="W2" s="31" t="s">
        <v>329</v>
      </c>
      <c r="X2" s="31" t="s">
        <v>329</v>
      </c>
      <c r="Y2" s="31" t="s">
        <v>329</v>
      </c>
      <c r="Z2" s="31" t="s">
        <v>329</v>
      </c>
      <c r="AA2" s="31" t="s">
        <v>329</v>
      </c>
      <c r="AB2" s="31" t="s">
        <v>329</v>
      </c>
      <c r="AC2" s="31" t="s">
        <v>330</v>
      </c>
      <c r="AD2" s="31" t="s">
        <v>330</v>
      </c>
      <c r="AE2" s="31">
        <v>1</v>
      </c>
      <c r="AF2" s="31">
        <v>12</v>
      </c>
      <c r="AG2" s="31">
        <v>365</v>
      </c>
      <c r="AH2" s="31" t="s">
        <v>329</v>
      </c>
      <c r="AI2" s="31" t="s">
        <v>330</v>
      </c>
      <c r="AJ2" s="31" t="s">
        <v>329</v>
      </c>
      <c r="AK2" s="31" t="s">
        <v>329</v>
      </c>
      <c r="AL2" s="40" t="s">
        <v>329</v>
      </c>
      <c r="AM2" s="40">
        <v>3.8</v>
      </c>
      <c r="AN2" s="40">
        <v>110</v>
      </c>
      <c r="AO2" s="40">
        <v>1322</v>
      </c>
      <c r="AP2" s="31" t="s">
        <v>329</v>
      </c>
      <c r="AQ2" s="31" t="s">
        <v>329</v>
      </c>
      <c r="AR2" s="31">
        <v>100</v>
      </c>
      <c r="AS2" s="31">
        <v>150</v>
      </c>
      <c r="AT2" s="31">
        <v>1</v>
      </c>
      <c r="AU2" s="31">
        <v>80</v>
      </c>
      <c r="AV2" s="31">
        <v>32</v>
      </c>
      <c r="AW2" s="31" t="s">
        <v>330</v>
      </c>
      <c r="AX2" s="31" t="s">
        <v>329</v>
      </c>
      <c r="AY2" s="31" t="s">
        <v>330</v>
      </c>
      <c r="AZ2" s="31" t="s">
        <v>329</v>
      </c>
      <c r="BA2" s="31" t="s">
        <v>329</v>
      </c>
      <c r="BB2" s="31" t="s">
        <v>329</v>
      </c>
    </row>
    <row r="3" spans="1:54" ht="20.100000000000001" customHeight="1">
      <c r="A3" s="39" t="s">
        <v>331</v>
      </c>
      <c r="B3" s="31" t="s">
        <v>329</v>
      </c>
      <c r="C3" s="31" t="s">
        <v>330</v>
      </c>
      <c r="D3" s="31" t="s">
        <v>329</v>
      </c>
      <c r="E3" s="31" t="s">
        <v>316</v>
      </c>
      <c r="F3" s="31" t="s">
        <v>330</v>
      </c>
      <c r="G3" s="31" t="s">
        <v>329</v>
      </c>
      <c r="H3" s="31" t="s">
        <v>330</v>
      </c>
      <c r="I3" s="31" t="s">
        <v>329</v>
      </c>
      <c r="J3" s="31" t="s">
        <v>329</v>
      </c>
      <c r="K3" s="31" t="s">
        <v>329</v>
      </c>
      <c r="L3" s="31" t="s">
        <v>329</v>
      </c>
      <c r="M3" s="31" t="s">
        <v>329</v>
      </c>
      <c r="N3" s="31" t="s">
        <v>329</v>
      </c>
      <c r="O3" s="31" t="s">
        <v>329</v>
      </c>
      <c r="P3" s="31" t="s">
        <v>329</v>
      </c>
      <c r="Q3" s="31" t="s">
        <v>329</v>
      </c>
      <c r="R3" s="31" t="s">
        <v>329</v>
      </c>
      <c r="S3" s="31" t="s">
        <v>329</v>
      </c>
      <c r="T3" s="31" t="s">
        <v>329</v>
      </c>
      <c r="U3" s="31" t="s">
        <v>329</v>
      </c>
      <c r="V3" s="31" t="s">
        <v>329</v>
      </c>
      <c r="W3" s="31" t="s">
        <v>329</v>
      </c>
      <c r="X3" s="31" t="s">
        <v>329</v>
      </c>
      <c r="Y3" s="31" t="s">
        <v>329</v>
      </c>
      <c r="Z3" s="31" t="s">
        <v>329</v>
      </c>
      <c r="AA3" s="31" t="s">
        <v>329</v>
      </c>
      <c r="AB3" s="31" t="s">
        <v>329</v>
      </c>
      <c r="AC3" s="31" t="s">
        <v>330</v>
      </c>
      <c r="AD3" s="31" t="s">
        <v>330</v>
      </c>
      <c r="AE3" s="31">
        <v>1</v>
      </c>
      <c r="AF3" s="31">
        <v>12</v>
      </c>
      <c r="AG3" s="31">
        <v>365</v>
      </c>
      <c r="AH3" s="31" t="s">
        <v>329</v>
      </c>
      <c r="AI3" s="31" t="s">
        <v>330</v>
      </c>
      <c r="AJ3" s="31" t="s">
        <v>329</v>
      </c>
      <c r="AK3" s="31" t="s">
        <v>329</v>
      </c>
      <c r="AL3" s="40" t="s">
        <v>329</v>
      </c>
      <c r="AM3" s="40">
        <v>3.17</v>
      </c>
      <c r="AN3" s="40">
        <v>92</v>
      </c>
      <c r="AO3" s="40">
        <v>1103</v>
      </c>
      <c r="AP3" s="31" t="s">
        <v>329</v>
      </c>
      <c r="AQ3" s="31" t="s">
        <v>329</v>
      </c>
      <c r="AR3" s="31">
        <v>100</v>
      </c>
      <c r="AS3" s="31">
        <v>150</v>
      </c>
      <c r="AT3" s="31">
        <v>1</v>
      </c>
      <c r="AU3" s="31">
        <v>50</v>
      </c>
      <c r="AV3" s="31">
        <v>30</v>
      </c>
      <c r="AW3" s="31" t="s">
        <v>330</v>
      </c>
      <c r="AX3" s="31" t="s">
        <v>329</v>
      </c>
      <c r="AY3" s="31" t="s">
        <v>330</v>
      </c>
      <c r="AZ3" s="31" t="s">
        <v>329</v>
      </c>
      <c r="BA3" s="31" t="s">
        <v>329</v>
      </c>
      <c r="BB3" s="31" t="s">
        <v>329</v>
      </c>
    </row>
    <row r="4" spans="1:54" ht="20.100000000000001" customHeight="1">
      <c r="A4" s="39" t="s">
        <v>331</v>
      </c>
      <c r="B4" s="31" t="s">
        <v>330</v>
      </c>
      <c r="C4" s="31" t="s">
        <v>329</v>
      </c>
      <c r="D4" s="31" t="s">
        <v>329</v>
      </c>
      <c r="E4" s="31" t="s">
        <v>318</v>
      </c>
      <c r="F4" s="31" t="s">
        <v>330</v>
      </c>
      <c r="G4" s="31" t="s">
        <v>329</v>
      </c>
      <c r="H4" s="31" t="s">
        <v>329</v>
      </c>
      <c r="I4" s="31" t="s">
        <v>329</v>
      </c>
      <c r="J4" s="31" t="s">
        <v>329</v>
      </c>
      <c r="K4" s="31" t="s">
        <v>329</v>
      </c>
      <c r="L4" s="31" t="s">
        <v>329</v>
      </c>
      <c r="M4" s="31" t="s">
        <v>329</v>
      </c>
      <c r="N4" s="31" t="s">
        <v>330</v>
      </c>
      <c r="O4" s="31" t="s">
        <v>329</v>
      </c>
      <c r="P4" s="31" t="s">
        <v>329</v>
      </c>
      <c r="Q4" s="31" t="s">
        <v>329</v>
      </c>
      <c r="R4" s="31" t="s">
        <v>329</v>
      </c>
      <c r="S4" s="31" t="s">
        <v>329</v>
      </c>
      <c r="T4" s="31" t="s">
        <v>329</v>
      </c>
      <c r="U4" s="31" t="s">
        <v>329</v>
      </c>
      <c r="V4" s="31" t="s">
        <v>329</v>
      </c>
      <c r="W4" s="31" t="s">
        <v>329</v>
      </c>
      <c r="X4" s="31" t="s">
        <v>329</v>
      </c>
      <c r="Y4" s="31" t="s">
        <v>329</v>
      </c>
      <c r="Z4" s="31" t="s">
        <v>329</v>
      </c>
      <c r="AA4" s="31" t="s">
        <v>329</v>
      </c>
      <c r="AB4" s="31" t="s">
        <v>329</v>
      </c>
      <c r="AC4" s="31" t="s">
        <v>330</v>
      </c>
      <c r="AD4" s="31" t="s">
        <v>330</v>
      </c>
      <c r="AE4" s="31">
        <v>1</v>
      </c>
      <c r="AF4" s="31">
        <v>12</v>
      </c>
      <c r="AG4" s="31">
        <v>365</v>
      </c>
      <c r="AH4" s="31" t="s">
        <v>329</v>
      </c>
      <c r="AI4" s="31" t="s">
        <v>330</v>
      </c>
      <c r="AJ4" s="31" t="s">
        <v>329</v>
      </c>
      <c r="AK4" s="31" t="s">
        <v>329</v>
      </c>
      <c r="AL4" s="40" t="s">
        <v>329</v>
      </c>
      <c r="AM4" s="40">
        <v>0.5</v>
      </c>
      <c r="AN4" s="40">
        <v>15</v>
      </c>
      <c r="AO4" s="40">
        <v>174</v>
      </c>
      <c r="AP4" s="31" t="s">
        <v>329</v>
      </c>
      <c r="AQ4" s="31" t="s">
        <v>329</v>
      </c>
      <c r="AR4" s="31">
        <v>480</v>
      </c>
      <c r="AS4" s="31">
        <v>200</v>
      </c>
      <c r="AT4" s="31">
        <v>5</v>
      </c>
      <c r="AU4" s="31">
        <v>50</v>
      </c>
      <c r="AV4" s="31">
        <v>50</v>
      </c>
      <c r="AW4" s="31" t="s">
        <v>330</v>
      </c>
      <c r="AX4" s="31" t="s">
        <v>330</v>
      </c>
      <c r="AY4" s="31" t="s">
        <v>330</v>
      </c>
      <c r="AZ4" s="31" t="s">
        <v>330</v>
      </c>
      <c r="BA4" s="31" t="s">
        <v>330</v>
      </c>
      <c r="BB4" s="31" t="s">
        <v>329</v>
      </c>
    </row>
    <row r="5" spans="1:54" ht="20.100000000000001" customHeight="1">
      <c r="A5" s="39" t="s">
        <v>331</v>
      </c>
      <c r="B5" s="31" t="s">
        <v>329</v>
      </c>
      <c r="C5" s="31" t="s">
        <v>330</v>
      </c>
      <c r="D5" s="31" t="s">
        <v>329</v>
      </c>
      <c r="E5" s="31" t="s">
        <v>321</v>
      </c>
      <c r="F5" s="31" t="s">
        <v>330</v>
      </c>
      <c r="G5" s="31" t="s">
        <v>329</v>
      </c>
      <c r="H5" s="31" t="s">
        <v>330</v>
      </c>
      <c r="I5" s="31" t="s">
        <v>329</v>
      </c>
      <c r="J5" s="31" t="s">
        <v>329</v>
      </c>
      <c r="K5" s="31" t="s">
        <v>329</v>
      </c>
      <c r="L5" s="31" t="s">
        <v>329</v>
      </c>
      <c r="M5" s="31" t="s">
        <v>329</v>
      </c>
      <c r="N5" s="31" t="s">
        <v>329</v>
      </c>
      <c r="O5" s="31" t="s">
        <v>329</v>
      </c>
      <c r="P5" s="31" t="s">
        <v>329</v>
      </c>
      <c r="Q5" s="31" t="s">
        <v>329</v>
      </c>
      <c r="R5" s="31" t="s">
        <v>329</v>
      </c>
      <c r="S5" s="31" t="s">
        <v>329</v>
      </c>
      <c r="T5" s="31" t="s">
        <v>329</v>
      </c>
      <c r="U5" s="31" t="s">
        <v>329</v>
      </c>
      <c r="V5" s="31" t="s">
        <v>329</v>
      </c>
      <c r="W5" s="31" t="s">
        <v>329</v>
      </c>
      <c r="X5" s="31" t="s">
        <v>329</v>
      </c>
      <c r="Y5" s="31" t="s">
        <v>329</v>
      </c>
      <c r="Z5" s="31" t="s">
        <v>329</v>
      </c>
      <c r="AA5" s="31" t="s">
        <v>329</v>
      </c>
      <c r="AB5" s="31" t="s">
        <v>329</v>
      </c>
      <c r="AC5" s="31" t="s">
        <v>330</v>
      </c>
      <c r="AD5" s="31" t="s">
        <v>330</v>
      </c>
      <c r="AE5" s="31">
        <v>1</v>
      </c>
      <c r="AF5" s="31">
        <v>12</v>
      </c>
      <c r="AG5" s="31">
        <v>365</v>
      </c>
      <c r="AH5" s="31" t="s">
        <v>329</v>
      </c>
      <c r="AI5" s="31" t="s">
        <v>330</v>
      </c>
      <c r="AJ5" s="31" t="s">
        <v>329</v>
      </c>
      <c r="AK5" s="31" t="s">
        <v>329</v>
      </c>
      <c r="AL5" s="40" t="s">
        <v>329</v>
      </c>
      <c r="AM5" s="40">
        <v>3.17</v>
      </c>
      <c r="AN5" s="40">
        <v>92</v>
      </c>
      <c r="AO5" s="40">
        <v>1103</v>
      </c>
      <c r="AP5" s="31" t="s">
        <v>329</v>
      </c>
      <c r="AQ5" s="31" t="s">
        <v>329</v>
      </c>
      <c r="AR5" s="31">
        <v>90</v>
      </c>
      <c r="AS5" s="31">
        <v>150</v>
      </c>
      <c r="AT5" s="31">
        <v>1</v>
      </c>
      <c r="AU5" s="31">
        <v>50</v>
      </c>
      <c r="AV5" s="31">
        <v>25</v>
      </c>
      <c r="AW5" s="31" t="s">
        <v>330</v>
      </c>
      <c r="AX5" s="31" t="s">
        <v>329</v>
      </c>
      <c r="AY5" s="31" t="s">
        <v>330</v>
      </c>
      <c r="AZ5" s="31" t="s">
        <v>329</v>
      </c>
      <c r="BA5" s="31" t="s">
        <v>329</v>
      </c>
      <c r="BB5" s="31" t="s">
        <v>329</v>
      </c>
    </row>
    <row r="6" spans="1:54" ht="20.100000000000001" customHeight="1">
      <c r="A6" s="39" t="s">
        <v>331</v>
      </c>
      <c r="B6" s="31" t="s">
        <v>329</v>
      </c>
      <c r="C6" s="31" t="s">
        <v>330</v>
      </c>
      <c r="D6" s="31" t="s">
        <v>329</v>
      </c>
      <c r="E6" s="31" t="s">
        <v>323</v>
      </c>
      <c r="F6" s="31" t="s">
        <v>330</v>
      </c>
      <c r="G6" s="31" t="s">
        <v>329</v>
      </c>
      <c r="H6" s="31" t="s">
        <v>329</v>
      </c>
      <c r="I6" s="31" t="s">
        <v>329</v>
      </c>
      <c r="J6" s="31" t="s">
        <v>329</v>
      </c>
      <c r="K6" s="31" t="s">
        <v>329</v>
      </c>
      <c r="L6" s="31" t="s">
        <v>329</v>
      </c>
      <c r="M6" s="31" t="s">
        <v>329</v>
      </c>
      <c r="N6" s="31" t="s">
        <v>330</v>
      </c>
      <c r="O6" s="31" t="s">
        <v>329</v>
      </c>
      <c r="P6" s="31" t="s">
        <v>329</v>
      </c>
      <c r="Q6" s="31" t="s">
        <v>329</v>
      </c>
      <c r="R6" s="31" t="s">
        <v>329</v>
      </c>
      <c r="S6" s="31" t="s">
        <v>329</v>
      </c>
      <c r="T6" s="31" t="s">
        <v>329</v>
      </c>
      <c r="U6" s="31" t="s">
        <v>329</v>
      </c>
      <c r="V6" s="31" t="s">
        <v>329</v>
      </c>
      <c r="W6" s="31" t="s">
        <v>329</v>
      </c>
      <c r="X6" s="31" t="s">
        <v>329</v>
      </c>
      <c r="Y6" s="31" t="s">
        <v>329</v>
      </c>
      <c r="Z6" s="31" t="s">
        <v>329</v>
      </c>
      <c r="AA6" s="31" t="s">
        <v>329</v>
      </c>
      <c r="AB6" s="31" t="s">
        <v>329</v>
      </c>
      <c r="AC6" s="31" t="s">
        <v>330</v>
      </c>
      <c r="AD6" s="31" t="s">
        <v>330</v>
      </c>
      <c r="AE6" s="31">
        <v>1</v>
      </c>
      <c r="AF6" s="31">
        <v>12</v>
      </c>
      <c r="AG6" s="31">
        <v>365</v>
      </c>
      <c r="AH6" s="31" t="s">
        <v>329</v>
      </c>
      <c r="AI6" s="31" t="s">
        <v>330</v>
      </c>
      <c r="AJ6" s="31" t="s">
        <v>329</v>
      </c>
      <c r="AK6" s="31" t="s">
        <v>329</v>
      </c>
      <c r="AL6" s="40" t="s">
        <v>329</v>
      </c>
      <c r="AM6" s="40">
        <v>0.69</v>
      </c>
      <c r="AN6" s="40">
        <v>20</v>
      </c>
      <c r="AO6" s="40">
        <v>240</v>
      </c>
      <c r="AP6" s="31" t="s">
        <v>329</v>
      </c>
      <c r="AQ6" s="31" t="s">
        <v>329</v>
      </c>
      <c r="AR6" s="31">
        <v>100</v>
      </c>
      <c r="AS6" s="31">
        <v>200</v>
      </c>
      <c r="AT6" s="31">
        <v>2</v>
      </c>
      <c r="AU6" s="31">
        <v>70</v>
      </c>
      <c r="AV6" s="31">
        <v>30</v>
      </c>
      <c r="AW6" s="31" t="s">
        <v>329</v>
      </c>
      <c r="AX6" s="31" t="s">
        <v>329</v>
      </c>
      <c r="AY6" s="31" t="s">
        <v>329</v>
      </c>
      <c r="AZ6" s="31" t="s">
        <v>329</v>
      </c>
      <c r="BA6" s="31" t="s">
        <v>329</v>
      </c>
      <c r="BB6" s="31" t="s">
        <v>329</v>
      </c>
    </row>
    <row r="7" spans="1:54" ht="20.100000000000001" customHeight="1">
      <c r="A7" s="39" t="s">
        <v>331</v>
      </c>
      <c r="B7" s="31" t="s">
        <v>329</v>
      </c>
      <c r="C7" s="31" t="s">
        <v>330</v>
      </c>
      <c r="D7" s="31" t="s">
        <v>329</v>
      </c>
      <c r="E7" s="31" t="s">
        <v>324</v>
      </c>
      <c r="F7" s="31" t="s">
        <v>329</v>
      </c>
      <c r="G7" s="31" t="s">
        <v>329</v>
      </c>
      <c r="H7" s="31" t="s">
        <v>329</v>
      </c>
      <c r="I7" s="31" t="s">
        <v>329</v>
      </c>
      <c r="J7" s="31" t="s">
        <v>329</v>
      </c>
      <c r="K7" s="31" t="s">
        <v>329</v>
      </c>
      <c r="L7" s="31" t="s">
        <v>329</v>
      </c>
      <c r="M7" s="31" t="s">
        <v>329</v>
      </c>
      <c r="N7" s="31" t="s">
        <v>329</v>
      </c>
      <c r="O7" s="31" t="s">
        <v>329</v>
      </c>
      <c r="P7" s="31" t="s">
        <v>329</v>
      </c>
      <c r="Q7" s="31" t="s">
        <v>329</v>
      </c>
      <c r="R7" s="31" t="s">
        <v>329</v>
      </c>
      <c r="S7" s="31" t="s">
        <v>329</v>
      </c>
      <c r="T7" s="31" t="s">
        <v>329</v>
      </c>
      <c r="U7" s="31" t="s">
        <v>330</v>
      </c>
      <c r="V7" s="31" t="s">
        <v>329</v>
      </c>
      <c r="W7" s="31" t="s">
        <v>330</v>
      </c>
      <c r="X7" s="31" t="s">
        <v>329</v>
      </c>
      <c r="Y7" s="31" t="s">
        <v>329</v>
      </c>
      <c r="Z7" s="31" t="s">
        <v>329</v>
      </c>
      <c r="AA7" s="31" t="s">
        <v>329</v>
      </c>
      <c r="AB7" s="31" t="s">
        <v>329</v>
      </c>
      <c r="AC7" s="31" t="s">
        <v>330</v>
      </c>
      <c r="AD7" s="31" t="s">
        <v>329</v>
      </c>
      <c r="AE7" s="31">
        <v>3</v>
      </c>
      <c r="AF7" s="31">
        <v>11</v>
      </c>
      <c r="AG7" s="31">
        <v>274</v>
      </c>
      <c r="AH7" s="31" t="s">
        <v>329</v>
      </c>
      <c r="AI7" s="31" t="s">
        <v>330</v>
      </c>
      <c r="AJ7" s="31" t="s">
        <v>329</v>
      </c>
      <c r="AK7" s="31" t="s">
        <v>329</v>
      </c>
      <c r="AL7" s="40" t="s">
        <v>329</v>
      </c>
      <c r="AM7" s="40">
        <v>3.38</v>
      </c>
      <c r="AN7" s="40">
        <v>98</v>
      </c>
      <c r="AO7" s="40">
        <v>784</v>
      </c>
      <c r="AP7" s="31" t="s">
        <v>329</v>
      </c>
      <c r="AQ7" s="31" t="s">
        <v>329</v>
      </c>
      <c r="AR7" s="31">
        <v>45</v>
      </c>
      <c r="AS7" s="31">
        <v>150</v>
      </c>
      <c r="AT7" s="31">
        <v>1</v>
      </c>
      <c r="AU7" s="31">
        <v>30</v>
      </c>
      <c r="AV7" s="31">
        <v>30</v>
      </c>
      <c r="AW7" s="31" t="s">
        <v>330</v>
      </c>
      <c r="AX7" s="31" t="s">
        <v>329</v>
      </c>
      <c r="AY7" s="31" t="s">
        <v>330</v>
      </c>
      <c r="AZ7" s="31" t="s">
        <v>329</v>
      </c>
      <c r="BA7" s="31" t="s">
        <v>329</v>
      </c>
      <c r="BB7" s="31" t="s">
        <v>329</v>
      </c>
    </row>
    <row r="8" spans="1:54" ht="20.100000000000001" customHeight="1">
      <c r="A8" s="39" t="s">
        <v>331</v>
      </c>
      <c r="B8" s="31" t="s">
        <v>329</v>
      </c>
      <c r="C8" s="31" t="s">
        <v>330</v>
      </c>
      <c r="D8" s="31" t="s">
        <v>329</v>
      </c>
      <c r="E8" s="31" t="s">
        <v>326</v>
      </c>
      <c r="F8" s="31" t="s">
        <v>329</v>
      </c>
      <c r="G8" s="31" t="s">
        <v>329</v>
      </c>
      <c r="H8" s="31" t="s">
        <v>329</v>
      </c>
      <c r="I8" s="31" t="s">
        <v>329</v>
      </c>
      <c r="J8" s="31" t="s">
        <v>329</v>
      </c>
      <c r="K8" s="31" t="s">
        <v>329</v>
      </c>
      <c r="L8" s="31" t="s">
        <v>329</v>
      </c>
      <c r="M8" s="31" t="s">
        <v>329</v>
      </c>
      <c r="N8" s="31" t="s">
        <v>329</v>
      </c>
      <c r="O8" s="31" t="s">
        <v>329</v>
      </c>
      <c r="P8" s="31" t="s">
        <v>329</v>
      </c>
      <c r="Q8" s="31" t="s">
        <v>329</v>
      </c>
      <c r="R8" s="31" t="s">
        <v>329</v>
      </c>
      <c r="S8" s="31" t="s">
        <v>329</v>
      </c>
      <c r="T8" s="31" t="s">
        <v>329</v>
      </c>
      <c r="U8" s="31" t="s">
        <v>330</v>
      </c>
      <c r="V8" s="31" t="s">
        <v>330</v>
      </c>
      <c r="W8" s="31" t="s">
        <v>329</v>
      </c>
      <c r="X8" s="31" t="s">
        <v>329</v>
      </c>
      <c r="Y8" s="31" t="s">
        <v>329</v>
      </c>
      <c r="Z8" s="31" t="s">
        <v>329</v>
      </c>
      <c r="AA8" s="31" t="s">
        <v>329</v>
      </c>
      <c r="AB8" s="31" t="s">
        <v>329</v>
      </c>
      <c r="AC8" s="31" t="s">
        <v>330</v>
      </c>
      <c r="AD8" s="31" t="s">
        <v>329</v>
      </c>
      <c r="AE8" s="31">
        <v>3</v>
      </c>
      <c r="AF8" s="31">
        <v>11</v>
      </c>
      <c r="AG8" s="31">
        <v>274</v>
      </c>
      <c r="AH8" s="31" t="s">
        <v>329</v>
      </c>
      <c r="AI8" s="31" t="s">
        <v>330</v>
      </c>
      <c r="AJ8" s="31" t="s">
        <v>329</v>
      </c>
      <c r="AK8" s="31" t="s">
        <v>329</v>
      </c>
      <c r="AL8" s="40" t="s">
        <v>329</v>
      </c>
      <c r="AM8" s="40">
        <v>7.74</v>
      </c>
      <c r="AN8" s="40">
        <v>224</v>
      </c>
      <c r="AO8" s="40">
        <v>1796</v>
      </c>
      <c r="AP8" s="31" t="s">
        <v>329</v>
      </c>
      <c r="AQ8" s="31" t="s">
        <v>329</v>
      </c>
      <c r="AR8" s="31">
        <v>45</v>
      </c>
      <c r="AS8" s="31">
        <v>150</v>
      </c>
      <c r="AT8" s="31">
        <v>1</v>
      </c>
      <c r="AU8" s="31">
        <v>60</v>
      </c>
      <c r="AV8" s="31">
        <v>30</v>
      </c>
      <c r="AW8" s="31" t="s">
        <v>330</v>
      </c>
      <c r="AX8" s="31" t="s">
        <v>329</v>
      </c>
      <c r="AY8" s="31" t="s">
        <v>330</v>
      </c>
      <c r="AZ8" s="31" t="s">
        <v>329</v>
      </c>
      <c r="BA8" s="31" t="s">
        <v>329</v>
      </c>
      <c r="BB8" s="31" t="s">
        <v>329</v>
      </c>
    </row>
    <row r="9" spans="1:54" ht="20.100000000000001" customHeight="1">
      <c r="A9" s="39" t="s">
        <v>331</v>
      </c>
      <c r="B9" s="31" t="s">
        <v>329</v>
      </c>
      <c r="C9" s="31" t="s">
        <v>330</v>
      </c>
      <c r="D9" s="31" t="s">
        <v>329</v>
      </c>
      <c r="E9" s="31" t="s">
        <v>328</v>
      </c>
      <c r="F9" s="31" t="s">
        <v>329</v>
      </c>
      <c r="G9" s="31" t="s">
        <v>329</v>
      </c>
      <c r="H9" s="31" t="s">
        <v>329</v>
      </c>
      <c r="I9" s="31" t="s">
        <v>329</v>
      </c>
      <c r="J9" s="31" t="s">
        <v>329</v>
      </c>
      <c r="K9" s="31" t="s">
        <v>329</v>
      </c>
      <c r="L9" s="31" t="s">
        <v>329</v>
      </c>
      <c r="M9" s="31" t="s">
        <v>329</v>
      </c>
      <c r="N9" s="31" t="s">
        <v>329</v>
      </c>
      <c r="O9" s="31" t="s">
        <v>329</v>
      </c>
      <c r="P9" s="31" t="s">
        <v>329</v>
      </c>
      <c r="Q9" s="31" t="s">
        <v>329</v>
      </c>
      <c r="R9" s="31" t="s">
        <v>329</v>
      </c>
      <c r="S9" s="31" t="s">
        <v>329</v>
      </c>
      <c r="T9" s="31" t="s">
        <v>329</v>
      </c>
      <c r="U9" s="31" t="s">
        <v>330</v>
      </c>
      <c r="V9" s="31" t="s">
        <v>330</v>
      </c>
      <c r="W9" s="31" t="s">
        <v>329</v>
      </c>
      <c r="X9" s="31" t="s">
        <v>329</v>
      </c>
      <c r="Y9" s="31" t="s">
        <v>329</v>
      </c>
      <c r="Z9" s="31" t="s">
        <v>329</v>
      </c>
      <c r="AA9" s="31" t="s">
        <v>329</v>
      </c>
      <c r="AB9" s="31" t="s">
        <v>329</v>
      </c>
      <c r="AC9" s="31" t="s">
        <v>330</v>
      </c>
      <c r="AD9" s="31" t="s">
        <v>329</v>
      </c>
      <c r="AE9" s="31">
        <v>3</v>
      </c>
      <c r="AF9" s="31">
        <v>11</v>
      </c>
      <c r="AG9" s="31">
        <v>274</v>
      </c>
      <c r="AH9" s="31" t="s">
        <v>329</v>
      </c>
      <c r="AI9" s="31" t="s">
        <v>330</v>
      </c>
      <c r="AJ9" s="31" t="s">
        <v>329</v>
      </c>
      <c r="AK9" s="31" t="s">
        <v>329</v>
      </c>
      <c r="AL9" s="40" t="s">
        <v>329</v>
      </c>
      <c r="AM9" s="40">
        <v>8</v>
      </c>
      <c r="AN9" s="40">
        <v>232</v>
      </c>
      <c r="AO9" s="40">
        <v>1856</v>
      </c>
      <c r="AP9" s="31" t="s">
        <v>329</v>
      </c>
      <c r="AQ9" s="31" t="s">
        <v>329</v>
      </c>
      <c r="AR9" s="31">
        <v>50</v>
      </c>
      <c r="AS9" s="31">
        <v>125</v>
      </c>
      <c r="AT9" s="31">
        <v>1</v>
      </c>
      <c r="AU9" s="31">
        <v>80</v>
      </c>
      <c r="AV9" s="31">
        <v>30</v>
      </c>
      <c r="AW9" s="31" t="s">
        <v>330</v>
      </c>
      <c r="AX9" s="31" t="s">
        <v>329</v>
      </c>
      <c r="AY9" s="31" t="s">
        <v>330</v>
      </c>
      <c r="AZ9" s="31" t="s">
        <v>329</v>
      </c>
      <c r="BA9" s="31" t="s">
        <v>329</v>
      </c>
      <c r="BB9" s="31" t="s">
        <v>329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2023-06-12T21:27:09Z</dcterms:modified>
</cp:coreProperties>
</file>