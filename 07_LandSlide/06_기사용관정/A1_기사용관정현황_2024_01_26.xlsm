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68C61A8-96AA-40E6-B2B5-ABF2E2B73FB0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0" l="1"/>
  <c r="M12" i="10"/>
  <c r="M9" i="10"/>
  <c r="M10" i="10"/>
  <c r="M7" i="10"/>
  <c r="M8" i="10"/>
  <c r="M5" i="10"/>
  <c r="M6" i="10"/>
  <c r="M3" i="10"/>
  <c r="M4" i="10"/>
  <c r="M22" i="8" l="1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17" i="10"/>
  <c r="C16" i="10"/>
  <c r="J29" i="8" l="1"/>
  <c r="I29" i="8" s="1"/>
  <c r="J28" i="8"/>
  <c r="I28" i="8" s="1"/>
  <c r="D17" i="10"/>
  <c r="D10" i="11"/>
  <c r="D16" i="10"/>
  <c r="L15" i="10"/>
  <c r="L26" i="8"/>
  <c r="H29" i="8" l="1"/>
  <c r="H28" i="8"/>
  <c r="L28" i="8"/>
  <c r="D1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<sst xmlns="http://schemas.openxmlformats.org/spreadsheetml/2006/main" count="5177" uniqueCount="646">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</sst>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147637</xdr:rowOff>
        </xdr:from>
        <xdr:to>
          <xdr:col>11</xdr:col>
          <xdr:colOff>819150</xdr:colOff>
          <xdr:row>0</xdr:row>
          <xdr:rowOff>490537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147637</xdr:rowOff>
        </xdr:from>
        <xdr:to>
          <xdr:col>12</xdr:col>
          <xdr:colOff>895350</xdr:colOff>
          <xdr:row>0</xdr:row>
          <xdr:rowOff>490537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0</xdr:row>
          <xdr:rowOff>123825</xdr:rowOff>
        </xdr:from>
        <xdr:to>
          <xdr:col>12</xdr:col>
          <xdr:colOff>1828800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R8" sqref="R8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635</v>
      </c>
      <c r="D2" s="2" t="s">
        <v>636</v>
      </c>
      <c r="I2" s="2"/>
      <c r="J2" s="2"/>
      <c r="K2" s="2" t="s">
        <v>147</v>
      </c>
      <c r="L2" s="12">
        <v>2.54</v>
      </c>
      <c r="M2" s="2" t="str">
        <f>D2&amp;" " &amp; E2</f>
        <v xml:space="preserve">봉당리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635</v>
      </c>
      <c r="D3" s="2" t="s">
        <v>636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봉당리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635</v>
      </c>
      <c r="D4" s="2" t="s">
        <v>636</v>
      </c>
      <c r="I4" s="2"/>
      <c r="J4" s="2"/>
      <c r="K4" s="2" t="s">
        <v>147</v>
      </c>
      <c r="L4" s="12">
        <v>3.17</v>
      </c>
      <c r="M4" s="2" t="str">
        <f t="shared" si="0"/>
        <v xml:space="preserve">봉당리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635</v>
      </c>
      <c r="D5" s="2" t="s">
        <v>636</v>
      </c>
      <c r="I5" s="2"/>
      <c r="J5" s="2"/>
      <c r="K5" s="2" t="s">
        <v>147</v>
      </c>
      <c r="L5" s="12">
        <v>2.46</v>
      </c>
      <c r="M5" s="2" t="str">
        <f t="shared" si="0"/>
        <v xml:space="preserve">봉당리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635</v>
      </c>
      <c r="D6" s="2" t="s">
        <v>636</v>
      </c>
      <c r="I6" s="2"/>
      <c r="J6" s="2"/>
      <c r="K6" s="2" t="s">
        <v>147</v>
      </c>
      <c r="L6" s="12">
        <v>2.56</v>
      </c>
      <c r="M6" s="2" t="str">
        <f t="shared" si="0"/>
        <v xml:space="preserve">봉당리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635</v>
      </c>
      <c r="D7" s="2" t="s">
        <v>636</v>
      </c>
      <c r="I7" s="2"/>
      <c r="J7" s="2"/>
      <c r="K7" s="2" t="s">
        <v>147</v>
      </c>
      <c r="L7" s="12">
        <v>2.69</v>
      </c>
      <c r="M7" s="2" t="str">
        <f t="shared" si="0"/>
        <v xml:space="preserve">봉당리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635</v>
      </c>
      <c r="D8" s="2" t="s">
        <v>636</v>
      </c>
      <c r="I8" s="2"/>
      <c r="J8" s="2"/>
      <c r="K8" s="2" t="s">
        <v>147</v>
      </c>
      <c r="L8" s="12">
        <v>2.73</v>
      </c>
      <c r="M8" s="2" t="str">
        <f t="shared" si="0"/>
        <v xml:space="preserve">봉당리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635</v>
      </c>
      <c r="D9" s="2" t="s">
        <v>636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봉당리 </v>
      </c>
      <c r="S9" s="2" t="s">
        <v>11</v>
      </c>
    </row>
    <row r="10" spans="1:19" ht="21.75" customHeight="1">
      <c r="A10" s="2" t="s">
        <v>321</v>
      </c>
      <c r="B10" s="1" t="s">
        <v>22</v>
      </c>
      <c r="C10" s="2" t="s">
        <v>635</v>
      </c>
      <c r="D10" s="2" t="s">
        <v>636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봉당리 </v>
      </c>
      <c r="S10" s="2" t="s">
        <v>11</v>
      </c>
    </row>
    <row r="11" spans="1:19" ht="21.75" customHeight="1">
      <c r="A11" s="2" t="s">
        <v>322</v>
      </c>
      <c r="B11" s="1" t="s">
        <v>22</v>
      </c>
      <c r="C11" s="2" t="s">
        <v>635</v>
      </c>
      <c r="D11" s="2" t="s">
        <v>636</v>
      </c>
      <c r="I11" s="2"/>
      <c r="J11" s="2"/>
      <c r="K11" s="2" t="s">
        <v>147</v>
      </c>
      <c r="L11" s="12">
        <v>2.39</v>
      </c>
      <c r="M11" s="2" t="str">
        <f t="shared" si="1"/>
        <v xml:space="preserve">봉당리 </v>
      </c>
      <c r="S11" s="2" t="s">
        <v>11</v>
      </c>
    </row>
    <row r="12" spans="1:19" ht="21.75" customHeight="1">
      <c r="A12" s="2" t="s">
        <v>323</v>
      </c>
      <c r="B12" s="1" t="s">
        <v>22</v>
      </c>
      <c r="C12" s="2" t="s">
        <v>635</v>
      </c>
      <c r="D12" s="2" t="s">
        <v>636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324</v>
      </c>
      <c r="B13" s="1" t="s">
        <v>22</v>
      </c>
      <c r="C13" s="2" t="s">
        <v>635</v>
      </c>
      <c r="D13" s="2" t="s">
        <v>636</v>
      </c>
      <c r="I13" s="2"/>
      <c r="J13" s="2"/>
      <c r="K13" s="2" t="s">
        <v>147</v>
      </c>
      <c r="L13" s="12">
        <v>2.6</v>
      </c>
      <c r="M13" s="2" t="str">
        <f t="shared" si="2"/>
        <v xml:space="preserve">봉당리 </v>
      </c>
      <c r="S13" s="2" t="s">
        <v>11</v>
      </c>
    </row>
    <row r="14" spans="1:19" ht="21.75" customHeight="1">
      <c r="A14" s="2" t="s">
        <v>325</v>
      </c>
      <c r="B14" s="1" t="s">
        <v>22</v>
      </c>
      <c r="C14" s="2" t="s">
        <v>635</v>
      </c>
      <c r="D14" s="2" t="s">
        <v>636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봉당리 </v>
      </c>
      <c r="S14" s="2" t="s">
        <v>11</v>
      </c>
    </row>
    <row r="15" spans="1:19" ht="21.75" customHeight="1">
      <c r="A15" s="2" t="s">
        <v>326</v>
      </c>
      <c r="B15" s="1" t="s">
        <v>22</v>
      </c>
      <c r="C15" s="2" t="s">
        <v>635</v>
      </c>
      <c r="D15" s="2" t="s">
        <v>636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봉당리 </v>
      </c>
      <c r="S15" s="2" t="s">
        <v>11</v>
      </c>
    </row>
    <row r="16" spans="1:19" ht="21.75" customHeight="1">
      <c r="A16" s="2" t="s">
        <v>327</v>
      </c>
      <c r="B16" s="1" t="s">
        <v>22</v>
      </c>
      <c r="C16" s="2" t="s">
        <v>635</v>
      </c>
      <c r="D16" s="2" t="s">
        <v>636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봉당리 </v>
      </c>
      <c r="S16" s="2" t="s">
        <v>11</v>
      </c>
    </row>
    <row r="17" spans="1:19" ht="21.75" customHeight="1">
      <c r="A17" s="2" t="s">
        <v>328</v>
      </c>
      <c r="B17" s="1" t="s">
        <v>22</v>
      </c>
      <c r="C17" s="2" t="s">
        <v>635</v>
      </c>
      <c r="D17" s="2" t="s">
        <v>636</v>
      </c>
      <c r="I17" s="2"/>
      <c r="J17" s="2"/>
      <c r="K17" s="2" t="s">
        <v>147</v>
      </c>
      <c r="L17" s="12">
        <v>3.11</v>
      </c>
      <c r="M17" s="2" t="str">
        <f t="shared" si="4"/>
        <v xml:space="preserve">봉당리 </v>
      </c>
      <c r="S17" s="2" t="s">
        <v>11</v>
      </c>
    </row>
    <row r="18" spans="1:19" ht="21.75" customHeight="1">
      <c r="A18" s="2" t="s">
        <v>329</v>
      </c>
      <c r="B18" s="1" t="s">
        <v>22</v>
      </c>
      <c r="C18" s="2" t="s">
        <v>635</v>
      </c>
      <c r="D18" s="2" t="s">
        <v>636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봉당리 </v>
      </c>
      <c r="S18" s="2" t="s">
        <v>11</v>
      </c>
    </row>
    <row r="19" spans="1:19" ht="21.75" customHeight="1">
      <c r="A19" s="2" t="s">
        <v>330</v>
      </c>
      <c r="B19" s="1" t="s">
        <v>22</v>
      </c>
      <c r="C19" s="2" t="s">
        <v>635</v>
      </c>
      <c r="D19" s="2" t="s">
        <v>636</v>
      </c>
      <c r="I19" s="2"/>
      <c r="J19" s="2"/>
      <c r="K19" s="2" t="s">
        <v>147</v>
      </c>
      <c r="L19" s="12">
        <v>4.01</v>
      </c>
      <c r="M19" s="2" t="str">
        <f t="shared" si="5"/>
        <v xml:space="preserve">봉당리 </v>
      </c>
      <c r="S19" s="2" t="s">
        <v>11</v>
      </c>
    </row>
    <row r="20" spans="1:19" ht="21.75" customHeight="1">
      <c r="A20" s="2" t="s">
        <v>331</v>
      </c>
      <c r="B20" s="1" t="s">
        <v>22</v>
      </c>
      <c r="C20" s="2" t="s">
        <v>635</v>
      </c>
      <c r="D20" s="2" t="s">
        <v>636</v>
      </c>
      <c r="I20" s="2"/>
      <c r="J20" s="2"/>
      <c r="K20" s="2" t="s">
        <v>147</v>
      </c>
      <c r="L20" s="12">
        <v>2.56</v>
      </c>
      <c r="M20" s="2" t="str">
        <f t="shared" ref="M20:M21" si="6">D20&amp;" " &amp; E20</f>
        <v xml:space="preserve">봉당리 </v>
      </c>
      <c r="S20" s="2" t="s">
        <v>11</v>
      </c>
    </row>
    <row r="21" spans="1:19" ht="21.75" customHeight="1">
      <c r="A21" s="2" t="s">
        <v>332</v>
      </c>
      <c r="B21" s="1" t="s">
        <v>22</v>
      </c>
      <c r="C21" s="2" t="s">
        <v>635</v>
      </c>
      <c r="D21" s="2" t="s">
        <v>636</v>
      </c>
      <c r="I21" s="2"/>
      <c r="J21" s="2"/>
      <c r="K21" s="2" t="s">
        <v>147</v>
      </c>
      <c r="L21" s="12">
        <v>2.64</v>
      </c>
      <c r="M21" s="2" t="str">
        <f t="shared" si="6"/>
        <v xml:space="preserve">봉당리 </v>
      </c>
      <c r="S21" s="2" t="s">
        <v>11</v>
      </c>
    </row>
    <row r="22" spans="1:19" ht="21.75" customHeight="1">
      <c r="A22" s="2" t="s">
        <v>333</v>
      </c>
      <c r="B22" s="1" t="s">
        <v>22</v>
      </c>
      <c r="C22" s="2" t="s">
        <v>635</v>
      </c>
      <c r="D22" s="2" t="s">
        <v>636</v>
      </c>
      <c r="I22" s="2"/>
      <c r="J22" s="2"/>
      <c r="K22" s="2" t="s">
        <v>147</v>
      </c>
      <c r="L22" s="12">
        <v>3.11</v>
      </c>
      <c r="M22" s="2" t="str">
        <f t="shared" ref="M22:M23" si="7">D22&amp;" " &amp; E22</f>
        <v xml:space="preserve">봉당리 </v>
      </c>
      <c r="S22" s="2" t="s">
        <v>11</v>
      </c>
    </row>
    <row r="23" spans="1:19" ht="21.75" customHeight="1">
      <c r="A23" s="2" t="s">
        <v>334</v>
      </c>
      <c r="B23" s="1" t="s">
        <v>22</v>
      </c>
      <c r="C23" s="2" t="s">
        <v>635</v>
      </c>
      <c r="D23" s="2" t="s">
        <v>636</v>
      </c>
      <c r="I23" s="2"/>
      <c r="J23" s="2"/>
      <c r="K23" s="2" t="s">
        <v>147</v>
      </c>
      <c r="L23" s="12">
        <v>2.79</v>
      </c>
      <c r="M23" s="2" t="str">
        <f t="shared" si="7"/>
        <v xml:space="preserve">봉당리 </v>
      </c>
      <c r="S23" s="2" t="s">
        <v>11</v>
      </c>
    </row>
    <row r="24" spans="1:19" ht="21" customHeight="1">
      <c r="B24" s="1"/>
      <c r="I24" s="2"/>
      <c r="J24" s="2"/>
      <c r="L24" s="3"/>
    </row>
    <row r="25" spans="1:19" ht="21.75" customHeight="1">
      <c r="I25" s="2"/>
      <c r="J25" s="2"/>
    </row>
    <row r="26" spans="1:19" ht="21.75" customHeight="1" thickBot="1">
      <c r="K26" s="2" t="s">
        <v>33</v>
      </c>
      <c r="L26" s="35">
        <f>SUM(L2:L25)</f>
        <v>59.500000000000007</v>
      </c>
    </row>
    <row r="27" spans="1:19" ht="21.75" customHeight="1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>
      <c r="B28" s="18" t="s">
        <v>255</v>
      </c>
      <c r="C28" s="15">
        <f ca="1">E28+G28+I28</f>
        <v>33</v>
      </c>
      <c r="D28" s="15">
        <f ca="1">F28+H28+J28</f>
        <v>114.5</v>
      </c>
      <c r="E28" s="15">
        <f ca="1">IF(F28=0,0,COUNTIF(SS_INSIDE_AREA,"O"))</f>
        <v>22</v>
      </c>
      <c r="F28" s="15">
        <f ca="1">SUMIF(SS_INSIDE_AREA,"O",$L$2:$L$2)</f>
        <v>59.500000000000007</v>
      </c>
      <c r="G28" s="15">
        <f ca="1">IF(H28=0,0,COUNTIF(AA_INSIDE_AREA,"O"))</f>
        <v>11</v>
      </c>
      <c r="H28" s="15">
        <f ca="1">aa!$D$16</f>
        <v>55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L26+aa!L15+ii!L5</f>
        <v>114.5</v>
      </c>
    </row>
    <row r="29" spans="1:19" ht="21.75" customHeight="1" thickBot="1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aa!$D$17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>
      <c r="B30"/>
      <c r="C30"/>
      <c r="D30"/>
      <c r="E30"/>
      <c r="F30"/>
      <c r="G30"/>
      <c r="H30"/>
      <c r="I30"/>
      <c r="K30" s="13" t="s">
        <v>31</v>
      </c>
      <c r="L30" s="37">
        <f ca="1">D28</f>
        <v>114.5</v>
      </c>
    </row>
    <row r="31" spans="1:19" ht="21.75" customHeight="1" thickBot="1">
      <c r="B31"/>
      <c r="C31"/>
      <c r="D31"/>
      <c r="E31"/>
      <c r="F31"/>
      <c r="G31"/>
      <c r="H31"/>
      <c r="I31"/>
      <c r="K31" s="14" t="s">
        <v>32</v>
      </c>
      <c r="L31" s="38">
        <f ca="1">C28</f>
        <v>33</v>
      </c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0" spans="2:17" ht="21.75" customHeight="1">
      <c r="B40"/>
      <c r="C40"/>
      <c r="D40"/>
      <c r="E40"/>
      <c r="F40"/>
      <c r="G40"/>
      <c r="H40"/>
      <c r="I40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  <row r="47" spans="2:17" ht="21.75" customHeight="1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142875</xdr:rowOff>
              </from>
              <to>
                <xdr:col>11</xdr:col>
                <xdr:colOff>819150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142875</xdr:rowOff>
              </from>
              <to>
                <xdr:col>12</xdr:col>
                <xdr:colOff>895350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635</v>
      </c>
      <c r="D2" s="2" t="s">
        <v>636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봉당리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637</v>
      </c>
      <c r="B3" s="1" t="s">
        <v>2</v>
      </c>
      <c r="C3" s="2" t="s">
        <v>635</v>
      </c>
      <c r="D3" s="2" t="s">
        <v>636</v>
      </c>
      <c r="E3" s="10"/>
      <c r="F3" s="9"/>
      <c r="G3" s="9"/>
      <c r="H3" s="9"/>
      <c r="I3" s="9"/>
      <c r="J3" s="9"/>
      <c r="K3" s="9"/>
      <c r="L3" s="2">
        <v>1</v>
      </c>
      <c r="M3" s="28" t="str">
        <f t="shared" ref="M3:M4" si="0">D3&amp;" "&amp;E3</f>
        <v xml:space="preserve">봉당리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635</v>
      </c>
      <c r="D4" s="2" t="s">
        <v>636</v>
      </c>
      <c r="E4" s="10"/>
      <c r="F4" s="9"/>
      <c r="G4" s="9"/>
      <c r="H4" s="9"/>
      <c r="I4" s="9"/>
      <c r="J4" s="9"/>
      <c r="K4" s="9"/>
      <c r="L4" s="2">
        <v>2</v>
      </c>
      <c r="M4" s="28" t="str">
        <f t="shared" si="0"/>
        <v xml:space="preserve">봉당리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638</v>
      </c>
      <c r="B5" s="1" t="s">
        <v>2</v>
      </c>
      <c r="C5" s="2" t="s">
        <v>635</v>
      </c>
      <c r="D5" s="2" t="s">
        <v>636</v>
      </c>
      <c r="E5" s="10"/>
      <c r="F5" s="9"/>
      <c r="G5" s="9"/>
      <c r="H5" s="9"/>
      <c r="I5" s="9"/>
      <c r="J5" s="9"/>
      <c r="K5" s="9"/>
      <c r="L5" s="2">
        <v>3</v>
      </c>
      <c r="M5" s="28" t="str">
        <f t="shared" ref="M5:M6" si="1">D5&amp;" "&amp;E5</f>
        <v xml:space="preserve">봉당리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639</v>
      </c>
      <c r="B6" s="1" t="s">
        <v>2</v>
      </c>
      <c r="C6" s="2" t="s">
        <v>635</v>
      </c>
      <c r="D6" s="2" t="s">
        <v>636</v>
      </c>
      <c r="E6" s="10"/>
      <c r="F6" s="9"/>
      <c r="G6" s="9"/>
      <c r="H6" s="9"/>
      <c r="I6" s="9"/>
      <c r="J6" s="9"/>
      <c r="K6" s="9"/>
      <c r="L6" s="2">
        <v>4</v>
      </c>
      <c r="M6" s="28" t="str">
        <f t="shared" si="1"/>
        <v xml:space="preserve">봉당리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640</v>
      </c>
      <c r="B7" s="1" t="s">
        <v>2</v>
      </c>
      <c r="C7" s="2" t="s">
        <v>635</v>
      </c>
      <c r="D7" s="2" t="s">
        <v>636</v>
      </c>
      <c r="E7" s="10"/>
      <c r="F7" s="9"/>
      <c r="G7" s="9"/>
      <c r="H7" s="9"/>
      <c r="I7" s="9"/>
      <c r="J7" s="9"/>
      <c r="K7" s="9"/>
      <c r="L7" s="2">
        <v>5</v>
      </c>
      <c r="M7" s="28" t="str">
        <f t="shared" ref="M7:M8" si="2">D7&amp;" "&amp;E7</f>
        <v xml:space="preserve">봉당리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641</v>
      </c>
      <c r="B8" s="1" t="s">
        <v>2</v>
      </c>
      <c r="C8" s="2" t="s">
        <v>635</v>
      </c>
      <c r="D8" s="2" t="s">
        <v>636</v>
      </c>
      <c r="E8" s="10"/>
      <c r="F8" s="9"/>
      <c r="G8" s="9"/>
      <c r="H8" s="9"/>
      <c r="I8" s="9"/>
      <c r="J8" s="9"/>
      <c r="K8" s="9"/>
      <c r="L8" s="2">
        <v>6</v>
      </c>
      <c r="M8" s="28" t="str">
        <f t="shared" si="2"/>
        <v xml:space="preserve">봉당리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642</v>
      </c>
      <c r="B9" s="1" t="s">
        <v>2</v>
      </c>
      <c r="C9" s="2" t="s">
        <v>635</v>
      </c>
      <c r="D9" s="2" t="s">
        <v>636</v>
      </c>
      <c r="E9" s="10"/>
      <c r="F9" s="9"/>
      <c r="G9" s="9"/>
      <c r="H9" s="9"/>
      <c r="I9" s="9"/>
      <c r="J9" s="9"/>
      <c r="K9" s="9"/>
      <c r="L9" s="2">
        <v>7</v>
      </c>
      <c r="M9" s="28" t="str">
        <f t="shared" ref="M9:M10" si="3">D9&amp;" "&amp;E9</f>
        <v xml:space="preserve">봉당리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643</v>
      </c>
      <c r="B10" s="1" t="s">
        <v>2</v>
      </c>
      <c r="C10" s="2" t="s">
        <v>635</v>
      </c>
      <c r="D10" s="2" t="s">
        <v>636</v>
      </c>
      <c r="E10" s="10"/>
      <c r="F10" s="9"/>
      <c r="G10" s="9"/>
      <c r="H10" s="9"/>
      <c r="I10" s="9"/>
      <c r="J10" s="9"/>
      <c r="K10" s="9"/>
      <c r="L10" s="2">
        <v>8</v>
      </c>
      <c r="M10" s="28" t="str">
        <f t="shared" si="3"/>
        <v xml:space="preserve">봉당리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644</v>
      </c>
      <c r="B11" s="1" t="s">
        <v>2</v>
      </c>
      <c r="C11" s="2" t="s">
        <v>635</v>
      </c>
      <c r="D11" s="2" t="s">
        <v>636</v>
      </c>
      <c r="E11" s="10"/>
      <c r="F11" s="9"/>
      <c r="G11" s="9"/>
      <c r="H11" s="9"/>
      <c r="I11" s="9"/>
      <c r="J11" s="9"/>
      <c r="K11" s="9"/>
      <c r="L11" s="2">
        <v>9</v>
      </c>
      <c r="M11" s="28" t="str">
        <f t="shared" ref="M11:M12" si="4">D11&amp;" "&amp;E11</f>
        <v xml:space="preserve">봉당리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645</v>
      </c>
      <c r="B12" s="1" t="s">
        <v>2</v>
      </c>
      <c r="C12" s="2" t="s">
        <v>635</v>
      </c>
      <c r="D12" s="2" t="s">
        <v>636</v>
      </c>
      <c r="E12" s="10"/>
      <c r="F12" s="9"/>
      <c r="G12" s="9"/>
      <c r="H12" s="9"/>
      <c r="I12" s="9"/>
      <c r="J12" s="9"/>
      <c r="K12" s="9"/>
      <c r="L12" s="2">
        <v>10</v>
      </c>
      <c r="M12" s="28" t="str">
        <f t="shared" si="4"/>
        <v xml:space="preserve">봉당리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/>
      <c r="B13" s="1"/>
      <c r="C13" s="2"/>
      <c r="D13" s="2"/>
      <c r="E13" s="10"/>
      <c r="F13" s="9"/>
      <c r="G13" s="9"/>
      <c r="H13" s="9"/>
      <c r="I13" s="9"/>
      <c r="J13" s="9"/>
      <c r="K13" s="9"/>
      <c r="L13" s="2"/>
      <c r="M13" s="28"/>
      <c r="N13" s="9"/>
      <c r="O13" s="9"/>
      <c r="P13" s="9"/>
      <c r="Q13" s="3"/>
      <c r="R13" s="9"/>
      <c r="S13" s="2"/>
    </row>
    <row r="14" spans="1:19" ht="21.75" customHeight="1" thickBot="1">
      <c r="L14" s="5"/>
    </row>
    <row r="15" spans="1:19" ht="21.75" customHeight="1">
      <c r="B15" s="24" t="s">
        <v>21</v>
      </c>
      <c r="C15" s="16" t="s">
        <v>20</v>
      </c>
      <c r="D15" s="17" t="s">
        <v>5</v>
      </c>
      <c r="K15" s="2" t="s">
        <v>30</v>
      </c>
      <c r="L15" s="39">
        <f>SUM(L2:L14)</f>
        <v>55</v>
      </c>
      <c r="M15" s="29"/>
    </row>
    <row r="16" spans="1:19" ht="21.75" customHeight="1">
      <c r="B16" s="22" t="s">
        <v>18</v>
      </c>
      <c r="C16" s="15">
        <f ca="1">COUNTIF(AA_INSIDE_AREA,"O")</f>
        <v>11</v>
      </c>
      <c r="D16" s="19">
        <f ca="1">SUMIF(AA_INSIDE_AREA,"O",$L$2:$L$2)</f>
        <v>55</v>
      </c>
    </row>
    <row r="17" spans="2:12" ht="21.75" customHeight="1">
      <c r="B17" s="22" t="s">
        <v>19</v>
      </c>
      <c r="C17" s="15">
        <f ca="1">COUNTIF(AA_INSIDE_AREA,"X")</f>
        <v>0</v>
      </c>
      <c r="D17" s="19">
        <f ca="1">SUMIF(AA_INSIDE_AREA,"X",$L$2:$L$2)</f>
        <v>0</v>
      </c>
      <c r="L17" s="4"/>
    </row>
    <row r="18" spans="2:12" ht="21.75" customHeight="1" thickBot="1">
      <c r="B18" s="23"/>
      <c r="C18" s="20"/>
      <c r="D18" s="21">
        <f ca="1">D16+D17</f>
        <v>55</v>
      </c>
      <c r="L1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1104900</xdr:colOff>
                <xdr:row>0</xdr:row>
                <xdr:rowOff>123825</xdr:rowOff>
              </from>
              <to>
                <xdr:col>12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463</v>
      </c>
    </row>
    <row r="2" spans="1:11" ht="20.100000000000001" customHeight="1">
      <c r="A2" s="28" t="s">
        <v>464</v>
      </c>
      <c r="B2" s="28" t="s">
        <v>363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462</v>
      </c>
    </row>
    <row r="3" spans="1:11" ht="20.100000000000001" customHeight="1">
      <c r="A3" s="28" t="s">
        <v>465</v>
      </c>
      <c r="B3" s="28" t="s">
        <v>364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462</v>
      </c>
    </row>
    <row r="4" spans="1:11" ht="20.100000000000001" customHeight="1">
      <c r="A4" s="28" t="s">
        <v>466</v>
      </c>
      <c r="B4" s="28" t="s">
        <v>365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462</v>
      </c>
    </row>
    <row r="5" spans="1:11" ht="20.100000000000001" customHeight="1">
      <c r="A5" s="28" t="s">
        <v>467</v>
      </c>
      <c r="B5" s="28" t="s">
        <v>366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462</v>
      </c>
    </row>
    <row r="6" spans="1:11" ht="20.100000000000001" customHeight="1">
      <c r="A6" s="28" t="s">
        <v>468</v>
      </c>
      <c r="B6" s="28" t="s">
        <v>367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462</v>
      </c>
    </row>
    <row r="7" spans="1:11" ht="20.100000000000001" customHeight="1">
      <c r="A7" s="28" t="s">
        <v>469</v>
      </c>
      <c r="B7" s="28" t="s">
        <v>368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462</v>
      </c>
    </row>
    <row r="8" spans="1:11" ht="20.100000000000001" customHeight="1">
      <c r="A8" s="28" t="s">
        <v>470</v>
      </c>
      <c r="B8" s="28" t="s">
        <v>369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462</v>
      </c>
    </row>
    <row r="9" spans="1:11" ht="20.100000000000001" customHeight="1">
      <c r="A9" s="28" t="s">
        <v>471</v>
      </c>
      <c r="B9" s="28" t="s">
        <v>370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462</v>
      </c>
    </row>
    <row r="10" spans="1:11" ht="20.100000000000001" customHeight="1">
      <c r="A10" s="28" t="s">
        <v>472</v>
      </c>
      <c r="B10" s="28" t="s">
        <v>371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372</v>
      </c>
      <c r="J10" s="28">
        <v>8.49</v>
      </c>
      <c r="K10" s="28" t="s">
        <v>462</v>
      </c>
    </row>
    <row r="11" spans="1:11" ht="20.100000000000001" customHeight="1">
      <c r="A11" s="28" t="s">
        <v>473</v>
      </c>
      <c r="B11" s="28" t="s">
        <v>373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462</v>
      </c>
    </row>
    <row r="12" spans="1:11" ht="20.100000000000001" customHeight="1">
      <c r="A12" s="28" t="s">
        <v>474</v>
      </c>
      <c r="B12" s="28" t="s">
        <v>374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462</v>
      </c>
    </row>
    <row r="13" spans="1:11" ht="20.100000000000001" customHeight="1">
      <c r="A13" s="28" t="s">
        <v>475</v>
      </c>
      <c r="B13" s="28" t="s">
        <v>375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462</v>
      </c>
    </row>
    <row r="14" spans="1:11" ht="20.100000000000001" customHeight="1">
      <c r="A14" s="28" t="s">
        <v>476</v>
      </c>
      <c r="B14" s="28" t="s">
        <v>376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462</v>
      </c>
    </row>
    <row r="15" spans="1:11" ht="20.100000000000001" customHeight="1">
      <c r="A15" s="28" t="s">
        <v>477</v>
      </c>
      <c r="B15" s="28" t="s">
        <v>377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462</v>
      </c>
    </row>
    <row r="16" spans="1:11" ht="20.100000000000001" customHeight="1">
      <c r="A16" s="28" t="s">
        <v>478</v>
      </c>
      <c r="B16" s="28" t="s">
        <v>378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462</v>
      </c>
    </row>
    <row r="17" spans="1:11" ht="20.100000000000001" customHeight="1">
      <c r="A17" s="28" t="s">
        <v>479</v>
      </c>
      <c r="B17" s="28" t="s">
        <v>379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462</v>
      </c>
    </row>
    <row r="18" spans="1:11" ht="20.100000000000001" customHeight="1">
      <c r="A18" s="28" t="s">
        <v>480</v>
      </c>
      <c r="B18" s="28" t="s">
        <v>380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462</v>
      </c>
    </row>
    <row r="19" spans="1:11" ht="20.100000000000001" customHeight="1">
      <c r="A19" s="28" t="s">
        <v>481</v>
      </c>
      <c r="B19" s="28" t="s">
        <v>381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462</v>
      </c>
    </row>
    <row r="20" spans="1:11" ht="20.100000000000001" customHeight="1">
      <c r="A20" s="28" t="s">
        <v>482</v>
      </c>
      <c r="B20" s="28" t="s">
        <v>382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462</v>
      </c>
    </row>
    <row r="21" spans="1:11" ht="20.100000000000001" customHeight="1">
      <c r="A21" s="28" t="s">
        <v>483</v>
      </c>
      <c r="B21" s="28" t="s">
        <v>383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462</v>
      </c>
    </row>
    <row r="22" spans="1:11" ht="20.100000000000001" customHeight="1">
      <c r="A22" s="28" t="s">
        <v>484</v>
      </c>
      <c r="B22" s="28" t="s">
        <v>384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462</v>
      </c>
    </row>
    <row r="23" spans="1:11" ht="20.100000000000001" customHeight="1">
      <c r="A23" s="28" t="s">
        <v>485</v>
      </c>
      <c r="B23" s="28" t="s">
        <v>385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462</v>
      </c>
    </row>
    <row r="24" spans="1:11" ht="20.100000000000001" customHeight="1">
      <c r="A24" s="28" t="s">
        <v>486</v>
      </c>
      <c r="B24" s="28" t="s">
        <v>386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462</v>
      </c>
    </row>
    <row r="25" spans="1:11" ht="20.100000000000001" customHeight="1">
      <c r="A25" s="28" t="s">
        <v>487</v>
      </c>
      <c r="B25" s="28" t="s">
        <v>387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462</v>
      </c>
    </row>
    <row r="26" spans="1:11" ht="20.100000000000001" customHeight="1">
      <c r="A26" s="28" t="s">
        <v>488</v>
      </c>
      <c r="B26" s="28" t="s">
        <v>388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462</v>
      </c>
    </row>
    <row r="27" spans="1:11" ht="20.100000000000001" customHeight="1">
      <c r="A27" s="28" t="s">
        <v>489</v>
      </c>
      <c r="B27" s="28" t="s">
        <v>389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462</v>
      </c>
    </row>
    <row r="28" spans="1:11" ht="20.100000000000001" customHeight="1">
      <c r="A28" s="28" t="s">
        <v>490</v>
      </c>
      <c r="B28" s="28" t="s">
        <v>390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462</v>
      </c>
    </row>
    <row r="29" spans="1:11" ht="20.100000000000001" customHeight="1">
      <c r="A29" s="28" t="s">
        <v>491</v>
      </c>
      <c r="B29" s="28" t="s">
        <v>391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462</v>
      </c>
    </row>
    <row r="30" spans="1:11" ht="20.100000000000001" customHeight="1">
      <c r="A30" s="28" t="s">
        <v>492</v>
      </c>
      <c r="B30" s="28" t="s">
        <v>392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462</v>
      </c>
    </row>
    <row r="31" spans="1:11" ht="20.100000000000001" customHeight="1">
      <c r="A31" s="28" t="s">
        <v>493</v>
      </c>
      <c r="B31" s="28" t="s">
        <v>393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462</v>
      </c>
    </row>
    <row r="32" spans="1:11" ht="20.100000000000001" customHeight="1">
      <c r="A32" s="28" t="s">
        <v>494</v>
      </c>
      <c r="B32" s="28" t="s">
        <v>394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462</v>
      </c>
    </row>
    <row r="33" spans="1:11" ht="20.100000000000001" customHeight="1">
      <c r="A33" s="28" t="s">
        <v>495</v>
      </c>
      <c r="B33" s="28" t="s">
        <v>395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462</v>
      </c>
    </row>
    <row r="34" spans="1:11" ht="20.100000000000001" customHeight="1">
      <c r="A34" s="28" t="s">
        <v>496</v>
      </c>
      <c r="B34" s="28" t="s">
        <v>396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462</v>
      </c>
    </row>
    <row r="35" spans="1:11" ht="20.100000000000001" customHeight="1">
      <c r="A35" s="28" t="s">
        <v>497</v>
      </c>
      <c r="B35" s="28" t="s">
        <v>397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462</v>
      </c>
    </row>
    <row r="36" spans="1:11" ht="20.100000000000001" customHeight="1">
      <c r="A36" s="28" t="s">
        <v>498</v>
      </c>
      <c r="B36" s="28" t="s">
        <v>398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462</v>
      </c>
    </row>
    <row r="37" spans="1:11" ht="20.100000000000001" customHeight="1">
      <c r="A37" s="28" t="s">
        <v>499</v>
      </c>
      <c r="B37" s="28" t="s">
        <v>399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462</v>
      </c>
    </row>
    <row r="38" spans="1:11" ht="20.100000000000001" customHeight="1">
      <c r="A38" s="28" t="s">
        <v>500</v>
      </c>
      <c r="B38" s="28" t="s">
        <v>400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462</v>
      </c>
    </row>
    <row r="39" spans="1:11" ht="20.100000000000001" customHeight="1">
      <c r="A39" s="28" t="s">
        <v>501</v>
      </c>
      <c r="B39" s="28" t="s">
        <v>401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462</v>
      </c>
    </row>
    <row r="40" spans="1:11" ht="20.100000000000001" customHeight="1">
      <c r="A40" s="28" t="s">
        <v>502</v>
      </c>
      <c r="B40" s="28" t="s">
        <v>402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462</v>
      </c>
    </row>
    <row r="41" spans="1:11" ht="20.100000000000001" customHeight="1">
      <c r="A41" s="28" t="s">
        <v>503</v>
      </c>
      <c r="B41" s="28" t="s">
        <v>403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462</v>
      </c>
    </row>
    <row r="42" spans="1:11" ht="20.100000000000001" customHeight="1">
      <c r="A42" s="28" t="s">
        <v>504</v>
      </c>
      <c r="B42" s="28" t="s">
        <v>404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462</v>
      </c>
    </row>
    <row r="43" spans="1:11" ht="20.100000000000001" customHeight="1">
      <c r="A43" s="28" t="s">
        <v>505</v>
      </c>
      <c r="B43" s="28" t="s">
        <v>405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462</v>
      </c>
    </row>
    <row r="44" spans="1:11" ht="20.100000000000001" customHeight="1">
      <c r="A44" s="28" t="s">
        <v>506</v>
      </c>
      <c r="B44" s="28" t="s">
        <v>406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462</v>
      </c>
    </row>
    <row r="45" spans="1:11" ht="20.100000000000001" customHeight="1">
      <c r="A45" s="28" t="s">
        <v>507</v>
      </c>
      <c r="B45" s="28" t="s">
        <v>407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462</v>
      </c>
    </row>
    <row r="46" spans="1:11" ht="20.100000000000001" customHeight="1">
      <c r="A46" s="28" t="s">
        <v>508</v>
      </c>
      <c r="B46" s="28" t="s">
        <v>408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462</v>
      </c>
    </row>
    <row r="47" spans="1:11" ht="20.100000000000001" customHeight="1">
      <c r="A47" s="28" t="s">
        <v>509</v>
      </c>
      <c r="B47" s="28" t="s">
        <v>409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372</v>
      </c>
      <c r="J47" s="28">
        <v>8.49</v>
      </c>
      <c r="K47" s="28" t="s">
        <v>462</v>
      </c>
    </row>
    <row r="48" spans="1:11" ht="20.100000000000001" customHeight="1">
      <c r="A48" s="28" t="s">
        <v>510</v>
      </c>
      <c r="B48" s="28" t="s">
        <v>410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462</v>
      </c>
    </row>
    <row r="49" spans="1:11" ht="20.100000000000001" customHeight="1">
      <c r="A49" s="28" t="s">
        <v>511</v>
      </c>
      <c r="B49" s="28" t="s">
        <v>411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462</v>
      </c>
    </row>
    <row r="50" spans="1:11" ht="20.100000000000001" customHeight="1">
      <c r="A50" s="28" t="s">
        <v>512</v>
      </c>
      <c r="B50" s="28" t="s">
        <v>412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462</v>
      </c>
    </row>
    <row r="51" spans="1:11" ht="20.100000000000001" customHeight="1">
      <c r="A51" s="28" t="s">
        <v>513</v>
      </c>
      <c r="B51" s="28" t="s">
        <v>413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462</v>
      </c>
    </row>
    <row r="52" spans="1:11" ht="20.100000000000001" customHeight="1">
      <c r="A52" s="28" t="s">
        <v>514</v>
      </c>
      <c r="B52" s="28" t="s">
        <v>414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462</v>
      </c>
    </row>
    <row r="53" spans="1:11" ht="20.100000000000001" customHeight="1">
      <c r="A53" s="28" t="s">
        <v>515</v>
      </c>
      <c r="B53" s="28" t="s">
        <v>415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462</v>
      </c>
    </row>
    <row r="54" spans="1:11" ht="20.100000000000001" customHeight="1">
      <c r="A54" s="28" t="s">
        <v>516</v>
      </c>
      <c r="B54" s="28" t="s">
        <v>416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462</v>
      </c>
    </row>
    <row r="55" spans="1:11" ht="20.100000000000001" customHeight="1">
      <c r="A55" s="28" t="s">
        <v>517</v>
      </c>
      <c r="B55" s="28" t="s">
        <v>417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462</v>
      </c>
    </row>
    <row r="56" spans="1:11" ht="20.100000000000001" customHeight="1">
      <c r="A56" s="28" t="s">
        <v>518</v>
      </c>
      <c r="B56" s="28" t="s">
        <v>418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462</v>
      </c>
    </row>
    <row r="57" spans="1:11" ht="20.100000000000001" customHeight="1">
      <c r="A57" s="28" t="s">
        <v>519</v>
      </c>
      <c r="B57" s="28" t="s">
        <v>419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462</v>
      </c>
    </row>
    <row r="58" spans="1:11" ht="20.100000000000001" customHeight="1">
      <c r="A58" s="28" t="s">
        <v>520</v>
      </c>
      <c r="B58" s="28" t="s">
        <v>420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462</v>
      </c>
    </row>
    <row r="59" spans="1:11" ht="20.100000000000001" customHeight="1">
      <c r="A59" s="28" t="s">
        <v>521</v>
      </c>
      <c r="B59" s="28" t="s">
        <v>421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462</v>
      </c>
    </row>
    <row r="60" spans="1:11" ht="20.100000000000001" customHeight="1">
      <c r="A60" s="28" t="s">
        <v>522</v>
      </c>
      <c r="B60" s="28" t="s">
        <v>422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462</v>
      </c>
    </row>
    <row r="61" spans="1:11" ht="20.100000000000001" customHeight="1">
      <c r="A61" s="28" t="s">
        <v>523</v>
      </c>
      <c r="B61" s="28" t="s">
        <v>423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462</v>
      </c>
    </row>
    <row r="62" spans="1:11" ht="20.100000000000001" customHeight="1">
      <c r="A62" s="28" t="s">
        <v>524</v>
      </c>
      <c r="B62" s="28" t="s">
        <v>424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362</v>
      </c>
      <c r="J62" s="28">
        <v>4.01</v>
      </c>
      <c r="K62" s="28" t="s">
        <v>462</v>
      </c>
    </row>
    <row r="63" spans="1:11" ht="20.100000000000001" customHeight="1">
      <c r="A63" s="28" t="s">
        <v>525</v>
      </c>
      <c r="B63" s="28" t="s">
        <v>425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462</v>
      </c>
    </row>
    <row r="64" spans="1:11" ht="20.100000000000001" customHeight="1">
      <c r="A64" s="28" t="s">
        <v>526</v>
      </c>
      <c r="B64" s="28" t="s">
        <v>426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462</v>
      </c>
    </row>
    <row r="65" spans="1:11" ht="20.100000000000001" customHeight="1">
      <c r="A65" s="28" t="s">
        <v>527</v>
      </c>
      <c r="B65" s="28" t="s">
        <v>427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462</v>
      </c>
    </row>
    <row r="66" spans="1:11" ht="20.100000000000001" customHeight="1">
      <c r="A66" s="28" t="s">
        <v>528</v>
      </c>
      <c r="B66" s="28" t="s">
        <v>428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462</v>
      </c>
    </row>
    <row r="67" spans="1:11" ht="20.100000000000001" customHeight="1">
      <c r="A67" s="28" t="s">
        <v>529</v>
      </c>
      <c r="B67" s="28" t="s">
        <v>429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462</v>
      </c>
    </row>
    <row r="68" spans="1:11" ht="20.100000000000001" customHeight="1">
      <c r="A68" s="28" t="s">
        <v>530</v>
      </c>
      <c r="B68" s="28" t="s">
        <v>430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462</v>
      </c>
    </row>
    <row r="69" spans="1:11" ht="20.100000000000001" customHeight="1">
      <c r="A69" s="28" t="s">
        <v>531</v>
      </c>
      <c r="B69" s="28" t="s">
        <v>431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462</v>
      </c>
    </row>
    <row r="70" spans="1:11" ht="20.100000000000001" customHeight="1">
      <c r="A70" s="28" t="s">
        <v>532</v>
      </c>
      <c r="B70" s="28" t="s">
        <v>432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462</v>
      </c>
    </row>
    <row r="71" spans="1:11" ht="20.100000000000001" customHeight="1">
      <c r="A71" s="28" t="s">
        <v>533</v>
      </c>
      <c r="B71" s="28" t="s">
        <v>433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462</v>
      </c>
    </row>
    <row r="72" spans="1:11" ht="20.100000000000001" customHeight="1">
      <c r="A72" s="28" t="s">
        <v>534</v>
      </c>
      <c r="B72" s="28" t="s">
        <v>434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462</v>
      </c>
    </row>
    <row r="73" spans="1:11" ht="20.100000000000001" customHeight="1">
      <c r="A73" s="28" t="s">
        <v>335</v>
      </c>
      <c r="B73" s="28" t="s">
        <v>435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462</v>
      </c>
    </row>
    <row r="74" spans="1:11" ht="20.100000000000001" customHeight="1">
      <c r="A74" s="28" t="s">
        <v>336</v>
      </c>
      <c r="B74" s="28" t="s">
        <v>436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462</v>
      </c>
    </row>
    <row r="75" spans="1:11" ht="20.100000000000001" customHeight="1">
      <c r="A75" s="28" t="s">
        <v>337</v>
      </c>
      <c r="B75" s="28" t="s">
        <v>437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462</v>
      </c>
    </row>
    <row r="76" spans="1:11" ht="20.100000000000001" customHeight="1">
      <c r="A76" s="28" t="s">
        <v>338</v>
      </c>
      <c r="B76" s="28" t="s">
        <v>438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462</v>
      </c>
    </row>
    <row r="77" spans="1:11" ht="20.100000000000001" customHeight="1">
      <c r="A77" s="28" t="s">
        <v>339</v>
      </c>
      <c r="B77" s="28" t="s">
        <v>439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462</v>
      </c>
    </row>
    <row r="78" spans="1:11" ht="20.100000000000001" customHeight="1">
      <c r="A78" s="28" t="s">
        <v>340</v>
      </c>
      <c r="B78" s="28" t="s">
        <v>440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462</v>
      </c>
    </row>
    <row r="79" spans="1:11" ht="20.100000000000001" customHeight="1">
      <c r="A79" s="28" t="s">
        <v>341</v>
      </c>
      <c r="B79" s="28" t="s">
        <v>441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462</v>
      </c>
    </row>
    <row r="80" spans="1:11" ht="20.100000000000001" customHeight="1">
      <c r="A80" s="28" t="s">
        <v>342</v>
      </c>
      <c r="B80" s="28" t="s">
        <v>442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462</v>
      </c>
    </row>
    <row r="81" spans="1:11" ht="20.100000000000001" customHeight="1">
      <c r="A81" s="28" t="s">
        <v>343</v>
      </c>
      <c r="B81" s="28" t="s">
        <v>443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462</v>
      </c>
    </row>
    <row r="82" spans="1:11" ht="20.100000000000001" customHeight="1">
      <c r="A82" s="28" t="s">
        <v>344</v>
      </c>
      <c r="B82" s="28" t="s">
        <v>444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462</v>
      </c>
    </row>
    <row r="83" spans="1:11" ht="20.100000000000001" customHeight="1">
      <c r="A83" s="28" t="s">
        <v>345</v>
      </c>
      <c r="B83" s="28" t="s">
        <v>445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462</v>
      </c>
    </row>
    <row r="84" spans="1:11" ht="20.100000000000001" customHeight="1">
      <c r="A84" s="28" t="s">
        <v>346</v>
      </c>
      <c r="B84" s="28" t="s">
        <v>446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462</v>
      </c>
    </row>
    <row r="85" spans="1:11" ht="20.100000000000001" customHeight="1">
      <c r="A85" s="28" t="s">
        <v>347</v>
      </c>
      <c r="B85" s="28" t="s">
        <v>447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462</v>
      </c>
    </row>
    <row r="86" spans="1:11" ht="20.100000000000001" customHeight="1">
      <c r="A86" s="28" t="s">
        <v>348</v>
      </c>
      <c r="B86" s="28" t="s">
        <v>448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462</v>
      </c>
    </row>
    <row r="87" spans="1:11" ht="20.100000000000001" customHeight="1">
      <c r="A87" s="28" t="s">
        <v>349</v>
      </c>
      <c r="B87" s="28" t="s">
        <v>449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462</v>
      </c>
    </row>
    <row r="88" spans="1:11" ht="20.100000000000001" customHeight="1">
      <c r="A88" s="28" t="s">
        <v>350</v>
      </c>
      <c r="B88" s="28" t="s">
        <v>450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462</v>
      </c>
    </row>
    <row r="89" spans="1:11" ht="20.100000000000001" customHeight="1">
      <c r="A89" s="28" t="s">
        <v>351</v>
      </c>
      <c r="B89" s="28" t="s">
        <v>451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462</v>
      </c>
    </row>
    <row r="90" spans="1:11" ht="20.100000000000001" customHeight="1">
      <c r="A90" s="28" t="s">
        <v>352</v>
      </c>
      <c r="B90" s="28" t="s">
        <v>452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462</v>
      </c>
    </row>
    <row r="91" spans="1:11" ht="20.100000000000001" customHeight="1">
      <c r="A91" s="28" t="s">
        <v>353</v>
      </c>
      <c r="B91" s="28" t="s">
        <v>453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462</v>
      </c>
    </row>
    <row r="92" spans="1:11" ht="20.100000000000001" customHeight="1">
      <c r="A92" s="28" t="s">
        <v>354</v>
      </c>
      <c r="B92" s="28" t="s">
        <v>454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462</v>
      </c>
    </row>
    <row r="93" spans="1:11" ht="20.100000000000001" customHeight="1">
      <c r="A93" s="28" t="s">
        <v>355</v>
      </c>
      <c r="B93" s="28" t="s">
        <v>455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462</v>
      </c>
    </row>
    <row r="94" spans="1:11" ht="20.100000000000001" customHeight="1">
      <c r="A94" s="28" t="s">
        <v>356</v>
      </c>
      <c r="B94" s="28" t="s">
        <v>456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462</v>
      </c>
    </row>
    <row r="95" spans="1:11" ht="20.100000000000001" customHeight="1">
      <c r="A95" s="28" t="s">
        <v>357</v>
      </c>
      <c r="B95" s="28" t="s">
        <v>457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462</v>
      </c>
    </row>
    <row r="96" spans="1:11" ht="20.100000000000001" customHeight="1">
      <c r="A96" s="28" t="s">
        <v>358</v>
      </c>
      <c r="B96" s="28" t="s">
        <v>458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462</v>
      </c>
    </row>
    <row r="97" spans="1:11" ht="20.100000000000001" customHeight="1">
      <c r="A97" s="28" t="s">
        <v>359</v>
      </c>
      <c r="B97" s="28" t="s">
        <v>459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462</v>
      </c>
    </row>
    <row r="98" spans="1:11" ht="20.100000000000001" customHeight="1">
      <c r="A98" s="28" t="s">
        <v>360</v>
      </c>
      <c r="B98" s="28" t="s">
        <v>460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462</v>
      </c>
    </row>
    <row r="99" spans="1:11" ht="20.100000000000001" customHeight="1">
      <c r="A99" s="28" t="s">
        <v>361</v>
      </c>
      <c r="B99" s="28" t="s">
        <v>461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536</v>
      </c>
      <c r="B2" s="28" t="s">
        <v>265</v>
      </c>
      <c r="C2" s="28" t="s">
        <v>535</v>
      </c>
      <c r="D2" s="28" t="s">
        <v>265</v>
      </c>
      <c r="E2" s="28" t="s">
        <v>537</v>
      </c>
      <c r="F2" s="28" t="s">
        <v>535</v>
      </c>
      <c r="G2" s="28" t="s">
        <v>265</v>
      </c>
      <c r="H2" s="28" t="s">
        <v>535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535</v>
      </c>
      <c r="AD2" s="28" t="s">
        <v>535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535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535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535</v>
      </c>
      <c r="AX2" s="28" t="s">
        <v>265</v>
      </c>
      <c r="AY2" s="28" t="s">
        <v>535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536</v>
      </c>
      <c r="B3" s="28" t="s">
        <v>265</v>
      </c>
      <c r="C3" s="28" t="s">
        <v>535</v>
      </c>
      <c r="D3" s="28" t="s">
        <v>265</v>
      </c>
      <c r="E3" s="28" t="s">
        <v>538</v>
      </c>
      <c r="F3" s="28" t="s">
        <v>535</v>
      </c>
      <c r="G3" s="28" t="s">
        <v>265</v>
      </c>
      <c r="H3" s="28" t="s">
        <v>535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535</v>
      </c>
      <c r="AD3" s="28" t="s">
        <v>535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535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535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535</v>
      </c>
      <c r="AX3" s="28" t="s">
        <v>265</v>
      </c>
      <c r="AY3" s="28" t="s">
        <v>535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536</v>
      </c>
      <c r="B4" s="28" t="s">
        <v>265</v>
      </c>
      <c r="C4" s="28" t="s">
        <v>535</v>
      </c>
      <c r="D4" s="28" t="s">
        <v>265</v>
      </c>
      <c r="E4" s="28" t="s">
        <v>539</v>
      </c>
      <c r="F4" s="28" t="s">
        <v>535</v>
      </c>
      <c r="G4" s="28" t="s">
        <v>265</v>
      </c>
      <c r="H4" s="28" t="s">
        <v>535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535</v>
      </c>
      <c r="AD4" s="28" t="s">
        <v>535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535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535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535</v>
      </c>
      <c r="AX4" s="28" t="s">
        <v>265</v>
      </c>
      <c r="AY4" s="28" t="s">
        <v>535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536</v>
      </c>
      <c r="B5" s="28" t="s">
        <v>265</v>
      </c>
      <c r="C5" s="28" t="s">
        <v>535</v>
      </c>
      <c r="D5" s="28" t="s">
        <v>265</v>
      </c>
      <c r="E5" s="28" t="s">
        <v>540</v>
      </c>
      <c r="F5" s="28" t="s">
        <v>535</v>
      </c>
      <c r="G5" s="28" t="s">
        <v>265</v>
      </c>
      <c r="H5" s="28" t="s">
        <v>535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535</v>
      </c>
      <c r="AD5" s="28" t="s">
        <v>535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535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535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535</v>
      </c>
      <c r="AX5" s="28" t="s">
        <v>265</v>
      </c>
      <c r="AY5" s="28" t="s">
        <v>535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536</v>
      </c>
      <c r="B6" s="28" t="s">
        <v>265</v>
      </c>
      <c r="C6" s="28" t="s">
        <v>535</v>
      </c>
      <c r="D6" s="28" t="s">
        <v>265</v>
      </c>
      <c r="E6" s="28" t="s">
        <v>541</v>
      </c>
      <c r="F6" s="28" t="s">
        <v>535</v>
      </c>
      <c r="G6" s="28" t="s">
        <v>265</v>
      </c>
      <c r="H6" s="28" t="s">
        <v>535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535</v>
      </c>
      <c r="AD6" s="28" t="s">
        <v>535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535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535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535</v>
      </c>
      <c r="AX6" s="28" t="s">
        <v>265</v>
      </c>
      <c r="AY6" s="28" t="s">
        <v>535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536</v>
      </c>
      <c r="B7" s="28" t="s">
        <v>265</v>
      </c>
      <c r="C7" s="28" t="s">
        <v>535</v>
      </c>
      <c r="D7" s="28" t="s">
        <v>265</v>
      </c>
      <c r="E7" s="28" t="s">
        <v>542</v>
      </c>
      <c r="F7" s="28" t="s">
        <v>535</v>
      </c>
      <c r="G7" s="28" t="s">
        <v>265</v>
      </c>
      <c r="H7" s="28" t="s">
        <v>535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535</v>
      </c>
      <c r="AD7" s="28" t="s">
        <v>535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535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535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535</v>
      </c>
      <c r="AX7" s="28" t="s">
        <v>265</v>
      </c>
      <c r="AY7" s="28" t="s">
        <v>535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536</v>
      </c>
      <c r="B8" s="28" t="s">
        <v>265</v>
      </c>
      <c r="C8" s="28" t="s">
        <v>535</v>
      </c>
      <c r="D8" s="28" t="s">
        <v>265</v>
      </c>
      <c r="E8" s="28" t="s">
        <v>543</v>
      </c>
      <c r="F8" s="28" t="s">
        <v>535</v>
      </c>
      <c r="G8" s="28" t="s">
        <v>265</v>
      </c>
      <c r="H8" s="28" t="s">
        <v>535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535</v>
      </c>
      <c r="AD8" s="28" t="s">
        <v>535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535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535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535</v>
      </c>
      <c r="AX8" s="28" t="s">
        <v>265</v>
      </c>
      <c r="AY8" s="28" t="s">
        <v>535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536</v>
      </c>
      <c r="B9" s="28" t="s">
        <v>265</v>
      </c>
      <c r="C9" s="28" t="s">
        <v>535</v>
      </c>
      <c r="D9" s="28" t="s">
        <v>265</v>
      </c>
      <c r="E9" s="28" t="s">
        <v>544</v>
      </c>
      <c r="F9" s="28" t="s">
        <v>535</v>
      </c>
      <c r="G9" s="28" t="s">
        <v>265</v>
      </c>
      <c r="H9" s="28" t="s">
        <v>535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535</v>
      </c>
      <c r="AD9" s="28" t="s">
        <v>535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535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535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535</v>
      </c>
      <c r="AX9" s="28" t="s">
        <v>265</v>
      </c>
      <c r="AY9" s="28" t="s">
        <v>535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536</v>
      </c>
      <c r="B10" s="28" t="s">
        <v>265</v>
      </c>
      <c r="C10" s="28" t="s">
        <v>535</v>
      </c>
      <c r="D10" s="28" t="s">
        <v>265</v>
      </c>
      <c r="E10" s="28" t="s">
        <v>545</v>
      </c>
      <c r="F10" s="28" t="s">
        <v>535</v>
      </c>
      <c r="G10" s="28" t="s">
        <v>265</v>
      </c>
      <c r="H10" s="28" t="s">
        <v>265</v>
      </c>
      <c r="I10" s="28" t="s">
        <v>535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535</v>
      </c>
      <c r="AC10" s="28" t="s">
        <v>265</v>
      </c>
      <c r="AD10" s="28" t="s">
        <v>535</v>
      </c>
      <c r="AE10" s="28">
        <v>1</v>
      </c>
      <c r="AF10" s="28">
        <v>12</v>
      </c>
      <c r="AG10" s="28">
        <v>365</v>
      </c>
      <c r="AH10" s="28" t="s">
        <v>535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535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535</v>
      </c>
      <c r="AX10" s="28" t="s">
        <v>265</v>
      </c>
      <c r="AY10" s="28" t="s">
        <v>535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536</v>
      </c>
      <c r="B11" s="28" t="s">
        <v>265</v>
      </c>
      <c r="C11" s="28" t="s">
        <v>535</v>
      </c>
      <c r="D11" s="28" t="s">
        <v>265</v>
      </c>
      <c r="E11" s="28" t="s">
        <v>546</v>
      </c>
      <c r="F11" s="28" t="s">
        <v>535</v>
      </c>
      <c r="G11" s="28" t="s">
        <v>265</v>
      </c>
      <c r="H11" s="28" t="s">
        <v>535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535</v>
      </c>
      <c r="AD11" s="28" t="s">
        <v>535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535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535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535</v>
      </c>
      <c r="AX11" s="28" t="s">
        <v>265</v>
      </c>
      <c r="AY11" s="28" t="s">
        <v>535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536</v>
      </c>
      <c r="B12" s="28" t="s">
        <v>265</v>
      </c>
      <c r="C12" s="28" t="s">
        <v>535</v>
      </c>
      <c r="D12" s="28" t="s">
        <v>265</v>
      </c>
      <c r="E12" s="28" t="s">
        <v>547</v>
      </c>
      <c r="F12" s="28" t="s">
        <v>535</v>
      </c>
      <c r="G12" s="28" t="s">
        <v>265</v>
      </c>
      <c r="H12" s="28" t="s">
        <v>535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535</v>
      </c>
      <c r="AD12" s="28" t="s">
        <v>535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535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535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535</v>
      </c>
      <c r="AX12" s="28" t="s">
        <v>265</v>
      </c>
      <c r="AY12" s="28" t="s">
        <v>535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536</v>
      </c>
      <c r="B13" s="28" t="s">
        <v>265</v>
      </c>
      <c r="C13" s="28" t="s">
        <v>535</v>
      </c>
      <c r="D13" s="28" t="s">
        <v>265</v>
      </c>
      <c r="E13" s="28" t="s">
        <v>548</v>
      </c>
      <c r="F13" s="28" t="s">
        <v>535</v>
      </c>
      <c r="G13" s="28" t="s">
        <v>265</v>
      </c>
      <c r="H13" s="28" t="s">
        <v>535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535</v>
      </c>
      <c r="AD13" s="28" t="s">
        <v>535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535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535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535</v>
      </c>
      <c r="AX13" s="28" t="s">
        <v>265</v>
      </c>
      <c r="AY13" s="28" t="s">
        <v>535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536</v>
      </c>
      <c r="B14" s="28" t="s">
        <v>535</v>
      </c>
      <c r="C14" s="28" t="s">
        <v>265</v>
      </c>
      <c r="D14" s="28" t="s">
        <v>265</v>
      </c>
      <c r="E14" s="28" t="s">
        <v>549</v>
      </c>
      <c r="F14" s="28" t="s">
        <v>535</v>
      </c>
      <c r="G14" s="28" t="s">
        <v>265</v>
      </c>
      <c r="H14" s="28" t="s">
        <v>535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535</v>
      </c>
      <c r="AD14" s="28" t="s">
        <v>535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535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535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535</v>
      </c>
      <c r="AX14" s="28" t="s">
        <v>535</v>
      </c>
      <c r="AY14" s="28" t="s">
        <v>535</v>
      </c>
      <c r="AZ14" s="28" t="s">
        <v>535</v>
      </c>
      <c r="BA14" s="28" t="s">
        <v>535</v>
      </c>
      <c r="BB14" s="28" t="s">
        <v>265</v>
      </c>
    </row>
    <row r="15" spans="1:54" ht="20.100000000000001" customHeight="1">
      <c r="A15" s="28" t="s">
        <v>536</v>
      </c>
      <c r="B15" s="28" t="s">
        <v>535</v>
      </c>
      <c r="C15" s="28" t="s">
        <v>265</v>
      </c>
      <c r="D15" s="28" t="s">
        <v>265</v>
      </c>
      <c r="E15" s="28" t="s">
        <v>550</v>
      </c>
      <c r="F15" s="28" t="s">
        <v>535</v>
      </c>
      <c r="G15" s="28" t="s">
        <v>265</v>
      </c>
      <c r="H15" s="28" t="s">
        <v>535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535</v>
      </c>
      <c r="AD15" s="28" t="s">
        <v>535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535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535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535</v>
      </c>
      <c r="AX15" s="28" t="s">
        <v>535</v>
      </c>
      <c r="AY15" s="28" t="s">
        <v>535</v>
      </c>
      <c r="AZ15" s="28" t="s">
        <v>535</v>
      </c>
      <c r="BA15" s="28" t="s">
        <v>535</v>
      </c>
      <c r="BB15" s="28" t="s">
        <v>265</v>
      </c>
    </row>
    <row r="16" spans="1:54" ht="20.100000000000001" customHeight="1">
      <c r="A16" s="28" t="s">
        <v>536</v>
      </c>
      <c r="B16" s="28" t="s">
        <v>535</v>
      </c>
      <c r="C16" s="28" t="s">
        <v>265</v>
      </c>
      <c r="D16" s="28" t="s">
        <v>265</v>
      </c>
      <c r="E16" s="28" t="s">
        <v>551</v>
      </c>
      <c r="F16" s="28" t="s">
        <v>535</v>
      </c>
      <c r="G16" s="28" t="s">
        <v>265</v>
      </c>
      <c r="H16" s="28" t="s">
        <v>535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535</v>
      </c>
      <c r="AD16" s="28" t="s">
        <v>535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535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535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535</v>
      </c>
      <c r="AX16" s="28" t="s">
        <v>535</v>
      </c>
      <c r="AY16" s="28" t="s">
        <v>535</v>
      </c>
      <c r="AZ16" s="28" t="s">
        <v>535</v>
      </c>
      <c r="BA16" s="28" t="s">
        <v>535</v>
      </c>
      <c r="BB16" s="28" t="s">
        <v>265</v>
      </c>
    </row>
    <row r="17" spans="1:54" ht="20.100000000000001" customHeight="1">
      <c r="A17" s="28" t="s">
        <v>536</v>
      </c>
      <c r="B17" s="28" t="s">
        <v>265</v>
      </c>
      <c r="C17" s="28" t="s">
        <v>535</v>
      </c>
      <c r="D17" s="28" t="s">
        <v>265</v>
      </c>
      <c r="E17" s="28" t="s">
        <v>552</v>
      </c>
      <c r="F17" s="28" t="s">
        <v>535</v>
      </c>
      <c r="G17" s="28" t="s">
        <v>265</v>
      </c>
      <c r="H17" s="28" t="s">
        <v>535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535</v>
      </c>
      <c r="AD17" s="28" t="s">
        <v>535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535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535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535</v>
      </c>
      <c r="AX17" s="28" t="s">
        <v>265</v>
      </c>
      <c r="AY17" s="28" t="s">
        <v>535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536</v>
      </c>
      <c r="B18" s="28" t="s">
        <v>265</v>
      </c>
      <c r="C18" s="28" t="s">
        <v>535</v>
      </c>
      <c r="D18" s="28" t="s">
        <v>265</v>
      </c>
      <c r="E18" s="28" t="s">
        <v>553</v>
      </c>
      <c r="F18" s="28" t="s">
        <v>535</v>
      </c>
      <c r="G18" s="28" t="s">
        <v>265</v>
      </c>
      <c r="H18" s="28" t="s">
        <v>535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535</v>
      </c>
      <c r="AD18" s="28" t="s">
        <v>535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535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535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535</v>
      </c>
      <c r="AX18" s="28" t="s">
        <v>265</v>
      </c>
      <c r="AY18" s="28" t="s">
        <v>535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536</v>
      </c>
      <c r="B19" s="28" t="s">
        <v>265</v>
      </c>
      <c r="C19" s="28" t="s">
        <v>535</v>
      </c>
      <c r="D19" s="28" t="s">
        <v>265</v>
      </c>
      <c r="E19" s="28" t="s">
        <v>554</v>
      </c>
      <c r="F19" s="28" t="s">
        <v>535</v>
      </c>
      <c r="G19" s="28" t="s">
        <v>265</v>
      </c>
      <c r="H19" s="28" t="s">
        <v>535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535</v>
      </c>
      <c r="AD19" s="28" t="s">
        <v>535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535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535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535</v>
      </c>
      <c r="AX19" s="28" t="s">
        <v>265</v>
      </c>
      <c r="AY19" s="28" t="s">
        <v>535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536</v>
      </c>
      <c r="B20" s="28" t="s">
        <v>265</v>
      </c>
      <c r="C20" s="28" t="s">
        <v>535</v>
      </c>
      <c r="D20" s="28" t="s">
        <v>265</v>
      </c>
      <c r="E20" s="28" t="s">
        <v>555</v>
      </c>
      <c r="F20" s="28" t="s">
        <v>535</v>
      </c>
      <c r="G20" s="28" t="s">
        <v>265</v>
      </c>
      <c r="H20" s="28" t="s">
        <v>535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535</v>
      </c>
      <c r="AD20" s="28" t="s">
        <v>535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535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535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535</v>
      </c>
      <c r="AX20" s="28" t="s">
        <v>265</v>
      </c>
      <c r="AY20" s="28" t="s">
        <v>535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536</v>
      </c>
      <c r="B21" s="28" t="s">
        <v>265</v>
      </c>
      <c r="C21" s="28" t="s">
        <v>535</v>
      </c>
      <c r="D21" s="28" t="s">
        <v>265</v>
      </c>
      <c r="E21" s="28" t="s">
        <v>556</v>
      </c>
      <c r="F21" s="28" t="s">
        <v>535</v>
      </c>
      <c r="G21" s="28" t="s">
        <v>265</v>
      </c>
      <c r="H21" s="28" t="s">
        <v>535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535</v>
      </c>
      <c r="AD21" s="28" t="s">
        <v>535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535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535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535</v>
      </c>
      <c r="AX21" s="28" t="s">
        <v>265</v>
      </c>
      <c r="AY21" s="28" t="s">
        <v>535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536</v>
      </c>
      <c r="B22" s="28" t="s">
        <v>265</v>
      </c>
      <c r="C22" s="28" t="s">
        <v>535</v>
      </c>
      <c r="D22" s="28" t="s">
        <v>265</v>
      </c>
      <c r="E22" s="28" t="s">
        <v>557</v>
      </c>
      <c r="F22" s="28" t="s">
        <v>535</v>
      </c>
      <c r="G22" s="28" t="s">
        <v>265</v>
      </c>
      <c r="H22" s="28" t="s">
        <v>535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535</v>
      </c>
      <c r="AD22" s="28" t="s">
        <v>535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535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535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535</v>
      </c>
      <c r="AX22" s="28" t="s">
        <v>265</v>
      </c>
      <c r="AY22" s="28" t="s">
        <v>535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536</v>
      </c>
      <c r="B23" s="28" t="s">
        <v>265</v>
      </c>
      <c r="C23" s="28" t="s">
        <v>535</v>
      </c>
      <c r="D23" s="28" t="s">
        <v>265</v>
      </c>
      <c r="E23" s="28" t="s">
        <v>558</v>
      </c>
      <c r="F23" s="28" t="s">
        <v>535</v>
      </c>
      <c r="G23" s="28" t="s">
        <v>265</v>
      </c>
      <c r="H23" s="28" t="s">
        <v>535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535</v>
      </c>
      <c r="AD23" s="28" t="s">
        <v>535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535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535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535</v>
      </c>
      <c r="AX23" s="28" t="s">
        <v>265</v>
      </c>
      <c r="AY23" s="28" t="s">
        <v>535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536</v>
      </c>
      <c r="B24" s="28" t="s">
        <v>265</v>
      </c>
      <c r="C24" s="28" t="s">
        <v>535</v>
      </c>
      <c r="D24" s="28" t="s">
        <v>265</v>
      </c>
      <c r="E24" s="28" t="s">
        <v>559</v>
      </c>
      <c r="F24" s="28" t="s">
        <v>535</v>
      </c>
      <c r="G24" s="28" t="s">
        <v>265</v>
      </c>
      <c r="H24" s="28" t="s">
        <v>535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535</v>
      </c>
      <c r="AD24" s="28" t="s">
        <v>535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535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535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535</v>
      </c>
      <c r="AX24" s="28" t="s">
        <v>265</v>
      </c>
      <c r="AY24" s="28" t="s">
        <v>535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536</v>
      </c>
      <c r="B25" s="28" t="s">
        <v>265</v>
      </c>
      <c r="C25" s="28" t="s">
        <v>535</v>
      </c>
      <c r="D25" s="28" t="s">
        <v>265</v>
      </c>
      <c r="E25" s="28" t="s">
        <v>560</v>
      </c>
      <c r="F25" s="28" t="s">
        <v>535</v>
      </c>
      <c r="G25" s="28" t="s">
        <v>265</v>
      </c>
      <c r="H25" s="28" t="s">
        <v>535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535</v>
      </c>
      <c r="AD25" s="28" t="s">
        <v>535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535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535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535</v>
      </c>
      <c r="AX25" s="28" t="s">
        <v>265</v>
      </c>
      <c r="AY25" s="28" t="s">
        <v>535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536</v>
      </c>
      <c r="B26" s="28" t="s">
        <v>265</v>
      </c>
      <c r="C26" s="28" t="s">
        <v>535</v>
      </c>
      <c r="D26" s="28" t="s">
        <v>265</v>
      </c>
      <c r="E26" s="28" t="s">
        <v>561</v>
      </c>
      <c r="F26" s="28" t="s">
        <v>535</v>
      </c>
      <c r="G26" s="28" t="s">
        <v>265</v>
      </c>
      <c r="H26" s="28" t="s">
        <v>535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535</v>
      </c>
      <c r="AD26" s="28" t="s">
        <v>535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535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535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535</v>
      </c>
      <c r="AX26" s="28" t="s">
        <v>265</v>
      </c>
      <c r="AY26" s="28" t="s">
        <v>535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536</v>
      </c>
      <c r="B27" s="28" t="s">
        <v>265</v>
      </c>
      <c r="C27" s="28" t="s">
        <v>535</v>
      </c>
      <c r="D27" s="28" t="s">
        <v>265</v>
      </c>
      <c r="E27" s="28" t="s">
        <v>562</v>
      </c>
      <c r="F27" s="28" t="s">
        <v>535</v>
      </c>
      <c r="G27" s="28" t="s">
        <v>265</v>
      </c>
      <c r="H27" s="28" t="s">
        <v>535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535</v>
      </c>
      <c r="AD27" s="28" t="s">
        <v>535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535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535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535</v>
      </c>
      <c r="AX27" s="28" t="s">
        <v>265</v>
      </c>
      <c r="AY27" s="28" t="s">
        <v>535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536</v>
      </c>
      <c r="B28" s="28" t="s">
        <v>265</v>
      </c>
      <c r="C28" s="28" t="s">
        <v>535</v>
      </c>
      <c r="D28" s="28" t="s">
        <v>265</v>
      </c>
      <c r="E28" s="28" t="s">
        <v>563</v>
      </c>
      <c r="F28" s="28" t="s">
        <v>535</v>
      </c>
      <c r="G28" s="28" t="s">
        <v>265</v>
      </c>
      <c r="H28" s="28" t="s">
        <v>535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535</v>
      </c>
      <c r="AD28" s="28" t="s">
        <v>535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535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535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535</v>
      </c>
      <c r="AX28" s="28" t="s">
        <v>265</v>
      </c>
      <c r="AY28" s="28" t="s">
        <v>535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536</v>
      </c>
      <c r="B29" s="28" t="s">
        <v>265</v>
      </c>
      <c r="C29" s="28" t="s">
        <v>535</v>
      </c>
      <c r="D29" s="28" t="s">
        <v>265</v>
      </c>
      <c r="E29" s="28" t="s">
        <v>564</v>
      </c>
      <c r="F29" s="28" t="s">
        <v>535</v>
      </c>
      <c r="G29" s="28" t="s">
        <v>265</v>
      </c>
      <c r="H29" s="28" t="s">
        <v>535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535</v>
      </c>
      <c r="AD29" s="28" t="s">
        <v>535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535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535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535</v>
      </c>
      <c r="AX29" s="28" t="s">
        <v>265</v>
      </c>
      <c r="AY29" s="28" t="s">
        <v>535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536</v>
      </c>
      <c r="B30" s="28" t="s">
        <v>265</v>
      </c>
      <c r="C30" s="28" t="s">
        <v>535</v>
      </c>
      <c r="D30" s="28" t="s">
        <v>265</v>
      </c>
      <c r="E30" s="28" t="s">
        <v>565</v>
      </c>
      <c r="F30" s="28" t="s">
        <v>535</v>
      </c>
      <c r="G30" s="28" t="s">
        <v>265</v>
      </c>
      <c r="H30" s="28" t="s">
        <v>535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535</v>
      </c>
      <c r="AD30" s="28" t="s">
        <v>535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535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535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535</v>
      </c>
      <c r="AX30" s="28" t="s">
        <v>265</v>
      </c>
      <c r="AY30" s="28" t="s">
        <v>535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536</v>
      </c>
      <c r="B31" s="28" t="s">
        <v>265</v>
      </c>
      <c r="C31" s="28" t="s">
        <v>535</v>
      </c>
      <c r="D31" s="28" t="s">
        <v>265</v>
      </c>
      <c r="E31" s="28" t="s">
        <v>566</v>
      </c>
      <c r="F31" s="28" t="s">
        <v>535</v>
      </c>
      <c r="G31" s="28" t="s">
        <v>265</v>
      </c>
      <c r="H31" s="28" t="s">
        <v>535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535</v>
      </c>
      <c r="AD31" s="28" t="s">
        <v>535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535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535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535</v>
      </c>
      <c r="AX31" s="28" t="s">
        <v>265</v>
      </c>
      <c r="AY31" s="28" t="s">
        <v>535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536</v>
      </c>
      <c r="B32" s="28" t="s">
        <v>265</v>
      </c>
      <c r="C32" s="28" t="s">
        <v>535</v>
      </c>
      <c r="D32" s="28" t="s">
        <v>265</v>
      </c>
      <c r="E32" s="28" t="s">
        <v>567</v>
      </c>
      <c r="F32" s="28" t="s">
        <v>535</v>
      </c>
      <c r="G32" s="28" t="s">
        <v>265</v>
      </c>
      <c r="H32" s="28" t="s">
        <v>535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535</v>
      </c>
      <c r="AD32" s="28" t="s">
        <v>535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535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535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535</v>
      </c>
      <c r="AX32" s="28" t="s">
        <v>265</v>
      </c>
      <c r="AY32" s="28" t="s">
        <v>535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536</v>
      </c>
      <c r="B33" s="28" t="s">
        <v>265</v>
      </c>
      <c r="C33" s="28" t="s">
        <v>535</v>
      </c>
      <c r="D33" s="28" t="s">
        <v>265</v>
      </c>
      <c r="E33" s="28" t="s">
        <v>568</v>
      </c>
      <c r="F33" s="28" t="s">
        <v>535</v>
      </c>
      <c r="G33" s="28" t="s">
        <v>265</v>
      </c>
      <c r="H33" s="28" t="s">
        <v>535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535</v>
      </c>
      <c r="AD33" s="28" t="s">
        <v>535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535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535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535</v>
      </c>
      <c r="AX33" s="28" t="s">
        <v>265</v>
      </c>
      <c r="AY33" s="28" t="s">
        <v>535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536</v>
      </c>
      <c r="B34" s="28" t="s">
        <v>265</v>
      </c>
      <c r="C34" s="28" t="s">
        <v>535</v>
      </c>
      <c r="D34" s="28" t="s">
        <v>265</v>
      </c>
      <c r="E34" s="28" t="s">
        <v>569</v>
      </c>
      <c r="F34" s="28" t="s">
        <v>535</v>
      </c>
      <c r="G34" s="28" t="s">
        <v>265</v>
      </c>
      <c r="H34" s="28" t="s">
        <v>535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535</v>
      </c>
      <c r="AD34" s="28" t="s">
        <v>535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535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535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535</v>
      </c>
      <c r="AX34" s="28" t="s">
        <v>265</v>
      </c>
      <c r="AY34" s="28" t="s">
        <v>535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536</v>
      </c>
      <c r="B35" s="28" t="s">
        <v>265</v>
      </c>
      <c r="C35" s="28" t="s">
        <v>535</v>
      </c>
      <c r="D35" s="28" t="s">
        <v>265</v>
      </c>
      <c r="E35" s="28" t="s">
        <v>570</v>
      </c>
      <c r="F35" s="28" t="s">
        <v>535</v>
      </c>
      <c r="G35" s="28" t="s">
        <v>265</v>
      </c>
      <c r="H35" s="28" t="s">
        <v>535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535</v>
      </c>
      <c r="AD35" s="28" t="s">
        <v>535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535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535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535</v>
      </c>
      <c r="AX35" s="28" t="s">
        <v>265</v>
      </c>
      <c r="AY35" s="28" t="s">
        <v>535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536</v>
      </c>
      <c r="B36" s="28" t="s">
        <v>265</v>
      </c>
      <c r="C36" s="28" t="s">
        <v>535</v>
      </c>
      <c r="D36" s="28" t="s">
        <v>265</v>
      </c>
      <c r="E36" s="28" t="s">
        <v>571</v>
      </c>
      <c r="F36" s="28" t="s">
        <v>535</v>
      </c>
      <c r="G36" s="28" t="s">
        <v>265</v>
      </c>
      <c r="H36" s="28" t="s">
        <v>535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535</v>
      </c>
      <c r="AD36" s="28" t="s">
        <v>535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535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535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535</v>
      </c>
      <c r="AX36" s="28" t="s">
        <v>265</v>
      </c>
      <c r="AY36" s="28" t="s">
        <v>535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536</v>
      </c>
      <c r="B37" s="28" t="s">
        <v>265</v>
      </c>
      <c r="C37" s="28" t="s">
        <v>535</v>
      </c>
      <c r="D37" s="28" t="s">
        <v>265</v>
      </c>
      <c r="E37" s="28" t="s">
        <v>572</v>
      </c>
      <c r="F37" s="28" t="s">
        <v>535</v>
      </c>
      <c r="G37" s="28" t="s">
        <v>265</v>
      </c>
      <c r="H37" s="28" t="s">
        <v>535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535</v>
      </c>
      <c r="AD37" s="28" t="s">
        <v>535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535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535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535</v>
      </c>
      <c r="AX37" s="28" t="s">
        <v>265</v>
      </c>
      <c r="AY37" s="28" t="s">
        <v>535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536</v>
      </c>
      <c r="B38" s="28" t="s">
        <v>265</v>
      </c>
      <c r="C38" s="28" t="s">
        <v>535</v>
      </c>
      <c r="D38" s="28" t="s">
        <v>265</v>
      </c>
      <c r="E38" s="28" t="s">
        <v>573</v>
      </c>
      <c r="F38" s="28" t="s">
        <v>535</v>
      </c>
      <c r="G38" s="28" t="s">
        <v>265</v>
      </c>
      <c r="H38" s="28" t="s">
        <v>535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535</v>
      </c>
      <c r="AD38" s="28" t="s">
        <v>535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535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535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535</v>
      </c>
      <c r="AX38" s="28" t="s">
        <v>265</v>
      </c>
      <c r="AY38" s="28" t="s">
        <v>535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536</v>
      </c>
      <c r="B39" s="28" t="s">
        <v>265</v>
      </c>
      <c r="C39" s="28" t="s">
        <v>535</v>
      </c>
      <c r="D39" s="28" t="s">
        <v>265</v>
      </c>
      <c r="E39" s="28" t="s">
        <v>574</v>
      </c>
      <c r="F39" s="28" t="s">
        <v>535</v>
      </c>
      <c r="G39" s="28" t="s">
        <v>265</v>
      </c>
      <c r="H39" s="28" t="s">
        <v>535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535</v>
      </c>
      <c r="AD39" s="28" t="s">
        <v>535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535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535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535</v>
      </c>
      <c r="AX39" s="28" t="s">
        <v>265</v>
      </c>
      <c r="AY39" s="28" t="s">
        <v>535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536</v>
      </c>
      <c r="B40" s="28" t="s">
        <v>265</v>
      </c>
      <c r="C40" s="28" t="s">
        <v>535</v>
      </c>
      <c r="D40" s="28" t="s">
        <v>265</v>
      </c>
      <c r="E40" s="28" t="s">
        <v>575</v>
      </c>
      <c r="F40" s="28" t="s">
        <v>535</v>
      </c>
      <c r="G40" s="28" t="s">
        <v>265</v>
      </c>
      <c r="H40" s="28" t="s">
        <v>535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535</v>
      </c>
      <c r="AD40" s="28" t="s">
        <v>535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535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535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535</v>
      </c>
      <c r="AX40" s="28" t="s">
        <v>265</v>
      </c>
      <c r="AY40" s="28" t="s">
        <v>535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536</v>
      </c>
      <c r="B41" s="28" t="s">
        <v>265</v>
      </c>
      <c r="C41" s="28" t="s">
        <v>535</v>
      </c>
      <c r="D41" s="28" t="s">
        <v>265</v>
      </c>
      <c r="E41" s="28" t="s">
        <v>576</v>
      </c>
      <c r="F41" s="28" t="s">
        <v>535</v>
      </c>
      <c r="G41" s="28" t="s">
        <v>265</v>
      </c>
      <c r="H41" s="28" t="s">
        <v>535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535</v>
      </c>
      <c r="AD41" s="28" t="s">
        <v>535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535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535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535</v>
      </c>
      <c r="AX41" s="28" t="s">
        <v>265</v>
      </c>
      <c r="AY41" s="28" t="s">
        <v>535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536</v>
      </c>
      <c r="B42" s="28" t="s">
        <v>265</v>
      </c>
      <c r="C42" s="28" t="s">
        <v>535</v>
      </c>
      <c r="D42" s="28" t="s">
        <v>265</v>
      </c>
      <c r="E42" s="28" t="s">
        <v>577</v>
      </c>
      <c r="F42" s="28" t="s">
        <v>535</v>
      </c>
      <c r="G42" s="28" t="s">
        <v>265</v>
      </c>
      <c r="H42" s="28" t="s">
        <v>535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535</v>
      </c>
      <c r="AD42" s="28" t="s">
        <v>535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535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535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535</v>
      </c>
      <c r="AX42" s="28" t="s">
        <v>265</v>
      </c>
      <c r="AY42" s="28" t="s">
        <v>535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536</v>
      </c>
      <c r="B43" s="28" t="s">
        <v>265</v>
      </c>
      <c r="C43" s="28" t="s">
        <v>535</v>
      </c>
      <c r="D43" s="28" t="s">
        <v>265</v>
      </c>
      <c r="E43" s="28" t="s">
        <v>578</v>
      </c>
      <c r="F43" s="28" t="s">
        <v>535</v>
      </c>
      <c r="G43" s="28" t="s">
        <v>265</v>
      </c>
      <c r="H43" s="28" t="s">
        <v>535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535</v>
      </c>
      <c r="AD43" s="28" t="s">
        <v>535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535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535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535</v>
      </c>
      <c r="AX43" s="28" t="s">
        <v>265</v>
      </c>
      <c r="AY43" s="28" t="s">
        <v>535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536</v>
      </c>
      <c r="B44" s="28" t="s">
        <v>265</v>
      </c>
      <c r="C44" s="28" t="s">
        <v>535</v>
      </c>
      <c r="D44" s="28" t="s">
        <v>265</v>
      </c>
      <c r="E44" s="28" t="s">
        <v>579</v>
      </c>
      <c r="F44" s="28" t="s">
        <v>535</v>
      </c>
      <c r="G44" s="28" t="s">
        <v>265</v>
      </c>
      <c r="H44" s="28" t="s">
        <v>535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535</v>
      </c>
      <c r="AD44" s="28" t="s">
        <v>535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535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535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535</v>
      </c>
      <c r="AX44" s="28" t="s">
        <v>265</v>
      </c>
      <c r="AY44" s="28" t="s">
        <v>535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536</v>
      </c>
      <c r="B45" s="28" t="s">
        <v>265</v>
      </c>
      <c r="C45" s="28" t="s">
        <v>535</v>
      </c>
      <c r="D45" s="28" t="s">
        <v>265</v>
      </c>
      <c r="E45" s="28" t="s">
        <v>580</v>
      </c>
      <c r="F45" s="28" t="s">
        <v>535</v>
      </c>
      <c r="G45" s="28" t="s">
        <v>265</v>
      </c>
      <c r="H45" s="28" t="s">
        <v>535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535</v>
      </c>
      <c r="AD45" s="28" t="s">
        <v>535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535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535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535</v>
      </c>
      <c r="AX45" s="28" t="s">
        <v>265</v>
      </c>
      <c r="AY45" s="28" t="s">
        <v>535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536</v>
      </c>
      <c r="B46" s="28" t="s">
        <v>265</v>
      </c>
      <c r="C46" s="28" t="s">
        <v>535</v>
      </c>
      <c r="D46" s="28" t="s">
        <v>265</v>
      </c>
      <c r="E46" s="28" t="s">
        <v>581</v>
      </c>
      <c r="F46" s="28" t="s">
        <v>535</v>
      </c>
      <c r="G46" s="28" t="s">
        <v>265</v>
      </c>
      <c r="H46" s="28" t="s">
        <v>535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535</v>
      </c>
      <c r="AD46" s="28" t="s">
        <v>535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535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535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535</v>
      </c>
      <c r="AX46" s="28" t="s">
        <v>265</v>
      </c>
      <c r="AY46" s="28" t="s">
        <v>535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536</v>
      </c>
      <c r="B47" s="28" t="s">
        <v>265</v>
      </c>
      <c r="C47" s="28" t="s">
        <v>535</v>
      </c>
      <c r="D47" s="28" t="s">
        <v>265</v>
      </c>
      <c r="E47" s="28" t="s">
        <v>582</v>
      </c>
      <c r="F47" s="28" t="s">
        <v>535</v>
      </c>
      <c r="G47" s="28" t="s">
        <v>265</v>
      </c>
      <c r="H47" s="28" t="s">
        <v>265</v>
      </c>
      <c r="I47" s="28" t="s">
        <v>535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535</v>
      </c>
      <c r="AC47" s="28" t="s">
        <v>265</v>
      </c>
      <c r="AD47" s="28" t="s">
        <v>535</v>
      </c>
      <c r="AE47" s="28">
        <v>1</v>
      </c>
      <c r="AF47" s="28">
        <v>12</v>
      </c>
      <c r="AG47" s="28">
        <v>365</v>
      </c>
      <c r="AH47" s="28" t="s">
        <v>535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535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535</v>
      </c>
      <c r="AX47" s="28" t="s">
        <v>265</v>
      </c>
      <c r="AY47" s="28" t="s">
        <v>535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536</v>
      </c>
      <c r="B48" s="28" t="s">
        <v>265</v>
      </c>
      <c r="C48" s="28" t="s">
        <v>535</v>
      </c>
      <c r="D48" s="28" t="s">
        <v>265</v>
      </c>
      <c r="E48" s="28" t="s">
        <v>583</v>
      </c>
      <c r="F48" s="28" t="s">
        <v>535</v>
      </c>
      <c r="G48" s="28" t="s">
        <v>265</v>
      </c>
      <c r="H48" s="28" t="s">
        <v>535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535</v>
      </c>
      <c r="AD48" s="28" t="s">
        <v>535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535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535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535</v>
      </c>
      <c r="AX48" s="28" t="s">
        <v>265</v>
      </c>
      <c r="AY48" s="28" t="s">
        <v>535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536</v>
      </c>
      <c r="B49" s="28" t="s">
        <v>265</v>
      </c>
      <c r="C49" s="28" t="s">
        <v>535</v>
      </c>
      <c r="D49" s="28" t="s">
        <v>265</v>
      </c>
      <c r="E49" s="28" t="s">
        <v>584</v>
      </c>
      <c r="F49" s="28" t="s">
        <v>535</v>
      </c>
      <c r="G49" s="28" t="s">
        <v>265</v>
      </c>
      <c r="H49" s="28" t="s">
        <v>535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535</v>
      </c>
      <c r="AD49" s="28" t="s">
        <v>535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535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535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535</v>
      </c>
      <c r="AX49" s="28" t="s">
        <v>265</v>
      </c>
      <c r="AY49" s="28" t="s">
        <v>535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536</v>
      </c>
      <c r="B50" s="28" t="s">
        <v>265</v>
      </c>
      <c r="C50" s="28" t="s">
        <v>535</v>
      </c>
      <c r="D50" s="28" t="s">
        <v>265</v>
      </c>
      <c r="E50" s="28" t="s">
        <v>585</v>
      </c>
      <c r="F50" s="28" t="s">
        <v>535</v>
      </c>
      <c r="G50" s="28" t="s">
        <v>265</v>
      </c>
      <c r="H50" s="28" t="s">
        <v>535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535</v>
      </c>
      <c r="AD50" s="28" t="s">
        <v>535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535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535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535</v>
      </c>
      <c r="AX50" s="28" t="s">
        <v>265</v>
      </c>
      <c r="AY50" s="28" t="s">
        <v>535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536</v>
      </c>
      <c r="B51" s="28" t="s">
        <v>265</v>
      </c>
      <c r="C51" s="28" t="s">
        <v>535</v>
      </c>
      <c r="D51" s="28" t="s">
        <v>265</v>
      </c>
      <c r="E51" s="28" t="s">
        <v>586</v>
      </c>
      <c r="F51" s="28" t="s">
        <v>535</v>
      </c>
      <c r="G51" s="28" t="s">
        <v>265</v>
      </c>
      <c r="H51" s="28" t="s">
        <v>535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535</v>
      </c>
      <c r="AD51" s="28" t="s">
        <v>535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535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535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535</v>
      </c>
      <c r="AX51" s="28" t="s">
        <v>265</v>
      </c>
      <c r="AY51" s="28" t="s">
        <v>535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536</v>
      </c>
      <c r="B52" s="28" t="s">
        <v>265</v>
      </c>
      <c r="C52" s="28" t="s">
        <v>535</v>
      </c>
      <c r="D52" s="28" t="s">
        <v>265</v>
      </c>
      <c r="E52" s="28" t="s">
        <v>587</v>
      </c>
      <c r="F52" s="28" t="s">
        <v>535</v>
      </c>
      <c r="G52" s="28" t="s">
        <v>265</v>
      </c>
      <c r="H52" s="28" t="s">
        <v>535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535</v>
      </c>
      <c r="AD52" s="28" t="s">
        <v>535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535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535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535</v>
      </c>
      <c r="AX52" s="28" t="s">
        <v>265</v>
      </c>
      <c r="AY52" s="28" t="s">
        <v>535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536</v>
      </c>
      <c r="B53" s="28" t="s">
        <v>265</v>
      </c>
      <c r="C53" s="28" t="s">
        <v>535</v>
      </c>
      <c r="D53" s="28" t="s">
        <v>265</v>
      </c>
      <c r="E53" s="28" t="s">
        <v>588</v>
      </c>
      <c r="F53" s="28" t="s">
        <v>535</v>
      </c>
      <c r="G53" s="28" t="s">
        <v>265</v>
      </c>
      <c r="H53" s="28" t="s">
        <v>535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535</v>
      </c>
      <c r="AD53" s="28" t="s">
        <v>535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535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535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535</v>
      </c>
      <c r="AX53" s="28" t="s">
        <v>265</v>
      </c>
      <c r="AY53" s="28" t="s">
        <v>535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536</v>
      </c>
      <c r="B54" s="28" t="s">
        <v>265</v>
      </c>
      <c r="C54" s="28" t="s">
        <v>535</v>
      </c>
      <c r="D54" s="28" t="s">
        <v>265</v>
      </c>
      <c r="E54" s="28" t="s">
        <v>589</v>
      </c>
      <c r="F54" s="28" t="s">
        <v>535</v>
      </c>
      <c r="G54" s="28" t="s">
        <v>265</v>
      </c>
      <c r="H54" s="28" t="s">
        <v>535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535</v>
      </c>
      <c r="AD54" s="28" t="s">
        <v>535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535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535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535</v>
      </c>
      <c r="AX54" s="28" t="s">
        <v>265</v>
      </c>
      <c r="AY54" s="28" t="s">
        <v>535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536</v>
      </c>
      <c r="B55" s="28" t="s">
        <v>265</v>
      </c>
      <c r="C55" s="28" t="s">
        <v>535</v>
      </c>
      <c r="D55" s="28" t="s">
        <v>265</v>
      </c>
      <c r="E55" s="28" t="s">
        <v>590</v>
      </c>
      <c r="F55" s="28" t="s">
        <v>535</v>
      </c>
      <c r="G55" s="28" t="s">
        <v>265</v>
      </c>
      <c r="H55" s="28" t="s">
        <v>535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535</v>
      </c>
      <c r="AD55" s="28" t="s">
        <v>535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535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535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535</v>
      </c>
      <c r="AX55" s="28" t="s">
        <v>265</v>
      </c>
      <c r="AY55" s="28" t="s">
        <v>535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536</v>
      </c>
      <c r="B56" s="28" t="s">
        <v>265</v>
      </c>
      <c r="C56" s="28" t="s">
        <v>535</v>
      </c>
      <c r="D56" s="28" t="s">
        <v>265</v>
      </c>
      <c r="E56" s="28" t="s">
        <v>591</v>
      </c>
      <c r="F56" s="28" t="s">
        <v>535</v>
      </c>
      <c r="G56" s="28" t="s">
        <v>265</v>
      </c>
      <c r="H56" s="28" t="s">
        <v>535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535</v>
      </c>
      <c r="AD56" s="28" t="s">
        <v>535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535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535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535</v>
      </c>
      <c r="AX56" s="28" t="s">
        <v>265</v>
      </c>
      <c r="AY56" s="28" t="s">
        <v>535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536</v>
      </c>
      <c r="B57" s="28" t="s">
        <v>265</v>
      </c>
      <c r="C57" s="28" t="s">
        <v>535</v>
      </c>
      <c r="D57" s="28" t="s">
        <v>265</v>
      </c>
      <c r="E57" s="28" t="s">
        <v>592</v>
      </c>
      <c r="F57" s="28" t="s">
        <v>535</v>
      </c>
      <c r="G57" s="28" t="s">
        <v>265</v>
      </c>
      <c r="H57" s="28" t="s">
        <v>535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535</v>
      </c>
      <c r="AD57" s="28" t="s">
        <v>535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535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535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535</v>
      </c>
      <c r="AX57" s="28" t="s">
        <v>265</v>
      </c>
      <c r="AY57" s="28" t="s">
        <v>535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536</v>
      </c>
      <c r="B58" s="28" t="s">
        <v>265</v>
      </c>
      <c r="C58" s="28" t="s">
        <v>535</v>
      </c>
      <c r="D58" s="28" t="s">
        <v>265</v>
      </c>
      <c r="E58" s="28" t="s">
        <v>593</v>
      </c>
      <c r="F58" s="28" t="s">
        <v>535</v>
      </c>
      <c r="G58" s="28" t="s">
        <v>265</v>
      </c>
      <c r="H58" s="28" t="s">
        <v>535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535</v>
      </c>
      <c r="AD58" s="28" t="s">
        <v>535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535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535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535</v>
      </c>
      <c r="AX58" s="28" t="s">
        <v>265</v>
      </c>
      <c r="AY58" s="28" t="s">
        <v>535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536</v>
      </c>
      <c r="B59" s="28" t="s">
        <v>265</v>
      </c>
      <c r="C59" s="28" t="s">
        <v>535</v>
      </c>
      <c r="D59" s="28" t="s">
        <v>265</v>
      </c>
      <c r="E59" s="28" t="s">
        <v>594</v>
      </c>
      <c r="F59" s="28" t="s">
        <v>535</v>
      </c>
      <c r="G59" s="28" t="s">
        <v>265</v>
      </c>
      <c r="H59" s="28" t="s">
        <v>535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535</v>
      </c>
      <c r="AD59" s="28" t="s">
        <v>535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535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535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535</v>
      </c>
      <c r="AX59" s="28" t="s">
        <v>265</v>
      </c>
      <c r="AY59" s="28" t="s">
        <v>535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536</v>
      </c>
      <c r="B60" s="28" t="s">
        <v>265</v>
      </c>
      <c r="C60" s="28" t="s">
        <v>535</v>
      </c>
      <c r="D60" s="28" t="s">
        <v>265</v>
      </c>
      <c r="E60" s="28" t="s">
        <v>595</v>
      </c>
      <c r="F60" s="28" t="s">
        <v>535</v>
      </c>
      <c r="G60" s="28" t="s">
        <v>265</v>
      </c>
      <c r="H60" s="28" t="s">
        <v>535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535</v>
      </c>
      <c r="AD60" s="28" t="s">
        <v>535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535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535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535</v>
      </c>
      <c r="AX60" s="28" t="s">
        <v>265</v>
      </c>
      <c r="AY60" s="28" t="s">
        <v>535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536</v>
      </c>
      <c r="B61" s="28" t="s">
        <v>265</v>
      </c>
      <c r="C61" s="28" t="s">
        <v>535</v>
      </c>
      <c r="D61" s="28" t="s">
        <v>265</v>
      </c>
      <c r="E61" s="28" t="s">
        <v>596</v>
      </c>
      <c r="F61" s="28" t="s">
        <v>535</v>
      </c>
      <c r="G61" s="28" t="s">
        <v>265</v>
      </c>
      <c r="H61" s="28" t="s">
        <v>535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535</v>
      </c>
      <c r="AD61" s="28" t="s">
        <v>535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535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535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535</v>
      </c>
      <c r="AX61" s="28" t="s">
        <v>265</v>
      </c>
      <c r="AY61" s="28" t="s">
        <v>535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536</v>
      </c>
      <c r="B62" s="28" t="s">
        <v>265</v>
      </c>
      <c r="C62" s="28" t="s">
        <v>535</v>
      </c>
      <c r="D62" s="28" t="s">
        <v>265</v>
      </c>
      <c r="E62" s="28" t="s">
        <v>597</v>
      </c>
      <c r="F62" s="28" t="s">
        <v>535</v>
      </c>
      <c r="G62" s="28" t="s">
        <v>265</v>
      </c>
      <c r="H62" s="28" t="s">
        <v>265</v>
      </c>
      <c r="I62" s="28" t="s">
        <v>265</v>
      </c>
      <c r="J62" s="28" t="s">
        <v>535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535</v>
      </c>
      <c r="AC62" s="28" t="s">
        <v>265</v>
      </c>
      <c r="AD62" s="28" t="s">
        <v>535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535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535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535</v>
      </c>
      <c r="AX62" s="28" t="s">
        <v>265</v>
      </c>
      <c r="AY62" s="28" t="s">
        <v>535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536</v>
      </c>
      <c r="B63" s="28" t="s">
        <v>265</v>
      </c>
      <c r="C63" s="28" t="s">
        <v>535</v>
      </c>
      <c r="D63" s="28" t="s">
        <v>265</v>
      </c>
      <c r="E63" s="28" t="s">
        <v>598</v>
      </c>
      <c r="F63" s="28" t="s">
        <v>535</v>
      </c>
      <c r="G63" s="28" t="s">
        <v>265</v>
      </c>
      <c r="H63" s="28" t="s">
        <v>535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535</v>
      </c>
      <c r="AD63" s="28" t="s">
        <v>535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535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535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535</v>
      </c>
      <c r="AX63" s="28" t="s">
        <v>265</v>
      </c>
      <c r="AY63" s="28" t="s">
        <v>535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536</v>
      </c>
      <c r="B64" s="28" t="s">
        <v>265</v>
      </c>
      <c r="C64" s="28" t="s">
        <v>535</v>
      </c>
      <c r="D64" s="28" t="s">
        <v>265</v>
      </c>
      <c r="E64" s="28" t="s">
        <v>599</v>
      </c>
      <c r="F64" s="28" t="s">
        <v>535</v>
      </c>
      <c r="G64" s="28" t="s">
        <v>265</v>
      </c>
      <c r="H64" s="28" t="s">
        <v>535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535</v>
      </c>
      <c r="AD64" s="28" t="s">
        <v>535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535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535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535</v>
      </c>
      <c r="AX64" s="28" t="s">
        <v>265</v>
      </c>
      <c r="AY64" s="28" t="s">
        <v>535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536</v>
      </c>
      <c r="B65" s="28" t="s">
        <v>265</v>
      </c>
      <c r="C65" s="28" t="s">
        <v>535</v>
      </c>
      <c r="D65" s="28" t="s">
        <v>265</v>
      </c>
      <c r="E65" s="28" t="s">
        <v>600</v>
      </c>
      <c r="F65" s="28" t="s">
        <v>535</v>
      </c>
      <c r="G65" s="28" t="s">
        <v>265</v>
      </c>
      <c r="H65" s="28" t="s">
        <v>535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535</v>
      </c>
      <c r="AD65" s="28" t="s">
        <v>535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535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535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535</v>
      </c>
      <c r="AX65" s="28" t="s">
        <v>265</v>
      </c>
      <c r="AY65" s="28" t="s">
        <v>535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536</v>
      </c>
      <c r="B66" s="28" t="s">
        <v>265</v>
      </c>
      <c r="C66" s="28" t="s">
        <v>535</v>
      </c>
      <c r="D66" s="28" t="s">
        <v>265</v>
      </c>
      <c r="E66" s="28" t="s">
        <v>601</v>
      </c>
      <c r="F66" s="28" t="s">
        <v>535</v>
      </c>
      <c r="G66" s="28" t="s">
        <v>265</v>
      </c>
      <c r="H66" s="28" t="s">
        <v>535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535</v>
      </c>
      <c r="AD66" s="28" t="s">
        <v>535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535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535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535</v>
      </c>
      <c r="AX66" s="28" t="s">
        <v>265</v>
      </c>
      <c r="AY66" s="28" t="s">
        <v>535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536</v>
      </c>
      <c r="B67" s="28" t="s">
        <v>265</v>
      </c>
      <c r="C67" s="28" t="s">
        <v>535</v>
      </c>
      <c r="D67" s="28" t="s">
        <v>265</v>
      </c>
      <c r="E67" s="28" t="s">
        <v>602</v>
      </c>
      <c r="F67" s="28" t="s">
        <v>535</v>
      </c>
      <c r="G67" s="28" t="s">
        <v>265</v>
      </c>
      <c r="H67" s="28" t="s">
        <v>535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535</v>
      </c>
      <c r="AD67" s="28" t="s">
        <v>535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535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535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535</v>
      </c>
      <c r="AX67" s="28" t="s">
        <v>265</v>
      </c>
      <c r="AY67" s="28" t="s">
        <v>535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536</v>
      </c>
      <c r="B68" s="28" t="s">
        <v>265</v>
      </c>
      <c r="C68" s="28" t="s">
        <v>535</v>
      </c>
      <c r="D68" s="28" t="s">
        <v>265</v>
      </c>
      <c r="E68" s="28" t="s">
        <v>603</v>
      </c>
      <c r="F68" s="28" t="s">
        <v>535</v>
      </c>
      <c r="G68" s="28" t="s">
        <v>265</v>
      </c>
      <c r="H68" s="28" t="s">
        <v>535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535</v>
      </c>
      <c r="AD68" s="28" t="s">
        <v>535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535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535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535</v>
      </c>
      <c r="AX68" s="28" t="s">
        <v>265</v>
      </c>
      <c r="AY68" s="28" t="s">
        <v>535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536</v>
      </c>
      <c r="B69" s="28" t="s">
        <v>265</v>
      </c>
      <c r="C69" s="28" t="s">
        <v>535</v>
      </c>
      <c r="D69" s="28" t="s">
        <v>265</v>
      </c>
      <c r="E69" s="28" t="s">
        <v>604</v>
      </c>
      <c r="F69" s="28" t="s">
        <v>535</v>
      </c>
      <c r="G69" s="28" t="s">
        <v>265</v>
      </c>
      <c r="H69" s="28" t="s">
        <v>535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535</v>
      </c>
      <c r="AD69" s="28" t="s">
        <v>535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535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535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535</v>
      </c>
      <c r="AX69" s="28" t="s">
        <v>265</v>
      </c>
      <c r="AY69" s="28" t="s">
        <v>535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536</v>
      </c>
      <c r="B70" s="28" t="s">
        <v>265</v>
      </c>
      <c r="C70" s="28" t="s">
        <v>535</v>
      </c>
      <c r="D70" s="28" t="s">
        <v>265</v>
      </c>
      <c r="E70" s="28" t="s">
        <v>605</v>
      </c>
      <c r="F70" s="28" t="s">
        <v>535</v>
      </c>
      <c r="G70" s="28" t="s">
        <v>265</v>
      </c>
      <c r="H70" s="28" t="s">
        <v>535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535</v>
      </c>
      <c r="AD70" s="28" t="s">
        <v>535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535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535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535</v>
      </c>
      <c r="AX70" s="28" t="s">
        <v>265</v>
      </c>
      <c r="AY70" s="28" t="s">
        <v>535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536</v>
      </c>
      <c r="B71" s="28" t="s">
        <v>265</v>
      </c>
      <c r="C71" s="28" t="s">
        <v>535</v>
      </c>
      <c r="D71" s="28" t="s">
        <v>265</v>
      </c>
      <c r="E71" s="28" t="s">
        <v>606</v>
      </c>
      <c r="F71" s="28" t="s">
        <v>535</v>
      </c>
      <c r="G71" s="28" t="s">
        <v>265</v>
      </c>
      <c r="H71" s="28" t="s">
        <v>535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535</v>
      </c>
      <c r="AD71" s="28" t="s">
        <v>535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535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535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535</v>
      </c>
      <c r="AX71" s="28" t="s">
        <v>265</v>
      </c>
      <c r="AY71" s="28" t="s">
        <v>535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536</v>
      </c>
      <c r="B72" s="28" t="s">
        <v>265</v>
      </c>
      <c r="C72" s="28" t="s">
        <v>535</v>
      </c>
      <c r="D72" s="28" t="s">
        <v>265</v>
      </c>
      <c r="E72" s="28" t="s">
        <v>607</v>
      </c>
      <c r="F72" s="28" t="s">
        <v>535</v>
      </c>
      <c r="G72" s="28" t="s">
        <v>265</v>
      </c>
      <c r="H72" s="28" t="s">
        <v>535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535</v>
      </c>
      <c r="AD72" s="28" t="s">
        <v>535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535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535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535</v>
      </c>
      <c r="AX72" s="28" t="s">
        <v>265</v>
      </c>
      <c r="AY72" s="28" t="s">
        <v>535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536</v>
      </c>
      <c r="B73" s="28" t="s">
        <v>265</v>
      </c>
      <c r="C73" s="28" t="s">
        <v>535</v>
      </c>
      <c r="D73" s="28" t="s">
        <v>265</v>
      </c>
      <c r="E73" s="28" t="s">
        <v>608</v>
      </c>
      <c r="F73" s="28" t="s">
        <v>535</v>
      </c>
      <c r="G73" s="28" t="s">
        <v>265</v>
      </c>
      <c r="H73" s="28" t="s">
        <v>535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535</v>
      </c>
      <c r="AD73" s="28" t="s">
        <v>535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535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535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535</v>
      </c>
      <c r="AX73" s="28" t="s">
        <v>265</v>
      </c>
      <c r="AY73" s="28" t="s">
        <v>535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536</v>
      </c>
      <c r="B74" s="28" t="s">
        <v>265</v>
      </c>
      <c r="C74" s="28" t="s">
        <v>535</v>
      </c>
      <c r="D74" s="28" t="s">
        <v>265</v>
      </c>
      <c r="E74" s="28" t="s">
        <v>609</v>
      </c>
      <c r="F74" s="28" t="s">
        <v>535</v>
      </c>
      <c r="G74" s="28" t="s">
        <v>265</v>
      </c>
      <c r="H74" s="28" t="s">
        <v>535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535</v>
      </c>
      <c r="AD74" s="28" t="s">
        <v>535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535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535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535</v>
      </c>
      <c r="AX74" s="28" t="s">
        <v>265</v>
      </c>
      <c r="AY74" s="28" t="s">
        <v>535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536</v>
      </c>
      <c r="B75" s="28" t="s">
        <v>265</v>
      </c>
      <c r="C75" s="28" t="s">
        <v>535</v>
      </c>
      <c r="D75" s="28" t="s">
        <v>265</v>
      </c>
      <c r="E75" s="28" t="s">
        <v>610</v>
      </c>
      <c r="F75" s="28" t="s">
        <v>535</v>
      </c>
      <c r="G75" s="28" t="s">
        <v>265</v>
      </c>
      <c r="H75" s="28" t="s">
        <v>535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535</v>
      </c>
      <c r="AD75" s="28" t="s">
        <v>535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535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535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535</v>
      </c>
      <c r="AX75" s="28" t="s">
        <v>265</v>
      </c>
      <c r="AY75" s="28" t="s">
        <v>535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536</v>
      </c>
      <c r="B76" s="28" t="s">
        <v>265</v>
      </c>
      <c r="C76" s="28" t="s">
        <v>535</v>
      </c>
      <c r="D76" s="28" t="s">
        <v>265</v>
      </c>
      <c r="E76" s="28" t="s">
        <v>611</v>
      </c>
      <c r="F76" s="28" t="s">
        <v>535</v>
      </c>
      <c r="G76" s="28" t="s">
        <v>265</v>
      </c>
      <c r="H76" s="28" t="s">
        <v>535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535</v>
      </c>
      <c r="AD76" s="28" t="s">
        <v>535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535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535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535</v>
      </c>
      <c r="AX76" s="28" t="s">
        <v>265</v>
      </c>
      <c r="AY76" s="28" t="s">
        <v>535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536</v>
      </c>
      <c r="B77" s="28" t="s">
        <v>265</v>
      </c>
      <c r="C77" s="28" t="s">
        <v>535</v>
      </c>
      <c r="D77" s="28" t="s">
        <v>265</v>
      </c>
      <c r="E77" s="28" t="s">
        <v>612</v>
      </c>
      <c r="F77" s="28" t="s">
        <v>535</v>
      </c>
      <c r="G77" s="28" t="s">
        <v>265</v>
      </c>
      <c r="H77" s="28" t="s">
        <v>535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535</v>
      </c>
      <c r="AD77" s="28" t="s">
        <v>535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535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535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535</v>
      </c>
      <c r="AX77" s="28" t="s">
        <v>265</v>
      </c>
      <c r="AY77" s="28" t="s">
        <v>535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536</v>
      </c>
      <c r="B78" s="28" t="s">
        <v>265</v>
      </c>
      <c r="C78" s="28" t="s">
        <v>535</v>
      </c>
      <c r="D78" s="28" t="s">
        <v>265</v>
      </c>
      <c r="E78" s="28" t="s">
        <v>613</v>
      </c>
      <c r="F78" s="28" t="s">
        <v>535</v>
      </c>
      <c r="G78" s="28" t="s">
        <v>265</v>
      </c>
      <c r="H78" s="28" t="s">
        <v>535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535</v>
      </c>
      <c r="AD78" s="28" t="s">
        <v>535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535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535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535</v>
      </c>
      <c r="AX78" s="28" t="s">
        <v>265</v>
      </c>
      <c r="AY78" s="28" t="s">
        <v>535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536</v>
      </c>
      <c r="B79" s="28" t="s">
        <v>265</v>
      </c>
      <c r="C79" s="28" t="s">
        <v>535</v>
      </c>
      <c r="D79" s="28" t="s">
        <v>265</v>
      </c>
      <c r="E79" s="28" t="s">
        <v>614</v>
      </c>
      <c r="F79" s="28" t="s">
        <v>535</v>
      </c>
      <c r="G79" s="28" t="s">
        <v>265</v>
      </c>
      <c r="H79" s="28" t="s">
        <v>535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535</v>
      </c>
      <c r="AD79" s="28" t="s">
        <v>535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535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535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535</v>
      </c>
      <c r="AX79" s="28" t="s">
        <v>265</v>
      </c>
      <c r="AY79" s="28" t="s">
        <v>535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536</v>
      </c>
      <c r="B80" s="28" t="s">
        <v>265</v>
      </c>
      <c r="C80" s="28" t="s">
        <v>535</v>
      </c>
      <c r="D80" s="28" t="s">
        <v>265</v>
      </c>
      <c r="E80" s="28" t="s">
        <v>615</v>
      </c>
      <c r="F80" s="28" t="s">
        <v>535</v>
      </c>
      <c r="G80" s="28" t="s">
        <v>265</v>
      </c>
      <c r="H80" s="28" t="s">
        <v>535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535</v>
      </c>
      <c r="AD80" s="28" t="s">
        <v>535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535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535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535</v>
      </c>
      <c r="AX80" s="28" t="s">
        <v>265</v>
      </c>
      <c r="AY80" s="28" t="s">
        <v>535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536</v>
      </c>
      <c r="B81" s="28" t="s">
        <v>265</v>
      </c>
      <c r="C81" s="28" t="s">
        <v>535</v>
      </c>
      <c r="D81" s="28" t="s">
        <v>265</v>
      </c>
      <c r="E81" s="28" t="s">
        <v>616</v>
      </c>
      <c r="F81" s="28" t="s">
        <v>535</v>
      </c>
      <c r="G81" s="28" t="s">
        <v>265</v>
      </c>
      <c r="H81" s="28" t="s">
        <v>535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535</v>
      </c>
      <c r="AD81" s="28" t="s">
        <v>535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535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535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535</v>
      </c>
      <c r="AX81" s="28" t="s">
        <v>265</v>
      </c>
      <c r="AY81" s="28" t="s">
        <v>535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536</v>
      </c>
      <c r="B82" s="28" t="s">
        <v>265</v>
      </c>
      <c r="C82" s="28" t="s">
        <v>535</v>
      </c>
      <c r="D82" s="28" t="s">
        <v>265</v>
      </c>
      <c r="E82" s="28" t="s">
        <v>617</v>
      </c>
      <c r="F82" s="28" t="s">
        <v>535</v>
      </c>
      <c r="G82" s="28" t="s">
        <v>265</v>
      </c>
      <c r="H82" s="28" t="s">
        <v>535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535</v>
      </c>
      <c r="AD82" s="28" t="s">
        <v>535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535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535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535</v>
      </c>
      <c r="AX82" s="28" t="s">
        <v>265</v>
      </c>
      <c r="AY82" s="28" t="s">
        <v>535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536</v>
      </c>
      <c r="B83" s="28" t="s">
        <v>265</v>
      </c>
      <c r="C83" s="28" t="s">
        <v>535</v>
      </c>
      <c r="D83" s="28" t="s">
        <v>265</v>
      </c>
      <c r="E83" s="28" t="s">
        <v>618</v>
      </c>
      <c r="F83" s="28" t="s">
        <v>535</v>
      </c>
      <c r="G83" s="28" t="s">
        <v>265</v>
      </c>
      <c r="H83" s="28" t="s">
        <v>535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535</v>
      </c>
      <c r="AD83" s="28" t="s">
        <v>535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535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535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535</v>
      </c>
      <c r="AX83" s="28" t="s">
        <v>265</v>
      </c>
      <c r="AY83" s="28" t="s">
        <v>535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536</v>
      </c>
      <c r="B84" s="28" t="s">
        <v>265</v>
      </c>
      <c r="C84" s="28" t="s">
        <v>535</v>
      </c>
      <c r="D84" s="28" t="s">
        <v>265</v>
      </c>
      <c r="E84" s="28" t="s">
        <v>619</v>
      </c>
      <c r="F84" s="28" t="s">
        <v>535</v>
      </c>
      <c r="G84" s="28" t="s">
        <v>265</v>
      </c>
      <c r="H84" s="28" t="s">
        <v>535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535</v>
      </c>
      <c r="AD84" s="28" t="s">
        <v>535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535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535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535</v>
      </c>
      <c r="AX84" s="28" t="s">
        <v>265</v>
      </c>
      <c r="AY84" s="28" t="s">
        <v>535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536</v>
      </c>
      <c r="B85" s="28" t="s">
        <v>265</v>
      </c>
      <c r="C85" s="28" t="s">
        <v>535</v>
      </c>
      <c r="D85" s="28" t="s">
        <v>265</v>
      </c>
      <c r="E85" s="28" t="s">
        <v>620</v>
      </c>
      <c r="F85" s="28" t="s">
        <v>535</v>
      </c>
      <c r="G85" s="28" t="s">
        <v>265</v>
      </c>
      <c r="H85" s="28" t="s">
        <v>535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535</v>
      </c>
      <c r="AD85" s="28" t="s">
        <v>535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535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535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535</v>
      </c>
      <c r="AX85" s="28" t="s">
        <v>265</v>
      </c>
      <c r="AY85" s="28" t="s">
        <v>535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536</v>
      </c>
      <c r="B86" s="28" t="s">
        <v>265</v>
      </c>
      <c r="C86" s="28" t="s">
        <v>535</v>
      </c>
      <c r="D86" s="28" t="s">
        <v>265</v>
      </c>
      <c r="E86" s="28" t="s">
        <v>621</v>
      </c>
      <c r="F86" s="28" t="s">
        <v>535</v>
      </c>
      <c r="G86" s="28" t="s">
        <v>265</v>
      </c>
      <c r="H86" s="28" t="s">
        <v>535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535</v>
      </c>
      <c r="AD86" s="28" t="s">
        <v>535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535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535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535</v>
      </c>
      <c r="AX86" s="28" t="s">
        <v>265</v>
      </c>
      <c r="AY86" s="28" t="s">
        <v>535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536</v>
      </c>
      <c r="B87" s="28" t="s">
        <v>265</v>
      </c>
      <c r="C87" s="28" t="s">
        <v>535</v>
      </c>
      <c r="D87" s="28" t="s">
        <v>265</v>
      </c>
      <c r="E87" s="28" t="s">
        <v>622</v>
      </c>
      <c r="F87" s="28" t="s">
        <v>535</v>
      </c>
      <c r="G87" s="28" t="s">
        <v>265</v>
      </c>
      <c r="H87" s="28" t="s">
        <v>535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535</v>
      </c>
      <c r="AD87" s="28" t="s">
        <v>535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535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535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535</v>
      </c>
      <c r="AX87" s="28" t="s">
        <v>265</v>
      </c>
      <c r="AY87" s="28" t="s">
        <v>535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536</v>
      </c>
      <c r="B88" s="28" t="s">
        <v>265</v>
      </c>
      <c r="C88" s="28" t="s">
        <v>535</v>
      </c>
      <c r="D88" s="28" t="s">
        <v>265</v>
      </c>
      <c r="E88" s="28" t="s">
        <v>623</v>
      </c>
      <c r="F88" s="28" t="s">
        <v>535</v>
      </c>
      <c r="G88" s="28" t="s">
        <v>265</v>
      </c>
      <c r="H88" s="28" t="s">
        <v>535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535</v>
      </c>
      <c r="AD88" s="28" t="s">
        <v>535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535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535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535</v>
      </c>
      <c r="AX88" s="28" t="s">
        <v>265</v>
      </c>
      <c r="AY88" s="28" t="s">
        <v>535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536</v>
      </c>
      <c r="B89" s="28" t="s">
        <v>265</v>
      </c>
      <c r="C89" s="28" t="s">
        <v>535</v>
      </c>
      <c r="D89" s="28" t="s">
        <v>265</v>
      </c>
      <c r="E89" s="28" t="s">
        <v>624</v>
      </c>
      <c r="F89" s="28" t="s">
        <v>535</v>
      </c>
      <c r="G89" s="28" t="s">
        <v>265</v>
      </c>
      <c r="H89" s="28" t="s">
        <v>535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535</v>
      </c>
      <c r="AD89" s="28" t="s">
        <v>535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535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535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535</v>
      </c>
      <c r="AX89" s="28" t="s">
        <v>265</v>
      </c>
      <c r="AY89" s="28" t="s">
        <v>535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536</v>
      </c>
      <c r="B90" s="28" t="s">
        <v>265</v>
      </c>
      <c r="C90" s="28" t="s">
        <v>535</v>
      </c>
      <c r="D90" s="28" t="s">
        <v>265</v>
      </c>
      <c r="E90" s="28" t="s">
        <v>625</v>
      </c>
      <c r="F90" s="28" t="s">
        <v>535</v>
      </c>
      <c r="G90" s="28" t="s">
        <v>265</v>
      </c>
      <c r="H90" s="28" t="s">
        <v>535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535</v>
      </c>
      <c r="AD90" s="28" t="s">
        <v>535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535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535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535</v>
      </c>
      <c r="AX90" s="28" t="s">
        <v>265</v>
      </c>
      <c r="AY90" s="28" t="s">
        <v>535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536</v>
      </c>
      <c r="B91" s="28" t="s">
        <v>265</v>
      </c>
      <c r="C91" s="28" t="s">
        <v>535</v>
      </c>
      <c r="D91" s="28" t="s">
        <v>265</v>
      </c>
      <c r="E91" s="28" t="s">
        <v>626</v>
      </c>
      <c r="F91" s="28" t="s">
        <v>535</v>
      </c>
      <c r="G91" s="28" t="s">
        <v>265</v>
      </c>
      <c r="H91" s="28" t="s">
        <v>535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535</v>
      </c>
      <c r="AD91" s="28" t="s">
        <v>535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535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535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535</v>
      </c>
      <c r="AX91" s="28" t="s">
        <v>265</v>
      </c>
      <c r="AY91" s="28" t="s">
        <v>535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536</v>
      </c>
      <c r="B92" s="28" t="s">
        <v>265</v>
      </c>
      <c r="C92" s="28" t="s">
        <v>535</v>
      </c>
      <c r="D92" s="28" t="s">
        <v>265</v>
      </c>
      <c r="E92" s="28" t="s">
        <v>627</v>
      </c>
      <c r="F92" s="28" t="s">
        <v>535</v>
      </c>
      <c r="G92" s="28" t="s">
        <v>265</v>
      </c>
      <c r="H92" s="28" t="s">
        <v>535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535</v>
      </c>
      <c r="AD92" s="28" t="s">
        <v>535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535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535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535</v>
      </c>
      <c r="AX92" s="28" t="s">
        <v>265</v>
      </c>
      <c r="AY92" s="28" t="s">
        <v>535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536</v>
      </c>
      <c r="B93" s="28" t="s">
        <v>265</v>
      </c>
      <c r="C93" s="28" t="s">
        <v>535</v>
      </c>
      <c r="D93" s="28" t="s">
        <v>265</v>
      </c>
      <c r="E93" s="28" t="s">
        <v>628</v>
      </c>
      <c r="F93" s="28" t="s">
        <v>535</v>
      </c>
      <c r="G93" s="28" t="s">
        <v>265</v>
      </c>
      <c r="H93" s="28" t="s">
        <v>535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535</v>
      </c>
      <c r="AD93" s="28" t="s">
        <v>535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535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535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535</v>
      </c>
      <c r="AX93" s="28" t="s">
        <v>265</v>
      </c>
      <c r="AY93" s="28" t="s">
        <v>535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536</v>
      </c>
      <c r="B94" s="28" t="s">
        <v>265</v>
      </c>
      <c r="C94" s="28" t="s">
        <v>535</v>
      </c>
      <c r="D94" s="28" t="s">
        <v>265</v>
      </c>
      <c r="E94" s="28" t="s">
        <v>629</v>
      </c>
      <c r="F94" s="28" t="s">
        <v>535</v>
      </c>
      <c r="G94" s="28" t="s">
        <v>265</v>
      </c>
      <c r="H94" s="28" t="s">
        <v>535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535</v>
      </c>
      <c r="AD94" s="28" t="s">
        <v>535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535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535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535</v>
      </c>
      <c r="AX94" s="28" t="s">
        <v>265</v>
      </c>
      <c r="AY94" s="28" t="s">
        <v>535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536</v>
      </c>
      <c r="B95" s="28" t="s">
        <v>265</v>
      </c>
      <c r="C95" s="28" t="s">
        <v>535</v>
      </c>
      <c r="D95" s="28" t="s">
        <v>265</v>
      </c>
      <c r="E95" s="28" t="s">
        <v>630</v>
      </c>
      <c r="F95" s="28" t="s">
        <v>535</v>
      </c>
      <c r="G95" s="28" t="s">
        <v>265</v>
      </c>
      <c r="H95" s="28" t="s">
        <v>535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535</v>
      </c>
      <c r="AD95" s="28" t="s">
        <v>535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535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535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535</v>
      </c>
      <c r="AX95" s="28" t="s">
        <v>265</v>
      </c>
      <c r="AY95" s="28" t="s">
        <v>535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536</v>
      </c>
      <c r="B96" s="28" t="s">
        <v>265</v>
      </c>
      <c r="C96" s="28" t="s">
        <v>535</v>
      </c>
      <c r="D96" s="28" t="s">
        <v>265</v>
      </c>
      <c r="E96" s="28" t="s">
        <v>631</v>
      </c>
      <c r="F96" s="28" t="s">
        <v>535</v>
      </c>
      <c r="G96" s="28" t="s">
        <v>265</v>
      </c>
      <c r="H96" s="28" t="s">
        <v>535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535</v>
      </c>
      <c r="AD96" s="28" t="s">
        <v>535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535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535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535</v>
      </c>
      <c r="AX96" s="28" t="s">
        <v>265</v>
      </c>
      <c r="AY96" s="28" t="s">
        <v>535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536</v>
      </c>
      <c r="B97" s="28" t="s">
        <v>265</v>
      </c>
      <c r="C97" s="28" t="s">
        <v>535</v>
      </c>
      <c r="D97" s="28" t="s">
        <v>265</v>
      </c>
      <c r="E97" s="28" t="s">
        <v>632</v>
      </c>
      <c r="F97" s="28" t="s">
        <v>535</v>
      </c>
      <c r="G97" s="28" t="s">
        <v>265</v>
      </c>
      <c r="H97" s="28" t="s">
        <v>535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535</v>
      </c>
      <c r="AD97" s="28" t="s">
        <v>535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535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535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535</v>
      </c>
      <c r="AX97" s="28" t="s">
        <v>265</v>
      </c>
      <c r="AY97" s="28" t="s">
        <v>535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536</v>
      </c>
      <c r="B98" s="28" t="s">
        <v>265</v>
      </c>
      <c r="C98" s="28" t="s">
        <v>535</v>
      </c>
      <c r="D98" s="28" t="s">
        <v>265</v>
      </c>
      <c r="E98" s="28" t="s">
        <v>633</v>
      </c>
      <c r="F98" s="28" t="s">
        <v>535</v>
      </c>
      <c r="G98" s="28" t="s">
        <v>265</v>
      </c>
      <c r="H98" s="28" t="s">
        <v>535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535</v>
      </c>
      <c r="AD98" s="28" t="s">
        <v>535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535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535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535</v>
      </c>
      <c r="AX98" s="28" t="s">
        <v>265</v>
      </c>
      <c r="AY98" s="28" t="s">
        <v>535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536</v>
      </c>
      <c r="B99" s="28" t="s">
        <v>265</v>
      </c>
      <c r="C99" s="28" t="s">
        <v>535</v>
      </c>
      <c r="D99" s="28" t="s">
        <v>265</v>
      </c>
      <c r="E99" s="28" t="s">
        <v>634</v>
      </c>
      <c r="F99" s="28" t="s">
        <v>535</v>
      </c>
      <c r="G99" s="28" t="s">
        <v>265</v>
      </c>
      <c r="H99" s="28" t="s">
        <v>535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535</v>
      </c>
      <c r="AD99" s="28" t="s">
        <v>535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535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535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535</v>
      </c>
      <c r="AX99" s="28" t="s">
        <v>265</v>
      </c>
      <c r="AY99" s="28" t="s">
        <v>535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2024-01-26T11:52:35Z</dcterms:modified>
</cp:coreProperties>
</file>