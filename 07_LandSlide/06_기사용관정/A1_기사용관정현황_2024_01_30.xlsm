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14700C2-2A19-4777-A21A-D09F5C732239}" xr6:coauthVersionLast="47" xr6:coauthVersionMax="47" xr10:uidLastSave="{00000000-0000-0000-0000-000000000000}"/>
  <bookViews>
    <workbookView xWindow="7245" yWindow="1215" windowWidth="28800" windowHeight="1966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aa!$L$105</definedName>
    <definedName name="SUM_II">ii!$L$5</definedName>
    <definedName name="SUM_SS">ss!$L$62</definedName>
  </definedNames>
  <calcPr calcId="191029"/>
</workbook>
</file>

<file path=xl/calcChain.xml><?xml version="1.0" encoding="utf-8"?>
<calcChain xmlns="http://schemas.openxmlformats.org/spreadsheetml/2006/main">
  <c r="M50" i="8" l="1"/>
  <c r="M51" i="8"/>
  <c r="M52" i="8"/>
  <c r="M53" i="8"/>
  <c r="M54" i="8"/>
  <c r="M55" i="8"/>
  <c r="M56" i="8"/>
  <c r="M57" i="8"/>
  <c r="M58" i="8"/>
  <c r="M59" i="8"/>
  <c r="M93" i="10"/>
  <c r="M94" i="10"/>
  <c r="M95" i="10"/>
  <c r="M96" i="10"/>
  <c r="M97" i="10"/>
  <c r="M98" i="10"/>
  <c r="M99" i="10"/>
  <c r="M100" i="10"/>
  <c r="M101" i="10"/>
  <c r="M102" i="10"/>
  <c r="M83" i="10"/>
  <c r="M84" i="10"/>
  <c r="M85" i="10"/>
  <c r="M86" i="10"/>
  <c r="M87" i="10"/>
  <c r="M88" i="10"/>
  <c r="M89" i="10"/>
  <c r="M90" i="10"/>
  <c r="M91" i="10"/>
  <c r="M92" i="10"/>
  <c r="M73" i="10"/>
  <c r="M74" i="10"/>
  <c r="M75" i="10"/>
  <c r="M76" i="10"/>
  <c r="M77" i="10"/>
  <c r="M78" i="10"/>
  <c r="M79" i="10"/>
  <c r="M80" i="10"/>
  <c r="M81" i="10"/>
  <c r="M82" i="10"/>
  <c r="M63" i="10"/>
  <c r="M64" i="10"/>
  <c r="M65" i="10"/>
  <c r="M66" i="10"/>
  <c r="M67" i="10"/>
  <c r="M68" i="10"/>
  <c r="M69" i="10"/>
  <c r="M70" i="10"/>
  <c r="M71" i="10"/>
  <c r="M72" i="10"/>
  <c r="M53" i="10"/>
  <c r="M54" i="10"/>
  <c r="M55" i="10"/>
  <c r="M56" i="10"/>
  <c r="M57" i="10"/>
  <c r="M58" i="10"/>
  <c r="M59" i="10"/>
  <c r="M60" i="10"/>
  <c r="M61" i="10"/>
  <c r="M62" i="10"/>
  <c r="M43" i="8"/>
  <c r="M44" i="8"/>
  <c r="M45" i="8"/>
  <c r="M46" i="8"/>
  <c r="M47" i="8"/>
  <c r="M48" i="8"/>
  <c r="M49" i="8"/>
  <c r="M33" i="8"/>
  <c r="M34" i="8"/>
  <c r="M35" i="8"/>
  <c r="M36" i="8"/>
  <c r="M37" i="8"/>
  <c r="M38" i="8"/>
  <c r="M39" i="8"/>
  <c r="M40" i="8"/>
  <c r="M41" i="8"/>
  <c r="M42" i="8"/>
  <c r="M23" i="8"/>
  <c r="M24" i="8"/>
  <c r="M25" i="8"/>
  <c r="M26" i="8"/>
  <c r="M27" i="8"/>
  <c r="M28" i="8"/>
  <c r="M29" i="8"/>
  <c r="M30" i="8"/>
  <c r="M31" i="8"/>
  <c r="M32" i="8"/>
  <c r="M43" i="10"/>
  <c r="M44" i="10"/>
  <c r="M45" i="10"/>
  <c r="M46" i="10"/>
  <c r="M47" i="10"/>
  <c r="M48" i="10"/>
  <c r="M49" i="10"/>
  <c r="M50" i="10"/>
  <c r="M51" i="10"/>
  <c r="M52" i="10"/>
  <c r="M33" i="10"/>
  <c r="M34" i="10"/>
  <c r="M35" i="10"/>
  <c r="M36" i="10"/>
  <c r="M37" i="10"/>
  <c r="M38" i="10"/>
  <c r="M39" i="10"/>
  <c r="M40" i="10"/>
  <c r="M41" i="10"/>
  <c r="M42" i="10"/>
  <c r="M23" i="10"/>
  <c r="M24" i="10"/>
  <c r="M25" i="10"/>
  <c r="M26" i="10"/>
  <c r="M27" i="10"/>
  <c r="M28" i="10"/>
  <c r="M29" i="10"/>
  <c r="M30" i="10"/>
  <c r="M31" i="10"/>
  <c r="M32" i="10"/>
  <c r="M21" i="10" l="1"/>
  <c r="M22" i="10"/>
  <c r="M19" i="10"/>
  <c r="M20" i="10"/>
  <c r="M17" i="10"/>
  <c r="M18" i="10"/>
  <c r="M15" i="10"/>
  <c r="M16" i="10"/>
  <c r="M13" i="10"/>
  <c r="M14" i="10"/>
  <c r="M21" i="8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65" i="8" l="1"/>
  <c r="E65" i="8" s="1"/>
  <c r="F64" i="8"/>
  <c r="E64" i="8" s="1"/>
  <c r="J9" i="12"/>
  <c r="M2" i="10"/>
  <c r="D9" i="11" l="1"/>
  <c r="C9" i="11"/>
  <c r="D8" i="11"/>
  <c r="L5" i="11"/>
  <c r="C8" i="11" s="1"/>
  <c r="M2" i="11"/>
  <c r="C107" i="10"/>
  <c r="C106" i="10"/>
  <c r="J65" i="8" l="1"/>
  <c r="I65" i="8" s="1"/>
  <c r="J64" i="8"/>
  <c r="I64" i="8" s="1"/>
  <c r="D107" i="10"/>
  <c r="D10" i="11"/>
  <c r="D106" i="10"/>
  <c r="L105" i="10"/>
  <c r="L62" i="8"/>
  <c r="H65" i="8" l="1"/>
  <c r="H64" i="8"/>
  <c r="L64" i="8"/>
  <c r="D108" i="10"/>
  <c r="D65" i="8" l="1"/>
  <c r="G65" i="8"/>
  <c r="C65" i="8" s="1"/>
  <c r="D64" i="8"/>
  <c r="L66" i="8" s="1"/>
  <c r="G64" i="8"/>
  <c r="C64" i="8" s="1"/>
  <c r="L67" i="8" s="1"/>
</calcChain>
</file>

<file path=xl/sharedStrings.xml><?xml version="1.0" encoding="utf-8"?>
<sst xmlns="http://schemas.openxmlformats.org/spreadsheetml/2006/main" count="6094" uniqueCount="926">
  <si>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</si>
  <si>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</si>
  <si>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</si>
  <si>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</si>
  <si>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</si>
  <si>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</si>
  <si>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</si>
  <si>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</si>
  <si>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</si>
  <si>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</si>
  <si>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</si>
  <si>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</si>
  <si>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</si>
  <si>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</si>
  <si>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</si>
  <si>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</si>
  <si>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</si>
  <si>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</si>
  <si>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</si>
  <si>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</si>
  <si>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</si>
  <si>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</si>
  <si>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</si>
  <si>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</si>
  <si>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</si>
  <si>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</si>
  <si>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</si>
  <si>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</si>
  <si>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</si>
  <si>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</si>
  <si>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</si>
  <si>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</si>
  <si>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</si>
  <si>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</si>
  <si>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</si>
  <si>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</si>
  <si>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</si>
  <si>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</si>
  <si>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</si>
  <si>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</si>
  <si>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</si>
  <si>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</si>
  <si>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</si>
  <si>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</si>
  <si>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</si>
  <si>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</si>
  <si>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</si>
  <si>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</si>
  <si>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</si>
  <si>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</si>
  <si>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</si>
  <si>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</si>
  <si>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</si>
  <si>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</si>
  <si>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</si>
  <si>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</si>
  <si>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</si>
  <si>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</si>
  <si>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</si>
  <si>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</si>
  <si>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</si>
  <si>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</si>
  <si>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</si>
  <si>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</si>
  <si>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</si>
  <si>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</si>
  <si>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</si>
  <si>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</si>
  <si>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</si>
  <si>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</si>
  <si>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</si>
  <si>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</si>
  <si>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</si>
  <si>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</si>
  <si>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</si>
  <si>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</si>
  <si>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</si>
  <si>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</si>
  <si>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</si>
  <si>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</si>
  <si>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</si>
  <si>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</si>
  <si>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</si>
  <si>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</si>
  <si>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</si>
  <si>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</si>
  <si>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</si>
  <si>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</si>
  <si>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</si>
  <si>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</si>
  <si>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</si>
  <si>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</si>
  <si>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</si>
  <si>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</si>
  <si>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</si>
  <si>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</si>
  <si>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</si>
  <si>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</si>
  <si>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</si>
  <si>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</si>
  <si>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</si>
  <si>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</si>
  <si>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</si>
  <si>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</si>
  <si>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</si>
  <si>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</si>
  <si>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</si>
  <si>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</si>
  <si>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</si>
  <si>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</si>
  <si>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</si>
  <si>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</si>
  <si>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</si>
  <si>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</si>
  <si>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</si>
  <si>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</si>
  <si>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</si>
  <si>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</si>
  <si>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</si>
  <si>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</si>
  <si>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</si>
  <si>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</si>
  <si>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</si>
  <si>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</si>
  <si>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</si>
  <si>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</si>
  <si>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</si>
  <si>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</si>
  <si>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</si>
  <si>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</si>
  <si>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</si>
  <si>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</si>
  <si>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</si>
  <si>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</si>
  <si>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</si>
  <si>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</si>
  <si>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</si>
  <si>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</si>
  <si>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</si>
  <si>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</si>
  <si>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</si>
  <si>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</si>
  <si>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</si>
  <si>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</si>
  <si>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</si>
  <si>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</si>
  <si>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</si>
  <si>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</si>
  <si>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</si>
  <si>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</si>
  <si>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</si>
  <si>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</si>
  <si>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</si>
  <si>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</si>
  <si>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</si>
  <si>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</si>
  <si>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</si>
  <si>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</si>
  <si>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</si>
  <si>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</si>
  <si>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</si>
  <si>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</si>
  <si>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</si>
  <si>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</si>
  <si>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</si>
  <si>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</si>
  <si>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</si>
  <si>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</si>
  <si>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</si>
  <si>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</si>
  <si>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</si>
  <si>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</si>
  <si>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</si>
  <si>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</si>
  <si>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</si>
  <si>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</si>
  <si>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</si>
  <si>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</si>
  <si>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</si>
  <si>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</si>
  <si>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</si>
  <si>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</si>
  <si>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</si>
  <si>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</si>
  <si>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</si>
  <si>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</si>
  <si>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</si>
  <si>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</si>
  <si>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</si>
  <si>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</si>
  <si>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</si>
  <si>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</si>
  <si>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</si>
  <si>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</si>
  <si>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</si>
  <si>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</si>
  <si>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</si>
  <si>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</si>
  <si>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</si>
  <si>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</si>
  <si>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</si>
  <si>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</si>
  <si>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</si>
  <si>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</si>
  <si>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</si>
  <si>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</si>
  <si>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</si>
  <si>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</si>
  <si>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</si>
  <si>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</si>
  <si>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</si>
  <si>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</si>
  <si>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</si>
  <si>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</si>
  <si>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</si>
  <si>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</si>
  <si>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</si>
  <si>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</si>
  <si>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</si>
  <si>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</si>
  <si>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</si>
  <si>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</si>
  <si>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</si>
  <si>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</si>
  <si>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</si>
  <si>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</si>
  <si>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</si>
  <si>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</si>
  <si>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</si>
  <si>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</si>
  <si>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</si>
  <si>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</si>
  <si>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</si>
  <si>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</si>
  <si>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</si>
  <si>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</si>
  <si>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</si>
  <si>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</si>
  <si>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</si>
  <si>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</si>
  <si>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</si>
  <si>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</si>
  <si>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</si>
  <si>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</si>
  <si>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</si>
  <si>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</si>
  <si>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</si>
  <si>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</si>
  <si>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</si>
  <si>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</si>
  <si>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</si>
  <si>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</si>
  <si>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</si>
  <si>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</si>
  <si>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</si>
  <si>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</si>
  <si>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</si>
  <si>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</si>
  <si>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</si>
  <si>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</si>
  <si>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</si>
  <si>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</si>
  <si>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</si>
  <si>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</si>
  <si>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</si>
  <si>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</si>
  <si>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</si>
  <si>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</si>
  <si>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</si>
  <si>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</si>
  <si>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</si>
  <si>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</si>
  <si>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</si>
  <si>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</si>
  <si>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</si>
  <si>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</si>
  <si>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</si>
  <si>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</si>
  <si>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</si>
  <si>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</si>
  <si>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</si>
  <si>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</si>
  <si>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</si>
  <si>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</si>
  <si>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</si>
  <si>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</si>
  <si>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</si>
  <si>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</si>
  <si>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</si>
  <si>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</si>
  <si>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</si>
  <si>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</si>
  <si>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</si>
  <si>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</si>
  <si>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</si>
  <si>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</si>
  <si>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</si>
  <si>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</si>
  <si>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</si>
  <si>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</si>
  <si>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</si>
  <si>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</si>
  <si>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</si>
  <si>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</si>
  <si>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</si>
  <si>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</si>
  <si>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</si>
  <si>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</si>
  <si>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</si>
  <si>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</si>
  <si>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</si>
  <si>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</si>
  <si>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</si>
  <si>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</si>
  <si>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</si>
  <si>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</si>
  <si>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</si>
  <si>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</si>
  <si>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</si>
  <si>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</si>
  <si>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</si>
  <si>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</si>
  <si>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</si>
  <si>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</si>
  <si>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</si>
  <si>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</si>
  <si>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</si>
  <si>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</si>
  <si>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</si>
  <si>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</si>
  <si>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</si>
  <si>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</si>
  <si>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</si>
  <si>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</si>
  <si>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</si>
  <si>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</si>
  <si>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</si>
  <si>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</si>
  <si>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</si>
  <si>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</si>
  <si>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</si>
  <si>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</si>
  <si>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</si>
  <si>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</si>
  <si>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</si>
  <si>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</si>
  <si>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</si>
  <si>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</si>
  <si>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</si>
  <si>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</si>
  <si>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</si>
  <si>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</si>
  <si>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</si>
  <si>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</si>
  <si>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</si>
  <si>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</si>
  <si>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</si>
  <si>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</si>
  <si>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</si>
  <si>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</si>
  <si>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</si>
  <si>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</si>
  <si>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</si>
  <si>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</si>
  <si>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</si>
  <si>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</si>
  <si>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</si>
  <si>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</si>
  <si>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</si>
  <si>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</si>
  <si>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</si>
  <si>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</si>
  <si>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</si>
  <si>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</si>
  <si>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</si>
  <si>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</si>
  <si>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</si>
  <si>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</si>
  <si>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</si>
  <si>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</si>
  <si>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</si>
  <si>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</si>
  <si>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</si>
  <si>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</si>
  <si>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</si>
  <si>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</si>
  <si>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</si>
  <si>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</si>
  <si>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</si>
  <si>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</si>
  <si>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</si>
  <si>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</si>
  <si>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</si>
  <si>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</si>
  <si>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</si>
  <si>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</si>
  <si>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</si>
  <si>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</si>
  <si>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</si>
  <si>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</si>
  <si>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</si>
  <si>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</si>
  <si>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</si>
  <si>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</si>
  <si>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</si>
  <si>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</si>
  <si>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</si>
  <si>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</si>
  <si>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</si>
  <si>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</si>
  <si>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</si>
  <si>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</si>
  <si>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</si>
  <si>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</si>
  <si>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</si>
  <si>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</si>
  <si>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</si>
  <si>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</si>
  <si>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</si>
  <si>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</si>
  <si>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</si>
  <si>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</si>
  <si>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</si>
  <si>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</si>
  <si>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</si>
  <si>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</si>
  <si>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</si>
  <si>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</si>
  <si>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</si>
  <si>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</si>
  <si>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</si>
  <si>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</si>
  <si>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</si>
  <si>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</si>
  <si>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</si>
  <si>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</si>
  <si>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</si>
  <si>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</si>
  <si>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</si>
  <si>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</si>
  <si>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</si>
  <si>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</si>
  <si>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</si>
  <si>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</si>
  <si>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</si>
  <si>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</si>
  <si>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</si>
  <si>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</si>
  <si>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</si>
  <si>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</si>
  <si>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</si>
  <si>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</si>
  <si>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</si>
  <si>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</si>
  <si>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</si>
  <si>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</si>
  <si>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</si>
  <si>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</si>
  <si>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</si>
  <si>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</si>
  <si>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</si>
  <si>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</si>
  <si>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</si>
  <si>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</si>
  <si>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</si>
  <si>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</si>
  <si>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</si>
  <si>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</si>
  <si>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</si>
  <si>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</si>
  <si>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</si>
  <si>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</si>
  <si>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</si>
  <si>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</si>
  <si>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</si>
  <si>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</si>
  <si>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</si>
  <si>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</si>
  <si>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</si>
  <si>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</si>
  <si>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</si>
  <si>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</si>
  <si>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</si>
  <si>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</si>
  <si>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</si>
  <si>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</si>
  <si>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</si>
  <si>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</si>
  <si>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</si>
  <si>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</si>
  <si>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</si>
  <si>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</si>
  <si>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</si>
  <si>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</si>
  <si>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</si>
  <si>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</si>
  <si>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</si>
  <si>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</si>
  <si>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</si>
  <si>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</si>
  <si>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</si>
  <si>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</si>
  <si>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</si>
  <si>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</si>
  <si>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</si>
  <si>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</si>
  <si>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</si>
  <si>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</si>
  <si>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</si>
  <si>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</si>
  <si>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</si>
  <si>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</si>
  <si>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</si>
  <si>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</si>
  <si>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</si>
  <si>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</si>
  <si>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</si>
  <si>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</si>
  <si>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</si>
  <si>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</si>
  <si>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</si>
  <si>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</si>
  <si>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</si>
  <si>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</si>
  <si>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</si>
  <si>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</si>
  <si>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</si>
  <si>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</si>
  <si>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</si>
  <si>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</si>
  <si>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</si>
  <si>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</si>
  <si>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</si>
  <si>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</si>
  <si>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</si>
  <si>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</si>
  <si>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</si>
  <si>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</si>
  <si>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</si>
  <si>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</si>
  <si>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</si>
  <si>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</si>
  <si>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</si>
  <si>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</si>
  <si>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</si>
  <si>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</si>
  <si>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</si>
  <si>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</si>
  <si>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</si>
  <si>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</si>
  <si>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</si>
  <si>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</si>
  <si>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</si>
  <si>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</si>
  <si>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</si>
  <si>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</si>
  <si>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</si>
  <si>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</si>
  <si>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</si>
  <si>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</si>
  <si>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</si>
  <si>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</si>
  <si>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</si>
  <si>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</si>
  <si>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</si>
  <si>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</si>
  <si>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</si>
  <si>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</si>
  <si>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</si>
  <si>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</si>
  <si>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</si>
  <si>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</si>
  <si>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</si>
  <si>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</si>
  <si>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</si>
  <si>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</si>
  <si>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</si>
  <si>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</si>
  <si>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</si>
  <si>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</si>
  <si>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</si>
  <si>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</si>
  <si>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</si>
  <si>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</si>
  <si>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</si>
  <si>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</si>
  <si>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</si>
  <si>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</si>
  <si>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</si>
  <si>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</si>
  <si>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</si>
  <si>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</si>
  <si>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</si>
  <si>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</si>
  <si>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</si>
  <si>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</si>
  <si>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</si>
  <si>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</si>
  <si>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</si>
  <si>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</si>
  <si>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</si>
  <si>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</si>
  <si>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</si>
  <si>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</si>
  <si>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</si>
  <si>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</si>
  <si>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</si>
  <si>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</si>
  <si>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</si>
  <si>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</si>
  <si>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</si>
  <si>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</si>
  <si>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</si>
  <si>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</si>
  <si>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</si>
  <si>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</si>
  <si>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</si>
  <si>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</si>
  <si>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</si>
  <si>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</si>
  <si>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</si>
  <si>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</si>
  <si>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</si>
  <si>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</si>
  <si>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</si>
  <si>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</si>
  <si>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</si>
  <si>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</si>
  <si>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</si>
  <si>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</si>
  <si>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</si>
  <si>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</si>
  <si>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</si>
  <si>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</si>
  <si>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</si>
  <si>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</si>
  <si>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</si>
  <si>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</si>
  <si>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</si>
  <si>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</si>
  <si>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</si>
  <si>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</si>
  <si>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</si>
  <si>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</si>
  <si>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</si>
  <si>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</si>
  <si>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</si>
  <si>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</si>
  <si>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</si>
  <si>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</si>
  <si>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</si>
  <si>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답작용</t>
    <phoneticPr fontId="19" type="noConversion"/>
  </si>
  <si>
    <t>전작용</t>
    <phoneticPr fontId="19" type="noConversion"/>
  </si>
  <si>
    <t>원예용</t>
    <phoneticPr fontId="19" type="noConversion"/>
  </si>
  <si>
    <t>천북면</t>
    <phoneticPr fontId="19" type="noConversion"/>
  </si>
  <si>
    <t>신덕리</t>
    <phoneticPr fontId="19" type="noConversion"/>
  </si>
  <si>
    <t>451-5</t>
    <phoneticPr fontId="19" type="noConversion"/>
  </si>
  <si>
    <t>451-2</t>
    <phoneticPr fontId="19" type="noConversion"/>
  </si>
  <si>
    <t>신죽리</t>
    <phoneticPr fontId="19" type="noConversion"/>
  </si>
  <si>
    <t>650-2</t>
    <phoneticPr fontId="19" type="noConversion"/>
  </si>
  <si>
    <t>647</t>
    <phoneticPr fontId="19" type="noConversion"/>
  </si>
  <si>
    <t>620-4</t>
    <phoneticPr fontId="19" type="noConversion"/>
  </si>
  <si>
    <t>447-4</t>
    <phoneticPr fontId="19" type="noConversion"/>
  </si>
  <si>
    <t>445-3</t>
    <phoneticPr fontId="19" type="noConversion"/>
  </si>
  <si>
    <t>445-1</t>
    <phoneticPr fontId="19" type="noConversion"/>
  </si>
  <si>
    <t>607</t>
    <phoneticPr fontId="19" type="noConversion"/>
  </si>
  <si>
    <t>600</t>
    <phoneticPr fontId="19" type="noConversion"/>
  </si>
  <si>
    <t>598</t>
    <phoneticPr fontId="19" type="noConversion"/>
  </si>
  <si>
    <t>595-3</t>
    <phoneticPr fontId="19" type="noConversion"/>
  </si>
  <si>
    <t>596</t>
    <phoneticPr fontId="19" type="noConversion"/>
  </si>
  <si>
    <t>587-2</t>
    <phoneticPr fontId="19" type="noConversion"/>
  </si>
  <si>
    <t>591</t>
    <phoneticPr fontId="19" type="noConversion"/>
  </si>
  <si>
    <t>584-2</t>
    <phoneticPr fontId="19" type="noConversion"/>
  </si>
  <si>
    <t>584-13</t>
    <phoneticPr fontId="19" type="noConversion"/>
  </si>
  <si>
    <t>592</t>
    <phoneticPr fontId="19" type="noConversion"/>
  </si>
  <si>
    <t>610-1</t>
    <phoneticPr fontId="19" type="noConversion"/>
  </si>
  <si>
    <t>108-1</t>
    <phoneticPr fontId="19" type="noConversion"/>
  </si>
  <si>
    <t>107-2</t>
    <phoneticPr fontId="19" type="noConversion"/>
  </si>
  <si>
    <t>107-1</t>
    <phoneticPr fontId="19" type="noConversion"/>
  </si>
  <si>
    <t>568-6</t>
    <phoneticPr fontId="19" type="noConversion"/>
  </si>
  <si>
    <t>105-3</t>
    <phoneticPr fontId="19" type="noConversion"/>
  </si>
  <si>
    <t>100-1</t>
    <phoneticPr fontId="19" type="noConversion"/>
  </si>
  <si>
    <t>99-3</t>
    <phoneticPr fontId="19" type="noConversion"/>
  </si>
  <si>
    <t>98-5</t>
    <phoneticPr fontId="19" type="noConversion"/>
  </si>
  <si>
    <t>99-1</t>
    <phoneticPr fontId="19" type="noConversion"/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</si>
  <si>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</si>
  <si>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</si>
  <si>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</si>
  <si>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</si>
  <si>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</si>
  <si>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</si>
  <si>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</si>
  <si>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</si>
  <si>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</si>
  <si>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</si>
  <si>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</si>
  <si>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</si>
  <si>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</si>
  <si>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</si>
  <si>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</si>
  <si>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</si>
  <si>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</si>
  <si>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</si>
  <si>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</si>
  <si>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</si>
  <si>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</si>
  <si>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</si>
  <si>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</si>
  <si>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</si>
  <si>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</si>
  <si>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</si>
  <si>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</si>
  <si>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</si>
  <si>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</si>
  <si>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</si>
  <si>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400-1</t>
    <phoneticPr fontId="19" type="noConversion"/>
  </si>
  <si>
    <t>382-3</t>
    <phoneticPr fontId="19" type="noConversion"/>
  </si>
  <si>
    <t>408-1</t>
    <phoneticPr fontId="19" type="noConversion"/>
  </si>
  <si>
    <t>381-2</t>
    <phoneticPr fontId="19" type="noConversion"/>
  </si>
  <si>
    <t>383-2</t>
    <phoneticPr fontId="19" type="noConversion"/>
  </si>
  <si>
    <t>117-2</t>
    <phoneticPr fontId="19" type="noConversion"/>
  </si>
  <si>
    <t>352</t>
    <phoneticPr fontId="19" type="noConversion"/>
  </si>
  <si>
    <t>350</t>
    <phoneticPr fontId="19" type="noConversion"/>
  </si>
  <si>
    <t>353</t>
    <phoneticPr fontId="19" type="noConversion"/>
  </si>
  <si>
    <t>351-2</t>
    <phoneticPr fontId="19" type="noConversion"/>
  </si>
  <si>
    <t>355</t>
    <phoneticPr fontId="19" type="noConversion"/>
  </si>
  <si>
    <t>348</t>
    <phoneticPr fontId="19" type="noConversion"/>
  </si>
  <si>
    <t>347-2</t>
    <phoneticPr fontId="19" type="noConversion"/>
  </si>
  <si>
    <t>347-7</t>
    <phoneticPr fontId="19" type="noConversion"/>
  </si>
  <si>
    <t>345-3</t>
    <phoneticPr fontId="19" type="noConversion"/>
  </si>
  <si>
    <t>144</t>
    <phoneticPr fontId="19" type="noConversion"/>
  </si>
  <si>
    <t>산39-1</t>
    <phoneticPr fontId="19" type="noConversion"/>
  </si>
  <si>
    <t>343</t>
    <phoneticPr fontId="19" type="noConversion"/>
  </si>
  <si>
    <t>361</t>
    <phoneticPr fontId="19" type="noConversion"/>
  </si>
  <si>
    <t>493</t>
    <phoneticPr fontId="19" type="noConversion"/>
  </si>
  <si>
    <t>490-2</t>
    <phoneticPr fontId="19" type="noConversion"/>
  </si>
  <si>
    <t>503-10</t>
    <phoneticPr fontId="19" type="noConversion"/>
  </si>
  <si>
    <t>497</t>
    <phoneticPr fontId="19" type="noConversion"/>
  </si>
  <si>
    <t>499</t>
    <phoneticPr fontId="19" type="noConversion"/>
  </si>
  <si>
    <t>503-5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</si>
  <si>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</si>
  <si>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</si>
  <si>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</si>
  <si>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</si>
  <si>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</si>
  <si>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</si>
  <si>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</si>
  <si>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</si>
  <si>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</si>
  <si>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</si>
  <si>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</si>
  <si>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</si>
  <si>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</si>
  <si>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</si>
  <si>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</si>
  <si>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</si>
  <si>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</si>
  <si>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</si>
  <si>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</si>
  <si>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</si>
  <si>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</si>
  <si>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</si>
  <si>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</si>
  <si>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</si>
  <si>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</si>
  <si>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</si>
  <si>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</si>
  <si>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507-4</t>
    <phoneticPr fontId="19" type="noConversion"/>
  </si>
  <si>
    <t>507-3</t>
    <phoneticPr fontId="19" type="noConversion"/>
  </si>
  <si>
    <t>504</t>
    <phoneticPr fontId="19" type="noConversion"/>
  </si>
  <si>
    <t>505-3</t>
    <phoneticPr fontId="19" type="noConversion"/>
  </si>
  <si>
    <t>522</t>
    <phoneticPr fontId="19" type="noConversion"/>
  </si>
  <si>
    <t>442-3</t>
    <phoneticPr fontId="19" type="noConversion"/>
  </si>
  <si>
    <t>442-4</t>
    <phoneticPr fontId="19" type="noConversion"/>
  </si>
  <si>
    <t>442-7</t>
    <phoneticPr fontId="19" type="noConversion"/>
  </si>
  <si>
    <t>442-10</t>
    <phoneticPr fontId="19" type="noConversion"/>
  </si>
  <si>
    <t>441-11</t>
    <phoneticPr fontId="19" type="noConversion"/>
  </si>
  <si>
    <t>441-13</t>
    <phoneticPr fontId="19" type="noConversion"/>
  </si>
  <si>
    <t>441-4</t>
    <phoneticPr fontId="19" type="noConversion"/>
  </si>
  <si>
    <t>538-3</t>
    <phoneticPr fontId="19" type="noConversion"/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</si>
  <si>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</si>
  <si>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</si>
  <si>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</si>
  <si>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</si>
  <si>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</si>
  <si>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</si>
  <si>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</si>
  <si>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</si>
  <si>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</si>
  <si>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</si>
  <si>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</si>
  <si>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</si>
  <si>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</si>
  <si>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</si>
  <si>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</si>
  <si>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</si>
  <si>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</si>
  <si>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</si>
  <si>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</si>
  <si>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</si>
  <si>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</si>
  <si>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</si>
  <si>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</si>
  <si>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</si>
  <si>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</si>
  <si>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</si>
  <si>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</si>
  <si>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</si>
  <si>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</si>
  <si>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</si>
  <si>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</si>
  <si>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</si>
  <si>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</si>
  <si>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</si>
  <si>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</si>
  <si>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</si>
  <si>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</si>
  <si>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</si>
  <si>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</si>
  <si>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</si>
  <si>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</si>
  <si>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</si>
  <si>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</si>
  <si>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</si>
  <si>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</si>
  <si>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</si>
  <si>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</si>
  <si>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</si>
  <si>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</si>
  <si>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</si>
  <si>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541-3</t>
    <phoneticPr fontId="19" type="noConversion"/>
  </si>
  <si>
    <t>535-1</t>
    <phoneticPr fontId="19" type="noConversion"/>
  </si>
  <si>
    <t>531-5</t>
    <phoneticPr fontId="19" type="noConversion"/>
  </si>
  <si>
    <t>524</t>
    <phoneticPr fontId="19" type="noConversion"/>
  </si>
  <si>
    <t>531-9</t>
    <phoneticPr fontId="19" type="noConversion"/>
  </si>
  <si>
    <t>533</t>
    <phoneticPr fontId="19" type="noConversion"/>
  </si>
  <si>
    <t>550-1</t>
    <phoneticPr fontId="19" type="noConversion"/>
  </si>
  <si>
    <t>산77-1</t>
    <phoneticPr fontId="19" type="noConversion"/>
  </si>
  <si>
    <t>542-5</t>
    <phoneticPr fontId="19" type="noConversion"/>
  </si>
  <si>
    <t>376-1</t>
    <phoneticPr fontId="19" type="noConversion"/>
  </si>
  <si>
    <t>377</t>
    <phoneticPr fontId="19" type="noConversion"/>
  </si>
  <si>
    <t>375</t>
    <phoneticPr fontId="19" type="noConversion"/>
  </si>
  <si>
    <t>산27-3</t>
    <phoneticPr fontId="19" type="noConversion"/>
  </si>
  <si>
    <t>379-2</t>
    <phoneticPr fontId="19" type="noConversion"/>
  </si>
  <si>
    <t>565-1</t>
    <phoneticPr fontId="19" type="noConversion"/>
  </si>
  <si>
    <t>568-1</t>
    <phoneticPr fontId="19" type="noConversion"/>
  </si>
  <si>
    <t>553-1</t>
    <phoneticPr fontId="19" type="noConversion"/>
  </si>
  <si>
    <t>553-3</t>
    <phoneticPr fontId="19" type="noConversion"/>
  </si>
  <si>
    <t>산73-5</t>
    <phoneticPr fontId="19" type="noConversion"/>
  </si>
  <si>
    <t>557-2</t>
    <phoneticPr fontId="19" type="noConversion"/>
  </si>
  <si>
    <t>556</t>
    <phoneticPr fontId="19" type="noConversion"/>
  </si>
  <si>
    <t>567</t>
    <phoneticPr fontId="19" type="noConversion"/>
  </si>
  <si>
    <t>371-2</t>
    <phoneticPr fontId="19" type="noConversion"/>
  </si>
  <si>
    <t>568</t>
    <phoneticPr fontId="19" type="noConversion"/>
  </si>
  <si>
    <t>333-5</t>
    <phoneticPr fontId="19" type="noConversion"/>
  </si>
  <si>
    <t>570</t>
    <phoneticPr fontId="19" type="noConversion"/>
  </si>
  <si>
    <t>573</t>
    <phoneticPr fontId="19" type="noConversion"/>
  </si>
  <si>
    <t>579</t>
    <phoneticPr fontId="19" type="noConversion"/>
  </si>
  <si>
    <t>587</t>
    <phoneticPr fontId="19" type="noConversion"/>
  </si>
  <si>
    <t>588</t>
    <phoneticPr fontId="19" type="noConversion"/>
  </si>
  <si>
    <t>580</t>
    <phoneticPr fontId="19" type="noConversion"/>
  </si>
  <si>
    <t>582</t>
    <phoneticPr fontId="19" type="noConversion"/>
  </si>
  <si>
    <t>584</t>
    <phoneticPr fontId="19" type="noConversion"/>
  </si>
  <si>
    <t>593</t>
    <phoneticPr fontId="19" type="noConversion"/>
  </si>
  <si>
    <t>671-4</t>
    <phoneticPr fontId="19" type="noConversion"/>
  </si>
  <si>
    <t>낙동리</t>
    <phoneticPr fontId="19" type="noConversion"/>
  </si>
  <si>
    <t>22-4</t>
    <phoneticPr fontId="19" type="noConversion"/>
  </si>
  <si>
    <t>22-3</t>
    <phoneticPr fontId="19" type="noConversion"/>
  </si>
  <si>
    <t>11-2</t>
    <phoneticPr fontId="19" type="noConversion"/>
  </si>
  <si>
    <t>7</t>
    <phoneticPr fontId="19" type="noConversion"/>
  </si>
  <si>
    <t>9</t>
    <phoneticPr fontId="19" type="noConversion"/>
  </si>
  <si>
    <t>8</t>
    <phoneticPr fontId="19" type="noConversion"/>
  </si>
  <si>
    <t>8-1</t>
    <phoneticPr fontId="19" type="noConversion"/>
  </si>
  <si>
    <t>329-11</t>
    <phoneticPr fontId="19" type="noConversion"/>
  </si>
  <si>
    <t>35-2</t>
    <phoneticPr fontId="19" type="noConversion"/>
  </si>
  <si>
    <t>35</t>
    <phoneticPr fontId="19" type="noConversion"/>
  </si>
  <si>
    <t>34</t>
    <phoneticPr fontId="19" type="noConversion"/>
  </si>
  <si>
    <t>14-4</t>
    <phoneticPr fontId="19" type="noConversion"/>
  </si>
  <si>
    <t>32-4</t>
    <phoneticPr fontId="19" type="noConversion"/>
  </si>
  <si>
    <t>19</t>
    <phoneticPr fontId="19" type="noConversion"/>
  </si>
  <si>
    <t>24-3</t>
    <phoneticPr fontId="19" type="noConversion"/>
  </si>
  <si>
    <t>21-3</t>
    <phoneticPr fontId="19" type="noConversion"/>
  </si>
  <si>
    <t>13-8</t>
    <phoneticPr fontId="19" type="noConversion"/>
  </si>
  <si>
    <t>X</t>
    <phoneticPr fontId="19" type="noConversion"/>
  </si>
  <si>
    <t>13-4</t>
    <phoneticPr fontId="19" type="noConversion"/>
  </si>
  <si>
    <t>57-2</t>
    <phoneticPr fontId="19" type="noConversion"/>
  </si>
  <si>
    <t>75</t>
    <phoneticPr fontId="19" type="noConversion"/>
  </si>
  <si>
    <t>76-1</t>
    <phoneticPr fontId="19" type="noConversion"/>
  </si>
  <si>
    <t>82-13</t>
    <phoneticPr fontId="19" type="noConversion"/>
  </si>
  <si>
    <t>81-2</t>
    <phoneticPr fontId="19" type="noConversion"/>
  </si>
  <si>
    <t>80-1</t>
    <phoneticPr fontId="19" type="noConversion"/>
  </si>
  <si>
    <t>602</t>
    <phoneticPr fontId="19" type="noConversion"/>
  </si>
  <si>
    <t>613</t>
    <phoneticPr fontId="19" type="noConversion"/>
  </si>
  <si>
    <t>614-1</t>
    <phoneticPr fontId="19" type="noConversion"/>
  </si>
  <si>
    <t>614-2</t>
    <phoneticPr fontId="19" type="noConversion"/>
  </si>
  <si>
    <t>614-6</t>
    <phoneticPr fontId="19" type="noConversion"/>
  </si>
  <si>
    <t>615-2</t>
    <phoneticPr fontId="19" type="noConversion"/>
  </si>
  <si>
    <t>658</t>
    <phoneticPr fontId="19" type="noConversion"/>
  </si>
  <si>
    <t>615-10</t>
    <phoneticPr fontId="19" type="noConversion"/>
  </si>
  <si>
    <t>656</t>
    <phoneticPr fontId="19" type="noConversion"/>
  </si>
  <si>
    <t>657</t>
    <phoneticPr fontId="19" type="noConversion"/>
  </si>
  <si>
    <t>617-3</t>
    <phoneticPr fontId="19" type="noConversion"/>
  </si>
  <si>
    <t>311</t>
    <phoneticPr fontId="19" type="noConversion"/>
  </si>
  <si>
    <t>644</t>
    <phoneticPr fontId="19" type="noConversion"/>
  </si>
  <si>
    <t>330-1</t>
    <phoneticPr fontId="19" type="noConversion"/>
  </si>
  <si>
    <t>648-1</t>
    <phoneticPr fontId="19" type="noConversion"/>
  </si>
  <si>
    <t>276-11</t>
    <phoneticPr fontId="19" type="noConversion"/>
  </si>
  <si>
    <t>276-11</t>
    <phoneticPr fontId="19" type="noConversion"/>
  </si>
  <si>
    <t>277-1</t>
    <phoneticPr fontId="19" type="noConversion"/>
  </si>
  <si>
    <t>282-2</t>
    <phoneticPr fontId="19" type="noConversion"/>
  </si>
  <si>
    <t>308</t>
    <phoneticPr fontId="19" type="noConversion"/>
  </si>
  <si>
    <t>269</t>
    <phoneticPr fontId="19" type="noConversion"/>
  </si>
  <si>
    <t>262</t>
    <phoneticPr fontId="19" type="noConversion"/>
  </si>
  <si>
    <t>618-3</t>
    <phoneticPr fontId="19" type="noConversion"/>
  </si>
  <si>
    <t>618-4</t>
    <phoneticPr fontId="19" type="noConversion"/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</si>
  <si>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</si>
  <si>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</si>
  <si>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</si>
  <si>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</si>
  <si>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</si>
  <si>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</si>
  <si>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</si>
  <si>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</si>
  <si>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</si>
  <si>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</si>
  <si>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dd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</si>
</sst>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142875</xdr:rowOff>
        </xdr:from>
        <xdr:to>
          <xdr:col>13</xdr:col>
          <xdr:colOff>57150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133350</xdr:rowOff>
        </xdr:from>
        <xdr:to>
          <xdr:col>12</xdr:col>
          <xdr:colOff>895350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3"/>
  <sheetViews>
    <sheetView tabSelected="1" workbookViewId="0">
      <selection activeCell="T47" sqref="T47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654</v>
      </c>
      <c r="D2" s="2" t="s">
        <v>658</v>
      </c>
      <c r="E2" s="6" t="s">
        <v>659</v>
      </c>
      <c r="F2" s="2">
        <v>40</v>
      </c>
      <c r="G2" s="2">
        <v>32</v>
      </c>
      <c r="H2" s="2">
        <v>0.5</v>
      </c>
      <c r="I2" s="2">
        <v>30</v>
      </c>
      <c r="J2" s="2">
        <v>30</v>
      </c>
      <c r="K2" s="2" t="s">
        <v>146</v>
      </c>
      <c r="L2" s="12">
        <v>0.67</v>
      </c>
      <c r="M2" s="2" t="str">
        <f>D2&amp;" " &amp; E2</f>
        <v>신죽리 650-2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654</v>
      </c>
      <c r="D3" s="2" t="s">
        <v>658</v>
      </c>
      <c r="E3" s="6" t="s">
        <v>660</v>
      </c>
      <c r="F3" s="2">
        <v>40</v>
      </c>
      <c r="G3" s="2">
        <v>32</v>
      </c>
      <c r="H3" s="2">
        <v>0.5</v>
      </c>
      <c r="I3" s="2">
        <v>30</v>
      </c>
      <c r="J3" s="2">
        <v>30</v>
      </c>
      <c r="K3" s="2" t="s">
        <v>146</v>
      </c>
      <c r="L3" s="12">
        <v>0.67</v>
      </c>
      <c r="M3" s="2" t="str">
        <f t="shared" ref="M3:M9" si="0">D3&amp;" " &amp; E3</f>
        <v>신죽리 647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654</v>
      </c>
      <c r="D4" s="2" t="s">
        <v>658</v>
      </c>
      <c r="E4" s="6" t="s">
        <v>666</v>
      </c>
      <c r="F4" s="2">
        <v>40</v>
      </c>
      <c r="G4" s="2">
        <v>32</v>
      </c>
      <c r="H4" s="2">
        <v>0.5</v>
      </c>
      <c r="I4" s="2">
        <v>30</v>
      </c>
      <c r="J4" s="2">
        <v>30</v>
      </c>
      <c r="K4" s="2" t="s">
        <v>146</v>
      </c>
      <c r="L4" s="12">
        <v>0.67</v>
      </c>
      <c r="M4" s="2" t="str">
        <f t="shared" si="0"/>
        <v>신죽리 600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654</v>
      </c>
      <c r="D5" s="2" t="s">
        <v>658</v>
      </c>
      <c r="E5" s="6" t="s">
        <v>668</v>
      </c>
      <c r="F5" s="2">
        <v>40</v>
      </c>
      <c r="G5" s="2">
        <v>32</v>
      </c>
      <c r="H5" s="2">
        <v>0.5</v>
      </c>
      <c r="I5" s="2">
        <v>30</v>
      </c>
      <c r="J5" s="2">
        <v>30</v>
      </c>
      <c r="K5" s="2" t="s">
        <v>146</v>
      </c>
      <c r="L5" s="12">
        <v>0.67</v>
      </c>
      <c r="M5" s="2" t="str">
        <f t="shared" si="0"/>
        <v>신죽리 595-3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654</v>
      </c>
      <c r="D6" s="2" t="s">
        <v>658</v>
      </c>
      <c r="E6" s="6" t="s">
        <v>669</v>
      </c>
      <c r="F6" s="2">
        <v>40</v>
      </c>
      <c r="G6" s="2">
        <v>32</v>
      </c>
      <c r="H6" s="2">
        <v>0.5</v>
      </c>
      <c r="I6" s="2">
        <v>30</v>
      </c>
      <c r="J6" s="2">
        <v>30</v>
      </c>
      <c r="K6" s="2" t="s">
        <v>146</v>
      </c>
      <c r="L6" s="12">
        <v>0.67</v>
      </c>
      <c r="M6" s="2" t="str">
        <f t="shared" si="0"/>
        <v>신죽리 596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654</v>
      </c>
      <c r="D7" s="2" t="s">
        <v>658</v>
      </c>
      <c r="E7" s="6" t="s">
        <v>670</v>
      </c>
      <c r="F7" s="2">
        <v>40</v>
      </c>
      <c r="G7" s="2">
        <v>32</v>
      </c>
      <c r="H7" s="2">
        <v>0.5</v>
      </c>
      <c r="I7" s="2">
        <v>30</v>
      </c>
      <c r="J7" s="2">
        <v>30</v>
      </c>
      <c r="K7" s="2" t="s">
        <v>146</v>
      </c>
      <c r="L7" s="12">
        <v>0.67</v>
      </c>
      <c r="M7" s="2" t="str">
        <f t="shared" si="0"/>
        <v>신죽리 587-2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654</v>
      </c>
      <c r="D8" s="2" t="s">
        <v>658</v>
      </c>
      <c r="E8" s="6" t="s">
        <v>673</v>
      </c>
      <c r="F8" s="2">
        <v>40</v>
      </c>
      <c r="G8" s="2">
        <v>32</v>
      </c>
      <c r="H8" s="2">
        <v>0.5</v>
      </c>
      <c r="I8" s="2">
        <v>30</v>
      </c>
      <c r="J8" s="2">
        <v>30</v>
      </c>
      <c r="K8" s="2" t="s">
        <v>146</v>
      </c>
      <c r="L8" s="12">
        <v>0.67</v>
      </c>
      <c r="M8" s="2" t="str">
        <f t="shared" si="0"/>
        <v>신죽리 584-13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654</v>
      </c>
      <c r="D9" s="2" t="s">
        <v>658</v>
      </c>
      <c r="E9" s="6" t="s">
        <v>672</v>
      </c>
      <c r="F9" s="2">
        <v>50</v>
      </c>
      <c r="G9" s="2">
        <v>32</v>
      </c>
      <c r="H9" s="2">
        <v>0.3</v>
      </c>
      <c r="I9" s="2">
        <v>30</v>
      </c>
      <c r="J9" s="2">
        <v>25</v>
      </c>
      <c r="K9" s="2" t="s">
        <v>146</v>
      </c>
      <c r="L9" s="12">
        <v>0.67</v>
      </c>
      <c r="M9" s="2" t="str">
        <f t="shared" si="0"/>
        <v>신죽리 584-2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654</v>
      </c>
      <c r="D10" s="2" t="s">
        <v>655</v>
      </c>
      <c r="E10" s="6" t="s">
        <v>680</v>
      </c>
      <c r="F10" s="2">
        <v>150</v>
      </c>
      <c r="G10" s="2">
        <v>200</v>
      </c>
      <c r="H10" s="2">
        <v>2</v>
      </c>
      <c r="I10" s="2">
        <v>89</v>
      </c>
      <c r="J10" s="2">
        <v>40</v>
      </c>
      <c r="K10" s="2" t="s">
        <v>147</v>
      </c>
      <c r="L10" s="12">
        <v>5.2</v>
      </c>
      <c r="M10" s="2" t="str">
        <f t="shared" ref="M10:M11" si="1">D10&amp;" " &amp; E10</f>
        <v>신덕리 105-3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654</v>
      </c>
      <c r="D11" s="2" t="s">
        <v>655</v>
      </c>
      <c r="E11" s="6" t="s">
        <v>715</v>
      </c>
      <c r="F11" s="2">
        <v>40</v>
      </c>
      <c r="G11" s="2">
        <v>50</v>
      </c>
      <c r="H11" s="2">
        <v>0.5</v>
      </c>
      <c r="I11" s="2">
        <v>10</v>
      </c>
      <c r="J11" s="2">
        <v>30</v>
      </c>
      <c r="K11" s="2" t="s">
        <v>146</v>
      </c>
      <c r="L11" s="12">
        <v>0.67</v>
      </c>
      <c r="M11" s="2" t="str">
        <f t="shared" si="1"/>
        <v>신덕리 400-1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654</v>
      </c>
      <c r="D12" s="2" t="s">
        <v>655</v>
      </c>
      <c r="E12" s="6" t="s">
        <v>718</v>
      </c>
      <c r="F12" s="2">
        <v>40</v>
      </c>
      <c r="G12" s="2">
        <v>50</v>
      </c>
      <c r="H12" s="2">
        <v>0.5</v>
      </c>
      <c r="I12" s="2">
        <v>10</v>
      </c>
      <c r="J12" s="2">
        <v>30</v>
      </c>
      <c r="K12" s="2" t="s">
        <v>146</v>
      </c>
      <c r="L12" s="12">
        <v>0.67</v>
      </c>
      <c r="M12" s="2" t="str">
        <f t="shared" ref="M12:M13" si="2">D12&amp;" " &amp; E12</f>
        <v>신덕리 381-2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654</v>
      </c>
      <c r="D13" s="2" t="s">
        <v>655</v>
      </c>
      <c r="E13" s="6" t="s">
        <v>719</v>
      </c>
      <c r="F13" s="2">
        <v>30</v>
      </c>
      <c r="G13" s="2">
        <v>50</v>
      </c>
      <c r="H13" s="2">
        <v>0.5</v>
      </c>
      <c r="I13" s="2">
        <v>10</v>
      </c>
      <c r="J13" s="2">
        <v>30</v>
      </c>
      <c r="K13" s="2" t="s">
        <v>146</v>
      </c>
      <c r="L13" s="12">
        <v>0.67</v>
      </c>
      <c r="M13" s="2" t="str">
        <f t="shared" si="2"/>
        <v>신덕리 383-2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654</v>
      </c>
      <c r="D14" s="2" t="s">
        <v>655</v>
      </c>
      <c r="E14" s="6" t="s">
        <v>722</v>
      </c>
      <c r="F14" s="2">
        <v>30</v>
      </c>
      <c r="G14" s="2">
        <v>50</v>
      </c>
      <c r="H14" s="2">
        <v>0.5</v>
      </c>
      <c r="I14" s="2">
        <v>10</v>
      </c>
      <c r="J14" s="2">
        <v>20</v>
      </c>
      <c r="K14" s="2" t="s">
        <v>146</v>
      </c>
      <c r="L14" s="12">
        <v>0.67</v>
      </c>
      <c r="M14" s="2" t="str">
        <f t="shared" ref="M14:M15" si="3">D14&amp;" " &amp; E14</f>
        <v>신덕리 350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654</v>
      </c>
      <c r="D15" s="2" t="s">
        <v>655</v>
      </c>
      <c r="E15" s="6" t="s">
        <v>736</v>
      </c>
      <c r="F15" s="2">
        <v>50</v>
      </c>
      <c r="G15" s="2">
        <v>50</v>
      </c>
      <c r="H15" s="2">
        <v>0.5</v>
      </c>
      <c r="I15" s="2">
        <v>10</v>
      </c>
      <c r="J15" s="2">
        <v>25</v>
      </c>
      <c r="K15" s="2" t="s">
        <v>146</v>
      </c>
      <c r="L15" s="12">
        <v>0.67</v>
      </c>
      <c r="M15" s="2" t="str">
        <f t="shared" si="3"/>
        <v>신덕리 503-10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654</v>
      </c>
      <c r="D16" s="2" t="s">
        <v>655</v>
      </c>
      <c r="E16" s="6" t="s">
        <v>738</v>
      </c>
      <c r="F16" s="2">
        <v>50</v>
      </c>
      <c r="G16" s="2">
        <v>50</v>
      </c>
      <c r="H16" s="2">
        <v>0.5</v>
      </c>
      <c r="I16" s="2">
        <v>15</v>
      </c>
      <c r="J16" s="2">
        <v>25</v>
      </c>
      <c r="K16" s="2" t="s">
        <v>146</v>
      </c>
      <c r="L16" s="12">
        <v>0.67</v>
      </c>
      <c r="M16" s="2" t="str">
        <f t="shared" ref="M16:M17" si="4">D16&amp;" " &amp; E16</f>
        <v>신덕리 499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654</v>
      </c>
      <c r="D17" s="2" t="s">
        <v>655</v>
      </c>
      <c r="E17" s="6" t="s">
        <v>739</v>
      </c>
      <c r="F17" s="2">
        <v>40</v>
      </c>
      <c r="G17" s="2">
        <v>50</v>
      </c>
      <c r="H17" s="2">
        <v>0.5</v>
      </c>
      <c r="I17" s="2">
        <v>10</v>
      </c>
      <c r="J17" s="2">
        <v>15</v>
      </c>
      <c r="K17" s="2" t="s">
        <v>146</v>
      </c>
      <c r="L17" s="12">
        <v>0.67</v>
      </c>
      <c r="M17" s="2" t="str">
        <f t="shared" si="4"/>
        <v>신덕리 503-5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654</v>
      </c>
      <c r="D18" s="2" t="s">
        <v>655</v>
      </c>
      <c r="E18" s="6" t="s">
        <v>768</v>
      </c>
      <c r="F18" s="2">
        <v>45</v>
      </c>
      <c r="G18" s="2">
        <v>50</v>
      </c>
      <c r="H18" s="2">
        <v>0.5</v>
      </c>
      <c r="I18" s="2">
        <v>15</v>
      </c>
      <c r="J18" s="2">
        <v>30</v>
      </c>
      <c r="K18" s="2" t="s">
        <v>146</v>
      </c>
      <c r="L18" s="12">
        <v>0.67</v>
      </c>
      <c r="M18" s="2" t="str">
        <f t="shared" ref="M18:M19" si="5">D18&amp;" " &amp; E18</f>
        <v>신덕리 507-3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654</v>
      </c>
      <c r="D19" s="2" t="s">
        <v>655</v>
      </c>
      <c r="E19" s="6" t="s">
        <v>771</v>
      </c>
      <c r="F19" s="2">
        <v>40</v>
      </c>
      <c r="G19" s="2">
        <v>50</v>
      </c>
      <c r="H19" s="2">
        <v>0.5</v>
      </c>
      <c r="I19" s="2">
        <v>20</v>
      </c>
      <c r="J19" s="2">
        <v>30</v>
      </c>
      <c r="K19" s="2" t="s">
        <v>146</v>
      </c>
      <c r="L19" s="12">
        <v>0.67</v>
      </c>
      <c r="M19" s="2" t="str">
        <f t="shared" si="5"/>
        <v>신덕리 522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654</v>
      </c>
      <c r="D20" s="2" t="s">
        <v>655</v>
      </c>
      <c r="E20" s="6" t="s">
        <v>772</v>
      </c>
      <c r="F20" s="2">
        <v>40</v>
      </c>
      <c r="G20" s="2">
        <v>50</v>
      </c>
      <c r="H20" s="2">
        <v>0.5</v>
      </c>
      <c r="I20" s="2">
        <v>15</v>
      </c>
      <c r="J20" s="2">
        <v>25</v>
      </c>
      <c r="K20" s="2" t="s">
        <v>146</v>
      </c>
      <c r="L20" s="12">
        <v>0.67</v>
      </c>
      <c r="M20" s="2" t="str">
        <f t="shared" ref="M20" si="6">D20&amp;" " &amp; E20</f>
        <v>신덕리 442-3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654</v>
      </c>
      <c r="D21" s="2" t="s">
        <v>655</v>
      </c>
      <c r="E21" s="6" t="s">
        <v>779</v>
      </c>
      <c r="F21" s="2">
        <v>40</v>
      </c>
      <c r="G21" s="2">
        <v>50</v>
      </c>
      <c r="H21" s="2">
        <v>0.5</v>
      </c>
      <c r="I21" s="2">
        <v>10</v>
      </c>
      <c r="J21" s="2">
        <v>30</v>
      </c>
      <c r="K21" s="2" t="s">
        <v>146</v>
      </c>
      <c r="L21" s="12">
        <v>0.67</v>
      </c>
      <c r="M21" s="2" t="str">
        <f t="shared" ref="M21:M22" si="7">D21&amp;" " &amp; E21</f>
        <v>신덕리 538-3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654</v>
      </c>
      <c r="D22" s="2" t="s">
        <v>655</v>
      </c>
      <c r="E22" s="6" t="s">
        <v>835</v>
      </c>
      <c r="F22" s="2">
        <v>40</v>
      </c>
      <c r="G22" s="2">
        <v>50</v>
      </c>
      <c r="H22" s="2">
        <v>0.5</v>
      </c>
      <c r="I22" s="2">
        <v>10</v>
      </c>
      <c r="J22" s="2">
        <v>30</v>
      </c>
      <c r="K22" s="2" t="s">
        <v>146</v>
      </c>
      <c r="L22" s="12">
        <v>0.67</v>
      </c>
      <c r="M22" s="2" t="str">
        <f t="shared" si="7"/>
        <v>신덕리 533</v>
      </c>
      <c r="S22" s="2" t="s">
        <v>11</v>
      </c>
    </row>
    <row r="23" spans="1:19" ht="21.75" customHeight="1">
      <c r="A23" s="2" t="s">
        <v>740</v>
      </c>
      <c r="B23" s="1" t="s">
        <v>22</v>
      </c>
      <c r="C23" s="2" t="s">
        <v>654</v>
      </c>
      <c r="D23" s="2" t="s">
        <v>655</v>
      </c>
      <c r="E23" s="6" t="s">
        <v>837</v>
      </c>
      <c r="F23" s="2">
        <v>40</v>
      </c>
      <c r="G23" s="2">
        <v>50</v>
      </c>
      <c r="H23" s="2">
        <v>0.5</v>
      </c>
      <c r="I23" s="2">
        <v>15</v>
      </c>
      <c r="J23" s="2">
        <v>30</v>
      </c>
      <c r="K23" s="2" t="s">
        <v>146</v>
      </c>
      <c r="L23" s="12">
        <v>0.67</v>
      </c>
      <c r="M23" s="2" t="str">
        <f t="shared" ref="M23:M32" si="8">D23&amp;" " &amp; E23</f>
        <v>신덕리 산77-1</v>
      </c>
      <c r="S23" s="2" t="s">
        <v>11</v>
      </c>
    </row>
    <row r="24" spans="1:19" ht="21.75" customHeight="1">
      <c r="A24" s="2" t="s">
        <v>741</v>
      </c>
      <c r="B24" s="1" t="s">
        <v>22</v>
      </c>
      <c r="C24" s="2" t="s">
        <v>654</v>
      </c>
      <c r="D24" s="2" t="s">
        <v>655</v>
      </c>
      <c r="E24" s="6" t="s">
        <v>838</v>
      </c>
      <c r="F24" s="2">
        <v>50</v>
      </c>
      <c r="G24" s="2">
        <v>50</v>
      </c>
      <c r="H24" s="2">
        <v>0.3</v>
      </c>
      <c r="I24" s="2">
        <v>10</v>
      </c>
      <c r="J24" s="2">
        <v>30</v>
      </c>
      <c r="K24" s="2" t="s">
        <v>146</v>
      </c>
      <c r="L24" s="12">
        <v>0.67</v>
      </c>
      <c r="M24" s="2" t="str">
        <f t="shared" si="8"/>
        <v>신덕리 542-5</v>
      </c>
      <c r="S24" s="2" t="s">
        <v>11</v>
      </c>
    </row>
    <row r="25" spans="1:19" ht="21.75" customHeight="1">
      <c r="A25" s="2" t="s">
        <v>742</v>
      </c>
      <c r="B25" s="1" t="s">
        <v>22</v>
      </c>
      <c r="C25" s="2" t="s">
        <v>654</v>
      </c>
      <c r="D25" s="2" t="s">
        <v>655</v>
      </c>
      <c r="E25" s="6" t="s">
        <v>840</v>
      </c>
      <c r="F25" s="2">
        <v>40</v>
      </c>
      <c r="G25" s="2">
        <v>50</v>
      </c>
      <c r="H25" s="2">
        <v>0.5</v>
      </c>
      <c r="I25" s="2">
        <v>10</v>
      </c>
      <c r="J25" s="2">
        <v>30</v>
      </c>
      <c r="K25" s="2" t="s">
        <v>146</v>
      </c>
      <c r="L25" s="12">
        <v>0.67</v>
      </c>
      <c r="M25" s="2" t="str">
        <f t="shared" si="8"/>
        <v>신덕리 377</v>
      </c>
      <c r="S25" s="2" t="s">
        <v>11</v>
      </c>
    </row>
    <row r="26" spans="1:19" ht="21.75" customHeight="1">
      <c r="A26" s="2" t="s">
        <v>743</v>
      </c>
      <c r="B26" s="1" t="s">
        <v>22</v>
      </c>
      <c r="C26" s="2" t="s">
        <v>654</v>
      </c>
      <c r="D26" s="2" t="s">
        <v>655</v>
      </c>
      <c r="E26" s="6" t="s">
        <v>843</v>
      </c>
      <c r="F26" s="2">
        <v>40</v>
      </c>
      <c r="G26" s="2">
        <v>50</v>
      </c>
      <c r="H26" s="2">
        <v>0.5</v>
      </c>
      <c r="I26" s="2">
        <v>20</v>
      </c>
      <c r="J26" s="2">
        <v>25</v>
      </c>
      <c r="K26" s="2" t="s">
        <v>146</v>
      </c>
      <c r="L26" s="12">
        <v>0.67</v>
      </c>
      <c r="M26" s="2" t="str">
        <f t="shared" si="8"/>
        <v>신덕리 379-2</v>
      </c>
      <c r="S26" s="2" t="s">
        <v>11</v>
      </c>
    </row>
    <row r="27" spans="1:19" ht="21.75" customHeight="1">
      <c r="A27" s="2" t="s">
        <v>744</v>
      </c>
      <c r="B27" s="1" t="s">
        <v>22</v>
      </c>
      <c r="C27" s="2" t="s">
        <v>654</v>
      </c>
      <c r="D27" s="2" t="s">
        <v>655</v>
      </c>
      <c r="E27" s="6" t="s">
        <v>847</v>
      </c>
      <c r="F27" s="2">
        <v>60</v>
      </c>
      <c r="G27" s="2">
        <v>50</v>
      </c>
      <c r="H27" s="2">
        <v>0.5</v>
      </c>
      <c r="I27" s="2">
        <v>15</v>
      </c>
      <c r="J27" s="2">
        <v>30</v>
      </c>
      <c r="K27" s="2" t="s">
        <v>146</v>
      </c>
      <c r="L27" s="12">
        <v>0.67</v>
      </c>
      <c r="M27" s="2" t="str">
        <f t="shared" si="8"/>
        <v>신덕리 553-3</v>
      </c>
      <c r="S27" s="2" t="s">
        <v>11</v>
      </c>
    </row>
    <row r="28" spans="1:19" ht="21.75" customHeight="1">
      <c r="A28" s="2" t="s">
        <v>745</v>
      </c>
      <c r="B28" s="1" t="s">
        <v>22</v>
      </c>
      <c r="C28" s="2" t="s">
        <v>654</v>
      </c>
      <c r="D28" s="2" t="s">
        <v>655</v>
      </c>
      <c r="E28" s="6" t="s">
        <v>848</v>
      </c>
      <c r="F28" s="2">
        <v>60</v>
      </c>
      <c r="G28" s="2">
        <v>50</v>
      </c>
      <c r="H28" s="2">
        <v>0.5</v>
      </c>
      <c r="I28" s="2">
        <v>10</v>
      </c>
      <c r="J28" s="2">
        <v>30</v>
      </c>
      <c r="K28" s="2" t="s">
        <v>146</v>
      </c>
      <c r="L28" s="12">
        <v>0.67</v>
      </c>
      <c r="M28" s="2" t="str">
        <f t="shared" si="8"/>
        <v>신덕리 산73-5</v>
      </c>
      <c r="S28" s="2" t="s">
        <v>11</v>
      </c>
    </row>
    <row r="29" spans="1:19" ht="21.75" customHeight="1">
      <c r="A29" s="2" t="s">
        <v>746</v>
      </c>
      <c r="B29" s="1" t="s">
        <v>22</v>
      </c>
      <c r="C29" s="2" t="s">
        <v>654</v>
      </c>
      <c r="D29" s="2" t="s">
        <v>655</v>
      </c>
      <c r="E29" s="6" t="s">
        <v>849</v>
      </c>
      <c r="F29" s="2">
        <v>40</v>
      </c>
      <c r="G29" s="2">
        <v>50</v>
      </c>
      <c r="H29" s="2">
        <v>0.5</v>
      </c>
      <c r="I29" s="2">
        <v>15</v>
      </c>
      <c r="J29" s="2">
        <v>20</v>
      </c>
      <c r="K29" s="2" t="s">
        <v>146</v>
      </c>
      <c r="L29" s="12">
        <v>0.67</v>
      </c>
      <c r="M29" s="2" t="str">
        <f t="shared" si="8"/>
        <v>신덕리 557-2</v>
      </c>
      <c r="S29" s="2" t="s">
        <v>11</v>
      </c>
    </row>
    <row r="30" spans="1:19" ht="21.75" customHeight="1">
      <c r="A30" s="2" t="s">
        <v>747</v>
      </c>
      <c r="B30" s="1" t="s">
        <v>22</v>
      </c>
      <c r="C30" s="2" t="s">
        <v>654</v>
      </c>
      <c r="D30" s="2" t="s">
        <v>655</v>
      </c>
      <c r="E30" s="6" t="s">
        <v>850</v>
      </c>
      <c r="F30" s="2">
        <v>30</v>
      </c>
      <c r="G30" s="2">
        <v>50</v>
      </c>
      <c r="H30" s="2">
        <v>0.5</v>
      </c>
      <c r="I30" s="2">
        <v>15</v>
      </c>
      <c r="J30" s="2">
        <v>25</v>
      </c>
      <c r="K30" s="2" t="s">
        <v>146</v>
      </c>
      <c r="L30" s="12">
        <v>0.67</v>
      </c>
      <c r="M30" s="2" t="str">
        <f t="shared" si="8"/>
        <v>신덕리 556</v>
      </c>
      <c r="S30" s="2" t="s">
        <v>11</v>
      </c>
    </row>
    <row r="31" spans="1:19" ht="21.75" customHeight="1">
      <c r="A31" s="2" t="s">
        <v>748</v>
      </c>
      <c r="B31" s="1" t="s">
        <v>22</v>
      </c>
      <c r="C31" s="2" t="s">
        <v>654</v>
      </c>
      <c r="D31" s="2" t="s">
        <v>655</v>
      </c>
      <c r="E31" s="6" t="s">
        <v>852</v>
      </c>
      <c r="F31" s="2">
        <v>70</v>
      </c>
      <c r="G31" s="2">
        <v>50</v>
      </c>
      <c r="H31" s="2">
        <v>0.5</v>
      </c>
      <c r="I31" s="2">
        <v>15</v>
      </c>
      <c r="J31" s="2">
        <v>25</v>
      </c>
      <c r="K31" s="2" t="s">
        <v>146</v>
      </c>
      <c r="L31" s="12">
        <v>0.67</v>
      </c>
      <c r="M31" s="2" t="str">
        <f t="shared" si="8"/>
        <v>신덕리 371-2</v>
      </c>
      <c r="S31" s="2" t="s">
        <v>11</v>
      </c>
    </row>
    <row r="32" spans="1:19" ht="21.75" customHeight="1">
      <c r="A32" s="2" t="s">
        <v>749</v>
      </c>
      <c r="B32" s="1" t="s">
        <v>22</v>
      </c>
      <c r="C32" s="2" t="s">
        <v>654</v>
      </c>
      <c r="D32" s="2" t="s">
        <v>655</v>
      </c>
      <c r="E32" s="6" t="s">
        <v>853</v>
      </c>
      <c r="F32" s="2">
        <v>36</v>
      </c>
      <c r="G32" s="2">
        <v>50</v>
      </c>
      <c r="H32" s="2">
        <v>0.5</v>
      </c>
      <c r="I32" s="2">
        <v>10</v>
      </c>
      <c r="J32" s="2">
        <v>20</v>
      </c>
      <c r="K32" s="2" t="s">
        <v>146</v>
      </c>
      <c r="L32" s="12">
        <v>0.67</v>
      </c>
      <c r="M32" s="2" t="str">
        <f t="shared" si="8"/>
        <v>신덕리 568</v>
      </c>
      <c r="S32" s="2" t="s">
        <v>11</v>
      </c>
    </row>
    <row r="33" spans="1:19" ht="21.75" customHeight="1">
      <c r="A33" s="2" t="s">
        <v>750</v>
      </c>
      <c r="B33" s="1" t="s">
        <v>22</v>
      </c>
      <c r="C33" s="2" t="s">
        <v>654</v>
      </c>
      <c r="D33" s="2" t="s">
        <v>655</v>
      </c>
      <c r="E33" s="6" t="s">
        <v>854</v>
      </c>
      <c r="F33" s="2">
        <v>32</v>
      </c>
      <c r="G33" s="2">
        <v>50</v>
      </c>
      <c r="H33" s="2">
        <v>0.5</v>
      </c>
      <c r="I33" s="2">
        <v>25</v>
      </c>
      <c r="J33" s="2">
        <v>25</v>
      </c>
      <c r="K33" s="2" t="s">
        <v>146</v>
      </c>
      <c r="L33" s="12">
        <v>0.67</v>
      </c>
      <c r="M33" s="2" t="str">
        <f t="shared" ref="M33:M42" si="9">D33&amp;" " &amp; E33</f>
        <v>신덕리 333-5</v>
      </c>
      <c r="S33" s="2" t="s">
        <v>11</v>
      </c>
    </row>
    <row r="34" spans="1:19" ht="21.75" customHeight="1">
      <c r="A34" s="2" t="s">
        <v>751</v>
      </c>
      <c r="B34" s="1" t="s">
        <v>22</v>
      </c>
      <c r="C34" s="2" t="s">
        <v>654</v>
      </c>
      <c r="D34" s="2" t="s">
        <v>655</v>
      </c>
      <c r="E34" s="6" t="s">
        <v>855</v>
      </c>
      <c r="F34" s="2">
        <v>54</v>
      </c>
      <c r="G34" s="2">
        <v>50</v>
      </c>
      <c r="H34" s="2">
        <v>0.5</v>
      </c>
      <c r="I34" s="2">
        <v>10</v>
      </c>
      <c r="J34" s="2">
        <v>30</v>
      </c>
      <c r="K34" s="2" t="s">
        <v>146</v>
      </c>
      <c r="L34" s="12">
        <v>0.67</v>
      </c>
      <c r="M34" s="2" t="str">
        <f t="shared" si="9"/>
        <v>신덕리 570</v>
      </c>
      <c r="S34" s="2" t="s">
        <v>11</v>
      </c>
    </row>
    <row r="35" spans="1:19" ht="21.75" customHeight="1">
      <c r="A35" s="2" t="s">
        <v>752</v>
      </c>
      <c r="B35" s="1" t="s">
        <v>22</v>
      </c>
      <c r="C35" s="2" t="s">
        <v>654</v>
      </c>
      <c r="D35" s="2" t="s">
        <v>655</v>
      </c>
      <c r="E35" s="6" t="s">
        <v>857</v>
      </c>
      <c r="F35" s="2">
        <v>40</v>
      </c>
      <c r="G35" s="2">
        <v>50</v>
      </c>
      <c r="H35" s="2">
        <v>0.5</v>
      </c>
      <c r="I35" s="2">
        <v>20</v>
      </c>
      <c r="J35" s="2">
        <v>30</v>
      </c>
      <c r="K35" s="2" t="s">
        <v>146</v>
      </c>
      <c r="L35" s="12">
        <v>0.67</v>
      </c>
      <c r="M35" s="2" t="str">
        <f t="shared" si="9"/>
        <v>신덕리 579</v>
      </c>
      <c r="S35" s="2" t="s">
        <v>11</v>
      </c>
    </row>
    <row r="36" spans="1:19" ht="21.75" customHeight="1">
      <c r="A36" s="2" t="s">
        <v>753</v>
      </c>
      <c r="B36" s="1" t="s">
        <v>22</v>
      </c>
      <c r="C36" s="2" t="s">
        <v>654</v>
      </c>
      <c r="D36" s="2" t="s">
        <v>655</v>
      </c>
      <c r="E36" s="6" t="s">
        <v>859</v>
      </c>
      <c r="F36" s="2">
        <v>65</v>
      </c>
      <c r="G36" s="2">
        <v>50</v>
      </c>
      <c r="H36" s="2">
        <v>0.3</v>
      </c>
      <c r="I36" s="2">
        <v>15</v>
      </c>
      <c r="J36" s="2">
        <v>20</v>
      </c>
      <c r="K36" s="2" t="s">
        <v>146</v>
      </c>
      <c r="L36" s="12">
        <v>0.67</v>
      </c>
      <c r="M36" s="2" t="str">
        <f t="shared" si="9"/>
        <v>신덕리 588</v>
      </c>
      <c r="S36" s="2" t="s">
        <v>11</v>
      </c>
    </row>
    <row r="37" spans="1:19" ht="21.75" customHeight="1">
      <c r="A37" s="2" t="s">
        <v>754</v>
      </c>
      <c r="B37" s="1" t="s">
        <v>22</v>
      </c>
      <c r="C37" s="2" t="s">
        <v>654</v>
      </c>
      <c r="D37" s="2" t="s">
        <v>655</v>
      </c>
      <c r="E37" s="6" t="s">
        <v>861</v>
      </c>
      <c r="F37" s="2">
        <v>40</v>
      </c>
      <c r="G37" s="2">
        <v>50</v>
      </c>
      <c r="H37" s="2">
        <v>0.5</v>
      </c>
      <c r="I37" s="2">
        <v>10</v>
      </c>
      <c r="J37" s="2">
        <v>30</v>
      </c>
      <c r="K37" s="2" t="s">
        <v>146</v>
      </c>
      <c r="L37" s="12">
        <v>0.67</v>
      </c>
      <c r="M37" s="2" t="str">
        <f t="shared" si="9"/>
        <v>신덕리 582</v>
      </c>
      <c r="S37" s="2" t="s">
        <v>11</v>
      </c>
    </row>
    <row r="38" spans="1:19" ht="21.75" customHeight="1">
      <c r="A38" s="2" t="s">
        <v>755</v>
      </c>
      <c r="B38" s="1" t="s">
        <v>22</v>
      </c>
      <c r="C38" s="2" t="s">
        <v>654</v>
      </c>
      <c r="D38" s="2" t="s">
        <v>655</v>
      </c>
      <c r="E38" s="6" t="s">
        <v>863</v>
      </c>
      <c r="F38" s="2">
        <v>8</v>
      </c>
      <c r="G38" s="2">
        <v>50</v>
      </c>
      <c r="H38" s="2">
        <v>0.3</v>
      </c>
      <c r="I38" s="2">
        <v>15</v>
      </c>
      <c r="J38" s="2">
        <v>30</v>
      </c>
      <c r="K38" s="2" t="s">
        <v>146</v>
      </c>
      <c r="L38" s="12">
        <v>0.67</v>
      </c>
      <c r="M38" s="2" t="str">
        <f t="shared" si="9"/>
        <v>신덕리 593</v>
      </c>
      <c r="S38" s="2" t="s">
        <v>11</v>
      </c>
    </row>
    <row r="39" spans="1:19" ht="21.75" customHeight="1">
      <c r="A39" s="2" t="s">
        <v>756</v>
      </c>
      <c r="B39" s="1" t="s">
        <v>22</v>
      </c>
      <c r="C39" s="2" t="s">
        <v>654</v>
      </c>
      <c r="D39" s="2" t="s">
        <v>865</v>
      </c>
      <c r="E39" s="6" t="s">
        <v>871</v>
      </c>
      <c r="F39" s="2">
        <v>40</v>
      </c>
      <c r="G39" s="2">
        <v>50</v>
      </c>
      <c r="H39" s="2">
        <v>0.5</v>
      </c>
      <c r="I39" s="2">
        <v>20</v>
      </c>
      <c r="J39" s="2">
        <v>30</v>
      </c>
      <c r="K39" s="2" t="s">
        <v>146</v>
      </c>
      <c r="L39" s="12">
        <v>0.67</v>
      </c>
      <c r="M39" s="2" t="str">
        <f t="shared" si="9"/>
        <v>낙동리 8</v>
      </c>
      <c r="S39" s="2" t="s">
        <v>11</v>
      </c>
    </row>
    <row r="40" spans="1:19" ht="21.75" customHeight="1">
      <c r="A40" s="2" t="s">
        <v>757</v>
      </c>
      <c r="B40" s="1" t="s">
        <v>22</v>
      </c>
      <c r="C40" s="2" t="s">
        <v>654</v>
      </c>
      <c r="D40" s="2" t="s">
        <v>865</v>
      </c>
      <c r="E40" s="6" t="s">
        <v>872</v>
      </c>
      <c r="F40" s="2">
        <v>60</v>
      </c>
      <c r="G40" s="2">
        <v>50</v>
      </c>
      <c r="H40" s="2">
        <v>0.5</v>
      </c>
      <c r="I40" s="2">
        <v>15</v>
      </c>
      <c r="J40" s="2">
        <v>30</v>
      </c>
      <c r="K40" s="2" t="s">
        <v>146</v>
      </c>
      <c r="L40" s="12">
        <v>0.67</v>
      </c>
      <c r="M40" s="2" t="str">
        <f t="shared" si="9"/>
        <v>낙동리 8-1</v>
      </c>
      <c r="S40" s="2" t="s">
        <v>11</v>
      </c>
    </row>
    <row r="41" spans="1:19" ht="21.75" customHeight="1">
      <c r="A41" s="2" t="s">
        <v>758</v>
      </c>
      <c r="B41" s="1" t="s">
        <v>22</v>
      </c>
      <c r="C41" s="2" t="s">
        <v>654</v>
      </c>
      <c r="D41" s="2" t="s">
        <v>865</v>
      </c>
      <c r="E41" s="6" t="s">
        <v>876</v>
      </c>
      <c r="F41" s="2">
        <v>35</v>
      </c>
      <c r="G41" s="2">
        <v>60</v>
      </c>
      <c r="H41" s="2">
        <v>0.5</v>
      </c>
      <c r="I41" s="2">
        <v>20</v>
      </c>
      <c r="J41" s="2">
        <v>20</v>
      </c>
      <c r="K41" s="2" t="s">
        <v>146</v>
      </c>
      <c r="L41" s="12">
        <v>0.67</v>
      </c>
      <c r="M41" s="2" t="str">
        <f t="shared" si="9"/>
        <v>낙동리 34</v>
      </c>
      <c r="S41" s="2" t="s">
        <v>11</v>
      </c>
    </row>
    <row r="42" spans="1:19" ht="21.75" customHeight="1">
      <c r="A42" s="2" t="s">
        <v>759</v>
      </c>
      <c r="B42" s="1" t="s">
        <v>22</v>
      </c>
      <c r="C42" s="2" t="s">
        <v>654</v>
      </c>
      <c r="D42" s="2" t="s">
        <v>865</v>
      </c>
      <c r="E42" s="6" t="s">
        <v>878</v>
      </c>
      <c r="F42" s="2">
        <v>40</v>
      </c>
      <c r="G42" s="2">
        <v>50</v>
      </c>
      <c r="H42" s="2">
        <v>0.5</v>
      </c>
      <c r="I42" s="2">
        <v>20</v>
      </c>
      <c r="J42" s="2">
        <v>25</v>
      </c>
      <c r="K42" s="2" t="s">
        <v>146</v>
      </c>
      <c r="L42" s="12">
        <v>0.67</v>
      </c>
      <c r="M42" s="2" t="str">
        <f t="shared" si="9"/>
        <v>낙동리 32-4</v>
      </c>
      <c r="S42" s="2" t="s">
        <v>11</v>
      </c>
    </row>
    <row r="43" spans="1:19" ht="21.75" customHeight="1">
      <c r="A43" s="2" t="s">
        <v>760</v>
      </c>
      <c r="B43" s="1" t="s">
        <v>22</v>
      </c>
      <c r="C43" s="2" t="s">
        <v>654</v>
      </c>
      <c r="D43" s="2" t="s">
        <v>865</v>
      </c>
      <c r="E43" s="6" t="s">
        <v>886</v>
      </c>
      <c r="F43" s="2">
        <v>30</v>
      </c>
      <c r="G43" s="2">
        <v>50</v>
      </c>
      <c r="H43" s="2">
        <v>0.5</v>
      </c>
      <c r="I43" s="2">
        <v>25</v>
      </c>
      <c r="J43" s="2">
        <v>30</v>
      </c>
      <c r="K43" s="2" t="s">
        <v>146</v>
      </c>
      <c r="L43" s="12">
        <v>0.67</v>
      </c>
      <c r="M43" s="2" t="str">
        <f t="shared" ref="M43:M49" si="10">D43&amp;" " &amp; E43</f>
        <v>낙동리 75</v>
      </c>
      <c r="S43" s="2" t="s">
        <v>883</v>
      </c>
    </row>
    <row r="44" spans="1:19" ht="21.75" customHeight="1">
      <c r="A44" s="2" t="s">
        <v>761</v>
      </c>
      <c r="B44" s="1" t="s">
        <v>22</v>
      </c>
      <c r="C44" s="2" t="s">
        <v>654</v>
      </c>
      <c r="D44" s="2" t="s">
        <v>865</v>
      </c>
      <c r="E44" s="6" t="s">
        <v>887</v>
      </c>
      <c r="F44" s="2">
        <v>45</v>
      </c>
      <c r="G44" s="2">
        <v>50</v>
      </c>
      <c r="H44" s="2">
        <v>0.5</v>
      </c>
      <c r="I44" s="2">
        <v>20</v>
      </c>
      <c r="J44" s="2">
        <v>30</v>
      </c>
      <c r="K44" s="2" t="s">
        <v>146</v>
      </c>
      <c r="L44" s="12">
        <v>0.67</v>
      </c>
      <c r="M44" s="2" t="str">
        <f t="shared" si="10"/>
        <v>낙동리 76-1</v>
      </c>
      <c r="S44" s="2" t="s">
        <v>883</v>
      </c>
    </row>
    <row r="45" spans="1:19" ht="21.75" customHeight="1">
      <c r="A45" s="2" t="s">
        <v>762</v>
      </c>
      <c r="B45" s="1" t="s">
        <v>22</v>
      </c>
      <c r="C45" s="2" t="s">
        <v>654</v>
      </c>
      <c r="D45" s="2" t="s">
        <v>865</v>
      </c>
      <c r="E45" s="6" t="s">
        <v>888</v>
      </c>
      <c r="F45" s="2">
        <v>30</v>
      </c>
      <c r="G45" s="2">
        <v>50</v>
      </c>
      <c r="H45" s="2">
        <v>0.5</v>
      </c>
      <c r="I45" s="2">
        <v>25</v>
      </c>
      <c r="J45" s="2">
        <v>25</v>
      </c>
      <c r="K45" s="2" t="s">
        <v>146</v>
      </c>
      <c r="L45" s="12">
        <v>0.67</v>
      </c>
      <c r="M45" s="2" t="str">
        <f t="shared" si="10"/>
        <v>낙동리 82-13</v>
      </c>
      <c r="S45" s="2" t="s">
        <v>883</v>
      </c>
    </row>
    <row r="46" spans="1:19" ht="21.75" customHeight="1">
      <c r="A46" s="2" t="s">
        <v>763</v>
      </c>
      <c r="B46" s="1" t="s">
        <v>22</v>
      </c>
      <c r="C46" s="2" t="s">
        <v>654</v>
      </c>
      <c r="D46" s="2" t="s">
        <v>865</v>
      </c>
      <c r="E46" s="6" t="s">
        <v>889</v>
      </c>
      <c r="F46" s="2">
        <v>35</v>
      </c>
      <c r="G46" s="2">
        <v>50</v>
      </c>
      <c r="H46" s="2">
        <v>0.5</v>
      </c>
      <c r="I46" s="2">
        <v>25</v>
      </c>
      <c r="J46" s="2">
        <v>30</v>
      </c>
      <c r="K46" s="2" t="s">
        <v>146</v>
      </c>
      <c r="L46" s="12">
        <v>0.67</v>
      </c>
      <c r="M46" s="2" t="str">
        <f t="shared" si="10"/>
        <v>낙동리 81-2</v>
      </c>
      <c r="S46" s="2" t="s">
        <v>883</v>
      </c>
    </row>
    <row r="47" spans="1:19" ht="21.75" customHeight="1">
      <c r="A47" s="2" t="s">
        <v>764</v>
      </c>
      <c r="B47" s="1" t="s">
        <v>22</v>
      </c>
      <c r="C47" s="2" t="s">
        <v>654</v>
      </c>
      <c r="D47" s="2" t="s">
        <v>865</v>
      </c>
      <c r="E47" s="6" t="s">
        <v>890</v>
      </c>
      <c r="F47" s="2">
        <v>35</v>
      </c>
      <c r="G47" s="2">
        <v>50</v>
      </c>
      <c r="H47" s="2">
        <v>0.5</v>
      </c>
      <c r="I47" s="2">
        <v>20</v>
      </c>
      <c r="J47" s="2">
        <v>20</v>
      </c>
      <c r="K47" s="2" t="s">
        <v>146</v>
      </c>
      <c r="L47" s="12">
        <v>0.67</v>
      </c>
      <c r="M47" s="2" t="str">
        <f t="shared" si="10"/>
        <v>낙동리 80-1</v>
      </c>
      <c r="S47" s="2" t="s">
        <v>883</v>
      </c>
    </row>
    <row r="48" spans="1:19" ht="21.75" customHeight="1">
      <c r="A48" s="2" t="s">
        <v>765</v>
      </c>
      <c r="B48" s="1" t="s">
        <v>22</v>
      </c>
      <c r="C48" s="2" t="s">
        <v>654</v>
      </c>
      <c r="D48" s="2" t="s">
        <v>655</v>
      </c>
      <c r="E48" s="6" t="s">
        <v>906</v>
      </c>
      <c r="F48" s="2">
        <v>70</v>
      </c>
      <c r="G48" s="2">
        <v>50</v>
      </c>
      <c r="H48" s="2">
        <v>0.5</v>
      </c>
      <c r="I48" s="2">
        <v>20</v>
      </c>
      <c r="J48" s="2">
        <v>20</v>
      </c>
      <c r="K48" s="2" t="s">
        <v>146</v>
      </c>
      <c r="L48" s="12">
        <v>0.67</v>
      </c>
      <c r="M48" s="2" t="str">
        <f t="shared" si="10"/>
        <v>신덕리 276-11</v>
      </c>
      <c r="S48" s="2" t="s">
        <v>11</v>
      </c>
    </row>
    <row r="49" spans="1:19" ht="21.75" customHeight="1">
      <c r="A49" s="2" t="s">
        <v>766</v>
      </c>
      <c r="B49" s="1" t="s">
        <v>22</v>
      </c>
      <c r="C49" s="2" t="s">
        <v>654</v>
      </c>
      <c r="D49" s="2" t="s">
        <v>655</v>
      </c>
      <c r="E49" s="6" t="s">
        <v>911</v>
      </c>
      <c r="F49" s="2">
        <v>4</v>
      </c>
      <c r="G49" s="2">
        <v>50</v>
      </c>
      <c r="H49" s="2">
        <v>0.3</v>
      </c>
      <c r="I49" s="2">
        <v>25</v>
      </c>
      <c r="J49" s="2">
        <v>25</v>
      </c>
      <c r="K49" s="2" t="s">
        <v>146</v>
      </c>
      <c r="L49" s="12">
        <v>0.67</v>
      </c>
      <c r="M49" s="2" t="str">
        <f t="shared" si="10"/>
        <v>신덕리 269</v>
      </c>
      <c r="S49" s="2" t="s">
        <v>11</v>
      </c>
    </row>
    <row r="50" spans="1:19" ht="21.75" customHeight="1">
      <c r="A50" s="2" t="s">
        <v>915</v>
      </c>
      <c r="B50" s="1" t="s">
        <v>22</v>
      </c>
      <c r="C50" s="2" t="s">
        <v>654</v>
      </c>
      <c r="D50" s="2" t="s">
        <v>925</v>
      </c>
      <c r="I50" s="2"/>
      <c r="J50" s="2"/>
      <c r="K50" s="2" t="s">
        <v>146</v>
      </c>
      <c r="L50" s="12">
        <v>1.67</v>
      </c>
      <c r="M50" s="2" t="str">
        <f t="shared" ref="M50:M59" si="11">D50&amp;" " &amp; E50</f>
        <v xml:space="preserve">dd </v>
      </c>
      <c r="S50" s="2" t="s">
        <v>11</v>
      </c>
    </row>
    <row r="51" spans="1:19" ht="21.75" customHeight="1">
      <c r="A51" s="2" t="s">
        <v>916</v>
      </c>
      <c r="B51" s="1" t="s">
        <v>22</v>
      </c>
      <c r="C51" s="2" t="s">
        <v>654</v>
      </c>
      <c r="D51" s="2" t="s">
        <v>925</v>
      </c>
      <c r="I51" s="2"/>
      <c r="J51" s="2"/>
      <c r="K51" s="2" t="s">
        <v>146</v>
      </c>
      <c r="L51" s="12">
        <v>2.67</v>
      </c>
      <c r="M51" s="2" t="str">
        <f t="shared" si="11"/>
        <v xml:space="preserve">dd </v>
      </c>
      <c r="S51" s="2" t="s">
        <v>11</v>
      </c>
    </row>
    <row r="52" spans="1:19" ht="21.75" customHeight="1">
      <c r="A52" s="2" t="s">
        <v>917</v>
      </c>
      <c r="B52" s="1" t="s">
        <v>22</v>
      </c>
      <c r="C52" s="2" t="s">
        <v>654</v>
      </c>
      <c r="D52" s="2" t="s">
        <v>925</v>
      </c>
      <c r="I52" s="2"/>
      <c r="J52" s="2"/>
      <c r="K52" s="2" t="s">
        <v>146</v>
      </c>
      <c r="L52" s="12">
        <v>3.67</v>
      </c>
      <c r="M52" s="2" t="str">
        <f t="shared" si="11"/>
        <v xml:space="preserve">dd </v>
      </c>
      <c r="S52" s="2" t="s">
        <v>11</v>
      </c>
    </row>
    <row r="53" spans="1:19" ht="21.75" customHeight="1">
      <c r="A53" s="2" t="s">
        <v>918</v>
      </c>
      <c r="B53" s="1" t="s">
        <v>22</v>
      </c>
      <c r="C53" s="2" t="s">
        <v>654</v>
      </c>
      <c r="D53" s="2" t="s">
        <v>925</v>
      </c>
      <c r="I53" s="2"/>
      <c r="J53" s="2"/>
      <c r="K53" s="2" t="s">
        <v>146</v>
      </c>
      <c r="L53" s="12">
        <v>4.67</v>
      </c>
      <c r="M53" s="2" t="str">
        <f t="shared" si="11"/>
        <v xml:space="preserve">dd </v>
      </c>
      <c r="S53" s="2" t="s">
        <v>11</v>
      </c>
    </row>
    <row r="54" spans="1:19" ht="21.75" customHeight="1">
      <c r="A54" s="2" t="s">
        <v>919</v>
      </c>
      <c r="B54" s="1" t="s">
        <v>22</v>
      </c>
      <c r="C54" s="2" t="s">
        <v>654</v>
      </c>
      <c r="D54" s="2" t="s">
        <v>925</v>
      </c>
      <c r="I54" s="2"/>
      <c r="J54" s="2"/>
      <c r="K54" s="2" t="s">
        <v>146</v>
      </c>
      <c r="L54" s="12">
        <v>5.67</v>
      </c>
      <c r="M54" s="2" t="str">
        <f t="shared" si="11"/>
        <v xml:space="preserve">dd </v>
      </c>
      <c r="S54" s="2" t="s">
        <v>11</v>
      </c>
    </row>
    <row r="55" spans="1:19" ht="21.75" customHeight="1">
      <c r="A55" s="2" t="s">
        <v>920</v>
      </c>
      <c r="B55" s="1" t="s">
        <v>22</v>
      </c>
      <c r="C55" s="2" t="s">
        <v>654</v>
      </c>
      <c r="D55" s="2" t="s">
        <v>925</v>
      </c>
      <c r="I55" s="2"/>
      <c r="J55" s="2"/>
      <c r="K55" s="2" t="s">
        <v>146</v>
      </c>
      <c r="L55" s="12">
        <v>6.67</v>
      </c>
      <c r="M55" s="2" t="str">
        <f t="shared" si="11"/>
        <v xml:space="preserve">dd </v>
      </c>
      <c r="S55" s="2" t="s">
        <v>11</v>
      </c>
    </row>
    <row r="56" spans="1:19" ht="21.75" customHeight="1">
      <c r="A56" s="2" t="s">
        <v>921</v>
      </c>
      <c r="B56" s="1" t="s">
        <v>22</v>
      </c>
      <c r="C56" s="2" t="s">
        <v>654</v>
      </c>
      <c r="D56" s="2" t="s">
        <v>925</v>
      </c>
      <c r="I56" s="2"/>
      <c r="J56" s="2"/>
      <c r="K56" s="2" t="s">
        <v>146</v>
      </c>
      <c r="L56" s="12">
        <v>7.67</v>
      </c>
      <c r="M56" s="2" t="str">
        <f t="shared" si="11"/>
        <v xml:space="preserve">dd </v>
      </c>
      <c r="S56" s="2" t="s">
        <v>11</v>
      </c>
    </row>
    <row r="57" spans="1:19" ht="21.75" customHeight="1">
      <c r="A57" s="2" t="s">
        <v>922</v>
      </c>
      <c r="B57" s="1" t="s">
        <v>22</v>
      </c>
      <c r="C57" s="2" t="s">
        <v>654</v>
      </c>
      <c r="D57" s="2" t="s">
        <v>925</v>
      </c>
      <c r="I57" s="2"/>
      <c r="J57" s="2"/>
      <c r="K57" s="2" t="s">
        <v>146</v>
      </c>
      <c r="L57" s="12">
        <v>8.67</v>
      </c>
      <c r="M57" s="2" t="str">
        <f t="shared" si="11"/>
        <v xml:space="preserve">dd </v>
      </c>
      <c r="S57" s="2" t="s">
        <v>11</v>
      </c>
    </row>
    <row r="58" spans="1:19" ht="21.75" customHeight="1">
      <c r="A58" s="2" t="s">
        <v>923</v>
      </c>
      <c r="B58" s="1" t="s">
        <v>22</v>
      </c>
      <c r="C58" s="2" t="s">
        <v>654</v>
      </c>
      <c r="D58" s="2" t="s">
        <v>925</v>
      </c>
      <c r="I58" s="2"/>
      <c r="J58" s="2"/>
      <c r="K58" s="2" t="s">
        <v>146</v>
      </c>
      <c r="L58" s="12">
        <v>9.67</v>
      </c>
      <c r="M58" s="2" t="str">
        <f t="shared" si="11"/>
        <v xml:space="preserve">dd </v>
      </c>
      <c r="S58" s="2" t="s">
        <v>11</v>
      </c>
    </row>
    <row r="59" spans="1:19" ht="21.75" customHeight="1">
      <c r="A59" s="2" t="s">
        <v>924</v>
      </c>
      <c r="B59" s="1" t="s">
        <v>22</v>
      </c>
      <c r="C59" s="2" t="s">
        <v>654</v>
      </c>
      <c r="D59" s="2" t="s">
        <v>925</v>
      </c>
      <c r="I59" s="2"/>
      <c r="J59" s="2"/>
      <c r="K59" s="2" t="s">
        <v>146</v>
      </c>
      <c r="L59" s="12">
        <v>10.67</v>
      </c>
      <c r="M59" s="2" t="str">
        <f t="shared" si="11"/>
        <v xml:space="preserve">dd </v>
      </c>
      <c r="S59" s="2" t="s">
        <v>11</v>
      </c>
    </row>
    <row r="60" spans="1:19" ht="21" customHeight="1">
      <c r="B60" s="1"/>
      <c r="I60" s="2"/>
      <c r="J60" s="2"/>
      <c r="L60" s="12"/>
    </row>
    <row r="61" spans="1:19" ht="21.75" customHeight="1">
      <c r="B61" s="1"/>
      <c r="I61" s="2"/>
      <c r="J61" s="2"/>
      <c r="L61" s="12"/>
    </row>
    <row r="62" spans="1:19" ht="21.75" customHeight="1" thickBot="1">
      <c r="K62" s="2" t="s">
        <v>33</v>
      </c>
      <c r="L62" s="35">
        <f>SUM(L2:L61)</f>
        <v>98.390000000000057</v>
      </c>
    </row>
    <row r="63" spans="1:19" ht="21.75" customHeight="1">
      <c r="B63" s="13" t="s">
        <v>253</v>
      </c>
      <c r="C63" s="49" t="s">
        <v>254</v>
      </c>
      <c r="D63" s="50"/>
      <c r="E63" s="49" t="s">
        <v>257</v>
      </c>
      <c r="F63" s="50"/>
      <c r="G63" s="49" t="s">
        <v>258</v>
      </c>
      <c r="H63" s="50"/>
      <c r="I63" s="49" t="s">
        <v>259</v>
      </c>
      <c r="J63" s="51"/>
      <c r="L63" s="11"/>
    </row>
    <row r="64" spans="1:19" ht="21.75" customHeight="1">
      <c r="B64" s="18" t="s">
        <v>255</v>
      </c>
      <c r="C64" s="15">
        <f ca="1">E64+G64+I64</f>
        <v>152</v>
      </c>
      <c r="D64" s="15">
        <f ca="1">F64+H64+J64</f>
        <v>460.45000000000016</v>
      </c>
      <c r="E64" s="15">
        <f ca="1">IF(F64=0,0,COUNTIF(SS_INSIDE_AREA,"O"))</f>
        <v>53</v>
      </c>
      <c r="F64" s="15">
        <f ca="1">SUMIF(SS_INSIDE_AREA,"O",$L$2:$L$2)</f>
        <v>95.040000000000049</v>
      </c>
      <c r="G64" s="15">
        <f ca="1">IF(H64=0,0,COUNTIF(AA_INSIDE_AREA,"O"))</f>
        <v>98</v>
      </c>
      <c r="H64" s="15">
        <f ca="1">aa!$D$106</f>
        <v>362.41000000000008</v>
      </c>
      <c r="I64" s="15">
        <f ca="1">IF(J64=0,0,COUNTIF(II_INSIDE_AREA,"O"))</f>
        <v>1</v>
      </c>
      <c r="J64" s="19">
        <f ca="1">ii!$D$8</f>
        <v>3</v>
      </c>
      <c r="K64" s="2" t="s">
        <v>30</v>
      </c>
      <c r="L64" s="36">
        <f>L62+aa!L105+ii!L5</f>
        <v>473.0800000000001</v>
      </c>
    </row>
    <row r="65" spans="2:12" ht="21.75" customHeight="1" thickBot="1">
      <c r="B65" s="14" t="s">
        <v>256</v>
      </c>
      <c r="C65" s="20">
        <f ca="1">E65+G65+I65</f>
        <v>8</v>
      </c>
      <c r="D65" s="20">
        <f ca="1">F65+H65+J65</f>
        <v>12.63</v>
      </c>
      <c r="E65" s="20">
        <f ca="1">IF(F65=0,0,COUNTIF(SS_INSIDE_AREA,"X"))</f>
        <v>5</v>
      </c>
      <c r="F65" s="20">
        <f ca="1">SUMIF(SS_INSIDE_AREA,"X",$L$2:$L$2)</f>
        <v>3.35</v>
      </c>
      <c r="G65" s="20">
        <f ca="1">IF(H65=0,0,COUNTIF(AA_INSIDE_AREA,"X"))</f>
        <v>3</v>
      </c>
      <c r="H65" s="20">
        <f ca="1">aa!$D$107</f>
        <v>9.2800000000000011</v>
      </c>
      <c r="I65" s="20">
        <f ca="1">IF(J65=0,0,COUNTIF(II_INSIDE_AREA,"X"))</f>
        <v>0</v>
      </c>
      <c r="J65" s="21">
        <f ca="1">ii!$D$9</f>
        <v>0</v>
      </c>
    </row>
    <row r="66" spans="2:12" ht="21.75" customHeight="1">
      <c r="B66"/>
      <c r="C66"/>
      <c r="D66"/>
      <c r="E66"/>
      <c r="F66"/>
      <c r="G66"/>
      <c r="H66"/>
      <c r="I66"/>
      <c r="K66" s="13" t="s">
        <v>31</v>
      </c>
      <c r="L66" s="37">
        <f ca="1">D64</f>
        <v>460.45000000000016</v>
      </c>
    </row>
    <row r="67" spans="2:12" ht="21.75" customHeight="1" thickBot="1">
      <c r="B67"/>
      <c r="C67"/>
      <c r="D67"/>
      <c r="E67"/>
      <c r="F67"/>
      <c r="G67"/>
      <c r="H67"/>
      <c r="I67"/>
      <c r="K67" s="14" t="s">
        <v>32</v>
      </c>
      <c r="L67" s="38">
        <f ca="1">C64</f>
        <v>152</v>
      </c>
    </row>
    <row r="68" spans="2:12" ht="21.75" customHeight="1">
      <c r="B68"/>
      <c r="C68"/>
      <c r="D68"/>
      <c r="E68"/>
      <c r="F68"/>
      <c r="G68"/>
      <c r="H68"/>
      <c r="I68"/>
    </row>
    <row r="69" spans="2:12" ht="21.75" customHeight="1">
      <c r="B69"/>
      <c r="C69"/>
      <c r="D69"/>
      <c r="E69"/>
      <c r="F69"/>
      <c r="G69"/>
      <c r="H69"/>
      <c r="I69"/>
    </row>
    <row r="70" spans="2:12" ht="21.75" customHeight="1">
      <c r="B70"/>
      <c r="C70"/>
      <c r="D70"/>
      <c r="E70"/>
      <c r="F70"/>
      <c r="G70"/>
      <c r="H70"/>
      <c r="I70"/>
    </row>
    <row r="71" spans="2:12" ht="21.75" customHeight="1">
      <c r="B71"/>
      <c r="C71"/>
      <c r="D71"/>
      <c r="E71"/>
      <c r="F71"/>
      <c r="G71"/>
      <c r="H71"/>
      <c r="I71"/>
    </row>
    <row r="72" spans="2:12" ht="21.75" customHeight="1">
      <c r="B72"/>
      <c r="C72"/>
      <c r="D72"/>
      <c r="E72"/>
      <c r="F72"/>
      <c r="G72"/>
      <c r="H72"/>
      <c r="I72"/>
    </row>
    <row r="73" spans="2:12" ht="21.75" customHeight="1">
      <c r="B73"/>
      <c r="C73"/>
      <c r="D73"/>
      <c r="E73"/>
      <c r="F73"/>
      <c r="G73"/>
      <c r="H73"/>
      <c r="I73"/>
    </row>
    <row r="74" spans="2:12" ht="21.75" customHeight="1">
      <c r="B74"/>
      <c r="C74"/>
      <c r="D74"/>
      <c r="E74"/>
      <c r="F74"/>
      <c r="G74"/>
      <c r="H74"/>
      <c r="I74"/>
    </row>
    <row r="75" spans="2:12" ht="21.75" customHeight="1">
      <c r="B75"/>
      <c r="C75"/>
      <c r="D75"/>
      <c r="E75"/>
      <c r="F75"/>
      <c r="G75"/>
      <c r="H75"/>
      <c r="I75"/>
    </row>
    <row r="76" spans="2:12" ht="21.75" customHeight="1">
      <c r="B76"/>
      <c r="C76"/>
      <c r="D76"/>
      <c r="E76"/>
      <c r="F76"/>
      <c r="G76"/>
      <c r="H76"/>
      <c r="I76"/>
    </row>
    <row r="81" spans="11:17" ht="21.75" customHeight="1">
      <c r="K81"/>
      <c r="L81"/>
      <c r="M81"/>
      <c r="N81"/>
      <c r="O81"/>
      <c r="P81"/>
      <c r="Q81"/>
    </row>
    <row r="82" spans="11:17" ht="21.75" customHeight="1">
      <c r="K82"/>
      <c r="L82"/>
      <c r="M82"/>
      <c r="N82"/>
      <c r="O82"/>
      <c r="P82"/>
      <c r="Q82"/>
    </row>
    <row r="83" spans="11:17" ht="21.75" customHeight="1">
      <c r="K83"/>
      <c r="L83"/>
      <c r="M83"/>
      <c r="N83"/>
      <c r="O83"/>
      <c r="P83"/>
      <c r="Q83"/>
    </row>
  </sheetData>
  <dataConsolidate/>
  <mergeCells count="4">
    <mergeCell ref="C63:D63"/>
    <mergeCell ref="E63:F63"/>
    <mergeCell ref="G63:H63"/>
    <mergeCell ref="I63:J63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InitialClear">
          <controlPr defaultSize="0" autoLine="0" r:id="rId5">
            <anchor moveWithCells="1">
              <from>
                <xdr:col>12</xdr:col>
                <xdr:colOff>0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476250</xdr:rowOff>
              </to>
            </anchor>
          </controlPr>
        </control>
      </mc:Choice>
      <mc:Fallback>
        <control shapeId="2060" r:id="rId4" name="CommandButtonInitialClear"/>
      </mc:Fallback>
    </mc:AlternateContent>
    <mc:AlternateContent xmlns:mc="http://schemas.openxmlformats.org/markup-compatibility/2006">
      <mc:Choice Requires="x14">
        <control shapeId="2059" r:id="rId6" name="TextBox_AREA">
          <controlPr defaultSize="0" disabled="1" autoLine="0" r:id="rId7">
            <anchor moveWithCells="1">
              <from>
                <xdr:col>12</xdr:col>
                <xdr:colOff>933450</xdr:colOff>
                <xdr:row>0</xdr:row>
                <xdr:rowOff>142875</xdr:rowOff>
              </from>
              <to>
                <xdr:col>13</xdr:col>
                <xdr:colOff>57150</xdr:colOff>
                <xdr:row>0</xdr:row>
                <xdr:rowOff>466725</xdr:rowOff>
              </to>
            </anchor>
          </controlPr>
        </control>
      </mc:Choice>
      <mc:Fallback>
        <control shapeId="2059" r:id="rId6" name="TextBox_AREA"/>
      </mc:Fallback>
    </mc:AlternateContent>
    <mc:AlternateContent xmlns:mc="http://schemas.openxmlformats.org/markup-compatibility/2006">
      <mc:Choice Requires="x14">
        <control shapeId="2058" r:id="rId8" name="CommandButton5">
          <controlPr defaultSize="0" autoLine="0" autoPict="0" r:id="rId9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8" name="CommandButton5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10</xdr:col>
                <xdr:colOff>904875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2052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0" r:id="rId14" name="CommandButtonDelete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4" name="CommandButtonDelete"/>
      </mc:Fallback>
    </mc:AlternateContent>
    <mc:AlternateContent xmlns:mc="http://schemas.openxmlformats.org/markup-compatibility/2006">
      <mc:Choice Requires="x14">
        <control shapeId="2051" r:id="rId16" name="CommandButton1">
          <controlPr defaultSize="0" autoLine="0" autoPict="0" r:id="rId17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6" name="CommandButton1"/>
      </mc:Fallback>
    </mc:AlternateContent>
    <mc:AlternateContent xmlns:mc="http://schemas.openxmlformats.org/markup-compatibility/2006">
      <mc:Choice Requires="x14">
        <control shapeId="2053" r:id="rId18" name="CommandButton3">
          <controlPr defaultSize="0" autoLine="0" autoPict="0" r:id="rId19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8" name="CommandButton3"/>
      </mc:Fallback>
    </mc:AlternateContent>
    <mc:AlternateContent xmlns:mc="http://schemas.openxmlformats.org/markup-compatibility/2006">
      <mc:Choice Requires="x14">
        <control shapeId="2054" r:id="rId20" name="CommandButton4">
          <controlPr defaultSize="0" autoLine="0" autoPict="0" r:id="rId21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0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8"/>
  <sheetViews>
    <sheetView topLeftCell="A85" workbookViewId="0">
      <selection activeCell="U13" sqref="U13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654</v>
      </c>
      <c r="D2" s="2" t="s">
        <v>655</v>
      </c>
      <c r="E2" s="10" t="s">
        <v>656</v>
      </c>
      <c r="F2" s="9">
        <v>40</v>
      </c>
      <c r="G2" s="9">
        <v>50</v>
      </c>
      <c r="H2" s="9">
        <v>0.5</v>
      </c>
      <c r="I2" s="9">
        <v>10</v>
      </c>
      <c r="J2" s="9">
        <v>30</v>
      </c>
      <c r="K2" s="9" t="s">
        <v>651</v>
      </c>
      <c r="L2" s="2">
        <v>2.52</v>
      </c>
      <c r="M2" s="28" t="str">
        <f>D2&amp;" "&amp;E2</f>
        <v>신덕리 451-5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632</v>
      </c>
      <c r="B3" s="1" t="s">
        <v>2</v>
      </c>
      <c r="C3" s="2" t="s">
        <v>654</v>
      </c>
      <c r="D3" s="2" t="s">
        <v>655</v>
      </c>
      <c r="E3" s="10" t="s">
        <v>657</v>
      </c>
      <c r="F3" s="9">
        <v>40</v>
      </c>
      <c r="G3" s="9">
        <v>50</v>
      </c>
      <c r="H3" s="9">
        <v>0.5</v>
      </c>
      <c r="I3" s="9">
        <v>10</v>
      </c>
      <c r="J3" s="9">
        <v>30</v>
      </c>
      <c r="K3" s="9" t="s">
        <v>651</v>
      </c>
      <c r="L3" s="2">
        <v>2.52</v>
      </c>
      <c r="M3" s="28" t="str">
        <f t="shared" ref="M3:M4" si="0">D3&amp;" "&amp;E3</f>
        <v>신덕리 451-2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654</v>
      </c>
      <c r="D4" s="2" t="s">
        <v>655</v>
      </c>
      <c r="E4" s="10" t="s">
        <v>661</v>
      </c>
      <c r="F4" s="9">
        <v>50</v>
      </c>
      <c r="G4" s="9">
        <v>150</v>
      </c>
      <c r="H4" s="9">
        <v>0.5</v>
      </c>
      <c r="I4" s="9">
        <v>60</v>
      </c>
      <c r="J4" s="9">
        <v>25</v>
      </c>
      <c r="K4" s="9" t="s">
        <v>651</v>
      </c>
      <c r="L4" s="2">
        <v>4.67</v>
      </c>
      <c r="M4" s="28" t="str">
        <f t="shared" si="0"/>
        <v>신덕리 620-4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633</v>
      </c>
      <c r="B5" s="1" t="s">
        <v>2</v>
      </c>
      <c r="C5" s="2" t="s">
        <v>654</v>
      </c>
      <c r="D5" s="2" t="s">
        <v>655</v>
      </c>
      <c r="E5" s="10" t="s">
        <v>662</v>
      </c>
      <c r="F5" s="9">
        <v>62</v>
      </c>
      <c r="G5" s="9">
        <v>50</v>
      </c>
      <c r="H5" s="9">
        <v>0.5</v>
      </c>
      <c r="I5" s="9">
        <v>20</v>
      </c>
      <c r="J5" s="9">
        <v>30</v>
      </c>
      <c r="K5" s="9" t="s">
        <v>651</v>
      </c>
      <c r="L5" s="2">
        <v>2.95</v>
      </c>
      <c r="M5" s="28" t="str">
        <f t="shared" ref="M5:M6" si="1">D5&amp;" "&amp;E5</f>
        <v>신덕리 447-4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634</v>
      </c>
      <c r="B6" s="1" t="s">
        <v>2</v>
      </c>
      <c r="C6" s="2" t="s">
        <v>654</v>
      </c>
      <c r="D6" s="2" t="s">
        <v>655</v>
      </c>
      <c r="E6" s="10" t="s">
        <v>663</v>
      </c>
      <c r="F6" s="9">
        <v>50</v>
      </c>
      <c r="G6" s="9">
        <v>50</v>
      </c>
      <c r="H6" s="9">
        <v>0.5</v>
      </c>
      <c r="I6" s="9">
        <v>10</v>
      </c>
      <c r="J6" s="9">
        <v>30</v>
      </c>
      <c r="K6" s="9" t="s">
        <v>651</v>
      </c>
      <c r="L6" s="2">
        <v>2.52</v>
      </c>
      <c r="M6" s="28" t="str">
        <f t="shared" si="1"/>
        <v>신덕리 445-3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635</v>
      </c>
      <c r="B7" s="1" t="s">
        <v>2</v>
      </c>
      <c r="C7" s="2" t="s">
        <v>654</v>
      </c>
      <c r="D7" s="2" t="s">
        <v>655</v>
      </c>
      <c r="E7" s="10" t="s">
        <v>664</v>
      </c>
      <c r="F7" s="9">
        <v>40</v>
      </c>
      <c r="G7" s="9">
        <v>50</v>
      </c>
      <c r="H7" s="9">
        <v>0.5</v>
      </c>
      <c r="I7" s="9">
        <v>25</v>
      </c>
      <c r="J7" s="9">
        <v>30</v>
      </c>
      <c r="K7" s="9" t="s">
        <v>651</v>
      </c>
      <c r="L7" s="2">
        <v>3.16</v>
      </c>
      <c r="M7" s="28" t="str">
        <f t="shared" ref="M7:M8" si="2">D7&amp;" "&amp;E7</f>
        <v>신덕리 445-1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636</v>
      </c>
      <c r="B8" s="1" t="s">
        <v>2</v>
      </c>
      <c r="C8" s="2" t="s">
        <v>654</v>
      </c>
      <c r="D8" s="2" t="s">
        <v>658</v>
      </c>
      <c r="E8" s="10" t="s">
        <v>665</v>
      </c>
      <c r="F8" s="9">
        <v>30</v>
      </c>
      <c r="G8" s="9">
        <v>50</v>
      </c>
      <c r="H8" s="9">
        <v>0.5</v>
      </c>
      <c r="I8" s="9">
        <v>25</v>
      </c>
      <c r="J8" s="9">
        <v>30</v>
      </c>
      <c r="K8" s="9" t="s">
        <v>651</v>
      </c>
      <c r="L8" s="2">
        <v>3.16</v>
      </c>
      <c r="M8" s="28" t="str">
        <f t="shared" si="2"/>
        <v>신죽리 607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637</v>
      </c>
      <c r="B9" s="1" t="s">
        <v>2</v>
      </c>
      <c r="C9" s="2" t="s">
        <v>654</v>
      </c>
      <c r="D9" s="2" t="s">
        <v>658</v>
      </c>
      <c r="E9" s="10" t="s">
        <v>667</v>
      </c>
      <c r="F9" s="9">
        <v>10</v>
      </c>
      <c r="G9" s="9">
        <v>50</v>
      </c>
      <c r="H9" s="9">
        <v>1</v>
      </c>
      <c r="I9" s="9">
        <v>76</v>
      </c>
      <c r="J9" s="9">
        <v>25</v>
      </c>
      <c r="K9" s="9" t="s">
        <v>651</v>
      </c>
      <c r="L9" s="2">
        <v>5.36</v>
      </c>
      <c r="M9" s="28" t="str">
        <f t="shared" ref="M9:M10" si="3">D9&amp;" "&amp;E9</f>
        <v>신죽리 598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638</v>
      </c>
      <c r="B10" s="1" t="s">
        <v>2</v>
      </c>
      <c r="C10" s="2" t="s">
        <v>654</v>
      </c>
      <c r="D10" s="2" t="s">
        <v>658</v>
      </c>
      <c r="E10" s="10" t="s">
        <v>671</v>
      </c>
      <c r="F10" s="9">
        <v>30</v>
      </c>
      <c r="G10" s="9">
        <v>40</v>
      </c>
      <c r="H10" s="9">
        <v>0.5</v>
      </c>
      <c r="I10" s="9">
        <v>25</v>
      </c>
      <c r="J10" s="9">
        <v>20</v>
      </c>
      <c r="K10" s="9" t="s">
        <v>153</v>
      </c>
      <c r="L10" s="2">
        <v>6.39</v>
      </c>
      <c r="M10" s="28" t="str">
        <f t="shared" si="3"/>
        <v>신죽리 591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639</v>
      </c>
      <c r="B11" s="1" t="s">
        <v>2</v>
      </c>
      <c r="C11" s="2" t="s">
        <v>654</v>
      </c>
      <c r="D11" s="2" t="s">
        <v>658</v>
      </c>
      <c r="E11" s="10" t="s">
        <v>674</v>
      </c>
      <c r="F11" s="9">
        <v>78</v>
      </c>
      <c r="G11" s="9">
        <v>200</v>
      </c>
      <c r="H11" s="9">
        <v>3</v>
      </c>
      <c r="I11" s="9">
        <v>60</v>
      </c>
      <c r="J11" s="9">
        <v>30</v>
      </c>
      <c r="K11" s="9" t="s">
        <v>651</v>
      </c>
      <c r="L11" s="2">
        <v>4.67</v>
      </c>
      <c r="M11" s="28" t="str">
        <f t="shared" ref="M11:M12" si="4">D11&amp;" "&amp;E11</f>
        <v>신죽리 592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640</v>
      </c>
      <c r="B12" s="1" t="s">
        <v>2</v>
      </c>
      <c r="C12" s="2" t="s">
        <v>654</v>
      </c>
      <c r="D12" s="2" t="s">
        <v>658</v>
      </c>
      <c r="E12" s="10" t="s">
        <v>675</v>
      </c>
      <c r="F12" s="9">
        <v>80</v>
      </c>
      <c r="G12" s="9">
        <v>250</v>
      </c>
      <c r="H12" s="9">
        <v>3</v>
      </c>
      <c r="I12" s="9">
        <v>55</v>
      </c>
      <c r="J12" s="9">
        <v>30</v>
      </c>
      <c r="K12" s="9" t="s">
        <v>651</v>
      </c>
      <c r="L12" s="2">
        <v>4.45</v>
      </c>
      <c r="M12" s="28" t="str">
        <f t="shared" si="4"/>
        <v>신죽리 610-1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641</v>
      </c>
      <c r="B13" s="1" t="s">
        <v>2</v>
      </c>
      <c r="C13" s="2" t="s">
        <v>654</v>
      </c>
      <c r="D13" s="2" t="s">
        <v>655</v>
      </c>
      <c r="E13" s="10" t="s">
        <v>676</v>
      </c>
      <c r="F13" s="9">
        <v>40</v>
      </c>
      <c r="G13" s="9">
        <v>50</v>
      </c>
      <c r="H13" s="9">
        <v>0.5</v>
      </c>
      <c r="I13" s="9">
        <v>10</v>
      </c>
      <c r="J13" s="9">
        <v>30</v>
      </c>
      <c r="K13" s="9" t="s">
        <v>651</v>
      </c>
      <c r="L13" s="2">
        <v>2.52</v>
      </c>
      <c r="M13" s="28" t="str">
        <f t="shared" ref="M13:M14" si="5">D13&amp;" "&amp;E13</f>
        <v>신덕리 108-1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642</v>
      </c>
      <c r="B14" s="1" t="s">
        <v>2</v>
      </c>
      <c r="C14" s="2" t="s">
        <v>654</v>
      </c>
      <c r="D14" s="2" t="s">
        <v>655</v>
      </c>
      <c r="E14" s="10" t="s">
        <v>677</v>
      </c>
      <c r="F14" s="9">
        <v>60</v>
      </c>
      <c r="G14" s="9">
        <v>150</v>
      </c>
      <c r="H14" s="9">
        <v>1</v>
      </c>
      <c r="I14" s="9">
        <v>70</v>
      </c>
      <c r="J14" s="9">
        <v>30</v>
      </c>
      <c r="K14" s="9" t="s">
        <v>651</v>
      </c>
      <c r="L14" s="2">
        <v>5.0999999999999996</v>
      </c>
      <c r="M14" s="28" t="str">
        <f t="shared" si="5"/>
        <v>신덕리 107-2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643</v>
      </c>
      <c r="B15" s="1" t="s">
        <v>2</v>
      </c>
      <c r="C15" s="2" t="s">
        <v>654</v>
      </c>
      <c r="D15" s="2" t="s">
        <v>655</v>
      </c>
      <c r="E15" s="10" t="s">
        <v>678</v>
      </c>
      <c r="F15" s="9">
        <v>60</v>
      </c>
      <c r="G15" s="9">
        <v>150</v>
      </c>
      <c r="H15" s="9">
        <v>1</v>
      </c>
      <c r="I15" s="9">
        <v>70</v>
      </c>
      <c r="J15" s="9">
        <v>30</v>
      </c>
      <c r="K15" s="9" t="s">
        <v>652</v>
      </c>
      <c r="L15" s="2">
        <v>7.87</v>
      </c>
      <c r="M15" s="28" t="str">
        <f t="shared" ref="M15:M16" si="6">D15&amp;" "&amp;E15</f>
        <v>신덕리 107-1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644</v>
      </c>
      <c r="B16" s="1" t="s">
        <v>2</v>
      </c>
      <c r="C16" s="2" t="s">
        <v>654</v>
      </c>
      <c r="D16" s="2" t="s">
        <v>658</v>
      </c>
      <c r="E16" s="10" t="s">
        <v>679</v>
      </c>
      <c r="F16" s="9">
        <v>100</v>
      </c>
      <c r="G16" s="9">
        <v>150</v>
      </c>
      <c r="H16" s="9">
        <v>2</v>
      </c>
      <c r="I16" s="9">
        <v>50</v>
      </c>
      <c r="J16" s="9">
        <v>32</v>
      </c>
      <c r="K16" s="9" t="s">
        <v>651</v>
      </c>
      <c r="L16" s="2">
        <v>4.24</v>
      </c>
      <c r="M16" s="28" t="str">
        <f t="shared" si="6"/>
        <v>신죽리 568-6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645</v>
      </c>
      <c r="B17" s="1" t="s">
        <v>2</v>
      </c>
      <c r="C17" s="2" t="s">
        <v>654</v>
      </c>
      <c r="D17" s="2" t="s">
        <v>655</v>
      </c>
      <c r="E17" s="10" t="s">
        <v>681</v>
      </c>
      <c r="F17" s="9">
        <v>40</v>
      </c>
      <c r="G17" s="9">
        <v>50</v>
      </c>
      <c r="H17" s="9">
        <v>0.5</v>
      </c>
      <c r="I17" s="9">
        <v>10</v>
      </c>
      <c r="J17" s="9">
        <v>30</v>
      </c>
      <c r="K17" s="9" t="s">
        <v>651</v>
      </c>
      <c r="L17" s="2">
        <v>2.52</v>
      </c>
      <c r="M17" s="28" t="str">
        <f t="shared" ref="M17:M18" si="7">D17&amp;" "&amp;E17</f>
        <v>신덕리 100-1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646</v>
      </c>
      <c r="B18" s="1" t="s">
        <v>2</v>
      </c>
      <c r="C18" s="2" t="s">
        <v>654</v>
      </c>
      <c r="D18" s="2" t="s">
        <v>655</v>
      </c>
      <c r="E18" s="10" t="s">
        <v>682</v>
      </c>
      <c r="F18" s="9">
        <v>60</v>
      </c>
      <c r="G18" s="9">
        <v>50</v>
      </c>
      <c r="H18" s="9">
        <v>0.5</v>
      </c>
      <c r="I18" s="9">
        <v>10</v>
      </c>
      <c r="J18" s="9">
        <v>30</v>
      </c>
      <c r="K18" s="9" t="s">
        <v>651</v>
      </c>
      <c r="L18" s="2">
        <v>2.52</v>
      </c>
      <c r="M18" s="28" t="str">
        <f t="shared" si="7"/>
        <v>신덕리 99-3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647</v>
      </c>
      <c r="B19" s="1" t="s">
        <v>2</v>
      </c>
      <c r="C19" s="2" t="s">
        <v>654</v>
      </c>
      <c r="D19" s="2" t="s">
        <v>655</v>
      </c>
      <c r="E19" s="10" t="s">
        <v>683</v>
      </c>
      <c r="F19" s="9">
        <v>40</v>
      </c>
      <c r="G19" s="9">
        <v>50</v>
      </c>
      <c r="H19" s="9">
        <v>0.5</v>
      </c>
      <c r="I19" s="9">
        <v>20</v>
      </c>
      <c r="J19" s="9">
        <v>16</v>
      </c>
      <c r="K19" s="9" t="s">
        <v>651</v>
      </c>
      <c r="L19" s="2">
        <v>2.95</v>
      </c>
      <c r="M19" s="28" t="str">
        <f t="shared" ref="M19:M20" si="8">D19&amp;" "&amp;E19</f>
        <v>신덕리 98-5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648</v>
      </c>
      <c r="B20" s="1" t="s">
        <v>2</v>
      </c>
      <c r="C20" s="2" t="s">
        <v>654</v>
      </c>
      <c r="D20" s="2" t="s">
        <v>655</v>
      </c>
      <c r="E20" s="10" t="s">
        <v>684</v>
      </c>
      <c r="F20" s="9">
        <v>50</v>
      </c>
      <c r="G20" s="9">
        <v>50</v>
      </c>
      <c r="H20" s="9">
        <v>1</v>
      </c>
      <c r="I20" s="9">
        <v>20</v>
      </c>
      <c r="J20" s="9">
        <v>16</v>
      </c>
      <c r="K20" s="9" t="s">
        <v>651</v>
      </c>
      <c r="L20" s="2">
        <v>2.95</v>
      </c>
      <c r="M20" s="28" t="str">
        <f t="shared" si="8"/>
        <v>신덕리 99-1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649</v>
      </c>
      <c r="B21" s="1" t="s">
        <v>2</v>
      </c>
      <c r="C21" s="2" t="s">
        <v>654</v>
      </c>
      <c r="D21" s="2" t="s">
        <v>655</v>
      </c>
      <c r="E21" s="10" t="s">
        <v>716</v>
      </c>
      <c r="F21" s="9">
        <v>60</v>
      </c>
      <c r="G21" s="9">
        <v>150</v>
      </c>
      <c r="H21" s="9">
        <v>1</v>
      </c>
      <c r="I21" s="9">
        <v>75</v>
      </c>
      <c r="J21" s="9">
        <v>32</v>
      </c>
      <c r="K21" s="9" t="s">
        <v>652</v>
      </c>
      <c r="L21" s="2">
        <v>7.94</v>
      </c>
      <c r="M21" s="28" t="str">
        <f t="shared" ref="M21:M22" si="9">D21&amp;" "&amp;E21</f>
        <v>신덕리 382-3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650</v>
      </c>
      <c r="B22" s="1" t="s">
        <v>2</v>
      </c>
      <c r="C22" s="2" t="s">
        <v>654</v>
      </c>
      <c r="D22" s="2" t="s">
        <v>655</v>
      </c>
      <c r="E22" s="10" t="s">
        <v>717</v>
      </c>
      <c r="F22" s="9">
        <v>50</v>
      </c>
      <c r="G22" s="9">
        <v>50</v>
      </c>
      <c r="H22" s="9">
        <v>0.5</v>
      </c>
      <c r="I22" s="9">
        <v>10</v>
      </c>
      <c r="J22" s="9">
        <v>30</v>
      </c>
      <c r="K22" s="9" t="s">
        <v>651</v>
      </c>
      <c r="L22" s="2">
        <v>2.52</v>
      </c>
      <c r="M22" s="28" t="str">
        <f t="shared" si="9"/>
        <v>신덕리 408-1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 t="s">
        <v>685</v>
      </c>
      <c r="B23" s="1" t="s">
        <v>2</v>
      </c>
      <c r="C23" s="2" t="s">
        <v>654</v>
      </c>
      <c r="D23" s="2" t="s">
        <v>655</v>
      </c>
      <c r="E23" s="10" t="s">
        <v>720</v>
      </c>
      <c r="F23" s="9">
        <v>30</v>
      </c>
      <c r="G23" s="9">
        <v>50</v>
      </c>
      <c r="H23" s="9">
        <v>1</v>
      </c>
      <c r="I23" s="9">
        <v>20</v>
      </c>
      <c r="J23" s="9">
        <v>16</v>
      </c>
      <c r="K23" s="9" t="s">
        <v>651</v>
      </c>
      <c r="L23" s="2">
        <v>2.95</v>
      </c>
      <c r="M23" s="28" t="str">
        <f t="shared" ref="M23:M32" si="10">D23&amp;" "&amp;E23</f>
        <v>신덕리 117-2</v>
      </c>
      <c r="N23" s="9"/>
      <c r="O23" s="9"/>
      <c r="P23" s="9"/>
      <c r="R23" s="9"/>
      <c r="S23" s="7" t="s">
        <v>11</v>
      </c>
    </row>
    <row r="24" spans="1:19" s="7" customFormat="1" ht="21.75" customHeight="1">
      <c r="A24" s="1" t="s">
        <v>686</v>
      </c>
      <c r="B24" s="1" t="s">
        <v>2</v>
      </c>
      <c r="C24" s="2" t="s">
        <v>654</v>
      </c>
      <c r="D24" s="2" t="s">
        <v>655</v>
      </c>
      <c r="E24" s="10" t="s">
        <v>721</v>
      </c>
      <c r="F24" s="9">
        <v>60</v>
      </c>
      <c r="G24" s="9">
        <v>50</v>
      </c>
      <c r="H24" s="9">
        <v>0.5</v>
      </c>
      <c r="I24" s="9">
        <v>10</v>
      </c>
      <c r="J24" s="9">
        <v>30</v>
      </c>
      <c r="K24" s="9" t="s">
        <v>651</v>
      </c>
      <c r="L24" s="2">
        <v>2.52</v>
      </c>
      <c r="M24" s="28" t="str">
        <f t="shared" si="10"/>
        <v>신덕리 352</v>
      </c>
      <c r="N24" s="9"/>
      <c r="O24" s="9"/>
      <c r="P24" s="9"/>
      <c r="R24" s="9"/>
      <c r="S24" s="7" t="s">
        <v>11</v>
      </c>
    </row>
    <row r="25" spans="1:19" s="7" customFormat="1" ht="21.75" customHeight="1">
      <c r="A25" s="1" t="s">
        <v>687</v>
      </c>
      <c r="B25" s="1" t="s">
        <v>2</v>
      </c>
      <c r="C25" s="2" t="s">
        <v>654</v>
      </c>
      <c r="D25" s="2" t="s">
        <v>655</v>
      </c>
      <c r="E25" s="10" t="s">
        <v>723</v>
      </c>
      <c r="F25" s="9">
        <v>40</v>
      </c>
      <c r="G25" s="9">
        <v>50</v>
      </c>
      <c r="H25" s="9">
        <v>1</v>
      </c>
      <c r="I25" s="9">
        <v>20</v>
      </c>
      <c r="J25" s="9">
        <v>16</v>
      </c>
      <c r="K25" s="9" t="s">
        <v>652</v>
      </c>
      <c r="L25" s="2">
        <v>7.22</v>
      </c>
      <c r="M25" s="28" t="str">
        <f t="shared" si="10"/>
        <v>신덕리 353</v>
      </c>
      <c r="N25" s="9"/>
      <c r="O25" s="9"/>
      <c r="P25" s="9"/>
      <c r="R25" s="9"/>
      <c r="S25" s="7" t="s">
        <v>11</v>
      </c>
    </row>
    <row r="26" spans="1:19" s="7" customFormat="1" ht="21.75" customHeight="1">
      <c r="A26" s="1" t="s">
        <v>688</v>
      </c>
      <c r="B26" s="1" t="s">
        <v>2</v>
      </c>
      <c r="C26" s="2" t="s">
        <v>654</v>
      </c>
      <c r="D26" s="2" t="s">
        <v>655</v>
      </c>
      <c r="E26" s="10" t="s">
        <v>724</v>
      </c>
      <c r="F26" s="9">
        <v>40</v>
      </c>
      <c r="G26" s="9">
        <v>50</v>
      </c>
      <c r="H26" s="9">
        <v>0.5</v>
      </c>
      <c r="I26" s="9">
        <v>10</v>
      </c>
      <c r="J26" s="9">
        <v>30</v>
      </c>
      <c r="K26" s="9" t="s">
        <v>651</v>
      </c>
      <c r="L26" s="2">
        <v>2.52</v>
      </c>
      <c r="M26" s="28" t="str">
        <f t="shared" si="10"/>
        <v>신덕리 351-2</v>
      </c>
      <c r="N26" s="9"/>
      <c r="O26" s="9"/>
      <c r="P26" s="9"/>
      <c r="R26" s="9"/>
      <c r="S26" s="7" t="s">
        <v>11</v>
      </c>
    </row>
    <row r="27" spans="1:19" s="7" customFormat="1" ht="21.75" customHeight="1">
      <c r="A27" s="1" t="s">
        <v>689</v>
      </c>
      <c r="B27" s="1" t="s">
        <v>2</v>
      </c>
      <c r="C27" s="2" t="s">
        <v>654</v>
      </c>
      <c r="D27" s="2" t="s">
        <v>655</v>
      </c>
      <c r="E27" s="10" t="s">
        <v>725</v>
      </c>
      <c r="F27" s="9">
        <v>30</v>
      </c>
      <c r="G27" s="9">
        <v>50</v>
      </c>
      <c r="H27" s="9">
        <v>0.5</v>
      </c>
      <c r="I27" s="9">
        <v>20</v>
      </c>
      <c r="J27" s="9">
        <v>30</v>
      </c>
      <c r="K27" s="9" t="s">
        <v>651</v>
      </c>
      <c r="L27" s="2">
        <v>2.95</v>
      </c>
      <c r="M27" s="28" t="str">
        <f t="shared" si="10"/>
        <v>신덕리 355</v>
      </c>
      <c r="N27" s="9"/>
      <c r="O27" s="9"/>
      <c r="P27" s="9"/>
      <c r="R27" s="9"/>
      <c r="S27" s="7" t="s">
        <v>11</v>
      </c>
    </row>
    <row r="28" spans="1:19" s="7" customFormat="1" ht="21.75" customHeight="1">
      <c r="A28" s="1" t="s">
        <v>690</v>
      </c>
      <c r="B28" s="1" t="s">
        <v>2</v>
      </c>
      <c r="C28" s="2" t="s">
        <v>654</v>
      </c>
      <c r="D28" s="2" t="s">
        <v>655</v>
      </c>
      <c r="E28" s="10" t="s">
        <v>726</v>
      </c>
      <c r="F28" s="9">
        <v>20</v>
      </c>
      <c r="G28" s="9">
        <v>50</v>
      </c>
      <c r="H28" s="9">
        <v>0.5</v>
      </c>
      <c r="I28" s="9">
        <v>20</v>
      </c>
      <c r="J28" s="9">
        <v>30</v>
      </c>
      <c r="K28" s="9" t="s">
        <v>651</v>
      </c>
      <c r="L28" s="2">
        <v>2.95</v>
      </c>
      <c r="M28" s="28" t="str">
        <f t="shared" si="10"/>
        <v>신덕리 348</v>
      </c>
      <c r="N28" s="9"/>
      <c r="O28" s="9"/>
      <c r="P28" s="9"/>
      <c r="R28" s="9"/>
      <c r="S28" s="7" t="s">
        <v>11</v>
      </c>
    </row>
    <row r="29" spans="1:19" s="7" customFormat="1" ht="21.75" customHeight="1">
      <c r="A29" s="1" t="s">
        <v>691</v>
      </c>
      <c r="B29" s="1" t="s">
        <v>2</v>
      </c>
      <c r="C29" s="2" t="s">
        <v>654</v>
      </c>
      <c r="D29" s="2" t="s">
        <v>655</v>
      </c>
      <c r="E29" s="10" t="s">
        <v>727</v>
      </c>
      <c r="F29" s="9">
        <v>20</v>
      </c>
      <c r="G29" s="9">
        <v>30</v>
      </c>
      <c r="H29" s="9">
        <v>0.5</v>
      </c>
      <c r="I29" s="9">
        <v>25</v>
      </c>
      <c r="J29" s="9">
        <v>30</v>
      </c>
      <c r="K29" s="9" t="s">
        <v>651</v>
      </c>
      <c r="L29" s="2">
        <v>3.16</v>
      </c>
      <c r="M29" s="28" t="str">
        <f t="shared" si="10"/>
        <v>신덕리 347-2</v>
      </c>
      <c r="N29" s="9"/>
      <c r="O29" s="9"/>
      <c r="P29" s="9"/>
      <c r="R29" s="9"/>
      <c r="S29" s="7" t="s">
        <v>11</v>
      </c>
    </row>
    <row r="30" spans="1:19" s="7" customFormat="1" ht="21.75" customHeight="1">
      <c r="A30" s="1" t="s">
        <v>692</v>
      </c>
      <c r="B30" s="1" t="s">
        <v>2</v>
      </c>
      <c r="C30" s="2" t="s">
        <v>654</v>
      </c>
      <c r="D30" s="2" t="s">
        <v>655</v>
      </c>
      <c r="E30" s="10" t="s">
        <v>729</v>
      </c>
      <c r="F30" s="9">
        <v>20</v>
      </c>
      <c r="G30" s="9">
        <v>50</v>
      </c>
      <c r="H30" s="9">
        <v>0.5</v>
      </c>
      <c r="I30" s="9">
        <v>25</v>
      </c>
      <c r="J30" s="9">
        <v>30</v>
      </c>
      <c r="K30" s="9" t="s">
        <v>651</v>
      </c>
      <c r="L30" s="2">
        <v>3.16</v>
      </c>
      <c r="M30" s="28" t="str">
        <f t="shared" si="10"/>
        <v>신덕리 345-3</v>
      </c>
      <c r="N30" s="9"/>
      <c r="O30" s="9"/>
      <c r="P30" s="9"/>
      <c r="R30" s="9"/>
      <c r="S30" s="7" t="s">
        <v>11</v>
      </c>
    </row>
    <row r="31" spans="1:19" s="7" customFormat="1" ht="21.75" customHeight="1">
      <c r="A31" s="1" t="s">
        <v>693</v>
      </c>
      <c r="B31" s="1" t="s">
        <v>2</v>
      </c>
      <c r="C31" s="2" t="s">
        <v>654</v>
      </c>
      <c r="D31" s="2" t="s">
        <v>655</v>
      </c>
      <c r="E31" s="10" t="s">
        <v>730</v>
      </c>
      <c r="F31" s="9">
        <v>50</v>
      </c>
      <c r="G31" s="9">
        <v>50</v>
      </c>
      <c r="H31" s="9">
        <v>1</v>
      </c>
      <c r="I31" s="9">
        <v>20</v>
      </c>
      <c r="J31" s="9">
        <v>15</v>
      </c>
      <c r="K31" s="9" t="s">
        <v>651</v>
      </c>
      <c r="L31" s="2">
        <v>2.95</v>
      </c>
      <c r="M31" s="28" t="str">
        <f t="shared" si="10"/>
        <v>신덕리 144</v>
      </c>
      <c r="N31" s="9"/>
      <c r="O31" s="9"/>
      <c r="P31" s="9"/>
      <c r="R31" s="9"/>
      <c r="S31" s="7" t="s">
        <v>11</v>
      </c>
    </row>
    <row r="32" spans="1:19" s="7" customFormat="1" ht="21.75" customHeight="1">
      <c r="A32" s="1" t="s">
        <v>694</v>
      </c>
      <c r="B32" s="1" t="s">
        <v>2</v>
      </c>
      <c r="C32" s="2" t="s">
        <v>654</v>
      </c>
      <c r="D32" s="2" t="s">
        <v>655</v>
      </c>
      <c r="E32" s="10" t="s">
        <v>731</v>
      </c>
      <c r="F32" s="9">
        <v>120</v>
      </c>
      <c r="G32" s="9">
        <v>50</v>
      </c>
      <c r="H32" s="9">
        <v>0.5</v>
      </c>
      <c r="I32" s="9">
        <v>30</v>
      </c>
      <c r="J32" s="9">
        <v>20</v>
      </c>
      <c r="K32" s="9" t="s">
        <v>652</v>
      </c>
      <c r="L32" s="2">
        <v>7.35</v>
      </c>
      <c r="M32" s="28" t="str">
        <f t="shared" si="10"/>
        <v>신덕리 산39-1</v>
      </c>
      <c r="N32" s="9"/>
      <c r="O32" s="9"/>
      <c r="P32" s="9"/>
      <c r="R32" s="9"/>
      <c r="S32" s="7" t="s">
        <v>11</v>
      </c>
    </row>
    <row r="33" spans="1:19" s="7" customFormat="1" ht="21.75" customHeight="1">
      <c r="A33" s="1" t="s">
        <v>695</v>
      </c>
      <c r="B33" s="1" t="s">
        <v>2</v>
      </c>
      <c r="C33" s="2" t="s">
        <v>654</v>
      </c>
      <c r="D33" s="2" t="s">
        <v>655</v>
      </c>
      <c r="E33" s="10" t="s">
        <v>732</v>
      </c>
      <c r="F33" s="9">
        <v>20</v>
      </c>
      <c r="G33" s="9">
        <v>50</v>
      </c>
      <c r="H33" s="9">
        <v>0.5</v>
      </c>
      <c r="I33" s="9">
        <v>30</v>
      </c>
      <c r="J33" s="9">
        <v>30</v>
      </c>
      <c r="K33" s="9" t="s">
        <v>651</v>
      </c>
      <c r="L33" s="2">
        <v>3.38</v>
      </c>
      <c r="M33" s="28" t="str">
        <f t="shared" ref="M33:M42" si="11">D33&amp;" "&amp;E33</f>
        <v>신덕리 343</v>
      </c>
      <c r="N33" s="9"/>
      <c r="O33" s="9"/>
      <c r="P33" s="9"/>
      <c r="R33" s="9"/>
      <c r="S33" s="7" t="s">
        <v>11</v>
      </c>
    </row>
    <row r="34" spans="1:19" s="7" customFormat="1" ht="21.75" customHeight="1">
      <c r="A34" s="1" t="s">
        <v>696</v>
      </c>
      <c r="B34" s="1" t="s">
        <v>2</v>
      </c>
      <c r="C34" s="2" t="s">
        <v>654</v>
      </c>
      <c r="D34" s="2" t="s">
        <v>655</v>
      </c>
      <c r="E34" s="10" t="s">
        <v>733</v>
      </c>
      <c r="F34" s="9">
        <v>30</v>
      </c>
      <c r="G34" s="9">
        <v>50</v>
      </c>
      <c r="H34" s="9">
        <v>0.5</v>
      </c>
      <c r="I34" s="9">
        <v>20</v>
      </c>
      <c r="J34" s="9">
        <v>30</v>
      </c>
      <c r="K34" s="9" t="s">
        <v>651</v>
      </c>
      <c r="L34" s="2">
        <v>2.95</v>
      </c>
      <c r="M34" s="28" t="str">
        <f t="shared" si="11"/>
        <v>신덕리 361</v>
      </c>
      <c r="N34" s="9"/>
      <c r="O34" s="9"/>
      <c r="P34" s="9"/>
      <c r="R34" s="9"/>
      <c r="S34" s="7" t="s">
        <v>11</v>
      </c>
    </row>
    <row r="35" spans="1:19" s="7" customFormat="1" ht="21.75" customHeight="1">
      <c r="A35" s="1" t="s">
        <v>697</v>
      </c>
      <c r="B35" s="1" t="s">
        <v>2</v>
      </c>
      <c r="C35" s="2" t="s">
        <v>654</v>
      </c>
      <c r="D35" s="2" t="s">
        <v>655</v>
      </c>
      <c r="E35" s="10" t="s">
        <v>734</v>
      </c>
      <c r="F35" s="9">
        <v>50</v>
      </c>
      <c r="G35" s="9">
        <v>50</v>
      </c>
      <c r="H35" s="9">
        <v>0.5</v>
      </c>
      <c r="I35" s="9">
        <v>10</v>
      </c>
      <c r="J35" s="9">
        <v>20</v>
      </c>
      <c r="K35" s="9" t="s">
        <v>651</v>
      </c>
      <c r="L35" s="2">
        <v>2.52</v>
      </c>
      <c r="M35" s="28" t="str">
        <f t="shared" si="11"/>
        <v>신덕리 493</v>
      </c>
      <c r="N35" s="9"/>
      <c r="O35" s="9"/>
      <c r="P35" s="9"/>
      <c r="R35" s="9"/>
      <c r="S35" s="7" t="s">
        <v>11</v>
      </c>
    </row>
    <row r="36" spans="1:19" s="7" customFormat="1" ht="21.75" customHeight="1">
      <c r="A36" s="1" t="s">
        <v>698</v>
      </c>
      <c r="B36" s="1" t="s">
        <v>2</v>
      </c>
      <c r="C36" s="2" t="s">
        <v>654</v>
      </c>
      <c r="D36" s="2" t="s">
        <v>655</v>
      </c>
      <c r="E36" s="10" t="s">
        <v>735</v>
      </c>
      <c r="F36" s="9">
        <v>78</v>
      </c>
      <c r="G36" s="9">
        <v>150</v>
      </c>
      <c r="H36" s="9">
        <v>2</v>
      </c>
      <c r="I36" s="9">
        <v>30</v>
      </c>
      <c r="J36" s="9">
        <v>40</v>
      </c>
      <c r="K36" s="9" t="s">
        <v>651</v>
      </c>
      <c r="L36" s="2">
        <v>3.38</v>
      </c>
      <c r="M36" s="28" t="str">
        <f t="shared" si="11"/>
        <v>신덕리 490-2</v>
      </c>
      <c r="N36" s="9"/>
      <c r="O36" s="9"/>
      <c r="P36" s="9"/>
      <c r="R36" s="9"/>
      <c r="S36" s="7" t="s">
        <v>11</v>
      </c>
    </row>
    <row r="37" spans="1:19" s="7" customFormat="1" ht="21.75" customHeight="1">
      <c r="A37" s="1" t="s">
        <v>699</v>
      </c>
      <c r="B37" s="1" t="s">
        <v>2</v>
      </c>
      <c r="C37" s="2" t="s">
        <v>654</v>
      </c>
      <c r="D37" s="2" t="s">
        <v>655</v>
      </c>
      <c r="E37" s="10" t="s">
        <v>737</v>
      </c>
      <c r="F37" s="9">
        <v>50</v>
      </c>
      <c r="G37" s="9">
        <v>50</v>
      </c>
      <c r="H37" s="9">
        <v>0.5</v>
      </c>
      <c r="I37" s="9">
        <v>10</v>
      </c>
      <c r="J37" s="9">
        <v>30</v>
      </c>
      <c r="K37" s="9" t="s">
        <v>651</v>
      </c>
      <c r="L37" s="2">
        <v>2.52</v>
      </c>
      <c r="M37" s="28" t="str">
        <f t="shared" si="11"/>
        <v>신덕리 497</v>
      </c>
      <c r="N37" s="9"/>
      <c r="O37" s="9"/>
      <c r="P37" s="9"/>
      <c r="R37" s="9"/>
      <c r="S37" s="7" t="s">
        <v>11</v>
      </c>
    </row>
    <row r="38" spans="1:19" s="7" customFormat="1" ht="21.75" customHeight="1">
      <c r="A38" s="1" t="s">
        <v>700</v>
      </c>
      <c r="B38" s="1" t="s">
        <v>2</v>
      </c>
      <c r="C38" s="2" t="s">
        <v>654</v>
      </c>
      <c r="D38" s="2" t="s">
        <v>655</v>
      </c>
      <c r="E38" s="10" t="s">
        <v>767</v>
      </c>
      <c r="F38" s="9">
        <v>55</v>
      </c>
      <c r="G38" s="9">
        <v>50</v>
      </c>
      <c r="H38" s="9">
        <v>0.5</v>
      </c>
      <c r="I38" s="9">
        <v>15</v>
      </c>
      <c r="J38" s="9">
        <v>30</v>
      </c>
      <c r="K38" s="9" t="s">
        <v>651</v>
      </c>
      <c r="L38" s="2">
        <v>2.73</v>
      </c>
      <c r="M38" s="28" t="str">
        <f t="shared" si="11"/>
        <v>신덕리 507-4</v>
      </c>
      <c r="N38" s="9"/>
      <c r="O38" s="9"/>
      <c r="P38" s="9"/>
      <c r="R38" s="9"/>
      <c r="S38" s="7" t="s">
        <v>11</v>
      </c>
    </row>
    <row r="39" spans="1:19" s="7" customFormat="1" ht="21.75" customHeight="1">
      <c r="A39" s="1" t="s">
        <v>701</v>
      </c>
      <c r="B39" s="1" t="s">
        <v>2</v>
      </c>
      <c r="C39" s="2" t="s">
        <v>654</v>
      </c>
      <c r="D39" s="2" t="s">
        <v>655</v>
      </c>
      <c r="E39" s="10" t="s">
        <v>769</v>
      </c>
      <c r="F39" s="9">
        <v>47</v>
      </c>
      <c r="G39" s="9">
        <v>30</v>
      </c>
      <c r="H39" s="9">
        <v>0.5</v>
      </c>
      <c r="I39" s="9">
        <v>10</v>
      </c>
      <c r="J39" s="9">
        <v>30</v>
      </c>
      <c r="K39" s="9" t="s">
        <v>651</v>
      </c>
      <c r="L39" s="2">
        <v>2.52</v>
      </c>
      <c r="M39" s="28" t="str">
        <f t="shared" si="11"/>
        <v>신덕리 504</v>
      </c>
      <c r="N39" s="9"/>
      <c r="O39" s="9"/>
      <c r="P39" s="9"/>
      <c r="R39" s="9"/>
      <c r="S39" s="7" t="s">
        <v>11</v>
      </c>
    </row>
    <row r="40" spans="1:19" s="7" customFormat="1" ht="21.75" customHeight="1">
      <c r="A40" s="1" t="s">
        <v>702</v>
      </c>
      <c r="B40" s="1" t="s">
        <v>2</v>
      </c>
      <c r="C40" s="2" t="s">
        <v>654</v>
      </c>
      <c r="D40" s="2" t="s">
        <v>655</v>
      </c>
      <c r="E40" s="10" t="s">
        <v>770</v>
      </c>
      <c r="F40" s="9">
        <v>50</v>
      </c>
      <c r="G40" s="9">
        <v>30</v>
      </c>
      <c r="H40" s="9">
        <v>0.5</v>
      </c>
      <c r="I40" s="9">
        <v>10</v>
      </c>
      <c r="J40" s="9">
        <v>20</v>
      </c>
      <c r="K40" s="9" t="s">
        <v>163</v>
      </c>
      <c r="L40" s="2">
        <v>4.38</v>
      </c>
      <c r="M40" s="28" t="str">
        <f t="shared" si="11"/>
        <v>신덕리 505-3</v>
      </c>
      <c r="N40" s="9"/>
      <c r="O40" s="9"/>
      <c r="P40" s="9"/>
      <c r="R40" s="9"/>
      <c r="S40" s="7" t="s">
        <v>11</v>
      </c>
    </row>
    <row r="41" spans="1:19" s="7" customFormat="1" ht="21.75" customHeight="1">
      <c r="A41" s="1" t="s">
        <v>703</v>
      </c>
      <c r="B41" s="1" t="s">
        <v>2</v>
      </c>
      <c r="C41" s="2" t="s">
        <v>654</v>
      </c>
      <c r="D41" s="2" t="s">
        <v>655</v>
      </c>
      <c r="E41" s="10" t="s">
        <v>773</v>
      </c>
      <c r="F41" s="9">
        <v>60</v>
      </c>
      <c r="G41" s="9">
        <v>150</v>
      </c>
      <c r="H41" s="9">
        <v>1</v>
      </c>
      <c r="I41" s="9">
        <v>55</v>
      </c>
      <c r="J41" s="9">
        <v>32</v>
      </c>
      <c r="K41" s="9" t="s">
        <v>651</v>
      </c>
      <c r="L41" s="2">
        <v>4.45</v>
      </c>
      <c r="M41" s="28" t="str">
        <f t="shared" si="11"/>
        <v>신덕리 442-4</v>
      </c>
      <c r="N41" s="9"/>
      <c r="O41" s="9"/>
      <c r="P41" s="9"/>
      <c r="R41" s="9"/>
      <c r="S41" s="7" t="s">
        <v>11</v>
      </c>
    </row>
    <row r="42" spans="1:19" s="7" customFormat="1" ht="21.75" customHeight="1">
      <c r="A42" s="1" t="s">
        <v>704</v>
      </c>
      <c r="B42" s="1" t="s">
        <v>2</v>
      </c>
      <c r="C42" s="2" t="s">
        <v>654</v>
      </c>
      <c r="D42" s="2" t="s">
        <v>655</v>
      </c>
      <c r="E42" s="10" t="s">
        <v>774</v>
      </c>
      <c r="F42" s="9">
        <v>40</v>
      </c>
      <c r="G42" s="9">
        <v>50</v>
      </c>
      <c r="H42" s="9">
        <v>0.5</v>
      </c>
      <c r="I42" s="9">
        <v>10</v>
      </c>
      <c r="J42" s="9">
        <v>30</v>
      </c>
      <c r="K42" s="9" t="s">
        <v>163</v>
      </c>
      <c r="L42" s="2">
        <v>4.38</v>
      </c>
      <c r="M42" s="28" t="str">
        <f t="shared" si="11"/>
        <v>신덕리 442-7</v>
      </c>
      <c r="N42" s="9"/>
      <c r="O42" s="9"/>
      <c r="P42" s="9"/>
      <c r="R42" s="9"/>
      <c r="S42" s="7" t="s">
        <v>11</v>
      </c>
    </row>
    <row r="43" spans="1:19" s="7" customFormat="1" ht="21.75" customHeight="1">
      <c r="A43" s="1" t="s">
        <v>705</v>
      </c>
      <c r="B43" s="1" t="s">
        <v>2</v>
      </c>
      <c r="C43" s="2" t="s">
        <v>654</v>
      </c>
      <c r="D43" s="2" t="s">
        <v>655</v>
      </c>
      <c r="E43" s="10" t="s">
        <v>775</v>
      </c>
      <c r="F43" s="9">
        <v>40</v>
      </c>
      <c r="G43" s="9">
        <v>50</v>
      </c>
      <c r="H43" s="9">
        <v>0.5</v>
      </c>
      <c r="I43" s="9">
        <v>10</v>
      </c>
      <c r="J43" s="9">
        <v>30</v>
      </c>
      <c r="K43" s="9" t="s">
        <v>163</v>
      </c>
      <c r="L43" s="2">
        <v>4.38</v>
      </c>
      <c r="M43" s="28" t="str">
        <f t="shared" ref="M43:M52" si="12">D43&amp;" "&amp;E43</f>
        <v>신덕리 442-10</v>
      </c>
      <c r="N43" s="9"/>
      <c r="O43" s="9"/>
      <c r="P43" s="9"/>
      <c r="R43" s="9"/>
      <c r="S43" s="7" t="s">
        <v>11</v>
      </c>
    </row>
    <row r="44" spans="1:19" s="7" customFormat="1" ht="21.75" customHeight="1">
      <c r="A44" s="1" t="s">
        <v>706</v>
      </c>
      <c r="B44" s="1" t="s">
        <v>2</v>
      </c>
      <c r="C44" s="2" t="s">
        <v>654</v>
      </c>
      <c r="D44" s="2" t="s">
        <v>655</v>
      </c>
      <c r="E44" s="10" t="s">
        <v>776</v>
      </c>
      <c r="F44" s="9">
        <v>40</v>
      </c>
      <c r="G44" s="9">
        <v>50</v>
      </c>
      <c r="H44" s="9">
        <v>0.5</v>
      </c>
      <c r="I44" s="9">
        <v>10</v>
      </c>
      <c r="J44" s="9">
        <v>30</v>
      </c>
      <c r="K44" s="9" t="s">
        <v>651</v>
      </c>
      <c r="L44" s="2">
        <v>2.52</v>
      </c>
      <c r="M44" s="28" t="str">
        <f t="shared" si="12"/>
        <v>신덕리 441-11</v>
      </c>
      <c r="N44" s="9"/>
      <c r="O44" s="9"/>
      <c r="P44" s="9"/>
      <c r="R44" s="9"/>
      <c r="S44" s="7" t="s">
        <v>11</v>
      </c>
    </row>
    <row r="45" spans="1:19" s="7" customFormat="1" ht="21.75" customHeight="1">
      <c r="A45" s="1" t="s">
        <v>707</v>
      </c>
      <c r="B45" s="1" t="s">
        <v>2</v>
      </c>
      <c r="C45" s="2" t="s">
        <v>654</v>
      </c>
      <c r="D45" s="2" t="s">
        <v>655</v>
      </c>
      <c r="E45" s="10" t="s">
        <v>777</v>
      </c>
      <c r="F45" s="9">
        <v>60</v>
      </c>
      <c r="G45" s="9">
        <v>50</v>
      </c>
      <c r="H45" s="9">
        <v>0.5</v>
      </c>
      <c r="I45" s="9">
        <v>10</v>
      </c>
      <c r="J45" s="9">
        <v>30</v>
      </c>
      <c r="K45" s="9" t="s">
        <v>651</v>
      </c>
      <c r="L45" s="2">
        <v>2.52</v>
      </c>
      <c r="M45" s="28" t="str">
        <f t="shared" si="12"/>
        <v>신덕리 441-13</v>
      </c>
      <c r="N45" s="9"/>
      <c r="O45" s="9"/>
      <c r="P45" s="9"/>
      <c r="R45" s="9"/>
      <c r="S45" s="7" t="s">
        <v>11</v>
      </c>
    </row>
    <row r="46" spans="1:19" s="7" customFormat="1" ht="21.75" customHeight="1">
      <c r="A46" s="1" t="s">
        <v>708</v>
      </c>
      <c r="B46" s="1" t="s">
        <v>2</v>
      </c>
      <c r="C46" s="2" t="s">
        <v>654</v>
      </c>
      <c r="D46" s="2" t="s">
        <v>655</v>
      </c>
      <c r="E46" s="10" t="s">
        <v>778</v>
      </c>
      <c r="F46" s="9">
        <v>54</v>
      </c>
      <c r="G46" s="9">
        <v>50</v>
      </c>
      <c r="H46" s="9">
        <v>0.5</v>
      </c>
      <c r="I46" s="9">
        <v>20</v>
      </c>
      <c r="J46" s="9">
        <v>30</v>
      </c>
      <c r="K46" s="9" t="s">
        <v>651</v>
      </c>
      <c r="L46" s="2">
        <v>2.95</v>
      </c>
      <c r="M46" s="28" t="str">
        <f t="shared" si="12"/>
        <v>신덕리 441-4</v>
      </c>
      <c r="N46" s="9"/>
      <c r="O46" s="9"/>
      <c r="P46" s="9"/>
      <c r="R46" s="9"/>
      <c r="S46" s="7" t="s">
        <v>11</v>
      </c>
    </row>
    <row r="47" spans="1:19" s="7" customFormat="1" ht="21.75" customHeight="1">
      <c r="A47" s="1" t="s">
        <v>709</v>
      </c>
      <c r="B47" s="1" t="s">
        <v>2</v>
      </c>
      <c r="C47" s="2" t="s">
        <v>654</v>
      </c>
      <c r="D47" s="2" t="s">
        <v>655</v>
      </c>
      <c r="E47" s="10" t="s">
        <v>830</v>
      </c>
      <c r="F47" s="9">
        <v>50</v>
      </c>
      <c r="G47" s="9">
        <v>50</v>
      </c>
      <c r="H47" s="9">
        <v>0.5</v>
      </c>
      <c r="I47" s="9">
        <v>10</v>
      </c>
      <c r="J47" s="9">
        <v>30</v>
      </c>
      <c r="K47" s="9" t="s">
        <v>651</v>
      </c>
      <c r="L47" s="2">
        <v>2.52</v>
      </c>
      <c r="M47" s="28" t="str">
        <f t="shared" si="12"/>
        <v>신덕리 541-3</v>
      </c>
      <c r="N47" s="9"/>
      <c r="O47" s="9"/>
      <c r="P47" s="9"/>
      <c r="R47" s="9"/>
      <c r="S47" s="7" t="s">
        <v>11</v>
      </c>
    </row>
    <row r="48" spans="1:19" s="7" customFormat="1" ht="21.75" customHeight="1">
      <c r="A48" s="1" t="s">
        <v>710</v>
      </c>
      <c r="B48" s="1" t="s">
        <v>2</v>
      </c>
      <c r="C48" s="2" t="s">
        <v>654</v>
      </c>
      <c r="D48" s="2" t="s">
        <v>655</v>
      </c>
      <c r="E48" s="10" t="s">
        <v>831</v>
      </c>
      <c r="F48" s="9">
        <v>60</v>
      </c>
      <c r="G48" s="9">
        <v>150</v>
      </c>
      <c r="H48" s="9">
        <v>1</v>
      </c>
      <c r="I48" s="9">
        <v>70</v>
      </c>
      <c r="J48" s="9">
        <v>30</v>
      </c>
      <c r="K48" s="9" t="s">
        <v>163</v>
      </c>
      <c r="L48" s="2">
        <v>4.38</v>
      </c>
      <c r="M48" s="28" t="str">
        <f t="shared" si="12"/>
        <v>신덕리 535-1</v>
      </c>
      <c r="N48" s="9"/>
      <c r="O48" s="9"/>
      <c r="P48" s="9"/>
      <c r="R48" s="9"/>
      <c r="S48" s="7" t="s">
        <v>11</v>
      </c>
    </row>
    <row r="49" spans="1:19" s="7" customFormat="1" ht="21.75" customHeight="1">
      <c r="A49" s="1" t="s">
        <v>711</v>
      </c>
      <c r="B49" s="1" t="s">
        <v>2</v>
      </c>
      <c r="C49" s="2" t="s">
        <v>654</v>
      </c>
      <c r="D49" s="2" t="s">
        <v>655</v>
      </c>
      <c r="E49" s="10" t="s">
        <v>832</v>
      </c>
      <c r="F49" s="9">
        <v>60</v>
      </c>
      <c r="G49" s="9">
        <v>150</v>
      </c>
      <c r="H49" s="9">
        <v>1</v>
      </c>
      <c r="I49" s="9">
        <v>60</v>
      </c>
      <c r="J49" s="9">
        <v>30</v>
      </c>
      <c r="K49" s="9" t="s">
        <v>163</v>
      </c>
      <c r="L49" s="2">
        <v>4.38</v>
      </c>
      <c r="M49" s="28" t="str">
        <f t="shared" si="12"/>
        <v>신덕리 531-5</v>
      </c>
      <c r="N49" s="9"/>
      <c r="O49" s="9"/>
      <c r="P49" s="9"/>
      <c r="R49" s="9"/>
      <c r="S49" s="7" t="s">
        <v>11</v>
      </c>
    </row>
    <row r="50" spans="1:19" s="7" customFormat="1" ht="21.75" customHeight="1">
      <c r="A50" s="1" t="s">
        <v>712</v>
      </c>
      <c r="B50" s="1" t="s">
        <v>2</v>
      </c>
      <c r="C50" s="2" t="s">
        <v>654</v>
      </c>
      <c r="D50" s="2" t="s">
        <v>655</v>
      </c>
      <c r="E50" s="10" t="s">
        <v>833</v>
      </c>
      <c r="F50" s="9">
        <v>50</v>
      </c>
      <c r="G50" s="9">
        <v>50</v>
      </c>
      <c r="H50" s="9">
        <v>0.5</v>
      </c>
      <c r="I50" s="9">
        <v>15</v>
      </c>
      <c r="J50" s="9">
        <v>30</v>
      </c>
      <c r="K50" s="9" t="s">
        <v>651</v>
      </c>
      <c r="L50" s="2">
        <v>2.73</v>
      </c>
      <c r="M50" s="28" t="str">
        <f t="shared" si="12"/>
        <v>신덕리 524</v>
      </c>
      <c r="N50" s="9"/>
      <c r="O50" s="9"/>
      <c r="P50" s="9"/>
      <c r="R50" s="9"/>
      <c r="S50" s="7" t="s">
        <v>11</v>
      </c>
    </row>
    <row r="51" spans="1:19" s="7" customFormat="1" ht="21.75" customHeight="1">
      <c r="A51" s="1" t="s">
        <v>713</v>
      </c>
      <c r="B51" s="1" t="s">
        <v>2</v>
      </c>
      <c r="C51" s="2" t="s">
        <v>654</v>
      </c>
      <c r="D51" s="2" t="s">
        <v>655</v>
      </c>
      <c r="E51" s="10" t="s">
        <v>834</v>
      </c>
      <c r="F51" s="9">
        <v>40</v>
      </c>
      <c r="G51" s="9">
        <v>50</v>
      </c>
      <c r="H51" s="9">
        <v>0.5</v>
      </c>
      <c r="I51" s="9">
        <v>15</v>
      </c>
      <c r="J51" s="9">
        <v>30</v>
      </c>
      <c r="K51" s="9" t="s">
        <v>651</v>
      </c>
      <c r="L51" s="2">
        <v>2.73</v>
      </c>
      <c r="M51" s="28" t="str">
        <f t="shared" si="12"/>
        <v>신덕리 531-9</v>
      </c>
      <c r="N51" s="9"/>
      <c r="O51" s="9"/>
      <c r="P51" s="9"/>
      <c r="R51" s="9"/>
      <c r="S51" s="7" t="s">
        <v>11</v>
      </c>
    </row>
    <row r="52" spans="1:19" s="7" customFormat="1" ht="21.75" customHeight="1">
      <c r="A52" s="1" t="s">
        <v>714</v>
      </c>
      <c r="B52" s="1" t="s">
        <v>2</v>
      </c>
      <c r="C52" s="2" t="s">
        <v>654</v>
      </c>
      <c r="D52" s="2" t="s">
        <v>655</v>
      </c>
      <c r="E52" s="10" t="s">
        <v>836</v>
      </c>
      <c r="F52" s="9">
        <v>80</v>
      </c>
      <c r="G52" s="9">
        <v>150</v>
      </c>
      <c r="H52" s="9">
        <v>2</v>
      </c>
      <c r="I52" s="9">
        <v>40</v>
      </c>
      <c r="J52" s="9">
        <v>32</v>
      </c>
      <c r="K52" s="9" t="s">
        <v>652</v>
      </c>
      <c r="L52" s="2">
        <v>7.48</v>
      </c>
      <c r="M52" s="28" t="str">
        <f t="shared" si="12"/>
        <v>신덕리 550-1</v>
      </c>
      <c r="N52" s="9"/>
      <c r="O52" s="9"/>
      <c r="P52" s="9"/>
      <c r="R52" s="9"/>
      <c r="S52" s="7" t="s">
        <v>11</v>
      </c>
    </row>
    <row r="53" spans="1:19" s="7" customFormat="1" ht="21.75" customHeight="1">
      <c r="A53" s="1" t="s">
        <v>780</v>
      </c>
      <c r="B53" s="1" t="s">
        <v>2</v>
      </c>
      <c r="C53" s="2" t="s">
        <v>654</v>
      </c>
      <c r="D53" s="2" t="s">
        <v>655</v>
      </c>
      <c r="E53" s="10" t="s">
        <v>839</v>
      </c>
      <c r="F53" s="9">
        <v>60</v>
      </c>
      <c r="G53" s="9">
        <v>150</v>
      </c>
      <c r="H53" s="9">
        <v>1</v>
      </c>
      <c r="I53" s="9">
        <v>75</v>
      </c>
      <c r="J53" s="9">
        <v>32</v>
      </c>
      <c r="K53" s="9" t="s">
        <v>651</v>
      </c>
      <c r="L53" s="2">
        <v>5.31</v>
      </c>
      <c r="M53" s="28" t="str">
        <f t="shared" ref="M53:M62" si="13">D53&amp;" "&amp;E53</f>
        <v>신덕리 376-1</v>
      </c>
      <c r="N53" s="9"/>
      <c r="O53" s="9"/>
      <c r="P53" s="9"/>
      <c r="R53" s="9"/>
      <c r="S53" s="7" t="s">
        <v>11</v>
      </c>
    </row>
    <row r="54" spans="1:19" s="7" customFormat="1" ht="21.75" customHeight="1">
      <c r="A54" s="1" t="s">
        <v>781</v>
      </c>
      <c r="B54" s="1" t="s">
        <v>2</v>
      </c>
      <c r="C54" s="2" t="s">
        <v>654</v>
      </c>
      <c r="D54" s="2" t="s">
        <v>655</v>
      </c>
      <c r="E54" s="10" t="s">
        <v>841</v>
      </c>
      <c r="F54" s="9">
        <v>76</v>
      </c>
      <c r="G54" s="9">
        <v>200</v>
      </c>
      <c r="H54" s="9">
        <v>7.5</v>
      </c>
      <c r="I54" s="9">
        <v>50</v>
      </c>
      <c r="J54" s="9">
        <v>70</v>
      </c>
      <c r="K54" s="9" t="s">
        <v>651</v>
      </c>
      <c r="L54" s="2">
        <v>4.24</v>
      </c>
      <c r="M54" s="28" t="str">
        <f t="shared" si="13"/>
        <v>신덕리 375</v>
      </c>
      <c r="N54" s="9"/>
      <c r="O54" s="9"/>
      <c r="P54" s="9"/>
      <c r="R54" s="9"/>
      <c r="S54" s="7" t="s">
        <v>11</v>
      </c>
    </row>
    <row r="55" spans="1:19" s="7" customFormat="1" ht="21.75" customHeight="1">
      <c r="A55" s="1" t="s">
        <v>782</v>
      </c>
      <c r="B55" s="1" t="s">
        <v>2</v>
      </c>
      <c r="C55" s="2" t="s">
        <v>654</v>
      </c>
      <c r="D55" s="2" t="s">
        <v>655</v>
      </c>
      <c r="E55" s="10" t="s">
        <v>842</v>
      </c>
      <c r="F55" s="9">
        <v>60</v>
      </c>
      <c r="G55" s="9">
        <v>200</v>
      </c>
      <c r="H55" s="9">
        <v>1</v>
      </c>
      <c r="I55" s="9">
        <v>30</v>
      </c>
      <c r="J55" s="9">
        <v>30</v>
      </c>
      <c r="K55" s="9" t="s">
        <v>651</v>
      </c>
      <c r="L55" s="2">
        <v>3.38</v>
      </c>
      <c r="M55" s="28" t="str">
        <f t="shared" si="13"/>
        <v>신덕리 산27-3</v>
      </c>
      <c r="N55" s="9"/>
      <c r="O55" s="9"/>
      <c r="P55" s="9"/>
      <c r="R55" s="9"/>
      <c r="S55" s="7" t="s">
        <v>11</v>
      </c>
    </row>
    <row r="56" spans="1:19" s="7" customFormat="1" ht="21.75" customHeight="1">
      <c r="A56" s="1" t="s">
        <v>783</v>
      </c>
      <c r="B56" s="1" t="s">
        <v>2</v>
      </c>
      <c r="C56" s="2" t="s">
        <v>654</v>
      </c>
      <c r="D56" s="2" t="s">
        <v>655</v>
      </c>
      <c r="E56" s="10" t="s">
        <v>844</v>
      </c>
      <c r="F56" s="9">
        <v>50</v>
      </c>
      <c r="G56" s="9">
        <v>50</v>
      </c>
      <c r="H56" s="9">
        <v>0.5</v>
      </c>
      <c r="I56" s="9">
        <v>10</v>
      </c>
      <c r="J56" s="9">
        <v>30</v>
      </c>
      <c r="K56" s="9" t="s">
        <v>651</v>
      </c>
      <c r="L56" s="2">
        <v>2.52</v>
      </c>
      <c r="M56" s="28" t="str">
        <f t="shared" si="13"/>
        <v>신덕리 565-1</v>
      </c>
      <c r="N56" s="9"/>
      <c r="O56" s="9"/>
      <c r="P56" s="9"/>
      <c r="R56" s="9"/>
      <c r="S56" s="7" t="s">
        <v>11</v>
      </c>
    </row>
    <row r="57" spans="1:19" s="7" customFormat="1" ht="21.75" customHeight="1">
      <c r="A57" s="1" t="s">
        <v>784</v>
      </c>
      <c r="B57" s="1" t="s">
        <v>2</v>
      </c>
      <c r="C57" s="2" t="s">
        <v>654</v>
      </c>
      <c r="D57" s="2" t="s">
        <v>655</v>
      </c>
      <c r="E57" s="10" t="s">
        <v>845</v>
      </c>
      <c r="F57" s="9">
        <v>40</v>
      </c>
      <c r="G57" s="9">
        <v>50</v>
      </c>
      <c r="H57" s="9">
        <v>0.5</v>
      </c>
      <c r="I57" s="9">
        <v>10</v>
      </c>
      <c r="J57" s="9">
        <v>30</v>
      </c>
      <c r="K57" s="9" t="s">
        <v>651</v>
      </c>
      <c r="L57" s="2">
        <v>2.52</v>
      </c>
      <c r="M57" s="28" t="str">
        <f t="shared" si="13"/>
        <v>신덕리 568-1</v>
      </c>
      <c r="N57" s="9"/>
      <c r="O57" s="9"/>
      <c r="P57" s="9"/>
      <c r="R57" s="9"/>
      <c r="S57" s="7" t="s">
        <v>11</v>
      </c>
    </row>
    <row r="58" spans="1:19" s="7" customFormat="1" ht="21.75" customHeight="1">
      <c r="A58" s="1" t="s">
        <v>785</v>
      </c>
      <c r="B58" s="1" t="s">
        <v>2</v>
      </c>
      <c r="C58" s="2" t="s">
        <v>654</v>
      </c>
      <c r="D58" s="2" t="s">
        <v>655</v>
      </c>
      <c r="E58" s="10" t="s">
        <v>846</v>
      </c>
      <c r="F58" s="9">
        <v>40</v>
      </c>
      <c r="G58" s="9">
        <v>50</v>
      </c>
      <c r="H58" s="9">
        <v>0.5</v>
      </c>
      <c r="I58" s="9">
        <v>15</v>
      </c>
      <c r="J58" s="9">
        <v>30</v>
      </c>
      <c r="K58" s="9" t="s">
        <v>651</v>
      </c>
      <c r="L58" s="2">
        <v>2.73</v>
      </c>
      <c r="M58" s="28" t="str">
        <f t="shared" si="13"/>
        <v>신덕리 553-1</v>
      </c>
      <c r="N58" s="9"/>
      <c r="O58" s="9"/>
      <c r="P58" s="9"/>
      <c r="R58" s="9"/>
      <c r="S58" s="7" t="s">
        <v>11</v>
      </c>
    </row>
    <row r="59" spans="1:19" s="7" customFormat="1" ht="21.75" customHeight="1">
      <c r="A59" s="1" t="s">
        <v>786</v>
      </c>
      <c r="B59" s="1" t="s">
        <v>2</v>
      </c>
      <c r="C59" s="2" t="s">
        <v>654</v>
      </c>
      <c r="D59" s="2" t="s">
        <v>655</v>
      </c>
      <c r="E59" s="10" t="s">
        <v>851</v>
      </c>
      <c r="F59" s="9">
        <v>40</v>
      </c>
      <c r="G59" s="9">
        <v>50</v>
      </c>
      <c r="H59" s="9">
        <v>0.5</v>
      </c>
      <c r="I59" s="9">
        <v>10</v>
      </c>
      <c r="J59" s="9">
        <v>25</v>
      </c>
      <c r="K59" s="9" t="s">
        <v>651</v>
      </c>
      <c r="L59" s="2">
        <v>2.52</v>
      </c>
      <c r="M59" s="28" t="str">
        <f t="shared" si="13"/>
        <v>신덕리 567</v>
      </c>
      <c r="N59" s="9"/>
      <c r="O59" s="9"/>
      <c r="P59" s="9"/>
      <c r="R59" s="9"/>
      <c r="S59" s="7" t="s">
        <v>11</v>
      </c>
    </row>
    <row r="60" spans="1:19" s="7" customFormat="1" ht="21.75" customHeight="1">
      <c r="A60" s="1" t="s">
        <v>787</v>
      </c>
      <c r="B60" s="1" t="s">
        <v>2</v>
      </c>
      <c r="C60" s="2" t="s">
        <v>654</v>
      </c>
      <c r="D60" s="2" t="s">
        <v>655</v>
      </c>
      <c r="E60" s="10" t="s">
        <v>856</v>
      </c>
      <c r="F60" s="9">
        <v>40</v>
      </c>
      <c r="G60" s="9">
        <v>50</v>
      </c>
      <c r="H60" s="9">
        <v>0.5</v>
      </c>
      <c r="I60" s="9">
        <v>10</v>
      </c>
      <c r="J60" s="9">
        <v>30</v>
      </c>
      <c r="K60" s="9" t="s">
        <v>651</v>
      </c>
      <c r="L60" s="2">
        <v>2.52</v>
      </c>
      <c r="M60" s="28" t="str">
        <f t="shared" si="13"/>
        <v>신덕리 573</v>
      </c>
      <c r="N60" s="9"/>
      <c r="O60" s="9"/>
      <c r="P60" s="9"/>
      <c r="R60" s="9"/>
      <c r="S60" s="7" t="s">
        <v>11</v>
      </c>
    </row>
    <row r="61" spans="1:19" s="7" customFormat="1" ht="21.75" customHeight="1">
      <c r="A61" s="1" t="s">
        <v>788</v>
      </c>
      <c r="B61" s="1" t="s">
        <v>2</v>
      </c>
      <c r="C61" s="2" t="s">
        <v>654</v>
      </c>
      <c r="D61" s="2" t="s">
        <v>655</v>
      </c>
      <c r="E61" s="10" t="s">
        <v>858</v>
      </c>
      <c r="F61" s="9">
        <v>65</v>
      </c>
      <c r="G61" s="9">
        <v>50</v>
      </c>
      <c r="H61" s="9">
        <v>0.5</v>
      </c>
      <c r="I61" s="9">
        <v>10</v>
      </c>
      <c r="J61" s="9">
        <v>25</v>
      </c>
      <c r="K61" s="9" t="s">
        <v>651</v>
      </c>
      <c r="L61" s="2">
        <v>2.52</v>
      </c>
      <c r="M61" s="28" t="str">
        <f t="shared" si="13"/>
        <v>신덕리 587</v>
      </c>
      <c r="N61" s="9"/>
      <c r="O61" s="9"/>
      <c r="P61" s="9"/>
      <c r="R61" s="9"/>
      <c r="S61" s="7" t="s">
        <v>11</v>
      </c>
    </row>
    <row r="62" spans="1:19" s="7" customFormat="1" ht="21.75" customHeight="1">
      <c r="A62" s="1" t="s">
        <v>789</v>
      </c>
      <c r="B62" s="1" t="s">
        <v>2</v>
      </c>
      <c r="C62" s="2" t="s">
        <v>654</v>
      </c>
      <c r="D62" s="2" t="s">
        <v>655</v>
      </c>
      <c r="E62" s="10" t="s">
        <v>860</v>
      </c>
      <c r="F62" s="9">
        <v>50</v>
      </c>
      <c r="G62" s="9">
        <v>50</v>
      </c>
      <c r="H62" s="9">
        <v>0.5</v>
      </c>
      <c r="I62" s="9">
        <v>10</v>
      </c>
      <c r="J62" s="9">
        <v>30</v>
      </c>
      <c r="K62" s="9" t="s">
        <v>651</v>
      </c>
      <c r="L62" s="2">
        <v>2.52</v>
      </c>
      <c r="M62" s="28" t="str">
        <f t="shared" si="13"/>
        <v>신덕리 580</v>
      </c>
      <c r="N62" s="9"/>
      <c r="O62" s="9"/>
      <c r="P62" s="9"/>
      <c r="R62" s="9"/>
      <c r="S62" s="7" t="s">
        <v>11</v>
      </c>
    </row>
    <row r="63" spans="1:19" s="7" customFormat="1" ht="21.75" customHeight="1">
      <c r="A63" s="1" t="s">
        <v>790</v>
      </c>
      <c r="B63" s="1" t="s">
        <v>2</v>
      </c>
      <c r="C63" s="2" t="s">
        <v>654</v>
      </c>
      <c r="D63" s="2" t="s">
        <v>655</v>
      </c>
      <c r="E63" s="10" t="s">
        <v>862</v>
      </c>
      <c r="F63" s="9">
        <v>40</v>
      </c>
      <c r="G63" s="9">
        <v>50</v>
      </c>
      <c r="H63" s="9">
        <v>0.5</v>
      </c>
      <c r="I63" s="9">
        <v>10</v>
      </c>
      <c r="J63" s="9">
        <v>30</v>
      </c>
      <c r="K63" s="9" t="s">
        <v>651</v>
      </c>
      <c r="L63" s="2">
        <v>2.52</v>
      </c>
      <c r="M63" s="28" t="str">
        <f t="shared" ref="M63:M72" si="14">D63&amp;" "&amp;E63</f>
        <v>신덕리 584</v>
      </c>
      <c r="N63" s="9"/>
      <c r="O63" s="9"/>
      <c r="P63" s="9"/>
      <c r="R63" s="9"/>
      <c r="S63" s="7" t="s">
        <v>11</v>
      </c>
    </row>
    <row r="64" spans="1:19" s="7" customFormat="1" ht="21.75" customHeight="1">
      <c r="A64" s="1" t="s">
        <v>791</v>
      </c>
      <c r="B64" s="1" t="s">
        <v>2</v>
      </c>
      <c r="C64" s="2" t="s">
        <v>654</v>
      </c>
      <c r="D64" s="2" t="s">
        <v>655</v>
      </c>
      <c r="E64" s="10" t="s">
        <v>864</v>
      </c>
      <c r="F64" s="9">
        <v>20</v>
      </c>
      <c r="G64" s="9">
        <v>50</v>
      </c>
      <c r="H64" s="9">
        <v>0.5</v>
      </c>
      <c r="I64" s="9">
        <v>25</v>
      </c>
      <c r="J64" s="9">
        <v>30</v>
      </c>
      <c r="K64" s="9" t="s">
        <v>651</v>
      </c>
      <c r="L64" s="2">
        <v>3.16</v>
      </c>
      <c r="M64" s="28" t="str">
        <f t="shared" si="14"/>
        <v>신덕리 671-4</v>
      </c>
      <c r="N64" s="9"/>
      <c r="O64" s="9"/>
      <c r="P64" s="9"/>
      <c r="R64" s="9"/>
      <c r="S64" s="7" t="s">
        <v>11</v>
      </c>
    </row>
    <row r="65" spans="1:19" s="7" customFormat="1" ht="21.75" customHeight="1">
      <c r="A65" s="1" t="s">
        <v>792</v>
      </c>
      <c r="B65" s="1" t="s">
        <v>2</v>
      </c>
      <c r="C65" s="2" t="s">
        <v>654</v>
      </c>
      <c r="D65" s="2" t="s">
        <v>865</v>
      </c>
      <c r="E65" s="10" t="s">
        <v>866</v>
      </c>
      <c r="F65" s="9">
        <v>25</v>
      </c>
      <c r="G65" s="9">
        <v>150</v>
      </c>
      <c r="H65" s="9">
        <v>1</v>
      </c>
      <c r="I65" s="9">
        <v>60</v>
      </c>
      <c r="J65" s="9">
        <v>40</v>
      </c>
      <c r="K65" s="9" t="s">
        <v>651</v>
      </c>
      <c r="L65" s="2">
        <v>4.67</v>
      </c>
      <c r="M65" s="28" t="str">
        <f t="shared" si="14"/>
        <v>낙동리 22-4</v>
      </c>
      <c r="N65" s="9"/>
      <c r="O65" s="9"/>
      <c r="P65" s="9"/>
      <c r="R65" s="9"/>
      <c r="S65" s="7" t="s">
        <v>11</v>
      </c>
    </row>
    <row r="66" spans="1:19" s="7" customFormat="1" ht="21.75" customHeight="1">
      <c r="A66" s="1" t="s">
        <v>793</v>
      </c>
      <c r="B66" s="1" t="s">
        <v>2</v>
      </c>
      <c r="C66" s="2" t="s">
        <v>654</v>
      </c>
      <c r="D66" s="2" t="s">
        <v>865</v>
      </c>
      <c r="E66" s="10" t="s">
        <v>867</v>
      </c>
      <c r="F66" s="9">
        <v>45</v>
      </c>
      <c r="G66" s="9">
        <v>60</v>
      </c>
      <c r="H66" s="9">
        <v>1</v>
      </c>
      <c r="I66" s="9">
        <v>30</v>
      </c>
      <c r="J66" s="9">
        <v>30</v>
      </c>
      <c r="K66" s="9" t="s">
        <v>652</v>
      </c>
      <c r="L66" s="2">
        <v>7.35</v>
      </c>
      <c r="M66" s="28" t="str">
        <f t="shared" si="14"/>
        <v>낙동리 22-3</v>
      </c>
      <c r="N66" s="9"/>
      <c r="O66" s="9"/>
      <c r="P66" s="9"/>
      <c r="R66" s="9"/>
      <c r="S66" s="7" t="s">
        <v>11</v>
      </c>
    </row>
    <row r="67" spans="1:19" s="7" customFormat="1" ht="21.75" customHeight="1">
      <c r="A67" s="1" t="s">
        <v>794</v>
      </c>
      <c r="B67" s="1" t="s">
        <v>2</v>
      </c>
      <c r="C67" s="2" t="s">
        <v>654</v>
      </c>
      <c r="D67" s="2" t="s">
        <v>865</v>
      </c>
      <c r="E67" s="10" t="s">
        <v>868</v>
      </c>
      <c r="F67" s="9">
        <v>40</v>
      </c>
      <c r="G67" s="9">
        <v>50</v>
      </c>
      <c r="H67" s="9">
        <v>1</v>
      </c>
      <c r="I67" s="9">
        <v>80</v>
      </c>
      <c r="J67" s="9">
        <v>30</v>
      </c>
      <c r="K67" s="9" t="s">
        <v>651</v>
      </c>
      <c r="L67" s="2">
        <v>5.53</v>
      </c>
      <c r="M67" s="28" t="str">
        <f t="shared" si="14"/>
        <v>낙동리 11-2</v>
      </c>
      <c r="N67" s="9"/>
      <c r="O67" s="9"/>
      <c r="P67" s="9"/>
      <c r="R67" s="9"/>
      <c r="S67" s="7" t="s">
        <v>11</v>
      </c>
    </row>
    <row r="68" spans="1:19" s="7" customFormat="1" ht="21.75" customHeight="1">
      <c r="A68" s="1" t="s">
        <v>795</v>
      </c>
      <c r="B68" s="1" t="s">
        <v>2</v>
      </c>
      <c r="C68" s="2" t="s">
        <v>654</v>
      </c>
      <c r="D68" s="2" t="s">
        <v>865</v>
      </c>
      <c r="E68" s="10" t="s">
        <v>869</v>
      </c>
      <c r="F68" s="9">
        <v>33</v>
      </c>
      <c r="G68" s="9">
        <v>50</v>
      </c>
      <c r="H68" s="9">
        <v>0.5</v>
      </c>
      <c r="I68" s="9">
        <v>10</v>
      </c>
      <c r="J68" s="9">
        <v>30</v>
      </c>
      <c r="K68" s="9" t="s">
        <v>651</v>
      </c>
      <c r="L68" s="2">
        <v>2.52</v>
      </c>
      <c r="M68" s="28" t="str">
        <f t="shared" si="14"/>
        <v>낙동리 7</v>
      </c>
      <c r="N68" s="9"/>
      <c r="O68" s="9"/>
      <c r="P68" s="9"/>
      <c r="R68" s="9"/>
      <c r="S68" s="7" t="s">
        <v>11</v>
      </c>
    </row>
    <row r="69" spans="1:19" s="7" customFormat="1" ht="21.75" customHeight="1">
      <c r="A69" s="1" t="s">
        <v>796</v>
      </c>
      <c r="B69" s="1" t="s">
        <v>2</v>
      </c>
      <c r="C69" s="2" t="s">
        <v>654</v>
      </c>
      <c r="D69" s="2" t="s">
        <v>865</v>
      </c>
      <c r="E69" s="10" t="s">
        <v>870</v>
      </c>
      <c r="F69" s="9">
        <v>35</v>
      </c>
      <c r="G69" s="9">
        <v>40</v>
      </c>
      <c r="H69" s="9">
        <v>0.5</v>
      </c>
      <c r="I69" s="9">
        <v>50</v>
      </c>
      <c r="J69" s="9">
        <v>30</v>
      </c>
      <c r="K69" s="9" t="s">
        <v>652</v>
      </c>
      <c r="L69" s="2">
        <v>7.61</v>
      </c>
      <c r="M69" s="28" t="str">
        <f t="shared" si="14"/>
        <v>낙동리 9</v>
      </c>
      <c r="N69" s="9"/>
      <c r="O69" s="9"/>
      <c r="P69" s="9"/>
      <c r="R69" s="9"/>
      <c r="S69" s="7" t="s">
        <v>11</v>
      </c>
    </row>
    <row r="70" spans="1:19" s="7" customFormat="1" ht="21.75" customHeight="1">
      <c r="A70" s="1" t="s">
        <v>797</v>
      </c>
      <c r="B70" s="1" t="s">
        <v>2</v>
      </c>
      <c r="C70" s="2" t="s">
        <v>654</v>
      </c>
      <c r="D70" s="2" t="s">
        <v>865</v>
      </c>
      <c r="E70" s="10" t="s">
        <v>873</v>
      </c>
      <c r="F70" s="9">
        <v>40</v>
      </c>
      <c r="G70" s="9">
        <v>50</v>
      </c>
      <c r="H70" s="9">
        <v>0.5</v>
      </c>
      <c r="I70" s="9">
        <v>20</v>
      </c>
      <c r="J70" s="9">
        <v>25</v>
      </c>
      <c r="K70" s="9" t="s">
        <v>651</v>
      </c>
      <c r="L70" s="2">
        <v>2.95</v>
      </c>
      <c r="M70" s="28" t="str">
        <f t="shared" si="14"/>
        <v>낙동리 329-11</v>
      </c>
      <c r="N70" s="9"/>
      <c r="O70" s="9"/>
      <c r="P70" s="9"/>
      <c r="R70" s="9"/>
      <c r="S70" s="7" t="s">
        <v>11</v>
      </c>
    </row>
    <row r="71" spans="1:19" s="7" customFormat="1" ht="21.75" customHeight="1">
      <c r="A71" s="1" t="s">
        <v>798</v>
      </c>
      <c r="B71" s="1" t="s">
        <v>2</v>
      </c>
      <c r="C71" s="2" t="s">
        <v>654</v>
      </c>
      <c r="D71" s="2" t="s">
        <v>865</v>
      </c>
      <c r="E71" s="10" t="s">
        <v>874</v>
      </c>
      <c r="F71" s="9">
        <v>40</v>
      </c>
      <c r="G71" s="9">
        <v>50</v>
      </c>
      <c r="H71" s="9">
        <v>0.5</v>
      </c>
      <c r="I71" s="9">
        <v>25</v>
      </c>
      <c r="J71" s="9">
        <v>30</v>
      </c>
      <c r="K71" s="9" t="s">
        <v>651</v>
      </c>
      <c r="L71" s="2">
        <v>3.16</v>
      </c>
      <c r="M71" s="28" t="str">
        <f t="shared" si="14"/>
        <v>낙동리 35-2</v>
      </c>
      <c r="N71" s="9"/>
      <c r="O71" s="9"/>
      <c r="P71" s="9"/>
      <c r="R71" s="9"/>
      <c r="S71" s="7" t="s">
        <v>11</v>
      </c>
    </row>
    <row r="72" spans="1:19" s="7" customFormat="1" ht="21.75" customHeight="1">
      <c r="A72" s="1" t="s">
        <v>799</v>
      </c>
      <c r="B72" s="1" t="s">
        <v>2</v>
      </c>
      <c r="C72" s="2" t="s">
        <v>654</v>
      </c>
      <c r="D72" s="2" t="s">
        <v>865</v>
      </c>
      <c r="E72" s="10" t="s">
        <v>875</v>
      </c>
      <c r="F72" s="9">
        <v>45</v>
      </c>
      <c r="G72" s="9">
        <v>50</v>
      </c>
      <c r="H72" s="9">
        <v>0.5</v>
      </c>
      <c r="I72" s="9">
        <v>30</v>
      </c>
      <c r="J72" s="9">
        <v>30</v>
      </c>
      <c r="K72" s="9" t="s">
        <v>651</v>
      </c>
      <c r="L72" s="2">
        <v>3.38</v>
      </c>
      <c r="M72" s="28" t="str">
        <f t="shared" si="14"/>
        <v>낙동리 35</v>
      </c>
      <c r="N72" s="9"/>
      <c r="O72" s="9"/>
      <c r="P72" s="9"/>
      <c r="R72" s="9"/>
      <c r="S72" s="7" t="s">
        <v>11</v>
      </c>
    </row>
    <row r="73" spans="1:19" s="7" customFormat="1" ht="21.75" customHeight="1">
      <c r="A73" s="1" t="s">
        <v>800</v>
      </c>
      <c r="B73" s="1" t="s">
        <v>2</v>
      </c>
      <c r="C73" s="2" t="s">
        <v>654</v>
      </c>
      <c r="D73" s="2" t="s">
        <v>865</v>
      </c>
      <c r="E73" s="10" t="s">
        <v>877</v>
      </c>
      <c r="F73" s="9">
        <v>50</v>
      </c>
      <c r="G73" s="9">
        <v>50</v>
      </c>
      <c r="H73" s="9">
        <v>0.5</v>
      </c>
      <c r="I73" s="9">
        <v>30</v>
      </c>
      <c r="J73" s="9">
        <v>30</v>
      </c>
      <c r="K73" s="9" t="s">
        <v>651</v>
      </c>
      <c r="L73" s="2">
        <v>3.38</v>
      </c>
      <c r="M73" s="28" t="str">
        <f t="shared" ref="M73:M82" si="15">D73&amp;" "&amp;E73</f>
        <v>낙동리 14-4</v>
      </c>
      <c r="N73" s="9"/>
      <c r="O73" s="9"/>
      <c r="P73" s="9"/>
      <c r="R73" s="9"/>
      <c r="S73" s="7" t="s">
        <v>11</v>
      </c>
    </row>
    <row r="74" spans="1:19" s="7" customFormat="1" ht="21.75" customHeight="1">
      <c r="A74" s="1" t="s">
        <v>801</v>
      </c>
      <c r="B74" s="1" t="s">
        <v>2</v>
      </c>
      <c r="C74" s="2" t="s">
        <v>654</v>
      </c>
      <c r="D74" s="2" t="s">
        <v>865</v>
      </c>
      <c r="E74" s="10" t="s">
        <v>879</v>
      </c>
      <c r="F74" s="9">
        <v>40</v>
      </c>
      <c r="G74" s="9">
        <v>50</v>
      </c>
      <c r="H74" s="9">
        <v>0.5</v>
      </c>
      <c r="I74" s="9">
        <v>30</v>
      </c>
      <c r="J74" s="9">
        <v>25</v>
      </c>
      <c r="K74" s="9" t="s">
        <v>163</v>
      </c>
      <c r="L74" s="2">
        <v>4.38</v>
      </c>
      <c r="M74" s="28" t="str">
        <f t="shared" si="15"/>
        <v>낙동리 19</v>
      </c>
      <c r="N74" s="9"/>
      <c r="O74" s="9"/>
      <c r="P74" s="9"/>
      <c r="R74" s="9"/>
      <c r="S74" s="7" t="s">
        <v>11</v>
      </c>
    </row>
    <row r="75" spans="1:19" s="7" customFormat="1" ht="21.75" customHeight="1">
      <c r="A75" s="1" t="s">
        <v>802</v>
      </c>
      <c r="B75" s="1" t="s">
        <v>2</v>
      </c>
      <c r="C75" s="2" t="s">
        <v>654</v>
      </c>
      <c r="D75" s="2" t="s">
        <v>865</v>
      </c>
      <c r="E75" s="10" t="s">
        <v>880</v>
      </c>
      <c r="F75" s="9">
        <v>40</v>
      </c>
      <c r="G75" s="9">
        <v>50</v>
      </c>
      <c r="H75" s="9">
        <v>0.5</v>
      </c>
      <c r="I75" s="9">
        <v>20</v>
      </c>
      <c r="J75" s="9">
        <v>30</v>
      </c>
      <c r="K75" s="9" t="s">
        <v>651</v>
      </c>
      <c r="L75" s="2">
        <v>2.95</v>
      </c>
      <c r="M75" s="28" t="str">
        <f t="shared" si="15"/>
        <v>낙동리 24-3</v>
      </c>
      <c r="N75" s="9"/>
      <c r="O75" s="9"/>
      <c r="P75" s="9"/>
      <c r="R75" s="9"/>
      <c r="S75" s="7" t="s">
        <v>11</v>
      </c>
    </row>
    <row r="76" spans="1:19" s="7" customFormat="1" ht="21.75" customHeight="1">
      <c r="A76" s="1" t="s">
        <v>803</v>
      </c>
      <c r="B76" s="1" t="s">
        <v>2</v>
      </c>
      <c r="C76" s="2" t="s">
        <v>654</v>
      </c>
      <c r="D76" s="2" t="s">
        <v>865</v>
      </c>
      <c r="E76" s="10" t="s">
        <v>881</v>
      </c>
      <c r="F76" s="9">
        <v>37</v>
      </c>
      <c r="G76" s="9">
        <v>50</v>
      </c>
      <c r="H76" s="9">
        <v>0.5</v>
      </c>
      <c r="I76" s="9">
        <v>30</v>
      </c>
      <c r="J76" s="9">
        <v>30</v>
      </c>
      <c r="K76" s="9" t="s">
        <v>651</v>
      </c>
      <c r="L76" s="2">
        <v>3.38</v>
      </c>
      <c r="M76" s="28" t="str">
        <f t="shared" si="15"/>
        <v>낙동리 21-3</v>
      </c>
      <c r="N76" s="9"/>
      <c r="O76" s="9"/>
      <c r="P76" s="9"/>
      <c r="R76" s="9"/>
      <c r="S76" s="7" t="s">
        <v>11</v>
      </c>
    </row>
    <row r="77" spans="1:19" s="7" customFormat="1" ht="21.75" customHeight="1">
      <c r="A77" s="1" t="s">
        <v>804</v>
      </c>
      <c r="B77" s="1" t="s">
        <v>2</v>
      </c>
      <c r="C77" s="2" t="s">
        <v>654</v>
      </c>
      <c r="D77" s="2" t="s">
        <v>865</v>
      </c>
      <c r="E77" s="10" t="s">
        <v>882</v>
      </c>
      <c r="F77" s="9">
        <v>30</v>
      </c>
      <c r="G77" s="9">
        <v>50</v>
      </c>
      <c r="H77" s="9">
        <v>0.5</v>
      </c>
      <c r="I77" s="9">
        <v>30</v>
      </c>
      <c r="J77" s="9">
        <v>30</v>
      </c>
      <c r="K77" s="9" t="s">
        <v>651</v>
      </c>
      <c r="L77" s="2">
        <v>3.38</v>
      </c>
      <c r="M77" s="28" t="str">
        <f t="shared" si="15"/>
        <v>낙동리 13-8</v>
      </c>
      <c r="N77" s="9"/>
      <c r="O77" s="9"/>
      <c r="P77" s="9"/>
      <c r="R77" s="9"/>
      <c r="S77" s="7" t="s">
        <v>883</v>
      </c>
    </row>
    <row r="78" spans="1:19" s="7" customFormat="1" ht="21.75" customHeight="1">
      <c r="A78" s="1" t="s">
        <v>805</v>
      </c>
      <c r="B78" s="1" t="s">
        <v>2</v>
      </c>
      <c r="C78" s="2" t="s">
        <v>654</v>
      </c>
      <c r="D78" s="2" t="s">
        <v>865</v>
      </c>
      <c r="E78" s="10" t="s">
        <v>884</v>
      </c>
      <c r="F78" s="9">
        <v>30</v>
      </c>
      <c r="G78" s="9">
        <v>50</v>
      </c>
      <c r="H78" s="9">
        <v>0.5</v>
      </c>
      <c r="I78" s="9">
        <v>10</v>
      </c>
      <c r="J78" s="9">
        <v>20</v>
      </c>
      <c r="K78" s="9" t="s">
        <v>651</v>
      </c>
      <c r="L78" s="2">
        <v>2.52</v>
      </c>
      <c r="M78" s="28" t="str">
        <f t="shared" si="15"/>
        <v>낙동리 13-4</v>
      </c>
      <c r="N78" s="9"/>
      <c r="O78" s="9"/>
      <c r="P78" s="9"/>
      <c r="R78" s="9"/>
      <c r="S78" s="7" t="s">
        <v>883</v>
      </c>
    </row>
    <row r="79" spans="1:19" s="7" customFormat="1" ht="21.75" customHeight="1">
      <c r="A79" s="1" t="s">
        <v>806</v>
      </c>
      <c r="B79" s="1" t="s">
        <v>2</v>
      </c>
      <c r="C79" s="2" t="s">
        <v>654</v>
      </c>
      <c r="D79" s="2" t="s">
        <v>865</v>
      </c>
      <c r="E79" s="10" t="s">
        <v>885</v>
      </c>
      <c r="F79" s="9">
        <v>30</v>
      </c>
      <c r="G79" s="9">
        <v>50</v>
      </c>
      <c r="H79" s="9">
        <v>0.3</v>
      </c>
      <c r="I79" s="9">
        <v>30</v>
      </c>
      <c r="J79" s="9">
        <v>30</v>
      </c>
      <c r="K79" s="9" t="s">
        <v>651</v>
      </c>
      <c r="L79" s="2">
        <v>3.38</v>
      </c>
      <c r="M79" s="28" t="str">
        <f t="shared" si="15"/>
        <v>낙동리 57-2</v>
      </c>
      <c r="N79" s="9"/>
      <c r="O79" s="9"/>
      <c r="P79" s="9"/>
      <c r="R79" s="9"/>
      <c r="S79" s="7" t="s">
        <v>883</v>
      </c>
    </row>
    <row r="80" spans="1:19" s="7" customFormat="1" ht="21.75" customHeight="1">
      <c r="A80" s="1" t="s">
        <v>807</v>
      </c>
      <c r="B80" s="1" t="s">
        <v>2</v>
      </c>
      <c r="C80" s="2" t="s">
        <v>654</v>
      </c>
      <c r="D80" s="2" t="s">
        <v>655</v>
      </c>
      <c r="E80" s="10" t="s">
        <v>891</v>
      </c>
      <c r="F80" s="9">
        <v>60</v>
      </c>
      <c r="G80" s="9">
        <v>150</v>
      </c>
      <c r="H80" s="9">
        <v>0.5</v>
      </c>
      <c r="I80" s="9">
        <v>30</v>
      </c>
      <c r="J80" s="9">
        <v>30</v>
      </c>
      <c r="K80" s="9" t="s">
        <v>163</v>
      </c>
      <c r="L80" s="2">
        <v>4.38</v>
      </c>
      <c r="M80" s="28" t="str">
        <f t="shared" si="15"/>
        <v>신덕리 602</v>
      </c>
      <c r="N80" s="9"/>
      <c r="O80" s="9"/>
      <c r="P80" s="9"/>
      <c r="R80" s="9"/>
      <c r="S80" s="7" t="s">
        <v>11</v>
      </c>
    </row>
    <row r="81" spans="1:19" s="7" customFormat="1" ht="21.75" customHeight="1">
      <c r="A81" s="1" t="s">
        <v>808</v>
      </c>
      <c r="B81" s="1" t="s">
        <v>2</v>
      </c>
      <c r="C81" s="2" t="s">
        <v>654</v>
      </c>
      <c r="D81" s="2" t="s">
        <v>655</v>
      </c>
      <c r="E81" s="10" t="s">
        <v>892</v>
      </c>
      <c r="F81" s="9">
        <v>100</v>
      </c>
      <c r="G81" s="9">
        <v>150</v>
      </c>
      <c r="H81" s="9">
        <v>1</v>
      </c>
      <c r="I81" s="9">
        <v>80</v>
      </c>
      <c r="J81" s="9">
        <v>25</v>
      </c>
      <c r="K81" s="9" t="s">
        <v>163</v>
      </c>
      <c r="L81" s="2">
        <v>4.38</v>
      </c>
      <c r="M81" s="28" t="str">
        <f t="shared" si="15"/>
        <v>신덕리 613</v>
      </c>
      <c r="N81" s="9"/>
      <c r="O81" s="9"/>
      <c r="P81" s="9"/>
      <c r="R81" s="9"/>
      <c r="S81" s="7" t="s">
        <v>11</v>
      </c>
    </row>
    <row r="82" spans="1:19" s="7" customFormat="1" ht="21.75" customHeight="1">
      <c r="A82" s="1" t="s">
        <v>809</v>
      </c>
      <c r="B82" s="1" t="s">
        <v>2</v>
      </c>
      <c r="C82" s="2" t="s">
        <v>654</v>
      </c>
      <c r="D82" s="2" t="s">
        <v>655</v>
      </c>
      <c r="E82" s="10" t="s">
        <v>893</v>
      </c>
      <c r="F82" s="9">
        <v>80</v>
      </c>
      <c r="G82" s="9">
        <v>150</v>
      </c>
      <c r="H82" s="9">
        <v>2</v>
      </c>
      <c r="I82" s="9">
        <v>80</v>
      </c>
      <c r="J82" s="9">
        <v>32</v>
      </c>
      <c r="K82" s="9" t="s">
        <v>651</v>
      </c>
      <c r="L82" s="2">
        <v>5.53</v>
      </c>
      <c r="M82" s="28" t="str">
        <f t="shared" si="15"/>
        <v>신덕리 614-1</v>
      </c>
      <c r="N82" s="9"/>
      <c r="O82" s="9"/>
      <c r="P82" s="9"/>
      <c r="R82" s="9"/>
      <c r="S82" s="7" t="s">
        <v>11</v>
      </c>
    </row>
    <row r="83" spans="1:19" s="7" customFormat="1" ht="21.75" customHeight="1">
      <c r="A83" s="1" t="s">
        <v>810</v>
      </c>
      <c r="B83" s="1" t="s">
        <v>2</v>
      </c>
      <c r="C83" s="2" t="s">
        <v>654</v>
      </c>
      <c r="D83" s="2" t="s">
        <v>655</v>
      </c>
      <c r="E83" s="10" t="s">
        <v>894</v>
      </c>
      <c r="F83" s="9">
        <v>80</v>
      </c>
      <c r="G83" s="9">
        <v>150</v>
      </c>
      <c r="H83" s="9">
        <v>1</v>
      </c>
      <c r="I83" s="9">
        <v>83</v>
      </c>
      <c r="J83" s="9">
        <v>32</v>
      </c>
      <c r="K83" s="9" t="s">
        <v>651</v>
      </c>
      <c r="L83" s="2">
        <v>5.66</v>
      </c>
      <c r="M83" s="28" t="str">
        <f t="shared" ref="M83:M92" si="16">D83&amp;" "&amp;E83</f>
        <v>신덕리 614-2</v>
      </c>
      <c r="N83" s="9"/>
      <c r="O83" s="9"/>
      <c r="P83" s="9"/>
      <c r="R83" s="9"/>
      <c r="S83" s="7" t="s">
        <v>11</v>
      </c>
    </row>
    <row r="84" spans="1:19" s="7" customFormat="1" ht="21.75" customHeight="1">
      <c r="A84" s="1" t="s">
        <v>811</v>
      </c>
      <c r="B84" s="1" t="s">
        <v>2</v>
      </c>
      <c r="C84" s="2" t="s">
        <v>654</v>
      </c>
      <c r="D84" s="2" t="s">
        <v>655</v>
      </c>
      <c r="E84" s="10" t="s">
        <v>895</v>
      </c>
      <c r="F84" s="9">
        <v>50</v>
      </c>
      <c r="G84" s="9">
        <v>150</v>
      </c>
      <c r="H84" s="9">
        <v>0.5</v>
      </c>
      <c r="I84" s="9">
        <v>60</v>
      </c>
      <c r="J84" s="9">
        <v>40</v>
      </c>
      <c r="K84" s="9" t="s">
        <v>651</v>
      </c>
      <c r="L84" s="2">
        <v>4.67</v>
      </c>
      <c r="M84" s="28" t="str">
        <f t="shared" si="16"/>
        <v>신덕리 614-6</v>
      </c>
      <c r="N84" s="9"/>
      <c r="O84" s="9"/>
      <c r="P84" s="9"/>
      <c r="R84" s="9"/>
      <c r="S84" s="7" t="s">
        <v>11</v>
      </c>
    </row>
    <row r="85" spans="1:19" s="7" customFormat="1" ht="21.75" customHeight="1">
      <c r="A85" s="1" t="s">
        <v>812</v>
      </c>
      <c r="B85" s="1" t="s">
        <v>2</v>
      </c>
      <c r="C85" s="2" t="s">
        <v>654</v>
      </c>
      <c r="D85" s="2" t="s">
        <v>655</v>
      </c>
      <c r="E85" s="10" t="s">
        <v>896</v>
      </c>
      <c r="F85" s="9">
        <v>70</v>
      </c>
      <c r="G85" s="9">
        <v>50</v>
      </c>
      <c r="H85" s="9">
        <v>0.5</v>
      </c>
      <c r="I85" s="9">
        <v>20</v>
      </c>
      <c r="J85" s="9">
        <v>20</v>
      </c>
      <c r="K85" s="9" t="s">
        <v>651</v>
      </c>
      <c r="L85" s="2">
        <v>2.95</v>
      </c>
      <c r="M85" s="28" t="str">
        <f t="shared" si="16"/>
        <v>신덕리 615-2</v>
      </c>
      <c r="N85" s="9"/>
      <c r="O85" s="9"/>
      <c r="P85" s="9"/>
      <c r="R85" s="9"/>
      <c r="S85" s="7" t="s">
        <v>11</v>
      </c>
    </row>
    <row r="86" spans="1:19" s="7" customFormat="1" ht="21.75" customHeight="1">
      <c r="A86" s="1" t="s">
        <v>813</v>
      </c>
      <c r="B86" s="1" t="s">
        <v>2</v>
      </c>
      <c r="C86" s="2" t="s">
        <v>654</v>
      </c>
      <c r="D86" s="2" t="s">
        <v>655</v>
      </c>
      <c r="E86" s="10" t="s">
        <v>897</v>
      </c>
      <c r="F86" s="9">
        <v>40</v>
      </c>
      <c r="G86" s="9">
        <v>50</v>
      </c>
      <c r="H86" s="9">
        <v>0.5</v>
      </c>
      <c r="I86" s="9">
        <v>30</v>
      </c>
      <c r="J86" s="9">
        <v>25</v>
      </c>
      <c r="K86" s="9" t="s">
        <v>651</v>
      </c>
      <c r="L86" s="2">
        <v>3.38</v>
      </c>
      <c r="M86" s="28" t="str">
        <f t="shared" si="16"/>
        <v>신덕리 658</v>
      </c>
      <c r="N86" s="9"/>
      <c r="O86" s="9"/>
      <c r="P86" s="9"/>
      <c r="R86" s="9"/>
      <c r="S86" s="7" t="s">
        <v>11</v>
      </c>
    </row>
    <row r="87" spans="1:19" s="7" customFormat="1" ht="21.75" customHeight="1">
      <c r="A87" s="1" t="s">
        <v>814</v>
      </c>
      <c r="B87" s="1" t="s">
        <v>2</v>
      </c>
      <c r="C87" s="2" t="s">
        <v>654</v>
      </c>
      <c r="D87" s="2" t="s">
        <v>655</v>
      </c>
      <c r="E87" s="10" t="s">
        <v>898</v>
      </c>
      <c r="F87" s="9">
        <v>60</v>
      </c>
      <c r="G87" s="9">
        <v>150</v>
      </c>
      <c r="H87" s="9">
        <v>1</v>
      </c>
      <c r="I87" s="9">
        <v>75</v>
      </c>
      <c r="J87" s="9">
        <v>32</v>
      </c>
      <c r="K87" s="9" t="s">
        <v>651</v>
      </c>
      <c r="L87" s="2">
        <v>5.31</v>
      </c>
      <c r="M87" s="28" t="str">
        <f t="shared" si="16"/>
        <v>신덕리 615-10</v>
      </c>
      <c r="N87" s="9"/>
      <c r="O87" s="9"/>
      <c r="P87" s="9"/>
      <c r="R87" s="9"/>
      <c r="S87" s="7" t="s">
        <v>11</v>
      </c>
    </row>
    <row r="88" spans="1:19" s="7" customFormat="1" ht="21.75" customHeight="1">
      <c r="A88" s="1" t="s">
        <v>815</v>
      </c>
      <c r="B88" s="1" t="s">
        <v>2</v>
      </c>
      <c r="C88" s="2" t="s">
        <v>654</v>
      </c>
      <c r="D88" s="2" t="s">
        <v>655</v>
      </c>
      <c r="E88" s="10" t="s">
        <v>899</v>
      </c>
      <c r="F88" s="9">
        <v>25</v>
      </c>
      <c r="G88" s="9">
        <v>50</v>
      </c>
      <c r="H88" s="9">
        <v>0.5</v>
      </c>
      <c r="I88" s="9">
        <v>20</v>
      </c>
      <c r="J88" s="9">
        <v>30</v>
      </c>
      <c r="K88" s="9" t="s">
        <v>651</v>
      </c>
      <c r="L88" s="2">
        <v>2.95</v>
      </c>
      <c r="M88" s="28" t="str">
        <f t="shared" si="16"/>
        <v>신덕리 656</v>
      </c>
      <c r="N88" s="9"/>
      <c r="O88" s="9"/>
      <c r="P88" s="9"/>
      <c r="R88" s="9"/>
      <c r="S88" s="7" t="s">
        <v>11</v>
      </c>
    </row>
    <row r="89" spans="1:19" s="7" customFormat="1" ht="21.75" customHeight="1">
      <c r="A89" s="1" t="s">
        <v>816</v>
      </c>
      <c r="B89" s="1" t="s">
        <v>2</v>
      </c>
      <c r="C89" s="2" t="s">
        <v>654</v>
      </c>
      <c r="D89" s="2" t="s">
        <v>655</v>
      </c>
      <c r="E89" s="10" t="s">
        <v>900</v>
      </c>
      <c r="F89" s="9">
        <v>70</v>
      </c>
      <c r="G89" s="9">
        <v>50</v>
      </c>
      <c r="H89" s="9">
        <v>0.5</v>
      </c>
      <c r="I89" s="9">
        <v>25</v>
      </c>
      <c r="J89" s="9">
        <v>30</v>
      </c>
      <c r="K89" s="9" t="s">
        <v>651</v>
      </c>
      <c r="L89" s="2">
        <v>3.16</v>
      </c>
      <c r="M89" s="28" t="str">
        <f t="shared" si="16"/>
        <v>신덕리 657</v>
      </c>
      <c r="N89" s="9"/>
      <c r="O89" s="9"/>
      <c r="P89" s="9"/>
      <c r="R89" s="9"/>
      <c r="S89" s="7" t="s">
        <v>11</v>
      </c>
    </row>
    <row r="90" spans="1:19" s="7" customFormat="1" ht="21.75" customHeight="1">
      <c r="A90" s="1" t="s">
        <v>817</v>
      </c>
      <c r="B90" s="1" t="s">
        <v>2</v>
      </c>
      <c r="C90" s="2" t="s">
        <v>654</v>
      </c>
      <c r="D90" s="2" t="s">
        <v>655</v>
      </c>
      <c r="E90" s="10" t="s">
        <v>901</v>
      </c>
      <c r="F90" s="9">
        <v>60</v>
      </c>
      <c r="G90" s="9">
        <v>150</v>
      </c>
      <c r="H90" s="9">
        <v>0.5</v>
      </c>
      <c r="I90" s="9">
        <v>50</v>
      </c>
      <c r="J90" s="9">
        <v>30</v>
      </c>
      <c r="K90" s="9" t="s">
        <v>651</v>
      </c>
      <c r="L90" s="2">
        <v>4.24</v>
      </c>
      <c r="M90" s="28" t="str">
        <f t="shared" si="16"/>
        <v>신덕리 617-3</v>
      </c>
      <c r="N90" s="9"/>
      <c r="O90" s="9"/>
      <c r="P90" s="9"/>
      <c r="R90" s="9"/>
      <c r="S90" s="7" t="s">
        <v>11</v>
      </c>
    </row>
    <row r="91" spans="1:19" s="7" customFormat="1" ht="21.75" customHeight="1">
      <c r="A91" s="1" t="s">
        <v>818</v>
      </c>
      <c r="B91" s="1" t="s">
        <v>2</v>
      </c>
      <c r="C91" s="2" t="s">
        <v>654</v>
      </c>
      <c r="D91" s="2" t="s">
        <v>655</v>
      </c>
      <c r="E91" s="10" t="s">
        <v>902</v>
      </c>
      <c r="F91" s="9">
        <v>30</v>
      </c>
      <c r="G91" s="9">
        <v>50</v>
      </c>
      <c r="H91" s="9">
        <v>0.5</v>
      </c>
      <c r="I91" s="9">
        <v>20</v>
      </c>
      <c r="J91" s="9">
        <v>30</v>
      </c>
      <c r="K91" s="9" t="s">
        <v>651</v>
      </c>
      <c r="L91" s="2">
        <v>2.95</v>
      </c>
      <c r="M91" s="28" t="str">
        <f t="shared" si="16"/>
        <v>신덕리 311</v>
      </c>
      <c r="N91" s="9"/>
      <c r="O91" s="9"/>
      <c r="P91" s="9"/>
      <c r="R91" s="9"/>
      <c r="S91" s="7" t="s">
        <v>11</v>
      </c>
    </row>
    <row r="92" spans="1:19" s="7" customFormat="1" ht="21.75" customHeight="1">
      <c r="A92" s="1" t="s">
        <v>819</v>
      </c>
      <c r="B92" s="1" t="s">
        <v>2</v>
      </c>
      <c r="C92" s="2" t="s">
        <v>654</v>
      </c>
      <c r="D92" s="2" t="s">
        <v>655</v>
      </c>
      <c r="E92" s="10" t="s">
        <v>903</v>
      </c>
      <c r="F92" s="9">
        <v>40</v>
      </c>
      <c r="G92" s="9">
        <v>50</v>
      </c>
      <c r="H92" s="9">
        <v>0.5</v>
      </c>
      <c r="I92" s="9">
        <v>25</v>
      </c>
      <c r="J92" s="9">
        <v>30</v>
      </c>
      <c r="K92" s="9" t="s">
        <v>651</v>
      </c>
      <c r="L92" s="2">
        <v>3.16</v>
      </c>
      <c r="M92" s="28" t="str">
        <f t="shared" si="16"/>
        <v>신덕리 644</v>
      </c>
      <c r="N92" s="9"/>
      <c r="O92" s="9"/>
      <c r="P92" s="9"/>
      <c r="R92" s="9"/>
      <c r="S92" s="7" t="s">
        <v>11</v>
      </c>
    </row>
    <row r="93" spans="1:19" s="7" customFormat="1" ht="21.75" customHeight="1">
      <c r="A93" s="1" t="s">
        <v>820</v>
      </c>
      <c r="B93" s="1" t="s">
        <v>2</v>
      </c>
      <c r="C93" s="2" t="s">
        <v>654</v>
      </c>
      <c r="D93" s="2" t="s">
        <v>655</v>
      </c>
      <c r="E93" s="10" t="s">
        <v>904</v>
      </c>
      <c r="F93" s="9">
        <v>50</v>
      </c>
      <c r="G93" s="9">
        <v>50</v>
      </c>
      <c r="H93" s="9">
        <v>0.5</v>
      </c>
      <c r="I93" s="9">
        <v>25</v>
      </c>
      <c r="J93" s="9">
        <v>30</v>
      </c>
      <c r="K93" s="9" t="s">
        <v>651</v>
      </c>
      <c r="L93" s="2">
        <v>3.16</v>
      </c>
      <c r="M93" s="28" t="str">
        <f t="shared" ref="M93:M102" si="17">D93&amp;" "&amp;E93</f>
        <v>신덕리 330-1</v>
      </c>
      <c r="N93" s="9"/>
      <c r="O93" s="9"/>
      <c r="P93" s="9"/>
      <c r="R93" s="9"/>
      <c r="S93" s="7" t="s">
        <v>11</v>
      </c>
    </row>
    <row r="94" spans="1:19" s="7" customFormat="1" ht="21.75" customHeight="1">
      <c r="A94" s="1" t="s">
        <v>821</v>
      </c>
      <c r="B94" s="1" t="s">
        <v>2</v>
      </c>
      <c r="C94" s="2" t="s">
        <v>654</v>
      </c>
      <c r="D94" s="2" t="s">
        <v>655</v>
      </c>
      <c r="E94" s="10" t="s">
        <v>905</v>
      </c>
      <c r="F94" s="9">
        <v>60</v>
      </c>
      <c r="G94" s="9">
        <v>200</v>
      </c>
      <c r="H94" s="9">
        <v>0.5</v>
      </c>
      <c r="I94" s="9">
        <v>25</v>
      </c>
      <c r="J94" s="9">
        <v>30</v>
      </c>
      <c r="K94" s="9" t="s">
        <v>653</v>
      </c>
      <c r="L94" s="2">
        <v>3.06</v>
      </c>
      <c r="M94" s="28" t="str">
        <f t="shared" si="17"/>
        <v>신덕리 648-1</v>
      </c>
      <c r="N94" s="9"/>
      <c r="O94" s="9"/>
      <c r="P94" s="9"/>
      <c r="R94" s="9"/>
      <c r="S94" s="7" t="s">
        <v>11</v>
      </c>
    </row>
    <row r="95" spans="1:19" s="7" customFormat="1" ht="21.75" customHeight="1">
      <c r="A95" s="1" t="s">
        <v>822</v>
      </c>
      <c r="B95" s="1" t="s">
        <v>2</v>
      </c>
      <c r="C95" s="2" t="s">
        <v>654</v>
      </c>
      <c r="D95" s="2" t="s">
        <v>655</v>
      </c>
      <c r="E95" s="10" t="s">
        <v>907</v>
      </c>
      <c r="F95" s="9">
        <v>80</v>
      </c>
      <c r="G95" s="9">
        <v>50</v>
      </c>
      <c r="H95" s="9">
        <v>1</v>
      </c>
      <c r="I95" s="9">
        <v>30</v>
      </c>
      <c r="J95" s="9">
        <v>20</v>
      </c>
      <c r="K95" s="9" t="s">
        <v>651</v>
      </c>
      <c r="L95" s="2">
        <v>3.38</v>
      </c>
      <c r="M95" s="28" t="str">
        <f t="shared" si="17"/>
        <v>신덕리 276-11</v>
      </c>
      <c r="N95" s="9"/>
      <c r="O95" s="9"/>
      <c r="P95" s="9"/>
      <c r="R95" s="9"/>
      <c r="S95" s="7" t="s">
        <v>11</v>
      </c>
    </row>
    <row r="96" spans="1:19" s="7" customFormat="1" ht="21.75" customHeight="1">
      <c r="A96" s="1" t="s">
        <v>823</v>
      </c>
      <c r="B96" s="1" t="s">
        <v>2</v>
      </c>
      <c r="C96" s="2" t="s">
        <v>654</v>
      </c>
      <c r="D96" s="2" t="s">
        <v>655</v>
      </c>
      <c r="E96" s="10" t="s">
        <v>907</v>
      </c>
      <c r="F96" s="9">
        <v>80</v>
      </c>
      <c r="G96" s="9">
        <v>50</v>
      </c>
      <c r="H96" s="9">
        <v>0.5</v>
      </c>
      <c r="I96" s="9">
        <v>20</v>
      </c>
      <c r="J96" s="9">
        <v>20</v>
      </c>
      <c r="K96" s="9" t="s">
        <v>651</v>
      </c>
      <c r="L96" s="2">
        <v>2.95</v>
      </c>
      <c r="M96" s="28" t="str">
        <f t="shared" si="17"/>
        <v>신덕리 276-11</v>
      </c>
      <c r="N96" s="9"/>
      <c r="O96" s="9"/>
      <c r="P96" s="9"/>
      <c r="R96" s="9"/>
      <c r="S96" s="7" t="s">
        <v>11</v>
      </c>
    </row>
    <row r="97" spans="1:19" s="7" customFormat="1" ht="21.75" customHeight="1">
      <c r="A97" s="1" t="s">
        <v>824</v>
      </c>
      <c r="B97" s="1" t="s">
        <v>2</v>
      </c>
      <c r="C97" s="2" t="s">
        <v>654</v>
      </c>
      <c r="D97" s="2" t="s">
        <v>655</v>
      </c>
      <c r="E97" s="10" t="s">
        <v>908</v>
      </c>
      <c r="F97" s="9">
        <v>20</v>
      </c>
      <c r="G97" s="9">
        <v>50</v>
      </c>
      <c r="H97" s="9">
        <v>0.5</v>
      </c>
      <c r="I97" s="9">
        <v>25</v>
      </c>
      <c r="J97" s="9">
        <v>30</v>
      </c>
      <c r="K97" s="9" t="s">
        <v>651</v>
      </c>
      <c r="L97" s="2">
        <v>3.16</v>
      </c>
      <c r="M97" s="28" t="str">
        <f t="shared" si="17"/>
        <v>신덕리 277-1</v>
      </c>
      <c r="N97" s="9"/>
      <c r="O97" s="9"/>
      <c r="P97" s="9"/>
      <c r="R97" s="9"/>
      <c r="S97" s="7" t="s">
        <v>11</v>
      </c>
    </row>
    <row r="98" spans="1:19" s="7" customFormat="1" ht="21.75" customHeight="1">
      <c r="A98" s="1" t="s">
        <v>825</v>
      </c>
      <c r="B98" s="1" t="s">
        <v>2</v>
      </c>
      <c r="C98" s="2" t="s">
        <v>654</v>
      </c>
      <c r="D98" s="2" t="s">
        <v>655</v>
      </c>
      <c r="E98" s="10" t="s">
        <v>909</v>
      </c>
      <c r="F98" s="9">
        <v>50</v>
      </c>
      <c r="G98" s="9">
        <v>50</v>
      </c>
      <c r="H98" s="9">
        <v>0.5</v>
      </c>
      <c r="I98" s="9">
        <v>25</v>
      </c>
      <c r="J98" s="9">
        <v>32</v>
      </c>
      <c r="K98" s="9" t="s">
        <v>651</v>
      </c>
      <c r="L98" s="2">
        <v>3.16</v>
      </c>
      <c r="M98" s="28" t="str">
        <f t="shared" si="17"/>
        <v>신덕리 282-2</v>
      </c>
      <c r="N98" s="9"/>
      <c r="O98" s="9"/>
      <c r="P98" s="9"/>
      <c r="R98" s="9"/>
      <c r="S98" s="7" t="s">
        <v>11</v>
      </c>
    </row>
    <row r="99" spans="1:19" s="7" customFormat="1" ht="21.75" customHeight="1">
      <c r="A99" s="1" t="s">
        <v>826</v>
      </c>
      <c r="B99" s="1" t="s">
        <v>2</v>
      </c>
      <c r="C99" s="2" t="s">
        <v>654</v>
      </c>
      <c r="D99" s="2" t="s">
        <v>655</v>
      </c>
      <c r="E99" s="10" t="s">
        <v>910</v>
      </c>
      <c r="F99" s="9">
        <v>70</v>
      </c>
      <c r="G99" s="9">
        <v>50</v>
      </c>
      <c r="H99" s="9">
        <v>0.5</v>
      </c>
      <c r="I99" s="9">
        <v>20</v>
      </c>
      <c r="J99" s="9">
        <v>20</v>
      </c>
      <c r="K99" s="9" t="s">
        <v>653</v>
      </c>
      <c r="L99" s="2">
        <v>3.01</v>
      </c>
      <c r="M99" s="28" t="str">
        <f t="shared" si="17"/>
        <v>신덕리 308</v>
      </c>
      <c r="N99" s="9"/>
      <c r="O99" s="9"/>
      <c r="P99" s="9"/>
      <c r="R99" s="9"/>
      <c r="S99" s="7" t="s">
        <v>11</v>
      </c>
    </row>
    <row r="100" spans="1:19" s="7" customFormat="1" ht="21.75" customHeight="1">
      <c r="A100" s="1" t="s">
        <v>827</v>
      </c>
      <c r="B100" s="1" t="s">
        <v>2</v>
      </c>
      <c r="C100" s="2" t="s">
        <v>654</v>
      </c>
      <c r="D100" s="2" t="s">
        <v>655</v>
      </c>
      <c r="E100" s="10" t="s">
        <v>912</v>
      </c>
      <c r="F100" s="9">
        <v>20</v>
      </c>
      <c r="G100" s="9">
        <v>50</v>
      </c>
      <c r="H100" s="9">
        <v>0.5</v>
      </c>
      <c r="I100" s="9">
        <v>20</v>
      </c>
      <c r="J100" s="9">
        <v>30</v>
      </c>
      <c r="K100" s="9" t="s">
        <v>651</v>
      </c>
      <c r="L100" s="2">
        <v>2.95</v>
      </c>
      <c r="M100" s="28" t="str">
        <f t="shared" si="17"/>
        <v>신덕리 262</v>
      </c>
      <c r="N100" s="9"/>
      <c r="O100" s="9"/>
      <c r="P100" s="9"/>
      <c r="R100" s="9"/>
      <c r="S100" s="7" t="s">
        <v>11</v>
      </c>
    </row>
    <row r="101" spans="1:19" s="7" customFormat="1" ht="21.75" customHeight="1">
      <c r="A101" s="1" t="s">
        <v>828</v>
      </c>
      <c r="B101" s="1" t="s">
        <v>2</v>
      </c>
      <c r="C101" s="2" t="s">
        <v>654</v>
      </c>
      <c r="D101" s="2" t="s">
        <v>655</v>
      </c>
      <c r="E101" s="10" t="s">
        <v>913</v>
      </c>
      <c r="F101" s="9">
        <v>20</v>
      </c>
      <c r="G101" s="9">
        <v>50</v>
      </c>
      <c r="H101" s="9">
        <v>0.5</v>
      </c>
      <c r="I101" s="9">
        <v>20</v>
      </c>
      <c r="J101" s="9">
        <v>30</v>
      </c>
      <c r="K101" s="9" t="s">
        <v>651</v>
      </c>
      <c r="L101" s="2">
        <v>2.95</v>
      </c>
      <c r="M101" s="28" t="str">
        <f t="shared" si="17"/>
        <v>신덕리 618-3</v>
      </c>
      <c r="N101" s="9"/>
      <c r="O101" s="9"/>
      <c r="P101" s="9"/>
      <c r="R101" s="9"/>
      <c r="S101" s="7" t="s">
        <v>11</v>
      </c>
    </row>
    <row r="102" spans="1:19" s="7" customFormat="1" ht="21.75" customHeight="1">
      <c r="A102" s="1" t="s">
        <v>829</v>
      </c>
      <c r="B102" s="1" t="s">
        <v>2</v>
      </c>
      <c r="C102" s="2" t="s">
        <v>654</v>
      </c>
      <c r="D102" s="2" t="s">
        <v>655</v>
      </c>
      <c r="E102" s="10" t="s">
        <v>914</v>
      </c>
      <c r="F102" s="9">
        <v>20</v>
      </c>
      <c r="G102" s="9">
        <v>50</v>
      </c>
      <c r="H102" s="9">
        <v>0.5</v>
      </c>
      <c r="I102" s="9">
        <v>25</v>
      </c>
      <c r="J102" s="9">
        <v>30</v>
      </c>
      <c r="K102" s="9" t="s">
        <v>651</v>
      </c>
      <c r="L102" s="2">
        <v>3.16</v>
      </c>
      <c r="M102" s="28" t="str">
        <f t="shared" si="17"/>
        <v>신덕리 618-4</v>
      </c>
      <c r="N102" s="9"/>
      <c r="O102" s="9"/>
      <c r="P102" s="9"/>
      <c r="R102" s="9"/>
      <c r="S102" s="7" t="s">
        <v>11</v>
      </c>
    </row>
    <row r="103" spans="1:19" s="7" customFormat="1" ht="21.75" customHeight="1">
      <c r="A103" s="1"/>
      <c r="B103" s="1"/>
      <c r="C103" s="2"/>
      <c r="D103" s="2"/>
      <c r="E103" s="10"/>
      <c r="F103" s="9"/>
      <c r="G103" s="9"/>
      <c r="H103" s="9"/>
      <c r="I103" s="9"/>
      <c r="J103" s="9"/>
      <c r="K103" s="9"/>
      <c r="L103" s="2"/>
      <c r="M103" s="28"/>
      <c r="N103" s="9"/>
      <c r="O103" s="9"/>
      <c r="P103" s="9"/>
      <c r="Q103" s="3"/>
      <c r="R103" s="9"/>
      <c r="S103" s="2"/>
    </row>
    <row r="104" spans="1:19" ht="21.75" customHeight="1" thickBot="1">
      <c r="L104" s="5"/>
    </row>
    <row r="105" spans="1:19" ht="21.75" customHeight="1">
      <c r="B105" s="24" t="s">
        <v>21</v>
      </c>
      <c r="C105" s="16" t="s">
        <v>20</v>
      </c>
      <c r="D105" s="17" t="s">
        <v>5</v>
      </c>
      <c r="K105" s="2" t="s">
        <v>30</v>
      </c>
      <c r="L105" s="39">
        <f>SUM(L2:L104)</f>
        <v>371.69000000000005</v>
      </c>
      <c r="M105" s="29"/>
    </row>
    <row r="106" spans="1:19" ht="21.75" customHeight="1">
      <c r="B106" s="22" t="s">
        <v>18</v>
      </c>
      <c r="C106" s="15">
        <f ca="1">COUNTIF(AA_INSIDE_AREA,"O")</f>
        <v>98</v>
      </c>
      <c r="D106" s="19">
        <f ca="1">SUMIF(AA_INSIDE_AREA,"O",$L$2:$L$2)</f>
        <v>362.41000000000008</v>
      </c>
    </row>
    <row r="107" spans="1:19" ht="21.75" customHeight="1">
      <c r="B107" s="22" t="s">
        <v>19</v>
      </c>
      <c r="C107" s="15">
        <f ca="1">COUNTIF(AA_INSIDE_AREA,"X")</f>
        <v>3</v>
      </c>
      <c r="D107" s="19">
        <f ca="1">SUMIF(AA_INSIDE_AREA,"X",$L$2:$L$2)</f>
        <v>9.2800000000000011</v>
      </c>
      <c r="L107" s="4"/>
    </row>
    <row r="108" spans="1:19" ht="21.75" customHeight="1" thickBot="1">
      <c r="B108" s="23"/>
      <c r="C108" s="20"/>
      <c r="D108" s="21">
        <f ca="1">D106+D107</f>
        <v>371.69000000000005</v>
      </c>
      <c r="L10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mandButtonInitialClear">
          <controlPr defaultSize="0" autoLine="0" autoPict="0" r:id="rId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4" name="CommandButtonInitialClear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5" r:id="rId10" name="CommandButton3">
          <controlPr defaultSize="0" autoLine="0" r:id="rId11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0" name="CommandButton3"/>
      </mc:Fallback>
    </mc:AlternateContent>
    <mc:AlternateContent xmlns:mc="http://schemas.openxmlformats.org/markup-compatibility/2006">
      <mc:Choice Requires="x14">
        <control shapeId="3076" r:id="rId12" name="CommandButton4">
          <controlPr defaultSize="0" autoLine="0" r:id="rId13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2" name="CommandButton4"/>
      </mc:Fallback>
    </mc:AlternateContent>
    <mc:AlternateContent xmlns:mc="http://schemas.openxmlformats.org/markup-compatibility/2006">
      <mc:Choice Requires="x14">
        <control shapeId="3077" r:id="rId14" name="CommandButton5">
          <controlPr defaultSize="0" autoLine="0" autoPict="0" r:id="rId1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14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L3" sqref="L3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654</v>
      </c>
      <c r="D2" s="2" t="s">
        <v>655</v>
      </c>
      <c r="E2" s="6" t="s">
        <v>728</v>
      </c>
      <c r="F2" s="2">
        <v>70</v>
      </c>
      <c r="G2" s="2">
        <v>250</v>
      </c>
      <c r="H2" s="2">
        <v>1</v>
      </c>
      <c r="I2" s="2">
        <v>94</v>
      </c>
      <c r="J2" s="2">
        <v>40</v>
      </c>
      <c r="K2" s="2" t="s">
        <v>153</v>
      </c>
      <c r="L2" s="2">
        <v>3</v>
      </c>
      <c r="M2" s="2" t="str">
        <f>D2&amp;" "&amp;E2&amp;" 번지"</f>
        <v>신덕리 347-7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3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 ca="1">IF(L5=0,0,COUNTIF(II_INSIDE_AREA,"O"))</f>
        <v>1</v>
      </c>
      <c r="D8" s="19">
        <f ca="1">SUMIF(II_INSIDE_AREA,"O",$L$2:$L$2)</f>
        <v>3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3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  <mc:AlternateContent xmlns:mc="http://schemas.openxmlformats.org/markup-compatibility/2006">
      <mc:Choice Requires="x14">
        <control shapeId="4100" r:id="rId10" name="CommandButton4">
          <controlPr defaultSize="0" autoLine="0" autoPict="0" r:id="rId11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0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460</v>
      </c>
    </row>
    <row r="2" spans="1:11" ht="20.100000000000001" customHeight="1">
      <c r="A2" s="28" t="s">
        <v>461</v>
      </c>
      <c r="B2" s="28" t="s">
        <v>360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459</v>
      </c>
    </row>
    <row r="3" spans="1:11" ht="20.100000000000001" customHeight="1">
      <c r="A3" s="28" t="s">
        <v>462</v>
      </c>
      <c r="B3" s="28" t="s">
        <v>361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459</v>
      </c>
    </row>
    <row r="4" spans="1:11" ht="20.100000000000001" customHeight="1">
      <c r="A4" s="28" t="s">
        <v>463</v>
      </c>
      <c r="B4" s="28" t="s">
        <v>362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459</v>
      </c>
    </row>
    <row r="5" spans="1:11" ht="20.100000000000001" customHeight="1">
      <c r="A5" s="28" t="s">
        <v>464</v>
      </c>
      <c r="B5" s="28" t="s">
        <v>363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459</v>
      </c>
    </row>
    <row r="6" spans="1:11" ht="20.100000000000001" customHeight="1">
      <c r="A6" s="28" t="s">
        <v>465</v>
      </c>
      <c r="B6" s="28" t="s">
        <v>364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459</v>
      </c>
    </row>
    <row r="7" spans="1:11" ht="20.100000000000001" customHeight="1">
      <c r="A7" s="28" t="s">
        <v>466</v>
      </c>
      <c r="B7" s="28" t="s">
        <v>365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459</v>
      </c>
    </row>
    <row r="8" spans="1:11" ht="20.100000000000001" customHeight="1">
      <c r="A8" s="28" t="s">
        <v>467</v>
      </c>
      <c r="B8" s="28" t="s">
        <v>366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459</v>
      </c>
    </row>
    <row r="9" spans="1:11" ht="20.100000000000001" customHeight="1">
      <c r="A9" s="28" t="s">
        <v>468</v>
      </c>
      <c r="B9" s="28" t="s">
        <v>367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459</v>
      </c>
    </row>
    <row r="10" spans="1:11" ht="20.100000000000001" customHeight="1">
      <c r="A10" s="28" t="s">
        <v>469</v>
      </c>
      <c r="B10" s="28" t="s">
        <v>368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369</v>
      </c>
      <c r="J10" s="28">
        <v>8.49</v>
      </c>
      <c r="K10" s="28" t="s">
        <v>459</v>
      </c>
    </row>
    <row r="11" spans="1:11" ht="20.100000000000001" customHeight="1">
      <c r="A11" s="28" t="s">
        <v>470</v>
      </c>
      <c r="B11" s="28" t="s">
        <v>370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459</v>
      </c>
    </row>
    <row r="12" spans="1:11" ht="20.100000000000001" customHeight="1">
      <c r="A12" s="28" t="s">
        <v>471</v>
      </c>
      <c r="B12" s="28" t="s">
        <v>371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459</v>
      </c>
    </row>
    <row r="13" spans="1:11" ht="20.100000000000001" customHeight="1">
      <c r="A13" s="28" t="s">
        <v>472</v>
      </c>
      <c r="B13" s="28" t="s">
        <v>372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459</v>
      </c>
    </row>
    <row r="14" spans="1:11" ht="20.100000000000001" customHeight="1">
      <c r="A14" s="28" t="s">
        <v>473</v>
      </c>
      <c r="B14" s="28" t="s">
        <v>373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459</v>
      </c>
    </row>
    <row r="15" spans="1:11" ht="20.100000000000001" customHeight="1">
      <c r="A15" s="28" t="s">
        <v>474</v>
      </c>
      <c r="B15" s="28" t="s">
        <v>374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459</v>
      </c>
    </row>
    <row r="16" spans="1:11" ht="20.100000000000001" customHeight="1">
      <c r="A16" s="28" t="s">
        <v>475</v>
      </c>
      <c r="B16" s="28" t="s">
        <v>375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459</v>
      </c>
    </row>
    <row r="17" spans="1:11" ht="20.100000000000001" customHeight="1">
      <c r="A17" s="28" t="s">
        <v>476</v>
      </c>
      <c r="B17" s="28" t="s">
        <v>376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459</v>
      </c>
    </row>
    <row r="18" spans="1:11" ht="20.100000000000001" customHeight="1">
      <c r="A18" s="28" t="s">
        <v>477</v>
      </c>
      <c r="B18" s="28" t="s">
        <v>377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459</v>
      </c>
    </row>
    <row r="19" spans="1:11" ht="20.100000000000001" customHeight="1">
      <c r="A19" s="28" t="s">
        <v>478</v>
      </c>
      <c r="B19" s="28" t="s">
        <v>378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459</v>
      </c>
    </row>
    <row r="20" spans="1:11" ht="20.100000000000001" customHeight="1">
      <c r="A20" s="28" t="s">
        <v>479</v>
      </c>
      <c r="B20" s="28" t="s">
        <v>379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459</v>
      </c>
    </row>
    <row r="21" spans="1:11" ht="20.100000000000001" customHeight="1">
      <c r="A21" s="28" t="s">
        <v>480</v>
      </c>
      <c r="B21" s="28" t="s">
        <v>380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459</v>
      </c>
    </row>
    <row r="22" spans="1:11" ht="20.100000000000001" customHeight="1">
      <c r="A22" s="28" t="s">
        <v>481</v>
      </c>
      <c r="B22" s="28" t="s">
        <v>381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459</v>
      </c>
    </row>
    <row r="23" spans="1:11" ht="20.100000000000001" customHeight="1">
      <c r="A23" s="28" t="s">
        <v>482</v>
      </c>
      <c r="B23" s="28" t="s">
        <v>382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459</v>
      </c>
    </row>
    <row r="24" spans="1:11" ht="20.100000000000001" customHeight="1">
      <c r="A24" s="28" t="s">
        <v>483</v>
      </c>
      <c r="B24" s="28" t="s">
        <v>383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459</v>
      </c>
    </row>
    <row r="25" spans="1:11" ht="20.100000000000001" customHeight="1">
      <c r="A25" s="28" t="s">
        <v>484</v>
      </c>
      <c r="B25" s="28" t="s">
        <v>384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459</v>
      </c>
    </row>
    <row r="26" spans="1:11" ht="20.100000000000001" customHeight="1">
      <c r="A26" s="28" t="s">
        <v>485</v>
      </c>
      <c r="B26" s="28" t="s">
        <v>385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459</v>
      </c>
    </row>
    <row r="27" spans="1:11" ht="20.100000000000001" customHeight="1">
      <c r="A27" s="28" t="s">
        <v>486</v>
      </c>
      <c r="B27" s="28" t="s">
        <v>386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459</v>
      </c>
    </row>
    <row r="28" spans="1:11" ht="20.100000000000001" customHeight="1">
      <c r="A28" s="28" t="s">
        <v>487</v>
      </c>
      <c r="B28" s="28" t="s">
        <v>387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459</v>
      </c>
    </row>
    <row r="29" spans="1:11" ht="20.100000000000001" customHeight="1">
      <c r="A29" s="28" t="s">
        <v>488</v>
      </c>
      <c r="B29" s="28" t="s">
        <v>388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459</v>
      </c>
    </row>
    <row r="30" spans="1:11" ht="20.100000000000001" customHeight="1">
      <c r="A30" s="28" t="s">
        <v>489</v>
      </c>
      <c r="B30" s="28" t="s">
        <v>389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459</v>
      </c>
    </row>
    <row r="31" spans="1:11" ht="20.100000000000001" customHeight="1">
      <c r="A31" s="28" t="s">
        <v>490</v>
      </c>
      <c r="B31" s="28" t="s">
        <v>390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459</v>
      </c>
    </row>
    <row r="32" spans="1:11" ht="20.100000000000001" customHeight="1">
      <c r="A32" s="28" t="s">
        <v>491</v>
      </c>
      <c r="B32" s="28" t="s">
        <v>391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459</v>
      </c>
    </row>
    <row r="33" spans="1:11" ht="20.100000000000001" customHeight="1">
      <c r="A33" s="28" t="s">
        <v>492</v>
      </c>
      <c r="B33" s="28" t="s">
        <v>392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459</v>
      </c>
    </row>
    <row r="34" spans="1:11" ht="20.100000000000001" customHeight="1">
      <c r="A34" s="28" t="s">
        <v>493</v>
      </c>
      <c r="B34" s="28" t="s">
        <v>393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459</v>
      </c>
    </row>
    <row r="35" spans="1:11" ht="20.100000000000001" customHeight="1">
      <c r="A35" s="28" t="s">
        <v>494</v>
      </c>
      <c r="B35" s="28" t="s">
        <v>394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459</v>
      </c>
    </row>
    <row r="36" spans="1:11" ht="20.100000000000001" customHeight="1">
      <c r="A36" s="28" t="s">
        <v>495</v>
      </c>
      <c r="B36" s="28" t="s">
        <v>395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459</v>
      </c>
    </row>
    <row r="37" spans="1:11" ht="20.100000000000001" customHeight="1">
      <c r="A37" s="28" t="s">
        <v>496</v>
      </c>
      <c r="B37" s="28" t="s">
        <v>396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459</v>
      </c>
    </row>
    <row r="38" spans="1:11" ht="20.100000000000001" customHeight="1">
      <c r="A38" s="28" t="s">
        <v>497</v>
      </c>
      <c r="B38" s="28" t="s">
        <v>397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459</v>
      </c>
    </row>
    <row r="39" spans="1:11" ht="20.100000000000001" customHeight="1">
      <c r="A39" s="28" t="s">
        <v>498</v>
      </c>
      <c r="B39" s="28" t="s">
        <v>398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459</v>
      </c>
    </row>
    <row r="40" spans="1:11" ht="20.100000000000001" customHeight="1">
      <c r="A40" s="28" t="s">
        <v>499</v>
      </c>
      <c r="B40" s="28" t="s">
        <v>399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459</v>
      </c>
    </row>
    <row r="41" spans="1:11" ht="20.100000000000001" customHeight="1">
      <c r="A41" s="28" t="s">
        <v>500</v>
      </c>
      <c r="B41" s="28" t="s">
        <v>400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459</v>
      </c>
    </row>
    <row r="42" spans="1:11" ht="20.100000000000001" customHeight="1">
      <c r="A42" s="28" t="s">
        <v>501</v>
      </c>
      <c r="B42" s="28" t="s">
        <v>401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459</v>
      </c>
    </row>
    <row r="43" spans="1:11" ht="20.100000000000001" customHeight="1">
      <c r="A43" s="28" t="s">
        <v>502</v>
      </c>
      <c r="B43" s="28" t="s">
        <v>402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459</v>
      </c>
    </row>
    <row r="44" spans="1:11" ht="20.100000000000001" customHeight="1">
      <c r="A44" s="28" t="s">
        <v>503</v>
      </c>
      <c r="B44" s="28" t="s">
        <v>403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459</v>
      </c>
    </row>
    <row r="45" spans="1:11" ht="20.100000000000001" customHeight="1">
      <c r="A45" s="28" t="s">
        <v>504</v>
      </c>
      <c r="B45" s="28" t="s">
        <v>404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459</v>
      </c>
    </row>
    <row r="46" spans="1:11" ht="20.100000000000001" customHeight="1">
      <c r="A46" s="28" t="s">
        <v>505</v>
      </c>
      <c r="B46" s="28" t="s">
        <v>405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459</v>
      </c>
    </row>
    <row r="47" spans="1:11" ht="20.100000000000001" customHeight="1">
      <c r="A47" s="28" t="s">
        <v>506</v>
      </c>
      <c r="B47" s="28" t="s">
        <v>406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369</v>
      </c>
      <c r="J47" s="28">
        <v>8.49</v>
      </c>
      <c r="K47" s="28" t="s">
        <v>459</v>
      </c>
    </row>
    <row r="48" spans="1:11" ht="20.100000000000001" customHeight="1">
      <c r="A48" s="28" t="s">
        <v>507</v>
      </c>
      <c r="B48" s="28" t="s">
        <v>407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459</v>
      </c>
    </row>
    <row r="49" spans="1:11" ht="20.100000000000001" customHeight="1">
      <c r="A49" s="28" t="s">
        <v>508</v>
      </c>
      <c r="B49" s="28" t="s">
        <v>408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459</v>
      </c>
    </row>
    <row r="50" spans="1:11" ht="20.100000000000001" customHeight="1">
      <c r="A50" s="28" t="s">
        <v>509</v>
      </c>
      <c r="B50" s="28" t="s">
        <v>409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459</v>
      </c>
    </row>
    <row r="51" spans="1:11" ht="20.100000000000001" customHeight="1">
      <c r="A51" s="28" t="s">
        <v>510</v>
      </c>
      <c r="B51" s="28" t="s">
        <v>410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459</v>
      </c>
    </row>
    <row r="52" spans="1:11" ht="20.100000000000001" customHeight="1">
      <c r="A52" s="28" t="s">
        <v>511</v>
      </c>
      <c r="B52" s="28" t="s">
        <v>411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459</v>
      </c>
    </row>
    <row r="53" spans="1:11" ht="20.100000000000001" customHeight="1">
      <c r="A53" s="28" t="s">
        <v>512</v>
      </c>
      <c r="B53" s="28" t="s">
        <v>412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459</v>
      </c>
    </row>
    <row r="54" spans="1:11" ht="20.100000000000001" customHeight="1">
      <c r="A54" s="28" t="s">
        <v>513</v>
      </c>
      <c r="B54" s="28" t="s">
        <v>413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459</v>
      </c>
    </row>
    <row r="55" spans="1:11" ht="20.100000000000001" customHeight="1">
      <c r="A55" s="28" t="s">
        <v>514</v>
      </c>
      <c r="B55" s="28" t="s">
        <v>414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459</v>
      </c>
    </row>
    <row r="56" spans="1:11" ht="20.100000000000001" customHeight="1">
      <c r="A56" s="28" t="s">
        <v>515</v>
      </c>
      <c r="B56" s="28" t="s">
        <v>415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459</v>
      </c>
    </row>
    <row r="57" spans="1:11" ht="20.100000000000001" customHeight="1">
      <c r="A57" s="28" t="s">
        <v>516</v>
      </c>
      <c r="B57" s="28" t="s">
        <v>416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459</v>
      </c>
    </row>
    <row r="58" spans="1:11" ht="20.100000000000001" customHeight="1">
      <c r="A58" s="28" t="s">
        <v>517</v>
      </c>
      <c r="B58" s="28" t="s">
        <v>417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459</v>
      </c>
    </row>
    <row r="59" spans="1:11" ht="20.100000000000001" customHeight="1">
      <c r="A59" s="28" t="s">
        <v>518</v>
      </c>
      <c r="B59" s="28" t="s">
        <v>418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459</v>
      </c>
    </row>
    <row r="60" spans="1:11" ht="20.100000000000001" customHeight="1">
      <c r="A60" s="28" t="s">
        <v>519</v>
      </c>
      <c r="B60" s="28" t="s">
        <v>419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459</v>
      </c>
    </row>
    <row r="61" spans="1:11" ht="20.100000000000001" customHeight="1">
      <c r="A61" s="28" t="s">
        <v>520</v>
      </c>
      <c r="B61" s="28" t="s">
        <v>420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459</v>
      </c>
    </row>
    <row r="62" spans="1:11" ht="20.100000000000001" customHeight="1">
      <c r="A62" s="28" t="s">
        <v>521</v>
      </c>
      <c r="B62" s="28" t="s">
        <v>421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359</v>
      </c>
      <c r="J62" s="28">
        <v>4.01</v>
      </c>
      <c r="K62" s="28" t="s">
        <v>459</v>
      </c>
    </row>
    <row r="63" spans="1:11" ht="20.100000000000001" customHeight="1">
      <c r="A63" s="28" t="s">
        <v>522</v>
      </c>
      <c r="B63" s="28" t="s">
        <v>422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459</v>
      </c>
    </row>
    <row r="64" spans="1:11" ht="20.100000000000001" customHeight="1">
      <c r="A64" s="28" t="s">
        <v>523</v>
      </c>
      <c r="B64" s="28" t="s">
        <v>423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459</v>
      </c>
    </row>
    <row r="65" spans="1:11" ht="20.100000000000001" customHeight="1">
      <c r="A65" s="28" t="s">
        <v>524</v>
      </c>
      <c r="B65" s="28" t="s">
        <v>424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459</v>
      </c>
    </row>
    <row r="66" spans="1:11" ht="20.100000000000001" customHeight="1">
      <c r="A66" s="28" t="s">
        <v>525</v>
      </c>
      <c r="B66" s="28" t="s">
        <v>425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459</v>
      </c>
    </row>
    <row r="67" spans="1:11" ht="20.100000000000001" customHeight="1">
      <c r="A67" s="28" t="s">
        <v>526</v>
      </c>
      <c r="B67" s="28" t="s">
        <v>426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459</v>
      </c>
    </row>
    <row r="68" spans="1:11" ht="20.100000000000001" customHeight="1">
      <c r="A68" s="28" t="s">
        <v>527</v>
      </c>
      <c r="B68" s="28" t="s">
        <v>427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459</v>
      </c>
    </row>
    <row r="69" spans="1:11" ht="20.100000000000001" customHeight="1">
      <c r="A69" s="28" t="s">
        <v>528</v>
      </c>
      <c r="B69" s="28" t="s">
        <v>428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459</v>
      </c>
    </row>
    <row r="70" spans="1:11" ht="20.100000000000001" customHeight="1">
      <c r="A70" s="28" t="s">
        <v>529</v>
      </c>
      <c r="B70" s="28" t="s">
        <v>429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459</v>
      </c>
    </row>
    <row r="71" spans="1:11" ht="20.100000000000001" customHeight="1">
      <c r="A71" s="28" t="s">
        <v>530</v>
      </c>
      <c r="B71" s="28" t="s">
        <v>430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459</v>
      </c>
    </row>
    <row r="72" spans="1:11" ht="20.100000000000001" customHeight="1">
      <c r="A72" s="28" t="s">
        <v>531</v>
      </c>
      <c r="B72" s="28" t="s">
        <v>431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459</v>
      </c>
    </row>
    <row r="73" spans="1:11" ht="20.100000000000001" customHeight="1">
      <c r="A73" s="28" t="s">
        <v>332</v>
      </c>
      <c r="B73" s="28" t="s">
        <v>432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459</v>
      </c>
    </row>
    <row r="74" spans="1:11" ht="20.100000000000001" customHeight="1">
      <c r="A74" s="28" t="s">
        <v>333</v>
      </c>
      <c r="B74" s="28" t="s">
        <v>433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459</v>
      </c>
    </row>
    <row r="75" spans="1:11" ht="20.100000000000001" customHeight="1">
      <c r="A75" s="28" t="s">
        <v>334</v>
      </c>
      <c r="B75" s="28" t="s">
        <v>434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459</v>
      </c>
    </row>
    <row r="76" spans="1:11" ht="20.100000000000001" customHeight="1">
      <c r="A76" s="28" t="s">
        <v>335</v>
      </c>
      <c r="B76" s="28" t="s">
        <v>435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459</v>
      </c>
    </row>
    <row r="77" spans="1:11" ht="20.100000000000001" customHeight="1">
      <c r="A77" s="28" t="s">
        <v>336</v>
      </c>
      <c r="B77" s="28" t="s">
        <v>436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459</v>
      </c>
    </row>
    <row r="78" spans="1:11" ht="20.100000000000001" customHeight="1">
      <c r="A78" s="28" t="s">
        <v>337</v>
      </c>
      <c r="B78" s="28" t="s">
        <v>437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459</v>
      </c>
    </row>
    <row r="79" spans="1:11" ht="20.100000000000001" customHeight="1">
      <c r="A79" s="28" t="s">
        <v>338</v>
      </c>
      <c r="B79" s="28" t="s">
        <v>438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459</v>
      </c>
    </row>
    <row r="80" spans="1:11" ht="20.100000000000001" customHeight="1">
      <c r="A80" s="28" t="s">
        <v>339</v>
      </c>
      <c r="B80" s="28" t="s">
        <v>439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459</v>
      </c>
    </row>
    <row r="81" spans="1:11" ht="20.100000000000001" customHeight="1">
      <c r="A81" s="28" t="s">
        <v>340</v>
      </c>
      <c r="B81" s="28" t="s">
        <v>440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459</v>
      </c>
    </row>
    <row r="82" spans="1:11" ht="20.100000000000001" customHeight="1">
      <c r="A82" s="28" t="s">
        <v>341</v>
      </c>
      <c r="B82" s="28" t="s">
        <v>441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459</v>
      </c>
    </row>
    <row r="83" spans="1:11" ht="20.100000000000001" customHeight="1">
      <c r="A83" s="28" t="s">
        <v>342</v>
      </c>
      <c r="B83" s="28" t="s">
        <v>442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459</v>
      </c>
    </row>
    <row r="84" spans="1:11" ht="20.100000000000001" customHeight="1">
      <c r="A84" s="28" t="s">
        <v>343</v>
      </c>
      <c r="B84" s="28" t="s">
        <v>443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459</v>
      </c>
    </row>
    <row r="85" spans="1:11" ht="20.100000000000001" customHeight="1">
      <c r="A85" s="28" t="s">
        <v>344</v>
      </c>
      <c r="B85" s="28" t="s">
        <v>444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459</v>
      </c>
    </row>
    <row r="86" spans="1:11" ht="20.100000000000001" customHeight="1">
      <c r="A86" s="28" t="s">
        <v>345</v>
      </c>
      <c r="B86" s="28" t="s">
        <v>445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459</v>
      </c>
    </row>
    <row r="87" spans="1:11" ht="20.100000000000001" customHeight="1">
      <c r="A87" s="28" t="s">
        <v>346</v>
      </c>
      <c r="B87" s="28" t="s">
        <v>446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459</v>
      </c>
    </row>
    <row r="88" spans="1:11" ht="20.100000000000001" customHeight="1">
      <c r="A88" s="28" t="s">
        <v>347</v>
      </c>
      <c r="B88" s="28" t="s">
        <v>447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459</v>
      </c>
    </row>
    <row r="89" spans="1:11" ht="20.100000000000001" customHeight="1">
      <c r="A89" s="28" t="s">
        <v>348</v>
      </c>
      <c r="B89" s="28" t="s">
        <v>448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459</v>
      </c>
    </row>
    <row r="90" spans="1:11" ht="20.100000000000001" customHeight="1">
      <c r="A90" s="28" t="s">
        <v>349</v>
      </c>
      <c r="B90" s="28" t="s">
        <v>449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459</v>
      </c>
    </row>
    <row r="91" spans="1:11" ht="20.100000000000001" customHeight="1">
      <c r="A91" s="28" t="s">
        <v>350</v>
      </c>
      <c r="B91" s="28" t="s">
        <v>450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459</v>
      </c>
    </row>
    <row r="92" spans="1:11" ht="20.100000000000001" customHeight="1">
      <c r="A92" s="28" t="s">
        <v>351</v>
      </c>
      <c r="B92" s="28" t="s">
        <v>451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459</v>
      </c>
    </row>
    <row r="93" spans="1:11" ht="20.100000000000001" customHeight="1">
      <c r="A93" s="28" t="s">
        <v>352</v>
      </c>
      <c r="B93" s="28" t="s">
        <v>452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459</v>
      </c>
    </row>
    <row r="94" spans="1:11" ht="20.100000000000001" customHeight="1">
      <c r="A94" s="28" t="s">
        <v>353</v>
      </c>
      <c r="B94" s="28" t="s">
        <v>453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459</v>
      </c>
    </row>
    <row r="95" spans="1:11" ht="20.100000000000001" customHeight="1">
      <c r="A95" s="28" t="s">
        <v>354</v>
      </c>
      <c r="B95" s="28" t="s">
        <v>454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459</v>
      </c>
    </row>
    <row r="96" spans="1:11" ht="20.100000000000001" customHeight="1">
      <c r="A96" s="28" t="s">
        <v>355</v>
      </c>
      <c r="B96" s="28" t="s">
        <v>455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459</v>
      </c>
    </row>
    <row r="97" spans="1:11" ht="20.100000000000001" customHeight="1">
      <c r="A97" s="28" t="s">
        <v>356</v>
      </c>
      <c r="B97" s="28" t="s">
        <v>456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459</v>
      </c>
    </row>
    <row r="98" spans="1:11" ht="20.100000000000001" customHeight="1">
      <c r="A98" s="28" t="s">
        <v>357</v>
      </c>
      <c r="B98" s="28" t="s">
        <v>457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459</v>
      </c>
    </row>
    <row r="99" spans="1:11" ht="20.100000000000001" customHeight="1">
      <c r="A99" s="28" t="s">
        <v>358</v>
      </c>
      <c r="B99" s="28" t="s">
        <v>458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459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533</v>
      </c>
      <c r="B2" s="28" t="s">
        <v>265</v>
      </c>
      <c r="C2" s="28" t="s">
        <v>532</v>
      </c>
      <c r="D2" s="28" t="s">
        <v>265</v>
      </c>
      <c r="E2" s="28" t="s">
        <v>534</v>
      </c>
      <c r="F2" s="28" t="s">
        <v>532</v>
      </c>
      <c r="G2" s="28" t="s">
        <v>265</v>
      </c>
      <c r="H2" s="28" t="s">
        <v>532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532</v>
      </c>
      <c r="AD2" s="28" t="s">
        <v>532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532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532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532</v>
      </c>
      <c r="AX2" s="28" t="s">
        <v>265</v>
      </c>
      <c r="AY2" s="28" t="s">
        <v>532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533</v>
      </c>
      <c r="B3" s="28" t="s">
        <v>265</v>
      </c>
      <c r="C3" s="28" t="s">
        <v>532</v>
      </c>
      <c r="D3" s="28" t="s">
        <v>265</v>
      </c>
      <c r="E3" s="28" t="s">
        <v>535</v>
      </c>
      <c r="F3" s="28" t="s">
        <v>532</v>
      </c>
      <c r="G3" s="28" t="s">
        <v>265</v>
      </c>
      <c r="H3" s="28" t="s">
        <v>532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532</v>
      </c>
      <c r="AD3" s="28" t="s">
        <v>532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532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532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532</v>
      </c>
      <c r="AX3" s="28" t="s">
        <v>265</v>
      </c>
      <c r="AY3" s="28" t="s">
        <v>532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533</v>
      </c>
      <c r="B4" s="28" t="s">
        <v>265</v>
      </c>
      <c r="C4" s="28" t="s">
        <v>532</v>
      </c>
      <c r="D4" s="28" t="s">
        <v>265</v>
      </c>
      <c r="E4" s="28" t="s">
        <v>536</v>
      </c>
      <c r="F4" s="28" t="s">
        <v>532</v>
      </c>
      <c r="G4" s="28" t="s">
        <v>265</v>
      </c>
      <c r="H4" s="28" t="s">
        <v>532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532</v>
      </c>
      <c r="AD4" s="28" t="s">
        <v>532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532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532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532</v>
      </c>
      <c r="AX4" s="28" t="s">
        <v>265</v>
      </c>
      <c r="AY4" s="28" t="s">
        <v>532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533</v>
      </c>
      <c r="B5" s="28" t="s">
        <v>265</v>
      </c>
      <c r="C5" s="28" t="s">
        <v>532</v>
      </c>
      <c r="D5" s="28" t="s">
        <v>265</v>
      </c>
      <c r="E5" s="28" t="s">
        <v>537</v>
      </c>
      <c r="F5" s="28" t="s">
        <v>532</v>
      </c>
      <c r="G5" s="28" t="s">
        <v>265</v>
      </c>
      <c r="H5" s="28" t="s">
        <v>532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532</v>
      </c>
      <c r="AD5" s="28" t="s">
        <v>532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532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532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532</v>
      </c>
      <c r="AX5" s="28" t="s">
        <v>265</v>
      </c>
      <c r="AY5" s="28" t="s">
        <v>532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533</v>
      </c>
      <c r="B6" s="28" t="s">
        <v>265</v>
      </c>
      <c r="C6" s="28" t="s">
        <v>532</v>
      </c>
      <c r="D6" s="28" t="s">
        <v>265</v>
      </c>
      <c r="E6" s="28" t="s">
        <v>538</v>
      </c>
      <c r="F6" s="28" t="s">
        <v>532</v>
      </c>
      <c r="G6" s="28" t="s">
        <v>265</v>
      </c>
      <c r="H6" s="28" t="s">
        <v>532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532</v>
      </c>
      <c r="AD6" s="28" t="s">
        <v>532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532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532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532</v>
      </c>
      <c r="AX6" s="28" t="s">
        <v>265</v>
      </c>
      <c r="AY6" s="28" t="s">
        <v>532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533</v>
      </c>
      <c r="B7" s="28" t="s">
        <v>265</v>
      </c>
      <c r="C7" s="28" t="s">
        <v>532</v>
      </c>
      <c r="D7" s="28" t="s">
        <v>265</v>
      </c>
      <c r="E7" s="28" t="s">
        <v>539</v>
      </c>
      <c r="F7" s="28" t="s">
        <v>532</v>
      </c>
      <c r="G7" s="28" t="s">
        <v>265</v>
      </c>
      <c r="H7" s="28" t="s">
        <v>532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532</v>
      </c>
      <c r="AD7" s="28" t="s">
        <v>532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532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532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532</v>
      </c>
      <c r="AX7" s="28" t="s">
        <v>265</v>
      </c>
      <c r="AY7" s="28" t="s">
        <v>532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533</v>
      </c>
      <c r="B8" s="28" t="s">
        <v>265</v>
      </c>
      <c r="C8" s="28" t="s">
        <v>532</v>
      </c>
      <c r="D8" s="28" t="s">
        <v>265</v>
      </c>
      <c r="E8" s="28" t="s">
        <v>540</v>
      </c>
      <c r="F8" s="28" t="s">
        <v>532</v>
      </c>
      <c r="G8" s="28" t="s">
        <v>265</v>
      </c>
      <c r="H8" s="28" t="s">
        <v>532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532</v>
      </c>
      <c r="AD8" s="28" t="s">
        <v>532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532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532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532</v>
      </c>
      <c r="AX8" s="28" t="s">
        <v>265</v>
      </c>
      <c r="AY8" s="28" t="s">
        <v>532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533</v>
      </c>
      <c r="B9" s="28" t="s">
        <v>265</v>
      </c>
      <c r="C9" s="28" t="s">
        <v>532</v>
      </c>
      <c r="D9" s="28" t="s">
        <v>265</v>
      </c>
      <c r="E9" s="28" t="s">
        <v>541</v>
      </c>
      <c r="F9" s="28" t="s">
        <v>532</v>
      </c>
      <c r="G9" s="28" t="s">
        <v>265</v>
      </c>
      <c r="H9" s="28" t="s">
        <v>532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532</v>
      </c>
      <c r="AD9" s="28" t="s">
        <v>532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532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532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532</v>
      </c>
      <c r="AX9" s="28" t="s">
        <v>265</v>
      </c>
      <c r="AY9" s="28" t="s">
        <v>532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533</v>
      </c>
      <c r="B10" s="28" t="s">
        <v>265</v>
      </c>
      <c r="C10" s="28" t="s">
        <v>532</v>
      </c>
      <c r="D10" s="28" t="s">
        <v>265</v>
      </c>
      <c r="E10" s="28" t="s">
        <v>542</v>
      </c>
      <c r="F10" s="28" t="s">
        <v>532</v>
      </c>
      <c r="G10" s="28" t="s">
        <v>265</v>
      </c>
      <c r="H10" s="28" t="s">
        <v>265</v>
      </c>
      <c r="I10" s="28" t="s">
        <v>532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532</v>
      </c>
      <c r="AC10" s="28" t="s">
        <v>265</v>
      </c>
      <c r="AD10" s="28" t="s">
        <v>532</v>
      </c>
      <c r="AE10" s="28">
        <v>1</v>
      </c>
      <c r="AF10" s="28">
        <v>12</v>
      </c>
      <c r="AG10" s="28">
        <v>365</v>
      </c>
      <c r="AH10" s="28" t="s">
        <v>532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532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532</v>
      </c>
      <c r="AX10" s="28" t="s">
        <v>265</v>
      </c>
      <c r="AY10" s="28" t="s">
        <v>532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533</v>
      </c>
      <c r="B11" s="28" t="s">
        <v>265</v>
      </c>
      <c r="C11" s="28" t="s">
        <v>532</v>
      </c>
      <c r="D11" s="28" t="s">
        <v>265</v>
      </c>
      <c r="E11" s="28" t="s">
        <v>543</v>
      </c>
      <c r="F11" s="28" t="s">
        <v>532</v>
      </c>
      <c r="G11" s="28" t="s">
        <v>265</v>
      </c>
      <c r="H11" s="28" t="s">
        <v>532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532</v>
      </c>
      <c r="AD11" s="28" t="s">
        <v>532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532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532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532</v>
      </c>
      <c r="AX11" s="28" t="s">
        <v>265</v>
      </c>
      <c r="AY11" s="28" t="s">
        <v>532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533</v>
      </c>
      <c r="B12" s="28" t="s">
        <v>265</v>
      </c>
      <c r="C12" s="28" t="s">
        <v>532</v>
      </c>
      <c r="D12" s="28" t="s">
        <v>265</v>
      </c>
      <c r="E12" s="28" t="s">
        <v>544</v>
      </c>
      <c r="F12" s="28" t="s">
        <v>532</v>
      </c>
      <c r="G12" s="28" t="s">
        <v>265</v>
      </c>
      <c r="H12" s="28" t="s">
        <v>532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532</v>
      </c>
      <c r="AD12" s="28" t="s">
        <v>532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532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532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532</v>
      </c>
      <c r="AX12" s="28" t="s">
        <v>265</v>
      </c>
      <c r="AY12" s="28" t="s">
        <v>532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533</v>
      </c>
      <c r="B13" s="28" t="s">
        <v>265</v>
      </c>
      <c r="C13" s="28" t="s">
        <v>532</v>
      </c>
      <c r="D13" s="28" t="s">
        <v>265</v>
      </c>
      <c r="E13" s="28" t="s">
        <v>545</v>
      </c>
      <c r="F13" s="28" t="s">
        <v>532</v>
      </c>
      <c r="G13" s="28" t="s">
        <v>265</v>
      </c>
      <c r="H13" s="28" t="s">
        <v>532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532</v>
      </c>
      <c r="AD13" s="28" t="s">
        <v>532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532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532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532</v>
      </c>
      <c r="AX13" s="28" t="s">
        <v>265</v>
      </c>
      <c r="AY13" s="28" t="s">
        <v>532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533</v>
      </c>
      <c r="B14" s="28" t="s">
        <v>532</v>
      </c>
      <c r="C14" s="28" t="s">
        <v>265</v>
      </c>
      <c r="D14" s="28" t="s">
        <v>265</v>
      </c>
      <c r="E14" s="28" t="s">
        <v>546</v>
      </c>
      <c r="F14" s="28" t="s">
        <v>532</v>
      </c>
      <c r="G14" s="28" t="s">
        <v>265</v>
      </c>
      <c r="H14" s="28" t="s">
        <v>532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532</v>
      </c>
      <c r="AD14" s="28" t="s">
        <v>532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532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532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532</v>
      </c>
      <c r="AX14" s="28" t="s">
        <v>532</v>
      </c>
      <c r="AY14" s="28" t="s">
        <v>532</v>
      </c>
      <c r="AZ14" s="28" t="s">
        <v>532</v>
      </c>
      <c r="BA14" s="28" t="s">
        <v>532</v>
      </c>
      <c r="BB14" s="28" t="s">
        <v>265</v>
      </c>
    </row>
    <row r="15" spans="1:54" ht="20.100000000000001" customHeight="1">
      <c r="A15" s="28" t="s">
        <v>533</v>
      </c>
      <c r="B15" s="28" t="s">
        <v>532</v>
      </c>
      <c r="C15" s="28" t="s">
        <v>265</v>
      </c>
      <c r="D15" s="28" t="s">
        <v>265</v>
      </c>
      <c r="E15" s="28" t="s">
        <v>547</v>
      </c>
      <c r="F15" s="28" t="s">
        <v>532</v>
      </c>
      <c r="G15" s="28" t="s">
        <v>265</v>
      </c>
      <c r="H15" s="28" t="s">
        <v>532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532</v>
      </c>
      <c r="AD15" s="28" t="s">
        <v>532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532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532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532</v>
      </c>
      <c r="AX15" s="28" t="s">
        <v>532</v>
      </c>
      <c r="AY15" s="28" t="s">
        <v>532</v>
      </c>
      <c r="AZ15" s="28" t="s">
        <v>532</v>
      </c>
      <c r="BA15" s="28" t="s">
        <v>532</v>
      </c>
      <c r="BB15" s="28" t="s">
        <v>265</v>
      </c>
    </row>
    <row r="16" spans="1:54" ht="20.100000000000001" customHeight="1">
      <c r="A16" s="28" t="s">
        <v>533</v>
      </c>
      <c r="B16" s="28" t="s">
        <v>532</v>
      </c>
      <c r="C16" s="28" t="s">
        <v>265</v>
      </c>
      <c r="D16" s="28" t="s">
        <v>265</v>
      </c>
      <c r="E16" s="28" t="s">
        <v>548</v>
      </c>
      <c r="F16" s="28" t="s">
        <v>532</v>
      </c>
      <c r="G16" s="28" t="s">
        <v>265</v>
      </c>
      <c r="H16" s="28" t="s">
        <v>532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532</v>
      </c>
      <c r="AD16" s="28" t="s">
        <v>532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532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532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532</v>
      </c>
      <c r="AX16" s="28" t="s">
        <v>532</v>
      </c>
      <c r="AY16" s="28" t="s">
        <v>532</v>
      </c>
      <c r="AZ16" s="28" t="s">
        <v>532</v>
      </c>
      <c r="BA16" s="28" t="s">
        <v>532</v>
      </c>
      <c r="BB16" s="28" t="s">
        <v>265</v>
      </c>
    </row>
    <row r="17" spans="1:54" ht="20.100000000000001" customHeight="1">
      <c r="A17" s="28" t="s">
        <v>533</v>
      </c>
      <c r="B17" s="28" t="s">
        <v>265</v>
      </c>
      <c r="C17" s="28" t="s">
        <v>532</v>
      </c>
      <c r="D17" s="28" t="s">
        <v>265</v>
      </c>
      <c r="E17" s="28" t="s">
        <v>549</v>
      </c>
      <c r="F17" s="28" t="s">
        <v>532</v>
      </c>
      <c r="G17" s="28" t="s">
        <v>265</v>
      </c>
      <c r="H17" s="28" t="s">
        <v>532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532</v>
      </c>
      <c r="AD17" s="28" t="s">
        <v>532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532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532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532</v>
      </c>
      <c r="AX17" s="28" t="s">
        <v>265</v>
      </c>
      <c r="AY17" s="28" t="s">
        <v>532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533</v>
      </c>
      <c r="B18" s="28" t="s">
        <v>265</v>
      </c>
      <c r="C18" s="28" t="s">
        <v>532</v>
      </c>
      <c r="D18" s="28" t="s">
        <v>265</v>
      </c>
      <c r="E18" s="28" t="s">
        <v>550</v>
      </c>
      <c r="F18" s="28" t="s">
        <v>532</v>
      </c>
      <c r="G18" s="28" t="s">
        <v>265</v>
      </c>
      <c r="H18" s="28" t="s">
        <v>532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532</v>
      </c>
      <c r="AD18" s="28" t="s">
        <v>532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532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532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532</v>
      </c>
      <c r="AX18" s="28" t="s">
        <v>265</v>
      </c>
      <c r="AY18" s="28" t="s">
        <v>532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533</v>
      </c>
      <c r="B19" s="28" t="s">
        <v>265</v>
      </c>
      <c r="C19" s="28" t="s">
        <v>532</v>
      </c>
      <c r="D19" s="28" t="s">
        <v>265</v>
      </c>
      <c r="E19" s="28" t="s">
        <v>551</v>
      </c>
      <c r="F19" s="28" t="s">
        <v>532</v>
      </c>
      <c r="G19" s="28" t="s">
        <v>265</v>
      </c>
      <c r="H19" s="28" t="s">
        <v>532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532</v>
      </c>
      <c r="AD19" s="28" t="s">
        <v>532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532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532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532</v>
      </c>
      <c r="AX19" s="28" t="s">
        <v>265</v>
      </c>
      <c r="AY19" s="28" t="s">
        <v>532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533</v>
      </c>
      <c r="B20" s="28" t="s">
        <v>265</v>
      </c>
      <c r="C20" s="28" t="s">
        <v>532</v>
      </c>
      <c r="D20" s="28" t="s">
        <v>265</v>
      </c>
      <c r="E20" s="28" t="s">
        <v>552</v>
      </c>
      <c r="F20" s="28" t="s">
        <v>532</v>
      </c>
      <c r="G20" s="28" t="s">
        <v>265</v>
      </c>
      <c r="H20" s="28" t="s">
        <v>532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532</v>
      </c>
      <c r="AD20" s="28" t="s">
        <v>532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532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532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532</v>
      </c>
      <c r="AX20" s="28" t="s">
        <v>265</v>
      </c>
      <c r="AY20" s="28" t="s">
        <v>532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533</v>
      </c>
      <c r="B21" s="28" t="s">
        <v>265</v>
      </c>
      <c r="C21" s="28" t="s">
        <v>532</v>
      </c>
      <c r="D21" s="28" t="s">
        <v>265</v>
      </c>
      <c r="E21" s="28" t="s">
        <v>553</v>
      </c>
      <c r="F21" s="28" t="s">
        <v>532</v>
      </c>
      <c r="G21" s="28" t="s">
        <v>265</v>
      </c>
      <c r="H21" s="28" t="s">
        <v>532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532</v>
      </c>
      <c r="AD21" s="28" t="s">
        <v>532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532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532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532</v>
      </c>
      <c r="AX21" s="28" t="s">
        <v>265</v>
      </c>
      <c r="AY21" s="28" t="s">
        <v>532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533</v>
      </c>
      <c r="B22" s="28" t="s">
        <v>265</v>
      </c>
      <c r="C22" s="28" t="s">
        <v>532</v>
      </c>
      <c r="D22" s="28" t="s">
        <v>265</v>
      </c>
      <c r="E22" s="28" t="s">
        <v>554</v>
      </c>
      <c r="F22" s="28" t="s">
        <v>532</v>
      </c>
      <c r="G22" s="28" t="s">
        <v>265</v>
      </c>
      <c r="H22" s="28" t="s">
        <v>532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532</v>
      </c>
      <c r="AD22" s="28" t="s">
        <v>532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532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532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532</v>
      </c>
      <c r="AX22" s="28" t="s">
        <v>265</v>
      </c>
      <c r="AY22" s="28" t="s">
        <v>532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533</v>
      </c>
      <c r="B23" s="28" t="s">
        <v>265</v>
      </c>
      <c r="C23" s="28" t="s">
        <v>532</v>
      </c>
      <c r="D23" s="28" t="s">
        <v>265</v>
      </c>
      <c r="E23" s="28" t="s">
        <v>555</v>
      </c>
      <c r="F23" s="28" t="s">
        <v>532</v>
      </c>
      <c r="G23" s="28" t="s">
        <v>265</v>
      </c>
      <c r="H23" s="28" t="s">
        <v>532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532</v>
      </c>
      <c r="AD23" s="28" t="s">
        <v>532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532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532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532</v>
      </c>
      <c r="AX23" s="28" t="s">
        <v>265</v>
      </c>
      <c r="AY23" s="28" t="s">
        <v>532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533</v>
      </c>
      <c r="B24" s="28" t="s">
        <v>265</v>
      </c>
      <c r="C24" s="28" t="s">
        <v>532</v>
      </c>
      <c r="D24" s="28" t="s">
        <v>265</v>
      </c>
      <c r="E24" s="28" t="s">
        <v>556</v>
      </c>
      <c r="F24" s="28" t="s">
        <v>532</v>
      </c>
      <c r="G24" s="28" t="s">
        <v>265</v>
      </c>
      <c r="H24" s="28" t="s">
        <v>532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532</v>
      </c>
      <c r="AD24" s="28" t="s">
        <v>532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532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532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532</v>
      </c>
      <c r="AX24" s="28" t="s">
        <v>265</v>
      </c>
      <c r="AY24" s="28" t="s">
        <v>532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533</v>
      </c>
      <c r="B25" s="28" t="s">
        <v>265</v>
      </c>
      <c r="C25" s="28" t="s">
        <v>532</v>
      </c>
      <c r="D25" s="28" t="s">
        <v>265</v>
      </c>
      <c r="E25" s="28" t="s">
        <v>557</v>
      </c>
      <c r="F25" s="28" t="s">
        <v>532</v>
      </c>
      <c r="G25" s="28" t="s">
        <v>265</v>
      </c>
      <c r="H25" s="28" t="s">
        <v>532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532</v>
      </c>
      <c r="AD25" s="28" t="s">
        <v>532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532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532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532</v>
      </c>
      <c r="AX25" s="28" t="s">
        <v>265</v>
      </c>
      <c r="AY25" s="28" t="s">
        <v>532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533</v>
      </c>
      <c r="B26" s="28" t="s">
        <v>265</v>
      </c>
      <c r="C26" s="28" t="s">
        <v>532</v>
      </c>
      <c r="D26" s="28" t="s">
        <v>265</v>
      </c>
      <c r="E26" s="28" t="s">
        <v>558</v>
      </c>
      <c r="F26" s="28" t="s">
        <v>532</v>
      </c>
      <c r="G26" s="28" t="s">
        <v>265</v>
      </c>
      <c r="H26" s="28" t="s">
        <v>532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532</v>
      </c>
      <c r="AD26" s="28" t="s">
        <v>532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532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532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532</v>
      </c>
      <c r="AX26" s="28" t="s">
        <v>265</v>
      </c>
      <c r="AY26" s="28" t="s">
        <v>532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533</v>
      </c>
      <c r="B27" s="28" t="s">
        <v>265</v>
      </c>
      <c r="C27" s="28" t="s">
        <v>532</v>
      </c>
      <c r="D27" s="28" t="s">
        <v>265</v>
      </c>
      <c r="E27" s="28" t="s">
        <v>559</v>
      </c>
      <c r="F27" s="28" t="s">
        <v>532</v>
      </c>
      <c r="G27" s="28" t="s">
        <v>265</v>
      </c>
      <c r="H27" s="28" t="s">
        <v>532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532</v>
      </c>
      <c r="AD27" s="28" t="s">
        <v>532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532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532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532</v>
      </c>
      <c r="AX27" s="28" t="s">
        <v>265</v>
      </c>
      <c r="AY27" s="28" t="s">
        <v>532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533</v>
      </c>
      <c r="B28" s="28" t="s">
        <v>265</v>
      </c>
      <c r="C28" s="28" t="s">
        <v>532</v>
      </c>
      <c r="D28" s="28" t="s">
        <v>265</v>
      </c>
      <c r="E28" s="28" t="s">
        <v>560</v>
      </c>
      <c r="F28" s="28" t="s">
        <v>532</v>
      </c>
      <c r="G28" s="28" t="s">
        <v>265</v>
      </c>
      <c r="H28" s="28" t="s">
        <v>532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532</v>
      </c>
      <c r="AD28" s="28" t="s">
        <v>532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532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532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532</v>
      </c>
      <c r="AX28" s="28" t="s">
        <v>265</v>
      </c>
      <c r="AY28" s="28" t="s">
        <v>532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533</v>
      </c>
      <c r="B29" s="28" t="s">
        <v>265</v>
      </c>
      <c r="C29" s="28" t="s">
        <v>532</v>
      </c>
      <c r="D29" s="28" t="s">
        <v>265</v>
      </c>
      <c r="E29" s="28" t="s">
        <v>561</v>
      </c>
      <c r="F29" s="28" t="s">
        <v>532</v>
      </c>
      <c r="G29" s="28" t="s">
        <v>265</v>
      </c>
      <c r="H29" s="28" t="s">
        <v>532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532</v>
      </c>
      <c r="AD29" s="28" t="s">
        <v>532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532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532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532</v>
      </c>
      <c r="AX29" s="28" t="s">
        <v>265</v>
      </c>
      <c r="AY29" s="28" t="s">
        <v>532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533</v>
      </c>
      <c r="B30" s="28" t="s">
        <v>265</v>
      </c>
      <c r="C30" s="28" t="s">
        <v>532</v>
      </c>
      <c r="D30" s="28" t="s">
        <v>265</v>
      </c>
      <c r="E30" s="28" t="s">
        <v>562</v>
      </c>
      <c r="F30" s="28" t="s">
        <v>532</v>
      </c>
      <c r="G30" s="28" t="s">
        <v>265</v>
      </c>
      <c r="H30" s="28" t="s">
        <v>532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532</v>
      </c>
      <c r="AD30" s="28" t="s">
        <v>532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532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532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532</v>
      </c>
      <c r="AX30" s="28" t="s">
        <v>265</v>
      </c>
      <c r="AY30" s="28" t="s">
        <v>532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533</v>
      </c>
      <c r="B31" s="28" t="s">
        <v>265</v>
      </c>
      <c r="C31" s="28" t="s">
        <v>532</v>
      </c>
      <c r="D31" s="28" t="s">
        <v>265</v>
      </c>
      <c r="E31" s="28" t="s">
        <v>563</v>
      </c>
      <c r="F31" s="28" t="s">
        <v>532</v>
      </c>
      <c r="G31" s="28" t="s">
        <v>265</v>
      </c>
      <c r="H31" s="28" t="s">
        <v>532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532</v>
      </c>
      <c r="AD31" s="28" t="s">
        <v>532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532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532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532</v>
      </c>
      <c r="AX31" s="28" t="s">
        <v>265</v>
      </c>
      <c r="AY31" s="28" t="s">
        <v>532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533</v>
      </c>
      <c r="B32" s="28" t="s">
        <v>265</v>
      </c>
      <c r="C32" s="28" t="s">
        <v>532</v>
      </c>
      <c r="D32" s="28" t="s">
        <v>265</v>
      </c>
      <c r="E32" s="28" t="s">
        <v>564</v>
      </c>
      <c r="F32" s="28" t="s">
        <v>532</v>
      </c>
      <c r="G32" s="28" t="s">
        <v>265</v>
      </c>
      <c r="H32" s="28" t="s">
        <v>532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532</v>
      </c>
      <c r="AD32" s="28" t="s">
        <v>532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532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532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532</v>
      </c>
      <c r="AX32" s="28" t="s">
        <v>265</v>
      </c>
      <c r="AY32" s="28" t="s">
        <v>532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533</v>
      </c>
      <c r="B33" s="28" t="s">
        <v>265</v>
      </c>
      <c r="C33" s="28" t="s">
        <v>532</v>
      </c>
      <c r="D33" s="28" t="s">
        <v>265</v>
      </c>
      <c r="E33" s="28" t="s">
        <v>565</v>
      </c>
      <c r="F33" s="28" t="s">
        <v>532</v>
      </c>
      <c r="G33" s="28" t="s">
        <v>265</v>
      </c>
      <c r="H33" s="28" t="s">
        <v>532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532</v>
      </c>
      <c r="AD33" s="28" t="s">
        <v>532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532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532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532</v>
      </c>
      <c r="AX33" s="28" t="s">
        <v>265</v>
      </c>
      <c r="AY33" s="28" t="s">
        <v>532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533</v>
      </c>
      <c r="B34" s="28" t="s">
        <v>265</v>
      </c>
      <c r="C34" s="28" t="s">
        <v>532</v>
      </c>
      <c r="D34" s="28" t="s">
        <v>265</v>
      </c>
      <c r="E34" s="28" t="s">
        <v>566</v>
      </c>
      <c r="F34" s="28" t="s">
        <v>532</v>
      </c>
      <c r="G34" s="28" t="s">
        <v>265</v>
      </c>
      <c r="H34" s="28" t="s">
        <v>532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532</v>
      </c>
      <c r="AD34" s="28" t="s">
        <v>532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532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532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532</v>
      </c>
      <c r="AX34" s="28" t="s">
        <v>265</v>
      </c>
      <c r="AY34" s="28" t="s">
        <v>532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533</v>
      </c>
      <c r="B35" s="28" t="s">
        <v>265</v>
      </c>
      <c r="C35" s="28" t="s">
        <v>532</v>
      </c>
      <c r="D35" s="28" t="s">
        <v>265</v>
      </c>
      <c r="E35" s="28" t="s">
        <v>567</v>
      </c>
      <c r="F35" s="28" t="s">
        <v>532</v>
      </c>
      <c r="G35" s="28" t="s">
        <v>265</v>
      </c>
      <c r="H35" s="28" t="s">
        <v>532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532</v>
      </c>
      <c r="AD35" s="28" t="s">
        <v>532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532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532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532</v>
      </c>
      <c r="AX35" s="28" t="s">
        <v>265</v>
      </c>
      <c r="AY35" s="28" t="s">
        <v>532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533</v>
      </c>
      <c r="B36" s="28" t="s">
        <v>265</v>
      </c>
      <c r="C36" s="28" t="s">
        <v>532</v>
      </c>
      <c r="D36" s="28" t="s">
        <v>265</v>
      </c>
      <c r="E36" s="28" t="s">
        <v>568</v>
      </c>
      <c r="F36" s="28" t="s">
        <v>532</v>
      </c>
      <c r="G36" s="28" t="s">
        <v>265</v>
      </c>
      <c r="H36" s="28" t="s">
        <v>532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532</v>
      </c>
      <c r="AD36" s="28" t="s">
        <v>532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532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532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532</v>
      </c>
      <c r="AX36" s="28" t="s">
        <v>265</v>
      </c>
      <c r="AY36" s="28" t="s">
        <v>532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533</v>
      </c>
      <c r="B37" s="28" t="s">
        <v>265</v>
      </c>
      <c r="C37" s="28" t="s">
        <v>532</v>
      </c>
      <c r="D37" s="28" t="s">
        <v>265</v>
      </c>
      <c r="E37" s="28" t="s">
        <v>569</v>
      </c>
      <c r="F37" s="28" t="s">
        <v>532</v>
      </c>
      <c r="G37" s="28" t="s">
        <v>265</v>
      </c>
      <c r="H37" s="28" t="s">
        <v>532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532</v>
      </c>
      <c r="AD37" s="28" t="s">
        <v>532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532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532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532</v>
      </c>
      <c r="AX37" s="28" t="s">
        <v>265</v>
      </c>
      <c r="AY37" s="28" t="s">
        <v>532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533</v>
      </c>
      <c r="B38" s="28" t="s">
        <v>265</v>
      </c>
      <c r="C38" s="28" t="s">
        <v>532</v>
      </c>
      <c r="D38" s="28" t="s">
        <v>265</v>
      </c>
      <c r="E38" s="28" t="s">
        <v>570</v>
      </c>
      <c r="F38" s="28" t="s">
        <v>532</v>
      </c>
      <c r="G38" s="28" t="s">
        <v>265</v>
      </c>
      <c r="H38" s="28" t="s">
        <v>532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532</v>
      </c>
      <c r="AD38" s="28" t="s">
        <v>532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532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532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532</v>
      </c>
      <c r="AX38" s="28" t="s">
        <v>265</v>
      </c>
      <c r="AY38" s="28" t="s">
        <v>532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533</v>
      </c>
      <c r="B39" s="28" t="s">
        <v>265</v>
      </c>
      <c r="C39" s="28" t="s">
        <v>532</v>
      </c>
      <c r="D39" s="28" t="s">
        <v>265</v>
      </c>
      <c r="E39" s="28" t="s">
        <v>571</v>
      </c>
      <c r="F39" s="28" t="s">
        <v>532</v>
      </c>
      <c r="G39" s="28" t="s">
        <v>265</v>
      </c>
      <c r="H39" s="28" t="s">
        <v>532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532</v>
      </c>
      <c r="AD39" s="28" t="s">
        <v>532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532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532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532</v>
      </c>
      <c r="AX39" s="28" t="s">
        <v>265</v>
      </c>
      <c r="AY39" s="28" t="s">
        <v>532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533</v>
      </c>
      <c r="B40" s="28" t="s">
        <v>265</v>
      </c>
      <c r="C40" s="28" t="s">
        <v>532</v>
      </c>
      <c r="D40" s="28" t="s">
        <v>265</v>
      </c>
      <c r="E40" s="28" t="s">
        <v>572</v>
      </c>
      <c r="F40" s="28" t="s">
        <v>532</v>
      </c>
      <c r="G40" s="28" t="s">
        <v>265</v>
      </c>
      <c r="H40" s="28" t="s">
        <v>532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532</v>
      </c>
      <c r="AD40" s="28" t="s">
        <v>532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532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532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532</v>
      </c>
      <c r="AX40" s="28" t="s">
        <v>265</v>
      </c>
      <c r="AY40" s="28" t="s">
        <v>532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533</v>
      </c>
      <c r="B41" s="28" t="s">
        <v>265</v>
      </c>
      <c r="C41" s="28" t="s">
        <v>532</v>
      </c>
      <c r="D41" s="28" t="s">
        <v>265</v>
      </c>
      <c r="E41" s="28" t="s">
        <v>573</v>
      </c>
      <c r="F41" s="28" t="s">
        <v>532</v>
      </c>
      <c r="G41" s="28" t="s">
        <v>265</v>
      </c>
      <c r="H41" s="28" t="s">
        <v>532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532</v>
      </c>
      <c r="AD41" s="28" t="s">
        <v>532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532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532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532</v>
      </c>
      <c r="AX41" s="28" t="s">
        <v>265</v>
      </c>
      <c r="AY41" s="28" t="s">
        <v>532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533</v>
      </c>
      <c r="B42" s="28" t="s">
        <v>265</v>
      </c>
      <c r="C42" s="28" t="s">
        <v>532</v>
      </c>
      <c r="D42" s="28" t="s">
        <v>265</v>
      </c>
      <c r="E42" s="28" t="s">
        <v>574</v>
      </c>
      <c r="F42" s="28" t="s">
        <v>532</v>
      </c>
      <c r="G42" s="28" t="s">
        <v>265</v>
      </c>
      <c r="H42" s="28" t="s">
        <v>532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532</v>
      </c>
      <c r="AD42" s="28" t="s">
        <v>532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532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532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532</v>
      </c>
      <c r="AX42" s="28" t="s">
        <v>265</v>
      </c>
      <c r="AY42" s="28" t="s">
        <v>532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533</v>
      </c>
      <c r="B43" s="28" t="s">
        <v>265</v>
      </c>
      <c r="C43" s="28" t="s">
        <v>532</v>
      </c>
      <c r="D43" s="28" t="s">
        <v>265</v>
      </c>
      <c r="E43" s="28" t="s">
        <v>575</v>
      </c>
      <c r="F43" s="28" t="s">
        <v>532</v>
      </c>
      <c r="G43" s="28" t="s">
        <v>265</v>
      </c>
      <c r="H43" s="28" t="s">
        <v>532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532</v>
      </c>
      <c r="AD43" s="28" t="s">
        <v>532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532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532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532</v>
      </c>
      <c r="AX43" s="28" t="s">
        <v>265</v>
      </c>
      <c r="AY43" s="28" t="s">
        <v>532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533</v>
      </c>
      <c r="B44" s="28" t="s">
        <v>265</v>
      </c>
      <c r="C44" s="28" t="s">
        <v>532</v>
      </c>
      <c r="D44" s="28" t="s">
        <v>265</v>
      </c>
      <c r="E44" s="28" t="s">
        <v>576</v>
      </c>
      <c r="F44" s="28" t="s">
        <v>532</v>
      </c>
      <c r="G44" s="28" t="s">
        <v>265</v>
      </c>
      <c r="H44" s="28" t="s">
        <v>532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532</v>
      </c>
      <c r="AD44" s="28" t="s">
        <v>532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532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532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532</v>
      </c>
      <c r="AX44" s="28" t="s">
        <v>265</v>
      </c>
      <c r="AY44" s="28" t="s">
        <v>532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533</v>
      </c>
      <c r="B45" s="28" t="s">
        <v>265</v>
      </c>
      <c r="C45" s="28" t="s">
        <v>532</v>
      </c>
      <c r="D45" s="28" t="s">
        <v>265</v>
      </c>
      <c r="E45" s="28" t="s">
        <v>577</v>
      </c>
      <c r="F45" s="28" t="s">
        <v>532</v>
      </c>
      <c r="G45" s="28" t="s">
        <v>265</v>
      </c>
      <c r="H45" s="28" t="s">
        <v>532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532</v>
      </c>
      <c r="AD45" s="28" t="s">
        <v>532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532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532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532</v>
      </c>
      <c r="AX45" s="28" t="s">
        <v>265</v>
      </c>
      <c r="AY45" s="28" t="s">
        <v>532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533</v>
      </c>
      <c r="B46" s="28" t="s">
        <v>265</v>
      </c>
      <c r="C46" s="28" t="s">
        <v>532</v>
      </c>
      <c r="D46" s="28" t="s">
        <v>265</v>
      </c>
      <c r="E46" s="28" t="s">
        <v>578</v>
      </c>
      <c r="F46" s="28" t="s">
        <v>532</v>
      </c>
      <c r="G46" s="28" t="s">
        <v>265</v>
      </c>
      <c r="H46" s="28" t="s">
        <v>532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532</v>
      </c>
      <c r="AD46" s="28" t="s">
        <v>532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532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532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532</v>
      </c>
      <c r="AX46" s="28" t="s">
        <v>265</v>
      </c>
      <c r="AY46" s="28" t="s">
        <v>532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533</v>
      </c>
      <c r="B47" s="28" t="s">
        <v>265</v>
      </c>
      <c r="C47" s="28" t="s">
        <v>532</v>
      </c>
      <c r="D47" s="28" t="s">
        <v>265</v>
      </c>
      <c r="E47" s="28" t="s">
        <v>579</v>
      </c>
      <c r="F47" s="28" t="s">
        <v>532</v>
      </c>
      <c r="G47" s="28" t="s">
        <v>265</v>
      </c>
      <c r="H47" s="28" t="s">
        <v>265</v>
      </c>
      <c r="I47" s="28" t="s">
        <v>532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532</v>
      </c>
      <c r="AC47" s="28" t="s">
        <v>265</v>
      </c>
      <c r="AD47" s="28" t="s">
        <v>532</v>
      </c>
      <c r="AE47" s="28">
        <v>1</v>
      </c>
      <c r="AF47" s="28">
        <v>12</v>
      </c>
      <c r="AG47" s="28">
        <v>365</v>
      </c>
      <c r="AH47" s="28" t="s">
        <v>532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532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532</v>
      </c>
      <c r="AX47" s="28" t="s">
        <v>265</v>
      </c>
      <c r="AY47" s="28" t="s">
        <v>532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533</v>
      </c>
      <c r="B48" s="28" t="s">
        <v>265</v>
      </c>
      <c r="C48" s="28" t="s">
        <v>532</v>
      </c>
      <c r="D48" s="28" t="s">
        <v>265</v>
      </c>
      <c r="E48" s="28" t="s">
        <v>580</v>
      </c>
      <c r="F48" s="28" t="s">
        <v>532</v>
      </c>
      <c r="G48" s="28" t="s">
        <v>265</v>
      </c>
      <c r="H48" s="28" t="s">
        <v>532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532</v>
      </c>
      <c r="AD48" s="28" t="s">
        <v>532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532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532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532</v>
      </c>
      <c r="AX48" s="28" t="s">
        <v>265</v>
      </c>
      <c r="AY48" s="28" t="s">
        <v>532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533</v>
      </c>
      <c r="B49" s="28" t="s">
        <v>265</v>
      </c>
      <c r="C49" s="28" t="s">
        <v>532</v>
      </c>
      <c r="D49" s="28" t="s">
        <v>265</v>
      </c>
      <c r="E49" s="28" t="s">
        <v>581</v>
      </c>
      <c r="F49" s="28" t="s">
        <v>532</v>
      </c>
      <c r="G49" s="28" t="s">
        <v>265</v>
      </c>
      <c r="H49" s="28" t="s">
        <v>532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532</v>
      </c>
      <c r="AD49" s="28" t="s">
        <v>532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532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532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532</v>
      </c>
      <c r="AX49" s="28" t="s">
        <v>265</v>
      </c>
      <c r="AY49" s="28" t="s">
        <v>532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533</v>
      </c>
      <c r="B50" s="28" t="s">
        <v>265</v>
      </c>
      <c r="C50" s="28" t="s">
        <v>532</v>
      </c>
      <c r="D50" s="28" t="s">
        <v>265</v>
      </c>
      <c r="E50" s="28" t="s">
        <v>582</v>
      </c>
      <c r="F50" s="28" t="s">
        <v>532</v>
      </c>
      <c r="G50" s="28" t="s">
        <v>265</v>
      </c>
      <c r="H50" s="28" t="s">
        <v>532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532</v>
      </c>
      <c r="AD50" s="28" t="s">
        <v>532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532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532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532</v>
      </c>
      <c r="AX50" s="28" t="s">
        <v>265</v>
      </c>
      <c r="AY50" s="28" t="s">
        <v>532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533</v>
      </c>
      <c r="B51" s="28" t="s">
        <v>265</v>
      </c>
      <c r="C51" s="28" t="s">
        <v>532</v>
      </c>
      <c r="D51" s="28" t="s">
        <v>265</v>
      </c>
      <c r="E51" s="28" t="s">
        <v>583</v>
      </c>
      <c r="F51" s="28" t="s">
        <v>532</v>
      </c>
      <c r="G51" s="28" t="s">
        <v>265</v>
      </c>
      <c r="H51" s="28" t="s">
        <v>532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532</v>
      </c>
      <c r="AD51" s="28" t="s">
        <v>532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532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532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532</v>
      </c>
      <c r="AX51" s="28" t="s">
        <v>265</v>
      </c>
      <c r="AY51" s="28" t="s">
        <v>532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533</v>
      </c>
      <c r="B52" s="28" t="s">
        <v>265</v>
      </c>
      <c r="C52" s="28" t="s">
        <v>532</v>
      </c>
      <c r="D52" s="28" t="s">
        <v>265</v>
      </c>
      <c r="E52" s="28" t="s">
        <v>584</v>
      </c>
      <c r="F52" s="28" t="s">
        <v>532</v>
      </c>
      <c r="G52" s="28" t="s">
        <v>265</v>
      </c>
      <c r="H52" s="28" t="s">
        <v>532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532</v>
      </c>
      <c r="AD52" s="28" t="s">
        <v>532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532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532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532</v>
      </c>
      <c r="AX52" s="28" t="s">
        <v>265</v>
      </c>
      <c r="AY52" s="28" t="s">
        <v>532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533</v>
      </c>
      <c r="B53" s="28" t="s">
        <v>265</v>
      </c>
      <c r="C53" s="28" t="s">
        <v>532</v>
      </c>
      <c r="D53" s="28" t="s">
        <v>265</v>
      </c>
      <c r="E53" s="28" t="s">
        <v>585</v>
      </c>
      <c r="F53" s="28" t="s">
        <v>532</v>
      </c>
      <c r="G53" s="28" t="s">
        <v>265</v>
      </c>
      <c r="H53" s="28" t="s">
        <v>532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532</v>
      </c>
      <c r="AD53" s="28" t="s">
        <v>532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532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532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532</v>
      </c>
      <c r="AX53" s="28" t="s">
        <v>265</v>
      </c>
      <c r="AY53" s="28" t="s">
        <v>532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533</v>
      </c>
      <c r="B54" s="28" t="s">
        <v>265</v>
      </c>
      <c r="C54" s="28" t="s">
        <v>532</v>
      </c>
      <c r="D54" s="28" t="s">
        <v>265</v>
      </c>
      <c r="E54" s="28" t="s">
        <v>586</v>
      </c>
      <c r="F54" s="28" t="s">
        <v>532</v>
      </c>
      <c r="G54" s="28" t="s">
        <v>265</v>
      </c>
      <c r="H54" s="28" t="s">
        <v>532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532</v>
      </c>
      <c r="AD54" s="28" t="s">
        <v>532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532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532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532</v>
      </c>
      <c r="AX54" s="28" t="s">
        <v>265</v>
      </c>
      <c r="AY54" s="28" t="s">
        <v>532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533</v>
      </c>
      <c r="B55" s="28" t="s">
        <v>265</v>
      </c>
      <c r="C55" s="28" t="s">
        <v>532</v>
      </c>
      <c r="D55" s="28" t="s">
        <v>265</v>
      </c>
      <c r="E55" s="28" t="s">
        <v>587</v>
      </c>
      <c r="F55" s="28" t="s">
        <v>532</v>
      </c>
      <c r="G55" s="28" t="s">
        <v>265</v>
      </c>
      <c r="H55" s="28" t="s">
        <v>532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532</v>
      </c>
      <c r="AD55" s="28" t="s">
        <v>532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532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532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532</v>
      </c>
      <c r="AX55" s="28" t="s">
        <v>265</v>
      </c>
      <c r="AY55" s="28" t="s">
        <v>532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533</v>
      </c>
      <c r="B56" s="28" t="s">
        <v>265</v>
      </c>
      <c r="C56" s="28" t="s">
        <v>532</v>
      </c>
      <c r="D56" s="28" t="s">
        <v>265</v>
      </c>
      <c r="E56" s="28" t="s">
        <v>588</v>
      </c>
      <c r="F56" s="28" t="s">
        <v>532</v>
      </c>
      <c r="G56" s="28" t="s">
        <v>265</v>
      </c>
      <c r="H56" s="28" t="s">
        <v>532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532</v>
      </c>
      <c r="AD56" s="28" t="s">
        <v>532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532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532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532</v>
      </c>
      <c r="AX56" s="28" t="s">
        <v>265</v>
      </c>
      <c r="AY56" s="28" t="s">
        <v>532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533</v>
      </c>
      <c r="B57" s="28" t="s">
        <v>265</v>
      </c>
      <c r="C57" s="28" t="s">
        <v>532</v>
      </c>
      <c r="D57" s="28" t="s">
        <v>265</v>
      </c>
      <c r="E57" s="28" t="s">
        <v>589</v>
      </c>
      <c r="F57" s="28" t="s">
        <v>532</v>
      </c>
      <c r="G57" s="28" t="s">
        <v>265</v>
      </c>
      <c r="H57" s="28" t="s">
        <v>532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532</v>
      </c>
      <c r="AD57" s="28" t="s">
        <v>532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532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532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532</v>
      </c>
      <c r="AX57" s="28" t="s">
        <v>265</v>
      </c>
      <c r="AY57" s="28" t="s">
        <v>532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533</v>
      </c>
      <c r="B58" s="28" t="s">
        <v>265</v>
      </c>
      <c r="C58" s="28" t="s">
        <v>532</v>
      </c>
      <c r="D58" s="28" t="s">
        <v>265</v>
      </c>
      <c r="E58" s="28" t="s">
        <v>590</v>
      </c>
      <c r="F58" s="28" t="s">
        <v>532</v>
      </c>
      <c r="G58" s="28" t="s">
        <v>265</v>
      </c>
      <c r="H58" s="28" t="s">
        <v>532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532</v>
      </c>
      <c r="AD58" s="28" t="s">
        <v>532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532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532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532</v>
      </c>
      <c r="AX58" s="28" t="s">
        <v>265</v>
      </c>
      <c r="AY58" s="28" t="s">
        <v>532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533</v>
      </c>
      <c r="B59" s="28" t="s">
        <v>265</v>
      </c>
      <c r="C59" s="28" t="s">
        <v>532</v>
      </c>
      <c r="D59" s="28" t="s">
        <v>265</v>
      </c>
      <c r="E59" s="28" t="s">
        <v>591</v>
      </c>
      <c r="F59" s="28" t="s">
        <v>532</v>
      </c>
      <c r="G59" s="28" t="s">
        <v>265</v>
      </c>
      <c r="H59" s="28" t="s">
        <v>532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532</v>
      </c>
      <c r="AD59" s="28" t="s">
        <v>532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532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532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532</v>
      </c>
      <c r="AX59" s="28" t="s">
        <v>265</v>
      </c>
      <c r="AY59" s="28" t="s">
        <v>532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533</v>
      </c>
      <c r="B60" s="28" t="s">
        <v>265</v>
      </c>
      <c r="C60" s="28" t="s">
        <v>532</v>
      </c>
      <c r="D60" s="28" t="s">
        <v>265</v>
      </c>
      <c r="E60" s="28" t="s">
        <v>592</v>
      </c>
      <c r="F60" s="28" t="s">
        <v>532</v>
      </c>
      <c r="G60" s="28" t="s">
        <v>265</v>
      </c>
      <c r="H60" s="28" t="s">
        <v>532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532</v>
      </c>
      <c r="AD60" s="28" t="s">
        <v>532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532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532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532</v>
      </c>
      <c r="AX60" s="28" t="s">
        <v>265</v>
      </c>
      <c r="AY60" s="28" t="s">
        <v>532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533</v>
      </c>
      <c r="B61" s="28" t="s">
        <v>265</v>
      </c>
      <c r="C61" s="28" t="s">
        <v>532</v>
      </c>
      <c r="D61" s="28" t="s">
        <v>265</v>
      </c>
      <c r="E61" s="28" t="s">
        <v>593</v>
      </c>
      <c r="F61" s="28" t="s">
        <v>532</v>
      </c>
      <c r="G61" s="28" t="s">
        <v>265</v>
      </c>
      <c r="H61" s="28" t="s">
        <v>532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532</v>
      </c>
      <c r="AD61" s="28" t="s">
        <v>532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532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532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532</v>
      </c>
      <c r="AX61" s="28" t="s">
        <v>265</v>
      </c>
      <c r="AY61" s="28" t="s">
        <v>532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533</v>
      </c>
      <c r="B62" s="28" t="s">
        <v>265</v>
      </c>
      <c r="C62" s="28" t="s">
        <v>532</v>
      </c>
      <c r="D62" s="28" t="s">
        <v>265</v>
      </c>
      <c r="E62" s="28" t="s">
        <v>594</v>
      </c>
      <c r="F62" s="28" t="s">
        <v>532</v>
      </c>
      <c r="G62" s="28" t="s">
        <v>265</v>
      </c>
      <c r="H62" s="28" t="s">
        <v>265</v>
      </c>
      <c r="I62" s="28" t="s">
        <v>265</v>
      </c>
      <c r="J62" s="28" t="s">
        <v>532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532</v>
      </c>
      <c r="AC62" s="28" t="s">
        <v>265</v>
      </c>
      <c r="AD62" s="28" t="s">
        <v>532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532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532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532</v>
      </c>
      <c r="AX62" s="28" t="s">
        <v>265</v>
      </c>
      <c r="AY62" s="28" t="s">
        <v>532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533</v>
      </c>
      <c r="B63" s="28" t="s">
        <v>265</v>
      </c>
      <c r="C63" s="28" t="s">
        <v>532</v>
      </c>
      <c r="D63" s="28" t="s">
        <v>265</v>
      </c>
      <c r="E63" s="28" t="s">
        <v>595</v>
      </c>
      <c r="F63" s="28" t="s">
        <v>532</v>
      </c>
      <c r="G63" s="28" t="s">
        <v>265</v>
      </c>
      <c r="H63" s="28" t="s">
        <v>532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532</v>
      </c>
      <c r="AD63" s="28" t="s">
        <v>532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532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532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532</v>
      </c>
      <c r="AX63" s="28" t="s">
        <v>265</v>
      </c>
      <c r="AY63" s="28" t="s">
        <v>532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533</v>
      </c>
      <c r="B64" s="28" t="s">
        <v>265</v>
      </c>
      <c r="C64" s="28" t="s">
        <v>532</v>
      </c>
      <c r="D64" s="28" t="s">
        <v>265</v>
      </c>
      <c r="E64" s="28" t="s">
        <v>596</v>
      </c>
      <c r="F64" s="28" t="s">
        <v>532</v>
      </c>
      <c r="G64" s="28" t="s">
        <v>265</v>
      </c>
      <c r="H64" s="28" t="s">
        <v>532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532</v>
      </c>
      <c r="AD64" s="28" t="s">
        <v>532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532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532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532</v>
      </c>
      <c r="AX64" s="28" t="s">
        <v>265</v>
      </c>
      <c r="AY64" s="28" t="s">
        <v>532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533</v>
      </c>
      <c r="B65" s="28" t="s">
        <v>265</v>
      </c>
      <c r="C65" s="28" t="s">
        <v>532</v>
      </c>
      <c r="D65" s="28" t="s">
        <v>265</v>
      </c>
      <c r="E65" s="28" t="s">
        <v>597</v>
      </c>
      <c r="F65" s="28" t="s">
        <v>532</v>
      </c>
      <c r="G65" s="28" t="s">
        <v>265</v>
      </c>
      <c r="H65" s="28" t="s">
        <v>532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532</v>
      </c>
      <c r="AD65" s="28" t="s">
        <v>532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532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532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532</v>
      </c>
      <c r="AX65" s="28" t="s">
        <v>265</v>
      </c>
      <c r="AY65" s="28" t="s">
        <v>532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533</v>
      </c>
      <c r="B66" s="28" t="s">
        <v>265</v>
      </c>
      <c r="C66" s="28" t="s">
        <v>532</v>
      </c>
      <c r="D66" s="28" t="s">
        <v>265</v>
      </c>
      <c r="E66" s="28" t="s">
        <v>598</v>
      </c>
      <c r="F66" s="28" t="s">
        <v>532</v>
      </c>
      <c r="G66" s="28" t="s">
        <v>265</v>
      </c>
      <c r="H66" s="28" t="s">
        <v>532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532</v>
      </c>
      <c r="AD66" s="28" t="s">
        <v>532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532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532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532</v>
      </c>
      <c r="AX66" s="28" t="s">
        <v>265</v>
      </c>
      <c r="AY66" s="28" t="s">
        <v>532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533</v>
      </c>
      <c r="B67" s="28" t="s">
        <v>265</v>
      </c>
      <c r="C67" s="28" t="s">
        <v>532</v>
      </c>
      <c r="D67" s="28" t="s">
        <v>265</v>
      </c>
      <c r="E67" s="28" t="s">
        <v>599</v>
      </c>
      <c r="F67" s="28" t="s">
        <v>532</v>
      </c>
      <c r="G67" s="28" t="s">
        <v>265</v>
      </c>
      <c r="H67" s="28" t="s">
        <v>532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532</v>
      </c>
      <c r="AD67" s="28" t="s">
        <v>532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532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532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532</v>
      </c>
      <c r="AX67" s="28" t="s">
        <v>265</v>
      </c>
      <c r="AY67" s="28" t="s">
        <v>532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533</v>
      </c>
      <c r="B68" s="28" t="s">
        <v>265</v>
      </c>
      <c r="C68" s="28" t="s">
        <v>532</v>
      </c>
      <c r="D68" s="28" t="s">
        <v>265</v>
      </c>
      <c r="E68" s="28" t="s">
        <v>600</v>
      </c>
      <c r="F68" s="28" t="s">
        <v>532</v>
      </c>
      <c r="G68" s="28" t="s">
        <v>265</v>
      </c>
      <c r="H68" s="28" t="s">
        <v>532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532</v>
      </c>
      <c r="AD68" s="28" t="s">
        <v>532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532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532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532</v>
      </c>
      <c r="AX68" s="28" t="s">
        <v>265</v>
      </c>
      <c r="AY68" s="28" t="s">
        <v>532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533</v>
      </c>
      <c r="B69" s="28" t="s">
        <v>265</v>
      </c>
      <c r="C69" s="28" t="s">
        <v>532</v>
      </c>
      <c r="D69" s="28" t="s">
        <v>265</v>
      </c>
      <c r="E69" s="28" t="s">
        <v>601</v>
      </c>
      <c r="F69" s="28" t="s">
        <v>532</v>
      </c>
      <c r="G69" s="28" t="s">
        <v>265</v>
      </c>
      <c r="H69" s="28" t="s">
        <v>532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532</v>
      </c>
      <c r="AD69" s="28" t="s">
        <v>532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532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532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532</v>
      </c>
      <c r="AX69" s="28" t="s">
        <v>265</v>
      </c>
      <c r="AY69" s="28" t="s">
        <v>532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533</v>
      </c>
      <c r="B70" s="28" t="s">
        <v>265</v>
      </c>
      <c r="C70" s="28" t="s">
        <v>532</v>
      </c>
      <c r="D70" s="28" t="s">
        <v>265</v>
      </c>
      <c r="E70" s="28" t="s">
        <v>602</v>
      </c>
      <c r="F70" s="28" t="s">
        <v>532</v>
      </c>
      <c r="G70" s="28" t="s">
        <v>265</v>
      </c>
      <c r="H70" s="28" t="s">
        <v>532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532</v>
      </c>
      <c r="AD70" s="28" t="s">
        <v>532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532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532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532</v>
      </c>
      <c r="AX70" s="28" t="s">
        <v>265</v>
      </c>
      <c r="AY70" s="28" t="s">
        <v>532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533</v>
      </c>
      <c r="B71" s="28" t="s">
        <v>265</v>
      </c>
      <c r="C71" s="28" t="s">
        <v>532</v>
      </c>
      <c r="D71" s="28" t="s">
        <v>265</v>
      </c>
      <c r="E71" s="28" t="s">
        <v>603</v>
      </c>
      <c r="F71" s="28" t="s">
        <v>532</v>
      </c>
      <c r="G71" s="28" t="s">
        <v>265</v>
      </c>
      <c r="H71" s="28" t="s">
        <v>532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532</v>
      </c>
      <c r="AD71" s="28" t="s">
        <v>532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532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532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532</v>
      </c>
      <c r="AX71" s="28" t="s">
        <v>265</v>
      </c>
      <c r="AY71" s="28" t="s">
        <v>532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533</v>
      </c>
      <c r="B72" s="28" t="s">
        <v>265</v>
      </c>
      <c r="C72" s="28" t="s">
        <v>532</v>
      </c>
      <c r="D72" s="28" t="s">
        <v>265</v>
      </c>
      <c r="E72" s="28" t="s">
        <v>604</v>
      </c>
      <c r="F72" s="28" t="s">
        <v>532</v>
      </c>
      <c r="G72" s="28" t="s">
        <v>265</v>
      </c>
      <c r="H72" s="28" t="s">
        <v>532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532</v>
      </c>
      <c r="AD72" s="28" t="s">
        <v>532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532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532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532</v>
      </c>
      <c r="AX72" s="28" t="s">
        <v>265</v>
      </c>
      <c r="AY72" s="28" t="s">
        <v>532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533</v>
      </c>
      <c r="B73" s="28" t="s">
        <v>265</v>
      </c>
      <c r="C73" s="28" t="s">
        <v>532</v>
      </c>
      <c r="D73" s="28" t="s">
        <v>265</v>
      </c>
      <c r="E73" s="28" t="s">
        <v>605</v>
      </c>
      <c r="F73" s="28" t="s">
        <v>532</v>
      </c>
      <c r="G73" s="28" t="s">
        <v>265</v>
      </c>
      <c r="H73" s="28" t="s">
        <v>532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532</v>
      </c>
      <c r="AD73" s="28" t="s">
        <v>532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532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532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532</v>
      </c>
      <c r="AX73" s="28" t="s">
        <v>265</v>
      </c>
      <c r="AY73" s="28" t="s">
        <v>532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533</v>
      </c>
      <c r="B74" s="28" t="s">
        <v>265</v>
      </c>
      <c r="C74" s="28" t="s">
        <v>532</v>
      </c>
      <c r="D74" s="28" t="s">
        <v>265</v>
      </c>
      <c r="E74" s="28" t="s">
        <v>606</v>
      </c>
      <c r="F74" s="28" t="s">
        <v>532</v>
      </c>
      <c r="G74" s="28" t="s">
        <v>265</v>
      </c>
      <c r="H74" s="28" t="s">
        <v>532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532</v>
      </c>
      <c r="AD74" s="28" t="s">
        <v>532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532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532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532</v>
      </c>
      <c r="AX74" s="28" t="s">
        <v>265</v>
      </c>
      <c r="AY74" s="28" t="s">
        <v>532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533</v>
      </c>
      <c r="B75" s="28" t="s">
        <v>265</v>
      </c>
      <c r="C75" s="28" t="s">
        <v>532</v>
      </c>
      <c r="D75" s="28" t="s">
        <v>265</v>
      </c>
      <c r="E75" s="28" t="s">
        <v>607</v>
      </c>
      <c r="F75" s="28" t="s">
        <v>532</v>
      </c>
      <c r="G75" s="28" t="s">
        <v>265</v>
      </c>
      <c r="H75" s="28" t="s">
        <v>532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532</v>
      </c>
      <c r="AD75" s="28" t="s">
        <v>532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532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532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532</v>
      </c>
      <c r="AX75" s="28" t="s">
        <v>265</v>
      </c>
      <c r="AY75" s="28" t="s">
        <v>532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533</v>
      </c>
      <c r="B76" s="28" t="s">
        <v>265</v>
      </c>
      <c r="C76" s="28" t="s">
        <v>532</v>
      </c>
      <c r="D76" s="28" t="s">
        <v>265</v>
      </c>
      <c r="E76" s="28" t="s">
        <v>608</v>
      </c>
      <c r="F76" s="28" t="s">
        <v>532</v>
      </c>
      <c r="G76" s="28" t="s">
        <v>265</v>
      </c>
      <c r="H76" s="28" t="s">
        <v>532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532</v>
      </c>
      <c r="AD76" s="28" t="s">
        <v>532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532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532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532</v>
      </c>
      <c r="AX76" s="28" t="s">
        <v>265</v>
      </c>
      <c r="AY76" s="28" t="s">
        <v>532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533</v>
      </c>
      <c r="B77" s="28" t="s">
        <v>265</v>
      </c>
      <c r="C77" s="28" t="s">
        <v>532</v>
      </c>
      <c r="D77" s="28" t="s">
        <v>265</v>
      </c>
      <c r="E77" s="28" t="s">
        <v>609</v>
      </c>
      <c r="F77" s="28" t="s">
        <v>532</v>
      </c>
      <c r="G77" s="28" t="s">
        <v>265</v>
      </c>
      <c r="H77" s="28" t="s">
        <v>532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532</v>
      </c>
      <c r="AD77" s="28" t="s">
        <v>532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532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532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532</v>
      </c>
      <c r="AX77" s="28" t="s">
        <v>265</v>
      </c>
      <c r="AY77" s="28" t="s">
        <v>532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533</v>
      </c>
      <c r="B78" s="28" t="s">
        <v>265</v>
      </c>
      <c r="C78" s="28" t="s">
        <v>532</v>
      </c>
      <c r="D78" s="28" t="s">
        <v>265</v>
      </c>
      <c r="E78" s="28" t="s">
        <v>610</v>
      </c>
      <c r="F78" s="28" t="s">
        <v>532</v>
      </c>
      <c r="G78" s="28" t="s">
        <v>265</v>
      </c>
      <c r="H78" s="28" t="s">
        <v>532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532</v>
      </c>
      <c r="AD78" s="28" t="s">
        <v>532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532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532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532</v>
      </c>
      <c r="AX78" s="28" t="s">
        <v>265</v>
      </c>
      <c r="AY78" s="28" t="s">
        <v>532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533</v>
      </c>
      <c r="B79" s="28" t="s">
        <v>265</v>
      </c>
      <c r="C79" s="28" t="s">
        <v>532</v>
      </c>
      <c r="D79" s="28" t="s">
        <v>265</v>
      </c>
      <c r="E79" s="28" t="s">
        <v>611</v>
      </c>
      <c r="F79" s="28" t="s">
        <v>532</v>
      </c>
      <c r="G79" s="28" t="s">
        <v>265</v>
      </c>
      <c r="H79" s="28" t="s">
        <v>532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532</v>
      </c>
      <c r="AD79" s="28" t="s">
        <v>532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532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532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532</v>
      </c>
      <c r="AX79" s="28" t="s">
        <v>265</v>
      </c>
      <c r="AY79" s="28" t="s">
        <v>532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533</v>
      </c>
      <c r="B80" s="28" t="s">
        <v>265</v>
      </c>
      <c r="C80" s="28" t="s">
        <v>532</v>
      </c>
      <c r="D80" s="28" t="s">
        <v>265</v>
      </c>
      <c r="E80" s="28" t="s">
        <v>612</v>
      </c>
      <c r="F80" s="28" t="s">
        <v>532</v>
      </c>
      <c r="G80" s="28" t="s">
        <v>265</v>
      </c>
      <c r="H80" s="28" t="s">
        <v>532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532</v>
      </c>
      <c r="AD80" s="28" t="s">
        <v>532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532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532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532</v>
      </c>
      <c r="AX80" s="28" t="s">
        <v>265</v>
      </c>
      <c r="AY80" s="28" t="s">
        <v>532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533</v>
      </c>
      <c r="B81" s="28" t="s">
        <v>265</v>
      </c>
      <c r="C81" s="28" t="s">
        <v>532</v>
      </c>
      <c r="D81" s="28" t="s">
        <v>265</v>
      </c>
      <c r="E81" s="28" t="s">
        <v>613</v>
      </c>
      <c r="F81" s="28" t="s">
        <v>532</v>
      </c>
      <c r="G81" s="28" t="s">
        <v>265</v>
      </c>
      <c r="H81" s="28" t="s">
        <v>532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532</v>
      </c>
      <c r="AD81" s="28" t="s">
        <v>532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532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532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532</v>
      </c>
      <c r="AX81" s="28" t="s">
        <v>265</v>
      </c>
      <c r="AY81" s="28" t="s">
        <v>532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533</v>
      </c>
      <c r="B82" s="28" t="s">
        <v>265</v>
      </c>
      <c r="C82" s="28" t="s">
        <v>532</v>
      </c>
      <c r="D82" s="28" t="s">
        <v>265</v>
      </c>
      <c r="E82" s="28" t="s">
        <v>614</v>
      </c>
      <c r="F82" s="28" t="s">
        <v>532</v>
      </c>
      <c r="G82" s="28" t="s">
        <v>265</v>
      </c>
      <c r="H82" s="28" t="s">
        <v>532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532</v>
      </c>
      <c r="AD82" s="28" t="s">
        <v>532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532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532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532</v>
      </c>
      <c r="AX82" s="28" t="s">
        <v>265</v>
      </c>
      <c r="AY82" s="28" t="s">
        <v>532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533</v>
      </c>
      <c r="B83" s="28" t="s">
        <v>265</v>
      </c>
      <c r="C83" s="28" t="s">
        <v>532</v>
      </c>
      <c r="D83" s="28" t="s">
        <v>265</v>
      </c>
      <c r="E83" s="28" t="s">
        <v>615</v>
      </c>
      <c r="F83" s="28" t="s">
        <v>532</v>
      </c>
      <c r="G83" s="28" t="s">
        <v>265</v>
      </c>
      <c r="H83" s="28" t="s">
        <v>532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532</v>
      </c>
      <c r="AD83" s="28" t="s">
        <v>532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532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532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532</v>
      </c>
      <c r="AX83" s="28" t="s">
        <v>265</v>
      </c>
      <c r="AY83" s="28" t="s">
        <v>532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533</v>
      </c>
      <c r="B84" s="28" t="s">
        <v>265</v>
      </c>
      <c r="C84" s="28" t="s">
        <v>532</v>
      </c>
      <c r="D84" s="28" t="s">
        <v>265</v>
      </c>
      <c r="E84" s="28" t="s">
        <v>616</v>
      </c>
      <c r="F84" s="28" t="s">
        <v>532</v>
      </c>
      <c r="G84" s="28" t="s">
        <v>265</v>
      </c>
      <c r="H84" s="28" t="s">
        <v>532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532</v>
      </c>
      <c r="AD84" s="28" t="s">
        <v>532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532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532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532</v>
      </c>
      <c r="AX84" s="28" t="s">
        <v>265</v>
      </c>
      <c r="AY84" s="28" t="s">
        <v>532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533</v>
      </c>
      <c r="B85" s="28" t="s">
        <v>265</v>
      </c>
      <c r="C85" s="28" t="s">
        <v>532</v>
      </c>
      <c r="D85" s="28" t="s">
        <v>265</v>
      </c>
      <c r="E85" s="28" t="s">
        <v>617</v>
      </c>
      <c r="F85" s="28" t="s">
        <v>532</v>
      </c>
      <c r="G85" s="28" t="s">
        <v>265</v>
      </c>
      <c r="H85" s="28" t="s">
        <v>532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532</v>
      </c>
      <c r="AD85" s="28" t="s">
        <v>532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532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532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532</v>
      </c>
      <c r="AX85" s="28" t="s">
        <v>265</v>
      </c>
      <c r="AY85" s="28" t="s">
        <v>532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533</v>
      </c>
      <c r="B86" s="28" t="s">
        <v>265</v>
      </c>
      <c r="C86" s="28" t="s">
        <v>532</v>
      </c>
      <c r="D86" s="28" t="s">
        <v>265</v>
      </c>
      <c r="E86" s="28" t="s">
        <v>618</v>
      </c>
      <c r="F86" s="28" t="s">
        <v>532</v>
      </c>
      <c r="G86" s="28" t="s">
        <v>265</v>
      </c>
      <c r="H86" s="28" t="s">
        <v>532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532</v>
      </c>
      <c r="AD86" s="28" t="s">
        <v>532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532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532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532</v>
      </c>
      <c r="AX86" s="28" t="s">
        <v>265</v>
      </c>
      <c r="AY86" s="28" t="s">
        <v>532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533</v>
      </c>
      <c r="B87" s="28" t="s">
        <v>265</v>
      </c>
      <c r="C87" s="28" t="s">
        <v>532</v>
      </c>
      <c r="D87" s="28" t="s">
        <v>265</v>
      </c>
      <c r="E87" s="28" t="s">
        <v>619</v>
      </c>
      <c r="F87" s="28" t="s">
        <v>532</v>
      </c>
      <c r="G87" s="28" t="s">
        <v>265</v>
      </c>
      <c r="H87" s="28" t="s">
        <v>532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532</v>
      </c>
      <c r="AD87" s="28" t="s">
        <v>532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532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532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532</v>
      </c>
      <c r="AX87" s="28" t="s">
        <v>265</v>
      </c>
      <c r="AY87" s="28" t="s">
        <v>532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533</v>
      </c>
      <c r="B88" s="28" t="s">
        <v>265</v>
      </c>
      <c r="C88" s="28" t="s">
        <v>532</v>
      </c>
      <c r="D88" s="28" t="s">
        <v>265</v>
      </c>
      <c r="E88" s="28" t="s">
        <v>620</v>
      </c>
      <c r="F88" s="28" t="s">
        <v>532</v>
      </c>
      <c r="G88" s="28" t="s">
        <v>265</v>
      </c>
      <c r="H88" s="28" t="s">
        <v>532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532</v>
      </c>
      <c r="AD88" s="28" t="s">
        <v>532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532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532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532</v>
      </c>
      <c r="AX88" s="28" t="s">
        <v>265</v>
      </c>
      <c r="AY88" s="28" t="s">
        <v>532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533</v>
      </c>
      <c r="B89" s="28" t="s">
        <v>265</v>
      </c>
      <c r="C89" s="28" t="s">
        <v>532</v>
      </c>
      <c r="D89" s="28" t="s">
        <v>265</v>
      </c>
      <c r="E89" s="28" t="s">
        <v>621</v>
      </c>
      <c r="F89" s="28" t="s">
        <v>532</v>
      </c>
      <c r="G89" s="28" t="s">
        <v>265</v>
      </c>
      <c r="H89" s="28" t="s">
        <v>532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532</v>
      </c>
      <c r="AD89" s="28" t="s">
        <v>532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532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532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532</v>
      </c>
      <c r="AX89" s="28" t="s">
        <v>265</v>
      </c>
      <c r="AY89" s="28" t="s">
        <v>532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533</v>
      </c>
      <c r="B90" s="28" t="s">
        <v>265</v>
      </c>
      <c r="C90" s="28" t="s">
        <v>532</v>
      </c>
      <c r="D90" s="28" t="s">
        <v>265</v>
      </c>
      <c r="E90" s="28" t="s">
        <v>622</v>
      </c>
      <c r="F90" s="28" t="s">
        <v>532</v>
      </c>
      <c r="G90" s="28" t="s">
        <v>265</v>
      </c>
      <c r="H90" s="28" t="s">
        <v>532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532</v>
      </c>
      <c r="AD90" s="28" t="s">
        <v>532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532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532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532</v>
      </c>
      <c r="AX90" s="28" t="s">
        <v>265</v>
      </c>
      <c r="AY90" s="28" t="s">
        <v>532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533</v>
      </c>
      <c r="B91" s="28" t="s">
        <v>265</v>
      </c>
      <c r="C91" s="28" t="s">
        <v>532</v>
      </c>
      <c r="D91" s="28" t="s">
        <v>265</v>
      </c>
      <c r="E91" s="28" t="s">
        <v>623</v>
      </c>
      <c r="F91" s="28" t="s">
        <v>532</v>
      </c>
      <c r="G91" s="28" t="s">
        <v>265</v>
      </c>
      <c r="H91" s="28" t="s">
        <v>532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532</v>
      </c>
      <c r="AD91" s="28" t="s">
        <v>532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532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532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532</v>
      </c>
      <c r="AX91" s="28" t="s">
        <v>265</v>
      </c>
      <c r="AY91" s="28" t="s">
        <v>532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533</v>
      </c>
      <c r="B92" s="28" t="s">
        <v>265</v>
      </c>
      <c r="C92" s="28" t="s">
        <v>532</v>
      </c>
      <c r="D92" s="28" t="s">
        <v>265</v>
      </c>
      <c r="E92" s="28" t="s">
        <v>624</v>
      </c>
      <c r="F92" s="28" t="s">
        <v>532</v>
      </c>
      <c r="G92" s="28" t="s">
        <v>265</v>
      </c>
      <c r="H92" s="28" t="s">
        <v>532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532</v>
      </c>
      <c r="AD92" s="28" t="s">
        <v>532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532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532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532</v>
      </c>
      <c r="AX92" s="28" t="s">
        <v>265</v>
      </c>
      <c r="AY92" s="28" t="s">
        <v>532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533</v>
      </c>
      <c r="B93" s="28" t="s">
        <v>265</v>
      </c>
      <c r="C93" s="28" t="s">
        <v>532</v>
      </c>
      <c r="D93" s="28" t="s">
        <v>265</v>
      </c>
      <c r="E93" s="28" t="s">
        <v>625</v>
      </c>
      <c r="F93" s="28" t="s">
        <v>532</v>
      </c>
      <c r="G93" s="28" t="s">
        <v>265</v>
      </c>
      <c r="H93" s="28" t="s">
        <v>532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532</v>
      </c>
      <c r="AD93" s="28" t="s">
        <v>532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532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532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532</v>
      </c>
      <c r="AX93" s="28" t="s">
        <v>265</v>
      </c>
      <c r="AY93" s="28" t="s">
        <v>532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533</v>
      </c>
      <c r="B94" s="28" t="s">
        <v>265</v>
      </c>
      <c r="C94" s="28" t="s">
        <v>532</v>
      </c>
      <c r="D94" s="28" t="s">
        <v>265</v>
      </c>
      <c r="E94" s="28" t="s">
        <v>626</v>
      </c>
      <c r="F94" s="28" t="s">
        <v>532</v>
      </c>
      <c r="G94" s="28" t="s">
        <v>265</v>
      </c>
      <c r="H94" s="28" t="s">
        <v>532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532</v>
      </c>
      <c r="AD94" s="28" t="s">
        <v>532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532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532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532</v>
      </c>
      <c r="AX94" s="28" t="s">
        <v>265</v>
      </c>
      <c r="AY94" s="28" t="s">
        <v>532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533</v>
      </c>
      <c r="B95" s="28" t="s">
        <v>265</v>
      </c>
      <c r="C95" s="28" t="s">
        <v>532</v>
      </c>
      <c r="D95" s="28" t="s">
        <v>265</v>
      </c>
      <c r="E95" s="28" t="s">
        <v>627</v>
      </c>
      <c r="F95" s="28" t="s">
        <v>532</v>
      </c>
      <c r="G95" s="28" t="s">
        <v>265</v>
      </c>
      <c r="H95" s="28" t="s">
        <v>532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532</v>
      </c>
      <c r="AD95" s="28" t="s">
        <v>532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532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532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532</v>
      </c>
      <c r="AX95" s="28" t="s">
        <v>265</v>
      </c>
      <c r="AY95" s="28" t="s">
        <v>532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533</v>
      </c>
      <c r="B96" s="28" t="s">
        <v>265</v>
      </c>
      <c r="C96" s="28" t="s">
        <v>532</v>
      </c>
      <c r="D96" s="28" t="s">
        <v>265</v>
      </c>
      <c r="E96" s="28" t="s">
        <v>628</v>
      </c>
      <c r="F96" s="28" t="s">
        <v>532</v>
      </c>
      <c r="G96" s="28" t="s">
        <v>265</v>
      </c>
      <c r="H96" s="28" t="s">
        <v>532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532</v>
      </c>
      <c r="AD96" s="28" t="s">
        <v>532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532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532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532</v>
      </c>
      <c r="AX96" s="28" t="s">
        <v>265</v>
      </c>
      <c r="AY96" s="28" t="s">
        <v>532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533</v>
      </c>
      <c r="B97" s="28" t="s">
        <v>265</v>
      </c>
      <c r="C97" s="28" t="s">
        <v>532</v>
      </c>
      <c r="D97" s="28" t="s">
        <v>265</v>
      </c>
      <c r="E97" s="28" t="s">
        <v>629</v>
      </c>
      <c r="F97" s="28" t="s">
        <v>532</v>
      </c>
      <c r="G97" s="28" t="s">
        <v>265</v>
      </c>
      <c r="H97" s="28" t="s">
        <v>532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532</v>
      </c>
      <c r="AD97" s="28" t="s">
        <v>532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532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532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532</v>
      </c>
      <c r="AX97" s="28" t="s">
        <v>265</v>
      </c>
      <c r="AY97" s="28" t="s">
        <v>532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533</v>
      </c>
      <c r="B98" s="28" t="s">
        <v>265</v>
      </c>
      <c r="C98" s="28" t="s">
        <v>532</v>
      </c>
      <c r="D98" s="28" t="s">
        <v>265</v>
      </c>
      <c r="E98" s="28" t="s">
        <v>630</v>
      </c>
      <c r="F98" s="28" t="s">
        <v>532</v>
      </c>
      <c r="G98" s="28" t="s">
        <v>265</v>
      </c>
      <c r="H98" s="28" t="s">
        <v>532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532</v>
      </c>
      <c r="AD98" s="28" t="s">
        <v>532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532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532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532</v>
      </c>
      <c r="AX98" s="28" t="s">
        <v>265</v>
      </c>
      <c r="AY98" s="28" t="s">
        <v>532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533</v>
      </c>
      <c r="B99" s="28" t="s">
        <v>265</v>
      </c>
      <c r="C99" s="28" t="s">
        <v>532</v>
      </c>
      <c r="D99" s="28" t="s">
        <v>265</v>
      </c>
      <c r="E99" s="28" t="s">
        <v>631</v>
      </c>
      <c r="F99" s="28" t="s">
        <v>532</v>
      </c>
      <c r="G99" s="28" t="s">
        <v>265</v>
      </c>
      <c r="H99" s="28" t="s">
        <v>532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532</v>
      </c>
      <c r="AD99" s="28" t="s">
        <v>532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532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532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532</v>
      </c>
      <c r="AX99" s="28" t="s">
        <v>265</v>
      </c>
      <c r="AY99" s="28" t="s">
        <v>532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2024-01-30T06:11:22Z</dcterms:modified>
</cp:coreProperties>
</file>