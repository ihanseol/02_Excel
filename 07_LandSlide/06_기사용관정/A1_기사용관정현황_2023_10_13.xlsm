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14_생활용 - 서산 호수공원 2공, 연장허가 - 수도건설\"/>
    </mc:Choice>
  </mc:AlternateContent>
  <xr:revisionPtr revIDLastSave="0" documentId="13_ncr:1_{104C433F-E09B-4431-B50C-FFC7179F67C9}" xr6:coauthVersionLast="47" xr6:coauthVersionMax="47" xr10:uidLastSave="{00000000-0000-0000-0000-000000000000}"/>
  <bookViews>
    <workbookView xWindow="12195" yWindow="2760" windowWidth="23955" windowHeight="1486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8" l="1"/>
  <c r="M71" i="8"/>
  <c r="M25" i="8"/>
  <c r="M142" i="8"/>
  <c r="M143" i="8"/>
  <c r="M140" i="8"/>
  <c r="M141" i="8"/>
  <c r="M138" i="8"/>
  <c r="M139" i="8"/>
  <c r="M136" i="8"/>
  <c r="M137" i="8"/>
  <c r="M134" i="8"/>
  <c r="M135" i="8"/>
  <c r="M132" i="8"/>
  <c r="M133" i="8"/>
  <c r="M130" i="8"/>
  <c r="M131" i="8"/>
  <c r="M128" i="8"/>
  <c r="M129" i="8"/>
  <c r="M126" i="8"/>
  <c r="M127" i="8"/>
  <c r="M124" i="8"/>
  <c r="M125" i="8"/>
  <c r="M122" i="8"/>
  <c r="M123" i="8"/>
  <c r="M120" i="8"/>
  <c r="M121" i="8"/>
  <c r="M118" i="8"/>
  <c r="M119" i="8"/>
  <c r="M116" i="8"/>
  <c r="M117" i="8"/>
  <c r="M114" i="8"/>
  <c r="M115" i="8"/>
  <c r="M112" i="8"/>
  <c r="M113" i="8"/>
  <c r="M110" i="8"/>
  <c r="M111" i="8"/>
  <c r="M108" i="8"/>
  <c r="M109" i="8"/>
  <c r="M106" i="8"/>
  <c r="M107" i="8"/>
  <c r="M104" i="8"/>
  <c r="M105" i="8"/>
  <c r="M102" i="8"/>
  <c r="M103" i="8"/>
  <c r="M100" i="8"/>
  <c r="M101" i="8"/>
  <c r="M98" i="8"/>
  <c r="M99" i="8"/>
  <c r="M96" i="8"/>
  <c r="M97" i="8"/>
  <c r="M94" i="8"/>
  <c r="M95" i="8"/>
  <c r="M92" i="8"/>
  <c r="M93" i="8"/>
  <c r="M90" i="8"/>
  <c r="M91" i="8"/>
  <c r="M88" i="8"/>
  <c r="M89" i="8"/>
  <c r="M86" i="8"/>
  <c r="M87" i="8"/>
  <c r="M84" i="8"/>
  <c r="M85" i="8"/>
  <c r="M82" i="8"/>
  <c r="M83" i="8"/>
  <c r="M80" i="8"/>
  <c r="M81" i="8"/>
  <c r="M78" i="8"/>
  <c r="M79" i="8"/>
  <c r="M76" i="8"/>
  <c r="M77" i="8"/>
  <c r="M74" i="8"/>
  <c r="M75" i="8"/>
  <c r="M72" i="8"/>
  <c r="M73" i="8"/>
  <c r="M70" i="8"/>
  <c r="M68" i="8"/>
  <c r="M69" i="8"/>
  <c r="M66" i="8"/>
  <c r="M67" i="8"/>
  <c r="M64" i="8"/>
  <c r="M65" i="8"/>
  <c r="M62" i="8"/>
  <c r="M63" i="8"/>
  <c r="M60" i="8"/>
  <c r="M61" i="8"/>
  <c r="M58" i="8"/>
  <c r="M59" i="8"/>
  <c r="M56" i="8"/>
  <c r="M57" i="8"/>
  <c r="M54" i="8"/>
  <c r="M55" i="8"/>
  <c r="M52" i="8"/>
  <c r="M53" i="8"/>
  <c r="M50" i="8"/>
  <c r="M51" i="8"/>
  <c r="M48" i="8"/>
  <c r="M49" i="8"/>
  <c r="M46" i="8"/>
  <c r="M47" i="8"/>
  <c r="M44" i="8"/>
  <c r="M45" i="8"/>
  <c r="M42" i="8"/>
  <c r="M43" i="8"/>
  <c r="M40" i="8"/>
  <c r="M41" i="8"/>
  <c r="M38" i="8"/>
  <c r="M39" i="8"/>
  <c r="M36" i="8"/>
  <c r="M37" i="8"/>
  <c r="M34" i="8"/>
  <c r="M35" i="8"/>
  <c r="M32" i="8"/>
  <c r="M33" i="8"/>
  <c r="M30" i="8"/>
  <c r="M31" i="8"/>
  <c r="M28" i="8"/>
  <c r="M29" i="8"/>
  <c r="M26" i="8"/>
  <c r="M27" i="8"/>
  <c r="M24" i="8"/>
  <c r="M22" i="8"/>
  <c r="M23" i="8"/>
  <c r="M20" i="8"/>
  <c r="M21" i="8"/>
  <c r="M19" i="8"/>
  <c r="M17" i="8"/>
  <c r="M18" i="8"/>
  <c r="M15" i="8"/>
  <c r="M16" i="8"/>
  <c r="M2" i="8"/>
  <c r="M3" i="8"/>
  <c r="M4" i="8"/>
  <c r="M5" i="8"/>
  <c r="M6" i="8"/>
  <c r="M7" i="8"/>
  <c r="M8" i="8"/>
  <c r="M9" i="8"/>
  <c r="M11" i="8"/>
  <c r="M12" i="8"/>
  <c r="M13" i="8"/>
  <c r="M14" i="8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F149" i="8" l="1"/>
  <c r="E149" i="8" s="1"/>
  <c r="F148" i="8"/>
  <c r="E148" i="8" s="1"/>
  <c r="J9" i="12"/>
  <c r="M3" i="10"/>
  <c r="M4" i="10"/>
  <c r="M2" i="10"/>
  <c r="D9" i="11" l="1"/>
  <c r="C9" i="11"/>
  <c r="D8" i="11"/>
  <c r="L5" i="11"/>
  <c r="C8" i="11" s="1"/>
  <c r="M2" i="11"/>
  <c r="C24" i="10"/>
  <c r="C23" i="10"/>
  <c r="J149" i="8" l="1"/>
  <c r="I149" i="8" s="1"/>
  <c r="J148" i="8"/>
  <c r="I148" i="8" s="1"/>
  <c r="D24" i="10"/>
  <c r="D10" i="11"/>
  <c r="D23" i="10"/>
  <c r="L22" i="10"/>
  <c r="L146" i="8"/>
  <c r="H149" i="8" l="1"/>
  <c r="H148" i="8"/>
  <c r="L148" i="8"/>
  <c r="D25" i="10"/>
  <c r="D149" i="8" l="1"/>
  <c r="G149" i="8"/>
  <c r="C149" i="8" s="1"/>
  <c r="D148" i="8"/>
  <c r="L150" i="8" s="1"/>
  <c r="G148" i="8"/>
  <c r="C148" i="8" s="1"/>
  <c r="L151" i="8" s="1"/>
</calcChain>
</file>

<file path=xl/sharedStrings.xml><?xml version="1.0" encoding="utf-8"?>
<sst xmlns="http://schemas.openxmlformats.org/spreadsheetml/2006/main" count="3571" uniqueCount="745">
  <si>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</si>
  <si>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</si>
  <si>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</si>
  <si>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</si>
  <si>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</si>
  <si>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</si>
  <si>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</si>
  <si>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</si>
  <si>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</si>
  <si>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</si>
  <si>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</si>
  <si>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</si>
  <si>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</si>
  <si>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</si>
  <si>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</si>
  <si>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</si>
  <si>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</si>
  <si>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</si>
  <si>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</si>
  <si>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</si>
  <si>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</si>
  <si>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</si>
  <si>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</si>
  <si>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</si>
  <si>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</si>
  <si>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</si>
  <si>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</si>
  <si>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</si>
  <si>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</si>
  <si>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</si>
  <si>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</si>
  <si>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</si>
  <si>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</si>
  <si>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</si>
  <si>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</si>
  <si>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</si>
  <si>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</si>
  <si>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</si>
  <si>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</si>
  <si>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</si>
  <si>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</si>
  <si>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</si>
  <si>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</si>
  <si>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</si>
  <si>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</si>
  <si>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</si>
  <si>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</si>
  <si>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</si>
  <si>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</si>
  <si>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</si>
  <si>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</si>
  <si>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</si>
  <si>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</si>
  <si>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</si>
  <si>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</si>
  <si>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</si>
  <si>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</si>
  <si>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</si>
  <si>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</si>
  <si>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</si>
  <si>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</si>
  <si>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</si>
  <si>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</si>
  <si>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</si>
  <si>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</si>
  <si>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</si>
  <si>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</si>
  <si>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</si>
  <si>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</si>
  <si>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</si>
  <si>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</si>
  <si>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</si>
  <si>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</si>
  <si>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</si>
  <si>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</si>
  <si>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</si>
  <si>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</si>
  <si>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</si>
  <si>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</si>
  <si>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</si>
  <si>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</si>
  <si>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</si>
  <si>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</si>
  <si>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</si>
  <si>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</si>
  <si>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</si>
  <si>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</si>
  <si>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</si>
  <si>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</si>
  <si>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</si>
  <si>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</si>
  <si>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</si>
  <si>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</si>
  <si>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</si>
  <si>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</si>
  <si>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</si>
  <si>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</si>
  <si>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</si>
  <si>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</si>
  <si>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</si>
  <si>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</si>
  <si>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</si>
  <si>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</si>
  <si>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</si>
  <si>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</si>
  <si>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</si>
  <si>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</si>
  <si>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</si>
  <si>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</si>
  <si>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</si>
  <si>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</si>
  <si>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</si>
  <si>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</si>
  <si>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</si>
  <si>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</si>
  <si>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</si>
  <si>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</si>
  <si>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</si>
  <si>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</si>
  <si>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</si>
  <si>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</si>
  <si>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</si>
  <si>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</si>
  <si>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</si>
  <si>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</si>
  <si>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</si>
  <si>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</si>
  <si>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</si>
  <si>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</si>
  <si>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</si>
  <si>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</si>
  <si>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</si>
  <si>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</si>
  <si>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</si>
  <si>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</si>
  <si>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</si>
  <si>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</si>
  <si>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</si>
  <si>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</si>
  <si>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</si>
  <si>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</si>
  <si>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</si>
  <si>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</si>
  <si>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</si>
  <si>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</si>
  <si>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</si>
  <si>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</si>
  <si>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</si>
  <si>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</si>
  <si>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</si>
  <si>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</si>
  <si>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</si>
  <si>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</si>
  <si>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</si>
  <si>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</si>
  <si>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</si>
  <si>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</si>
  <si>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</si>
  <si>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</si>
  <si>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</si>
  <si>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</si>
  <si>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</si>
  <si>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</si>
  <si>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</si>
  <si>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</si>
  <si>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</si>
  <si>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</si>
  <si>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</si>
  <si>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</si>
  <si>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</si>
  <si>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</si>
  <si>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</si>
  <si>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</si>
  <si>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</si>
  <si>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</si>
  <si>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</si>
  <si>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</si>
  <si>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</si>
  <si>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</si>
  <si>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</si>
  <si>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</si>
  <si>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</si>
  <si>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</si>
  <si>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</si>
  <si>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</si>
  <si>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</si>
  <si>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</si>
  <si>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</si>
  <si>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</si>
  <si>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</si>
  <si>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</si>
  <si>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</si>
  <si>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</si>
  <si>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</si>
  <si>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</si>
  <si>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</si>
  <si>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</si>
  <si>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</si>
  <si>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</si>
  <si>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</si>
  <si>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</si>
  <si>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</si>
  <si>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</si>
  <si>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</si>
  <si>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</si>
  <si>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</si>
  <si>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</si>
  <si>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</si>
  <si>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</si>
  <si>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</si>
  <si>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</si>
  <si>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</si>
  <si>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</si>
  <si>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</si>
  <si>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</si>
  <si>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</si>
  <si>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</si>
  <si>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</si>
  <si>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</si>
  <si>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</si>
  <si>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</si>
  <si>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</si>
  <si>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</si>
  <si>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</si>
  <si>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</si>
  <si>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</si>
  <si>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</si>
  <si>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</si>
  <si>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</si>
  <si>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</si>
  <si>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</si>
  <si>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</si>
  <si>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</si>
  <si>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</si>
  <si>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</si>
  <si>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</si>
  <si>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</si>
  <si>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</si>
  <si>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</si>
  <si>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</si>
  <si>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</si>
  <si>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</si>
  <si>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</si>
  <si>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</si>
  <si>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</si>
  <si>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</si>
  <si>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</si>
  <si>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</si>
  <si>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</si>
  <si>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</si>
  <si>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</si>
  <si>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</si>
  <si>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</si>
  <si>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</si>
  <si>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</si>
  <si>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</si>
  <si>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</si>
  <si>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</si>
  <si>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</si>
  <si>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</si>
  <si>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</si>
  <si>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답작용</t>
    <phoneticPr fontId="19" type="noConversion"/>
  </si>
  <si>
    <t>전작용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</si>
  <si>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</si>
  <si>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</si>
  <si>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</si>
  <si>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</si>
  <si>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</si>
  <si>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</si>
  <si>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</si>
  <si>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</si>
  <si>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</si>
  <si>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</si>
  <si>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</si>
  <si>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</si>
  <si>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</si>
  <si>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</si>
  <si>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s7</t>
  </si>
  <si>
    <t>s8</t>
  </si>
  <si>
    <t>s9</t>
  </si>
  <si>
    <t>s10</t>
  </si>
  <si>
    <t>s11</t>
  </si>
  <si>
    <t>s12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</si>
  <si>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</si>
  <si>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</si>
  <si>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</si>
  <si>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</si>
  <si>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</si>
  <si>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</si>
  <si>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</si>
  <si>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</si>
  <si>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</si>
  <si>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</si>
  <si>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</si>
  <si>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</si>
  <si>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</si>
  <si>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</si>
  <si>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세탑리</t>
    <phoneticPr fontId="19" type="noConversion"/>
  </si>
  <si>
    <t>s13</t>
  </si>
  <si>
    <t>충청남도 부여군 초촌면 송국리 413-5 , s1</t>
    <phoneticPr fontId="19" type="noConversion"/>
  </si>
  <si>
    <t>충청남도 부여군 초촌면 송국리 211-2 , s2</t>
    <phoneticPr fontId="19" type="noConversion"/>
  </si>
  <si>
    <t>충청남도 부여군 초촌면 송국리 158-2 , s3</t>
    <phoneticPr fontId="19" type="noConversion"/>
  </si>
  <si>
    <t>충청남도 부여군 초촌면 소사리 553-12 , s4</t>
    <phoneticPr fontId="19" type="noConversion"/>
  </si>
  <si>
    <t>충청남도 부여군 초촌면 진호리 208 , s5</t>
    <phoneticPr fontId="19" type="noConversion"/>
  </si>
  <si>
    <t>충청남도 부여군 초촌면 소사리 621-29 , s6</t>
    <phoneticPr fontId="19" type="noConversion"/>
  </si>
  <si>
    <t>충청남도 부여군 초촌면 진호리 356-4 , s7</t>
    <phoneticPr fontId="19" type="noConversion"/>
  </si>
  <si>
    <t>충청남도 부여군 초촌면 송국리 552-2 , s8</t>
    <phoneticPr fontId="19" type="noConversion"/>
  </si>
  <si>
    <t>충청남도 부여군 초촌면 송국리 543-1 , s9</t>
    <phoneticPr fontId="19" type="noConversion"/>
  </si>
  <si>
    <t>충청남도 부여군 초촌면 세탑리 43 , s10</t>
    <phoneticPr fontId="19" type="noConversion"/>
  </si>
  <si>
    <t>충청남도 부여군 초촌면 남산리 277 , s11</t>
    <phoneticPr fontId="19" type="noConversion"/>
  </si>
  <si>
    <t>충청남도 부여군 초촌면 진호리 386-1 , s12</t>
    <phoneticPr fontId="19" type="noConversion"/>
  </si>
  <si>
    <t>충청남도 부여군 초촌면 진호리 373-1 , s13</t>
    <phoneticPr fontId="19" type="noConversion"/>
  </si>
  <si>
    <t>✔</t>
    <phoneticPr fontId="19" type="noConversion"/>
  </si>
  <si>
    <t>충청남도 부여군 초촌면 송국리 258-1 , a1</t>
    <phoneticPr fontId="19" type="noConversion"/>
  </si>
  <si>
    <t>충청남도 부여군 초촌면 송국리 266-1 , a2</t>
    <phoneticPr fontId="19" type="noConversion"/>
  </si>
  <si>
    <t>충청남도 부여군 초촌면 송국리 217-3 , a3</t>
    <phoneticPr fontId="19" type="noConversion"/>
  </si>
  <si>
    <t>충청남도 부여군 초촌면 산직리 산15-1 , a4</t>
    <phoneticPr fontId="19" type="noConversion"/>
  </si>
  <si>
    <t>충청남도 부여군 초촌면 산직리 산15-1 , a5</t>
    <phoneticPr fontId="19" type="noConversion"/>
  </si>
  <si>
    <t>충청남도 부여군 초촌면 산직리 276-16 , a6</t>
    <phoneticPr fontId="19" type="noConversion"/>
  </si>
  <si>
    <t>충청남도 부여군 초촌면 산직리 876-5 , a7</t>
    <phoneticPr fontId="19" type="noConversion"/>
  </si>
  <si>
    <t>충청남도 부여군 초촌면 산직리 876-1 , a8</t>
    <phoneticPr fontId="19" type="noConversion"/>
  </si>
  <si>
    <t>충청남도 부여군 초촌면 산직리 276-10 , a9</t>
    <phoneticPr fontId="19" type="noConversion"/>
  </si>
  <si>
    <t>충청남도 부여군 초촌면 소사리 573 , a10</t>
    <phoneticPr fontId="19" type="noConversion"/>
  </si>
  <si>
    <t>충청남도 부여군 초촌면 소사리 산65-3 , a11</t>
    <phoneticPr fontId="19" type="noConversion"/>
  </si>
  <si>
    <t>충청남도 부여군 초촌면 소사리 609-12 , a12</t>
    <phoneticPr fontId="19" type="noConversion"/>
  </si>
  <si>
    <t>충청남도 부여군 초촌면 소사리 163-14 , a13</t>
    <phoneticPr fontId="19" type="noConversion"/>
  </si>
  <si>
    <t>충청남도 부여군 초촌면 소사리 760-2 , a14</t>
    <phoneticPr fontId="19" type="noConversion"/>
  </si>
  <si>
    <t>충청남도 부여군 초촌면 진호리 128 , a15</t>
    <phoneticPr fontId="19" type="noConversion"/>
  </si>
  <si>
    <t>충청남도 부여군 초촌면 진호리 222-1 , a16</t>
    <phoneticPr fontId="19" type="noConversion"/>
  </si>
  <si>
    <t>충청남도 부여군 초촌면 진호리 221-6 , a17</t>
    <phoneticPr fontId="19" type="noConversion"/>
  </si>
  <si>
    <t>충청남도 부여군 초촌면 진호리 218-6 , a18</t>
    <phoneticPr fontId="19" type="noConversion"/>
  </si>
  <si>
    <t>충청남도 부여군 초촌면 진호리 217-4 , a19</t>
    <phoneticPr fontId="19" type="noConversion"/>
  </si>
  <si>
    <t>충청남도 부여군 초촌면 진호리 344-12 , a20</t>
    <phoneticPr fontId="19" type="noConversion"/>
  </si>
  <si>
    <t>충청남도 부여군 초촌면 진호리 346 , a21</t>
    <phoneticPr fontId="19" type="noConversion"/>
  </si>
  <si>
    <t>충청남도 부여군 초촌면 진호리 203-1 , a22</t>
    <phoneticPr fontId="19" type="noConversion"/>
  </si>
  <si>
    <t>충청남도 부여군 초촌면 진호리 350 , a23</t>
    <phoneticPr fontId="19" type="noConversion"/>
  </si>
  <si>
    <t>충청남도 부여군 초촌면 진호리 356-1 , a24</t>
    <phoneticPr fontId="19" type="noConversion"/>
  </si>
  <si>
    <t>충청남도 부여군 초촌면 소사리 748 , a25</t>
    <phoneticPr fontId="19" type="noConversion"/>
  </si>
  <si>
    <t>충청남도 부여군 초촌면 소사리 761 , a26</t>
    <phoneticPr fontId="19" type="noConversion"/>
  </si>
  <si>
    <t>충청남도 부여군 초촌면 소사리 750-4 , a27</t>
    <phoneticPr fontId="19" type="noConversion"/>
  </si>
  <si>
    <t>충청남도 부여군 초촌면 세탑리 24-9 , i1</t>
    <phoneticPr fontId="19" type="noConversion"/>
  </si>
  <si>
    <t>충청남도 부여군 초촌면 세탑리 24-8 , i2</t>
    <phoneticPr fontId="19" type="noConversion"/>
  </si>
  <si>
    <t xml:space="preserve"> 2023-08-14.</t>
    <phoneticPr fontId="19" type="noConversion"/>
  </si>
  <si>
    <t>s1</t>
  </si>
  <si>
    <t>충청남도 부여군 초촌면 송국리 413-5 , s1</t>
  </si>
  <si>
    <t>가정용</t>
  </si>
  <si>
    <t>충청남도 부여군 초촌면 송국리 211-2 , s2</t>
  </si>
  <si>
    <t>간이상수도</t>
  </si>
  <si>
    <t>충청남도 부여군 초촌면 송국리 158-2 , s3</t>
  </si>
  <si>
    <t>충청남도 부여군 초촌면 소사리 553-12 , s4</t>
  </si>
  <si>
    <t>충청남도 부여군 초촌면 진호리 208 , s5</t>
  </si>
  <si>
    <t>충청남도 부여군 초촌면 소사리 621-29 , s6</t>
  </si>
  <si>
    <t>일반용</t>
  </si>
  <si>
    <t>충청남도 부여군 초촌면 진호리 356-4 , s7</t>
  </si>
  <si>
    <t>충청남도 부여군 초촌면 송국리 552-2 , s8</t>
  </si>
  <si>
    <t>충청남도 부여군 초촌면 송국리 543-1 , s9</t>
  </si>
  <si>
    <t>충청남도 부여군 초촌면 세탑리 43 , s10</t>
  </si>
  <si>
    <t>충청남도 부여군 초촌면 남산리 277 , s11</t>
  </si>
  <si>
    <t>충청남도 부여군 초촌면 진호리 386-1 , s12</t>
  </si>
  <si>
    <t>충청남도 부여군 초촌면 진호리 373-1 , s13</t>
  </si>
  <si>
    <t>충청남도 부여군 초촌면 송국리 258-1 , a1</t>
  </si>
  <si>
    <t>원예용</t>
  </si>
  <si>
    <t>충청남도 부여군 초촌면 송국리 266-1 , a2</t>
  </si>
  <si>
    <t>답작용</t>
  </si>
  <si>
    <t>충청남도 부여군 초촌면 송국리 217-3 , a3</t>
  </si>
  <si>
    <t>충청남도 부여군 초촌면 산직리 산15-1 , a4</t>
  </si>
  <si>
    <t>전작용</t>
  </si>
  <si>
    <t>충청남도 부여군 초촌면 산직리 산15-1 , a5</t>
  </si>
  <si>
    <t>충청남도 부여군 초촌면 산직리 276-16 , a6</t>
  </si>
  <si>
    <t>충청남도 부여군 초촌면 산직리 876-5 , a7</t>
  </si>
  <si>
    <t>충청남도 부여군 초촌면 산직리 876-1 , a8</t>
  </si>
  <si>
    <t>충청남도 부여군 초촌면 산직리 276-10 , a9</t>
  </si>
  <si>
    <t>충청남도 부여군 초촌면 소사리 573 , a10</t>
  </si>
  <si>
    <t>충청남도 부여군 초촌면 소사리 산65-3 , a11</t>
  </si>
  <si>
    <t>충청남도 부여군 초촌면 소사리 609-12 , a12</t>
  </si>
  <si>
    <t>충청남도 부여군 초촌면 소사리 163-14 , a13</t>
  </si>
  <si>
    <t>충청남도 부여군 초촌면 소사리 760-2 , a14</t>
  </si>
  <si>
    <t>충청남도 부여군 초촌면 진호리 128 , a15</t>
  </si>
  <si>
    <t>충청남도 부여군 초촌면 진호리 222-1 , a16</t>
  </si>
  <si>
    <t>충청남도 부여군 초촌면 진호리 221-6 , a17</t>
  </si>
  <si>
    <t>충청남도 부여군 초촌면 진호리 218-6 , a18</t>
  </si>
  <si>
    <t>충청남도 부여군 초촌면 진호리 217-4 , a19</t>
  </si>
  <si>
    <t>충청남도 부여군 초촌면 진호리 344-12 , a20</t>
  </si>
  <si>
    <t>충청남도 부여군 초촌면 진호리 346 , a21</t>
  </si>
  <si>
    <t>충청남도 부여군 초촌면 진호리 203-1 , a22</t>
  </si>
  <si>
    <t>충청남도 부여군 초촌면 진호리 350 , a23</t>
  </si>
  <si>
    <t>충청남도 부여군 초촌면 진호리 356-1 , a24</t>
  </si>
  <si>
    <t>충청남도 부여군 초촌면 소사리 748 , a25</t>
  </si>
  <si>
    <t>충청남도 부여군 초촌면 소사리 761 , a26</t>
  </si>
  <si>
    <t>충청남도 부여군 초촌면 소사리 750-4 , a27</t>
  </si>
  <si>
    <t>충청남도 부여군 초촌면 세탑리 24-9 , i1</t>
  </si>
  <si>
    <t>자유입지업체</t>
  </si>
  <si>
    <t>충청남도 부여군 초촌면 세탑리 24-8 , i2</t>
  </si>
  <si>
    <t>기타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</si>
  <si>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</si>
  <si>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</si>
  <si>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</si>
  <si>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</si>
  <si>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</si>
  <si>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</si>
  <si>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</si>
  <si>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</si>
  <si>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</si>
  <si>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</si>
  <si>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</si>
  <si>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</si>
  <si>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</si>
  <si>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</si>
  <si>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</si>
  <si>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</si>
  <si>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</si>
  <si>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</si>
  <si>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</si>
  <si>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</si>
  <si>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</si>
  <si>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</si>
  <si>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</si>
  <si>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</si>
  <si>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</si>
  <si>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</si>
  <si>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</si>
  <si>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</si>
  <si>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</si>
  <si>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</si>
  <si>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</si>
  <si>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</si>
  <si>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</si>
  <si>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</si>
  <si>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</si>
  <si>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</si>
  <si>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</si>
  <si>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</si>
  <si>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</si>
  <si>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</si>
  <si>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</si>
  <si>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</si>
  <si>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</si>
  <si>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</si>
  <si>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</si>
  <si>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</si>
  <si>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</si>
  <si>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</si>
  <si>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</si>
  <si>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</si>
  <si>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</si>
  <si>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</si>
  <si>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</si>
  <si>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s14</t>
  </si>
  <si>
    <t>s15</t>
  </si>
  <si>
    <t>s16</t>
  </si>
  <si>
    <t>s17</t>
  </si>
  <si>
    <t>s18</t>
  </si>
  <si>
    <t>gyeryoung</t>
    <phoneticPr fontId="19" type="noConversion"/>
  </si>
  <si>
    <t>서산시</t>
    <phoneticPr fontId="19" type="noConversion"/>
  </si>
  <si>
    <t>읍내동</t>
    <phoneticPr fontId="19" type="noConversion"/>
  </si>
  <si>
    <t>석남동</t>
    <phoneticPr fontId="19" type="noConversion"/>
  </si>
  <si>
    <t>34-91</t>
    <phoneticPr fontId="19" type="noConversion"/>
  </si>
  <si>
    <t>34-41</t>
    <phoneticPr fontId="19" type="noConversion"/>
  </si>
  <si>
    <t>34-53</t>
    <phoneticPr fontId="19" type="noConversion"/>
  </si>
  <si>
    <t>34-57</t>
    <phoneticPr fontId="19" type="noConversion"/>
  </si>
  <si>
    <t>18-2</t>
    <phoneticPr fontId="19" type="noConversion"/>
  </si>
  <si>
    <t>예천동</t>
    <phoneticPr fontId="19" type="noConversion"/>
  </si>
  <si>
    <t>25-2</t>
    <phoneticPr fontId="19" type="noConversion"/>
  </si>
  <si>
    <t>3-24</t>
    <phoneticPr fontId="19" type="noConversion"/>
  </si>
  <si>
    <t>6-80</t>
    <phoneticPr fontId="19" type="noConversion"/>
  </si>
  <si>
    <t>6-98</t>
    <phoneticPr fontId="19" type="noConversion"/>
  </si>
  <si>
    <t>11-5</t>
    <phoneticPr fontId="19" type="noConversion"/>
  </si>
  <si>
    <t>2</t>
    <phoneticPr fontId="19" type="noConversion"/>
  </si>
  <si>
    <t>석림동</t>
    <phoneticPr fontId="19" type="noConversion"/>
  </si>
  <si>
    <t>716-2</t>
    <phoneticPr fontId="19" type="noConversion"/>
  </si>
  <si>
    <t>725-4</t>
    <phoneticPr fontId="19" type="noConversion"/>
  </si>
  <si>
    <t>733-4</t>
    <phoneticPr fontId="19" type="noConversion"/>
  </si>
  <si>
    <t>736-11</t>
    <phoneticPr fontId="19" type="noConversion"/>
  </si>
  <si>
    <t>736-16</t>
    <phoneticPr fontId="19" type="noConversion"/>
  </si>
  <si>
    <t>729-3</t>
    <phoneticPr fontId="19" type="noConversion"/>
  </si>
  <si>
    <t>729-6</t>
    <phoneticPr fontId="19" type="noConversion"/>
  </si>
  <si>
    <t>729-12</t>
    <phoneticPr fontId="19" type="noConversion"/>
  </si>
  <si>
    <t>728-1</t>
    <phoneticPr fontId="19" type="noConversion"/>
  </si>
  <si>
    <t>19-1</t>
    <phoneticPr fontId="19" type="noConversion"/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</si>
  <si>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</si>
  <si>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</si>
  <si>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</si>
  <si>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</si>
  <si>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</si>
  <si>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</si>
  <si>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</si>
  <si>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</si>
  <si>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</si>
  <si>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</si>
  <si>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</si>
  <si>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</si>
  <si>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</si>
  <si>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</si>
  <si>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</si>
  <si>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</si>
  <si>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</si>
  <si>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</si>
  <si>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</si>
  <si>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</si>
  <si>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</si>
  <si>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</si>
  <si>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</si>
  <si>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</si>
  <si>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</si>
  <si>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</si>
  <si>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21-9</t>
    <phoneticPr fontId="19" type="noConversion"/>
  </si>
  <si>
    <t>동문동</t>
    <phoneticPr fontId="19" type="noConversion"/>
  </si>
  <si>
    <t>997</t>
    <phoneticPr fontId="19" type="noConversion"/>
  </si>
  <si>
    <t>95-3</t>
    <phoneticPr fontId="19" type="noConversion"/>
  </si>
  <si>
    <t>987-11</t>
    <phoneticPr fontId="19" type="noConversion"/>
  </si>
  <si>
    <t>999-38</t>
    <phoneticPr fontId="19" type="noConversion"/>
  </si>
  <si>
    <t>999-41</t>
    <phoneticPr fontId="19" type="noConversion"/>
  </si>
  <si>
    <t>999-42</t>
    <phoneticPr fontId="19" type="noConversion"/>
  </si>
  <si>
    <t>1038-8</t>
    <phoneticPr fontId="19" type="noConversion"/>
  </si>
  <si>
    <t>1037-3</t>
    <phoneticPr fontId="19" type="noConversion"/>
  </si>
  <si>
    <t>1037-10</t>
    <phoneticPr fontId="19" type="noConversion"/>
  </si>
  <si>
    <t>1037-12</t>
    <phoneticPr fontId="19" type="noConversion"/>
  </si>
  <si>
    <t>710-2</t>
    <phoneticPr fontId="19" type="noConversion"/>
  </si>
  <si>
    <t>1036-9</t>
    <phoneticPr fontId="19" type="noConversion"/>
  </si>
  <si>
    <t>267-17</t>
    <phoneticPr fontId="19" type="noConversion"/>
  </si>
  <si>
    <t>617-22</t>
    <phoneticPr fontId="19" type="noConversion"/>
  </si>
  <si>
    <t>274-20</t>
    <phoneticPr fontId="19" type="noConversion"/>
  </si>
  <si>
    <t>274-27</t>
    <phoneticPr fontId="19" type="noConversion"/>
  </si>
  <si>
    <t>274-11</t>
    <phoneticPr fontId="19" type="noConversion"/>
  </si>
  <si>
    <t>1255-2</t>
    <phoneticPr fontId="19" type="noConversion"/>
  </si>
  <si>
    <t>1270-1</t>
    <phoneticPr fontId="19" type="noConversion"/>
  </si>
  <si>
    <t>496-21</t>
    <phoneticPr fontId="19" type="noConversion"/>
  </si>
  <si>
    <t>496-16</t>
    <phoneticPr fontId="19" type="noConversion"/>
  </si>
  <si>
    <t>498-1</t>
    <phoneticPr fontId="19" type="noConversion"/>
  </si>
  <si>
    <t>815-8</t>
    <phoneticPr fontId="19" type="noConversion"/>
  </si>
  <si>
    <t>507-40</t>
    <phoneticPr fontId="19" type="noConversion"/>
  </si>
  <si>
    <t>502-5</t>
    <phoneticPr fontId="19" type="noConversion"/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</si>
  <si>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</si>
  <si>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</si>
  <si>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</si>
  <si>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</si>
  <si>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</si>
  <si>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</si>
  <si>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</si>
  <si>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</si>
  <si>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</si>
  <si>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</si>
  <si>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</si>
  <si>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</si>
  <si>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</si>
  <si>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</si>
  <si>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</si>
  <si>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</si>
  <si>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</si>
  <si>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</si>
  <si>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</si>
  <si>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</si>
  <si>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</si>
  <si>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</si>
  <si>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</si>
  <si>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</si>
  <si>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</si>
  <si>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</si>
  <si>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</si>
  <si>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</si>
  <si>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</si>
  <si>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</si>
  <si>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</si>
  <si>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</si>
  <si>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산7-64</t>
    <phoneticPr fontId="19" type="noConversion"/>
  </si>
  <si>
    <t>산7-26</t>
    <phoneticPr fontId="19" type="noConversion"/>
  </si>
  <si>
    <t>산30-5</t>
    <phoneticPr fontId="19" type="noConversion"/>
  </si>
  <si>
    <t>55</t>
    <phoneticPr fontId="19" type="noConversion"/>
  </si>
  <si>
    <t>59-1</t>
    <phoneticPr fontId="19" type="noConversion"/>
  </si>
  <si>
    <t>60-1</t>
    <phoneticPr fontId="19" type="noConversion"/>
  </si>
  <si>
    <t>809-8</t>
    <phoneticPr fontId="19" type="noConversion"/>
  </si>
  <si>
    <t>청소용</t>
    <phoneticPr fontId="19" type="noConversion"/>
  </si>
  <si>
    <t>37-2</t>
    <phoneticPr fontId="19" type="noConversion"/>
  </si>
  <si>
    <t>809-7</t>
    <phoneticPr fontId="19" type="noConversion"/>
  </si>
  <si>
    <t>743</t>
    <phoneticPr fontId="19" type="noConversion"/>
  </si>
  <si>
    <t>774-1</t>
    <phoneticPr fontId="19" type="noConversion"/>
  </si>
  <si>
    <t>800-6</t>
    <phoneticPr fontId="19" type="noConversion"/>
  </si>
  <si>
    <t>797-11</t>
    <phoneticPr fontId="19" type="noConversion"/>
  </si>
  <si>
    <t>797-23</t>
    <phoneticPr fontId="19" type="noConversion"/>
  </si>
  <si>
    <t>79-7</t>
    <phoneticPr fontId="19" type="noConversion"/>
  </si>
  <si>
    <t>797-4</t>
    <phoneticPr fontId="19" type="noConversion"/>
  </si>
  <si>
    <t>78-3</t>
    <phoneticPr fontId="19" type="noConversion"/>
  </si>
  <si>
    <t>130</t>
    <phoneticPr fontId="19" type="noConversion"/>
  </si>
  <si>
    <t>786</t>
    <phoneticPr fontId="19" type="noConversion"/>
  </si>
  <si>
    <t>780</t>
    <phoneticPr fontId="19" type="noConversion"/>
  </si>
  <si>
    <t>718</t>
    <phoneticPr fontId="19" type="noConversion"/>
  </si>
  <si>
    <t>780-18</t>
    <phoneticPr fontId="19" type="noConversion"/>
  </si>
  <si>
    <t>720</t>
    <phoneticPr fontId="19" type="noConversion"/>
  </si>
  <si>
    <t>731-1</t>
    <phoneticPr fontId="19" type="noConversion"/>
  </si>
  <si>
    <t>720-8</t>
    <phoneticPr fontId="19" type="noConversion"/>
  </si>
  <si>
    <t>683-7</t>
    <phoneticPr fontId="19" type="noConversion"/>
  </si>
  <si>
    <t>683-5</t>
    <phoneticPr fontId="19" type="noConversion"/>
  </si>
  <si>
    <t>679-5</t>
    <phoneticPr fontId="19" type="noConversion"/>
  </si>
  <si>
    <t>649-1</t>
    <phoneticPr fontId="19" type="noConversion"/>
  </si>
  <si>
    <t>665-1</t>
    <phoneticPr fontId="19" type="noConversion"/>
  </si>
  <si>
    <t>620-16</t>
    <phoneticPr fontId="19" type="noConversion"/>
  </si>
  <si>
    <t>621-2</t>
    <phoneticPr fontId="19" type="noConversion"/>
  </si>
  <si>
    <t>622-1</t>
    <phoneticPr fontId="19" type="noConversion"/>
  </si>
  <si>
    <t>624-5</t>
    <phoneticPr fontId="19" type="noConversion"/>
  </si>
  <si>
    <t>갈산동</t>
    <phoneticPr fontId="19" type="noConversion"/>
  </si>
  <si>
    <t>180</t>
    <phoneticPr fontId="19" type="noConversion"/>
  </si>
  <si>
    <t>180-2</t>
    <phoneticPr fontId="19" type="noConversion"/>
  </si>
  <si>
    <t>180-4</t>
    <phoneticPr fontId="19" type="noConversion"/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</si>
  <si>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</si>
  <si>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</si>
  <si>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</si>
  <si>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</si>
  <si>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</si>
  <si>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</si>
  <si>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</si>
  <si>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</si>
  <si>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</si>
  <si>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</si>
  <si>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</si>
  <si>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</si>
  <si>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</si>
  <si>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</si>
  <si>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</si>
  <si>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</si>
  <si>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</si>
  <si>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</si>
  <si>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</si>
  <si>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</si>
  <si>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</si>
  <si>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</si>
  <si>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</si>
  <si>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</si>
  <si>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</si>
  <si>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</si>
  <si>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</si>
  <si>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</si>
  <si>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</si>
  <si>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</si>
  <si>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</si>
  <si>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</si>
  <si>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</si>
  <si>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</si>
  <si>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</si>
  <si>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</si>
  <si>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</si>
  <si>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</si>
  <si>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산5-1</t>
    <phoneticPr fontId="19" type="noConversion"/>
  </si>
  <si>
    <t>576-14</t>
    <phoneticPr fontId="19" type="noConversion"/>
  </si>
  <si>
    <t>585-1</t>
    <phoneticPr fontId="19" type="noConversion"/>
  </si>
  <si>
    <t>583-8</t>
    <phoneticPr fontId="19" type="noConversion"/>
  </si>
  <si>
    <t>588-5</t>
    <phoneticPr fontId="19" type="noConversion"/>
  </si>
  <si>
    <t>588-3</t>
    <phoneticPr fontId="19" type="noConversion"/>
  </si>
  <si>
    <t>597-2</t>
    <phoneticPr fontId="19" type="noConversion"/>
  </si>
  <si>
    <t>412-5</t>
    <phoneticPr fontId="19" type="noConversion"/>
  </si>
  <si>
    <t>511</t>
    <phoneticPr fontId="19" type="noConversion"/>
  </si>
  <si>
    <t>416-6</t>
    <phoneticPr fontId="19" type="noConversion"/>
  </si>
  <si>
    <t>533-1</t>
    <phoneticPr fontId="19" type="noConversion"/>
  </si>
  <si>
    <t>535-1</t>
    <phoneticPr fontId="19" type="noConversion"/>
  </si>
  <si>
    <t>530-9</t>
    <phoneticPr fontId="19" type="noConversion"/>
  </si>
  <si>
    <t>539-1</t>
    <phoneticPr fontId="19" type="noConversion"/>
  </si>
  <si>
    <t>540-1</t>
    <phoneticPr fontId="19" type="noConversion"/>
  </si>
  <si>
    <t>541-7</t>
    <phoneticPr fontId="19" type="noConversion"/>
  </si>
  <si>
    <t>567-4</t>
    <phoneticPr fontId="19" type="noConversion"/>
  </si>
  <si>
    <t>575-3</t>
    <phoneticPr fontId="19" type="noConversion"/>
  </si>
  <si>
    <t>580-1</t>
    <phoneticPr fontId="19" type="noConversion"/>
  </si>
  <si>
    <t>579</t>
    <phoneticPr fontId="19" type="noConversion"/>
  </si>
  <si>
    <t>575-1</t>
    <phoneticPr fontId="19" type="noConversion"/>
  </si>
  <si>
    <t>567-5</t>
    <phoneticPr fontId="19" type="noConversion"/>
  </si>
  <si>
    <t>544-4</t>
    <phoneticPr fontId="19" type="noConversion"/>
  </si>
  <si>
    <t>566-1</t>
    <phoneticPr fontId="19" type="noConversion"/>
  </si>
  <si>
    <t>564-1</t>
    <phoneticPr fontId="19" type="noConversion"/>
  </si>
  <si>
    <t>545</t>
    <phoneticPr fontId="19" type="noConversion"/>
  </si>
  <si>
    <t>564</t>
    <phoneticPr fontId="19" type="noConversion"/>
  </si>
  <si>
    <t>563</t>
    <phoneticPr fontId="19" type="noConversion"/>
  </si>
  <si>
    <t>562-6</t>
    <phoneticPr fontId="19" type="noConversion"/>
  </si>
  <si>
    <t>560</t>
    <phoneticPr fontId="19" type="noConversion"/>
  </si>
  <si>
    <t>555</t>
    <phoneticPr fontId="19" type="noConversion"/>
  </si>
  <si>
    <t>559-1</t>
    <phoneticPr fontId="19" type="noConversion"/>
  </si>
  <si>
    <t>552-2</t>
    <phoneticPr fontId="19" type="noConversion"/>
  </si>
  <si>
    <t>552-18</t>
    <phoneticPr fontId="19" type="noConversion"/>
  </si>
  <si>
    <t>552-13</t>
    <phoneticPr fontId="19" type="noConversion"/>
  </si>
  <si>
    <t>552-8</t>
    <phoneticPr fontId="19" type="noConversion"/>
  </si>
  <si>
    <t>552-17</t>
    <phoneticPr fontId="19" type="noConversion"/>
  </si>
  <si>
    <t>505-8</t>
    <phoneticPr fontId="19" type="noConversion"/>
  </si>
  <si>
    <t>492</t>
    <phoneticPr fontId="19" type="noConversion"/>
  </si>
  <si>
    <t>440</t>
    <phoneticPr fontId="19" type="noConversion"/>
  </si>
  <si>
    <t>448</t>
    <phoneticPr fontId="19" type="noConversion"/>
  </si>
  <si>
    <t>409-17</t>
    <phoneticPr fontId="19" type="noConversion"/>
  </si>
  <si>
    <t>402-1</t>
    <phoneticPr fontId="19" type="noConversion"/>
  </si>
  <si>
    <t>376</t>
    <phoneticPr fontId="19" type="noConversion"/>
  </si>
  <si>
    <t>693</t>
    <phoneticPr fontId="19" type="noConversion"/>
  </si>
  <si>
    <t>237-1</t>
    <phoneticPr fontId="19" type="noConversion"/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</si>
  <si>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</si>
  <si>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</si>
  <si>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</si>
  <si>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</si>
  <si>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</si>
  <si>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</si>
  <si>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</si>
  <si>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</si>
  <si>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</si>
  <si>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</si>
  <si>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</si>
  <si>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</si>
  <si>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</si>
  <si>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</si>
  <si>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</si>
  <si>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</si>
  <si>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</si>
  <si>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</si>
  <si>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</si>
  <si>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</si>
  <si>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</si>
  <si>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</si>
  <si>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</si>
  <si>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</si>
  <si>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</si>
  <si>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</si>
  <si>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</si>
  <si>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</si>
  <si>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177-1</t>
    <phoneticPr fontId="19" type="noConversion"/>
  </si>
  <si>
    <t>165-8</t>
    <phoneticPr fontId="19" type="noConversion"/>
  </si>
  <si>
    <t>144-1</t>
    <phoneticPr fontId="19" type="noConversion"/>
  </si>
  <si>
    <t>139-3</t>
    <phoneticPr fontId="19" type="noConversion"/>
  </si>
  <si>
    <t>102-59</t>
    <phoneticPr fontId="19" type="noConversion"/>
  </si>
  <si>
    <t>102-17</t>
    <phoneticPr fontId="19" type="noConversion"/>
  </si>
  <si>
    <t>102-22</t>
    <phoneticPr fontId="19" type="noConversion"/>
  </si>
  <si>
    <t>14-2</t>
    <phoneticPr fontId="19" type="noConversion"/>
  </si>
  <si>
    <t>989-12</t>
    <phoneticPr fontId="19" type="noConversion"/>
  </si>
  <si>
    <t>1020-24</t>
    <phoneticPr fontId="19" type="noConversion"/>
  </si>
  <si>
    <t>915</t>
    <phoneticPr fontId="19" type="noConversion"/>
  </si>
  <si>
    <t>922-8</t>
    <phoneticPr fontId="19" type="noConversion"/>
  </si>
  <si>
    <t>277-31</t>
    <phoneticPr fontId="19" type="noConversion"/>
  </si>
  <si>
    <t>283-11</t>
    <phoneticPr fontId="19" type="noConversion"/>
  </si>
  <si>
    <t>309-3</t>
    <phoneticPr fontId="19" type="noConversion"/>
  </si>
  <si>
    <t>895-8</t>
    <phoneticPr fontId="19" type="noConversion"/>
  </si>
  <si>
    <t>900</t>
    <phoneticPr fontId="19" type="noConversion"/>
  </si>
  <si>
    <t>902-8</t>
    <phoneticPr fontId="19" type="noConversion"/>
  </si>
  <si>
    <t>884-3</t>
    <phoneticPr fontId="19" type="noConversion"/>
  </si>
  <si>
    <t>898-8</t>
    <phoneticPr fontId="19" type="noConversion"/>
  </si>
  <si>
    <t>888-11</t>
    <phoneticPr fontId="19" type="noConversion"/>
  </si>
  <si>
    <t>887-2</t>
    <phoneticPr fontId="19" type="noConversion"/>
  </si>
  <si>
    <t>888-12</t>
    <phoneticPr fontId="19" type="noConversion"/>
  </si>
  <si>
    <t>311-3</t>
    <phoneticPr fontId="19" type="noConversion"/>
  </si>
  <si>
    <t>871-3</t>
    <phoneticPr fontId="19" type="noConversion"/>
  </si>
  <si>
    <t>403-9</t>
    <phoneticPr fontId="19" type="noConversion"/>
  </si>
  <si>
    <t>658-4</t>
    <phoneticPr fontId="19" type="noConversion"/>
  </si>
  <si>
    <t>676-8</t>
    <phoneticPr fontId="19" type="noConversion"/>
  </si>
  <si>
    <t>682-1</t>
    <phoneticPr fontId="19" type="noConversion"/>
  </si>
  <si>
    <t>684-4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</si>
</sst>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752475</xdr:colOff>
          <xdr:row>0</xdr:row>
          <xdr:rowOff>133350</xdr:rowOff>
        </xdr:from>
        <xdr:to>
          <xdr:col>12</xdr:col>
          <xdr:colOff>895350</xdr:colOff>
          <xdr:row>0</xdr:row>
          <xdr:rowOff>457200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 x14ac:dyDescent="0.3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 x14ac:dyDescent="0.3">
      <c r="B1" s="34" t="s">
        <v>218</v>
      </c>
    </row>
    <row r="2" spans="1:13" ht="34.5" customHeight="1" x14ac:dyDescent="0.3">
      <c r="B2" s="33" t="s">
        <v>207</v>
      </c>
      <c r="C2" s="33" t="s">
        <v>216</v>
      </c>
      <c r="D2" s="33" t="s">
        <v>208</v>
      </c>
      <c r="E2" s="33" t="s">
        <v>209</v>
      </c>
      <c r="F2" s="33" t="s">
        <v>210</v>
      </c>
      <c r="G2" s="33" t="s">
        <v>211</v>
      </c>
      <c r="H2" s="33" t="s">
        <v>212</v>
      </c>
      <c r="I2" s="33" t="s">
        <v>213</v>
      </c>
      <c r="J2" s="33" t="s">
        <v>214</v>
      </c>
      <c r="K2" s="33" t="s">
        <v>215</v>
      </c>
      <c r="L2" s="33" t="s">
        <v>263</v>
      </c>
      <c r="M2" s="33" t="s">
        <v>452</v>
      </c>
    </row>
    <row r="3" spans="1:13" ht="20.100000000000001" customHeight="1" x14ac:dyDescent="0.3">
      <c r="A3" s="33">
        <v>1</v>
      </c>
      <c r="B3" s="33" t="s">
        <v>228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 x14ac:dyDescent="0.3">
      <c r="A4" s="33">
        <v>2</v>
      </c>
      <c r="B4" s="33" t="s">
        <v>229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 x14ac:dyDescent="0.3">
      <c r="A5" s="33">
        <v>3</v>
      </c>
      <c r="B5" s="33" t="s">
        <v>230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 x14ac:dyDescent="0.3">
      <c r="A6" s="33">
        <v>4</v>
      </c>
      <c r="B6" s="33" t="s">
        <v>231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 x14ac:dyDescent="0.3">
      <c r="A7" s="33">
        <v>5</v>
      </c>
      <c r="B7" s="33" t="s">
        <v>232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 x14ac:dyDescent="0.3">
      <c r="A8" s="33">
        <v>6</v>
      </c>
      <c r="B8" s="33" t="s">
        <v>233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 x14ac:dyDescent="0.3">
      <c r="A9" s="33">
        <v>7</v>
      </c>
      <c r="B9" s="33" t="s">
        <v>234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 x14ac:dyDescent="0.3">
      <c r="A10" s="33">
        <v>8</v>
      </c>
      <c r="B10" s="33" t="s">
        <v>235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 x14ac:dyDescent="0.3">
      <c r="A11" s="33">
        <v>9</v>
      </c>
      <c r="B11" s="33" t="s">
        <v>236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 x14ac:dyDescent="0.3">
      <c r="A12" s="33">
        <v>10</v>
      </c>
      <c r="B12" s="33" t="s">
        <v>237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 x14ac:dyDescent="0.3">
      <c r="A13" s="33">
        <v>11</v>
      </c>
      <c r="B13" s="33" t="s">
        <v>238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 x14ac:dyDescent="0.3">
      <c r="A14" s="33">
        <v>12</v>
      </c>
      <c r="B14" s="33" t="s">
        <v>239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 x14ac:dyDescent="0.3">
      <c r="A15" s="33">
        <v>13</v>
      </c>
      <c r="B15" s="33" t="s">
        <v>240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 x14ac:dyDescent="0.3">
      <c r="A16" s="33">
        <v>14</v>
      </c>
      <c r="B16" s="33" t="s">
        <v>241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 x14ac:dyDescent="0.3">
      <c r="A17" s="33">
        <v>15</v>
      </c>
      <c r="B17" s="33" t="s">
        <v>242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 x14ac:dyDescent="0.3">
      <c r="A18" s="33">
        <v>16</v>
      </c>
      <c r="B18" s="33" t="s">
        <v>243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 x14ac:dyDescent="0.3">
      <c r="A19" s="33">
        <v>17</v>
      </c>
      <c r="B19" s="33" t="s">
        <v>244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 x14ac:dyDescent="0.3">
      <c r="A20" s="33">
        <v>18</v>
      </c>
      <c r="B20" s="33" t="s">
        <v>245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 x14ac:dyDescent="0.3">
      <c r="A21" s="33">
        <v>19</v>
      </c>
      <c r="B21" s="33" t="s">
        <v>246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 x14ac:dyDescent="0.3">
      <c r="A22" s="33">
        <v>20</v>
      </c>
      <c r="B22" s="33" t="s">
        <v>247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 x14ac:dyDescent="0.3">
      <c r="A23" s="33">
        <v>21</v>
      </c>
      <c r="B23" s="33" t="s">
        <v>248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 x14ac:dyDescent="0.3">
      <c r="A24" s="33">
        <v>22</v>
      </c>
      <c r="B24" s="33" t="s">
        <v>249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 x14ac:dyDescent="0.3">
      <c r="A25" s="33">
        <v>23</v>
      </c>
      <c r="B25" s="33" t="s">
        <v>250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M17" sqref="M17"/>
    </sheetView>
  </sheetViews>
  <sheetFormatPr defaultColWidth="9.125" defaultRowHeight="15" x14ac:dyDescent="0.3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 x14ac:dyDescent="0.3">
      <c r="B1" s="34" t="s">
        <v>217</v>
      </c>
      <c r="C1" s="34"/>
    </row>
    <row r="2" spans="2:12" ht="34.5" customHeight="1" x14ac:dyDescent="0.3">
      <c r="B2" s="33" t="s">
        <v>207</v>
      </c>
      <c r="C2" s="33" t="s">
        <v>216</v>
      </c>
      <c r="D2" s="33" t="s">
        <v>219</v>
      </c>
      <c r="E2" s="33" t="s">
        <v>220</v>
      </c>
      <c r="F2" s="33" t="s">
        <v>221</v>
      </c>
      <c r="G2" s="33" t="s">
        <v>222</v>
      </c>
      <c r="H2" s="33" t="s">
        <v>223</v>
      </c>
      <c r="I2" s="33" t="s">
        <v>224</v>
      </c>
      <c r="J2" s="33" t="s">
        <v>225</v>
      </c>
      <c r="K2" s="33" t="s">
        <v>226</v>
      </c>
      <c r="L2" s="33" t="s">
        <v>227</v>
      </c>
    </row>
    <row r="3" spans="2:12" ht="20.100000000000001" customHeight="1" x14ac:dyDescent="0.3">
      <c r="B3" s="33" t="s">
        <v>228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 x14ac:dyDescent="0.3">
      <c r="B4" s="33" t="s">
        <v>229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 x14ac:dyDescent="0.3">
      <c r="B5" s="33" t="s">
        <v>230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 x14ac:dyDescent="0.3">
      <c r="B6" s="33" t="s">
        <v>231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 x14ac:dyDescent="0.3">
      <c r="B7" s="33" t="s">
        <v>232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 x14ac:dyDescent="0.3">
      <c r="B8" s="33" t="s">
        <v>233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 x14ac:dyDescent="0.3">
      <c r="B9" s="33" t="s">
        <v>234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 x14ac:dyDescent="0.3">
      <c r="B10" s="33" t="s">
        <v>235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 x14ac:dyDescent="0.3">
      <c r="B11" s="33" t="s">
        <v>236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 x14ac:dyDescent="0.3">
      <c r="B12" s="33" t="s">
        <v>237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 x14ac:dyDescent="0.3">
      <c r="B13" s="33" t="s">
        <v>238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 x14ac:dyDescent="0.3">
      <c r="B14" s="33" t="s">
        <v>239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 x14ac:dyDescent="0.3">
      <c r="B15" s="33" t="s">
        <v>240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 x14ac:dyDescent="0.3">
      <c r="B16" s="33" t="s">
        <v>241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 x14ac:dyDescent="0.3">
      <c r="B17" s="33" t="s">
        <v>242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 x14ac:dyDescent="0.3">
      <c r="B18" s="33" t="s">
        <v>243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 x14ac:dyDescent="0.3">
      <c r="B19" s="33" t="s">
        <v>244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 x14ac:dyDescent="0.3">
      <c r="B20" s="33" t="s">
        <v>245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 x14ac:dyDescent="0.3">
      <c r="B21" s="33" t="s">
        <v>246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 x14ac:dyDescent="0.3">
      <c r="B22" s="33" t="s">
        <v>247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 x14ac:dyDescent="0.3">
      <c r="B23" s="33" t="s">
        <v>248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 x14ac:dyDescent="0.3">
      <c r="B24" s="33" t="s">
        <v>249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 x14ac:dyDescent="0.3">
      <c r="B25" s="33" t="s">
        <v>250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167"/>
  <sheetViews>
    <sheetView tabSelected="1" topLeftCell="A136" workbookViewId="0">
      <selection activeCell="O151" sqref="O151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252</v>
      </c>
      <c r="G1" s="44" t="s">
        <v>251</v>
      </c>
      <c r="H1" s="44" t="s">
        <v>253</v>
      </c>
      <c r="I1" s="44" t="s">
        <v>8</v>
      </c>
      <c r="J1" s="44" t="s">
        <v>193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453</v>
      </c>
      <c r="D2" s="2" t="s">
        <v>455</v>
      </c>
      <c r="E2" s="6" t="s">
        <v>456</v>
      </c>
      <c r="F2" s="2">
        <v>40</v>
      </c>
      <c r="G2" s="2">
        <v>50</v>
      </c>
      <c r="H2" s="2">
        <v>0.5</v>
      </c>
      <c r="I2" s="2">
        <v>30</v>
      </c>
      <c r="J2" s="2">
        <v>16</v>
      </c>
      <c r="K2" s="2" t="s">
        <v>147</v>
      </c>
      <c r="L2" s="12">
        <v>0.68</v>
      </c>
      <c r="M2" s="2" t="str">
        <f>D2&amp;" " &amp; E2</f>
        <v>석남동 34-91</v>
      </c>
      <c r="N2" s="2">
        <v>40</v>
      </c>
      <c r="O2" s="2">
        <v>50</v>
      </c>
      <c r="P2" s="2">
        <v>0.5</v>
      </c>
      <c r="Q2" s="2">
        <v>0.68</v>
      </c>
      <c r="R2" s="2" t="s">
        <v>147</v>
      </c>
      <c r="S2" s="2" t="s">
        <v>11</v>
      </c>
    </row>
    <row r="3" spans="1:19" ht="21.75" customHeight="1" x14ac:dyDescent="0.3">
      <c r="A3" s="2" t="s">
        <v>26</v>
      </c>
      <c r="B3" s="1" t="s">
        <v>22</v>
      </c>
      <c r="C3" s="2" t="s">
        <v>453</v>
      </c>
      <c r="D3" s="2" t="s">
        <v>455</v>
      </c>
      <c r="E3" s="6" t="s">
        <v>457</v>
      </c>
      <c r="F3" s="2">
        <v>15</v>
      </c>
      <c r="G3" s="2">
        <v>30</v>
      </c>
      <c r="H3" s="2">
        <v>0.5</v>
      </c>
      <c r="I3" s="2">
        <v>20</v>
      </c>
      <c r="J3" s="2">
        <v>16</v>
      </c>
      <c r="K3" s="2" t="s">
        <v>147</v>
      </c>
      <c r="L3" s="12">
        <v>0.68</v>
      </c>
      <c r="M3" s="2" t="str">
        <f t="shared" ref="M3:M14" si="0">D3&amp;" " &amp; E3</f>
        <v>석남동 34-41</v>
      </c>
      <c r="N3" s="2">
        <v>15</v>
      </c>
      <c r="O3" s="2">
        <v>30</v>
      </c>
      <c r="P3" s="2">
        <v>0.5</v>
      </c>
      <c r="Q3" s="2">
        <v>0.68</v>
      </c>
      <c r="R3" s="2" t="s">
        <v>147</v>
      </c>
      <c r="S3" s="2" t="s">
        <v>11</v>
      </c>
    </row>
    <row r="4" spans="1:19" ht="21.75" customHeight="1" x14ac:dyDescent="0.3">
      <c r="A4" s="2" t="s">
        <v>27</v>
      </c>
      <c r="B4" s="1" t="s">
        <v>22</v>
      </c>
      <c r="C4" s="2" t="s">
        <v>453</v>
      </c>
      <c r="D4" s="2" t="s">
        <v>455</v>
      </c>
      <c r="E4" s="6" t="s">
        <v>459</v>
      </c>
      <c r="F4" s="2">
        <v>10</v>
      </c>
      <c r="G4" s="2">
        <v>30</v>
      </c>
      <c r="H4" s="2">
        <v>0.5</v>
      </c>
      <c r="I4" s="2">
        <v>20</v>
      </c>
      <c r="J4" s="2">
        <v>16</v>
      </c>
      <c r="K4" s="2" t="s">
        <v>147</v>
      </c>
      <c r="L4" s="12">
        <v>0.68</v>
      </c>
      <c r="M4" s="2" t="str">
        <f t="shared" si="0"/>
        <v>석남동 34-57</v>
      </c>
      <c r="N4" s="2">
        <v>10</v>
      </c>
      <c r="O4" s="2">
        <v>30</v>
      </c>
      <c r="P4" s="2">
        <v>0.5</v>
      </c>
      <c r="Q4" s="2">
        <v>0.68</v>
      </c>
      <c r="R4" s="2" t="s">
        <v>147</v>
      </c>
      <c r="S4" s="2" t="s">
        <v>11</v>
      </c>
    </row>
    <row r="5" spans="1:19" ht="21.75" customHeight="1" x14ac:dyDescent="0.3">
      <c r="A5" s="2" t="s">
        <v>28</v>
      </c>
      <c r="B5" s="1" t="s">
        <v>22</v>
      </c>
      <c r="C5" s="2" t="s">
        <v>453</v>
      </c>
      <c r="D5" s="2" t="s">
        <v>455</v>
      </c>
      <c r="E5" s="6" t="s">
        <v>460</v>
      </c>
      <c r="F5" s="2">
        <v>100</v>
      </c>
      <c r="G5" s="2">
        <v>150</v>
      </c>
      <c r="H5" s="2">
        <v>1</v>
      </c>
      <c r="I5" s="2">
        <v>58</v>
      </c>
      <c r="J5" s="2">
        <v>32</v>
      </c>
      <c r="K5" s="2" t="s">
        <v>148</v>
      </c>
      <c r="L5" s="12">
        <v>4.49</v>
      </c>
      <c r="M5" s="2" t="str">
        <f t="shared" si="0"/>
        <v>석남동 18-2</v>
      </c>
      <c r="N5" s="2">
        <v>100</v>
      </c>
      <c r="O5" s="2">
        <v>150</v>
      </c>
      <c r="P5" s="2">
        <v>1</v>
      </c>
      <c r="Q5" s="2">
        <v>4.49</v>
      </c>
      <c r="R5" s="2" t="s">
        <v>148</v>
      </c>
      <c r="S5" s="2" t="s">
        <v>11</v>
      </c>
    </row>
    <row r="6" spans="1:19" ht="21.75" customHeight="1" x14ac:dyDescent="0.3">
      <c r="A6" s="2" t="s">
        <v>29</v>
      </c>
      <c r="B6" s="1" t="s">
        <v>22</v>
      </c>
      <c r="C6" s="2" t="s">
        <v>453</v>
      </c>
      <c r="D6" s="2" t="s">
        <v>461</v>
      </c>
      <c r="E6" s="6" t="s">
        <v>462</v>
      </c>
      <c r="F6" s="2">
        <v>21</v>
      </c>
      <c r="G6" s="2">
        <v>50</v>
      </c>
      <c r="H6" s="2">
        <v>1</v>
      </c>
      <c r="I6" s="2">
        <v>20</v>
      </c>
      <c r="J6" s="2">
        <v>16</v>
      </c>
      <c r="K6" s="2" t="s">
        <v>147</v>
      </c>
      <c r="L6" s="12">
        <v>0.68</v>
      </c>
      <c r="M6" s="2" t="str">
        <f t="shared" si="0"/>
        <v>예천동 25-2</v>
      </c>
      <c r="N6" s="2">
        <v>21</v>
      </c>
      <c r="O6" s="2">
        <v>50</v>
      </c>
      <c r="P6" s="2">
        <v>1</v>
      </c>
      <c r="Q6" s="2">
        <v>0.68</v>
      </c>
      <c r="R6" s="2" t="s">
        <v>147</v>
      </c>
      <c r="S6" s="2" t="s">
        <v>11</v>
      </c>
    </row>
    <row r="7" spans="1:19" ht="21.75" customHeight="1" x14ac:dyDescent="0.3">
      <c r="A7" s="2" t="s">
        <v>264</v>
      </c>
      <c r="B7" s="1" t="s">
        <v>22</v>
      </c>
      <c r="C7" s="2" t="s">
        <v>453</v>
      </c>
      <c r="D7" s="2" t="s">
        <v>455</v>
      </c>
      <c r="E7" s="6" t="s">
        <v>463</v>
      </c>
      <c r="F7" s="2">
        <v>15</v>
      </c>
      <c r="G7" s="2">
        <v>30</v>
      </c>
      <c r="H7" s="2">
        <v>0.5</v>
      </c>
      <c r="I7" s="2">
        <v>30</v>
      </c>
      <c r="J7" s="2">
        <v>16</v>
      </c>
      <c r="K7" s="2" t="s">
        <v>147</v>
      </c>
      <c r="L7" s="12">
        <v>0.68</v>
      </c>
      <c r="M7" s="2" t="str">
        <f t="shared" si="0"/>
        <v>석남동 3-24</v>
      </c>
      <c r="N7" s="2">
        <v>15</v>
      </c>
      <c r="O7" s="2">
        <v>30</v>
      </c>
      <c r="P7" s="2">
        <v>0.5</v>
      </c>
      <c r="Q7" s="2">
        <v>0.68</v>
      </c>
      <c r="R7" s="2" t="s">
        <v>147</v>
      </c>
      <c r="S7" s="2" t="s">
        <v>11</v>
      </c>
    </row>
    <row r="8" spans="1:19" ht="21.75" customHeight="1" x14ac:dyDescent="0.3">
      <c r="A8" s="2" t="s">
        <v>277</v>
      </c>
      <c r="B8" s="1" t="s">
        <v>22</v>
      </c>
      <c r="C8" s="2" t="s">
        <v>453</v>
      </c>
      <c r="D8" s="2" t="s">
        <v>455</v>
      </c>
      <c r="E8" s="6" t="s">
        <v>464</v>
      </c>
      <c r="F8" s="2">
        <v>15</v>
      </c>
      <c r="G8" s="2">
        <v>30</v>
      </c>
      <c r="H8" s="2">
        <v>0.5</v>
      </c>
      <c r="I8" s="2">
        <v>20</v>
      </c>
      <c r="J8" s="2">
        <v>16</v>
      </c>
      <c r="K8" s="2" t="s">
        <v>147</v>
      </c>
      <c r="L8" s="12">
        <v>0.68</v>
      </c>
      <c r="M8" s="2" t="str">
        <f t="shared" si="0"/>
        <v>석남동 6-80</v>
      </c>
      <c r="N8" s="2">
        <v>15</v>
      </c>
      <c r="O8" s="2">
        <v>30</v>
      </c>
      <c r="P8" s="2">
        <v>0.5</v>
      </c>
      <c r="Q8" s="2">
        <v>0.68</v>
      </c>
      <c r="R8" s="2" t="s">
        <v>147</v>
      </c>
      <c r="S8" s="2" t="s">
        <v>11</v>
      </c>
    </row>
    <row r="9" spans="1:19" ht="21.75" customHeight="1" x14ac:dyDescent="0.3">
      <c r="A9" s="2" t="s">
        <v>278</v>
      </c>
      <c r="B9" s="1" t="s">
        <v>22</v>
      </c>
      <c r="C9" s="2" t="s">
        <v>453</v>
      </c>
      <c r="D9" s="2" t="s">
        <v>455</v>
      </c>
      <c r="E9" s="6" t="s">
        <v>465</v>
      </c>
      <c r="F9" s="2">
        <v>15</v>
      </c>
      <c r="G9" s="2">
        <v>30</v>
      </c>
      <c r="H9" s="2">
        <v>0.5</v>
      </c>
      <c r="I9" s="2">
        <v>30</v>
      </c>
      <c r="J9" s="2">
        <v>16</v>
      </c>
      <c r="K9" s="2" t="s">
        <v>147</v>
      </c>
      <c r="L9" s="12">
        <v>0.68</v>
      </c>
      <c r="M9" s="2" t="str">
        <f t="shared" si="0"/>
        <v>석남동 6-98</v>
      </c>
      <c r="N9" s="2">
        <v>15</v>
      </c>
      <c r="O9" s="2">
        <v>30</v>
      </c>
      <c r="P9" s="2">
        <v>0.5</v>
      </c>
      <c r="Q9" s="2">
        <v>0.68</v>
      </c>
      <c r="R9" s="2" t="s">
        <v>147</v>
      </c>
      <c r="S9" s="2" t="s">
        <v>11</v>
      </c>
    </row>
    <row r="10" spans="1:19" ht="21.75" customHeight="1" x14ac:dyDescent="0.3">
      <c r="A10" s="2" t="s">
        <v>279</v>
      </c>
      <c r="B10" s="1" t="s">
        <v>22</v>
      </c>
      <c r="C10" s="2" t="s">
        <v>453</v>
      </c>
      <c r="D10" s="2" t="s">
        <v>455</v>
      </c>
      <c r="E10" s="6" t="s">
        <v>466</v>
      </c>
      <c r="F10" s="2">
        <v>25</v>
      </c>
      <c r="G10" s="2">
        <v>50</v>
      </c>
      <c r="H10" s="2">
        <v>0.5</v>
      </c>
      <c r="I10" s="2">
        <v>25</v>
      </c>
      <c r="J10" s="2">
        <v>15</v>
      </c>
      <c r="K10" s="2" t="s">
        <v>148</v>
      </c>
      <c r="L10" s="12">
        <v>3.73</v>
      </c>
      <c r="M10" s="2" t="str">
        <f t="shared" si="0"/>
        <v>석남동 11-5</v>
      </c>
      <c r="N10" s="2">
        <v>25</v>
      </c>
      <c r="O10" s="2">
        <v>50</v>
      </c>
      <c r="P10" s="2">
        <v>0.5</v>
      </c>
      <c r="Q10" s="2">
        <v>3.73</v>
      </c>
      <c r="R10" s="2" t="s">
        <v>148</v>
      </c>
      <c r="S10" s="2" t="s">
        <v>11</v>
      </c>
    </row>
    <row r="11" spans="1:19" ht="21.75" customHeight="1" x14ac:dyDescent="0.3">
      <c r="A11" s="2" t="s">
        <v>280</v>
      </c>
      <c r="B11" s="1" t="s">
        <v>22</v>
      </c>
      <c r="C11" s="2" t="s">
        <v>453</v>
      </c>
      <c r="D11" s="2" t="s">
        <v>455</v>
      </c>
      <c r="E11" s="6" t="s">
        <v>467</v>
      </c>
      <c r="F11" s="2">
        <v>30</v>
      </c>
      <c r="G11" s="2">
        <v>50</v>
      </c>
      <c r="H11" s="2">
        <v>0.5</v>
      </c>
      <c r="I11" s="2">
        <v>20</v>
      </c>
      <c r="J11" s="2">
        <v>15</v>
      </c>
      <c r="K11" s="2" t="s">
        <v>148</v>
      </c>
      <c r="L11" s="12">
        <v>3.61</v>
      </c>
      <c r="M11" s="2" t="str">
        <f t="shared" si="0"/>
        <v>석남동 2</v>
      </c>
      <c r="N11" s="2">
        <v>30</v>
      </c>
      <c r="O11" s="2">
        <v>50</v>
      </c>
      <c r="P11" s="2">
        <v>0.5</v>
      </c>
      <c r="Q11" s="2">
        <v>3.61</v>
      </c>
      <c r="R11" s="2" t="s">
        <v>148</v>
      </c>
      <c r="S11" s="2" t="s">
        <v>11</v>
      </c>
    </row>
    <row r="12" spans="1:19" ht="21.75" customHeight="1" x14ac:dyDescent="0.3">
      <c r="A12" s="2" t="s">
        <v>281</v>
      </c>
      <c r="B12" s="1" t="s">
        <v>22</v>
      </c>
      <c r="C12" s="2" t="s">
        <v>453</v>
      </c>
      <c r="D12" s="2" t="s">
        <v>468</v>
      </c>
      <c r="E12" s="6" t="s">
        <v>470</v>
      </c>
      <c r="F12" s="2">
        <v>15</v>
      </c>
      <c r="G12" s="2">
        <v>50</v>
      </c>
      <c r="H12" s="2">
        <v>1</v>
      </c>
      <c r="I12" s="2">
        <v>20</v>
      </c>
      <c r="J12" s="2">
        <v>16</v>
      </c>
      <c r="K12" s="2" t="s">
        <v>147</v>
      </c>
      <c r="L12" s="12">
        <v>0.68</v>
      </c>
      <c r="M12" s="2" t="str">
        <f t="shared" si="0"/>
        <v>석림동 725-4</v>
      </c>
      <c r="N12" s="2">
        <v>15</v>
      </c>
      <c r="O12" s="2">
        <v>50</v>
      </c>
      <c r="P12" s="2">
        <v>1</v>
      </c>
      <c r="Q12" s="2">
        <v>0.68</v>
      </c>
      <c r="R12" s="2" t="s">
        <v>147</v>
      </c>
      <c r="S12" s="2" t="s">
        <v>11</v>
      </c>
    </row>
    <row r="13" spans="1:19" ht="21.75" customHeight="1" x14ac:dyDescent="0.3">
      <c r="A13" s="2" t="s">
        <v>282</v>
      </c>
      <c r="B13" s="1" t="s">
        <v>22</v>
      </c>
      <c r="C13" s="2" t="s">
        <v>453</v>
      </c>
      <c r="D13" s="2" t="s">
        <v>468</v>
      </c>
      <c r="E13" s="6" t="s">
        <v>471</v>
      </c>
      <c r="F13" s="2">
        <v>20</v>
      </c>
      <c r="G13" s="2">
        <v>40</v>
      </c>
      <c r="H13" s="2">
        <v>0.5</v>
      </c>
      <c r="I13" s="2">
        <v>20</v>
      </c>
      <c r="J13" s="2">
        <v>16</v>
      </c>
      <c r="K13" s="2" t="s">
        <v>147</v>
      </c>
      <c r="L13" s="12">
        <v>0.68</v>
      </c>
      <c r="M13" s="2" t="str">
        <f t="shared" si="0"/>
        <v>석림동 733-4</v>
      </c>
      <c r="N13" s="2">
        <v>20</v>
      </c>
      <c r="O13" s="2">
        <v>40</v>
      </c>
      <c r="P13" s="2">
        <v>0.5</v>
      </c>
      <c r="Q13" s="2">
        <v>0.68</v>
      </c>
      <c r="R13" s="2" t="s">
        <v>147</v>
      </c>
      <c r="S13" s="2" t="s">
        <v>11</v>
      </c>
    </row>
    <row r="14" spans="1:19" ht="21.75" customHeight="1" x14ac:dyDescent="0.3">
      <c r="A14" s="2" t="s">
        <v>298</v>
      </c>
      <c r="B14" s="1" t="s">
        <v>22</v>
      </c>
      <c r="C14" s="2" t="s">
        <v>453</v>
      </c>
      <c r="D14" s="2" t="s">
        <v>468</v>
      </c>
      <c r="E14" s="6" t="s">
        <v>472</v>
      </c>
      <c r="F14" s="2">
        <v>15</v>
      </c>
      <c r="G14" s="2">
        <v>50</v>
      </c>
      <c r="H14" s="2">
        <v>0.5</v>
      </c>
      <c r="I14" s="2">
        <v>30</v>
      </c>
      <c r="J14" s="2">
        <v>16</v>
      </c>
      <c r="K14" s="2" t="s">
        <v>147</v>
      </c>
      <c r="L14" s="12">
        <v>0.68</v>
      </c>
      <c r="M14" s="2" t="str">
        <f t="shared" si="0"/>
        <v>석림동 736-11</v>
      </c>
      <c r="N14" s="2">
        <v>15</v>
      </c>
      <c r="O14" s="2">
        <v>50</v>
      </c>
      <c r="P14" s="2">
        <v>0.5</v>
      </c>
      <c r="Q14" s="2">
        <v>0.68</v>
      </c>
      <c r="R14" s="2" t="s">
        <v>147</v>
      </c>
      <c r="S14" s="2" t="s">
        <v>11</v>
      </c>
    </row>
    <row r="15" spans="1:19" ht="21.75" customHeight="1" x14ac:dyDescent="0.3">
      <c r="A15" s="2" t="s">
        <v>447</v>
      </c>
      <c r="B15" s="1" t="s">
        <v>22</v>
      </c>
      <c r="C15" s="2" t="s">
        <v>453</v>
      </c>
      <c r="D15" s="2" t="s">
        <v>468</v>
      </c>
      <c r="E15" s="6" t="s">
        <v>473</v>
      </c>
      <c r="F15" s="2">
        <v>15</v>
      </c>
      <c r="G15" s="2">
        <v>40</v>
      </c>
      <c r="H15" s="2">
        <v>0.5</v>
      </c>
      <c r="I15" s="2">
        <v>20</v>
      </c>
      <c r="J15" s="2">
        <v>16</v>
      </c>
      <c r="K15" s="2" t="s">
        <v>147</v>
      </c>
      <c r="L15" s="12">
        <v>0.68</v>
      </c>
      <c r="M15" s="2" t="str">
        <f t="shared" ref="M15:M16" si="1">D15&amp;" " &amp; E15</f>
        <v>석림동 736-16</v>
      </c>
      <c r="N15" s="2">
        <v>15</v>
      </c>
      <c r="O15" s="2">
        <v>40</v>
      </c>
      <c r="P15" s="2">
        <v>0.5</v>
      </c>
      <c r="Q15" s="2">
        <v>0.68</v>
      </c>
      <c r="R15" s="2" t="s">
        <v>147</v>
      </c>
      <c r="S15" s="2" t="s">
        <v>11</v>
      </c>
    </row>
    <row r="16" spans="1:19" ht="21.75" customHeight="1" x14ac:dyDescent="0.3">
      <c r="A16" s="2" t="s">
        <v>448</v>
      </c>
      <c r="B16" s="1" t="s">
        <v>22</v>
      </c>
      <c r="C16" s="2" t="s">
        <v>453</v>
      </c>
      <c r="D16" s="2" t="s">
        <v>468</v>
      </c>
      <c r="E16" s="6" t="s">
        <v>474</v>
      </c>
      <c r="F16" s="2">
        <v>25</v>
      </c>
      <c r="G16" s="2">
        <v>50</v>
      </c>
      <c r="H16" s="2">
        <v>0.5</v>
      </c>
      <c r="I16" s="2">
        <v>30</v>
      </c>
      <c r="J16" s="2">
        <v>16</v>
      </c>
      <c r="K16" s="2" t="s">
        <v>147</v>
      </c>
      <c r="L16" s="12">
        <v>0.68</v>
      </c>
      <c r="M16" s="2" t="str">
        <f t="shared" si="1"/>
        <v>석림동 729-3</v>
      </c>
      <c r="N16" s="2">
        <v>25</v>
      </c>
      <c r="O16" s="2">
        <v>50</v>
      </c>
      <c r="P16" s="2">
        <v>0.5</v>
      </c>
      <c r="Q16" s="2">
        <v>0.68</v>
      </c>
      <c r="R16" s="2" t="s">
        <v>147</v>
      </c>
      <c r="S16" s="2" t="s">
        <v>11</v>
      </c>
    </row>
    <row r="17" spans="1:19" ht="21.75" customHeight="1" x14ac:dyDescent="0.3">
      <c r="A17" s="2" t="s">
        <v>449</v>
      </c>
      <c r="B17" s="1" t="s">
        <v>22</v>
      </c>
      <c r="C17" s="2" t="s">
        <v>453</v>
      </c>
      <c r="D17" s="2" t="s">
        <v>468</v>
      </c>
      <c r="E17" s="6" t="s">
        <v>475</v>
      </c>
      <c r="F17" s="2">
        <v>30</v>
      </c>
      <c r="G17" s="2">
        <v>50</v>
      </c>
      <c r="H17" s="2">
        <v>0.5</v>
      </c>
      <c r="I17" s="2">
        <v>30</v>
      </c>
      <c r="J17" s="2">
        <v>20</v>
      </c>
      <c r="K17" s="2" t="s">
        <v>147</v>
      </c>
      <c r="L17" s="12">
        <v>0.68</v>
      </c>
      <c r="M17" s="2" t="str">
        <f t="shared" ref="M17:M18" si="2">D17&amp;" " &amp; E17</f>
        <v>석림동 729-6</v>
      </c>
      <c r="N17" s="2">
        <v>30</v>
      </c>
      <c r="O17" s="2">
        <v>50</v>
      </c>
      <c r="P17" s="2">
        <v>0.5</v>
      </c>
      <c r="Q17" s="2">
        <v>0.68</v>
      </c>
      <c r="R17" s="2" t="s">
        <v>147</v>
      </c>
      <c r="S17" s="2" t="s">
        <v>11</v>
      </c>
    </row>
    <row r="18" spans="1:19" ht="21.75" customHeight="1" x14ac:dyDescent="0.3">
      <c r="A18" s="2" t="s">
        <v>450</v>
      </c>
      <c r="B18" s="1" t="s">
        <v>22</v>
      </c>
      <c r="C18" s="2" t="s">
        <v>453</v>
      </c>
      <c r="D18" s="2" t="s">
        <v>454</v>
      </c>
      <c r="E18" s="6" t="s">
        <v>478</v>
      </c>
      <c r="F18" s="2">
        <v>21</v>
      </c>
      <c r="G18" s="2">
        <v>40</v>
      </c>
      <c r="H18" s="2">
        <v>0.5</v>
      </c>
      <c r="I18" s="2">
        <v>5</v>
      </c>
      <c r="J18" s="2">
        <v>30</v>
      </c>
      <c r="K18" s="2" t="s">
        <v>147</v>
      </c>
      <c r="L18" s="12">
        <v>0.68</v>
      </c>
      <c r="M18" s="2" t="str">
        <f t="shared" si="2"/>
        <v>읍내동 19-1</v>
      </c>
      <c r="N18" s="2">
        <v>21</v>
      </c>
      <c r="O18" s="2">
        <v>40</v>
      </c>
      <c r="P18" s="2">
        <v>0.5</v>
      </c>
      <c r="Q18" s="2">
        <v>0.68</v>
      </c>
      <c r="R18" s="2" t="s">
        <v>147</v>
      </c>
      <c r="S18" s="2" t="s">
        <v>11</v>
      </c>
    </row>
    <row r="19" spans="1:19" ht="21.75" customHeight="1" x14ac:dyDescent="0.3">
      <c r="A19" s="2" t="s">
        <v>451</v>
      </c>
      <c r="B19" s="1" t="s">
        <v>22</v>
      </c>
      <c r="C19" s="2" t="s">
        <v>453</v>
      </c>
      <c r="D19" s="2" t="s">
        <v>454</v>
      </c>
      <c r="E19" s="6" t="s">
        <v>505</v>
      </c>
      <c r="F19" s="2">
        <v>30</v>
      </c>
      <c r="G19" s="2">
        <v>50</v>
      </c>
      <c r="H19" s="2">
        <v>0.5</v>
      </c>
      <c r="I19" s="2">
        <v>30</v>
      </c>
      <c r="J19" s="2">
        <v>16</v>
      </c>
      <c r="K19" s="2" t="s">
        <v>147</v>
      </c>
      <c r="L19" s="12">
        <v>0.68</v>
      </c>
      <c r="M19" s="2" t="str">
        <f t="shared" ref="M19" si="3">D19&amp;" " &amp; E19</f>
        <v>읍내동 21-9</v>
      </c>
      <c r="N19" s="2">
        <v>30</v>
      </c>
      <c r="O19" s="2">
        <v>50</v>
      </c>
      <c r="P19" s="2">
        <v>0.5</v>
      </c>
      <c r="Q19" s="2">
        <v>0.68</v>
      </c>
      <c r="R19" s="2" t="s">
        <v>147</v>
      </c>
      <c r="S19" s="2" t="s">
        <v>11</v>
      </c>
    </row>
    <row r="20" spans="1:19" ht="21.75" customHeight="1" x14ac:dyDescent="0.3">
      <c r="A20" s="2" t="s">
        <v>479</v>
      </c>
      <c r="B20" s="1" t="s">
        <v>22</v>
      </c>
      <c r="C20" s="2" t="s">
        <v>453</v>
      </c>
      <c r="D20" s="2" t="s">
        <v>506</v>
      </c>
      <c r="E20" s="6" t="s">
        <v>507</v>
      </c>
      <c r="F20" s="2">
        <v>25</v>
      </c>
      <c r="G20" s="2">
        <v>50</v>
      </c>
      <c r="H20" s="2">
        <v>0.5</v>
      </c>
      <c r="I20" s="2">
        <v>20</v>
      </c>
      <c r="J20" s="2">
        <v>16</v>
      </c>
      <c r="K20" s="2" t="s">
        <v>147</v>
      </c>
      <c r="L20" s="12">
        <v>0.68</v>
      </c>
      <c r="M20" s="2" t="str">
        <f t="shared" ref="M20:M21" si="4">D20&amp;" " &amp; E20</f>
        <v>동문동 997</v>
      </c>
      <c r="N20" s="2">
        <v>25</v>
      </c>
      <c r="O20" s="2">
        <v>50</v>
      </c>
      <c r="P20" s="2">
        <v>0.5</v>
      </c>
      <c r="Q20" s="2">
        <v>0.68</v>
      </c>
      <c r="R20" s="2" t="s">
        <v>147</v>
      </c>
      <c r="S20" s="2" t="s">
        <v>11</v>
      </c>
    </row>
    <row r="21" spans="1:19" ht="21.75" customHeight="1" x14ac:dyDescent="0.3">
      <c r="A21" s="2" t="s">
        <v>480</v>
      </c>
      <c r="B21" s="1" t="s">
        <v>22</v>
      </c>
      <c r="C21" s="2" t="s">
        <v>453</v>
      </c>
      <c r="D21" s="2" t="s">
        <v>506</v>
      </c>
      <c r="E21" s="6" t="s">
        <v>508</v>
      </c>
      <c r="F21" s="2">
        <v>25</v>
      </c>
      <c r="G21" s="2">
        <v>50</v>
      </c>
      <c r="H21" s="2">
        <v>0.5</v>
      </c>
      <c r="I21" s="2">
        <v>20</v>
      </c>
      <c r="J21" s="2">
        <v>16</v>
      </c>
      <c r="K21" s="2" t="s">
        <v>147</v>
      </c>
      <c r="L21" s="12">
        <v>0.68</v>
      </c>
      <c r="M21" s="2" t="str">
        <f t="shared" si="4"/>
        <v>동문동 95-3</v>
      </c>
      <c r="N21" s="2">
        <v>25</v>
      </c>
      <c r="O21" s="2">
        <v>50</v>
      </c>
      <c r="P21" s="2">
        <v>0.5</v>
      </c>
      <c r="Q21" s="2">
        <v>0.68</v>
      </c>
      <c r="R21" s="2" t="s">
        <v>147</v>
      </c>
      <c r="S21" s="2" t="s">
        <v>11</v>
      </c>
    </row>
    <row r="22" spans="1:19" ht="21.75" customHeight="1" x14ac:dyDescent="0.3">
      <c r="A22" s="2" t="s">
        <v>481</v>
      </c>
      <c r="B22" s="1" t="s">
        <v>22</v>
      </c>
      <c r="C22" s="2" t="s">
        <v>453</v>
      </c>
      <c r="D22" s="2" t="s">
        <v>506</v>
      </c>
      <c r="E22" s="6" t="s">
        <v>509</v>
      </c>
      <c r="F22" s="2">
        <v>15</v>
      </c>
      <c r="G22" s="2">
        <v>50</v>
      </c>
      <c r="H22" s="2">
        <v>0.5</v>
      </c>
      <c r="I22" s="2">
        <v>25</v>
      </c>
      <c r="J22" s="2">
        <v>30</v>
      </c>
      <c r="K22" s="2" t="s">
        <v>148</v>
      </c>
      <c r="L22" s="12">
        <v>3.73</v>
      </c>
      <c r="M22" s="2" t="str">
        <f t="shared" ref="M22:M23" si="5">D22&amp;" " &amp; E22</f>
        <v>동문동 987-11</v>
      </c>
      <c r="N22" s="2">
        <v>15</v>
      </c>
      <c r="O22" s="2">
        <v>50</v>
      </c>
      <c r="P22" s="2">
        <v>0.5</v>
      </c>
      <c r="Q22" s="2">
        <v>3.73</v>
      </c>
      <c r="R22" s="2" t="s">
        <v>148</v>
      </c>
      <c r="S22" s="2" t="s">
        <v>11</v>
      </c>
    </row>
    <row r="23" spans="1:19" ht="21.75" customHeight="1" x14ac:dyDescent="0.3">
      <c r="A23" s="2" t="s">
        <v>482</v>
      </c>
      <c r="B23" s="1" t="s">
        <v>22</v>
      </c>
      <c r="C23" s="2" t="s">
        <v>453</v>
      </c>
      <c r="D23" s="2" t="s">
        <v>506</v>
      </c>
      <c r="E23" s="6" t="s">
        <v>510</v>
      </c>
      <c r="F23" s="2">
        <v>40</v>
      </c>
      <c r="G23" s="2">
        <v>50</v>
      </c>
      <c r="H23" s="2">
        <v>0.5</v>
      </c>
      <c r="I23" s="2">
        <v>20</v>
      </c>
      <c r="J23" s="2">
        <v>16</v>
      </c>
      <c r="K23" s="2" t="s">
        <v>147</v>
      </c>
      <c r="L23" s="12">
        <v>0.68</v>
      </c>
      <c r="M23" s="2" t="str">
        <f t="shared" si="5"/>
        <v>동문동 999-38</v>
      </c>
      <c r="N23" s="2">
        <v>40</v>
      </c>
      <c r="O23" s="2">
        <v>50</v>
      </c>
      <c r="P23" s="2">
        <v>0.5</v>
      </c>
      <c r="Q23" s="2">
        <v>0.68</v>
      </c>
      <c r="R23" s="2" t="s">
        <v>147</v>
      </c>
      <c r="S23" s="2" t="s">
        <v>11</v>
      </c>
    </row>
    <row r="24" spans="1:19" ht="21.75" customHeight="1" x14ac:dyDescent="0.3">
      <c r="A24" s="2" t="s">
        <v>483</v>
      </c>
      <c r="B24" s="1" t="s">
        <v>22</v>
      </c>
      <c r="C24" s="2" t="s">
        <v>453</v>
      </c>
      <c r="D24" s="2" t="s">
        <v>506</v>
      </c>
      <c r="E24" s="6" t="s">
        <v>511</v>
      </c>
      <c r="F24" s="2">
        <v>30</v>
      </c>
      <c r="G24" s="2">
        <v>50</v>
      </c>
      <c r="H24" s="2">
        <v>0.5</v>
      </c>
      <c r="I24" s="2">
        <v>20</v>
      </c>
      <c r="J24" s="2">
        <v>16</v>
      </c>
      <c r="K24" s="2" t="s">
        <v>147</v>
      </c>
      <c r="L24" s="12">
        <v>0.68</v>
      </c>
      <c r="M24" s="2" t="str">
        <f t="shared" ref="M24" si="6">D24&amp;" " &amp; E24</f>
        <v>동문동 999-41</v>
      </c>
      <c r="N24" s="2">
        <v>30</v>
      </c>
      <c r="O24" s="2">
        <v>50</v>
      </c>
      <c r="P24" s="2">
        <v>0.5</v>
      </c>
      <c r="Q24" s="2">
        <v>0.68</v>
      </c>
      <c r="R24" s="2" t="s">
        <v>147</v>
      </c>
      <c r="S24" s="2" t="s">
        <v>11</v>
      </c>
    </row>
    <row r="25" spans="1:19" ht="21.75" customHeight="1" x14ac:dyDescent="0.3">
      <c r="A25" s="2" t="s">
        <v>484</v>
      </c>
      <c r="B25" s="1" t="s">
        <v>22</v>
      </c>
      <c r="C25" s="2" t="s">
        <v>453</v>
      </c>
      <c r="D25" s="2" t="s">
        <v>506</v>
      </c>
      <c r="E25" s="6" t="s">
        <v>512</v>
      </c>
      <c r="F25" s="2">
        <v>25</v>
      </c>
      <c r="G25" s="2">
        <v>50</v>
      </c>
      <c r="H25" s="2">
        <v>0.5</v>
      </c>
      <c r="I25" s="2">
        <v>20</v>
      </c>
      <c r="J25" s="2">
        <v>16</v>
      </c>
      <c r="K25" s="2" t="s">
        <v>147</v>
      </c>
      <c r="L25" s="12">
        <v>0.68</v>
      </c>
      <c r="M25" s="2" t="str">
        <f>D25&amp;" " &amp; E25</f>
        <v>동문동 999-42</v>
      </c>
      <c r="N25" s="2">
        <v>25</v>
      </c>
      <c r="O25" s="2">
        <v>50</v>
      </c>
      <c r="P25" s="2">
        <v>0.5</v>
      </c>
      <c r="Q25" s="2">
        <v>0.68</v>
      </c>
      <c r="R25" s="2" t="s">
        <v>147</v>
      </c>
      <c r="S25" s="2" t="s">
        <v>11</v>
      </c>
    </row>
    <row r="26" spans="1:19" ht="21.75" customHeight="1" x14ac:dyDescent="0.3">
      <c r="A26" s="2" t="s">
        <v>485</v>
      </c>
      <c r="B26" s="1" t="s">
        <v>22</v>
      </c>
      <c r="C26" s="2" t="s">
        <v>453</v>
      </c>
      <c r="D26" s="2" t="s">
        <v>506</v>
      </c>
      <c r="E26" s="6" t="s">
        <v>513</v>
      </c>
      <c r="F26" s="2">
        <v>30</v>
      </c>
      <c r="G26" s="2">
        <v>50</v>
      </c>
      <c r="H26" s="2">
        <v>0.5</v>
      </c>
      <c r="I26" s="2">
        <v>20</v>
      </c>
      <c r="J26" s="2">
        <v>16</v>
      </c>
      <c r="K26" s="2" t="s">
        <v>147</v>
      </c>
      <c r="L26" s="12">
        <v>0.68</v>
      </c>
      <c r="M26" s="2" t="str">
        <f t="shared" ref="M26:M27" si="7">D26&amp;" " &amp; E26</f>
        <v>동문동 1038-8</v>
      </c>
      <c r="N26" s="2">
        <v>30</v>
      </c>
      <c r="O26" s="2">
        <v>50</v>
      </c>
      <c r="P26" s="2">
        <v>0.5</v>
      </c>
      <c r="Q26" s="2">
        <v>0.68</v>
      </c>
      <c r="R26" s="2" t="s">
        <v>147</v>
      </c>
      <c r="S26" s="2" t="s">
        <v>11</v>
      </c>
    </row>
    <row r="27" spans="1:19" ht="21.75" customHeight="1" x14ac:dyDescent="0.3">
      <c r="A27" s="2" t="s">
        <v>486</v>
      </c>
      <c r="B27" s="1" t="s">
        <v>22</v>
      </c>
      <c r="C27" s="2" t="s">
        <v>453</v>
      </c>
      <c r="D27" s="2" t="s">
        <v>506</v>
      </c>
      <c r="E27" s="6" t="s">
        <v>514</v>
      </c>
      <c r="F27" s="2">
        <v>25</v>
      </c>
      <c r="G27" s="2">
        <v>50</v>
      </c>
      <c r="H27" s="2">
        <v>0.5</v>
      </c>
      <c r="I27" s="2">
        <v>20</v>
      </c>
      <c r="J27" s="2">
        <v>16</v>
      </c>
      <c r="K27" s="2" t="s">
        <v>147</v>
      </c>
      <c r="L27" s="12">
        <v>0.68</v>
      </c>
      <c r="M27" s="2" t="str">
        <f t="shared" si="7"/>
        <v>동문동 1037-3</v>
      </c>
      <c r="N27" s="2">
        <v>25</v>
      </c>
      <c r="O27" s="2">
        <v>50</v>
      </c>
      <c r="P27" s="2">
        <v>0.5</v>
      </c>
      <c r="Q27" s="2">
        <v>0.68</v>
      </c>
      <c r="R27" s="2" t="s">
        <v>147</v>
      </c>
      <c r="S27" s="2" t="s">
        <v>11</v>
      </c>
    </row>
    <row r="28" spans="1:19" ht="21.75" customHeight="1" x14ac:dyDescent="0.3">
      <c r="A28" s="2" t="s">
        <v>487</v>
      </c>
      <c r="B28" s="1" t="s">
        <v>22</v>
      </c>
      <c r="C28" s="2" t="s">
        <v>453</v>
      </c>
      <c r="D28" s="2" t="s">
        <v>506</v>
      </c>
      <c r="E28" s="6" t="s">
        <v>515</v>
      </c>
      <c r="F28" s="2">
        <v>30</v>
      </c>
      <c r="G28" s="2">
        <v>50</v>
      </c>
      <c r="H28" s="2">
        <v>0.5</v>
      </c>
      <c r="I28" s="2">
        <v>20</v>
      </c>
      <c r="J28" s="2">
        <v>16</v>
      </c>
      <c r="K28" s="2" t="s">
        <v>147</v>
      </c>
      <c r="L28" s="12">
        <v>0.68</v>
      </c>
      <c r="M28" s="2" t="str">
        <f t="shared" ref="M28:M29" si="8">D28&amp;" " &amp; E28</f>
        <v>동문동 1037-10</v>
      </c>
      <c r="N28" s="2">
        <v>30</v>
      </c>
      <c r="O28" s="2">
        <v>50</v>
      </c>
      <c r="P28" s="2">
        <v>0.5</v>
      </c>
      <c r="Q28" s="2">
        <v>0.68</v>
      </c>
      <c r="R28" s="2" t="s">
        <v>147</v>
      </c>
      <c r="S28" s="2" t="s">
        <v>11</v>
      </c>
    </row>
    <row r="29" spans="1:19" ht="21.75" customHeight="1" x14ac:dyDescent="0.3">
      <c r="A29" s="2" t="s">
        <v>488</v>
      </c>
      <c r="B29" s="1" t="s">
        <v>22</v>
      </c>
      <c r="C29" s="2" t="s">
        <v>453</v>
      </c>
      <c r="D29" s="2" t="s">
        <v>506</v>
      </c>
      <c r="E29" s="6" t="s">
        <v>516</v>
      </c>
      <c r="F29" s="2">
        <v>30</v>
      </c>
      <c r="G29" s="2">
        <v>50</v>
      </c>
      <c r="H29" s="2">
        <v>0.5</v>
      </c>
      <c r="I29" s="2">
        <v>20</v>
      </c>
      <c r="J29" s="2">
        <v>16</v>
      </c>
      <c r="K29" s="2" t="s">
        <v>147</v>
      </c>
      <c r="L29" s="12">
        <v>0.68</v>
      </c>
      <c r="M29" s="2" t="str">
        <f t="shared" si="8"/>
        <v>동문동 1037-12</v>
      </c>
      <c r="N29" s="2">
        <v>30</v>
      </c>
      <c r="O29" s="2">
        <v>50</v>
      </c>
      <c r="P29" s="2">
        <v>0.5</v>
      </c>
      <c r="Q29" s="2">
        <v>0.68</v>
      </c>
      <c r="R29" s="2" t="s">
        <v>147</v>
      </c>
      <c r="S29" s="2" t="s">
        <v>11</v>
      </c>
    </row>
    <row r="30" spans="1:19" ht="21.75" customHeight="1" x14ac:dyDescent="0.3">
      <c r="A30" s="2" t="s">
        <v>489</v>
      </c>
      <c r="B30" s="1" t="s">
        <v>22</v>
      </c>
      <c r="C30" s="2" t="s">
        <v>453</v>
      </c>
      <c r="D30" s="2" t="s">
        <v>468</v>
      </c>
      <c r="E30" s="6" t="s">
        <v>517</v>
      </c>
      <c r="F30" s="2">
        <v>24</v>
      </c>
      <c r="G30" s="2">
        <v>40</v>
      </c>
      <c r="H30" s="2">
        <v>0.5</v>
      </c>
      <c r="I30" s="2">
        <v>20</v>
      </c>
      <c r="J30" s="2">
        <v>16</v>
      </c>
      <c r="K30" s="2" t="s">
        <v>147</v>
      </c>
      <c r="L30" s="12">
        <v>0.68</v>
      </c>
      <c r="M30" s="2" t="str">
        <f t="shared" ref="M30:M31" si="9">D30&amp;" " &amp; E30</f>
        <v>석림동 710-2</v>
      </c>
      <c r="N30" s="2">
        <v>24</v>
      </c>
      <c r="O30" s="2">
        <v>40</v>
      </c>
      <c r="P30" s="2">
        <v>0.5</v>
      </c>
      <c r="Q30" s="2">
        <v>0.68</v>
      </c>
      <c r="R30" s="2" t="s">
        <v>147</v>
      </c>
      <c r="S30" s="2" t="s">
        <v>11</v>
      </c>
    </row>
    <row r="31" spans="1:19" ht="21.75" customHeight="1" x14ac:dyDescent="0.3">
      <c r="A31" s="2" t="s">
        <v>490</v>
      </c>
      <c r="B31" s="1" t="s">
        <v>22</v>
      </c>
      <c r="C31" s="2" t="s">
        <v>453</v>
      </c>
      <c r="D31" s="2" t="s">
        <v>506</v>
      </c>
      <c r="E31" s="6" t="s">
        <v>518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147</v>
      </c>
      <c r="L31" s="12">
        <v>0.68</v>
      </c>
      <c r="M31" s="2" t="str">
        <f t="shared" si="9"/>
        <v>동문동 1036-9</v>
      </c>
      <c r="N31" s="2">
        <v>30</v>
      </c>
      <c r="O31" s="2">
        <v>50</v>
      </c>
      <c r="P31" s="2">
        <v>0.5</v>
      </c>
      <c r="Q31" s="2">
        <v>0.68</v>
      </c>
      <c r="R31" s="2" t="s">
        <v>147</v>
      </c>
      <c r="S31" s="2" t="s">
        <v>11</v>
      </c>
    </row>
    <row r="32" spans="1:19" ht="21.75" customHeight="1" x14ac:dyDescent="0.3">
      <c r="A32" s="2" t="s">
        <v>491</v>
      </c>
      <c r="B32" s="1" t="s">
        <v>22</v>
      </c>
      <c r="C32" s="2" t="s">
        <v>453</v>
      </c>
      <c r="D32" s="2" t="s">
        <v>506</v>
      </c>
      <c r="E32" s="6" t="s">
        <v>519</v>
      </c>
      <c r="F32" s="2">
        <v>12</v>
      </c>
      <c r="G32" s="2">
        <v>32</v>
      </c>
      <c r="H32" s="2">
        <v>0.5</v>
      </c>
      <c r="I32" s="2">
        <v>25</v>
      </c>
      <c r="J32" s="2">
        <v>25</v>
      </c>
      <c r="K32" s="2" t="s">
        <v>148</v>
      </c>
      <c r="L32" s="12">
        <v>3.73</v>
      </c>
      <c r="M32" s="2" t="str">
        <f t="shared" ref="M32:M33" si="10">D32&amp;" " &amp; E32</f>
        <v>동문동 267-17</v>
      </c>
      <c r="N32" s="2">
        <v>12</v>
      </c>
      <c r="O32" s="2">
        <v>32</v>
      </c>
      <c r="P32" s="2">
        <v>0.5</v>
      </c>
      <c r="Q32" s="2">
        <v>3.73</v>
      </c>
      <c r="R32" s="2" t="s">
        <v>148</v>
      </c>
      <c r="S32" s="2" t="s">
        <v>11</v>
      </c>
    </row>
    <row r="33" spans="1:19" ht="21.75" customHeight="1" x14ac:dyDescent="0.3">
      <c r="A33" s="2" t="s">
        <v>492</v>
      </c>
      <c r="B33" s="1" t="s">
        <v>22</v>
      </c>
      <c r="C33" s="2" t="s">
        <v>453</v>
      </c>
      <c r="D33" s="2" t="s">
        <v>468</v>
      </c>
      <c r="E33" s="6" t="s">
        <v>520</v>
      </c>
      <c r="F33" s="2">
        <v>30</v>
      </c>
      <c r="G33" s="2">
        <v>50</v>
      </c>
      <c r="H33" s="2">
        <v>0.5</v>
      </c>
      <c r="I33" s="2">
        <v>30</v>
      </c>
      <c r="J33" s="2">
        <v>16</v>
      </c>
      <c r="K33" s="2" t="s">
        <v>147</v>
      </c>
      <c r="L33" s="12">
        <v>0.68</v>
      </c>
      <c r="M33" s="2" t="str">
        <f t="shared" si="10"/>
        <v>석림동 617-22</v>
      </c>
      <c r="N33" s="2">
        <v>30</v>
      </c>
      <c r="O33" s="2">
        <v>50</v>
      </c>
      <c r="P33" s="2">
        <v>0.5</v>
      </c>
      <c r="Q33" s="2">
        <v>0.68</v>
      </c>
      <c r="R33" s="2" t="s">
        <v>147</v>
      </c>
      <c r="S33" s="2" t="s">
        <v>11</v>
      </c>
    </row>
    <row r="34" spans="1:19" ht="21.75" customHeight="1" x14ac:dyDescent="0.3">
      <c r="A34" s="2" t="s">
        <v>493</v>
      </c>
      <c r="B34" s="1" t="s">
        <v>22</v>
      </c>
      <c r="C34" s="2" t="s">
        <v>453</v>
      </c>
      <c r="D34" s="2" t="s">
        <v>506</v>
      </c>
      <c r="E34" s="6" t="s">
        <v>521</v>
      </c>
      <c r="F34" s="2">
        <v>20</v>
      </c>
      <c r="G34" s="2">
        <v>40</v>
      </c>
      <c r="H34" s="2">
        <v>3</v>
      </c>
      <c r="I34" s="2">
        <v>28</v>
      </c>
      <c r="J34" s="2">
        <v>32</v>
      </c>
      <c r="K34" s="2" t="s">
        <v>148</v>
      </c>
      <c r="L34" s="12">
        <v>3.8</v>
      </c>
      <c r="M34" s="2" t="str">
        <f t="shared" ref="M34:M35" si="11">D34&amp;" " &amp; E34</f>
        <v>동문동 274-20</v>
      </c>
      <c r="N34" s="2">
        <v>20</v>
      </c>
      <c r="O34" s="2">
        <v>40</v>
      </c>
      <c r="P34" s="2">
        <v>3</v>
      </c>
      <c r="Q34" s="2">
        <v>3.8</v>
      </c>
      <c r="R34" s="2" t="s">
        <v>148</v>
      </c>
      <c r="S34" s="2" t="s">
        <v>11</v>
      </c>
    </row>
    <row r="35" spans="1:19" ht="21.75" customHeight="1" x14ac:dyDescent="0.3">
      <c r="A35" s="2" t="s">
        <v>494</v>
      </c>
      <c r="B35" s="1" t="s">
        <v>22</v>
      </c>
      <c r="C35" s="2" t="s">
        <v>453</v>
      </c>
      <c r="D35" s="2" t="s">
        <v>468</v>
      </c>
      <c r="E35" s="6" t="s">
        <v>522</v>
      </c>
      <c r="F35" s="2">
        <v>13</v>
      </c>
      <c r="G35" s="2">
        <v>32</v>
      </c>
      <c r="H35" s="2">
        <v>0.5</v>
      </c>
      <c r="I35" s="2">
        <v>25</v>
      </c>
      <c r="J35" s="2">
        <v>16</v>
      </c>
      <c r="K35" s="2" t="s">
        <v>148</v>
      </c>
      <c r="L35" s="12">
        <v>3.73</v>
      </c>
      <c r="M35" s="2" t="str">
        <f t="shared" si="11"/>
        <v>석림동 274-27</v>
      </c>
      <c r="N35" s="2">
        <v>13</v>
      </c>
      <c r="O35" s="2">
        <v>32</v>
      </c>
      <c r="P35" s="2">
        <v>0.5</v>
      </c>
      <c r="Q35" s="2">
        <v>3.73</v>
      </c>
      <c r="R35" s="2" t="s">
        <v>148</v>
      </c>
      <c r="S35" s="2" t="s">
        <v>11</v>
      </c>
    </row>
    <row r="36" spans="1:19" ht="21.75" customHeight="1" x14ac:dyDescent="0.3">
      <c r="A36" s="2" t="s">
        <v>495</v>
      </c>
      <c r="B36" s="1" t="s">
        <v>22</v>
      </c>
      <c r="C36" s="2" t="s">
        <v>453</v>
      </c>
      <c r="D36" s="2" t="s">
        <v>468</v>
      </c>
      <c r="E36" s="6" t="s">
        <v>523</v>
      </c>
      <c r="F36" s="2">
        <v>70</v>
      </c>
      <c r="G36" s="2">
        <v>100</v>
      </c>
      <c r="H36" s="2">
        <v>3</v>
      </c>
      <c r="I36" s="2">
        <v>21</v>
      </c>
      <c r="J36" s="2">
        <v>25</v>
      </c>
      <c r="K36" s="2" t="s">
        <v>148</v>
      </c>
      <c r="L36" s="12">
        <v>3.64</v>
      </c>
      <c r="M36" s="2" t="str">
        <f t="shared" ref="M36:M37" si="12">D36&amp;" " &amp; E36</f>
        <v>석림동 274-11</v>
      </c>
      <c r="N36" s="2">
        <v>70</v>
      </c>
      <c r="O36" s="2">
        <v>100</v>
      </c>
      <c r="P36" s="2">
        <v>3</v>
      </c>
      <c r="Q36" s="2">
        <v>3.64</v>
      </c>
      <c r="R36" s="2" t="s">
        <v>148</v>
      </c>
      <c r="S36" s="2" t="s">
        <v>11</v>
      </c>
    </row>
    <row r="37" spans="1:19" ht="21.75" customHeight="1" x14ac:dyDescent="0.3">
      <c r="A37" s="2" t="s">
        <v>496</v>
      </c>
      <c r="B37" s="1" t="s">
        <v>22</v>
      </c>
      <c r="C37" s="2" t="s">
        <v>453</v>
      </c>
      <c r="D37" s="2" t="s">
        <v>461</v>
      </c>
      <c r="E37" s="6" t="s">
        <v>524</v>
      </c>
      <c r="F37" s="2">
        <v>80</v>
      </c>
      <c r="G37" s="2">
        <v>200</v>
      </c>
      <c r="H37" s="2">
        <v>3</v>
      </c>
      <c r="I37" s="2">
        <v>50</v>
      </c>
      <c r="J37" s="2">
        <v>40</v>
      </c>
      <c r="K37" s="2" t="s">
        <v>154</v>
      </c>
      <c r="L37" s="12">
        <v>0.68</v>
      </c>
      <c r="M37" s="2" t="str">
        <f t="shared" si="12"/>
        <v>예천동 1255-2</v>
      </c>
      <c r="N37" s="2">
        <v>80</v>
      </c>
      <c r="O37" s="2">
        <v>200</v>
      </c>
      <c r="P37" s="2">
        <v>3</v>
      </c>
      <c r="Q37" s="2">
        <v>0.68</v>
      </c>
      <c r="R37" s="2" t="s">
        <v>154</v>
      </c>
      <c r="S37" s="2" t="s">
        <v>11</v>
      </c>
    </row>
    <row r="38" spans="1:19" ht="21.75" customHeight="1" x14ac:dyDescent="0.3">
      <c r="A38" s="2" t="s">
        <v>497</v>
      </c>
      <c r="B38" s="1" t="s">
        <v>22</v>
      </c>
      <c r="C38" s="2" t="s">
        <v>453</v>
      </c>
      <c r="D38" s="2" t="s">
        <v>461</v>
      </c>
      <c r="E38" s="6" t="s">
        <v>525</v>
      </c>
      <c r="F38" s="2">
        <v>100</v>
      </c>
      <c r="G38" s="2">
        <v>200</v>
      </c>
      <c r="H38" s="2">
        <v>2</v>
      </c>
      <c r="I38" s="2">
        <v>95</v>
      </c>
      <c r="J38" s="2">
        <v>32</v>
      </c>
      <c r="K38" s="2" t="s">
        <v>154</v>
      </c>
      <c r="L38" s="12">
        <v>0.68</v>
      </c>
      <c r="M38" s="2" t="str">
        <f t="shared" ref="M38:M39" si="13">D38&amp;" " &amp; E38</f>
        <v>예천동 1270-1</v>
      </c>
      <c r="N38" s="2">
        <v>100</v>
      </c>
      <c r="O38" s="2">
        <v>200</v>
      </c>
      <c r="P38" s="2">
        <v>2</v>
      </c>
      <c r="Q38" s="2">
        <v>0.68</v>
      </c>
      <c r="R38" s="2" t="s">
        <v>154</v>
      </c>
      <c r="S38" s="2" t="s">
        <v>11</v>
      </c>
    </row>
    <row r="39" spans="1:19" ht="21.75" customHeight="1" x14ac:dyDescent="0.3">
      <c r="A39" s="2" t="s">
        <v>498</v>
      </c>
      <c r="B39" s="1" t="s">
        <v>22</v>
      </c>
      <c r="C39" s="2" t="s">
        <v>453</v>
      </c>
      <c r="D39" s="2" t="s">
        <v>461</v>
      </c>
      <c r="E39" s="6" t="s">
        <v>526</v>
      </c>
      <c r="F39" s="2">
        <v>90</v>
      </c>
      <c r="G39" s="2">
        <v>250</v>
      </c>
      <c r="H39" s="2">
        <v>2</v>
      </c>
      <c r="I39" s="2">
        <v>115</v>
      </c>
      <c r="J39" s="2">
        <v>50</v>
      </c>
      <c r="K39" s="2" t="s">
        <v>150</v>
      </c>
      <c r="L39" s="12">
        <v>5.8</v>
      </c>
      <c r="M39" s="2" t="str">
        <f t="shared" si="13"/>
        <v>예천동 496-21</v>
      </c>
      <c r="N39" s="2">
        <v>90</v>
      </c>
      <c r="O39" s="2">
        <v>250</v>
      </c>
      <c r="P39" s="2">
        <v>2</v>
      </c>
      <c r="Q39" s="2">
        <v>5.8</v>
      </c>
      <c r="R39" s="2" t="s">
        <v>150</v>
      </c>
      <c r="S39" s="2" t="s">
        <v>11</v>
      </c>
    </row>
    <row r="40" spans="1:19" ht="21.75" customHeight="1" x14ac:dyDescent="0.3">
      <c r="A40" s="2" t="s">
        <v>499</v>
      </c>
      <c r="B40" s="1" t="s">
        <v>22</v>
      </c>
      <c r="C40" s="2" t="s">
        <v>453</v>
      </c>
      <c r="D40" s="2" t="s">
        <v>461</v>
      </c>
      <c r="E40" s="6" t="s">
        <v>527</v>
      </c>
      <c r="F40" s="2">
        <v>33</v>
      </c>
      <c r="G40" s="2">
        <v>150</v>
      </c>
      <c r="H40" s="2">
        <v>0.5</v>
      </c>
      <c r="I40" s="2">
        <v>30</v>
      </c>
      <c r="J40" s="2">
        <v>20</v>
      </c>
      <c r="K40" s="2" t="s">
        <v>154</v>
      </c>
      <c r="L40" s="12">
        <v>0.68</v>
      </c>
      <c r="M40" s="2" t="str">
        <f t="shared" ref="M40:M41" si="14">D40&amp;" " &amp; E40</f>
        <v>예천동 496-16</v>
      </c>
      <c r="N40" s="2">
        <v>33</v>
      </c>
      <c r="O40" s="2">
        <v>150</v>
      </c>
      <c r="P40" s="2">
        <v>0.5</v>
      </c>
      <c r="Q40" s="2">
        <v>0.68</v>
      </c>
      <c r="R40" s="2" t="s">
        <v>154</v>
      </c>
      <c r="S40" s="2" t="s">
        <v>11</v>
      </c>
    </row>
    <row r="41" spans="1:19" ht="21.75" customHeight="1" x14ac:dyDescent="0.3">
      <c r="A41" s="2" t="s">
        <v>500</v>
      </c>
      <c r="B41" s="1" t="s">
        <v>22</v>
      </c>
      <c r="C41" s="2" t="s">
        <v>453</v>
      </c>
      <c r="D41" s="2" t="s">
        <v>461</v>
      </c>
      <c r="E41" s="6" t="s">
        <v>528</v>
      </c>
      <c r="F41" s="2">
        <v>70</v>
      </c>
      <c r="G41" s="2">
        <v>150</v>
      </c>
      <c r="H41" s="2">
        <v>1</v>
      </c>
      <c r="I41" s="2">
        <v>60</v>
      </c>
      <c r="J41" s="2">
        <v>32</v>
      </c>
      <c r="K41" s="2" t="s">
        <v>148</v>
      </c>
      <c r="L41" s="12">
        <v>4.53</v>
      </c>
      <c r="M41" s="2" t="str">
        <f t="shared" si="14"/>
        <v>예천동 498-1</v>
      </c>
      <c r="N41" s="2">
        <v>70</v>
      </c>
      <c r="O41" s="2">
        <v>150</v>
      </c>
      <c r="P41" s="2">
        <v>1</v>
      </c>
      <c r="Q41" s="2">
        <v>4.53</v>
      </c>
      <c r="R41" s="2" t="s">
        <v>148</v>
      </c>
      <c r="S41" s="2" t="s">
        <v>11</v>
      </c>
    </row>
    <row r="42" spans="1:19" ht="21.75" customHeight="1" x14ac:dyDescent="0.3">
      <c r="A42" s="2" t="s">
        <v>501</v>
      </c>
      <c r="B42" s="1" t="s">
        <v>22</v>
      </c>
      <c r="C42" s="2" t="s">
        <v>453</v>
      </c>
      <c r="D42" s="2" t="s">
        <v>461</v>
      </c>
      <c r="E42" s="6" t="s">
        <v>530</v>
      </c>
      <c r="F42" s="2">
        <v>18</v>
      </c>
      <c r="G42" s="2">
        <v>50</v>
      </c>
      <c r="H42" s="2">
        <v>0.5</v>
      </c>
      <c r="I42" s="2">
        <v>20</v>
      </c>
      <c r="J42" s="2">
        <v>16</v>
      </c>
      <c r="K42" s="2" t="s">
        <v>147</v>
      </c>
      <c r="L42" s="12">
        <v>0.68</v>
      </c>
      <c r="M42" s="2" t="str">
        <f t="shared" ref="M42:M43" si="15">D42&amp;" " &amp; E42</f>
        <v>예천동 507-40</v>
      </c>
      <c r="N42" s="2">
        <v>18</v>
      </c>
      <c r="O42" s="2">
        <v>50</v>
      </c>
      <c r="P42" s="2">
        <v>0.5</v>
      </c>
      <c r="Q42" s="2">
        <v>0.68</v>
      </c>
      <c r="R42" s="2" t="s">
        <v>147</v>
      </c>
      <c r="S42" s="2" t="s">
        <v>11</v>
      </c>
    </row>
    <row r="43" spans="1:19" ht="21.75" customHeight="1" x14ac:dyDescent="0.3">
      <c r="A43" s="2" t="s">
        <v>502</v>
      </c>
      <c r="B43" s="1" t="s">
        <v>22</v>
      </c>
      <c r="C43" s="2" t="s">
        <v>453</v>
      </c>
      <c r="D43" s="2" t="s">
        <v>461</v>
      </c>
      <c r="E43" s="6" t="s">
        <v>531</v>
      </c>
      <c r="F43" s="2">
        <v>20</v>
      </c>
      <c r="G43" s="2">
        <v>40</v>
      </c>
      <c r="H43" s="2">
        <v>1</v>
      </c>
      <c r="I43" s="2">
        <v>70</v>
      </c>
      <c r="J43" s="2">
        <v>16</v>
      </c>
      <c r="K43" s="2" t="s">
        <v>147</v>
      </c>
      <c r="L43" s="12">
        <v>0.68</v>
      </c>
      <c r="M43" s="2" t="str">
        <f t="shared" si="15"/>
        <v>예천동 502-5</v>
      </c>
      <c r="N43" s="2">
        <v>20</v>
      </c>
      <c r="O43" s="2">
        <v>40</v>
      </c>
      <c r="P43" s="2">
        <v>1</v>
      </c>
      <c r="Q43" s="2">
        <v>0.68</v>
      </c>
      <c r="R43" s="2" t="s">
        <v>147</v>
      </c>
      <c r="S43" s="2" t="s">
        <v>11</v>
      </c>
    </row>
    <row r="44" spans="1:19" ht="21.75" customHeight="1" x14ac:dyDescent="0.3">
      <c r="A44" s="2" t="s">
        <v>503</v>
      </c>
      <c r="B44" s="1" t="s">
        <v>22</v>
      </c>
      <c r="C44" s="2" t="s">
        <v>453</v>
      </c>
      <c r="D44" s="2" t="s">
        <v>461</v>
      </c>
      <c r="E44" s="6" t="s">
        <v>564</v>
      </c>
      <c r="F44" s="2">
        <v>300</v>
      </c>
      <c r="G44" s="2">
        <v>200</v>
      </c>
      <c r="H44" s="2">
        <v>20</v>
      </c>
      <c r="I44" s="2">
        <v>250</v>
      </c>
      <c r="J44" s="2">
        <v>50</v>
      </c>
      <c r="K44" s="2" t="s">
        <v>148</v>
      </c>
      <c r="L44" s="12">
        <v>8.9</v>
      </c>
      <c r="M44" s="2" t="str">
        <f t="shared" ref="M44:M45" si="16">D44&amp;" " &amp; E44</f>
        <v>예천동 산7-64</v>
      </c>
      <c r="N44" s="2">
        <v>300</v>
      </c>
      <c r="O44" s="2">
        <v>200</v>
      </c>
      <c r="P44" s="2">
        <v>20</v>
      </c>
      <c r="Q44" s="2">
        <v>8.9</v>
      </c>
      <c r="R44" s="2" t="s">
        <v>148</v>
      </c>
      <c r="S44" s="2" t="s">
        <v>11</v>
      </c>
    </row>
    <row r="45" spans="1:19" ht="21.75" customHeight="1" x14ac:dyDescent="0.3">
      <c r="A45" s="2" t="s">
        <v>504</v>
      </c>
      <c r="B45" s="1" t="s">
        <v>22</v>
      </c>
      <c r="C45" s="2" t="s">
        <v>453</v>
      </c>
      <c r="D45" s="2" t="s">
        <v>461</v>
      </c>
      <c r="E45" s="6" t="s">
        <v>565</v>
      </c>
      <c r="F45" s="2">
        <v>60</v>
      </c>
      <c r="G45" s="2">
        <v>100</v>
      </c>
      <c r="H45" s="2">
        <v>1</v>
      </c>
      <c r="I45" s="2">
        <v>30</v>
      </c>
      <c r="J45" s="2">
        <v>25</v>
      </c>
      <c r="K45" s="2" t="s">
        <v>148</v>
      </c>
      <c r="L45" s="12">
        <v>3.84</v>
      </c>
      <c r="M45" s="2" t="str">
        <f t="shared" si="16"/>
        <v>예천동 산7-26</v>
      </c>
      <c r="N45" s="2">
        <v>60</v>
      </c>
      <c r="O45" s="2">
        <v>100</v>
      </c>
      <c r="P45" s="2">
        <v>1</v>
      </c>
      <c r="Q45" s="2">
        <v>3.84</v>
      </c>
      <c r="R45" s="2" t="s">
        <v>148</v>
      </c>
      <c r="S45" s="2" t="s">
        <v>11</v>
      </c>
    </row>
    <row r="46" spans="1:19" ht="21.75" customHeight="1" x14ac:dyDescent="0.3">
      <c r="A46" s="2" t="s">
        <v>532</v>
      </c>
      <c r="B46" s="1" t="s">
        <v>22</v>
      </c>
      <c r="C46" s="2" t="s">
        <v>453</v>
      </c>
      <c r="D46" s="2" t="s">
        <v>454</v>
      </c>
      <c r="E46" s="6" t="s">
        <v>566</v>
      </c>
      <c r="F46" s="2">
        <v>100</v>
      </c>
      <c r="G46" s="2">
        <v>150</v>
      </c>
      <c r="H46" s="2">
        <v>1</v>
      </c>
      <c r="I46" s="2">
        <v>30</v>
      </c>
      <c r="J46" s="2">
        <v>25</v>
      </c>
      <c r="K46" s="2" t="s">
        <v>147</v>
      </c>
      <c r="L46" s="12">
        <v>0.68</v>
      </c>
      <c r="M46" s="2" t="str">
        <f t="shared" ref="M46:M47" si="17">D46&amp;" " &amp; E46</f>
        <v>읍내동 산30-5</v>
      </c>
      <c r="N46" s="2">
        <v>100</v>
      </c>
      <c r="O46" s="2">
        <v>150</v>
      </c>
      <c r="P46" s="2">
        <v>1</v>
      </c>
      <c r="Q46" s="2">
        <v>0.68</v>
      </c>
      <c r="R46" s="2" t="s">
        <v>147</v>
      </c>
      <c r="S46" s="2" t="s">
        <v>11</v>
      </c>
    </row>
    <row r="47" spans="1:19" ht="21.75" customHeight="1" x14ac:dyDescent="0.3">
      <c r="A47" s="2" t="s">
        <v>533</v>
      </c>
      <c r="B47" s="1" t="s">
        <v>22</v>
      </c>
      <c r="C47" s="2" t="s">
        <v>453</v>
      </c>
      <c r="D47" s="2" t="s">
        <v>454</v>
      </c>
      <c r="E47" s="6" t="s">
        <v>567</v>
      </c>
      <c r="F47" s="2">
        <v>20</v>
      </c>
      <c r="G47" s="2">
        <v>50</v>
      </c>
      <c r="H47" s="2">
        <v>0.5</v>
      </c>
      <c r="I47" s="2">
        <v>20</v>
      </c>
      <c r="J47" s="2">
        <v>16</v>
      </c>
      <c r="K47" s="2" t="s">
        <v>147</v>
      </c>
      <c r="L47" s="12">
        <v>0.68</v>
      </c>
      <c r="M47" s="2" t="str">
        <f t="shared" si="17"/>
        <v>읍내동 55</v>
      </c>
      <c r="N47" s="2">
        <v>20</v>
      </c>
      <c r="O47" s="2">
        <v>50</v>
      </c>
      <c r="P47" s="2">
        <v>0.5</v>
      </c>
      <c r="Q47" s="2">
        <v>0.68</v>
      </c>
      <c r="R47" s="2" t="s">
        <v>147</v>
      </c>
      <c r="S47" s="2" t="s">
        <v>11</v>
      </c>
    </row>
    <row r="48" spans="1:19" ht="21.75" customHeight="1" x14ac:dyDescent="0.3">
      <c r="A48" s="2" t="s">
        <v>534</v>
      </c>
      <c r="B48" s="1" t="s">
        <v>22</v>
      </c>
      <c r="C48" s="2" t="s">
        <v>453</v>
      </c>
      <c r="D48" s="2" t="s">
        <v>454</v>
      </c>
      <c r="E48" s="6" t="s">
        <v>570</v>
      </c>
      <c r="F48" s="2">
        <v>10</v>
      </c>
      <c r="G48" s="2">
        <v>40</v>
      </c>
      <c r="H48" s="2">
        <v>0.5</v>
      </c>
      <c r="I48" s="2">
        <v>3</v>
      </c>
      <c r="J48" s="2">
        <v>20</v>
      </c>
      <c r="K48" s="2" t="s">
        <v>571</v>
      </c>
      <c r="L48" s="12">
        <v>0.68</v>
      </c>
      <c r="M48" s="2" t="str">
        <f t="shared" ref="M48:M49" si="18">D48&amp;" " &amp; E48</f>
        <v>읍내동 809-8</v>
      </c>
      <c r="N48" s="2">
        <v>10</v>
      </c>
      <c r="O48" s="2">
        <v>40</v>
      </c>
      <c r="P48" s="2">
        <v>0.5</v>
      </c>
      <c r="Q48" s="2">
        <v>0.68</v>
      </c>
      <c r="R48" s="2" t="s">
        <v>571</v>
      </c>
      <c r="S48" s="2" t="s">
        <v>11</v>
      </c>
    </row>
    <row r="49" spans="1:19" ht="21.75" customHeight="1" x14ac:dyDescent="0.3">
      <c r="A49" s="2" t="s">
        <v>535</v>
      </c>
      <c r="B49" s="1" t="s">
        <v>22</v>
      </c>
      <c r="C49" s="2" t="s">
        <v>453</v>
      </c>
      <c r="D49" s="2" t="s">
        <v>454</v>
      </c>
      <c r="E49" s="6" t="s">
        <v>572</v>
      </c>
      <c r="F49" s="2">
        <v>24</v>
      </c>
      <c r="G49" s="2">
        <v>50</v>
      </c>
      <c r="H49" s="2">
        <v>0.3</v>
      </c>
      <c r="I49" s="2">
        <v>25</v>
      </c>
      <c r="J49" s="2">
        <v>15</v>
      </c>
      <c r="K49" s="2" t="s">
        <v>148</v>
      </c>
      <c r="L49" s="12">
        <v>3.73</v>
      </c>
      <c r="M49" s="2" t="str">
        <f t="shared" si="18"/>
        <v>읍내동 37-2</v>
      </c>
      <c r="N49" s="2">
        <v>24</v>
      </c>
      <c r="O49" s="2">
        <v>50</v>
      </c>
      <c r="P49" s="2">
        <v>0.3</v>
      </c>
      <c r="Q49" s="2">
        <v>3.73</v>
      </c>
      <c r="R49" s="2" t="s">
        <v>148</v>
      </c>
      <c r="S49" s="2" t="s">
        <v>11</v>
      </c>
    </row>
    <row r="50" spans="1:19" ht="21.75" customHeight="1" x14ac:dyDescent="0.3">
      <c r="A50" s="2" t="s">
        <v>536</v>
      </c>
      <c r="B50" s="1" t="s">
        <v>22</v>
      </c>
      <c r="C50" s="2" t="s">
        <v>453</v>
      </c>
      <c r="D50" s="2" t="s">
        <v>454</v>
      </c>
      <c r="E50" s="6" t="s">
        <v>574</v>
      </c>
      <c r="F50" s="2">
        <v>15</v>
      </c>
      <c r="G50" s="2">
        <v>40</v>
      </c>
      <c r="H50" s="2">
        <v>0.5</v>
      </c>
      <c r="I50" s="2">
        <v>3</v>
      </c>
      <c r="J50" s="2">
        <v>20</v>
      </c>
      <c r="K50" s="2" t="s">
        <v>147</v>
      </c>
      <c r="L50" s="12">
        <v>0.68</v>
      </c>
      <c r="M50" s="2" t="str">
        <f t="shared" ref="M50:M51" si="19">D50&amp;" " &amp; E50</f>
        <v>읍내동 743</v>
      </c>
      <c r="N50" s="2">
        <v>15</v>
      </c>
      <c r="O50" s="2">
        <v>40</v>
      </c>
      <c r="P50" s="2">
        <v>0.5</v>
      </c>
      <c r="Q50" s="2">
        <v>0.68</v>
      </c>
      <c r="R50" s="2" t="s">
        <v>147</v>
      </c>
      <c r="S50" s="2" t="s">
        <v>11</v>
      </c>
    </row>
    <row r="51" spans="1:19" ht="21.75" customHeight="1" x14ac:dyDescent="0.3">
      <c r="A51" s="2" t="s">
        <v>537</v>
      </c>
      <c r="B51" s="1" t="s">
        <v>22</v>
      </c>
      <c r="C51" s="2" t="s">
        <v>453</v>
      </c>
      <c r="D51" s="2" t="s">
        <v>454</v>
      </c>
      <c r="E51" s="6" t="s">
        <v>575</v>
      </c>
      <c r="F51" s="2">
        <v>15</v>
      </c>
      <c r="G51" s="2">
        <v>50</v>
      </c>
      <c r="H51" s="2">
        <v>0.5</v>
      </c>
      <c r="I51" s="2">
        <v>30</v>
      </c>
      <c r="J51" s="2">
        <v>16</v>
      </c>
      <c r="K51" s="2" t="s">
        <v>147</v>
      </c>
      <c r="L51" s="12">
        <v>0.68</v>
      </c>
      <c r="M51" s="2" t="str">
        <f t="shared" si="19"/>
        <v>읍내동 774-1</v>
      </c>
      <c r="N51" s="2">
        <v>15</v>
      </c>
      <c r="O51" s="2">
        <v>50</v>
      </c>
      <c r="P51" s="2">
        <v>0.5</v>
      </c>
      <c r="Q51" s="2">
        <v>0.68</v>
      </c>
      <c r="R51" s="2" t="s">
        <v>147</v>
      </c>
      <c r="S51" s="2" t="s">
        <v>11</v>
      </c>
    </row>
    <row r="52" spans="1:19" ht="21.75" customHeight="1" x14ac:dyDescent="0.3">
      <c r="A52" s="2" t="s">
        <v>538</v>
      </c>
      <c r="B52" s="1" t="s">
        <v>22</v>
      </c>
      <c r="C52" s="2" t="s">
        <v>453</v>
      </c>
      <c r="D52" s="2" t="s">
        <v>454</v>
      </c>
      <c r="E52" s="6" t="s">
        <v>576</v>
      </c>
      <c r="F52" s="2">
        <v>15</v>
      </c>
      <c r="G52" s="2">
        <v>50</v>
      </c>
      <c r="H52" s="2">
        <v>0.5</v>
      </c>
      <c r="I52" s="2">
        <v>30</v>
      </c>
      <c r="J52" s="2">
        <v>16</v>
      </c>
      <c r="K52" s="2" t="s">
        <v>148</v>
      </c>
      <c r="L52" s="12">
        <v>3.84</v>
      </c>
      <c r="M52" s="2" t="str">
        <f t="shared" ref="M52:M53" si="20">D52&amp;" " &amp; E52</f>
        <v>읍내동 800-6</v>
      </c>
      <c r="N52" s="2">
        <v>15</v>
      </c>
      <c r="O52" s="2">
        <v>50</v>
      </c>
      <c r="P52" s="2">
        <v>0.5</v>
      </c>
      <c r="Q52" s="2">
        <v>3.84</v>
      </c>
      <c r="R52" s="2" t="s">
        <v>148</v>
      </c>
      <c r="S52" s="2" t="s">
        <v>11</v>
      </c>
    </row>
    <row r="53" spans="1:19" ht="21.75" customHeight="1" x14ac:dyDescent="0.3">
      <c r="A53" s="2" t="s">
        <v>539</v>
      </c>
      <c r="B53" s="1" t="s">
        <v>22</v>
      </c>
      <c r="C53" s="2" t="s">
        <v>453</v>
      </c>
      <c r="D53" s="2" t="s">
        <v>454</v>
      </c>
      <c r="E53" s="6" t="s">
        <v>577</v>
      </c>
      <c r="F53" s="2">
        <v>50</v>
      </c>
      <c r="G53" s="2">
        <v>50</v>
      </c>
      <c r="H53" s="2">
        <v>0.5</v>
      </c>
      <c r="I53" s="2">
        <v>25</v>
      </c>
      <c r="J53" s="2">
        <v>25</v>
      </c>
      <c r="K53" s="2" t="s">
        <v>148</v>
      </c>
      <c r="L53" s="12">
        <v>3.73</v>
      </c>
      <c r="M53" s="2" t="str">
        <f t="shared" si="20"/>
        <v>읍내동 797-11</v>
      </c>
      <c r="N53" s="2">
        <v>50</v>
      </c>
      <c r="O53" s="2">
        <v>50</v>
      </c>
      <c r="P53" s="2">
        <v>0.5</v>
      </c>
      <c r="Q53" s="2">
        <v>3.73</v>
      </c>
      <c r="R53" s="2" t="s">
        <v>148</v>
      </c>
      <c r="S53" s="2" t="s">
        <v>11</v>
      </c>
    </row>
    <row r="54" spans="1:19" ht="21.75" customHeight="1" x14ac:dyDescent="0.3">
      <c r="A54" s="2" t="s">
        <v>540</v>
      </c>
      <c r="B54" s="1" t="s">
        <v>22</v>
      </c>
      <c r="C54" s="2" t="s">
        <v>453</v>
      </c>
      <c r="D54" s="2" t="s">
        <v>454</v>
      </c>
      <c r="E54" s="6" t="s">
        <v>578</v>
      </c>
      <c r="F54" s="2">
        <v>30</v>
      </c>
      <c r="G54" s="2">
        <v>50</v>
      </c>
      <c r="H54" s="2">
        <v>0.5</v>
      </c>
      <c r="I54" s="2">
        <v>15</v>
      </c>
      <c r="J54" s="2">
        <v>15</v>
      </c>
      <c r="K54" s="2" t="s">
        <v>148</v>
      </c>
      <c r="L54" s="12">
        <v>3.5</v>
      </c>
      <c r="M54" s="2" t="str">
        <f t="shared" ref="M54:M55" si="21">D54&amp;" " &amp; E54</f>
        <v>읍내동 797-23</v>
      </c>
      <c r="N54" s="2">
        <v>30</v>
      </c>
      <c r="O54" s="2">
        <v>50</v>
      </c>
      <c r="P54" s="2">
        <v>0.5</v>
      </c>
      <c r="Q54" s="2">
        <v>3.5</v>
      </c>
      <c r="R54" s="2" t="s">
        <v>148</v>
      </c>
      <c r="S54" s="2" t="s">
        <v>11</v>
      </c>
    </row>
    <row r="55" spans="1:19" ht="21.75" customHeight="1" x14ac:dyDescent="0.3">
      <c r="A55" s="2" t="s">
        <v>541</v>
      </c>
      <c r="B55" s="1" t="s">
        <v>22</v>
      </c>
      <c r="C55" s="2" t="s">
        <v>453</v>
      </c>
      <c r="D55" s="2" t="s">
        <v>454</v>
      </c>
      <c r="E55" s="6" t="s">
        <v>579</v>
      </c>
      <c r="F55" s="2">
        <v>18</v>
      </c>
      <c r="G55" s="2">
        <v>30</v>
      </c>
      <c r="H55" s="2">
        <v>0.5</v>
      </c>
      <c r="I55" s="2">
        <v>25</v>
      </c>
      <c r="J55" s="2">
        <v>20</v>
      </c>
      <c r="K55" s="2" t="s">
        <v>147</v>
      </c>
      <c r="L55" s="12">
        <v>0.68</v>
      </c>
      <c r="M55" s="2" t="str">
        <f t="shared" si="21"/>
        <v>읍내동 79-7</v>
      </c>
      <c r="N55" s="2">
        <v>18</v>
      </c>
      <c r="O55" s="2">
        <v>30</v>
      </c>
      <c r="P55" s="2">
        <v>0.5</v>
      </c>
      <c r="Q55" s="2">
        <v>0.68</v>
      </c>
      <c r="R55" s="2" t="s">
        <v>147</v>
      </c>
      <c r="S55" s="2" t="s">
        <v>11</v>
      </c>
    </row>
    <row r="56" spans="1:19" ht="21.75" customHeight="1" x14ac:dyDescent="0.3">
      <c r="A56" s="2" t="s">
        <v>542</v>
      </c>
      <c r="B56" s="1" t="s">
        <v>22</v>
      </c>
      <c r="C56" s="2" t="s">
        <v>453</v>
      </c>
      <c r="D56" s="2" t="s">
        <v>454</v>
      </c>
      <c r="E56" s="6" t="s">
        <v>580</v>
      </c>
      <c r="F56" s="2">
        <v>15</v>
      </c>
      <c r="G56" s="2">
        <v>40</v>
      </c>
      <c r="H56" s="2">
        <v>0.5</v>
      </c>
      <c r="I56" s="2">
        <v>3</v>
      </c>
      <c r="J56" s="2">
        <v>20</v>
      </c>
      <c r="K56" s="2" t="s">
        <v>147</v>
      </c>
      <c r="L56" s="12">
        <v>0.68</v>
      </c>
      <c r="M56" s="2" t="str">
        <f t="shared" ref="M56:M57" si="22">D56&amp;" " &amp; E56</f>
        <v>읍내동 797-4</v>
      </c>
      <c r="N56" s="2">
        <v>15</v>
      </c>
      <c r="O56" s="2">
        <v>40</v>
      </c>
      <c r="P56" s="2">
        <v>0.5</v>
      </c>
      <c r="Q56" s="2">
        <v>0.68</v>
      </c>
      <c r="R56" s="2" t="s">
        <v>147</v>
      </c>
      <c r="S56" s="2" t="s">
        <v>11</v>
      </c>
    </row>
    <row r="57" spans="1:19" ht="21.75" customHeight="1" x14ac:dyDescent="0.3">
      <c r="A57" s="2" t="s">
        <v>543</v>
      </c>
      <c r="B57" s="1" t="s">
        <v>22</v>
      </c>
      <c r="C57" s="2" t="s">
        <v>453</v>
      </c>
      <c r="D57" s="2" t="s">
        <v>454</v>
      </c>
      <c r="E57" s="6" t="s">
        <v>581</v>
      </c>
      <c r="F57" s="2">
        <v>50</v>
      </c>
      <c r="G57" s="2">
        <v>150</v>
      </c>
      <c r="H57" s="2">
        <v>1</v>
      </c>
      <c r="I57" s="2">
        <v>30</v>
      </c>
      <c r="J57" s="2">
        <v>15</v>
      </c>
      <c r="K57" s="2" t="s">
        <v>148</v>
      </c>
      <c r="L57" s="12">
        <v>3.84</v>
      </c>
      <c r="M57" s="2" t="str">
        <f t="shared" si="22"/>
        <v>읍내동 78-3</v>
      </c>
      <c r="N57" s="2">
        <v>50</v>
      </c>
      <c r="O57" s="2">
        <v>150</v>
      </c>
      <c r="P57" s="2">
        <v>1</v>
      </c>
      <c r="Q57" s="2">
        <v>3.84</v>
      </c>
      <c r="R57" s="2" t="s">
        <v>148</v>
      </c>
      <c r="S57" s="2" t="s">
        <v>11</v>
      </c>
    </row>
    <row r="58" spans="1:19" ht="21.75" customHeight="1" x14ac:dyDescent="0.3">
      <c r="A58" s="2" t="s">
        <v>544</v>
      </c>
      <c r="B58" s="1" t="s">
        <v>22</v>
      </c>
      <c r="C58" s="2" t="s">
        <v>453</v>
      </c>
      <c r="D58" s="2" t="s">
        <v>454</v>
      </c>
      <c r="E58" s="6" t="s">
        <v>582</v>
      </c>
      <c r="F58" s="2">
        <v>86</v>
      </c>
      <c r="G58" s="2">
        <v>250</v>
      </c>
      <c r="H58" s="2">
        <v>7.5</v>
      </c>
      <c r="I58" s="2">
        <v>374</v>
      </c>
      <c r="J58" s="2">
        <v>50</v>
      </c>
      <c r="K58" s="2" t="s">
        <v>150</v>
      </c>
      <c r="L58" s="12">
        <v>11.76</v>
      </c>
      <c r="M58" s="2" t="str">
        <f t="shared" ref="M58:M59" si="23">D58&amp;" " &amp; E58</f>
        <v>읍내동 130</v>
      </c>
      <c r="N58" s="2">
        <v>86</v>
      </c>
      <c r="O58" s="2">
        <v>250</v>
      </c>
      <c r="P58" s="2">
        <v>7.5</v>
      </c>
      <c r="Q58" s="2">
        <v>11.76</v>
      </c>
      <c r="R58" s="2" t="s">
        <v>150</v>
      </c>
      <c r="S58" s="2" t="s">
        <v>11</v>
      </c>
    </row>
    <row r="59" spans="1:19" ht="21.75" customHeight="1" x14ac:dyDescent="0.3">
      <c r="A59" s="2" t="s">
        <v>545</v>
      </c>
      <c r="B59" s="1" t="s">
        <v>22</v>
      </c>
      <c r="C59" s="2" t="s">
        <v>453</v>
      </c>
      <c r="D59" s="2" t="s">
        <v>454</v>
      </c>
      <c r="E59" s="6" t="s">
        <v>583</v>
      </c>
      <c r="F59" s="2">
        <v>5</v>
      </c>
      <c r="G59" s="2">
        <v>50</v>
      </c>
      <c r="H59" s="2">
        <v>0.5</v>
      </c>
      <c r="I59" s="2">
        <v>30</v>
      </c>
      <c r="J59" s="2">
        <v>16</v>
      </c>
      <c r="K59" s="2" t="s">
        <v>147</v>
      </c>
      <c r="L59" s="12">
        <v>0.68</v>
      </c>
      <c r="M59" s="2" t="str">
        <f t="shared" si="23"/>
        <v>읍내동 786</v>
      </c>
      <c r="N59" s="2">
        <v>5</v>
      </c>
      <c r="O59" s="2">
        <v>50</v>
      </c>
      <c r="P59" s="2">
        <v>0.5</v>
      </c>
      <c r="Q59" s="2">
        <v>0.68</v>
      </c>
      <c r="R59" s="2" t="s">
        <v>147</v>
      </c>
      <c r="S59" s="2" t="s">
        <v>11</v>
      </c>
    </row>
    <row r="60" spans="1:19" ht="21.75" customHeight="1" x14ac:dyDescent="0.3">
      <c r="A60" s="2" t="s">
        <v>546</v>
      </c>
      <c r="B60" s="1" t="s">
        <v>22</v>
      </c>
      <c r="C60" s="2" t="s">
        <v>453</v>
      </c>
      <c r="D60" s="2" t="s">
        <v>454</v>
      </c>
      <c r="E60" s="6" t="s">
        <v>584</v>
      </c>
      <c r="F60" s="2">
        <v>60</v>
      </c>
      <c r="G60" s="2">
        <v>150</v>
      </c>
      <c r="H60" s="2">
        <v>1</v>
      </c>
      <c r="I60" s="2">
        <v>28</v>
      </c>
      <c r="J60" s="2">
        <v>20</v>
      </c>
      <c r="K60" s="2" t="s">
        <v>148</v>
      </c>
      <c r="L60" s="12">
        <v>3.8</v>
      </c>
      <c r="M60" s="2" t="str">
        <f t="shared" ref="M60:M61" si="24">D60&amp;" " &amp; E60</f>
        <v>읍내동 780</v>
      </c>
      <c r="N60" s="2">
        <v>60</v>
      </c>
      <c r="O60" s="2">
        <v>150</v>
      </c>
      <c r="P60" s="2">
        <v>1</v>
      </c>
      <c r="Q60" s="2">
        <v>3.8</v>
      </c>
      <c r="R60" s="2" t="s">
        <v>148</v>
      </c>
      <c r="S60" s="2" t="s">
        <v>11</v>
      </c>
    </row>
    <row r="61" spans="1:19" ht="21.75" customHeight="1" x14ac:dyDescent="0.3">
      <c r="A61" s="2" t="s">
        <v>547</v>
      </c>
      <c r="B61" s="1" t="s">
        <v>22</v>
      </c>
      <c r="C61" s="2" t="s">
        <v>453</v>
      </c>
      <c r="D61" s="2" t="s">
        <v>454</v>
      </c>
      <c r="E61" s="6" t="s">
        <v>585</v>
      </c>
      <c r="F61" s="2">
        <v>80</v>
      </c>
      <c r="G61" s="2">
        <v>150</v>
      </c>
      <c r="H61" s="2">
        <v>1</v>
      </c>
      <c r="I61" s="2">
        <v>50</v>
      </c>
      <c r="J61" s="2">
        <v>32</v>
      </c>
      <c r="K61" s="2" t="s">
        <v>571</v>
      </c>
      <c r="L61" s="12">
        <v>0.68</v>
      </c>
      <c r="M61" s="2" t="str">
        <f t="shared" si="24"/>
        <v>읍내동 718</v>
      </c>
      <c r="N61" s="2">
        <v>80</v>
      </c>
      <c r="O61" s="2">
        <v>150</v>
      </c>
      <c r="P61" s="2">
        <v>1</v>
      </c>
      <c r="Q61" s="2">
        <v>0.68</v>
      </c>
      <c r="R61" s="2" t="s">
        <v>571</v>
      </c>
      <c r="S61" s="2" t="s">
        <v>11</v>
      </c>
    </row>
    <row r="62" spans="1:19" ht="21.75" customHeight="1" x14ac:dyDescent="0.3">
      <c r="A62" s="2" t="s">
        <v>548</v>
      </c>
      <c r="B62" s="1" t="s">
        <v>22</v>
      </c>
      <c r="C62" s="2" t="s">
        <v>453</v>
      </c>
      <c r="D62" s="2" t="s">
        <v>454</v>
      </c>
      <c r="E62" s="6" t="s">
        <v>586</v>
      </c>
      <c r="F62" s="2">
        <v>3</v>
      </c>
      <c r="G62" s="2">
        <v>50</v>
      </c>
      <c r="H62" s="2">
        <v>0.5</v>
      </c>
      <c r="I62" s="2">
        <v>30</v>
      </c>
      <c r="J62" s="2">
        <v>16</v>
      </c>
      <c r="K62" s="2" t="s">
        <v>147</v>
      </c>
      <c r="L62" s="12">
        <v>0.68</v>
      </c>
      <c r="M62" s="2" t="str">
        <f t="shared" ref="M62:M63" si="25">D62&amp;" " &amp; E62</f>
        <v>읍내동 780-18</v>
      </c>
      <c r="N62" s="2">
        <v>3</v>
      </c>
      <c r="O62" s="2">
        <v>50</v>
      </c>
      <c r="P62" s="2">
        <v>0.5</v>
      </c>
      <c r="Q62" s="2">
        <v>0.68</v>
      </c>
      <c r="R62" s="2" t="s">
        <v>147</v>
      </c>
      <c r="S62" s="2" t="s">
        <v>11</v>
      </c>
    </row>
    <row r="63" spans="1:19" ht="21.75" customHeight="1" x14ac:dyDescent="0.3">
      <c r="A63" s="2" t="s">
        <v>549</v>
      </c>
      <c r="B63" s="1" t="s">
        <v>22</v>
      </c>
      <c r="C63" s="2" t="s">
        <v>453</v>
      </c>
      <c r="D63" s="2" t="s">
        <v>454</v>
      </c>
      <c r="E63" s="6" t="s">
        <v>587</v>
      </c>
      <c r="F63" s="2">
        <v>18</v>
      </c>
      <c r="G63" s="2">
        <v>40</v>
      </c>
      <c r="H63" s="2">
        <v>0.5</v>
      </c>
      <c r="I63" s="2">
        <v>3</v>
      </c>
      <c r="J63" s="2">
        <v>20</v>
      </c>
      <c r="K63" s="2" t="s">
        <v>147</v>
      </c>
      <c r="L63" s="12">
        <v>0.68</v>
      </c>
      <c r="M63" s="2" t="str">
        <f t="shared" si="25"/>
        <v>읍내동 720</v>
      </c>
      <c r="N63" s="2">
        <v>18</v>
      </c>
      <c r="O63" s="2">
        <v>40</v>
      </c>
      <c r="P63" s="2">
        <v>0.5</v>
      </c>
      <c r="Q63" s="2">
        <v>0.68</v>
      </c>
      <c r="R63" s="2" t="s">
        <v>147</v>
      </c>
      <c r="S63" s="2" t="s">
        <v>11</v>
      </c>
    </row>
    <row r="64" spans="1:19" ht="21.75" customHeight="1" x14ac:dyDescent="0.3">
      <c r="A64" s="2" t="s">
        <v>550</v>
      </c>
      <c r="B64" s="1" t="s">
        <v>22</v>
      </c>
      <c r="C64" s="2" t="s">
        <v>453</v>
      </c>
      <c r="D64" s="2" t="s">
        <v>454</v>
      </c>
      <c r="E64" s="6" t="s">
        <v>588</v>
      </c>
      <c r="F64" s="2">
        <v>6</v>
      </c>
      <c r="G64" s="2">
        <v>50</v>
      </c>
      <c r="H64" s="2">
        <v>0.5</v>
      </c>
      <c r="I64" s="2">
        <v>20</v>
      </c>
      <c r="J64" s="2">
        <v>16</v>
      </c>
      <c r="K64" s="2" t="s">
        <v>147</v>
      </c>
      <c r="L64" s="12">
        <v>0.68</v>
      </c>
      <c r="M64" s="2" t="str">
        <f t="shared" ref="M64:M65" si="26">D64&amp;" " &amp; E64</f>
        <v>읍내동 731-1</v>
      </c>
      <c r="N64" s="2">
        <v>6</v>
      </c>
      <c r="O64" s="2">
        <v>50</v>
      </c>
      <c r="P64" s="2">
        <v>0.5</v>
      </c>
      <c r="Q64" s="2">
        <v>0.68</v>
      </c>
      <c r="R64" s="2" t="s">
        <v>147</v>
      </c>
      <c r="S64" s="2" t="s">
        <v>11</v>
      </c>
    </row>
    <row r="65" spans="1:19" ht="21.75" customHeight="1" x14ac:dyDescent="0.3">
      <c r="A65" s="2" t="s">
        <v>551</v>
      </c>
      <c r="B65" s="1" t="s">
        <v>22</v>
      </c>
      <c r="C65" s="2" t="s">
        <v>453</v>
      </c>
      <c r="D65" s="2" t="s">
        <v>454</v>
      </c>
      <c r="E65" s="6" t="s">
        <v>589</v>
      </c>
      <c r="F65" s="2">
        <v>60</v>
      </c>
      <c r="G65" s="2">
        <v>150</v>
      </c>
      <c r="H65" s="2">
        <v>0.5</v>
      </c>
      <c r="I65" s="2">
        <v>25</v>
      </c>
      <c r="J65" s="2">
        <v>16</v>
      </c>
      <c r="K65" s="2" t="s">
        <v>147</v>
      </c>
      <c r="L65" s="12">
        <v>0.68</v>
      </c>
      <c r="M65" s="2" t="str">
        <f t="shared" si="26"/>
        <v>읍내동 720-8</v>
      </c>
      <c r="N65" s="2">
        <v>60</v>
      </c>
      <c r="O65" s="2">
        <v>150</v>
      </c>
      <c r="P65" s="2">
        <v>0.5</v>
      </c>
      <c r="Q65" s="2">
        <v>0.68</v>
      </c>
      <c r="R65" s="2" t="s">
        <v>147</v>
      </c>
      <c r="S65" s="2" t="s">
        <v>11</v>
      </c>
    </row>
    <row r="66" spans="1:19" ht="21.75" customHeight="1" x14ac:dyDescent="0.3">
      <c r="A66" s="2" t="s">
        <v>552</v>
      </c>
      <c r="B66" s="1" t="s">
        <v>22</v>
      </c>
      <c r="C66" s="2" t="s">
        <v>453</v>
      </c>
      <c r="D66" s="2" t="s">
        <v>454</v>
      </c>
      <c r="E66" s="6" t="s">
        <v>590</v>
      </c>
      <c r="F66" s="2">
        <v>20</v>
      </c>
      <c r="G66" s="2">
        <v>40</v>
      </c>
      <c r="H66" s="2">
        <v>0.5</v>
      </c>
      <c r="I66" s="2">
        <v>5</v>
      </c>
      <c r="J66" s="2">
        <v>20</v>
      </c>
      <c r="K66" s="2" t="s">
        <v>147</v>
      </c>
      <c r="L66" s="12">
        <v>0.68</v>
      </c>
      <c r="M66" s="2" t="str">
        <f t="shared" ref="M66:M67" si="27">D66&amp;" " &amp; E66</f>
        <v>읍내동 683-7</v>
      </c>
      <c r="N66" s="2">
        <v>20</v>
      </c>
      <c r="O66" s="2">
        <v>40</v>
      </c>
      <c r="P66" s="2">
        <v>0.5</v>
      </c>
      <c r="Q66" s="2">
        <v>0.68</v>
      </c>
      <c r="R66" s="2" t="s">
        <v>147</v>
      </c>
      <c r="S66" s="2" t="s">
        <v>11</v>
      </c>
    </row>
    <row r="67" spans="1:19" ht="21.75" customHeight="1" x14ac:dyDescent="0.3">
      <c r="A67" s="2" t="s">
        <v>553</v>
      </c>
      <c r="B67" s="1" t="s">
        <v>22</v>
      </c>
      <c r="C67" s="2" t="s">
        <v>453</v>
      </c>
      <c r="D67" s="2" t="s">
        <v>454</v>
      </c>
      <c r="E67" s="6" t="s">
        <v>591</v>
      </c>
      <c r="F67" s="2">
        <v>18</v>
      </c>
      <c r="G67" s="2">
        <v>40</v>
      </c>
      <c r="H67" s="2">
        <v>0.5</v>
      </c>
      <c r="I67" s="2">
        <v>3</v>
      </c>
      <c r="J67" s="2">
        <v>20</v>
      </c>
      <c r="K67" s="2" t="s">
        <v>147</v>
      </c>
      <c r="L67" s="12">
        <v>0.68</v>
      </c>
      <c r="M67" s="2" t="str">
        <f t="shared" si="27"/>
        <v>읍내동 683-5</v>
      </c>
      <c r="N67" s="2">
        <v>18</v>
      </c>
      <c r="O67" s="2">
        <v>40</v>
      </c>
      <c r="P67" s="2">
        <v>0.5</v>
      </c>
      <c r="Q67" s="2">
        <v>0.68</v>
      </c>
      <c r="R67" s="2" t="s">
        <v>147</v>
      </c>
      <c r="S67" s="2" t="s">
        <v>11</v>
      </c>
    </row>
    <row r="68" spans="1:19" ht="21.75" customHeight="1" x14ac:dyDescent="0.3">
      <c r="A68" s="2" t="s">
        <v>554</v>
      </c>
      <c r="B68" s="1" t="s">
        <v>22</v>
      </c>
      <c r="C68" s="2" t="s">
        <v>453</v>
      </c>
      <c r="D68" s="2" t="s">
        <v>454</v>
      </c>
      <c r="E68" s="6" t="s">
        <v>592</v>
      </c>
      <c r="F68" s="2">
        <v>18</v>
      </c>
      <c r="G68" s="2">
        <v>40</v>
      </c>
      <c r="H68" s="2">
        <v>0.5</v>
      </c>
      <c r="I68" s="2">
        <v>5</v>
      </c>
      <c r="J68" s="2">
        <v>20</v>
      </c>
      <c r="K68" s="2" t="s">
        <v>147</v>
      </c>
      <c r="L68" s="12">
        <v>0.68</v>
      </c>
      <c r="M68" s="2" t="str">
        <f t="shared" ref="M68:M69" si="28">D68&amp;" " &amp; E68</f>
        <v>읍내동 679-5</v>
      </c>
      <c r="N68" s="2">
        <v>18</v>
      </c>
      <c r="O68" s="2">
        <v>40</v>
      </c>
      <c r="P68" s="2">
        <v>0.5</v>
      </c>
      <c r="Q68" s="2">
        <v>0.68</v>
      </c>
      <c r="R68" s="2" t="s">
        <v>147</v>
      </c>
      <c r="S68" s="2" t="s">
        <v>11</v>
      </c>
    </row>
    <row r="69" spans="1:19" ht="21.75" customHeight="1" x14ac:dyDescent="0.3">
      <c r="A69" s="2" t="s">
        <v>555</v>
      </c>
      <c r="B69" s="1" t="s">
        <v>22</v>
      </c>
      <c r="C69" s="2" t="s">
        <v>453</v>
      </c>
      <c r="D69" s="2" t="s">
        <v>454</v>
      </c>
      <c r="E69" s="6" t="s">
        <v>593</v>
      </c>
      <c r="F69" s="2">
        <v>20</v>
      </c>
      <c r="G69" s="2">
        <v>30</v>
      </c>
      <c r="H69" s="2">
        <v>0.5</v>
      </c>
      <c r="I69" s="2">
        <v>7</v>
      </c>
      <c r="J69" s="2">
        <v>20</v>
      </c>
      <c r="K69" s="2" t="s">
        <v>147</v>
      </c>
      <c r="L69" s="12">
        <v>0.68</v>
      </c>
      <c r="M69" s="2" t="str">
        <f t="shared" si="28"/>
        <v>읍내동 649-1</v>
      </c>
      <c r="N69" s="2">
        <v>20</v>
      </c>
      <c r="O69" s="2">
        <v>30</v>
      </c>
      <c r="P69" s="2">
        <v>0.5</v>
      </c>
      <c r="Q69" s="2">
        <v>0.68</v>
      </c>
      <c r="R69" s="2" t="s">
        <v>147</v>
      </c>
      <c r="S69" s="2" t="s">
        <v>11</v>
      </c>
    </row>
    <row r="70" spans="1:19" ht="21.75" customHeight="1" x14ac:dyDescent="0.3">
      <c r="A70" s="2" t="s">
        <v>556</v>
      </c>
      <c r="B70" s="1" t="s">
        <v>22</v>
      </c>
      <c r="C70" s="2" t="s">
        <v>453</v>
      </c>
      <c r="D70" s="2" t="s">
        <v>454</v>
      </c>
      <c r="E70" s="6" t="s">
        <v>594</v>
      </c>
      <c r="F70" s="2">
        <v>26</v>
      </c>
      <c r="G70" s="2">
        <v>30</v>
      </c>
      <c r="H70" s="2">
        <v>0.5</v>
      </c>
      <c r="I70" s="2">
        <v>25</v>
      </c>
      <c r="J70" s="2">
        <v>20</v>
      </c>
      <c r="K70" s="2" t="s">
        <v>571</v>
      </c>
      <c r="L70" s="12">
        <v>0.68</v>
      </c>
      <c r="M70" s="2" t="str">
        <f t="shared" ref="M70" si="29">D70&amp;" " &amp; E70</f>
        <v>읍내동 665-1</v>
      </c>
      <c r="N70" s="2">
        <v>26</v>
      </c>
      <c r="O70" s="2">
        <v>30</v>
      </c>
      <c r="P70" s="2">
        <v>0.5</v>
      </c>
      <c r="Q70" s="2">
        <v>0.68</v>
      </c>
      <c r="R70" s="2" t="s">
        <v>571</v>
      </c>
      <c r="S70" s="2" t="s">
        <v>11</v>
      </c>
    </row>
    <row r="71" spans="1:19" ht="21.75" customHeight="1" x14ac:dyDescent="0.3">
      <c r="A71" s="2" t="s">
        <v>557</v>
      </c>
      <c r="B71" s="1" t="s">
        <v>22</v>
      </c>
      <c r="C71" s="2" t="s">
        <v>453</v>
      </c>
      <c r="D71" s="2" t="s">
        <v>454</v>
      </c>
      <c r="E71" s="6" t="s">
        <v>595</v>
      </c>
      <c r="F71" s="2">
        <v>80</v>
      </c>
      <c r="G71" s="2">
        <v>20</v>
      </c>
      <c r="H71" s="2">
        <v>1</v>
      </c>
      <c r="I71" s="2">
        <v>30</v>
      </c>
      <c r="J71" s="2">
        <v>20</v>
      </c>
      <c r="K71" s="2" t="s">
        <v>147</v>
      </c>
      <c r="L71" s="12">
        <v>0.68</v>
      </c>
      <c r="M71" s="2" t="str">
        <f>D71&amp;" " &amp; E71</f>
        <v>읍내동 620-16</v>
      </c>
      <c r="N71" s="2">
        <v>80</v>
      </c>
      <c r="O71" s="2">
        <v>20</v>
      </c>
      <c r="P71" s="2">
        <v>1</v>
      </c>
      <c r="Q71" s="2">
        <v>0.68</v>
      </c>
      <c r="R71" s="2" t="s">
        <v>147</v>
      </c>
      <c r="S71" s="2" t="s">
        <v>11</v>
      </c>
    </row>
    <row r="72" spans="1:19" ht="21.75" customHeight="1" x14ac:dyDescent="0.3">
      <c r="A72" s="2" t="s">
        <v>558</v>
      </c>
      <c r="B72" s="1" t="s">
        <v>22</v>
      </c>
      <c r="C72" s="2" t="s">
        <v>453</v>
      </c>
      <c r="D72" s="2" t="s">
        <v>454</v>
      </c>
      <c r="E72" s="6" t="s">
        <v>596</v>
      </c>
      <c r="F72" s="2">
        <v>20</v>
      </c>
      <c r="G72" s="2">
        <v>40</v>
      </c>
      <c r="H72" s="2">
        <v>0.5</v>
      </c>
      <c r="I72" s="2">
        <v>5</v>
      </c>
      <c r="J72" s="2">
        <v>20</v>
      </c>
      <c r="K72" s="2" t="s">
        <v>147</v>
      </c>
      <c r="L72" s="12">
        <v>0.68</v>
      </c>
      <c r="M72" s="2" t="str">
        <f t="shared" ref="M72:M73" si="30">D72&amp;" " &amp; E72</f>
        <v>읍내동 621-2</v>
      </c>
      <c r="N72" s="2">
        <v>20</v>
      </c>
      <c r="O72" s="2">
        <v>40</v>
      </c>
      <c r="P72" s="2">
        <v>0.5</v>
      </c>
      <c r="Q72" s="2">
        <v>0.68</v>
      </c>
      <c r="R72" s="2" t="s">
        <v>147</v>
      </c>
      <c r="S72" s="2" t="s">
        <v>11</v>
      </c>
    </row>
    <row r="73" spans="1:19" ht="21.75" customHeight="1" x14ac:dyDescent="0.3">
      <c r="A73" s="2" t="s">
        <v>559</v>
      </c>
      <c r="B73" s="1" t="s">
        <v>22</v>
      </c>
      <c r="C73" s="2" t="s">
        <v>453</v>
      </c>
      <c r="D73" s="2" t="s">
        <v>454</v>
      </c>
      <c r="E73" s="6" t="s">
        <v>597</v>
      </c>
      <c r="F73" s="2">
        <v>60</v>
      </c>
      <c r="G73" s="2">
        <v>150</v>
      </c>
      <c r="H73" s="2">
        <v>1</v>
      </c>
      <c r="I73" s="2">
        <v>50</v>
      </c>
      <c r="J73" s="2">
        <v>25</v>
      </c>
      <c r="K73" s="2" t="s">
        <v>148</v>
      </c>
      <c r="L73" s="12">
        <v>4.3</v>
      </c>
      <c r="M73" s="2" t="str">
        <f t="shared" si="30"/>
        <v>읍내동 622-1</v>
      </c>
      <c r="N73" s="2">
        <v>60</v>
      </c>
      <c r="O73" s="2">
        <v>150</v>
      </c>
      <c r="P73" s="2">
        <v>1</v>
      </c>
      <c r="Q73" s="2">
        <v>4.3</v>
      </c>
      <c r="R73" s="2" t="s">
        <v>148</v>
      </c>
      <c r="S73" s="2" t="s">
        <v>11</v>
      </c>
    </row>
    <row r="74" spans="1:19" ht="21.75" customHeight="1" x14ac:dyDescent="0.3">
      <c r="A74" s="2" t="s">
        <v>560</v>
      </c>
      <c r="B74" s="1" t="s">
        <v>22</v>
      </c>
      <c r="C74" s="2" t="s">
        <v>453</v>
      </c>
      <c r="D74" s="2" t="s">
        <v>454</v>
      </c>
      <c r="E74" s="6" t="s">
        <v>598</v>
      </c>
      <c r="F74" s="2">
        <v>30</v>
      </c>
      <c r="G74" s="2">
        <v>50</v>
      </c>
      <c r="H74" s="2">
        <v>0.5</v>
      </c>
      <c r="I74" s="2">
        <v>20</v>
      </c>
      <c r="J74" s="2">
        <v>15</v>
      </c>
      <c r="K74" s="2" t="s">
        <v>147</v>
      </c>
      <c r="L74" s="12">
        <v>0.68</v>
      </c>
      <c r="M74" s="2" t="str">
        <f t="shared" ref="M74:M75" si="31">D74&amp;" " &amp; E74</f>
        <v>읍내동 624-5</v>
      </c>
      <c r="N74" s="2">
        <v>30</v>
      </c>
      <c r="O74" s="2">
        <v>50</v>
      </c>
      <c r="P74" s="2">
        <v>0.5</v>
      </c>
      <c r="Q74" s="2">
        <v>0.68</v>
      </c>
      <c r="R74" s="2" t="s">
        <v>147</v>
      </c>
      <c r="S74" s="2" t="s">
        <v>11</v>
      </c>
    </row>
    <row r="75" spans="1:19" ht="21.75" customHeight="1" x14ac:dyDescent="0.3">
      <c r="A75" s="2" t="s">
        <v>561</v>
      </c>
      <c r="B75" s="1" t="s">
        <v>22</v>
      </c>
      <c r="C75" s="2" t="s">
        <v>453</v>
      </c>
      <c r="D75" s="2" t="s">
        <v>599</v>
      </c>
      <c r="E75" s="6" t="s">
        <v>600</v>
      </c>
      <c r="F75" s="2">
        <v>150</v>
      </c>
      <c r="G75" s="2">
        <v>200</v>
      </c>
      <c r="H75" s="2">
        <v>2</v>
      </c>
      <c r="I75" s="2">
        <v>80</v>
      </c>
      <c r="J75" s="2">
        <v>32</v>
      </c>
      <c r="K75" s="2" t="s">
        <v>148</v>
      </c>
      <c r="L75" s="12">
        <v>4.99</v>
      </c>
      <c r="M75" s="2" t="str">
        <f t="shared" si="31"/>
        <v>갈산동 180</v>
      </c>
      <c r="N75" s="2">
        <v>150</v>
      </c>
      <c r="O75" s="2">
        <v>200</v>
      </c>
      <c r="P75" s="2">
        <v>2</v>
      </c>
      <c r="Q75" s="2">
        <v>4.99</v>
      </c>
      <c r="R75" s="2" t="s">
        <v>148</v>
      </c>
      <c r="S75" s="2" t="s">
        <v>11</v>
      </c>
    </row>
    <row r="76" spans="1:19" ht="21.75" customHeight="1" x14ac:dyDescent="0.3">
      <c r="A76" s="2" t="s">
        <v>562</v>
      </c>
      <c r="B76" s="1" t="s">
        <v>22</v>
      </c>
      <c r="C76" s="2" t="s">
        <v>453</v>
      </c>
      <c r="D76" s="2" t="s">
        <v>599</v>
      </c>
      <c r="E76" s="6" t="s">
        <v>601</v>
      </c>
      <c r="F76" s="2">
        <v>80</v>
      </c>
      <c r="G76" s="2">
        <v>150</v>
      </c>
      <c r="H76" s="2">
        <v>1</v>
      </c>
      <c r="I76" s="2">
        <v>26</v>
      </c>
      <c r="J76" s="2">
        <v>32</v>
      </c>
      <c r="K76" s="2" t="s">
        <v>148</v>
      </c>
      <c r="L76" s="12">
        <v>3.75</v>
      </c>
      <c r="M76" s="2" t="str">
        <f t="shared" ref="M76:M77" si="32">D76&amp;" " &amp; E76</f>
        <v>갈산동 180-2</v>
      </c>
      <c r="N76" s="2">
        <v>80</v>
      </c>
      <c r="O76" s="2">
        <v>150</v>
      </c>
      <c r="P76" s="2">
        <v>1</v>
      </c>
      <c r="Q76" s="2">
        <v>3.75</v>
      </c>
      <c r="R76" s="2" t="s">
        <v>148</v>
      </c>
      <c r="S76" s="2" t="s">
        <v>11</v>
      </c>
    </row>
    <row r="77" spans="1:19" ht="21.75" customHeight="1" x14ac:dyDescent="0.3">
      <c r="A77" s="2" t="s">
        <v>563</v>
      </c>
      <c r="B77" s="1" t="s">
        <v>22</v>
      </c>
      <c r="C77" s="2" t="s">
        <v>453</v>
      </c>
      <c r="D77" s="2" t="s">
        <v>454</v>
      </c>
      <c r="E77" s="6" t="s">
        <v>641</v>
      </c>
      <c r="F77" s="2">
        <v>100</v>
      </c>
      <c r="G77" s="2">
        <v>150</v>
      </c>
      <c r="H77" s="2">
        <v>2</v>
      </c>
      <c r="I77" s="2">
        <v>86</v>
      </c>
      <c r="J77" s="2">
        <v>32</v>
      </c>
      <c r="K77" s="2" t="s">
        <v>148</v>
      </c>
      <c r="L77" s="12">
        <v>5.13</v>
      </c>
      <c r="M77" s="2" t="str">
        <f t="shared" si="32"/>
        <v>읍내동 산5-1</v>
      </c>
      <c r="N77" s="2">
        <v>100</v>
      </c>
      <c r="O77" s="2">
        <v>150</v>
      </c>
      <c r="P77" s="2">
        <v>2</v>
      </c>
      <c r="Q77" s="2">
        <v>5.13</v>
      </c>
      <c r="R77" s="2" t="s">
        <v>148</v>
      </c>
      <c r="S77" s="2" t="s">
        <v>11</v>
      </c>
    </row>
    <row r="78" spans="1:19" ht="21.75" customHeight="1" x14ac:dyDescent="0.3">
      <c r="A78" s="2" t="s">
        <v>603</v>
      </c>
      <c r="B78" s="1" t="s">
        <v>22</v>
      </c>
      <c r="C78" s="2" t="s">
        <v>453</v>
      </c>
      <c r="D78" s="2" t="s">
        <v>454</v>
      </c>
      <c r="E78" s="6" t="s">
        <v>642</v>
      </c>
      <c r="F78" s="2">
        <v>31</v>
      </c>
      <c r="G78" s="2">
        <v>150</v>
      </c>
      <c r="H78" s="2">
        <v>2</v>
      </c>
      <c r="I78" s="2">
        <v>90</v>
      </c>
      <c r="J78" s="2">
        <v>40</v>
      </c>
      <c r="K78" s="2" t="s">
        <v>148</v>
      </c>
      <c r="L78" s="12">
        <v>5.22</v>
      </c>
      <c r="M78" s="2" t="str">
        <f t="shared" ref="M78:M79" si="33">D78&amp;" " &amp; E78</f>
        <v>읍내동 576-14</v>
      </c>
      <c r="N78" s="2">
        <v>31</v>
      </c>
      <c r="O78" s="2">
        <v>150</v>
      </c>
      <c r="P78" s="2">
        <v>2</v>
      </c>
      <c r="Q78" s="2">
        <v>5.22</v>
      </c>
      <c r="R78" s="2" t="s">
        <v>148</v>
      </c>
      <c r="S78" s="2" t="s">
        <v>11</v>
      </c>
    </row>
    <row r="79" spans="1:19" ht="21.75" customHeight="1" x14ac:dyDescent="0.3">
      <c r="A79" s="2" t="s">
        <v>604</v>
      </c>
      <c r="B79" s="1" t="s">
        <v>22</v>
      </c>
      <c r="C79" s="2" t="s">
        <v>453</v>
      </c>
      <c r="D79" s="2" t="s">
        <v>454</v>
      </c>
      <c r="E79" s="6" t="s">
        <v>643</v>
      </c>
      <c r="F79" s="2">
        <v>70</v>
      </c>
      <c r="G79" s="2">
        <v>32</v>
      </c>
      <c r="H79" s="2">
        <v>2</v>
      </c>
      <c r="I79" s="2">
        <v>80</v>
      </c>
      <c r="J79" s="2">
        <v>32</v>
      </c>
      <c r="K79" s="2" t="s">
        <v>148</v>
      </c>
      <c r="L79" s="12">
        <v>4.99</v>
      </c>
      <c r="M79" s="2" t="str">
        <f t="shared" si="33"/>
        <v>읍내동 585-1</v>
      </c>
      <c r="N79" s="2">
        <v>70</v>
      </c>
      <c r="O79" s="2">
        <v>32</v>
      </c>
      <c r="P79" s="2">
        <v>2</v>
      </c>
      <c r="Q79" s="2">
        <v>4.99</v>
      </c>
      <c r="R79" s="2" t="s">
        <v>148</v>
      </c>
      <c r="S79" s="2" t="s">
        <v>11</v>
      </c>
    </row>
    <row r="80" spans="1:19" ht="21.75" customHeight="1" x14ac:dyDescent="0.3">
      <c r="A80" s="2" t="s">
        <v>605</v>
      </c>
      <c r="B80" s="1" t="s">
        <v>22</v>
      </c>
      <c r="C80" s="2" t="s">
        <v>453</v>
      </c>
      <c r="D80" s="2" t="s">
        <v>454</v>
      </c>
      <c r="E80" s="6" t="s">
        <v>644</v>
      </c>
      <c r="F80" s="2">
        <v>25</v>
      </c>
      <c r="G80" s="2">
        <v>50</v>
      </c>
      <c r="H80" s="2">
        <v>0.5</v>
      </c>
      <c r="I80" s="2">
        <v>25</v>
      </c>
      <c r="J80" s="2">
        <v>20</v>
      </c>
      <c r="K80" s="2" t="s">
        <v>147</v>
      </c>
      <c r="L80" s="12">
        <v>0.68</v>
      </c>
      <c r="M80" s="2" t="str">
        <f t="shared" ref="M80:M81" si="34">D80&amp;" " &amp; E80</f>
        <v>읍내동 583-8</v>
      </c>
      <c r="N80" s="2">
        <v>25</v>
      </c>
      <c r="O80" s="2">
        <v>50</v>
      </c>
      <c r="P80" s="2">
        <v>0.5</v>
      </c>
      <c r="Q80" s="2">
        <v>0.68</v>
      </c>
      <c r="R80" s="2" t="s">
        <v>147</v>
      </c>
      <c r="S80" s="2" t="s">
        <v>11</v>
      </c>
    </row>
    <row r="81" spans="1:19" ht="21.75" customHeight="1" x14ac:dyDescent="0.3">
      <c r="A81" s="2" t="s">
        <v>606</v>
      </c>
      <c r="B81" s="1" t="s">
        <v>22</v>
      </c>
      <c r="C81" s="2" t="s">
        <v>453</v>
      </c>
      <c r="D81" s="2" t="s">
        <v>454</v>
      </c>
      <c r="E81" s="6" t="s">
        <v>645</v>
      </c>
      <c r="F81" s="2">
        <v>18</v>
      </c>
      <c r="G81" s="2">
        <v>40</v>
      </c>
      <c r="H81" s="2">
        <v>0.5</v>
      </c>
      <c r="I81" s="2">
        <v>5</v>
      </c>
      <c r="J81" s="2">
        <v>20</v>
      </c>
      <c r="K81" s="2" t="s">
        <v>147</v>
      </c>
      <c r="L81" s="12">
        <v>0.68</v>
      </c>
      <c r="M81" s="2" t="str">
        <f t="shared" si="34"/>
        <v>읍내동 588-5</v>
      </c>
      <c r="N81" s="2">
        <v>18</v>
      </c>
      <c r="O81" s="2">
        <v>40</v>
      </c>
      <c r="P81" s="2">
        <v>0.5</v>
      </c>
      <c r="Q81" s="2">
        <v>0.68</v>
      </c>
      <c r="R81" s="2" t="s">
        <v>147</v>
      </c>
      <c r="S81" s="2" t="s">
        <v>11</v>
      </c>
    </row>
    <row r="82" spans="1:19" ht="21.75" customHeight="1" x14ac:dyDescent="0.3">
      <c r="A82" s="2" t="s">
        <v>607</v>
      </c>
      <c r="B82" s="1" t="s">
        <v>22</v>
      </c>
      <c r="C82" s="2" t="s">
        <v>453</v>
      </c>
      <c r="D82" s="2" t="s">
        <v>454</v>
      </c>
      <c r="E82" s="6" t="s">
        <v>646</v>
      </c>
      <c r="F82" s="2">
        <v>60</v>
      </c>
      <c r="G82" s="2">
        <v>150</v>
      </c>
      <c r="H82" s="2">
        <v>1</v>
      </c>
      <c r="I82" s="2">
        <v>70</v>
      </c>
      <c r="J82" s="2">
        <v>32</v>
      </c>
      <c r="K82" s="2" t="s">
        <v>148</v>
      </c>
      <c r="L82" s="12">
        <v>4.76</v>
      </c>
      <c r="M82" s="2" t="str">
        <f t="shared" ref="M82:M83" si="35">D82&amp;" " &amp; E82</f>
        <v>읍내동 588-3</v>
      </c>
      <c r="N82" s="2">
        <v>60</v>
      </c>
      <c r="O82" s="2">
        <v>150</v>
      </c>
      <c r="P82" s="2">
        <v>1</v>
      </c>
      <c r="Q82" s="2">
        <v>4.76</v>
      </c>
      <c r="R82" s="2" t="s">
        <v>148</v>
      </c>
      <c r="S82" s="2" t="s">
        <v>11</v>
      </c>
    </row>
    <row r="83" spans="1:19" ht="21.75" customHeight="1" x14ac:dyDescent="0.3">
      <c r="A83" s="2" t="s">
        <v>608</v>
      </c>
      <c r="B83" s="1" t="s">
        <v>22</v>
      </c>
      <c r="C83" s="2" t="s">
        <v>453</v>
      </c>
      <c r="D83" s="2" t="s">
        <v>454</v>
      </c>
      <c r="E83" s="6" t="s">
        <v>647</v>
      </c>
      <c r="F83" s="2">
        <v>20</v>
      </c>
      <c r="G83" s="2">
        <v>40</v>
      </c>
      <c r="H83" s="2">
        <v>0.5</v>
      </c>
      <c r="I83" s="2">
        <v>3</v>
      </c>
      <c r="J83" s="2">
        <v>20</v>
      </c>
      <c r="K83" s="2" t="s">
        <v>147</v>
      </c>
      <c r="L83" s="12">
        <v>0.68</v>
      </c>
      <c r="M83" s="2" t="str">
        <f t="shared" si="35"/>
        <v>읍내동 597-2</v>
      </c>
      <c r="N83" s="2">
        <v>20</v>
      </c>
      <c r="O83" s="2">
        <v>40</v>
      </c>
      <c r="P83" s="2">
        <v>0.5</v>
      </c>
      <c r="Q83" s="2">
        <v>0.68</v>
      </c>
      <c r="R83" s="2" t="s">
        <v>147</v>
      </c>
      <c r="S83" s="2" t="s">
        <v>11</v>
      </c>
    </row>
    <row r="84" spans="1:19" ht="21.75" customHeight="1" x14ac:dyDescent="0.3">
      <c r="A84" s="2" t="s">
        <v>609</v>
      </c>
      <c r="B84" s="1" t="s">
        <v>22</v>
      </c>
      <c r="C84" s="2" t="s">
        <v>453</v>
      </c>
      <c r="D84" s="2" t="s">
        <v>454</v>
      </c>
      <c r="E84" s="6" t="s">
        <v>648</v>
      </c>
      <c r="F84" s="2">
        <v>70</v>
      </c>
      <c r="G84" s="2">
        <v>150</v>
      </c>
      <c r="H84" s="2">
        <v>1</v>
      </c>
      <c r="I84" s="2">
        <v>28</v>
      </c>
      <c r="J84" s="2">
        <v>20</v>
      </c>
      <c r="K84" s="2" t="s">
        <v>148</v>
      </c>
      <c r="L84" s="12">
        <v>3.8</v>
      </c>
      <c r="M84" s="2" t="str">
        <f t="shared" ref="M84:M85" si="36">D84&amp;" " &amp; E84</f>
        <v>읍내동 412-5</v>
      </c>
      <c r="N84" s="2">
        <v>70</v>
      </c>
      <c r="O84" s="2">
        <v>150</v>
      </c>
      <c r="P84" s="2">
        <v>1</v>
      </c>
      <c r="Q84" s="2">
        <v>3.8</v>
      </c>
      <c r="R84" s="2" t="s">
        <v>148</v>
      </c>
      <c r="S84" s="2" t="s">
        <v>11</v>
      </c>
    </row>
    <row r="85" spans="1:19" ht="21.75" customHeight="1" x14ac:dyDescent="0.3">
      <c r="A85" s="2" t="s">
        <v>610</v>
      </c>
      <c r="B85" s="1" t="s">
        <v>22</v>
      </c>
      <c r="C85" s="2" t="s">
        <v>453</v>
      </c>
      <c r="D85" s="2" t="s">
        <v>454</v>
      </c>
      <c r="E85" s="6" t="s">
        <v>649</v>
      </c>
      <c r="F85" s="2">
        <v>30</v>
      </c>
      <c r="G85" s="2">
        <v>50</v>
      </c>
      <c r="H85" s="2">
        <v>0.5</v>
      </c>
      <c r="I85" s="2">
        <v>20</v>
      </c>
      <c r="J85" s="2">
        <v>16</v>
      </c>
      <c r="K85" s="2" t="s">
        <v>147</v>
      </c>
      <c r="L85" s="12">
        <v>0.68</v>
      </c>
      <c r="M85" s="2" t="str">
        <f t="shared" si="36"/>
        <v>읍내동 511</v>
      </c>
      <c r="N85" s="2">
        <v>30</v>
      </c>
      <c r="O85" s="2">
        <v>50</v>
      </c>
      <c r="P85" s="2">
        <v>0.5</v>
      </c>
      <c r="Q85" s="2">
        <v>0.68</v>
      </c>
      <c r="R85" s="2" t="s">
        <v>147</v>
      </c>
      <c r="S85" s="2" t="s">
        <v>11</v>
      </c>
    </row>
    <row r="86" spans="1:19" ht="21.75" customHeight="1" x14ac:dyDescent="0.3">
      <c r="A86" s="2" t="s">
        <v>611</v>
      </c>
      <c r="B86" s="1" t="s">
        <v>22</v>
      </c>
      <c r="C86" s="2" t="s">
        <v>453</v>
      </c>
      <c r="D86" s="2" t="s">
        <v>454</v>
      </c>
      <c r="E86" s="6" t="s">
        <v>650</v>
      </c>
      <c r="F86" s="2">
        <v>15</v>
      </c>
      <c r="G86" s="2">
        <v>40</v>
      </c>
      <c r="H86" s="2">
        <v>0.5</v>
      </c>
      <c r="I86" s="2">
        <v>3</v>
      </c>
      <c r="J86" s="2">
        <v>20</v>
      </c>
      <c r="K86" s="2" t="s">
        <v>147</v>
      </c>
      <c r="L86" s="12">
        <v>0.68</v>
      </c>
      <c r="M86" s="2" t="str">
        <f t="shared" ref="M86:M87" si="37">D86&amp;" " &amp; E86</f>
        <v>읍내동 416-6</v>
      </c>
      <c r="N86" s="2">
        <v>15</v>
      </c>
      <c r="O86" s="2">
        <v>40</v>
      </c>
      <c r="P86" s="2">
        <v>0.5</v>
      </c>
      <c r="Q86" s="2">
        <v>0.68</v>
      </c>
      <c r="R86" s="2" t="s">
        <v>147</v>
      </c>
      <c r="S86" s="2" t="s">
        <v>11</v>
      </c>
    </row>
    <row r="87" spans="1:19" ht="21.75" customHeight="1" x14ac:dyDescent="0.3">
      <c r="A87" s="2" t="s">
        <v>612</v>
      </c>
      <c r="B87" s="1" t="s">
        <v>22</v>
      </c>
      <c r="C87" s="2" t="s">
        <v>453</v>
      </c>
      <c r="D87" s="2" t="s">
        <v>454</v>
      </c>
      <c r="E87" s="6" t="s">
        <v>651</v>
      </c>
      <c r="F87" s="2">
        <v>18</v>
      </c>
      <c r="G87" s="2">
        <v>30</v>
      </c>
      <c r="H87" s="2">
        <v>0.5</v>
      </c>
      <c r="I87" s="2">
        <v>5</v>
      </c>
      <c r="J87" s="2">
        <v>20</v>
      </c>
      <c r="K87" s="2" t="s">
        <v>147</v>
      </c>
      <c r="L87" s="12">
        <v>0.68</v>
      </c>
      <c r="M87" s="2" t="str">
        <f t="shared" si="37"/>
        <v>읍내동 533-1</v>
      </c>
      <c r="N87" s="2">
        <v>18</v>
      </c>
      <c r="O87" s="2">
        <v>30</v>
      </c>
      <c r="P87" s="2">
        <v>0.5</v>
      </c>
      <c r="Q87" s="2">
        <v>0.68</v>
      </c>
      <c r="R87" s="2" t="s">
        <v>147</v>
      </c>
      <c r="S87" s="2" t="s">
        <v>11</v>
      </c>
    </row>
    <row r="88" spans="1:19" ht="21.75" customHeight="1" x14ac:dyDescent="0.3">
      <c r="A88" s="2" t="s">
        <v>613</v>
      </c>
      <c r="B88" s="1" t="s">
        <v>22</v>
      </c>
      <c r="C88" s="2" t="s">
        <v>453</v>
      </c>
      <c r="D88" s="2" t="s">
        <v>454</v>
      </c>
      <c r="E88" s="6" t="s">
        <v>652</v>
      </c>
      <c r="F88" s="2">
        <v>19</v>
      </c>
      <c r="G88" s="2">
        <v>30</v>
      </c>
      <c r="H88" s="2">
        <v>0.5</v>
      </c>
      <c r="I88" s="2">
        <v>5</v>
      </c>
      <c r="J88" s="2">
        <v>20</v>
      </c>
      <c r="K88" s="2" t="s">
        <v>147</v>
      </c>
      <c r="L88" s="12">
        <v>0.68</v>
      </c>
      <c r="M88" s="2" t="str">
        <f t="shared" ref="M88:M89" si="38">D88&amp;" " &amp; E88</f>
        <v>읍내동 535-1</v>
      </c>
      <c r="N88" s="2">
        <v>19</v>
      </c>
      <c r="O88" s="2">
        <v>30</v>
      </c>
      <c r="P88" s="2">
        <v>0.5</v>
      </c>
      <c r="Q88" s="2">
        <v>0.68</v>
      </c>
      <c r="R88" s="2" t="s">
        <v>147</v>
      </c>
      <c r="S88" s="2" t="s">
        <v>11</v>
      </c>
    </row>
    <row r="89" spans="1:19" ht="21.75" customHeight="1" x14ac:dyDescent="0.3">
      <c r="A89" s="2" t="s">
        <v>614</v>
      </c>
      <c r="B89" s="1" t="s">
        <v>22</v>
      </c>
      <c r="C89" s="2" t="s">
        <v>453</v>
      </c>
      <c r="D89" s="2" t="s">
        <v>454</v>
      </c>
      <c r="E89" s="6" t="s">
        <v>653</v>
      </c>
      <c r="F89" s="2">
        <v>18</v>
      </c>
      <c r="G89" s="2">
        <v>40</v>
      </c>
      <c r="H89" s="2">
        <v>0.5</v>
      </c>
      <c r="I89" s="2">
        <v>5</v>
      </c>
      <c r="J89" s="2">
        <v>20</v>
      </c>
      <c r="K89" s="2" t="s">
        <v>147</v>
      </c>
      <c r="L89" s="12">
        <v>0.68</v>
      </c>
      <c r="M89" s="2" t="str">
        <f t="shared" si="38"/>
        <v>읍내동 530-9</v>
      </c>
      <c r="N89" s="2">
        <v>18</v>
      </c>
      <c r="O89" s="2">
        <v>40</v>
      </c>
      <c r="P89" s="2">
        <v>0.5</v>
      </c>
      <c r="Q89" s="2">
        <v>0.68</v>
      </c>
      <c r="R89" s="2" t="s">
        <v>147</v>
      </c>
      <c r="S89" s="2" t="s">
        <v>11</v>
      </c>
    </row>
    <row r="90" spans="1:19" ht="21.75" customHeight="1" x14ac:dyDescent="0.3">
      <c r="A90" s="2" t="s">
        <v>615</v>
      </c>
      <c r="B90" s="1" t="s">
        <v>22</v>
      </c>
      <c r="C90" s="2" t="s">
        <v>453</v>
      </c>
      <c r="D90" s="2" t="s">
        <v>454</v>
      </c>
      <c r="E90" s="6" t="s">
        <v>654</v>
      </c>
      <c r="F90" s="2">
        <v>20</v>
      </c>
      <c r="G90" s="2">
        <v>40</v>
      </c>
      <c r="H90" s="2">
        <v>0.5</v>
      </c>
      <c r="I90" s="2">
        <v>5</v>
      </c>
      <c r="J90" s="2">
        <v>20</v>
      </c>
      <c r="K90" s="2" t="s">
        <v>147</v>
      </c>
      <c r="L90" s="12">
        <v>0.68</v>
      </c>
      <c r="M90" s="2" t="str">
        <f t="shared" ref="M90:M91" si="39">D90&amp;" " &amp; E90</f>
        <v>읍내동 539-1</v>
      </c>
      <c r="N90" s="2">
        <v>20</v>
      </c>
      <c r="O90" s="2">
        <v>40</v>
      </c>
      <c r="P90" s="2">
        <v>0.5</v>
      </c>
      <c r="Q90" s="2">
        <v>0.68</v>
      </c>
      <c r="R90" s="2" t="s">
        <v>147</v>
      </c>
      <c r="S90" s="2" t="s">
        <v>11</v>
      </c>
    </row>
    <row r="91" spans="1:19" ht="21.75" customHeight="1" x14ac:dyDescent="0.3">
      <c r="A91" s="2" t="s">
        <v>616</v>
      </c>
      <c r="B91" s="1" t="s">
        <v>22</v>
      </c>
      <c r="C91" s="2" t="s">
        <v>453</v>
      </c>
      <c r="D91" s="2" t="s">
        <v>454</v>
      </c>
      <c r="E91" s="6" t="s">
        <v>655</v>
      </c>
      <c r="F91" s="2">
        <v>18</v>
      </c>
      <c r="G91" s="2">
        <v>30</v>
      </c>
      <c r="H91" s="2">
        <v>0.5</v>
      </c>
      <c r="I91" s="2">
        <v>5</v>
      </c>
      <c r="J91" s="2">
        <v>20</v>
      </c>
      <c r="K91" s="2" t="s">
        <v>147</v>
      </c>
      <c r="L91" s="12">
        <v>0.68</v>
      </c>
      <c r="M91" s="2" t="str">
        <f t="shared" si="39"/>
        <v>읍내동 540-1</v>
      </c>
      <c r="N91" s="2">
        <v>18</v>
      </c>
      <c r="O91" s="2">
        <v>30</v>
      </c>
      <c r="P91" s="2">
        <v>0.5</v>
      </c>
      <c r="Q91" s="2">
        <v>0.68</v>
      </c>
      <c r="R91" s="2" t="s">
        <v>147</v>
      </c>
      <c r="S91" s="2" t="s">
        <v>11</v>
      </c>
    </row>
    <row r="92" spans="1:19" ht="21.75" customHeight="1" x14ac:dyDescent="0.3">
      <c r="A92" s="2" t="s">
        <v>617</v>
      </c>
      <c r="B92" s="1" t="s">
        <v>22</v>
      </c>
      <c r="C92" s="2" t="s">
        <v>453</v>
      </c>
      <c r="D92" s="2" t="s">
        <v>454</v>
      </c>
      <c r="E92" s="6" t="s">
        <v>656</v>
      </c>
      <c r="F92" s="2">
        <v>18</v>
      </c>
      <c r="G92" s="2">
        <v>30</v>
      </c>
      <c r="H92" s="2">
        <v>0.5</v>
      </c>
      <c r="I92" s="2">
        <v>5</v>
      </c>
      <c r="J92" s="2">
        <v>20</v>
      </c>
      <c r="K92" s="2" t="s">
        <v>147</v>
      </c>
      <c r="L92" s="12">
        <v>0.68</v>
      </c>
      <c r="M92" s="2" t="str">
        <f t="shared" ref="M92:M93" si="40">D92&amp;" " &amp; E92</f>
        <v>읍내동 541-7</v>
      </c>
      <c r="N92" s="2">
        <v>18</v>
      </c>
      <c r="O92" s="2">
        <v>30</v>
      </c>
      <c r="P92" s="2">
        <v>0.5</v>
      </c>
      <c r="Q92" s="2">
        <v>0.68</v>
      </c>
      <c r="R92" s="2" t="s">
        <v>147</v>
      </c>
      <c r="S92" s="2" t="s">
        <v>11</v>
      </c>
    </row>
    <row r="93" spans="1:19" ht="21.75" customHeight="1" x14ac:dyDescent="0.3">
      <c r="A93" s="2" t="s">
        <v>618</v>
      </c>
      <c r="B93" s="1" t="s">
        <v>22</v>
      </c>
      <c r="C93" s="2" t="s">
        <v>453</v>
      </c>
      <c r="D93" s="2" t="s">
        <v>454</v>
      </c>
      <c r="E93" s="6" t="s">
        <v>658</v>
      </c>
      <c r="F93" s="2">
        <v>18</v>
      </c>
      <c r="G93" s="2">
        <v>30</v>
      </c>
      <c r="H93" s="2">
        <v>0.5</v>
      </c>
      <c r="I93" s="2">
        <v>25</v>
      </c>
      <c r="J93" s="2">
        <v>20</v>
      </c>
      <c r="K93" s="2" t="s">
        <v>147</v>
      </c>
      <c r="L93" s="12">
        <v>0.68</v>
      </c>
      <c r="M93" s="2" t="str">
        <f t="shared" si="40"/>
        <v>읍내동 575-3</v>
      </c>
      <c r="N93" s="2">
        <v>18</v>
      </c>
      <c r="O93" s="2">
        <v>30</v>
      </c>
      <c r="P93" s="2">
        <v>0.5</v>
      </c>
      <c r="Q93" s="2">
        <v>0.68</v>
      </c>
      <c r="R93" s="2" t="s">
        <v>147</v>
      </c>
      <c r="S93" s="2" t="s">
        <v>11</v>
      </c>
    </row>
    <row r="94" spans="1:19" ht="21.75" customHeight="1" x14ac:dyDescent="0.3">
      <c r="A94" s="2" t="s">
        <v>619</v>
      </c>
      <c r="B94" s="1" t="s">
        <v>22</v>
      </c>
      <c r="C94" s="2" t="s">
        <v>453</v>
      </c>
      <c r="D94" s="2" t="s">
        <v>454</v>
      </c>
      <c r="E94" s="6" t="s">
        <v>659</v>
      </c>
      <c r="F94" s="2">
        <v>30</v>
      </c>
      <c r="G94" s="2">
        <v>50</v>
      </c>
      <c r="H94" s="2">
        <v>0.5</v>
      </c>
      <c r="I94" s="2">
        <v>40</v>
      </c>
      <c r="J94" s="2">
        <v>15</v>
      </c>
      <c r="K94" s="2" t="s">
        <v>148</v>
      </c>
      <c r="L94" s="12">
        <v>4.07</v>
      </c>
      <c r="M94" s="2" t="str">
        <f t="shared" ref="M94:M95" si="41">D94&amp;" " &amp; E94</f>
        <v>읍내동 580-1</v>
      </c>
      <c r="N94" s="2">
        <v>30</v>
      </c>
      <c r="O94" s="2">
        <v>50</v>
      </c>
      <c r="P94" s="2">
        <v>0.5</v>
      </c>
      <c r="Q94" s="2">
        <v>4.07</v>
      </c>
      <c r="R94" s="2" t="s">
        <v>148</v>
      </c>
      <c r="S94" s="2" t="s">
        <v>11</v>
      </c>
    </row>
    <row r="95" spans="1:19" ht="21.75" customHeight="1" x14ac:dyDescent="0.3">
      <c r="A95" s="2" t="s">
        <v>620</v>
      </c>
      <c r="B95" s="1" t="s">
        <v>22</v>
      </c>
      <c r="C95" s="2" t="s">
        <v>453</v>
      </c>
      <c r="D95" s="2" t="s">
        <v>454</v>
      </c>
      <c r="E95" s="6" t="s">
        <v>661</v>
      </c>
      <c r="F95" s="2">
        <v>18</v>
      </c>
      <c r="G95" s="2">
        <v>30</v>
      </c>
      <c r="H95" s="2">
        <v>0.5</v>
      </c>
      <c r="I95" s="2">
        <v>26</v>
      </c>
      <c r="J95" s="2">
        <v>20</v>
      </c>
      <c r="K95" s="2" t="s">
        <v>147</v>
      </c>
      <c r="L95" s="12">
        <v>0.68</v>
      </c>
      <c r="M95" s="2" t="str">
        <f t="shared" si="41"/>
        <v>읍내동 575-1</v>
      </c>
      <c r="N95" s="2">
        <v>18</v>
      </c>
      <c r="O95" s="2">
        <v>30</v>
      </c>
      <c r="P95" s="2">
        <v>0.5</v>
      </c>
      <c r="Q95" s="2">
        <v>0.68</v>
      </c>
      <c r="R95" s="2" t="s">
        <v>147</v>
      </c>
      <c r="S95" s="2" t="s">
        <v>11</v>
      </c>
    </row>
    <row r="96" spans="1:19" ht="21.75" customHeight="1" x14ac:dyDescent="0.3">
      <c r="A96" s="2" t="s">
        <v>621</v>
      </c>
      <c r="B96" s="1" t="s">
        <v>22</v>
      </c>
      <c r="C96" s="2" t="s">
        <v>453</v>
      </c>
      <c r="D96" s="2" t="s">
        <v>454</v>
      </c>
      <c r="E96" s="6" t="s">
        <v>662</v>
      </c>
      <c r="F96" s="2">
        <v>25</v>
      </c>
      <c r="G96" s="2">
        <v>50</v>
      </c>
      <c r="H96" s="2">
        <v>0.3</v>
      </c>
      <c r="I96" s="2">
        <v>10</v>
      </c>
      <c r="J96" s="2">
        <v>40</v>
      </c>
      <c r="K96" s="2" t="s">
        <v>147</v>
      </c>
      <c r="L96" s="12">
        <v>0.68</v>
      </c>
      <c r="M96" s="2" t="str">
        <f t="shared" ref="M96:M97" si="42">D96&amp;" " &amp; E96</f>
        <v>읍내동 567-5</v>
      </c>
      <c r="N96" s="2">
        <v>25</v>
      </c>
      <c r="O96" s="2">
        <v>50</v>
      </c>
      <c r="P96" s="2">
        <v>0.3</v>
      </c>
      <c r="Q96" s="2">
        <v>0.68</v>
      </c>
      <c r="R96" s="2" t="s">
        <v>147</v>
      </c>
      <c r="S96" s="2" t="s">
        <v>11</v>
      </c>
    </row>
    <row r="97" spans="1:19" ht="21.75" customHeight="1" x14ac:dyDescent="0.3">
      <c r="A97" s="2" t="s">
        <v>622</v>
      </c>
      <c r="B97" s="1" t="s">
        <v>22</v>
      </c>
      <c r="C97" s="2" t="s">
        <v>453</v>
      </c>
      <c r="D97" s="2" t="s">
        <v>454</v>
      </c>
      <c r="E97" s="6" t="s">
        <v>663</v>
      </c>
      <c r="F97" s="2">
        <v>18</v>
      </c>
      <c r="G97" s="2">
        <v>30</v>
      </c>
      <c r="H97" s="2">
        <v>0.5</v>
      </c>
      <c r="I97" s="2">
        <v>5</v>
      </c>
      <c r="J97" s="2">
        <v>20</v>
      </c>
      <c r="K97" s="2" t="s">
        <v>571</v>
      </c>
      <c r="L97" s="12">
        <v>0.68</v>
      </c>
      <c r="M97" s="2" t="str">
        <f t="shared" si="42"/>
        <v>읍내동 544-4</v>
      </c>
      <c r="N97" s="2">
        <v>18</v>
      </c>
      <c r="O97" s="2">
        <v>30</v>
      </c>
      <c r="P97" s="2">
        <v>0.5</v>
      </c>
      <c r="Q97" s="2">
        <v>0.68</v>
      </c>
      <c r="R97" s="2" t="s">
        <v>571</v>
      </c>
      <c r="S97" s="2" t="s">
        <v>11</v>
      </c>
    </row>
    <row r="98" spans="1:19" ht="21.75" customHeight="1" x14ac:dyDescent="0.3">
      <c r="A98" s="2" t="s">
        <v>623</v>
      </c>
      <c r="B98" s="1" t="s">
        <v>22</v>
      </c>
      <c r="C98" s="2" t="s">
        <v>453</v>
      </c>
      <c r="D98" s="2" t="s">
        <v>454</v>
      </c>
      <c r="E98" s="6" t="s">
        <v>664</v>
      </c>
      <c r="F98" s="2">
        <v>12</v>
      </c>
      <c r="G98" s="2">
        <v>50</v>
      </c>
      <c r="H98" s="2">
        <v>0.5</v>
      </c>
      <c r="I98" s="2">
        <v>30</v>
      </c>
      <c r="J98" s="2">
        <v>16</v>
      </c>
      <c r="K98" s="2" t="s">
        <v>147</v>
      </c>
      <c r="L98" s="12">
        <v>0.68</v>
      </c>
      <c r="M98" s="2" t="str">
        <f t="shared" ref="M98:M99" si="43">D98&amp;" " &amp; E98</f>
        <v>읍내동 566-1</v>
      </c>
      <c r="N98" s="2">
        <v>12</v>
      </c>
      <c r="O98" s="2">
        <v>50</v>
      </c>
      <c r="P98" s="2">
        <v>0.5</v>
      </c>
      <c r="Q98" s="2">
        <v>0.68</v>
      </c>
      <c r="R98" s="2" t="s">
        <v>147</v>
      </c>
      <c r="S98" s="2" t="s">
        <v>11</v>
      </c>
    </row>
    <row r="99" spans="1:19" ht="21.75" customHeight="1" x14ac:dyDescent="0.3">
      <c r="A99" s="2" t="s">
        <v>624</v>
      </c>
      <c r="B99" s="1" t="s">
        <v>22</v>
      </c>
      <c r="C99" s="2" t="s">
        <v>453</v>
      </c>
      <c r="D99" s="2" t="s">
        <v>454</v>
      </c>
      <c r="E99" s="6" t="s">
        <v>665</v>
      </c>
      <c r="F99" s="2">
        <v>18</v>
      </c>
      <c r="G99" s="2">
        <v>30</v>
      </c>
      <c r="H99" s="2">
        <v>0.5</v>
      </c>
      <c r="I99" s="2">
        <v>25</v>
      </c>
      <c r="J99" s="2">
        <v>20</v>
      </c>
      <c r="K99" s="2" t="s">
        <v>147</v>
      </c>
      <c r="L99" s="12">
        <v>0.68</v>
      </c>
      <c r="M99" s="2" t="str">
        <f t="shared" si="43"/>
        <v>읍내동 564-1</v>
      </c>
      <c r="N99" s="2">
        <v>18</v>
      </c>
      <c r="O99" s="2">
        <v>30</v>
      </c>
      <c r="P99" s="2">
        <v>0.5</v>
      </c>
      <c r="Q99" s="2">
        <v>0.68</v>
      </c>
      <c r="R99" s="2" t="s">
        <v>147</v>
      </c>
      <c r="S99" s="2" t="s">
        <v>11</v>
      </c>
    </row>
    <row r="100" spans="1:19" ht="21.75" customHeight="1" x14ac:dyDescent="0.3">
      <c r="A100" s="2" t="s">
        <v>625</v>
      </c>
      <c r="B100" s="1" t="s">
        <v>22</v>
      </c>
      <c r="C100" s="2" t="s">
        <v>453</v>
      </c>
      <c r="D100" s="2" t="s">
        <v>454</v>
      </c>
      <c r="E100" s="6" t="s">
        <v>666</v>
      </c>
      <c r="F100" s="2">
        <v>16</v>
      </c>
      <c r="G100" s="2">
        <v>50</v>
      </c>
      <c r="H100" s="2">
        <v>0.5</v>
      </c>
      <c r="I100" s="2">
        <v>25</v>
      </c>
      <c r="J100" s="2">
        <v>25</v>
      </c>
      <c r="K100" s="2" t="s">
        <v>148</v>
      </c>
      <c r="L100" s="12">
        <v>3.73</v>
      </c>
      <c r="M100" s="2" t="str">
        <f t="shared" ref="M100:M101" si="44">D100&amp;" " &amp; E100</f>
        <v>읍내동 545</v>
      </c>
      <c r="N100" s="2">
        <v>16</v>
      </c>
      <c r="O100" s="2">
        <v>50</v>
      </c>
      <c r="P100" s="2">
        <v>0.5</v>
      </c>
      <c r="Q100" s="2">
        <v>3.73</v>
      </c>
      <c r="R100" s="2" t="s">
        <v>148</v>
      </c>
      <c r="S100" s="2" t="s">
        <v>11</v>
      </c>
    </row>
    <row r="101" spans="1:19" ht="21.75" customHeight="1" x14ac:dyDescent="0.3">
      <c r="A101" s="2" t="s">
        <v>626</v>
      </c>
      <c r="B101" s="1" t="s">
        <v>22</v>
      </c>
      <c r="C101" s="2" t="s">
        <v>453</v>
      </c>
      <c r="D101" s="2" t="s">
        <v>454</v>
      </c>
      <c r="E101" s="6" t="s">
        <v>668</v>
      </c>
      <c r="F101" s="2">
        <v>20</v>
      </c>
      <c r="G101" s="2">
        <v>50</v>
      </c>
      <c r="H101" s="2">
        <v>0.5</v>
      </c>
      <c r="I101" s="2">
        <v>25</v>
      </c>
      <c r="J101" s="2">
        <v>20</v>
      </c>
      <c r="K101" s="2" t="s">
        <v>571</v>
      </c>
      <c r="L101" s="12">
        <v>0.68</v>
      </c>
      <c r="M101" s="2" t="str">
        <f t="shared" si="44"/>
        <v>읍내동 563</v>
      </c>
      <c r="N101" s="2">
        <v>20</v>
      </c>
      <c r="O101" s="2">
        <v>50</v>
      </c>
      <c r="P101" s="2">
        <v>0.5</v>
      </c>
      <c r="Q101" s="2">
        <v>0.68</v>
      </c>
      <c r="R101" s="2" t="s">
        <v>571</v>
      </c>
      <c r="S101" s="2" t="s">
        <v>11</v>
      </c>
    </row>
    <row r="102" spans="1:19" ht="21.75" customHeight="1" x14ac:dyDescent="0.3">
      <c r="A102" s="2" t="s">
        <v>627</v>
      </c>
      <c r="B102" s="1" t="s">
        <v>22</v>
      </c>
      <c r="C102" s="2" t="s">
        <v>453</v>
      </c>
      <c r="D102" s="2" t="s">
        <v>454</v>
      </c>
      <c r="E102" s="6" t="s">
        <v>669</v>
      </c>
      <c r="F102" s="2">
        <v>20</v>
      </c>
      <c r="G102" s="2">
        <v>40</v>
      </c>
      <c r="H102" s="2">
        <v>0.5</v>
      </c>
      <c r="I102" s="2">
        <v>3</v>
      </c>
      <c r="J102" s="2">
        <v>20</v>
      </c>
      <c r="K102" s="2" t="s">
        <v>147</v>
      </c>
      <c r="L102" s="12">
        <v>0.68</v>
      </c>
      <c r="M102" s="2" t="str">
        <f t="shared" ref="M102:M103" si="45">D102&amp;" " &amp; E102</f>
        <v>읍내동 562-6</v>
      </c>
      <c r="N102" s="2">
        <v>20</v>
      </c>
      <c r="O102" s="2">
        <v>40</v>
      </c>
      <c r="P102" s="2">
        <v>0.5</v>
      </c>
      <c r="Q102" s="2">
        <v>0.68</v>
      </c>
      <c r="R102" s="2" t="s">
        <v>147</v>
      </c>
      <c r="S102" s="2" t="s">
        <v>11</v>
      </c>
    </row>
    <row r="103" spans="1:19" ht="21.75" customHeight="1" x14ac:dyDescent="0.3">
      <c r="A103" s="2" t="s">
        <v>628</v>
      </c>
      <c r="B103" s="1" t="s">
        <v>22</v>
      </c>
      <c r="C103" s="2" t="s">
        <v>453</v>
      </c>
      <c r="D103" s="2" t="s">
        <v>454</v>
      </c>
      <c r="E103" s="6" t="s">
        <v>670</v>
      </c>
      <c r="F103" s="2">
        <v>20</v>
      </c>
      <c r="G103" s="2">
        <v>40</v>
      </c>
      <c r="H103" s="2">
        <v>0.5</v>
      </c>
      <c r="I103" s="2">
        <v>5</v>
      </c>
      <c r="J103" s="2">
        <v>20</v>
      </c>
      <c r="K103" s="2" t="s">
        <v>147</v>
      </c>
      <c r="L103" s="12">
        <v>0.68</v>
      </c>
      <c r="M103" s="2" t="str">
        <f t="shared" si="45"/>
        <v>읍내동 560</v>
      </c>
      <c r="N103" s="2">
        <v>20</v>
      </c>
      <c r="O103" s="2">
        <v>40</v>
      </c>
      <c r="P103" s="2">
        <v>0.5</v>
      </c>
      <c r="Q103" s="2">
        <v>0.68</v>
      </c>
      <c r="R103" s="2" t="s">
        <v>147</v>
      </c>
      <c r="S103" s="2" t="s">
        <v>11</v>
      </c>
    </row>
    <row r="104" spans="1:19" ht="21.75" customHeight="1" x14ac:dyDescent="0.3">
      <c r="A104" s="2" t="s">
        <v>629</v>
      </c>
      <c r="B104" s="1" t="s">
        <v>22</v>
      </c>
      <c r="C104" s="2" t="s">
        <v>453</v>
      </c>
      <c r="D104" s="2" t="s">
        <v>454</v>
      </c>
      <c r="E104" s="6" t="s">
        <v>671</v>
      </c>
      <c r="F104" s="2">
        <v>20</v>
      </c>
      <c r="G104" s="2">
        <v>30</v>
      </c>
      <c r="H104" s="2">
        <v>0.5</v>
      </c>
      <c r="I104" s="2">
        <v>8</v>
      </c>
      <c r="J104" s="2">
        <v>20</v>
      </c>
      <c r="K104" s="2" t="s">
        <v>147</v>
      </c>
      <c r="L104" s="12">
        <v>0.68</v>
      </c>
      <c r="M104" s="2" t="str">
        <f t="shared" ref="M104:M105" si="46">D104&amp;" " &amp; E104</f>
        <v>읍내동 555</v>
      </c>
      <c r="N104" s="2">
        <v>20</v>
      </c>
      <c r="O104" s="2">
        <v>30</v>
      </c>
      <c r="P104" s="2">
        <v>0.5</v>
      </c>
      <c r="Q104" s="2">
        <v>0.68</v>
      </c>
      <c r="R104" s="2" t="s">
        <v>147</v>
      </c>
      <c r="S104" s="2" t="s">
        <v>11</v>
      </c>
    </row>
    <row r="105" spans="1:19" ht="21.75" customHeight="1" x14ac:dyDescent="0.3">
      <c r="A105" s="2" t="s">
        <v>630</v>
      </c>
      <c r="B105" s="1" t="s">
        <v>22</v>
      </c>
      <c r="C105" s="2" t="s">
        <v>453</v>
      </c>
      <c r="D105" s="2" t="s">
        <v>454</v>
      </c>
      <c r="E105" s="6" t="s">
        <v>672</v>
      </c>
      <c r="F105" s="2">
        <v>15</v>
      </c>
      <c r="G105" s="2">
        <v>30</v>
      </c>
      <c r="H105" s="2">
        <v>0.5</v>
      </c>
      <c r="I105" s="2">
        <v>25</v>
      </c>
      <c r="J105" s="2">
        <v>20</v>
      </c>
      <c r="K105" s="2" t="s">
        <v>147</v>
      </c>
      <c r="L105" s="12">
        <v>0.68</v>
      </c>
      <c r="M105" s="2" t="str">
        <f t="shared" si="46"/>
        <v>읍내동 559-1</v>
      </c>
      <c r="N105" s="2">
        <v>15</v>
      </c>
      <c r="O105" s="2">
        <v>30</v>
      </c>
      <c r="P105" s="2">
        <v>0.5</v>
      </c>
      <c r="Q105" s="2">
        <v>0.68</v>
      </c>
      <c r="R105" s="2" t="s">
        <v>147</v>
      </c>
      <c r="S105" s="2" t="s">
        <v>11</v>
      </c>
    </row>
    <row r="106" spans="1:19" ht="21.75" customHeight="1" x14ac:dyDescent="0.3">
      <c r="A106" s="2" t="s">
        <v>631</v>
      </c>
      <c r="B106" s="1" t="s">
        <v>22</v>
      </c>
      <c r="C106" s="2" t="s">
        <v>453</v>
      </c>
      <c r="D106" s="2" t="s">
        <v>454</v>
      </c>
      <c r="E106" s="6" t="s">
        <v>678</v>
      </c>
      <c r="F106" s="2">
        <v>18</v>
      </c>
      <c r="G106" s="2">
        <v>50</v>
      </c>
      <c r="H106" s="2">
        <v>0.5</v>
      </c>
      <c r="I106" s="2">
        <v>30</v>
      </c>
      <c r="J106" s="2">
        <v>16</v>
      </c>
      <c r="K106" s="2" t="s">
        <v>147</v>
      </c>
      <c r="L106" s="12">
        <v>0.68</v>
      </c>
      <c r="M106" s="2" t="str">
        <f t="shared" ref="M106:M107" si="47">D106&amp;" " &amp; E106</f>
        <v>읍내동 505-8</v>
      </c>
      <c r="N106" s="2">
        <v>18</v>
      </c>
      <c r="O106" s="2">
        <v>50</v>
      </c>
      <c r="P106" s="2">
        <v>0.5</v>
      </c>
      <c r="Q106" s="2">
        <v>0.68</v>
      </c>
      <c r="R106" s="2" t="s">
        <v>147</v>
      </c>
      <c r="S106" s="2" t="s">
        <v>11</v>
      </c>
    </row>
    <row r="107" spans="1:19" ht="21.75" customHeight="1" x14ac:dyDescent="0.3">
      <c r="A107" s="2" t="s">
        <v>632</v>
      </c>
      <c r="B107" s="1" t="s">
        <v>22</v>
      </c>
      <c r="C107" s="2" t="s">
        <v>453</v>
      </c>
      <c r="D107" s="2" t="s">
        <v>454</v>
      </c>
      <c r="E107" s="6" t="s">
        <v>679</v>
      </c>
      <c r="F107" s="2">
        <v>100</v>
      </c>
      <c r="G107" s="2">
        <v>150</v>
      </c>
      <c r="H107" s="2">
        <v>2</v>
      </c>
      <c r="I107" s="2">
        <v>90</v>
      </c>
      <c r="J107" s="2">
        <v>32</v>
      </c>
      <c r="K107" s="2" t="s">
        <v>148</v>
      </c>
      <c r="L107" s="12">
        <v>5.22</v>
      </c>
      <c r="M107" s="2" t="str">
        <f t="shared" si="47"/>
        <v>읍내동 492</v>
      </c>
      <c r="N107" s="2">
        <v>100</v>
      </c>
      <c r="O107" s="2">
        <v>150</v>
      </c>
      <c r="P107" s="2">
        <v>2</v>
      </c>
      <c r="Q107" s="2">
        <v>5.22</v>
      </c>
      <c r="R107" s="2" t="s">
        <v>148</v>
      </c>
      <c r="S107" s="2" t="s">
        <v>11</v>
      </c>
    </row>
    <row r="108" spans="1:19" ht="21.75" customHeight="1" x14ac:dyDescent="0.3">
      <c r="A108" s="2" t="s">
        <v>633</v>
      </c>
      <c r="B108" s="1" t="s">
        <v>22</v>
      </c>
      <c r="C108" s="2" t="s">
        <v>453</v>
      </c>
      <c r="D108" s="2" t="s">
        <v>454</v>
      </c>
      <c r="E108" s="6" t="s">
        <v>680</v>
      </c>
      <c r="F108" s="2">
        <v>60</v>
      </c>
      <c r="G108" s="2">
        <v>150</v>
      </c>
      <c r="H108" s="2">
        <v>0.5</v>
      </c>
      <c r="I108" s="2">
        <v>30</v>
      </c>
      <c r="J108" s="2">
        <v>20</v>
      </c>
      <c r="K108" s="2" t="s">
        <v>148</v>
      </c>
      <c r="L108" s="12">
        <v>3.84</v>
      </c>
      <c r="M108" s="2" t="str">
        <f t="shared" ref="M108:M109" si="48">D108&amp;" " &amp; E108</f>
        <v>읍내동 440</v>
      </c>
      <c r="N108" s="2">
        <v>60</v>
      </c>
      <c r="O108" s="2">
        <v>150</v>
      </c>
      <c r="P108" s="2">
        <v>0.5</v>
      </c>
      <c r="Q108" s="2">
        <v>3.84</v>
      </c>
      <c r="R108" s="2" t="s">
        <v>148</v>
      </c>
      <c r="S108" s="2" t="s">
        <v>11</v>
      </c>
    </row>
    <row r="109" spans="1:19" ht="21.75" customHeight="1" x14ac:dyDescent="0.3">
      <c r="A109" s="2" t="s">
        <v>634</v>
      </c>
      <c r="B109" s="1" t="s">
        <v>22</v>
      </c>
      <c r="C109" s="2" t="s">
        <v>453</v>
      </c>
      <c r="D109" s="2" t="s">
        <v>454</v>
      </c>
      <c r="E109" s="6" t="s">
        <v>681</v>
      </c>
      <c r="F109" s="2">
        <v>18</v>
      </c>
      <c r="G109" s="2">
        <v>40</v>
      </c>
      <c r="H109" s="2">
        <v>0.5</v>
      </c>
      <c r="I109" s="2">
        <v>5</v>
      </c>
      <c r="J109" s="2">
        <v>20</v>
      </c>
      <c r="K109" s="2" t="s">
        <v>147</v>
      </c>
      <c r="L109" s="12">
        <v>0.68</v>
      </c>
      <c r="M109" s="2" t="str">
        <f t="shared" si="48"/>
        <v>읍내동 448</v>
      </c>
      <c r="N109" s="2">
        <v>18</v>
      </c>
      <c r="O109" s="2">
        <v>40</v>
      </c>
      <c r="P109" s="2">
        <v>0.5</v>
      </c>
      <c r="Q109" s="2">
        <v>0.68</v>
      </c>
      <c r="R109" s="2" t="s">
        <v>147</v>
      </c>
      <c r="S109" s="2" t="s">
        <v>11</v>
      </c>
    </row>
    <row r="110" spans="1:19" ht="21.75" customHeight="1" x14ac:dyDescent="0.3">
      <c r="A110" s="2" t="s">
        <v>635</v>
      </c>
      <c r="B110" s="1" t="s">
        <v>22</v>
      </c>
      <c r="C110" s="2" t="s">
        <v>453</v>
      </c>
      <c r="D110" s="2" t="s">
        <v>454</v>
      </c>
      <c r="E110" s="6" t="s">
        <v>682</v>
      </c>
      <c r="F110" s="2">
        <v>18</v>
      </c>
      <c r="G110" s="2">
        <v>40</v>
      </c>
      <c r="H110" s="2">
        <v>0.5</v>
      </c>
      <c r="I110" s="2">
        <v>3</v>
      </c>
      <c r="J110" s="2">
        <v>20</v>
      </c>
      <c r="K110" s="2" t="s">
        <v>147</v>
      </c>
      <c r="L110" s="12">
        <v>0.68</v>
      </c>
      <c r="M110" s="2" t="str">
        <f t="shared" ref="M110:M111" si="49">D110&amp;" " &amp; E110</f>
        <v>읍내동 409-17</v>
      </c>
      <c r="N110" s="2">
        <v>18</v>
      </c>
      <c r="O110" s="2">
        <v>40</v>
      </c>
      <c r="P110" s="2">
        <v>0.5</v>
      </c>
      <c r="Q110" s="2">
        <v>0.68</v>
      </c>
      <c r="R110" s="2" t="s">
        <v>147</v>
      </c>
      <c r="S110" s="2" t="s">
        <v>11</v>
      </c>
    </row>
    <row r="111" spans="1:19" ht="21.75" customHeight="1" x14ac:dyDescent="0.3">
      <c r="A111" s="2" t="s">
        <v>636</v>
      </c>
      <c r="B111" s="1" t="s">
        <v>22</v>
      </c>
      <c r="C111" s="2" t="s">
        <v>453</v>
      </c>
      <c r="D111" s="2" t="s">
        <v>454</v>
      </c>
      <c r="E111" s="6" t="s">
        <v>683</v>
      </c>
      <c r="F111" s="2">
        <v>80</v>
      </c>
      <c r="G111" s="2">
        <v>40</v>
      </c>
      <c r="H111" s="2">
        <v>0.5</v>
      </c>
      <c r="I111" s="2">
        <v>5</v>
      </c>
      <c r="J111" s="2">
        <v>20</v>
      </c>
      <c r="K111" s="2" t="s">
        <v>147</v>
      </c>
      <c r="L111" s="12">
        <v>0.68</v>
      </c>
      <c r="M111" s="2" t="str">
        <f t="shared" si="49"/>
        <v>읍내동 402-1</v>
      </c>
      <c r="N111" s="2">
        <v>80</v>
      </c>
      <c r="O111" s="2">
        <v>40</v>
      </c>
      <c r="P111" s="2">
        <v>0.5</v>
      </c>
      <c r="Q111" s="2">
        <v>0.68</v>
      </c>
      <c r="R111" s="2" t="s">
        <v>147</v>
      </c>
      <c r="S111" s="2" t="s">
        <v>11</v>
      </c>
    </row>
    <row r="112" spans="1:19" ht="21.75" customHeight="1" x14ac:dyDescent="0.3">
      <c r="A112" s="2" t="s">
        <v>637</v>
      </c>
      <c r="B112" s="1" t="s">
        <v>22</v>
      </c>
      <c r="C112" s="2" t="s">
        <v>453</v>
      </c>
      <c r="D112" s="2" t="s">
        <v>454</v>
      </c>
      <c r="E112" s="6" t="s">
        <v>684</v>
      </c>
      <c r="F112" s="2">
        <v>18</v>
      </c>
      <c r="G112" s="2">
        <v>40</v>
      </c>
      <c r="H112" s="2">
        <v>0.5</v>
      </c>
      <c r="I112" s="2">
        <v>5</v>
      </c>
      <c r="J112" s="2">
        <v>20</v>
      </c>
      <c r="K112" s="2" t="s">
        <v>147</v>
      </c>
      <c r="L112" s="12">
        <v>0.68</v>
      </c>
      <c r="M112" s="2" t="str">
        <f t="shared" ref="M112:M113" si="50">D112&amp;" " &amp; E112</f>
        <v>읍내동 376</v>
      </c>
      <c r="N112" s="2">
        <v>18</v>
      </c>
      <c r="O112" s="2">
        <v>40</v>
      </c>
      <c r="P112" s="2">
        <v>0.5</v>
      </c>
      <c r="Q112" s="2">
        <v>0.68</v>
      </c>
      <c r="R112" s="2" t="s">
        <v>147</v>
      </c>
      <c r="S112" s="2" t="s">
        <v>11</v>
      </c>
    </row>
    <row r="113" spans="1:19" ht="21.75" customHeight="1" x14ac:dyDescent="0.3">
      <c r="A113" s="2" t="s">
        <v>638</v>
      </c>
      <c r="B113" s="1" t="s">
        <v>22</v>
      </c>
      <c r="C113" s="2" t="s">
        <v>453</v>
      </c>
      <c r="D113" s="2" t="s">
        <v>506</v>
      </c>
      <c r="E113" s="6" t="s">
        <v>685</v>
      </c>
      <c r="F113" s="2">
        <v>350</v>
      </c>
      <c r="G113" s="2">
        <v>200</v>
      </c>
      <c r="H113" s="2">
        <v>5</v>
      </c>
      <c r="I113" s="2">
        <v>220</v>
      </c>
      <c r="J113" s="2">
        <v>50</v>
      </c>
      <c r="K113" s="2" t="s">
        <v>154</v>
      </c>
      <c r="L113" s="12">
        <v>0.68</v>
      </c>
      <c r="M113" s="2" t="str">
        <f t="shared" si="50"/>
        <v>동문동 693</v>
      </c>
      <c r="N113" s="2">
        <v>350</v>
      </c>
      <c r="O113" s="2">
        <v>200</v>
      </c>
      <c r="P113" s="2">
        <v>5</v>
      </c>
      <c r="Q113" s="2">
        <v>0.68</v>
      </c>
      <c r="R113" s="2" t="s">
        <v>154</v>
      </c>
      <c r="S113" s="2" t="s">
        <v>11</v>
      </c>
    </row>
    <row r="114" spans="1:19" ht="21.75" customHeight="1" x14ac:dyDescent="0.3">
      <c r="A114" s="2" t="s">
        <v>639</v>
      </c>
      <c r="B114" s="1" t="s">
        <v>22</v>
      </c>
      <c r="C114" s="2" t="s">
        <v>453</v>
      </c>
      <c r="D114" s="2" t="s">
        <v>454</v>
      </c>
      <c r="E114" s="6" t="s">
        <v>686</v>
      </c>
      <c r="F114" s="2">
        <v>20</v>
      </c>
      <c r="G114" s="2">
        <v>40</v>
      </c>
      <c r="H114" s="2">
        <v>0.5</v>
      </c>
      <c r="I114" s="2">
        <v>5</v>
      </c>
      <c r="J114" s="2">
        <v>20</v>
      </c>
      <c r="K114" s="2" t="s">
        <v>147</v>
      </c>
      <c r="L114" s="12">
        <v>0.68</v>
      </c>
      <c r="M114" s="2" t="str">
        <f t="shared" ref="M114:M115" si="51">D114&amp;" " &amp; E114</f>
        <v>읍내동 237-1</v>
      </c>
      <c r="N114" s="2">
        <v>20</v>
      </c>
      <c r="O114" s="2">
        <v>40</v>
      </c>
      <c r="P114" s="2">
        <v>0.5</v>
      </c>
      <c r="Q114" s="2">
        <v>0.68</v>
      </c>
      <c r="R114" s="2" t="s">
        <v>147</v>
      </c>
      <c r="S114" s="2" t="s">
        <v>11</v>
      </c>
    </row>
    <row r="115" spans="1:19" ht="21.75" customHeight="1" x14ac:dyDescent="0.3">
      <c r="A115" s="2" t="s">
        <v>640</v>
      </c>
      <c r="B115" s="1" t="s">
        <v>22</v>
      </c>
      <c r="C115" s="2" t="s">
        <v>453</v>
      </c>
      <c r="D115" s="2" t="s">
        <v>454</v>
      </c>
      <c r="E115" s="6" t="s">
        <v>715</v>
      </c>
      <c r="F115" s="2">
        <v>80</v>
      </c>
      <c r="G115" s="2">
        <v>100</v>
      </c>
      <c r="H115" s="2">
        <v>2</v>
      </c>
      <c r="I115" s="2">
        <v>90</v>
      </c>
      <c r="J115" s="2">
        <v>20</v>
      </c>
      <c r="K115" s="2" t="s">
        <v>148</v>
      </c>
      <c r="L115" s="12">
        <v>5.22</v>
      </c>
      <c r="M115" s="2" t="str">
        <f t="shared" si="51"/>
        <v>읍내동 177-1</v>
      </c>
      <c r="N115" s="2">
        <v>80</v>
      </c>
      <c r="O115" s="2">
        <v>100</v>
      </c>
      <c r="P115" s="2">
        <v>2</v>
      </c>
      <c r="Q115" s="2">
        <v>5.22</v>
      </c>
      <c r="R115" s="2" t="s">
        <v>148</v>
      </c>
      <c r="S115" s="2" t="s">
        <v>11</v>
      </c>
    </row>
    <row r="116" spans="1:19" ht="21.75" customHeight="1" x14ac:dyDescent="0.3">
      <c r="A116" s="2" t="s">
        <v>687</v>
      </c>
      <c r="B116" s="1" t="s">
        <v>22</v>
      </c>
      <c r="C116" s="2" t="s">
        <v>453</v>
      </c>
      <c r="D116" s="2" t="s">
        <v>454</v>
      </c>
      <c r="E116" s="6" t="s">
        <v>716</v>
      </c>
      <c r="F116" s="2">
        <v>35</v>
      </c>
      <c r="G116" s="2">
        <v>150</v>
      </c>
      <c r="H116" s="2">
        <v>0.5</v>
      </c>
      <c r="I116" s="2">
        <v>30</v>
      </c>
      <c r="J116" s="2">
        <v>40</v>
      </c>
      <c r="K116" s="2" t="s">
        <v>147</v>
      </c>
      <c r="L116" s="12">
        <v>0.68</v>
      </c>
      <c r="M116" s="2" t="str">
        <f t="shared" ref="M116:M117" si="52">D116&amp;" " &amp; E116</f>
        <v>읍내동 165-8</v>
      </c>
      <c r="N116" s="2">
        <v>35</v>
      </c>
      <c r="O116" s="2">
        <v>150</v>
      </c>
      <c r="P116" s="2">
        <v>0.5</v>
      </c>
      <c r="Q116" s="2">
        <v>0.68</v>
      </c>
      <c r="R116" s="2" t="s">
        <v>147</v>
      </c>
      <c r="S116" s="2" t="s">
        <v>11</v>
      </c>
    </row>
    <row r="117" spans="1:19" ht="21.75" customHeight="1" x14ac:dyDescent="0.3">
      <c r="A117" s="2" t="s">
        <v>688</v>
      </c>
      <c r="B117" s="1" t="s">
        <v>22</v>
      </c>
      <c r="C117" s="2" t="s">
        <v>453</v>
      </c>
      <c r="D117" s="2" t="s">
        <v>454</v>
      </c>
      <c r="E117" s="6" t="s">
        <v>717</v>
      </c>
      <c r="F117" s="2">
        <v>20</v>
      </c>
      <c r="G117" s="2">
        <v>50</v>
      </c>
      <c r="H117" s="2">
        <v>0.5</v>
      </c>
      <c r="I117" s="2">
        <v>30</v>
      </c>
      <c r="J117" s="2">
        <v>16</v>
      </c>
      <c r="K117" s="2" t="s">
        <v>571</v>
      </c>
      <c r="L117" s="12">
        <v>0.68</v>
      </c>
      <c r="M117" s="2" t="str">
        <f t="shared" si="52"/>
        <v>읍내동 144-1</v>
      </c>
      <c r="N117" s="2">
        <v>20</v>
      </c>
      <c r="O117" s="2">
        <v>50</v>
      </c>
      <c r="P117" s="2">
        <v>0.5</v>
      </c>
      <c r="Q117" s="2">
        <v>0.68</v>
      </c>
      <c r="R117" s="2" t="s">
        <v>571</v>
      </c>
      <c r="S117" s="2" t="s">
        <v>11</v>
      </c>
    </row>
    <row r="118" spans="1:19" ht="21.75" customHeight="1" x14ac:dyDescent="0.3">
      <c r="A118" s="2" t="s">
        <v>689</v>
      </c>
      <c r="B118" s="1" t="s">
        <v>22</v>
      </c>
      <c r="C118" s="2" t="s">
        <v>453</v>
      </c>
      <c r="D118" s="2" t="s">
        <v>454</v>
      </c>
      <c r="E118" s="6" t="s">
        <v>718</v>
      </c>
      <c r="F118" s="2">
        <v>25</v>
      </c>
      <c r="G118" s="2">
        <v>50</v>
      </c>
      <c r="H118" s="2">
        <v>0.3</v>
      </c>
      <c r="I118" s="2">
        <v>40</v>
      </c>
      <c r="J118" s="2">
        <v>20</v>
      </c>
      <c r="K118" s="2" t="s">
        <v>148</v>
      </c>
      <c r="L118" s="12">
        <v>4.07</v>
      </c>
      <c r="M118" s="2" t="str">
        <f t="shared" ref="M118:M119" si="53">D118&amp;" " &amp; E118</f>
        <v>읍내동 139-3</v>
      </c>
      <c r="N118" s="2">
        <v>25</v>
      </c>
      <c r="O118" s="2">
        <v>50</v>
      </c>
      <c r="P118" s="2">
        <v>0.3</v>
      </c>
      <c r="Q118" s="2">
        <v>4.07</v>
      </c>
      <c r="R118" s="2" t="s">
        <v>148</v>
      </c>
      <c r="S118" s="2" t="s">
        <v>11</v>
      </c>
    </row>
    <row r="119" spans="1:19" ht="21.75" customHeight="1" x14ac:dyDescent="0.3">
      <c r="A119" s="2" t="s">
        <v>690</v>
      </c>
      <c r="B119" s="1" t="s">
        <v>22</v>
      </c>
      <c r="C119" s="2" t="s">
        <v>453</v>
      </c>
      <c r="D119" s="2" t="s">
        <v>454</v>
      </c>
      <c r="E119" s="6" t="s">
        <v>719</v>
      </c>
      <c r="F119" s="2">
        <v>70</v>
      </c>
      <c r="G119" s="2">
        <v>200</v>
      </c>
      <c r="H119" s="2">
        <v>1</v>
      </c>
      <c r="I119" s="2">
        <v>70</v>
      </c>
      <c r="J119" s="2">
        <v>30</v>
      </c>
      <c r="K119" s="2" t="s">
        <v>148</v>
      </c>
      <c r="L119" s="12">
        <v>4.76</v>
      </c>
      <c r="M119" s="2" t="str">
        <f t="shared" si="53"/>
        <v>읍내동 102-59</v>
      </c>
      <c r="N119" s="2">
        <v>70</v>
      </c>
      <c r="O119" s="2">
        <v>200</v>
      </c>
      <c r="P119" s="2">
        <v>1</v>
      </c>
      <c r="Q119" s="2">
        <v>4.76</v>
      </c>
      <c r="R119" s="2" t="s">
        <v>148</v>
      </c>
      <c r="S119" s="2" t="s">
        <v>11</v>
      </c>
    </row>
    <row r="120" spans="1:19" ht="21.75" customHeight="1" x14ac:dyDescent="0.3">
      <c r="A120" s="2" t="s">
        <v>691</v>
      </c>
      <c r="B120" s="1" t="s">
        <v>22</v>
      </c>
      <c r="C120" s="2" t="s">
        <v>453</v>
      </c>
      <c r="D120" s="2" t="s">
        <v>454</v>
      </c>
      <c r="E120" s="6" t="s">
        <v>720</v>
      </c>
      <c r="F120" s="2">
        <v>100</v>
      </c>
      <c r="G120" s="2">
        <v>150</v>
      </c>
      <c r="H120" s="2">
        <v>1</v>
      </c>
      <c r="I120" s="2">
        <v>58</v>
      </c>
      <c r="J120" s="2">
        <v>25</v>
      </c>
      <c r="K120" s="2" t="s">
        <v>148</v>
      </c>
      <c r="L120" s="12">
        <v>4.49</v>
      </c>
      <c r="M120" s="2" t="str">
        <f t="shared" ref="M120:M121" si="54">D120&amp;" " &amp; E120</f>
        <v>읍내동 102-17</v>
      </c>
      <c r="N120" s="2">
        <v>100</v>
      </c>
      <c r="O120" s="2">
        <v>150</v>
      </c>
      <c r="P120" s="2">
        <v>1</v>
      </c>
      <c r="Q120" s="2">
        <v>4.49</v>
      </c>
      <c r="R120" s="2" t="s">
        <v>148</v>
      </c>
      <c r="S120" s="2" t="s">
        <v>11</v>
      </c>
    </row>
    <row r="121" spans="1:19" ht="21.75" customHeight="1" x14ac:dyDescent="0.3">
      <c r="A121" s="2" t="s">
        <v>692</v>
      </c>
      <c r="B121" s="1" t="s">
        <v>22</v>
      </c>
      <c r="C121" s="2" t="s">
        <v>453</v>
      </c>
      <c r="D121" s="2" t="s">
        <v>454</v>
      </c>
      <c r="E121" s="6" t="s">
        <v>721</v>
      </c>
      <c r="F121" s="2">
        <v>100</v>
      </c>
      <c r="G121" s="2">
        <v>150</v>
      </c>
      <c r="H121" s="2">
        <v>1</v>
      </c>
      <c r="I121" s="2">
        <v>58</v>
      </c>
      <c r="J121" s="2">
        <v>25</v>
      </c>
      <c r="K121" s="2" t="s">
        <v>148</v>
      </c>
      <c r="L121" s="12">
        <v>4.49</v>
      </c>
      <c r="M121" s="2" t="str">
        <f t="shared" si="54"/>
        <v>읍내동 102-22</v>
      </c>
      <c r="N121" s="2">
        <v>100</v>
      </c>
      <c r="O121" s="2">
        <v>150</v>
      </c>
      <c r="P121" s="2">
        <v>1</v>
      </c>
      <c r="Q121" s="2">
        <v>4.49</v>
      </c>
      <c r="R121" s="2" t="s">
        <v>148</v>
      </c>
      <c r="S121" s="2" t="s">
        <v>11</v>
      </c>
    </row>
    <row r="122" spans="1:19" ht="21.75" customHeight="1" x14ac:dyDescent="0.3">
      <c r="A122" s="2" t="s">
        <v>693</v>
      </c>
      <c r="B122" s="1" t="s">
        <v>22</v>
      </c>
      <c r="C122" s="2" t="s">
        <v>453</v>
      </c>
      <c r="D122" s="2" t="s">
        <v>454</v>
      </c>
      <c r="E122" s="6" t="s">
        <v>722</v>
      </c>
      <c r="F122" s="2">
        <v>100</v>
      </c>
      <c r="G122" s="2">
        <v>150</v>
      </c>
      <c r="H122" s="2">
        <v>1</v>
      </c>
      <c r="I122" s="2">
        <v>65</v>
      </c>
      <c r="J122" s="2">
        <v>30</v>
      </c>
      <c r="K122" s="2" t="s">
        <v>148</v>
      </c>
      <c r="L122" s="12">
        <v>4.6500000000000004</v>
      </c>
      <c r="M122" s="2" t="str">
        <f t="shared" ref="M122:M123" si="55">D122&amp;" " &amp; E122</f>
        <v>읍내동 14-2</v>
      </c>
      <c r="N122" s="2">
        <v>100</v>
      </c>
      <c r="O122" s="2">
        <v>150</v>
      </c>
      <c r="P122" s="2">
        <v>1</v>
      </c>
      <c r="Q122" s="2">
        <v>4.6500000000000004</v>
      </c>
      <c r="R122" s="2" t="s">
        <v>148</v>
      </c>
      <c r="S122" s="2" t="s">
        <v>11</v>
      </c>
    </row>
    <row r="123" spans="1:19" ht="21.75" customHeight="1" x14ac:dyDescent="0.3">
      <c r="A123" s="2" t="s">
        <v>694</v>
      </c>
      <c r="B123" s="1" t="s">
        <v>22</v>
      </c>
      <c r="C123" s="2" t="s">
        <v>453</v>
      </c>
      <c r="D123" s="2" t="s">
        <v>506</v>
      </c>
      <c r="E123" s="6" t="s">
        <v>723</v>
      </c>
      <c r="F123" s="2">
        <v>40</v>
      </c>
      <c r="G123" s="2">
        <v>50</v>
      </c>
      <c r="H123" s="2">
        <v>0.5</v>
      </c>
      <c r="I123" s="2">
        <v>20</v>
      </c>
      <c r="J123" s="2">
        <v>16</v>
      </c>
      <c r="K123" s="2" t="s">
        <v>147</v>
      </c>
      <c r="L123" s="12">
        <v>0.68</v>
      </c>
      <c r="M123" s="2" t="str">
        <f t="shared" si="55"/>
        <v>동문동 989-12</v>
      </c>
      <c r="N123" s="2">
        <v>40</v>
      </c>
      <c r="O123" s="2">
        <v>50</v>
      </c>
      <c r="P123" s="2">
        <v>0.5</v>
      </c>
      <c r="Q123" s="2">
        <v>0.68</v>
      </c>
      <c r="R123" s="2" t="s">
        <v>147</v>
      </c>
      <c r="S123" s="2" t="s">
        <v>11</v>
      </c>
    </row>
    <row r="124" spans="1:19" ht="21.75" customHeight="1" x14ac:dyDescent="0.3">
      <c r="A124" s="2" t="s">
        <v>695</v>
      </c>
      <c r="B124" s="1" t="s">
        <v>22</v>
      </c>
      <c r="C124" s="2" t="s">
        <v>453</v>
      </c>
      <c r="D124" s="2" t="s">
        <v>506</v>
      </c>
      <c r="E124" s="6" t="s">
        <v>725</v>
      </c>
      <c r="F124" s="2">
        <v>60</v>
      </c>
      <c r="G124" s="2">
        <v>200</v>
      </c>
      <c r="H124" s="2">
        <v>7.5</v>
      </c>
      <c r="I124" s="2">
        <v>470</v>
      </c>
      <c r="J124" s="2">
        <v>60</v>
      </c>
      <c r="K124" s="2" t="s">
        <v>149</v>
      </c>
      <c r="L124" s="12">
        <v>8.49</v>
      </c>
      <c r="M124" s="2" t="str">
        <f t="shared" ref="M124:M125" si="56">D124&amp;" " &amp; E124</f>
        <v>동문동 915</v>
      </c>
      <c r="N124" s="2">
        <v>60</v>
      </c>
      <c r="O124" s="2">
        <v>200</v>
      </c>
      <c r="P124" s="2">
        <v>7.5</v>
      </c>
      <c r="Q124" s="2">
        <v>8.49</v>
      </c>
      <c r="R124" s="2" t="s">
        <v>149</v>
      </c>
      <c r="S124" s="2" t="s">
        <v>11</v>
      </c>
    </row>
    <row r="125" spans="1:19" ht="21.75" customHeight="1" x14ac:dyDescent="0.3">
      <c r="A125" s="2" t="s">
        <v>696</v>
      </c>
      <c r="B125" s="1" t="s">
        <v>22</v>
      </c>
      <c r="C125" s="2" t="s">
        <v>453</v>
      </c>
      <c r="D125" s="2" t="s">
        <v>506</v>
      </c>
      <c r="E125" s="6" t="s">
        <v>726</v>
      </c>
      <c r="F125" s="2">
        <v>20</v>
      </c>
      <c r="G125" s="2">
        <v>32</v>
      </c>
      <c r="H125" s="2">
        <v>0.5</v>
      </c>
      <c r="I125" s="2">
        <v>10</v>
      </c>
      <c r="J125" s="2">
        <v>25</v>
      </c>
      <c r="K125" s="2" t="s">
        <v>571</v>
      </c>
      <c r="L125" s="12">
        <v>0.68</v>
      </c>
      <c r="M125" s="2" t="str">
        <f t="shared" si="56"/>
        <v>동문동 922-8</v>
      </c>
      <c r="N125" s="2">
        <v>20</v>
      </c>
      <c r="O125" s="2">
        <v>32</v>
      </c>
      <c r="P125" s="2">
        <v>0.5</v>
      </c>
      <c r="Q125" s="2">
        <v>0.68</v>
      </c>
      <c r="R125" s="2" t="s">
        <v>571</v>
      </c>
      <c r="S125" s="2" t="s">
        <v>11</v>
      </c>
    </row>
    <row r="126" spans="1:19" ht="21.75" customHeight="1" x14ac:dyDescent="0.3">
      <c r="A126" s="2" t="s">
        <v>697</v>
      </c>
      <c r="B126" s="1" t="s">
        <v>22</v>
      </c>
      <c r="C126" s="2" t="s">
        <v>453</v>
      </c>
      <c r="D126" s="2" t="s">
        <v>506</v>
      </c>
      <c r="E126" s="6" t="s">
        <v>727</v>
      </c>
      <c r="F126" s="2">
        <v>28</v>
      </c>
      <c r="G126" s="2">
        <v>50</v>
      </c>
      <c r="H126" s="2">
        <v>0.5</v>
      </c>
      <c r="I126" s="2">
        <v>20</v>
      </c>
      <c r="J126" s="2">
        <v>16</v>
      </c>
      <c r="K126" s="2" t="s">
        <v>147</v>
      </c>
      <c r="L126" s="12">
        <v>0.68</v>
      </c>
      <c r="M126" s="2" t="str">
        <f t="shared" ref="M126:M127" si="57">D126&amp;" " &amp; E126</f>
        <v>동문동 277-31</v>
      </c>
      <c r="N126" s="2">
        <v>28</v>
      </c>
      <c r="O126" s="2">
        <v>50</v>
      </c>
      <c r="P126" s="2">
        <v>0.5</v>
      </c>
      <c r="Q126" s="2">
        <v>0.68</v>
      </c>
      <c r="R126" s="2" t="s">
        <v>147</v>
      </c>
      <c r="S126" s="2" t="s">
        <v>11</v>
      </c>
    </row>
    <row r="127" spans="1:19" ht="21.75" customHeight="1" x14ac:dyDescent="0.3">
      <c r="A127" s="2" t="s">
        <v>698</v>
      </c>
      <c r="B127" s="1" t="s">
        <v>22</v>
      </c>
      <c r="C127" s="2" t="s">
        <v>453</v>
      </c>
      <c r="D127" s="2" t="s">
        <v>506</v>
      </c>
      <c r="E127" s="6" t="s">
        <v>728</v>
      </c>
      <c r="F127" s="2">
        <v>150</v>
      </c>
      <c r="G127" s="2">
        <v>150</v>
      </c>
      <c r="H127" s="2">
        <v>3</v>
      </c>
      <c r="I127" s="2">
        <v>100</v>
      </c>
      <c r="J127" s="2">
        <v>40</v>
      </c>
      <c r="K127" s="2" t="s">
        <v>148</v>
      </c>
      <c r="L127" s="12">
        <v>5.45</v>
      </c>
      <c r="M127" s="2" t="str">
        <f t="shared" si="57"/>
        <v>동문동 283-11</v>
      </c>
      <c r="N127" s="2">
        <v>150</v>
      </c>
      <c r="O127" s="2">
        <v>150</v>
      </c>
      <c r="P127" s="2">
        <v>3</v>
      </c>
      <c r="Q127" s="2">
        <v>5.45</v>
      </c>
      <c r="R127" s="2" t="s">
        <v>148</v>
      </c>
      <c r="S127" s="2" t="s">
        <v>11</v>
      </c>
    </row>
    <row r="128" spans="1:19" ht="21.75" customHeight="1" x14ac:dyDescent="0.3">
      <c r="A128" s="2" t="s">
        <v>699</v>
      </c>
      <c r="B128" s="1" t="s">
        <v>22</v>
      </c>
      <c r="C128" s="2" t="s">
        <v>453</v>
      </c>
      <c r="D128" s="2" t="s">
        <v>506</v>
      </c>
      <c r="E128" s="6" t="s">
        <v>729</v>
      </c>
      <c r="F128" s="2">
        <v>50</v>
      </c>
      <c r="G128" s="2">
        <v>150</v>
      </c>
      <c r="H128" s="2">
        <v>1</v>
      </c>
      <c r="I128" s="2">
        <v>60</v>
      </c>
      <c r="J128" s="2">
        <v>25</v>
      </c>
      <c r="K128" s="2" t="s">
        <v>148</v>
      </c>
      <c r="L128" s="12">
        <v>4.53</v>
      </c>
      <c r="M128" s="2" t="str">
        <f t="shared" ref="M128:M129" si="58">D128&amp;" " &amp; E128</f>
        <v>동문동 309-3</v>
      </c>
      <c r="N128" s="2">
        <v>50</v>
      </c>
      <c r="O128" s="2">
        <v>150</v>
      </c>
      <c r="P128" s="2">
        <v>1</v>
      </c>
      <c r="Q128" s="2">
        <v>4.53</v>
      </c>
      <c r="R128" s="2" t="s">
        <v>148</v>
      </c>
      <c r="S128" s="2" t="s">
        <v>11</v>
      </c>
    </row>
    <row r="129" spans="1:19" ht="21.75" customHeight="1" x14ac:dyDescent="0.3">
      <c r="A129" s="2" t="s">
        <v>700</v>
      </c>
      <c r="B129" s="1" t="s">
        <v>22</v>
      </c>
      <c r="C129" s="2" t="s">
        <v>453</v>
      </c>
      <c r="D129" s="2" t="s">
        <v>506</v>
      </c>
      <c r="E129" s="6" t="s">
        <v>730</v>
      </c>
      <c r="F129" s="2">
        <v>130</v>
      </c>
      <c r="G129" s="2">
        <v>32</v>
      </c>
      <c r="H129" s="2">
        <v>0.5</v>
      </c>
      <c r="I129" s="2">
        <v>10</v>
      </c>
      <c r="J129" s="2">
        <v>25</v>
      </c>
      <c r="K129" s="2" t="s">
        <v>148</v>
      </c>
      <c r="L129" s="12">
        <v>3.38</v>
      </c>
      <c r="M129" s="2" t="str">
        <f t="shared" si="58"/>
        <v>동문동 895-8</v>
      </c>
      <c r="N129" s="2">
        <v>130</v>
      </c>
      <c r="O129" s="2">
        <v>32</v>
      </c>
      <c r="P129" s="2">
        <v>0.5</v>
      </c>
      <c r="Q129" s="2">
        <v>3.38</v>
      </c>
      <c r="R129" s="2" t="s">
        <v>148</v>
      </c>
      <c r="S129" s="2" t="s">
        <v>11</v>
      </c>
    </row>
    <row r="130" spans="1:19" ht="21.75" customHeight="1" x14ac:dyDescent="0.3">
      <c r="A130" s="2" t="s">
        <v>701</v>
      </c>
      <c r="B130" s="1" t="s">
        <v>22</v>
      </c>
      <c r="C130" s="2" t="s">
        <v>453</v>
      </c>
      <c r="D130" s="2" t="s">
        <v>506</v>
      </c>
      <c r="E130" s="6" t="s">
        <v>731</v>
      </c>
      <c r="F130" s="2">
        <v>18</v>
      </c>
      <c r="G130" s="2">
        <v>16</v>
      </c>
      <c r="H130" s="2">
        <v>0.5</v>
      </c>
      <c r="I130" s="2">
        <v>20</v>
      </c>
      <c r="J130" s="2">
        <v>16</v>
      </c>
      <c r="K130" s="2" t="s">
        <v>148</v>
      </c>
      <c r="L130" s="12">
        <v>3.61</v>
      </c>
      <c r="M130" s="2" t="str">
        <f t="shared" ref="M130:M131" si="59">D130&amp;" " &amp; E130</f>
        <v>동문동 900</v>
      </c>
      <c r="N130" s="2">
        <v>18</v>
      </c>
      <c r="O130" s="2">
        <v>16</v>
      </c>
      <c r="P130" s="2">
        <v>0.5</v>
      </c>
      <c r="Q130" s="2">
        <v>3.61</v>
      </c>
      <c r="R130" s="2" t="s">
        <v>148</v>
      </c>
      <c r="S130" s="2" t="s">
        <v>11</v>
      </c>
    </row>
    <row r="131" spans="1:19" ht="21.75" customHeight="1" x14ac:dyDescent="0.3">
      <c r="A131" s="2" t="s">
        <v>702</v>
      </c>
      <c r="B131" s="1" t="s">
        <v>22</v>
      </c>
      <c r="C131" s="2" t="s">
        <v>453</v>
      </c>
      <c r="D131" s="2" t="s">
        <v>506</v>
      </c>
      <c r="E131" s="6" t="s">
        <v>732</v>
      </c>
      <c r="F131" s="2">
        <v>20</v>
      </c>
      <c r="G131" s="2">
        <v>22</v>
      </c>
      <c r="H131" s="2">
        <v>0.5</v>
      </c>
      <c r="I131" s="2">
        <v>25</v>
      </c>
      <c r="J131" s="2">
        <v>25</v>
      </c>
      <c r="K131" s="2" t="s">
        <v>148</v>
      </c>
      <c r="L131" s="12">
        <v>3.73</v>
      </c>
      <c r="M131" s="2" t="str">
        <f t="shared" si="59"/>
        <v>동문동 902-8</v>
      </c>
      <c r="N131" s="2">
        <v>20</v>
      </c>
      <c r="O131" s="2">
        <v>22</v>
      </c>
      <c r="P131" s="2">
        <v>0.5</v>
      </c>
      <c r="Q131" s="2">
        <v>3.73</v>
      </c>
      <c r="R131" s="2" t="s">
        <v>148</v>
      </c>
      <c r="S131" s="2" t="s">
        <v>11</v>
      </c>
    </row>
    <row r="132" spans="1:19" ht="21.75" customHeight="1" x14ac:dyDescent="0.3">
      <c r="A132" s="2" t="s">
        <v>703</v>
      </c>
      <c r="B132" s="1" t="s">
        <v>22</v>
      </c>
      <c r="C132" s="2" t="s">
        <v>453</v>
      </c>
      <c r="D132" s="2" t="s">
        <v>506</v>
      </c>
      <c r="E132" s="6" t="s">
        <v>733</v>
      </c>
      <c r="F132" s="2">
        <v>95</v>
      </c>
      <c r="G132" s="2">
        <v>100</v>
      </c>
      <c r="H132" s="2">
        <v>0.5</v>
      </c>
      <c r="I132" s="2">
        <v>25</v>
      </c>
      <c r="J132" s="2">
        <v>25</v>
      </c>
      <c r="K132" s="2" t="s">
        <v>148</v>
      </c>
      <c r="L132" s="12">
        <v>3.73</v>
      </c>
      <c r="M132" s="2" t="str">
        <f t="shared" ref="M132:M133" si="60">D132&amp;" " &amp; E132</f>
        <v>동문동 884-3</v>
      </c>
      <c r="N132" s="2">
        <v>95</v>
      </c>
      <c r="O132" s="2">
        <v>100</v>
      </c>
      <c r="P132" s="2">
        <v>0.5</v>
      </c>
      <c r="Q132" s="2">
        <v>3.73</v>
      </c>
      <c r="R132" s="2" t="s">
        <v>148</v>
      </c>
      <c r="S132" s="2" t="s">
        <v>11</v>
      </c>
    </row>
    <row r="133" spans="1:19" ht="21.75" customHeight="1" x14ac:dyDescent="0.3">
      <c r="A133" s="2" t="s">
        <v>704</v>
      </c>
      <c r="B133" s="1" t="s">
        <v>22</v>
      </c>
      <c r="C133" s="2" t="s">
        <v>453</v>
      </c>
      <c r="D133" s="2" t="s">
        <v>506</v>
      </c>
      <c r="E133" s="6" t="s">
        <v>734</v>
      </c>
      <c r="F133" s="2">
        <v>18</v>
      </c>
      <c r="G133" s="2">
        <v>16</v>
      </c>
      <c r="H133" s="2">
        <v>0.5</v>
      </c>
      <c r="I133" s="2">
        <v>15</v>
      </c>
      <c r="J133" s="2">
        <v>16</v>
      </c>
      <c r="K133" s="2" t="s">
        <v>148</v>
      </c>
      <c r="L133" s="12">
        <v>3.5</v>
      </c>
      <c r="M133" s="2" t="str">
        <f t="shared" si="60"/>
        <v>동문동 898-8</v>
      </c>
      <c r="N133" s="2">
        <v>18</v>
      </c>
      <c r="O133" s="2">
        <v>16</v>
      </c>
      <c r="P133" s="2">
        <v>0.5</v>
      </c>
      <c r="Q133" s="2">
        <v>3.5</v>
      </c>
      <c r="R133" s="2" t="s">
        <v>148</v>
      </c>
      <c r="S133" s="2" t="s">
        <v>11</v>
      </c>
    </row>
    <row r="134" spans="1:19" ht="21.75" customHeight="1" x14ac:dyDescent="0.3">
      <c r="A134" s="2" t="s">
        <v>705</v>
      </c>
      <c r="B134" s="1" t="s">
        <v>22</v>
      </c>
      <c r="C134" s="2" t="s">
        <v>453</v>
      </c>
      <c r="D134" s="2" t="s">
        <v>506</v>
      </c>
      <c r="E134" s="6" t="s">
        <v>735</v>
      </c>
      <c r="F134" s="2">
        <v>40</v>
      </c>
      <c r="G134" s="2">
        <v>32</v>
      </c>
      <c r="H134" s="2">
        <v>2</v>
      </c>
      <c r="I134" s="2">
        <v>20</v>
      </c>
      <c r="J134" s="2">
        <v>25</v>
      </c>
      <c r="K134" s="2" t="s">
        <v>148</v>
      </c>
      <c r="L134" s="12">
        <v>3.61</v>
      </c>
      <c r="M134" s="2" t="str">
        <f t="shared" ref="M134:M135" si="61">D134&amp;" " &amp; E134</f>
        <v>동문동 888-11</v>
      </c>
      <c r="N134" s="2">
        <v>40</v>
      </c>
      <c r="O134" s="2">
        <v>32</v>
      </c>
      <c r="P134" s="2">
        <v>2</v>
      </c>
      <c r="Q134" s="2">
        <v>3.61</v>
      </c>
      <c r="R134" s="2" t="s">
        <v>148</v>
      </c>
      <c r="S134" s="2" t="s">
        <v>11</v>
      </c>
    </row>
    <row r="135" spans="1:19" ht="21.75" customHeight="1" x14ac:dyDescent="0.3">
      <c r="A135" s="2" t="s">
        <v>706</v>
      </c>
      <c r="B135" s="1" t="s">
        <v>22</v>
      </c>
      <c r="C135" s="2" t="s">
        <v>453</v>
      </c>
      <c r="D135" s="2" t="s">
        <v>506</v>
      </c>
      <c r="E135" s="6" t="s">
        <v>736</v>
      </c>
      <c r="F135" s="2">
        <v>50</v>
      </c>
      <c r="G135" s="2">
        <v>150</v>
      </c>
      <c r="H135" s="2">
        <v>0.5</v>
      </c>
      <c r="I135" s="2">
        <v>25</v>
      </c>
      <c r="J135" s="2">
        <v>16</v>
      </c>
      <c r="K135" s="2" t="s">
        <v>148</v>
      </c>
      <c r="L135" s="12">
        <v>3.73</v>
      </c>
      <c r="M135" s="2" t="str">
        <f t="shared" si="61"/>
        <v>동문동 887-2</v>
      </c>
      <c r="N135" s="2">
        <v>50</v>
      </c>
      <c r="O135" s="2">
        <v>150</v>
      </c>
      <c r="P135" s="2">
        <v>0.5</v>
      </c>
      <c r="Q135" s="2">
        <v>3.73</v>
      </c>
      <c r="R135" s="2" t="s">
        <v>148</v>
      </c>
      <c r="S135" s="2" t="s">
        <v>11</v>
      </c>
    </row>
    <row r="136" spans="1:19" ht="21.75" customHeight="1" x14ac:dyDescent="0.3">
      <c r="A136" s="2" t="s">
        <v>707</v>
      </c>
      <c r="B136" s="1" t="s">
        <v>22</v>
      </c>
      <c r="C136" s="2" t="s">
        <v>453</v>
      </c>
      <c r="D136" s="2" t="s">
        <v>506</v>
      </c>
      <c r="E136" s="6" t="s">
        <v>737</v>
      </c>
      <c r="F136" s="2">
        <v>50</v>
      </c>
      <c r="G136" s="2">
        <v>150</v>
      </c>
      <c r="H136" s="2">
        <v>0.5</v>
      </c>
      <c r="I136" s="2">
        <v>25</v>
      </c>
      <c r="J136" s="2">
        <v>15</v>
      </c>
      <c r="K136" s="2" t="s">
        <v>148</v>
      </c>
      <c r="L136" s="12">
        <v>3.73</v>
      </c>
      <c r="M136" s="2" t="str">
        <f t="shared" ref="M136:M137" si="62">D136&amp;" " &amp; E136</f>
        <v>동문동 888-12</v>
      </c>
      <c r="N136" s="2">
        <v>50</v>
      </c>
      <c r="O136" s="2">
        <v>150</v>
      </c>
      <c r="P136" s="2">
        <v>0.5</v>
      </c>
      <c r="Q136" s="2">
        <v>3.73</v>
      </c>
      <c r="R136" s="2" t="s">
        <v>148</v>
      </c>
      <c r="S136" s="2" t="s">
        <v>11</v>
      </c>
    </row>
    <row r="137" spans="1:19" ht="21.75" customHeight="1" x14ac:dyDescent="0.3">
      <c r="A137" s="2" t="s">
        <v>708</v>
      </c>
      <c r="B137" s="1" t="s">
        <v>22</v>
      </c>
      <c r="C137" s="2" t="s">
        <v>453</v>
      </c>
      <c r="D137" s="2" t="s">
        <v>506</v>
      </c>
      <c r="E137" s="6" t="s">
        <v>738</v>
      </c>
      <c r="F137" s="2">
        <v>30</v>
      </c>
      <c r="G137" s="2">
        <v>50</v>
      </c>
      <c r="H137" s="2">
        <v>0.3</v>
      </c>
      <c r="I137" s="2">
        <v>15</v>
      </c>
      <c r="J137" s="2">
        <v>25</v>
      </c>
      <c r="K137" s="2" t="s">
        <v>148</v>
      </c>
      <c r="L137" s="12">
        <v>3.5</v>
      </c>
      <c r="M137" s="2" t="str">
        <f t="shared" si="62"/>
        <v>동문동 311-3</v>
      </c>
      <c r="N137" s="2">
        <v>30</v>
      </c>
      <c r="O137" s="2">
        <v>50</v>
      </c>
      <c r="P137" s="2">
        <v>0.3</v>
      </c>
      <c r="Q137" s="2">
        <v>3.5</v>
      </c>
      <c r="R137" s="2" t="s">
        <v>148</v>
      </c>
      <c r="S137" s="2" t="s">
        <v>11</v>
      </c>
    </row>
    <row r="138" spans="1:19" ht="21.75" customHeight="1" x14ac:dyDescent="0.3">
      <c r="A138" s="2" t="s">
        <v>709</v>
      </c>
      <c r="B138" s="1" t="s">
        <v>22</v>
      </c>
      <c r="C138" s="2" t="s">
        <v>453</v>
      </c>
      <c r="D138" s="2" t="s">
        <v>506</v>
      </c>
      <c r="E138" s="6" t="s">
        <v>739</v>
      </c>
      <c r="F138" s="2">
        <v>32</v>
      </c>
      <c r="G138" s="2">
        <v>150</v>
      </c>
      <c r="H138" s="2">
        <v>1</v>
      </c>
      <c r="I138" s="2">
        <v>30</v>
      </c>
      <c r="J138" s="2">
        <v>32</v>
      </c>
      <c r="K138" s="2" t="s">
        <v>148</v>
      </c>
      <c r="L138" s="12">
        <v>3.84</v>
      </c>
      <c r="M138" s="2" t="str">
        <f t="shared" ref="M138:M139" si="63">D138&amp;" " &amp; E138</f>
        <v>동문동 871-3</v>
      </c>
      <c r="N138" s="2">
        <v>32</v>
      </c>
      <c r="O138" s="2">
        <v>150</v>
      </c>
      <c r="P138" s="2">
        <v>1</v>
      </c>
      <c r="Q138" s="2">
        <v>3.84</v>
      </c>
      <c r="R138" s="2" t="s">
        <v>148</v>
      </c>
      <c r="S138" s="2" t="s">
        <v>11</v>
      </c>
    </row>
    <row r="139" spans="1:19" ht="21.75" customHeight="1" x14ac:dyDescent="0.3">
      <c r="A139" s="2" t="s">
        <v>710</v>
      </c>
      <c r="B139" s="1" t="s">
        <v>22</v>
      </c>
      <c r="C139" s="2" t="s">
        <v>453</v>
      </c>
      <c r="D139" s="2" t="s">
        <v>506</v>
      </c>
      <c r="E139" s="6" t="s">
        <v>740</v>
      </c>
      <c r="F139" s="2">
        <v>115</v>
      </c>
      <c r="G139" s="2">
        <v>200</v>
      </c>
      <c r="H139" s="2">
        <v>1</v>
      </c>
      <c r="I139" s="2">
        <v>30</v>
      </c>
      <c r="J139" s="2">
        <v>25</v>
      </c>
      <c r="K139" s="2" t="s">
        <v>154</v>
      </c>
      <c r="L139" s="12">
        <v>0.68</v>
      </c>
      <c r="M139" s="2" t="str">
        <f t="shared" si="63"/>
        <v>동문동 403-9</v>
      </c>
      <c r="N139" s="2">
        <v>115</v>
      </c>
      <c r="O139" s="2">
        <v>200</v>
      </c>
      <c r="P139" s="2">
        <v>1</v>
      </c>
      <c r="Q139" s="2">
        <v>0.68</v>
      </c>
      <c r="R139" s="2" t="s">
        <v>154</v>
      </c>
      <c r="S139" s="2" t="s">
        <v>11</v>
      </c>
    </row>
    <row r="140" spans="1:19" ht="21.75" customHeight="1" x14ac:dyDescent="0.3">
      <c r="A140" s="2" t="s">
        <v>711</v>
      </c>
      <c r="B140" s="1" t="s">
        <v>22</v>
      </c>
      <c r="C140" s="2" t="s">
        <v>453</v>
      </c>
      <c r="D140" s="2" t="s">
        <v>506</v>
      </c>
      <c r="E140" s="6" t="s">
        <v>741</v>
      </c>
      <c r="F140" s="2">
        <v>20</v>
      </c>
      <c r="G140" s="2">
        <v>30</v>
      </c>
      <c r="H140" s="2">
        <v>0.5</v>
      </c>
      <c r="I140" s="2">
        <v>40</v>
      </c>
      <c r="J140" s="2">
        <v>25</v>
      </c>
      <c r="K140" s="2" t="s">
        <v>147</v>
      </c>
      <c r="L140" s="12">
        <v>0.68</v>
      </c>
      <c r="M140" s="2" t="str">
        <f t="shared" ref="M140:M141" si="64">D140&amp;" " &amp; E140</f>
        <v>동문동 658-4</v>
      </c>
      <c r="N140" s="2">
        <v>20</v>
      </c>
      <c r="O140" s="2">
        <v>30</v>
      </c>
      <c r="P140" s="2">
        <v>0.5</v>
      </c>
      <c r="Q140" s="2">
        <v>0.68</v>
      </c>
      <c r="R140" s="2" t="s">
        <v>147</v>
      </c>
      <c r="S140" s="2" t="s">
        <v>11</v>
      </c>
    </row>
    <row r="141" spans="1:19" ht="21.75" customHeight="1" x14ac:dyDescent="0.3">
      <c r="A141" s="2" t="s">
        <v>712</v>
      </c>
      <c r="B141" s="1" t="s">
        <v>22</v>
      </c>
      <c r="C141" s="2" t="s">
        <v>453</v>
      </c>
      <c r="D141" s="2" t="s">
        <v>506</v>
      </c>
      <c r="E141" s="6" t="s">
        <v>742</v>
      </c>
      <c r="F141" s="2">
        <v>100</v>
      </c>
      <c r="G141" s="2">
        <v>150</v>
      </c>
      <c r="H141" s="2">
        <v>1</v>
      </c>
      <c r="I141" s="2">
        <v>86</v>
      </c>
      <c r="J141" s="2">
        <v>40</v>
      </c>
      <c r="K141" s="2" t="s">
        <v>151</v>
      </c>
      <c r="L141" s="12">
        <v>21.17</v>
      </c>
      <c r="M141" s="2" t="str">
        <f t="shared" si="64"/>
        <v>동문동 676-8</v>
      </c>
      <c r="N141" s="2">
        <v>100</v>
      </c>
      <c r="O141" s="2">
        <v>150</v>
      </c>
      <c r="P141" s="2">
        <v>1</v>
      </c>
      <c r="Q141" s="2">
        <v>21.17</v>
      </c>
      <c r="R141" s="2" t="s">
        <v>151</v>
      </c>
      <c r="S141" s="2" t="s">
        <v>11</v>
      </c>
    </row>
    <row r="142" spans="1:19" ht="21.75" customHeight="1" x14ac:dyDescent="0.3">
      <c r="A142" s="2" t="s">
        <v>713</v>
      </c>
      <c r="B142" s="1" t="s">
        <v>22</v>
      </c>
      <c r="C142" s="2" t="s">
        <v>453</v>
      </c>
      <c r="D142" s="2" t="s">
        <v>506</v>
      </c>
      <c r="E142" s="6" t="s">
        <v>743</v>
      </c>
      <c r="F142" s="2">
        <v>25</v>
      </c>
      <c r="G142" s="2">
        <v>30</v>
      </c>
      <c r="H142" s="2">
        <v>0.5</v>
      </c>
      <c r="I142" s="2">
        <v>40</v>
      </c>
      <c r="J142" s="2">
        <v>25</v>
      </c>
      <c r="K142" s="2" t="s">
        <v>147</v>
      </c>
      <c r="L142" s="12">
        <v>0.68</v>
      </c>
      <c r="M142" s="2" t="str">
        <f t="shared" ref="M142:M143" si="65">D142&amp;" " &amp; E142</f>
        <v>동문동 682-1</v>
      </c>
      <c r="N142" s="2">
        <v>25</v>
      </c>
      <c r="O142" s="2">
        <v>30</v>
      </c>
      <c r="P142" s="2">
        <v>0.5</v>
      </c>
      <c r="Q142" s="2">
        <v>0.68</v>
      </c>
      <c r="R142" s="2" t="s">
        <v>147</v>
      </c>
      <c r="S142" s="2" t="s">
        <v>11</v>
      </c>
    </row>
    <row r="143" spans="1:19" ht="21.75" customHeight="1" x14ac:dyDescent="0.3">
      <c r="A143" s="2" t="s">
        <v>714</v>
      </c>
      <c r="B143" s="1" t="s">
        <v>22</v>
      </c>
      <c r="C143" s="2" t="s">
        <v>453</v>
      </c>
      <c r="D143" s="2" t="s">
        <v>506</v>
      </c>
      <c r="E143" s="6" t="s">
        <v>744</v>
      </c>
      <c r="F143" s="2">
        <v>20</v>
      </c>
      <c r="G143" s="2">
        <v>25</v>
      </c>
      <c r="H143" s="2">
        <v>0.5</v>
      </c>
      <c r="I143" s="2">
        <v>40</v>
      </c>
      <c r="J143" s="2">
        <v>25</v>
      </c>
      <c r="K143" s="2" t="s">
        <v>147</v>
      </c>
      <c r="L143" s="12">
        <v>0.68</v>
      </c>
      <c r="M143" s="2" t="str">
        <f t="shared" si="65"/>
        <v>동문동 684-4</v>
      </c>
      <c r="N143" s="2">
        <v>20</v>
      </c>
      <c r="O143" s="2">
        <v>25</v>
      </c>
      <c r="P143" s="2">
        <v>0.5</v>
      </c>
      <c r="Q143" s="2">
        <v>0.68</v>
      </c>
      <c r="R143" s="2" t="s">
        <v>147</v>
      </c>
      <c r="S143" s="2" t="s">
        <v>11</v>
      </c>
    </row>
    <row r="144" spans="1:19" ht="21" customHeight="1" x14ac:dyDescent="0.3">
      <c r="B144" s="1"/>
      <c r="I144" s="2"/>
      <c r="J144" s="2"/>
      <c r="L144" s="3"/>
    </row>
    <row r="145" spans="2:12" ht="21.75" customHeight="1" x14ac:dyDescent="0.3">
      <c r="I145" s="2"/>
      <c r="J145" s="2"/>
    </row>
    <row r="146" spans="2:12" ht="21.75" customHeight="1" thickBot="1" x14ac:dyDescent="0.35">
      <c r="K146" s="2" t="s">
        <v>34</v>
      </c>
      <c r="L146" s="35">
        <f>SUM(L2:L145)</f>
        <v>307.09000000000049</v>
      </c>
    </row>
    <row r="147" spans="2:12" ht="21.75" customHeight="1" x14ac:dyDescent="0.3">
      <c r="B147" s="13" t="s">
        <v>254</v>
      </c>
      <c r="C147" s="49" t="s">
        <v>255</v>
      </c>
      <c r="D147" s="50"/>
      <c r="E147" s="49" t="s">
        <v>258</v>
      </c>
      <c r="F147" s="50"/>
      <c r="G147" s="49" t="s">
        <v>259</v>
      </c>
      <c r="H147" s="50"/>
      <c r="I147" s="49" t="s">
        <v>260</v>
      </c>
      <c r="J147" s="51"/>
      <c r="L147" s="11"/>
    </row>
    <row r="148" spans="2:12" ht="21.75" customHeight="1" x14ac:dyDescent="0.3">
      <c r="B148" s="18" t="s">
        <v>256</v>
      </c>
      <c r="C148" s="15">
        <f ca="1">E148+G148+I148</f>
        <v>160</v>
      </c>
      <c r="D148" s="15">
        <f ca="1">F148+H148+J148</f>
        <v>392.86000000000047</v>
      </c>
      <c r="E148" s="15">
        <f ca="1">IF(F148=0,0,COUNTIF(SS_INSIDE_AREA,"O"))</f>
        <v>142</v>
      </c>
      <c r="F148" s="15">
        <f ca="1">SUMIF(SS_INSIDE_AREA,"O",$L$2:$L$2)</f>
        <v>307.09000000000049</v>
      </c>
      <c r="G148" s="15">
        <f ca="1">IF(H148=0,0,COUNTIF(AA_INSIDE_AREA,"O"))</f>
        <v>18</v>
      </c>
      <c r="H148" s="15">
        <f ca="1">aa!$D$23</f>
        <v>85.77</v>
      </c>
      <c r="I148" s="15">
        <f ca="1">IF(J148=0,0,COUNTIF(II_INSIDE_AREA,"O"))</f>
        <v>0</v>
      </c>
      <c r="J148" s="19">
        <f ca="1">ii!$D$8</f>
        <v>0</v>
      </c>
      <c r="K148" s="2" t="s">
        <v>31</v>
      </c>
      <c r="L148" s="36">
        <f>L146+aa!L22+ii!L5</f>
        <v>392.86000000000047</v>
      </c>
    </row>
    <row r="149" spans="2:12" ht="21.75" customHeight="1" thickBot="1" x14ac:dyDescent="0.35">
      <c r="B149" s="14" t="s">
        <v>257</v>
      </c>
      <c r="C149" s="20">
        <f ca="1">E149+G149+I149</f>
        <v>0</v>
      </c>
      <c r="D149" s="20">
        <f ca="1">F149+H149+J149</f>
        <v>0</v>
      </c>
      <c r="E149" s="20">
        <f ca="1">IF(F149=0,0,COUNTIF(SS_INSIDE_AREA,"X"))</f>
        <v>0</v>
      </c>
      <c r="F149" s="20">
        <f ca="1">SUMIF(SS_INSIDE_AREA,"X",$L$2:$L$2)</f>
        <v>0</v>
      </c>
      <c r="G149" s="20">
        <f ca="1">IF(H149=0,0,COUNTIF(AA_INSIDE_AREA,"X"))</f>
        <v>0</v>
      </c>
      <c r="H149" s="20">
        <f ca="1">aa!$D$24</f>
        <v>0</v>
      </c>
      <c r="I149" s="20">
        <f ca="1">IF(J149=0,0,COUNTIF(II_INSIDE_AREA,"X"))</f>
        <v>0</v>
      </c>
      <c r="J149" s="21">
        <f ca="1">ii!$D$9</f>
        <v>0</v>
      </c>
    </row>
    <row r="150" spans="2:12" ht="21.75" customHeight="1" x14ac:dyDescent="0.3">
      <c r="B150"/>
      <c r="C150"/>
      <c r="D150"/>
      <c r="E150"/>
      <c r="F150"/>
      <c r="G150"/>
      <c r="H150"/>
      <c r="I150"/>
      <c r="K150" s="13" t="s">
        <v>32</v>
      </c>
      <c r="L150" s="37">
        <f ca="1">D148</f>
        <v>392.86000000000047</v>
      </c>
    </row>
    <row r="151" spans="2:12" ht="21.75" customHeight="1" thickBot="1" x14ac:dyDescent="0.35">
      <c r="B151"/>
      <c r="C151"/>
      <c r="D151"/>
      <c r="E151"/>
      <c r="F151"/>
      <c r="G151"/>
      <c r="H151"/>
      <c r="I151"/>
      <c r="K151" s="14" t="s">
        <v>33</v>
      </c>
      <c r="L151" s="38">
        <f ca="1">C148</f>
        <v>160</v>
      </c>
    </row>
    <row r="152" spans="2:12" ht="21.75" customHeight="1" x14ac:dyDescent="0.3">
      <c r="B152"/>
      <c r="C152"/>
      <c r="D152"/>
      <c r="E152"/>
      <c r="F152"/>
      <c r="G152"/>
      <c r="H152"/>
      <c r="I152"/>
    </row>
    <row r="153" spans="2:12" ht="21.75" customHeight="1" x14ac:dyDescent="0.3">
      <c r="B153"/>
      <c r="C153"/>
      <c r="D153"/>
      <c r="E153"/>
      <c r="F153"/>
      <c r="G153"/>
      <c r="H153"/>
      <c r="I153"/>
    </row>
    <row r="154" spans="2:12" ht="21.75" customHeight="1" x14ac:dyDescent="0.3">
      <c r="B154"/>
      <c r="C154"/>
      <c r="D154"/>
      <c r="E154"/>
      <c r="F154"/>
      <c r="G154"/>
      <c r="H154"/>
      <c r="I154"/>
    </row>
    <row r="155" spans="2:12" ht="21.75" customHeight="1" x14ac:dyDescent="0.3">
      <c r="B155"/>
      <c r="C155"/>
      <c r="D155"/>
      <c r="E155"/>
      <c r="F155"/>
      <c r="G155"/>
      <c r="H155"/>
      <c r="I155"/>
    </row>
    <row r="156" spans="2:12" ht="21.75" customHeight="1" x14ac:dyDescent="0.3">
      <c r="B156"/>
      <c r="C156"/>
      <c r="D156"/>
      <c r="E156"/>
      <c r="F156"/>
      <c r="G156"/>
      <c r="H156"/>
      <c r="I156"/>
    </row>
    <row r="157" spans="2:12" ht="21.75" customHeight="1" x14ac:dyDescent="0.3">
      <c r="B157"/>
      <c r="C157"/>
      <c r="D157"/>
      <c r="E157"/>
      <c r="F157"/>
      <c r="G157"/>
      <c r="H157"/>
      <c r="I157"/>
    </row>
    <row r="158" spans="2:12" ht="21.75" customHeight="1" x14ac:dyDescent="0.3">
      <c r="B158"/>
      <c r="C158"/>
      <c r="D158"/>
      <c r="E158"/>
      <c r="F158"/>
      <c r="G158"/>
      <c r="H158"/>
      <c r="I158"/>
    </row>
    <row r="159" spans="2:12" ht="21.75" customHeight="1" x14ac:dyDescent="0.3">
      <c r="B159"/>
      <c r="C159"/>
      <c r="D159"/>
      <c r="E159"/>
      <c r="F159"/>
      <c r="G159"/>
      <c r="H159"/>
      <c r="I159"/>
    </row>
    <row r="160" spans="2:12" ht="21.75" customHeight="1" x14ac:dyDescent="0.3">
      <c r="B160"/>
      <c r="C160"/>
      <c r="D160"/>
      <c r="E160"/>
      <c r="F160"/>
      <c r="G160"/>
      <c r="H160"/>
      <c r="I160"/>
    </row>
    <row r="165" spans="11:17" ht="21.75" customHeight="1" x14ac:dyDescent="0.3">
      <c r="K165"/>
      <c r="L165"/>
      <c r="M165"/>
      <c r="N165"/>
      <c r="O165"/>
      <c r="P165"/>
      <c r="Q165"/>
    </row>
    <row r="166" spans="11:17" ht="21.75" customHeight="1" x14ac:dyDescent="0.3">
      <c r="K166"/>
      <c r="L166"/>
      <c r="M166"/>
      <c r="N166"/>
      <c r="O166"/>
      <c r="P166"/>
      <c r="Q166"/>
    </row>
    <row r="167" spans="11:17" ht="21.75" customHeight="1" x14ac:dyDescent="0.3">
      <c r="K167"/>
      <c r="L167"/>
      <c r="M167"/>
      <c r="N167"/>
      <c r="O167"/>
      <c r="P167"/>
      <c r="Q167"/>
    </row>
  </sheetData>
  <dataConsolidate/>
  <mergeCells count="4">
    <mergeCell ref="C147:D147"/>
    <mergeCell ref="E147:F147"/>
    <mergeCell ref="G147:H147"/>
    <mergeCell ref="I147:J147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TextBox_AREA">
          <controlPr defaultSize="0" disabled="1" autoLine="0" autoPict="0" r:id="rId5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4" name="TextBox_AREA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autoPict="0" r:id="rId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11</xdr:col>
                <xdr:colOff>752475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457200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0" r:id="rId12" name="CommandButtonDelete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2" name="CommandButtonDelete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autoPict="0" r:id="rId15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autoPict="0" r:id="rId1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54" r:id="rId18" name="CommandButton4">
          <controlPr defaultSize="0" autoLine="0" autoPict="0" r:id="rId19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18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5"/>
  <sheetViews>
    <sheetView workbookViewId="0">
      <selection activeCell="L21" sqref="L21"/>
    </sheetView>
  </sheetViews>
  <sheetFormatPr defaultColWidth="9" defaultRowHeight="21.75" customHeight="1" x14ac:dyDescent="0.3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 x14ac:dyDescent="0.3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251</v>
      </c>
      <c r="H1" s="44" t="s">
        <v>253</v>
      </c>
      <c r="I1" s="47" t="s">
        <v>8</v>
      </c>
      <c r="J1" s="47" t="s">
        <v>193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 x14ac:dyDescent="0.3">
      <c r="A2" s="1" t="s">
        <v>4</v>
      </c>
      <c r="B2" s="1" t="s">
        <v>2</v>
      </c>
      <c r="C2" s="2" t="s">
        <v>453</v>
      </c>
      <c r="D2" s="2" t="s">
        <v>455</v>
      </c>
      <c r="E2" s="10" t="s">
        <v>458</v>
      </c>
      <c r="F2" s="9">
        <v>15</v>
      </c>
      <c r="G2" s="9">
        <v>30</v>
      </c>
      <c r="H2" s="9">
        <v>0.5</v>
      </c>
      <c r="I2" s="9">
        <v>20</v>
      </c>
      <c r="J2" s="9">
        <v>16</v>
      </c>
      <c r="K2" s="9" t="s">
        <v>261</v>
      </c>
      <c r="L2" s="2">
        <v>2.95</v>
      </c>
      <c r="M2" s="28" t="str">
        <f>D2&amp;" "&amp;E2</f>
        <v>석남동 34-53</v>
      </c>
      <c r="N2" s="9">
        <v>15</v>
      </c>
      <c r="O2" s="9">
        <v>30</v>
      </c>
      <c r="P2" s="9">
        <v>0.5</v>
      </c>
      <c r="Q2" s="7">
        <v>2.95</v>
      </c>
      <c r="R2" s="9" t="s">
        <v>261</v>
      </c>
      <c r="S2" s="7" t="s">
        <v>11</v>
      </c>
    </row>
    <row r="3" spans="1:19" s="7" customFormat="1" ht="21.75" customHeight="1" x14ac:dyDescent="0.3">
      <c r="A3" s="1" t="s">
        <v>24</v>
      </c>
      <c r="B3" s="1" t="s">
        <v>2</v>
      </c>
      <c r="C3" s="2" t="s">
        <v>453</v>
      </c>
      <c r="D3" s="2" t="s">
        <v>468</v>
      </c>
      <c r="E3" s="10" t="s">
        <v>469</v>
      </c>
      <c r="F3" s="9">
        <v>70</v>
      </c>
      <c r="G3" s="9">
        <v>150</v>
      </c>
      <c r="H3" s="9">
        <v>1</v>
      </c>
      <c r="I3" s="9">
        <v>58</v>
      </c>
      <c r="J3" s="9">
        <v>25</v>
      </c>
      <c r="K3" s="9" t="s">
        <v>262</v>
      </c>
      <c r="L3" s="2">
        <v>7.72</v>
      </c>
      <c r="M3" s="28" t="str">
        <f t="shared" ref="M3:M19" si="0">D3&amp;" "&amp;E3</f>
        <v>석림동 716-2</v>
      </c>
      <c r="N3" s="9">
        <v>70</v>
      </c>
      <c r="O3" s="9">
        <v>150</v>
      </c>
      <c r="P3" s="9">
        <v>1</v>
      </c>
      <c r="Q3" s="7">
        <v>7.72</v>
      </c>
      <c r="R3" s="9" t="s">
        <v>262</v>
      </c>
      <c r="S3" s="7" t="s">
        <v>11</v>
      </c>
    </row>
    <row r="4" spans="1:19" s="7" customFormat="1" ht="21.75" customHeight="1" x14ac:dyDescent="0.3">
      <c r="A4" s="1" t="s">
        <v>25</v>
      </c>
      <c r="B4" s="1" t="s">
        <v>2</v>
      </c>
      <c r="C4" s="2" t="s">
        <v>453</v>
      </c>
      <c r="D4" s="2" t="s">
        <v>468</v>
      </c>
      <c r="E4" s="10" t="s">
        <v>476</v>
      </c>
      <c r="F4" s="9">
        <v>10</v>
      </c>
      <c r="G4" s="9">
        <v>50</v>
      </c>
      <c r="H4" s="9">
        <v>0.5</v>
      </c>
      <c r="I4" s="9">
        <v>20</v>
      </c>
      <c r="J4" s="9">
        <v>16</v>
      </c>
      <c r="K4" s="9" t="s">
        <v>262</v>
      </c>
      <c r="L4" s="2">
        <v>7.22</v>
      </c>
      <c r="M4" s="28" t="str">
        <f t="shared" si="0"/>
        <v>석림동 729-12</v>
      </c>
      <c r="N4" s="9">
        <v>10</v>
      </c>
      <c r="O4" s="9">
        <v>50</v>
      </c>
      <c r="P4" s="9">
        <v>0.5</v>
      </c>
      <c r="Q4" s="7">
        <v>7.22</v>
      </c>
      <c r="R4" s="9" t="s">
        <v>262</v>
      </c>
      <c r="S4" s="7" t="s">
        <v>11</v>
      </c>
    </row>
    <row r="5" spans="1:19" s="7" customFormat="1" ht="21.75" customHeight="1" x14ac:dyDescent="0.3">
      <c r="A5" s="1" t="s">
        <v>265</v>
      </c>
      <c r="B5" s="1" t="s">
        <v>2</v>
      </c>
      <c r="C5" s="2" t="s">
        <v>453</v>
      </c>
      <c r="D5" s="2" t="s">
        <v>468</v>
      </c>
      <c r="E5" s="10" t="s">
        <v>477</v>
      </c>
      <c r="F5" s="9">
        <v>20</v>
      </c>
      <c r="G5" s="9">
        <v>40</v>
      </c>
      <c r="H5" s="9">
        <v>0.5</v>
      </c>
      <c r="I5" s="9">
        <v>20</v>
      </c>
      <c r="J5" s="9">
        <v>25</v>
      </c>
      <c r="K5" s="9" t="s">
        <v>262</v>
      </c>
      <c r="L5" s="2">
        <v>7.22</v>
      </c>
      <c r="M5" s="28" t="str">
        <f t="shared" si="0"/>
        <v>석림동 728-1</v>
      </c>
      <c r="N5" s="9">
        <v>20</v>
      </c>
      <c r="O5" s="9">
        <v>40</v>
      </c>
      <c r="P5" s="9">
        <v>0.5</v>
      </c>
      <c r="Q5" s="7">
        <v>7.22</v>
      </c>
      <c r="R5" s="9" t="s">
        <v>262</v>
      </c>
      <c r="S5" s="7" t="s">
        <v>11</v>
      </c>
    </row>
    <row r="6" spans="1:19" s="7" customFormat="1" ht="21.75" customHeight="1" x14ac:dyDescent="0.3">
      <c r="A6" s="1" t="s">
        <v>266</v>
      </c>
      <c r="B6" s="1" t="s">
        <v>2</v>
      </c>
      <c r="C6" s="2" t="s">
        <v>453</v>
      </c>
      <c r="D6" s="2" t="s">
        <v>454</v>
      </c>
      <c r="E6" s="10" t="s">
        <v>529</v>
      </c>
      <c r="F6" s="9">
        <v>50</v>
      </c>
      <c r="G6" s="9">
        <v>150</v>
      </c>
      <c r="H6" s="9">
        <v>1</v>
      </c>
      <c r="I6" s="9">
        <v>70</v>
      </c>
      <c r="J6" s="9">
        <v>32</v>
      </c>
      <c r="K6" s="9" t="s">
        <v>268</v>
      </c>
      <c r="L6" s="2">
        <v>3.56</v>
      </c>
      <c r="M6" s="28" t="str">
        <f t="shared" si="0"/>
        <v>읍내동 815-8</v>
      </c>
      <c r="N6" s="9">
        <v>50</v>
      </c>
      <c r="O6" s="9">
        <v>150</v>
      </c>
      <c r="P6" s="9">
        <v>1</v>
      </c>
      <c r="Q6" s="7">
        <v>3.56</v>
      </c>
      <c r="R6" s="9" t="s">
        <v>268</v>
      </c>
      <c r="S6" s="7" t="s">
        <v>11</v>
      </c>
    </row>
    <row r="7" spans="1:19" s="7" customFormat="1" ht="21.75" customHeight="1" x14ac:dyDescent="0.3">
      <c r="A7" s="1" t="s">
        <v>269</v>
      </c>
      <c r="B7" s="1" t="s">
        <v>2</v>
      </c>
      <c r="C7" s="2" t="s">
        <v>453</v>
      </c>
      <c r="D7" s="2" t="s">
        <v>454</v>
      </c>
      <c r="E7" s="10" t="s">
        <v>568</v>
      </c>
      <c r="F7" s="9">
        <v>22</v>
      </c>
      <c r="G7" s="9">
        <v>60</v>
      </c>
      <c r="H7" s="9">
        <v>0.5</v>
      </c>
      <c r="I7" s="9">
        <v>30</v>
      </c>
      <c r="J7" s="9">
        <v>40</v>
      </c>
      <c r="K7" s="9" t="s">
        <v>261</v>
      </c>
      <c r="L7" s="2">
        <v>3.38</v>
      </c>
      <c r="M7" s="28" t="str">
        <f t="shared" si="0"/>
        <v>읍내동 59-1</v>
      </c>
      <c r="N7" s="9">
        <v>22</v>
      </c>
      <c r="O7" s="9">
        <v>60</v>
      </c>
      <c r="P7" s="9">
        <v>0.5</v>
      </c>
      <c r="Q7" s="7">
        <v>3.38</v>
      </c>
      <c r="R7" s="9" t="s">
        <v>261</v>
      </c>
      <c r="S7" s="7" t="s">
        <v>11</v>
      </c>
    </row>
    <row r="8" spans="1:19" s="7" customFormat="1" ht="21.75" customHeight="1" x14ac:dyDescent="0.3">
      <c r="A8" s="1" t="s">
        <v>270</v>
      </c>
      <c r="B8" s="1" t="s">
        <v>2</v>
      </c>
      <c r="C8" s="2" t="s">
        <v>453</v>
      </c>
      <c r="D8" s="2" t="s">
        <v>454</v>
      </c>
      <c r="E8" s="10" t="s">
        <v>569</v>
      </c>
      <c r="F8" s="9">
        <v>50</v>
      </c>
      <c r="G8" s="9">
        <v>150</v>
      </c>
      <c r="H8" s="9">
        <v>0.5</v>
      </c>
      <c r="I8" s="9">
        <v>79</v>
      </c>
      <c r="J8" s="9">
        <v>20</v>
      </c>
      <c r="K8" s="9" t="s">
        <v>268</v>
      </c>
      <c r="L8" s="2">
        <v>3.66</v>
      </c>
      <c r="M8" s="28" t="str">
        <f t="shared" si="0"/>
        <v>읍내동 60-1</v>
      </c>
      <c r="N8" s="9">
        <v>50</v>
      </c>
      <c r="O8" s="9">
        <v>150</v>
      </c>
      <c r="P8" s="9">
        <v>0.5</v>
      </c>
      <c r="Q8" s="7">
        <v>3.66</v>
      </c>
      <c r="R8" s="9" t="s">
        <v>268</v>
      </c>
      <c r="S8" s="7" t="s">
        <v>11</v>
      </c>
    </row>
    <row r="9" spans="1:19" s="7" customFormat="1" ht="21.75" customHeight="1" x14ac:dyDescent="0.3">
      <c r="A9" s="1" t="s">
        <v>271</v>
      </c>
      <c r="B9" s="1" t="s">
        <v>2</v>
      </c>
      <c r="C9" s="2" t="s">
        <v>453</v>
      </c>
      <c r="D9" s="2" t="s">
        <v>454</v>
      </c>
      <c r="E9" s="10" t="s">
        <v>573</v>
      </c>
      <c r="F9" s="9">
        <v>70</v>
      </c>
      <c r="G9" s="9">
        <v>150</v>
      </c>
      <c r="H9" s="9">
        <v>1</v>
      </c>
      <c r="I9" s="9">
        <v>40</v>
      </c>
      <c r="J9" s="9">
        <v>25</v>
      </c>
      <c r="K9" s="9" t="s">
        <v>262</v>
      </c>
      <c r="L9" s="2">
        <v>7.48</v>
      </c>
      <c r="M9" s="28" t="str">
        <f t="shared" si="0"/>
        <v>읍내동 809-7</v>
      </c>
      <c r="N9" s="9">
        <v>70</v>
      </c>
      <c r="O9" s="9">
        <v>150</v>
      </c>
      <c r="P9" s="9">
        <v>1</v>
      </c>
      <c r="Q9" s="7">
        <v>7.48</v>
      </c>
      <c r="R9" s="9" t="s">
        <v>262</v>
      </c>
      <c r="S9" s="7" t="s">
        <v>11</v>
      </c>
    </row>
    <row r="10" spans="1:19" s="7" customFormat="1" ht="21.75" customHeight="1" x14ac:dyDescent="0.3">
      <c r="A10" s="1" t="s">
        <v>272</v>
      </c>
      <c r="B10" s="1" t="s">
        <v>2</v>
      </c>
      <c r="C10" s="2" t="s">
        <v>453</v>
      </c>
      <c r="D10" s="2" t="s">
        <v>599</v>
      </c>
      <c r="E10" s="10" t="s">
        <v>602</v>
      </c>
      <c r="F10" s="9">
        <v>40</v>
      </c>
      <c r="G10" s="9">
        <v>150</v>
      </c>
      <c r="H10" s="9">
        <v>1</v>
      </c>
      <c r="I10" s="9">
        <v>28</v>
      </c>
      <c r="J10" s="9">
        <v>25</v>
      </c>
      <c r="K10" s="9" t="s">
        <v>268</v>
      </c>
      <c r="L10" s="2">
        <v>3.1</v>
      </c>
      <c r="M10" s="28" t="str">
        <f t="shared" si="0"/>
        <v>갈산동 180-4</v>
      </c>
      <c r="N10" s="9">
        <v>40</v>
      </c>
      <c r="O10" s="9">
        <v>150</v>
      </c>
      <c r="P10" s="9">
        <v>1</v>
      </c>
      <c r="Q10" s="7">
        <v>3.1</v>
      </c>
      <c r="R10" s="9" t="s">
        <v>268</v>
      </c>
      <c r="S10" s="7" t="s">
        <v>11</v>
      </c>
    </row>
    <row r="11" spans="1:19" s="7" customFormat="1" ht="21.75" customHeight="1" x14ac:dyDescent="0.3">
      <c r="A11" s="1" t="s">
        <v>273</v>
      </c>
      <c r="B11" s="1" t="s">
        <v>2</v>
      </c>
      <c r="C11" s="2" t="s">
        <v>453</v>
      </c>
      <c r="D11" s="2" t="s">
        <v>454</v>
      </c>
      <c r="E11" s="10" t="s">
        <v>657</v>
      </c>
      <c r="F11" s="9">
        <v>18</v>
      </c>
      <c r="G11" s="9">
        <v>25</v>
      </c>
      <c r="H11" s="9">
        <v>0.5</v>
      </c>
      <c r="I11" s="9">
        <v>25</v>
      </c>
      <c r="J11" s="9">
        <v>20</v>
      </c>
      <c r="K11" s="9" t="s">
        <v>261</v>
      </c>
      <c r="L11" s="2">
        <v>3.16</v>
      </c>
      <c r="M11" s="28" t="str">
        <f t="shared" si="0"/>
        <v>읍내동 567-4</v>
      </c>
      <c r="N11" s="9">
        <v>18</v>
      </c>
      <c r="O11" s="9">
        <v>25</v>
      </c>
      <c r="P11" s="9">
        <v>0.5</v>
      </c>
      <c r="Q11" s="7">
        <v>3.16</v>
      </c>
      <c r="R11" s="9" t="s">
        <v>261</v>
      </c>
      <c r="S11" s="7" t="s">
        <v>11</v>
      </c>
    </row>
    <row r="12" spans="1:19" s="7" customFormat="1" ht="21.75" customHeight="1" x14ac:dyDescent="0.3">
      <c r="A12" s="1" t="s">
        <v>274</v>
      </c>
      <c r="B12" s="1" t="s">
        <v>2</v>
      </c>
      <c r="C12" s="2" t="s">
        <v>453</v>
      </c>
      <c r="D12" s="2" t="s">
        <v>454</v>
      </c>
      <c r="E12" s="10" t="s">
        <v>660</v>
      </c>
      <c r="F12" s="9">
        <v>19</v>
      </c>
      <c r="G12" s="9">
        <v>30</v>
      </c>
      <c r="H12" s="9">
        <v>0.5</v>
      </c>
      <c r="I12" s="9">
        <v>20</v>
      </c>
      <c r="J12" s="9">
        <v>20</v>
      </c>
      <c r="K12" s="9" t="s">
        <v>262</v>
      </c>
      <c r="L12" s="2">
        <v>7.22</v>
      </c>
      <c r="M12" s="28" t="str">
        <f t="shared" si="0"/>
        <v>읍내동 579</v>
      </c>
      <c r="N12" s="9">
        <v>19</v>
      </c>
      <c r="O12" s="9">
        <v>30</v>
      </c>
      <c r="P12" s="9">
        <v>0.5</v>
      </c>
      <c r="Q12" s="7">
        <v>7.22</v>
      </c>
      <c r="R12" s="9" t="s">
        <v>262</v>
      </c>
      <c r="S12" s="7" t="s">
        <v>11</v>
      </c>
    </row>
    <row r="13" spans="1:19" s="7" customFormat="1" ht="21.75" customHeight="1" x14ac:dyDescent="0.3">
      <c r="A13" s="1" t="s">
        <v>275</v>
      </c>
      <c r="B13" s="1" t="s">
        <v>2</v>
      </c>
      <c r="C13" s="2" t="s">
        <v>453</v>
      </c>
      <c r="D13" s="2" t="s">
        <v>454</v>
      </c>
      <c r="E13" s="10" t="s">
        <v>667</v>
      </c>
      <c r="F13" s="9">
        <v>20</v>
      </c>
      <c r="G13" s="9">
        <v>50</v>
      </c>
      <c r="H13" s="9">
        <v>1</v>
      </c>
      <c r="I13" s="9">
        <v>43</v>
      </c>
      <c r="J13" s="9">
        <v>25</v>
      </c>
      <c r="K13" s="9" t="s">
        <v>261</v>
      </c>
      <c r="L13" s="2">
        <v>3.94</v>
      </c>
      <c r="M13" s="28" t="str">
        <f t="shared" si="0"/>
        <v>읍내동 564</v>
      </c>
      <c r="N13" s="9">
        <v>20</v>
      </c>
      <c r="O13" s="9">
        <v>50</v>
      </c>
      <c r="P13" s="9">
        <v>1</v>
      </c>
      <c r="Q13" s="7">
        <v>3.94</v>
      </c>
      <c r="R13" s="9" t="s">
        <v>261</v>
      </c>
      <c r="S13" s="7" t="s">
        <v>11</v>
      </c>
    </row>
    <row r="14" spans="1:19" s="7" customFormat="1" ht="21.75" customHeight="1" x14ac:dyDescent="0.3">
      <c r="A14" s="1" t="s">
        <v>276</v>
      </c>
      <c r="B14" s="1" t="s">
        <v>2</v>
      </c>
      <c r="C14" s="2" t="s">
        <v>453</v>
      </c>
      <c r="D14" s="2" t="s">
        <v>454</v>
      </c>
      <c r="E14" s="10" t="s">
        <v>673</v>
      </c>
      <c r="F14" s="9">
        <v>21</v>
      </c>
      <c r="G14" s="9">
        <v>50</v>
      </c>
      <c r="H14" s="9">
        <v>0.5</v>
      </c>
      <c r="I14" s="9">
        <v>20</v>
      </c>
      <c r="J14" s="9">
        <v>16</v>
      </c>
      <c r="K14" s="9" t="s">
        <v>261</v>
      </c>
      <c r="L14" s="2">
        <v>2.95</v>
      </c>
      <c r="M14" s="28" t="str">
        <f t="shared" si="0"/>
        <v>읍내동 552-2</v>
      </c>
      <c r="N14" s="9">
        <v>21</v>
      </c>
      <c r="O14" s="9">
        <v>50</v>
      </c>
      <c r="P14" s="9">
        <v>0.5</v>
      </c>
      <c r="Q14" s="7">
        <v>2.95</v>
      </c>
      <c r="R14" s="9" t="s">
        <v>261</v>
      </c>
      <c r="S14" s="7" t="s">
        <v>11</v>
      </c>
    </row>
    <row r="15" spans="1:19" s="7" customFormat="1" ht="21.75" customHeight="1" x14ac:dyDescent="0.3">
      <c r="A15" s="1" t="s">
        <v>283</v>
      </c>
      <c r="B15" s="1" t="s">
        <v>2</v>
      </c>
      <c r="C15" s="2" t="s">
        <v>453</v>
      </c>
      <c r="D15" s="2" t="s">
        <v>454</v>
      </c>
      <c r="E15" s="10" t="s">
        <v>674</v>
      </c>
      <c r="F15" s="9">
        <v>20</v>
      </c>
      <c r="G15" s="9">
        <v>30</v>
      </c>
      <c r="H15" s="9">
        <v>0.5</v>
      </c>
      <c r="I15" s="9">
        <v>25</v>
      </c>
      <c r="J15" s="9">
        <v>20</v>
      </c>
      <c r="K15" s="9" t="s">
        <v>261</v>
      </c>
      <c r="L15" s="2">
        <v>3.16</v>
      </c>
      <c r="M15" s="28" t="str">
        <f t="shared" si="0"/>
        <v>읍내동 552-18</v>
      </c>
      <c r="N15" s="9">
        <v>20</v>
      </c>
      <c r="O15" s="9">
        <v>30</v>
      </c>
      <c r="P15" s="9">
        <v>0.5</v>
      </c>
      <c r="Q15" s="7">
        <v>3.16</v>
      </c>
      <c r="R15" s="9" t="s">
        <v>261</v>
      </c>
      <c r="S15" s="7" t="s">
        <v>11</v>
      </c>
    </row>
    <row r="16" spans="1:19" s="7" customFormat="1" ht="21.75" customHeight="1" x14ac:dyDescent="0.3">
      <c r="A16" s="1" t="s">
        <v>284</v>
      </c>
      <c r="B16" s="1" t="s">
        <v>2</v>
      </c>
      <c r="C16" s="2" t="s">
        <v>453</v>
      </c>
      <c r="D16" s="2" t="s">
        <v>454</v>
      </c>
      <c r="E16" s="10" t="s">
        <v>675</v>
      </c>
      <c r="F16" s="9">
        <v>20</v>
      </c>
      <c r="G16" s="9">
        <v>30</v>
      </c>
      <c r="H16" s="9">
        <v>0.5</v>
      </c>
      <c r="I16" s="9">
        <v>25</v>
      </c>
      <c r="J16" s="9">
        <v>20</v>
      </c>
      <c r="K16" s="9" t="s">
        <v>262</v>
      </c>
      <c r="L16" s="2">
        <v>7.29</v>
      </c>
      <c r="M16" s="28" t="str">
        <f t="shared" si="0"/>
        <v>읍내동 552-13</v>
      </c>
      <c r="N16" s="9">
        <v>20</v>
      </c>
      <c r="O16" s="9">
        <v>30</v>
      </c>
      <c r="P16" s="9">
        <v>0.5</v>
      </c>
      <c r="Q16" s="7">
        <v>7.29</v>
      </c>
      <c r="R16" s="9" t="s">
        <v>262</v>
      </c>
      <c r="S16" s="7" t="s">
        <v>11</v>
      </c>
    </row>
    <row r="17" spans="1:19" s="7" customFormat="1" ht="21.75" customHeight="1" x14ac:dyDescent="0.3">
      <c r="A17" s="1" t="s">
        <v>285</v>
      </c>
      <c r="B17" s="1" t="s">
        <v>2</v>
      </c>
      <c r="C17" s="2" t="s">
        <v>453</v>
      </c>
      <c r="D17" s="2" t="s">
        <v>454</v>
      </c>
      <c r="E17" s="10" t="s">
        <v>676</v>
      </c>
      <c r="F17" s="9">
        <v>21</v>
      </c>
      <c r="G17" s="9">
        <v>30</v>
      </c>
      <c r="H17" s="9">
        <v>0.5</v>
      </c>
      <c r="I17" s="9">
        <v>25</v>
      </c>
      <c r="J17" s="9">
        <v>20</v>
      </c>
      <c r="K17" s="9" t="s">
        <v>261</v>
      </c>
      <c r="L17" s="2">
        <v>3.16</v>
      </c>
      <c r="M17" s="28" t="str">
        <f t="shared" si="0"/>
        <v>읍내동 552-8</v>
      </c>
      <c r="N17" s="9">
        <v>21</v>
      </c>
      <c r="O17" s="9">
        <v>30</v>
      </c>
      <c r="P17" s="9">
        <v>0.5</v>
      </c>
      <c r="Q17" s="7">
        <v>3.16</v>
      </c>
      <c r="R17" s="9" t="s">
        <v>261</v>
      </c>
      <c r="S17" s="7" t="s">
        <v>11</v>
      </c>
    </row>
    <row r="18" spans="1:19" s="7" customFormat="1" ht="21.75" customHeight="1" x14ac:dyDescent="0.3">
      <c r="A18" s="1" t="s">
        <v>286</v>
      </c>
      <c r="B18" s="1" t="s">
        <v>2</v>
      </c>
      <c r="C18" s="2" t="s">
        <v>453</v>
      </c>
      <c r="D18" s="2" t="s">
        <v>454</v>
      </c>
      <c r="E18" s="10" t="s">
        <v>677</v>
      </c>
      <c r="F18" s="9">
        <v>20</v>
      </c>
      <c r="G18" s="9">
        <v>30</v>
      </c>
      <c r="H18" s="9">
        <v>0.5</v>
      </c>
      <c r="I18" s="9">
        <v>25</v>
      </c>
      <c r="J18" s="9">
        <v>20</v>
      </c>
      <c r="K18" s="9" t="s">
        <v>261</v>
      </c>
      <c r="L18" s="2">
        <v>3.16</v>
      </c>
      <c r="M18" s="28" t="str">
        <f t="shared" si="0"/>
        <v>읍내동 552-17</v>
      </c>
      <c r="N18" s="9">
        <v>20</v>
      </c>
      <c r="O18" s="9">
        <v>30</v>
      </c>
      <c r="P18" s="9">
        <v>0.5</v>
      </c>
      <c r="Q18" s="7">
        <v>3.16</v>
      </c>
      <c r="R18" s="9" t="s">
        <v>261</v>
      </c>
      <c r="S18" s="7" t="s">
        <v>11</v>
      </c>
    </row>
    <row r="19" spans="1:19" s="7" customFormat="1" ht="21.75" customHeight="1" x14ac:dyDescent="0.3">
      <c r="A19" s="1" t="s">
        <v>287</v>
      </c>
      <c r="B19" s="1" t="s">
        <v>2</v>
      </c>
      <c r="C19" s="2" t="s">
        <v>453</v>
      </c>
      <c r="D19" s="2" t="s">
        <v>506</v>
      </c>
      <c r="E19" s="10" t="s">
        <v>724</v>
      </c>
      <c r="F19" s="9">
        <v>50</v>
      </c>
      <c r="G19" s="9">
        <v>100</v>
      </c>
      <c r="H19" s="9">
        <v>1</v>
      </c>
      <c r="I19" s="9">
        <v>78</v>
      </c>
      <c r="J19" s="9">
        <v>20</v>
      </c>
      <c r="K19" s="9" t="s">
        <v>261</v>
      </c>
      <c r="L19" s="2">
        <v>5.44</v>
      </c>
      <c r="M19" s="28" t="str">
        <f t="shared" si="0"/>
        <v>동문동 1020-24</v>
      </c>
      <c r="N19" s="9">
        <v>50</v>
      </c>
      <c r="O19" s="9">
        <v>100</v>
      </c>
      <c r="P19" s="9">
        <v>1</v>
      </c>
      <c r="Q19" s="7">
        <v>5.44</v>
      </c>
      <c r="R19" s="9" t="s">
        <v>261</v>
      </c>
      <c r="S19" s="7" t="s">
        <v>11</v>
      </c>
    </row>
    <row r="20" spans="1:19" s="7" customFormat="1" ht="21.75" customHeight="1" x14ac:dyDescent="0.3">
      <c r="A20" s="1"/>
      <c r="B20" s="1"/>
      <c r="C20" s="2"/>
      <c r="D20" s="2"/>
      <c r="E20" s="10"/>
      <c r="F20" s="9"/>
      <c r="G20" s="9"/>
      <c r="H20" s="9"/>
      <c r="I20" s="9"/>
      <c r="J20" s="9"/>
      <c r="K20" s="9"/>
      <c r="L20" s="2"/>
      <c r="M20" s="28"/>
      <c r="N20" s="9"/>
      <c r="O20" s="9"/>
      <c r="P20" s="9"/>
      <c r="Q20" s="3"/>
      <c r="R20" s="9"/>
      <c r="S20" s="2"/>
    </row>
    <row r="21" spans="1:19" ht="21.75" customHeight="1" thickBot="1" x14ac:dyDescent="0.35">
      <c r="L21" s="5"/>
    </row>
    <row r="22" spans="1:19" ht="21.75" customHeight="1" x14ac:dyDescent="0.3">
      <c r="B22" s="24" t="s">
        <v>21</v>
      </c>
      <c r="C22" s="16" t="s">
        <v>20</v>
      </c>
      <c r="D22" s="17" t="s">
        <v>5</v>
      </c>
      <c r="K22" s="2" t="s">
        <v>31</v>
      </c>
      <c r="L22" s="39">
        <f>SUM(L2:L21)</f>
        <v>85.77</v>
      </c>
      <c r="M22" s="29"/>
    </row>
    <row r="23" spans="1:19" ht="21.75" customHeight="1" x14ac:dyDescent="0.3">
      <c r="B23" s="22" t="s">
        <v>18</v>
      </c>
      <c r="C23" s="15">
        <f ca="1">COUNTIF(AA_INSIDE_AREA,"O")</f>
        <v>18</v>
      </c>
      <c r="D23" s="19">
        <f ca="1">SUMIF(AA_INSIDE_AREA,"O",$L$2:$L$2)</f>
        <v>85.77</v>
      </c>
    </row>
    <row r="24" spans="1:19" ht="21.75" customHeight="1" x14ac:dyDescent="0.3">
      <c r="B24" s="22" t="s">
        <v>19</v>
      </c>
      <c r="C24" s="15">
        <f ca="1">COUNTIF(AA_INSIDE_AREA,"X")</f>
        <v>0</v>
      </c>
      <c r="D24" s="19">
        <f ca="1">SUMIF(AA_INSIDE_AREA,"X",$L$2:$L$2)</f>
        <v>0</v>
      </c>
      <c r="L24" s="4"/>
    </row>
    <row r="25" spans="1:19" ht="21.75" customHeight="1" thickBot="1" x14ac:dyDescent="0.35">
      <c r="B25" s="23"/>
      <c r="C25" s="20"/>
      <c r="D25" s="21">
        <f ca="1">D23+D24</f>
        <v>85.77</v>
      </c>
      <c r="L25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12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 x14ac:dyDescent="0.3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 x14ac:dyDescent="0.3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251</v>
      </c>
      <c r="H1" s="44" t="s">
        <v>253</v>
      </c>
      <c r="I1" s="47" t="s">
        <v>8</v>
      </c>
      <c r="J1" s="47" t="s">
        <v>193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 x14ac:dyDescent="0.3">
      <c r="A2" s="7" t="s">
        <v>9</v>
      </c>
      <c r="B2" s="1" t="s">
        <v>2</v>
      </c>
      <c r="C2" s="2" t="s">
        <v>267</v>
      </c>
      <c r="D2" s="2" t="s">
        <v>297</v>
      </c>
      <c r="E2" s="6"/>
      <c r="F2" s="2"/>
      <c r="G2" s="2"/>
      <c r="H2" s="2"/>
      <c r="I2" s="2"/>
      <c r="J2" s="2"/>
      <c r="K2" s="2" t="s">
        <v>159</v>
      </c>
      <c r="L2" s="2">
        <v>0</v>
      </c>
      <c r="M2" s="2" t="str">
        <f>D2&amp;" "&amp;E2&amp;" 번지"</f>
        <v>세탑리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7" t="s">
        <v>31</v>
      </c>
      <c r="L5" s="35">
        <f>SUM(L2:L4)</f>
        <v>0</v>
      </c>
      <c r="S5" s="11"/>
    </row>
    <row r="6" spans="1:19" ht="18.75" customHeight="1" thickBot="1" x14ac:dyDescent="0.35"/>
    <row r="7" spans="1:19" ht="18.75" customHeight="1" x14ac:dyDescent="0.3">
      <c r="B7" s="24" t="s">
        <v>30</v>
      </c>
      <c r="C7" s="16" t="s">
        <v>20</v>
      </c>
      <c r="D7" s="17" t="s">
        <v>5</v>
      </c>
      <c r="L7" s="4"/>
      <c r="S7" s="4"/>
    </row>
    <row r="8" spans="1:19" ht="18.75" customHeight="1" x14ac:dyDescent="0.3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 x14ac:dyDescent="0.3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 x14ac:dyDescent="0.35">
      <c r="B10" s="23"/>
      <c r="C10" s="20"/>
      <c r="D10" s="21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6.5" x14ac:dyDescent="0.3"/>
  <cols>
    <col min="3" max="3" width="19.625" style="7" customWidth="1"/>
    <col min="4" max="4" width="9" style="7"/>
    <col min="5" max="5" width="28.125" style="28" customWidth="1"/>
  </cols>
  <sheetData>
    <row r="1" spans="1:10" ht="21.75" customHeight="1" x14ac:dyDescent="0.3">
      <c r="A1" s="27" t="s">
        <v>190</v>
      </c>
      <c r="C1" s="25" t="s">
        <v>139</v>
      </c>
      <c r="D1" s="26" t="s">
        <v>140</v>
      </c>
      <c r="E1" s="30" t="s">
        <v>142</v>
      </c>
    </row>
    <row r="2" spans="1:10" ht="20.100000000000001" customHeight="1" x14ac:dyDescent="0.3">
      <c r="A2" s="27" t="s">
        <v>191</v>
      </c>
      <c r="C2" s="7" t="s">
        <v>88</v>
      </c>
      <c r="D2" s="7" t="s">
        <v>35</v>
      </c>
      <c r="E2" s="28" t="s">
        <v>189</v>
      </c>
    </row>
    <row r="3" spans="1:10" ht="20.100000000000001" customHeight="1" x14ac:dyDescent="0.3">
      <c r="C3" s="7" t="s">
        <v>89</v>
      </c>
      <c r="D3" s="7" t="s">
        <v>36</v>
      </c>
      <c r="E3" s="28" t="s">
        <v>143</v>
      </c>
    </row>
    <row r="4" spans="1:10" ht="20.100000000000001" customHeight="1" x14ac:dyDescent="0.3">
      <c r="C4" s="7" t="s">
        <v>141</v>
      </c>
      <c r="D4" s="7" t="s">
        <v>37</v>
      </c>
      <c r="E4" s="28" t="s">
        <v>144</v>
      </c>
    </row>
    <row r="5" spans="1:10" ht="20.100000000000001" customHeight="1" x14ac:dyDescent="0.3">
      <c r="C5" s="7" t="s">
        <v>25</v>
      </c>
      <c r="D5" s="7" t="s">
        <v>38</v>
      </c>
      <c r="E5" s="28" t="s">
        <v>145</v>
      </c>
    </row>
    <row r="6" spans="1:10" ht="20.100000000000001" customHeight="1" x14ac:dyDescent="0.3">
      <c r="C6" s="7" t="s">
        <v>90</v>
      </c>
      <c r="D6" s="7" t="s">
        <v>39</v>
      </c>
      <c r="E6" s="28" t="s">
        <v>146</v>
      </c>
    </row>
    <row r="7" spans="1:10" ht="20.100000000000001" customHeight="1" x14ac:dyDescent="0.3">
      <c r="C7" s="7" t="s">
        <v>91</v>
      </c>
      <c r="D7" s="7" t="s">
        <v>40</v>
      </c>
      <c r="E7" s="28" t="s">
        <v>34</v>
      </c>
    </row>
    <row r="8" spans="1:10" ht="20.100000000000001" customHeight="1" x14ac:dyDescent="0.3">
      <c r="C8" s="7" t="s">
        <v>92</v>
      </c>
      <c r="D8" s="7" t="s">
        <v>41</v>
      </c>
      <c r="E8" s="28" t="s">
        <v>147</v>
      </c>
    </row>
    <row r="9" spans="1:10" ht="20.100000000000001" customHeight="1" x14ac:dyDescent="0.3">
      <c r="C9" s="7" t="s">
        <v>93</v>
      </c>
      <c r="D9" s="7" t="s">
        <v>42</v>
      </c>
      <c r="E9" s="28" t="s">
        <v>148</v>
      </c>
      <c r="J9" s="7" t="str">
        <f>INDEX(itable[value], MATCH("d1", itable[key], 0))</f>
        <v>u</v>
      </c>
    </row>
    <row r="10" spans="1:10" ht="20.100000000000001" customHeight="1" x14ac:dyDescent="0.3">
      <c r="C10" s="7" t="s">
        <v>94</v>
      </c>
      <c r="D10" s="7" t="s">
        <v>43</v>
      </c>
      <c r="E10" s="28" t="s">
        <v>149</v>
      </c>
    </row>
    <row r="11" spans="1:10" ht="20.100000000000001" customHeight="1" x14ac:dyDescent="0.3">
      <c r="C11" s="7" t="s">
        <v>95</v>
      </c>
      <c r="D11" s="7" t="s">
        <v>44</v>
      </c>
      <c r="E11" s="28" t="s">
        <v>150</v>
      </c>
    </row>
    <row r="12" spans="1:10" ht="20.100000000000001" customHeight="1" x14ac:dyDescent="0.3">
      <c r="C12" s="7" t="s">
        <v>96</v>
      </c>
      <c r="D12" s="7" t="s">
        <v>45</v>
      </c>
      <c r="E12" s="28" t="s">
        <v>151</v>
      </c>
    </row>
    <row r="13" spans="1:10" ht="20.100000000000001" customHeight="1" x14ac:dyDescent="0.3">
      <c r="C13" s="7" t="s">
        <v>97</v>
      </c>
      <c r="D13" s="7" t="s">
        <v>46</v>
      </c>
      <c r="E13" s="28" t="s">
        <v>152</v>
      </c>
    </row>
    <row r="14" spans="1:10" ht="20.100000000000001" customHeight="1" x14ac:dyDescent="0.3">
      <c r="C14" s="7" t="s">
        <v>98</v>
      </c>
      <c r="D14" s="7" t="s">
        <v>47</v>
      </c>
      <c r="E14" s="28" t="s">
        <v>153</v>
      </c>
    </row>
    <row r="15" spans="1:10" ht="20.100000000000001" customHeight="1" x14ac:dyDescent="0.3">
      <c r="C15" s="7" t="s">
        <v>99</v>
      </c>
      <c r="D15" s="7" t="s">
        <v>48</v>
      </c>
      <c r="E15" s="28" t="s">
        <v>154</v>
      </c>
    </row>
    <row r="16" spans="1:10" ht="20.100000000000001" customHeight="1" x14ac:dyDescent="0.3">
      <c r="C16" s="7" t="s">
        <v>100</v>
      </c>
      <c r="D16" s="7" t="s">
        <v>49</v>
      </c>
      <c r="E16" s="28" t="s">
        <v>155</v>
      </c>
    </row>
    <row r="17" spans="3:5" ht="20.100000000000001" customHeight="1" x14ac:dyDescent="0.3">
      <c r="C17" s="7" t="s">
        <v>101</v>
      </c>
      <c r="D17" s="7" t="s">
        <v>50</v>
      </c>
      <c r="E17" s="28" t="s">
        <v>156</v>
      </c>
    </row>
    <row r="18" spans="3:5" ht="20.100000000000001" customHeight="1" x14ac:dyDescent="0.3">
      <c r="C18" s="7" t="s">
        <v>102</v>
      </c>
      <c r="D18" s="7" t="s">
        <v>51</v>
      </c>
      <c r="E18" s="28" t="s">
        <v>157</v>
      </c>
    </row>
    <row r="19" spans="3:5" ht="20.100000000000001" customHeight="1" x14ac:dyDescent="0.3">
      <c r="C19" s="7" t="s">
        <v>103</v>
      </c>
      <c r="D19" s="7" t="s">
        <v>52</v>
      </c>
      <c r="E19" s="28" t="s">
        <v>158</v>
      </c>
    </row>
    <row r="20" spans="3:5" ht="20.100000000000001" customHeight="1" x14ac:dyDescent="0.3">
      <c r="C20" s="7" t="s">
        <v>104</v>
      </c>
      <c r="D20" s="7" t="s">
        <v>53</v>
      </c>
      <c r="E20" s="28" t="s">
        <v>159</v>
      </c>
    </row>
    <row r="21" spans="3:5" ht="20.100000000000001" customHeight="1" x14ac:dyDescent="0.3">
      <c r="C21" s="7" t="s">
        <v>105</v>
      </c>
      <c r="D21" s="7" t="s">
        <v>54</v>
      </c>
      <c r="E21" s="28" t="s">
        <v>154</v>
      </c>
    </row>
    <row r="22" spans="3:5" ht="20.100000000000001" customHeight="1" x14ac:dyDescent="0.3">
      <c r="C22" s="7" t="s">
        <v>106</v>
      </c>
      <c r="D22" s="7" t="s">
        <v>55</v>
      </c>
      <c r="E22" s="28" t="s">
        <v>160</v>
      </c>
    </row>
    <row r="23" spans="3:5" ht="20.100000000000001" customHeight="1" x14ac:dyDescent="0.3">
      <c r="C23" s="7" t="s">
        <v>107</v>
      </c>
      <c r="D23" s="7" t="s">
        <v>56</v>
      </c>
      <c r="E23" s="28" t="s">
        <v>161</v>
      </c>
    </row>
    <row r="24" spans="3:5" ht="20.100000000000001" customHeight="1" x14ac:dyDescent="0.3">
      <c r="C24" s="7" t="s">
        <v>108</v>
      </c>
      <c r="D24" s="7" t="s">
        <v>57</v>
      </c>
      <c r="E24" s="28" t="s">
        <v>162</v>
      </c>
    </row>
    <row r="25" spans="3:5" ht="20.100000000000001" customHeight="1" x14ac:dyDescent="0.3">
      <c r="C25" s="7" t="s">
        <v>109</v>
      </c>
      <c r="D25" s="7" t="s">
        <v>58</v>
      </c>
      <c r="E25" s="28" t="s">
        <v>163</v>
      </c>
    </row>
    <row r="26" spans="3:5" ht="20.100000000000001" customHeight="1" x14ac:dyDescent="0.3">
      <c r="C26" s="7" t="s">
        <v>110</v>
      </c>
      <c r="D26" s="7" t="s">
        <v>59</v>
      </c>
      <c r="E26" s="28" t="s">
        <v>164</v>
      </c>
    </row>
    <row r="27" spans="3:5" ht="20.100000000000001" customHeight="1" x14ac:dyDescent="0.3">
      <c r="C27" s="7" t="s">
        <v>111</v>
      </c>
      <c r="D27" s="7" t="s">
        <v>60</v>
      </c>
      <c r="E27" s="28" t="s">
        <v>165</v>
      </c>
    </row>
    <row r="28" spans="3:5" ht="20.100000000000001" customHeight="1" x14ac:dyDescent="0.3">
      <c r="C28" s="7" t="s">
        <v>112</v>
      </c>
      <c r="D28" s="7" t="s">
        <v>61</v>
      </c>
      <c r="E28" s="28" t="s">
        <v>154</v>
      </c>
    </row>
    <row r="29" spans="3:5" ht="20.100000000000001" customHeight="1" x14ac:dyDescent="0.3">
      <c r="C29" s="7" t="s">
        <v>113</v>
      </c>
      <c r="D29" s="7" t="s">
        <v>62</v>
      </c>
      <c r="E29" s="28" t="s">
        <v>166</v>
      </c>
    </row>
    <row r="30" spans="3:5" ht="20.100000000000001" customHeight="1" x14ac:dyDescent="0.3">
      <c r="C30" s="7" t="s">
        <v>114</v>
      </c>
      <c r="D30" s="7" t="s">
        <v>63</v>
      </c>
      <c r="E30" s="28" t="s">
        <v>167</v>
      </c>
    </row>
    <row r="31" spans="3:5" ht="20.100000000000001" customHeight="1" x14ac:dyDescent="0.3">
      <c r="C31" s="7" t="s">
        <v>115</v>
      </c>
      <c r="D31" s="7" t="s">
        <v>64</v>
      </c>
      <c r="E31" s="28" t="s">
        <v>168</v>
      </c>
    </row>
    <row r="32" spans="3:5" ht="20.100000000000001" customHeight="1" x14ac:dyDescent="0.3">
      <c r="C32" s="7" t="s">
        <v>116</v>
      </c>
      <c r="D32" s="7" t="s">
        <v>65</v>
      </c>
      <c r="E32" s="31" t="s">
        <v>169</v>
      </c>
    </row>
    <row r="33" spans="3:7" ht="20.100000000000001" customHeight="1" x14ac:dyDescent="0.3">
      <c r="C33" s="7" t="s">
        <v>117</v>
      </c>
      <c r="D33" s="7" t="s">
        <v>66</v>
      </c>
      <c r="E33" s="31" t="s">
        <v>170</v>
      </c>
    </row>
    <row r="34" spans="3:7" ht="20.100000000000001" customHeight="1" x14ac:dyDescent="0.3">
      <c r="C34" s="7" t="s">
        <v>199</v>
      </c>
      <c r="D34" s="7" t="s">
        <v>67</v>
      </c>
      <c r="E34" s="32" t="s">
        <v>200</v>
      </c>
      <c r="G34" t="s">
        <v>202</v>
      </c>
    </row>
    <row r="35" spans="3:7" ht="20.100000000000001" customHeight="1" x14ac:dyDescent="0.3">
      <c r="C35" s="7" t="s">
        <v>118</v>
      </c>
      <c r="D35" s="7" t="s">
        <v>68</v>
      </c>
      <c r="E35" s="28" t="s">
        <v>171</v>
      </c>
      <c r="G35" t="s">
        <v>203</v>
      </c>
    </row>
    <row r="36" spans="3:7" ht="20.100000000000001" customHeight="1" x14ac:dyDescent="0.3">
      <c r="C36" s="7" t="s">
        <v>119</v>
      </c>
      <c r="D36" s="7" t="s">
        <v>69</v>
      </c>
      <c r="E36" s="28" t="s">
        <v>172</v>
      </c>
      <c r="G36" t="s">
        <v>203</v>
      </c>
    </row>
    <row r="37" spans="3:7" ht="20.100000000000001" customHeight="1" x14ac:dyDescent="0.3">
      <c r="C37" s="7" t="s">
        <v>120</v>
      </c>
      <c r="D37" s="7" t="s">
        <v>70</v>
      </c>
      <c r="E37" s="28" t="s">
        <v>173</v>
      </c>
    </row>
    <row r="38" spans="3:7" ht="20.100000000000001" customHeight="1" x14ac:dyDescent="0.3">
      <c r="C38" s="7" t="s">
        <v>121</v>
      </c>
      <c r="D38" s="7" t="s">
        <v>71</v>
      </c>
      <c r="E38" s="28" t="s">
        <v>174</v>
      </c>
    </row>
    <row r="39" spans="3:7" ht="20.100000000000001" customHeight="1" x14ac:dyDescent="0.3">
      <c r="C39" s="7" t="s">
        <v>122</v>
      </c>
      <c r="D39" s="7" t="s">
        <v>72</v>
      </c>
      <c r="E39" s="31" t="s">
        <v>175</v>
      </c>
    </row>
    <row r="40" spans="3:7" ht="20.100000000000001" customHeight="1" x14ac:dyDescent="0.3">
      <c r="C40" s="7" t="s">
        <v>123</v>
      </c>
      <c r="D40" s="7" t="s">
        <v>73</v>
      </c>
      <c r="E40" s="31" t="s">
        <v>176</v>
      </c>
    </row>
    <row r="41" spans="3:7" ht="20.100000000000001" customHeight="1" x14ac:dyDescent="0.3">
      <c r="C41" s="7" t="s">
        <v>124</v>
      </c>
      <c r="D41" s="7" t="s">
        <v>74</v>
      </c>
      <c r="E41" s="31" t="s">
        <v>177</v>
      </c>
    </row>
    <row r="42" spans="3:7" ht="20.100000000000001" customHeight="1" x14ac:dyDescent="0.3">
      <c r="C42" s="7" t="s">
        <v>125</v>
      </c>
      <c r="D42" s="7" t="s">
        <v>75</v>
      </c>
      <c r="E42" s="31" t="s">
        <v>178</v>
      </c>
    </row>
    <row r="43" spans="3:7" ht="20.100000000000001" customHeight="1" x14ac:dyDescent="0.3">
      <c r="C43" s="7" t="s">
        <v>126</v>
      </c>
      <c r="D43" s="7" t="s">
        <v>76</v>
      </c>
      <c r="E43" s="28" t="s">
        <v>179</v>
      </c>
    </row>
    <row r="44" spans="3:7" ht="20.100000000000001" customHeight="1" x14ac:dyDescent="0.3">
      <c r="C44" s="7" t="s">
        <v>127</v>
      </c>
      <c r="D44" s="7" t="s">
        <v>77</v>
      </c>
      <c r="E44" s="28" t="s">
        <v>180</v>
      </c>
    </row>
    <row r="45" spans="3:7" ht="20.100000000000001" customHeight="1" x14ac:dyDescent="0.3">
      <c r="C45" s="7" t="s">
        <v>128</v>
      </c>
      <c r="D45" s="7" t="s">
        <v>78</v>
      </c>
      <c r="E45" s="28" t="s">
        <v>12</v>
      </c>
    </row>
    <row r="46" spans="3:7" ht="20.100000000000001" customHeight="1" x14ac:dyDescent="0.3">
      <c r="C46" s="7" t="s">
        <v>129</v>
      </c>
      <c r="D46" s="7" t="s">
        <v>79</v>
      </c>
      <c r="E46" s="28" t="s">
        <v>13</v>
      </c>
    </row>
    <row r="47" spans="3:7" ht="20.100000000000001" customHeight="1" x14ac:dyDescent="0.3">
      <c r="C47" s="7" t="s">
        <v>130</v>
      </c>
      <c r="D47" s="7" t="s">
        <v>80</v>
      </c>
      <c r="E47" s="28" t="s">
        <v>181</v>
      </c>
    </row>
    <row r="48" spans="3:7" ht="20.100000000000001" customHeight="1" x14ac:dyDescent="0.3">
      <c r="C48" s="7" t="s">
        <v>131</v>
      </c>
      <c r="D48" s="7" t="s">
        <v>81</v>
      </c>
      <c r="E48" s="28" t="s">
        <v>8</v>
      </c>
    </row>
    <row r="49" spans="3:5" ht="20.100000000000001" customHeight="1" x14ac:dyDescent="0.3">
      <c r="C49" s="7" t="s">
        <v>132</v>
      </c>
      <c r="D49" s="7" t="s">
        <v>82</v>
      </c>
      <c r="E49" s="28" t="s">
        <v>182</v>
      </c>
    </row>
    <row r="50" spans="3:5" ht="20.100000000000001" customHeight="1" x14ac:dyDescent="0.3">
      <c r="C50" s="7" t="s">
        <v>133</v>
      </c>
      <c r="D50" s="7" t="s">
        <v>83</v>
      </c>
      <c r="E50" s="31" t="s">
        <v>183</v>
      </c>
    </row>
    <row r="51" spans="3:5" ht="20.100000000000001" customHeight="1" x14ac:dyDescent="0.3">
      <c r="C51" s="7" t="s">
        <v>134</v>
      </c>
      <c r="D51" s="7" t="s">
        <v>84</v>
      </c>
      <c r="E51" s="31" t="s">
        <v>184</v>
      </c>
    </row>
    <row r="52" spans="3:5" ht="20.100000000000001" customHeight="1" x14ac:dyDescent="0.3">
      <c r="C52" s="7" t="s">
        <v>135</v>
      </c>
      <c r="D52" s="7" t="s">
        <v>85</v>
      </c>
      <c r="E52" s="31" t="s">
        <v>185</v>
      </c>
    </row>
    <row r="53" spans="3:5" ht="20.100000000000001" customHeight="1" x14ac:dyDescent="0.3">
      <c r="C53" s="7" t="s">
        <v>136</v>
      </c>
      <c r="D53" s="7" t="s">
        <v>86</v>
      </c>
      <c r="E53" s="31" t="s">
        <v>186</v>
      </c>
    </row>
    <row r="54" spans="3:5" ht="20.100000000000001" customHeight="1" x14ac:dyDescent="0.3">
      <c r="C54" s="7" t="s">
        <v>137</v>
      </c>
      <c r="D54" s="7" t="s">
        <v>87</v>
      </c>
      <c r="E54" s="31" t="s">
        <v>187</v>
      </c>
    </row>
    <row r="55" spans="3:5" ht="20.100000000000001" customHeight="1" x14ac:dyDescent="0.3">
      <c r="C55" s="7" t="s">
        <v>138</v>
      </c>
      <c r="D55" s="7" t="s">
        <v>201</v>
      </c>
      <c r="E55" s="31" t="s">
        <v>188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43"/>
  <sheetViews>
    <sheetView topLeftCell="B10" workbookViewId="0">
      <selection activeCell="F43" sqref="F43"/>
    </sheetView>
  </sheetViews>
  <sheetFormatPr defaultColWidth="9" defaultRowHeight="20.100000000000001" customHeight="1" x14ac:dyDescent="0.3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0" s="41" customFormat="1" ht="20.100000000000001" customHeight="1" x14ac:dyDescent="0.3">
      <c r="A1" s="41" t="s">
        <v>3</v>
      </c>
      <c r="B1" s="41" t="s">
        <v>192</v>
      </c>
      <c r="C1" s="41" t="s">
        <v>198</v>
      </c>
      <c r="D1" s="41" t="s">
        <v>194</v>
      </c>
      <c r="E1" s="41" t="s">
        <v>195</v>
      </c>
      <c r="F1" s="41" t="s">
        <v>196</v>
      </c>
      <c r="G1" s="41" t="s">
        <v>197</v>
      </c>
      <c r="H1" s="41" t="s">
        <v>204</v>
      </c>
      <c r="I1" s="41" t="s">
        <v>205</v>
      </c>
      <c r="J1" s="41" t="s">
        <v>206</v>
      </c>
    </row>
    <row r="2" spans="1:10" ht="20.100000000000001" customHeight="1" x14ac:dyDescent="0.3">
      <c r="A2" s="28" t="s">
        <v>343</v>
      </c>
      <c r="B2" s="28" t="s">
        <v>344</v>
      </c>
      <c r="C2" s="28">
        <v>1</v>
      </c>
      <c r="D2" s="28">
        <v>30</v>
      </c>
      <c r="E2" s="28">
        <v>50</v>
      </c>
      <c r="F2" s="28">
        <v>0.3</v>
      </c>
      <c r="G2" s="28">
        <v>30</v>
      </c>
      <c r="H2" s="28">
        <v>15</v>
      </c>
      <c r="I2" s="28" t="s">
        <v>345</v>
      </c>
      <c r="J2" s="28">
        <v>0.68</v>
      </c>
    </row>
    <row r="3" spans="1:10" ht="20.100000000000001" customHeight="1" x14ac:dyDescent="0.3">
      <c r="A3" s="28" t="s">
        <v>26</v>
      </c>
      <c r="B3" s="28" t="s">
        <v>346</v>
      </c>
      <c r="C3" s="28">
        <v>0</v>
      </c>
      <c r="D3" s="28">
        <v>150</v>
      </c>
      <c r="E3" s="28">
        <v>250</v>
      </c>
      <c r="F3" s="28">
        <v>2</v>
      </c>
      <c r="G3" s="28">
        <v>160</v>
      </c>
      <c r="H3" s="28">
        <v>50</v>
      </c>
      <c r="I3" s="28" t="s">
        <v>347</v>
      </c>
      <c r="J3" s="28">
        <v>7.39</v>
      </c>
    </row>
    <row r="4" spans="1:10" ht="20.100000000000001" customHeight="1" x14ac:dyDescent="0.3">
      <c r="A4" s="28" t="s">
        <v>27</v>
      </c>
      <c r="B4" s="28" t="s">
        <v>348</v>
      </c>
      <c r="C4" s="28">
        <v>0</v>
      </c>
      <c r="D4" s="28">
        <v>150</v>
      </c>
      <c r="E4" s="28">
        <v>250</v>
      </c>
      <c r="F4" s="28">
        <v>5</v>
      </c>
      <c r="G4" s="28">
        <v>180</v>
      </c>
      <c r="H4" s="28">
        <v>50</v>
      </c>
      <c r="I4" s="28" t="s">
        <v>347</v>
      </c>
      <c r="J4" s="28">
        <v>7.39</v>
      </c>
    </row>
    <row r="5" spans="1:10" ht="20.100000000000001" customHeight="1" x14ac:dyDescent="0.3">
      <c r="A5" s="28" t="s">
        <v>28</v>
      </c>
      <c r="B5" s="28" t="s">
        <v>349</v>
      </c>
      <c r="C5" s="28">
        <v>0</v>
      </c>
      <c r="D5" s="28">
        <v>145</v>
      </c>
      <c r="E5" s="28">
        <v>250</v>
      </c>
      <c r="F5" s="28">
        <v>3</v>
      </c>
      <c r="G5" s="28">
        <v>150</v>
      </c>
      <c r="H5" s="28">
        <v>50</v>
      </c>
      <c r="I5" s="28" t="s">
        <v>347</v>
      </c>
      <c r="J5" s="28">
        <v>7.39</v>
      </c>
    </row>
    <row r="6" spans="1:10" ht="20.100000000000001" customHeight="1" x14ac:dyDescent="0.3">
      <c r="A6" s="28" t="s">
        <v>29</v>
      </c>
      <c r="B6" s="28" t="s">
        <v>350</v>
      </c>
      <c r="C6" s="28">
        <v>1</v>
      </c>
      <c r="D6" s="28">
        <v>100</v>
      </c>
      <c r="E6" s="28">
        <v>150</v>
      </c>
      <c r="F6" s="28">
        <v>1</v>
      </c>
      <c r="G6" s="28">
        <v>30</v>
      </c>
      <c r="H6" s="28">
        <v>25</v>
      </c>
      <c r="I6" s="28" t="s">
        <v>345</v>
      </c>
      <c r="J6" s="28">
        <v>0.68</v>
      </c>
    </row>
    <row r="7" spans="1:10" ht="20.100000000000001" customHeight="1" x14ac:dyDescent="0.3">
      <c r="A7" s="28" t="s">
        <v>264</v>
      </c>
      <c r="B7" s="28" t="s">
        <v>351</v>
      </c>
      <c r="C7" s="28">
        <v>1</v>
      </c>
      <c r="D7" s="28">
        <v>100</v>
      </c>
      <c r="E7" s="28">
        <v>150</v>
      </c>
      <c r="F7" s="28">
        <v>1</v>
      </c>
      <c r="G7" s="28">
        <v>27</v>
      </c>
      <c r="H7" s="28">
        <v>20</v>
      </c>
      <c r="I7" s="28" t="s">
        <v>352</v>
      </c>
      <c r="J7" s="28">
        <v>3.82</v>
      </c>
    </row>
    <row r="8" spans="1:10" ht="20.100000000000001" customHeight="1" x14ac:dyDescent="0.3">
      <c r="A8" s="28" t="s">
        <v>277</v>
      </c>
      <c r="B8" s="28" t="s">
        <v>353</v>
      </c>
      <c r="C8" s="28">
        <v>0</v>
      </c>
      <c r="D8" s="28">
        <v>150</v>
      </c>
      <c r="E8" s="28">
        <v>250</v>
      </c>
      <c r="F8" s="28">
        <v>5</v>
      </c>
      <c r="G8" s="28">
        <v>170</v>
      </c>
      <c r="H8" s="28">
        <v>50</v>
      </c>
      <c r="I8" s="28" t="s">
        <v>347</v>
      </c>
      <c r="J8" s="28">
        <v>7.39</v>
      </c>
    </row>
    <row r="9" spans="1:10" ht="20.100000000000001" customHeight="1" x14ac:dyDescent="0.3">
      <c r="A9" s="28" t="s">
        <v>278</v>
      </c>
      <c r="B9" s="28" t="s">
        <v>354</v>
      </c>
      <c r="C9" s="28">
        <v>1</v>
      </c>
      <c r="D9" s="28">
        <v>150</v>
      </c>
      <c r="E9" s="28">
        <v>250</v>
      </c>
      <c r="F9" s="28">
        <v>5</v>
      </c>
      <c r="G9" s="28">
        <v>173</v>
      </c>
      <c r="H9" s="28">
        <v>50</v>
      </c>
      <c r="I9" s="28" t="s">
        <v>347</v>
      </c>
      <c r="J9" s="28">
        <v>7.39</v>
      </c>
    </row>
    <row r="10" spans="1:10" ht="20.100000000000001" customHeight="1" x14ac:dyDescent="0.3">
      <c r="A10" s="28" t="s">
        <v>279</v>
      </c>
      <c r="B10" s="28" t="s">
        <v>355</v>
      </c>
      <c r="C10" s="28">
        <v>1</v>
      </c>
      <c r="D10" s="28">
        <v>80</v>
      </c>
      <c r="E10" s="28">
        <v>150</v>
      </c>
      <c r="F10" s="28">
        <v>2</v>
      </c>
      <c r="G10" s="28">
        <v>65</v>
      </c>
      <c r="H10" s="28">
        <v>40</v>
      </c>
      <c r="I10" s="28" t="s">
        <v>345</v>
      </c>
      <c r="J10" s="28">
        <v>0.68</v>
      </c>
    </row>
    <row r="11" spans="1:10" ht="20.100000000000001" customHeight="1" x14ac:dyDescent="0.3">
      <c r="A11" s="28" t="s">
        <v>280</v>
      </c>
      <c r="B11" s="28" t="s">
        <v>356</v>
      </c>
      <c r="C11" s="28">
        <v>1</v>
      </c>
      <c r="D11" s="28">
        <v>60</v>
      </c>
      <c r="E11" s="28">
        <v>150</v>
      </c>
      <c r="F11" s="28">
        <v>1</v>
      </c>
      <c r="G11" s="28">
        <v>60</v>
      </c>
      <c r="H11" s="28">
        <v>25</v>
      </c>
      <c r="I11" s="28" t="s">
        <v>352</v>
      </c>
      <c r="J11" s="28">
        <v>4.18</v>
      </c>
    </row>
    <row r="12" spans="1:10" ht="20.100000000000001" customHeight="1" x14ac:dyDescent="0.3">
      <c r="A12" s="28" t="s">
        <v>281</v>
      </c>
      <c r="B12" s="28" t="s">
        <v>357</v>
      </c>
      <c r="C12" s="28">
        <v>1</v>
      </c>
      <c r="D12" s="28">
        <v>18</v>
      </c>
      <c r="E12" s="28">
        <v>50</v>
      </c>
      <c r="F12" s="28">
        <v>0.3</v>
      </c>
      <c r="G12" s="28">
        <v>25</v>
      </c>
      <c r="H12" s="28">
        <v>13</v>
      </c>
      <c r="I12" s="28" t="s">
        <v>345</v>
      </c>
      <c r="J12" s="28">
        <v>0.68</v>
      </c>
    </row>
    <row r="13" spans="1:10" ht="20.100000000000001" customHeight="1" x14ac:dyDescent="0.3">
      <c r="A13" s="28" t="s">
        <v>282</v>
      </c>
      <c r="B13" s="28" t="s">
        <v>358</v>
      </c>
      <c r="C13" s="28">
        <v>1</v>
      </c>
      <c r="D13" s="28">
        <v>60</v>
      </c>
      <c r="E13" s="28">
        <v>125</v>
      </c>
      <c r="F13" s="28">
        <v>1</v>
      </c>
      <c r="G13" s="28">
        <v>80</v>
      </c>
      <c r="H13" s="28">
        <v>25</v>
      </c>
      <c r="I13" s="28" t="s">
        <v>352</v>
      </c>
      <c r="J13" s="28">
        <v>4.4000000000000004</v>
      </c>
    </row>
    <row r="14" spans="1:10" ht="20.100000000000001" customHeight="1" x14ac:dyDescent="0.3">
      <c r="A14" s="28" t="s">
        <v>298</v>
      </c>
      <c r="B14" s="28" t="s">
        <v>359</v>
      </c>
      <c r="C14" s="28">
        <v>1</v>
      </c>
      <c r="D14" s="28">
        <v>30</v>
      </c>
      <c r="E14" s="28">
        <v>50</v>
      </c>
      <c r="F14" s="28">
        <v>0.3</v>
      </c>
      <c r="G14" s="28">
        <v>20</v>
      </c>
      <c r="H14" s="28">
        <v>15</v>
      </c>
      <c r="I14" s="28" t="s">
        <v>345</v>
      </c>
      <c r="J14" s="28">
        <v>0.68</v>
      </c>
    </row>
    <row r="15" spans="1:10" ht="20.100000000000001" customHeight="1" x14ac:dyDescent="0.3">
      <c r="A15" s="28" t="s">
        <v>89</v>
      </c>
      <c r="B15" s="28" t="s">
        <v>360</v>
      </c>
      <c r="C15" s="28">
        <v>1</v>
      </c>
      <c r="D15" s="28">
        <v>20</v>
      </c>
      <c r="E15" s="28">
        <v>50</v>
      </c>
      <c r="F15" s="28">
        <v>0.5</v>
      </c>
      <c r="G15" s="28">
        <v>40</v>
      </c>
      <c r="H15" s="28">
        <v>30</v>
      </c>
      <c r="I15" s="28" t="s">
        <v>361</v>
      </c>
      <c r="J15" s="28">
        <v>3.23</v>
      </c>
    </row>
    <row r="16" spans="1:10" ht="20.100000000000001" customHeight="1" x14ac:dyDescent="0.3">
      <c r="A16" s="28" t="s">
        <v>24</v>
      </c>
      <c r="B16" s="28" t="s">
        <v>362</v>
      </c>
      <c r="C16" s="28">
        <v>1</v>
      </c>
      <c r="D16" s="28">
        <v>20</v>
      </c>
      <c r="E16" s="28">
        <v>100</v>
      </c>
      <c r="F16" s="28">
        <v>1</v>
      </c>
      <c r="G16" s="28">
        <v>80</v>
      </c>
      <c r="H16" s="28">
        <v>50</v>
      </c>
      <c r="I16" s="28" t="s">
        <v>363</v>
      </c>
      <c r="J16" s="28">
        <v>5.5</v>
      </c>
    </row>
    <row r="17" spans="1:10" ht="20.100000000000001" customHeight="1" x14ac:dyDescent="0.3">
      <c r="A17" s="28" t="s">
        <v>25</v>
      </c>
      <c r="B17" s="28" t="s">
        <v>364</v>
      </c>
      <c r="C17" s="28">
        <v>1</v>
      </c>
      <c r="D17" s="28">
        <v>20</v>
      </c>
      <c r="E17" s="28">
        <v>50</v>
      </c>
      <c r="F17" s="28">
        <v>0.5</v>
      </c>
      <c r="G17" s="28">
        <v>30</v>
      </c>
      <c r="H17" s="28">
        <v>20</v>
      </c>
      <c r="I17" s="28" t="s">
        <v>363</v>
      </c>
      <c r="J17" s="28">
        <v>3.3</v>
      </c>
    </row>
    <row r="18" spans="1:10" ht="20.100000000000001" customHeight="1" x14ac:dyDescent="0.3">
      <c r="A18" s="28" t="s">
        <v>265</v>
      </c>
      <c r="B18" s="28" t="s">
        <v>365</v>
      </c>
      <c r="C18" s="28">
        <v>1</v>
      </c>
      <c r="D18" s="28">
        <v>36</v>
      </c>
      <c r="E18" s="28">
        <v>50</v>
      </c>
      <c r="F18" s="28">
        <v>0.5</v>
      </c>
      <c r="G18" s="28">
        <v>25</v>
      </c>
      <c r="H18" s="28">
        <v>13</v>
      </c>
      <c r="I18" s="28" t="s">
        <v>366</v>
      </c>
      <c r="J18" s="28">
        <v>6.01</v>
      </c>
    </row>
    <row r="19" spans="1:10" ht="20.100000000000001" customHeight="1" x14ac:dyDescent="0.3">
      <c r="A19" s="28" t="s">
        <v>266</v>
      </c>
      <c r="B19" s="28" t="s">
        <v>367</v>
      </c>
      <c r="C19" s="28">
        <v>1</v>
      </c>
      <c r="D19" s="28">
        <v>20</v>
      </c>
      <c r="E19" s="28">
        <v>50</v>
      </c>
      <c r="F19" s="28">
        <v>0.3</v>
      </c>
      <c r="G19" s="28">
        <v>30</v>
      </c>
      <c r="H19" s="28">
        <v>16</v>
      </c>
      <c r="I19" s="28" t="s">
        <v>366</v>
      </c>
      <c r="J19" s="28">
        <v>6.08</v>
      </c>
    </row>
    <row r="20" spans="1:10" ht="20.100000000000001" customHeight="1" x14ac:dyDescent="0.3">
      <c r="A20" s="28" t="s">
        <v>269</v>
      </c>
      <c r="B20" s="28" t="s">
        <v>368</v>
      </c>
      <c r="C20" s="28">
        <v>1</v>
      </c>
      <c r="D20" s="28">
        <v>60</v>
      </c>
      <c r="E20" s="28">
        <v>150</v>
      </c>
      <c r="F20" s="28">
        <v>2</v>
      </c>
      <c r="G20" s="28">
        <v>70</v>
      </c>
      <c r="H20" s="28">
        <v>32</v>
      </c>
      <c r="I20" s="28" t="s">
        <v>366</v>
      </c>
      <c r="J20" s="28">
        <v>6.64</v>
      </c>
    </row>
    <row r="21" spans="1:10" ht="20.100000000000001" customHeight="1" x14ac:dyDescent="0.3">
      <c r="A21" s="28" t="s">
        <v>270</v>
      </c>
      <c r="B21" s="28" t="s">
        <v>369</v>
      </c>
      <c r="C21" s="28">
        <v>1</v>
      </c>
      <c r="D21" s="28">
        <v>30</v>
      </c>
      <c r="E21" s="28">
        <v>100</v>
      </c>
      <c r="F21" s="28">
        <v>0.5</v>
      </c>
      <c r="G21" s="28">
        <v>50</v>
      </c>
      <c r="H21" s="28">
        <v>35</v>
      </c>
      <c r="I21" s="28" t="s">
        <v>363</v>
      </c>
      <c r="J21" s="28">
        <v>4.18</v>
      </c>
    </row>
    <row r="22" spans="1:10" ht="20.100000000000001" customHeight="1" x14ac:dyDescent="0.3">
      <c r="A22" s="28" t="s">
        <v>271</v>
      </c>
      <c r="B22" s="28" t="s">
        <v>370</v>
      </c>
      <c r="C22" s="28">
        <v>1</v>
      </c>
      <c r="D22" s="28">
        <v>24</v>
      </c>
      <c r="E22" s="28">
        <v>50</v>
      </c>
      <c r="F22" s="28">
        <v>0.5</v>
      </c>
      <c r="G22" s="28">
        <v>50</v>
      </c>
      <c r="H22" s="28">
        <v>32</v>
      </c>
      <c r="I22" s="28" t="s">
        <v>363</v>
      </c>
      <c r="J22" s="28">
        <v>4.18</v>
      </c>
    </row>
    <row r="23" spans="1:10" ht="20.100000000000001" customHeight="1" x14ac:dyDescent="0.3">
      <c r="A23" s="28" t="s">
        <v>272</v>
      </c>
      <c r="B23" s="28" t="s">
        <v>371</v>
      </c>
      <c r="C23" s="28">
        <v>1</v>
      </c>
      <c r="D23" s="28">
        <v>30</v>
      </c>
      <c r="E23" s="28">
        <v>50</v>
      </c>
      <c r="F23" s="28">
        <v>0.5</v>
      </c>
      <c r="G23" s="28">
        <v>40</v>
      </c>
      <c r="H23" s="28">
        <v>40</v>
      </c>
      <c r="I23" s="28" t="s">
        <v>366</v>
      </c>
      <c r="J23" s="28">
        <v>6.22</v>
      </c>
    </row>
    <row r="24" spans="1:10" ht="20.100000000000001" customHeight="1" x14ac:dyDescent="0.3">
      <c r="A24" s="28" t="s">
        <v>273</v>
      </c>
      <c r="B24" s="28" t="s">
        <v>372</v>
      </c>
      <c r="C24" s="28">
        <v>1</v>
      </c>
      <c r="D24" s="28">
        <v>100</v>
      </c>
      <c r="E24" s="28">
        <v>150</v>
      </c>
      <c r="F24" s="28">
        <v>2</v>
      </c>
      <c r="G24" s="28">
        <v>90</v>
      </c>
      <c r="H24" s="28">
        <v>25</v>
      </c>
      <c r="I24" s="28" t="s">
        <v>366</v>
      </c>
      <c r="J24" s="28">
        <v>6.92</v>
      </c>
    </row>
    <row r="25" spans="1:10" ht="20.100000000000001" customHeight="1" x14ac:dyDescent="0.3">
      <c r="A25" s="28" t="s">
        <v>274</v>
      </c>
      <c r="B25" s="28" t="s">
        <v>373</v>
      </c>
      <c r="C25" s="28">
        <v>1</v>
      </c>
      <c r="D25" s="28">
        <v>100</v>
      </c>
      <c r="E25" s="28">
        <v>150</v>
      </c>
      <c r="F25" s="28">
        <v>2</v>
      </c>
      <c r="G25" s="28">
        <v>95</v>
      </c>
      <c r="H25" s="28">
        <v>40</v>
      </c>
      <c r="I25" s="28" t="s">
        <v>366</v>
      </c>
      <c r="J25" s="28">
        <v>6.99</v>
      </c>
    </row>
    <row r="26" spans="1:10" ht="20.100000000000001" customHeight="1" x14ac:dyDescent="0.3">
      <c r="A26" s="28" t="s">
        <v>275</v>
      </c>
      <c r="B26" s="28" t="s">
        <v>374</v>
      </c>
      <c r="C26" s="28">
        <v>1</v>
      </c>
      <c r="D26" s="28">
        <v>27</v>
      </c>
      <c r="E26" s="28">
        <v>50</v>
      </c>
      <c r="F26" s="28">
        <v>0.5</v>
      </c>
      <c r="G26" s="28">
        <v>30</v>
      </c>
      <c r="H26" s="28">
        <v>35</v>
      </c>
      <c r="I26" s="28" t="s">
        <v>366</v>
      </c>
      <c r="J26" s="28">
        <v>6.08</v>
      </c>
    </row>
    <row r="27" spans="1:10" ht="20.100000000000001" customHeight="1" x14ac:dyDescent="0.3">
      <c r="A27" s="28" t="s">
        <v>276</v>
      </c>
      <c r="B27" s="28" t="s">
        <v>375</v>
      </c>
      <c r="C27" s="28">
        <v>1</v>
      </c>
      <c r="D27" s="28">
        <v>30</v>
      </c>
      <c r="E27" s="28">
        <v>50</v>
      </c>
      <c r="F27" s="28">
        <v>0.5</v>
      </c>
      <c r="G27" s="28">
        <v>30</v>
      </c>
      <c r="H27" s="28">
        <v>15</v>
      </c>
      <c r="I27" s="28" t="s">
        <v>366</v>
      </c>
      <c r="J27" s="28">
        <v>6.08</v>
      </c>
    </row>
    <row r="28" spans="1:10" ht="20.100000000000001" customHeight="1" x14ac:dyDescent="0.3">
      <c r="A28" s="28" t="s">
        <v>283</v>
      </c>
      <c r="B28" s="28" t="s">
        <v>376</v>
      </c>
      <c r="C28" s="28">
        <v>1</v>
      </c>
      <c r="D28" s="28">
        <v>30</v>
      </c>
      <c r="E28" s="28">
        <v>50</v>
      </c>
      <c r="F28" s="28">
        <v>0.5</v>
      </c>
      <c r="G28" s="28">
        <v>50</v>
      </c>
      <c r="H28" s="28">
        <v>32</v>
      </c>
      <c r="I28" s="28" t="s">
        <v>363</v>
      </c>
      <c r="J28" s="28">
        <v>4.18</v>
      </c>
    </row>
    <row r="29" spans="1:10" ht="20.100000000000001" customHeight="1" x14ac:dyDescent="0.3">
      <c r="A29" s="28" t="s">
        <v>284</v>
      </c>
      <c r="B29" s="28" t="s">
        <v>377</v>
      </c>
      <c r="C29" s="28">
        <v>1</v>
      </c>
      <c r="D29" s="28">
        <v>30</v>
      </c>
      <c r="E29" s="28">
        <v>50</v>
      </c>
      <c r="F29" s="28">
        <v>0.5</v>
      </c>
      <c r="G29" s="28">
        <v>80</v>
      </c>
      <c r="H29" s="28">
        <v>32</v>
      </c>
      <c r="I29" s="28" t="s">
        <v>363</v>
      </c>
      <c r="J29" s="28">
        <v>5.5</v>
      </c>
    </row>
    <row r="30" spans="1:10" ht="20.100000000000001" customHeight="1" x14ac:dyDescent="0.3">
      <c r="A30" s="28" t="s">
        <v>285</v>
      </c>
      <c r="B30" s="28" t="s">
        <v>378</v>
      </c>
      <c r="C30" s="28">
        <v>1</v>
      </c>
      <c r="D30" s="28">
        <v>20</v>
      </c>
      <c r="E30" s="28">
        <v>50</v>
      </c>
      <c r="F30" s="28">
        <v>0.3</v>
      </c>
      <c r="G30" s="28">
        <v>50</v>
      </c>
      <c r="H30" s="28">
        <v>20</v>
      </c>
      <c r="I30" s="28" t="s">
        <v>363</v>
      </c>
      <c r="J30" s="28">
        <v>4.18</v>
      </c>
    </row>
    <row r="31" spans="1:10" ht="20.100000000000001" customHeight="1" x14ac:dyDescent="0.3">
      <c r="A31" s="28" t="s">
        <v>286</v>
      </c>
      <c r="B31" s="28" t="s">
        <v>379</v>
      </c>
      <c r="C31" s="28">
        <v>1</v>
      </c>
      <c r="D31" s="28">
        <v>20</v>
      </c>
      <c r="E31" s="28">
        <v>50</v>
      </c>
      <c r="F31" s="28">
        <v>0.5</v>
      </c>
      <c r="G31" s="28">
        <v>50</v>
      </c>
      <c r="H31" s="28">
        <v>30</v>
      </c>
      <c r="I31" s="28" t="s">
        <v>363</v>
      </c>
      <c r="J31" s="28">
        <v>4.18</v>
      </c>
    </row>
    <row r="32" spans="1:10" ht="20.100000000000001" customHeight="1" x14ac:dyDescent="0.3">
      <c r="A32" s="28" t="s">
        <v>287</v>
      </c>
      <c r="B32" s="28" t="s">
        <v>380</v>
      </c>
      <c r="C32" s="28">
        <v>0</v>
      </c>
      <c r="D32" s="28">
        <v>60</v>
      </c>
      <c r="E32" s="28">
        <v>250</v>
      </c>
      <c r="F32" s="28">
        <v>5</v>
      </c>
      <c r="G32" s="28">
        <v>170</v>
      </c>
      <c r="H32" s="28">
        <v>50</v>
      </c>
      <c r="I32" s="28" t="s">
        <v>363</v>
      </c>
      <c r="J32" s="28">
        <v>9.4600000000000009</v>
      </c>
    </row>
    <row r="33" spans="1:10" ht="20.100000000000001" customHeight="1" x14ac:dyDescent="0.3">
      <c r="A33" s="28" t="s">
        <v>288</v>
      </c>
      <c r="B33" s="28" t="s">
        <v>381</v>
      </c>
      <c r="C33" s="28">
        <v>1</v>
      </c>
      <c r="D33" s="28">
        <v>20</v>
      </c>
      <c r="E33" s="28">
        <v>50</v>
      </c>
      <c r="F33" s="28">
        <v>1</v>
      </c>
      <c r="G33" s="28">
        <v>50</v>
      </c>
      <c r="H33" s="28">
        <v>30</v>
      </c>
      <c r="I33" s="28" t="s">
        <v>361</v>
      </c>
      <c r="J33" s="28">
        <v>3.34</v>
      </c>
    </row>
    <row r="34" spans="1:10" ht="20.100000000000001" customHeight="1" x14ac:dyDescent="0.3">
      <c r="A34" s="28" t="s">
        <v>289</v>
      </c>
      <c r="B34" s="28" t="s">
        <v>382</v>
      </c>
      <c r="C34" s="28">
        <v>1</v>
      </c>
      <c r="D34" s="28">
        <v>20</v>
      </c>
      <c r="E34" s="28">
        <v>50</v>
      </c>
      <c r="F34" s="28">
        <v>0.5</v>
      </c>
      <c r="G34" s="28">
        <v>30</v>
      </c>
      <c r="H34" s="28">
        <v>50</v>
      </c>
      <c r="I34" s="28" t="s">
        <v>366</v>
      </c>
      <c r="J34" s="28">
        <v>6.08</v>
      </c>
    </row>
    <row r="35" spans="1:10" ht="20.100000000000001" customHeight="1" x14ac:dyDescent="0.3">
      <c r="A35" s="28" t="s">
        <v>290</v>
      </c>
      <c r="B35" s="28" t="s">
        <v>383</v>
      </c>
      <c r="C35" s="28">
        <v>1</v>
      </c>
      <c r="D35" s="28">
        <v>100</v>
      </c>
      <c r="E35" s="28">
        <v>150</v>
      </c>
      <c r="F35" s="28">
        <v>1</v>
      </c>
      <c r="G35" s="28">
        <v>70</v>
      </c>
      <c r="H35" s="28">
        <v>32</v>
      </c>
      <c r="I35" s="28" t="s">
        <v>366</v>
      </c>
      <c r="J35" s="28">
        <v>6.64</v>
      </c>
    </row>
    <row r="36" spans="1:10" ht="20.100000000000001" customHeight="1" x14ac:dyDescent="0.3">
      <c r="A36" s="28" t="s">
        <v>291</v>
      </c>
      <c r="B36" s="28" t="s">
        <v>384</v>
      </c>
      <c r="C36" s="28">
        <v>1</v>
      </c>
      <c r="D36" s="28">
        <v>24</v>
      </c>
      <c r="E36" s="28">
        <v>50</v>
      </c>
      <c r="F36" s="28">
        <v>0.5</v>
      </c>
      <c r="G36" s="28">
        <v>50</v>
      </c>
      <c r="H36" s="28">
        <v>30</v>
      </c>
      <c r="I36" s="28" t="s">
        <v>363</v>
      </c>
      <c r="J36" s="28">
        <v>4.18</v>
      </c>
    </row>
    <row r="37" spans="1:10" ht="20.100000000000001" customHeight="1" x14ac:dyDescent="0.3">
      <c r="A37" s="28" t="s">
        <v>292</v>
      </c>
      <c r="B37" s="28" t="s">
        <v>385</v>
      </c>
      <c r="C37" s="28">
        <v>1</v>
      </c>
      <c r="D37" s="28">
        <v>70</v>
      </c>
      <c r="E37" s="28">
        <v>150</v>
      </c>
      <c r="F37" s="28">
        <v>1</v>
      </c>
      <c r="G37" s="28">
        <v>70</v>
      </c>
      <c r="H37" s="28">
        <v>32</v>
      </c>
      <c r="I37" s="28" t="s">
        <v>363</v>
      </c>
      <c r="J37" s="28">
        <v>5.0599999999999996</v>
      </c>
    </row>
    <row r="38" spans="1:10" ht="20.100000000000001" customHeight="1" x14ac:dyDescent="0.3">
      <c r="A38" s="28" t="s">
        <v>293</v>
      </c>
      <c r="B38" s="28" t="s">
        <v>386</v>
      </c>
      <c r="C38" s="28">
        <v>0</v>
      </c>
      <c r="D38" s="28">
        <v>100</v>
      </c>
      <c r="E38" s="28">
        <v>250</v>
      </c>
      <c r="F38" s="28">
        <v>5</v>
      </c>
      <c r="G38" s="28">
        <v>200</v>
      </c>
      <c r="H38" s="28">
        <v>50</v>
      </c>
      <c r="I38" s="28" t="s">
        <v>363</v>
      </c>
      <c r="J38" s="28">
        <v>10.78</v>
      </c>
    </row>
    <row r="39" spans="1:10" ht="20.100000000000001" customHeight="1" x14ac:dyDescent="0.3">
      <c r="A39" s="28" t="s">
        <v>294</v>
      </c>
      <c r="B39" s="28" t="s">
        <v>387</v>
      </c>
      <c r="C39" s="28">
        <v>1</v>
      </c>
      <c r="D39" s="28">
        <v>80</v>
      </c>
      <c r="E39" s="28">
        <v>250</v>
      </c>
      <c r="F39" s="28">
        <v>7.5</v>
      </c>
      <c r="G39" s="28">
        <v>301</v>
      </c>
      <c r="H39" s="28">
        <v>60</v>
      </c>
      <c r="I39" s="28" t="s">
        <v>363</v>
      </c>
      <c r="J39" s="28">
        <v>15.22</v>
      </c>
    </row>
    <row r="40" spans="1:10" ht="20.100000000000001" customHeight="1" x14ac:dyDescent="0.3">
      <c r="A40" s="28" t="s">
        <v>295</v>
      </c>
      <c r="B40" s="28" t="s">
        <v>388</v>
      </c>
      <c r="C40" s="28">
        <v>1</v>
      </c>
      <c r="D40" s="28">
        <v>80</v>
      </c>
      <c r="E40" s="28">
        <v>250</v>
      </c>
      <c r="F40" s="28">
        <v>3</v>
      </c>
      <c r="G40" s="28">
        <v>95</v>
      </c>
      <c r="H40" s="28">
        <v>40</v>
      </c>
      <c r="I40" s="28" t="s">
        <v>363</v>
      </c>
      <c r="J40" s="28">
        <v>6.16</v>
      </c>
    </row>
    <row r="41" spans="1:10" ht="20.100000000000001" customHeight="1" x14ac:dyDescent="0.3">
      <c r="A41" s="28" t="s">
        <v>296</v>
      </c>
      <c r="B41" s="28" t="s">
        <v>389</v>
      </c>
      <c r="C41" s="28">
        <v>1</v>
      </c>
      <c r="D41" s="28">
        <v>100</v>
      </c>
      <c r="E41" s="28">
        <v>150</v>
      </c>
      <c r="F41" s="28">
        <v>2</v>
      </c>
      <c r="G41" s="28">
        <v>80</v>
      </c>
      <c r="H41" s="28">
        <v>32</v>
      </c>
      <c r="I41" s="28" t="s">
        <v>361</v>
      </c>
      <c r="J41" s="28">
        <v>3.67</v>
      </c>
    </row>
    <row r="42" spans="1:10" ht="20.100000000000001" customHeight="1" x14ac:dyDescent="0.3">
      <c r="A42" s="28" t="s">
        <v>128</v>
      </c>
      <c r="B42" s="28" t="s">
        <v>390</v>
      </c>
      <c r="C42" s="28">
        <v>1</v>
      </c>
      <c r="D42" s="28">
        <v>100</v>
      </c>
      <c r="E42" s="28">
        <v>200</v>
      </c>
      <c r="F42" s="28">
        <v>2</v>
      </c>
      <c r="G42" s="28">
        <v>95</v>
      </c>
      <c r="H42" s="28">
        <v>32</v>
      </c>
      <c r="I42" s="28" t="s">
        <v>391</v>
      </c>
      <c r="J42" s="28">
        <v>9</v>
      </c>
    </row>
    <row r="43" spans="1:10" ht="20.100000000000001" customHeight="1" x14ac:dyDescent="0.3">
      <c r="A43" s="28" t="s">
        <v>129</v>
      </c>
      <c r="B43" s="28" t="s">
        <v>392</v>
      </c>
      <c r="C43" s="28">
        <v>1</v>
      </c>
      <c r="D43" s="28">
        <v>60</v>
      </c>
      <c r="E43" s="28">
        <v>100</v>
      </c>
      <c r="F43" s="28">
        <v>1</v>
      </c>
      <c r="G43" s="28">
        <v>50</v>
      </c>
      <c r="H43" s="28">
        <v>20</v>
      </c>
      <c r="I43" s="28" t="s">
        <v>393</v>
      </c>
      <c r="J43" s="28">
        <v>5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E11" sqref="E11"/>
    </sheetView>
  </sheetViews>
  <sheetFormatPr defaultColWidth="9" defaultRowHeight="20.100000000000001" customHeight="1" x14ac:dyDescent="0.3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 x14ac:dyDescent="0.3">
      <c r="A1" s="40" t="s">
        <v>395</v>
      </c>
      <c r="B1" s="40" t="s">
        <v>396</v>
      </c>
      <c r="C1" s="40" t="s">
        <v>397</v>
      </c>
      <c r="D1" s="40" t="s">
        <v>398</v>
      </c>
      <c r="E1" s="40" t="s">
        <v>90</v>
      </c>
      <c r="F1" s="40" t="s">
        <v>399</v>
      </c>
      <c r="G1" s="40" t="s">
        <v>400</v>
      </c>
      <c r="H1" s="40" t="s">
        <v>401</v>
      </c>
      <c r="I1" s="40" t="s">
        <v>402</v>
      </c>
      <c r="J1" s="40" t="s">
        <v>403</v>
      </c>
      <c r="K1" s="40" t="s">
        <v>404</v>
      </c>
      <c r="L1" s="40" t="s">
        <v>405</v>
      </c>
      <c r="M1" s="40" t="s">
        <v>406</v>
      </c>
      <c r="N1" s="40" t="s">
        <v>407</v>
      </c>
      <c r="O1" s="40" t="s">
        <v>408</v>
      </c>
      <c r="P1" s="40" t="s">
        <v>409</v>
      </c>
      <c r="Q1" s="40" t="s">
        <v>410</v>
      </c>
      <c r="R1" s="40" t="s">
        <v>411</v>
      </c>
      <c r="S1" s="40" t="s">
        <v>412</v>
      </c>
      <c r="T1" s="40" t="s">
        <v>413</v>
      </c>
      <c r="U1" s="40" t="s">
        <v>414</v>
      </c>
      <c r="V1" s="40" t="s">
        <v>415</v>
      </c>
      <c r="W1" s="40" t="s">
        <v>416</v>
      </c>
      <c r="X1" s="40" t="s">
        <v>417</v>
      </c>
      <c r="Y1" s="40" t="s">
        <v>418</v>
      </c>
      <c r="Z1" s="40" t="s">
        <v>419</v>
      </c>
      <c r="AA1" s="40" t="s">
        <v>420</v>
      </c>
      <c r="AB1" s="40" t="s">
        <v>421</v>
      </c>
      <c r="AC1" s="40" t="s">
        <v>422</v>
      </c>
      <c r="AD1" s="40" t="s">
        <v>423</v>
      </c>
      <c r="AE1" s="40" t="s">
        <v>424</v>
      </c>
      <c r="AF1" s="40" t="s">
        <v>425</v>
      </c>
      <c r="AG1" s="40" t="s">
        <v>199</v>
      </c>
      <c r="AH1" s="40" t="s">
        <v>426</v>
      </c>
      <c r="AI1" s="40" t="s">
        <v>427</v>
      </c>
      <c r="AJ1" s="40" t="s">
        <v>428</v>
      </c>
      <c r="AK1" s="40" t="s">
        <v>429</v>
      </c>
      <c r="AL1" s="40" t="s">
        <v>430</v>
      </c>
      <c r="AM1" s="40" t="s">
        <v>431</v>
      </c>
      <c r="AN1" s="40" t="s">
        <v>432</v>
      </c>
      <c r="AO1" s="40" t="s">
        <v>433</v>
      </c>
      <c r="AP1" s="40" t="s">
        <v>434</v>
      </c>
      <c r="AQ1" s="40" t="s">
        <v>435</v>
      </c>
      <c r="AR1" s="40" t="s">
        <v>436</v>
      </c>
      <c r="AS1" s="40" t="s">
        <v>437</v>
      </c>
      <c r="AT1" s="40" t="s">
        <v>438</v>
      </c>
      <c r="AU1" s="40" t="s">
        <v>439</v>
      </c>
      <c r="AV1" s="40" t="s">
        <v>440</v>
      </c>
      <c r="AW1" s="40" t="s">
        <v>441</v>
      </c>
      <c r="AX1" s="40" t="s">
        <v>442</v>
      </c>
      <c r="AY1" s="40" t="s">
        <v>443</v>
      </c>
      <c r="AZ1" s="40" t="s">
        <v>444</v>
      </c>
      <c r="BA1" s="40" t="s">
        <v>445</v>
      </c>
      <c r="BB1" s="40" t="s">
        <v>446</v>
      </c>
    </row>
    <row r="2" spans="1:54" ht="20.100000000000001" customHeight="1" x14ac:dyDescent="0.3">
      <c r="A2" s="28" t="s">
        <v>342</v>
      </c>
      <c r="B2" s="28" t="s">
        <v>394</v>
      </c>
      <c r="C2" s="28" t="s">
        <v>312</v>
      </c>
      <c r="D2" s="28" t="s">
        <v>394</v>
      </c>
      <c r="E2" s="28" t="s">
        <v>299</v>
      </c>
      <c r="F2" s="28" t="s">
        <v>312</v>
      </c>
      <c r="G2" s="28" t="s">
        <v>312</v>
      </c>
      <c r="H2" s="28" t="s">
        <v>394</v>
      </c>
      <c r="I2" s="28" t="s">
        <v>394</v>
      </c>
      <c r="J2" s="28" t="s">
        <v>394</v>
      </c>
      <c r="K2" s="28" t="s">
        <v>394</v>
      </c>
      <c r="L2" s="28" t="s">
        <v>394</v>
      </c>
      <c r="M2" s="28" t="s">
        <v>394</v>
      </c>
      <c r="N2" s="28" t="s">
        <v>394</v>
      </c>
      <c r="O2" s="28" t="s">
        <v>394</v>
      </c>
      <c r="P2" s="28" t="s">
        <v>394</v>
      </c>
      <c r="Q2" s="28" t="s">
        <v>394</v>
      </c>
      <c r="R2" s="28" t="s">
        <v>394</v>
      </c>
      <c r="S2" s="28" t="s">
        <v>394</v>
      </c>
      <c r="T2" s="28" t="s">
        <v>394</v>
      </c>
      <c r="U2" s="28" t="s">
        <v>394</v>
      </c>
      <c r="V2" s="28" t="s">
        <v>394</v>
      </c>
      <c r="W2" s="28" t="s">
        <v>394</v>
      </c>
      <c r="X2" s="28" t="s">
        <v>394</v>
      </c>
      <c r="Y2" s="28" t="s">
        <v>394</v>
      </c>
      <c r="Z2" s="28" t="s">
        <v>394</v>
      </c>
      <c r="AA2" s="28" t="s">
        <v>394</v>
      </c>
      <c r="AB2" s="28" t="s">
        <v>394</v>
      </c>
      <c r="AC2" s="28" t="s">
        <v>312</v>
      </c>
      <c r="AD2" s="28" t="s">
        <v>312</v>
      </c>
      <c r="AE2" s="28">
        <v>1</v>
      </c>
      <c r="AF2" s="28">
        <v>12</v>
      </c>
      <c r="AG2" s="28">
        <v>365</v>
      </c>
      <c r="AH2" s="28" t="s">
        <v>312</v>
      </c>
      <c r="AI2" s="28" t="s">
        <v>394</v>
      </c>
      <c r="AJ2" s="28">
        <v>1</v>
      </c>
      <c r="AK2" s="28">
        <v>2.31</v>
      </c>
      <c r="AL2" s="28">
        <v>0.28999999999999998</v>
      </c>
      <c r="AM2" s="28">
        <v>0.68</v>
      </c>
      <c r="AN2" s="28">
        <v>20</v>
      </c>
      <c r="AO2" s="28">
        <v>237</v>
      </c>
      <c r="AP2" s="28" t="s">
        <v>394</v>
      </c>
      <c r="AQ2" s="28" t="s">
        <v>394</v>
      </c>
      <c r="AR2" s="28">
        <v>30</v>
      </c>
      <c r="AS2" s="28">
        <v>50</v>
      </c>
      <c r="AT2" s="28">
        <v>0.3</v>
      </c>
      <c r="AU2" s="28">
        <v>30</v>
      </c>
      <c r="AV2" s="28">
        <v>15</v>
      </c>
      <c r="AW2" s="28" t="s">
        <v>394</v>
      </c>
      <c r="AX2" s="28" t="s">
        <v>394</v>
      </c>
      <c r="AY2" s="28" t="s">
        <v>394</v>
      </c>
      <c r="AZ2" s="28" t="s">
        <v>394</v>
      </c>
      <c r="BA2" s="28" t="s">
        <v>394</v>
      </c>
      <c r="BB2" s="28" t="s">
        <v>394</v>
      </c>
    </row>
    <row r="3" spans="1:54" ht="20.100000000000001" customHeight="1" x14ac:dyDescent="0.3">
      <c r="A3" s="28" t="s">
        <v>342</v>
      </c>
      <c r="B3" s="28" t="s">
        <v>312</v>
      </c>
      <c r="C3" s="28" t="s">
        <v>394</v>
      </c>
      <c r="D3" s="28" t="s">
        <v>394</v>
      </c>
      <c r="E3" s="28" t="s">
        <v>300</v>
      </c>
      <c r="F3" s="28" t="s">
        <v>312</v>
      </c>
      <c r="G3" s="28" t="s">
        <v>394</v>
      </c>
      <c r="H3" s="28" t="s">
        <v>394</v>
      </c>
      <c r="I3" s="28" t="s">
        <v>394</v>
      </c>
      <c r="J3" s="28" t="s">
        <v>394</v>
      </c>
      <c r="K3" s="28" t="s">
        <v>394</v>
      </c>
      <c r="L3" s="28" t="s">
        <v>312</v>
      </c>
      <c r="M3" s="28" t="s">
        <v>394</v>
      </c>
      <c r="N3" s="28" t="s">
        <v>394</v>
      </c>
      <c r="O3" s="28" t="s">
        <v>394</v>
      </c>
      <c r="P3" s="28" t="s">
        <v>394</v>
      </c>
      <c r="Q3" s="28" t="s">
        <v>394</v>
      </c>
      <c r="R3" s="28" t="s">
        <v>394</v>
      </c>
      <c r="S3" s="28" t="s">
        <v>394</v>
      </c>
      <c r="T3" s="28" t="s">
        <v>394</v>
      </c>
      <c r="U3" s="28" t="s">
        <v>394</v>
      </c>
      <c r="V3" s="28" t="s">
        <v>394</v>
      </c>
      <c r="W3" s="28" t="s">
        <v>394</v>
      </c>
      <c r="X3" s="28" t="s">
        <v>394</v>
      </c>
      <c r="Y3" s="28" t="s">
        <v>394</v>
      </c>
      <c r="Z3" s="28" t="s">
        <v>394</v>
      </c>
      <c r="AA3" s="28" t="s">
        <v>394</v>
      </c>
      <c r="AB3" s="28" t="s">
        <v>312</v>
      </c>
      <c r="AC3" s="28" t="s">
        <v>394</v>
      </c>
      <c r="AD3" s="28" t="s">
        <v>312</v>
      </c>
      <c r="AE3" s="28">
        <v>1</v>
      </c>
      <c r="AF3" s="28">
        <v>12</v>
      </c>
      <c r="AG3" s="28">
        <v>365</v>
      </c>
      <c r="AH3" s="28" t="s">
        <v>312</v>
      </c>
      <c r="AI3" s="28" t="s">
        <v>394</v>
      </c>
      <c r="AJ3" s="28">
        <v>30</v>
      </c>
      <c r="AK3" s="28">
        <v>90</v>
      </c>
      <c r="AL3" s="28">
        <v>382.7</v>
      </c>
      <c r="AM3" s="28">
        <v>7.39</v>
      </c>
      <c r="AN3" s="28">
        <v>214</v>
      </c>
      <c r="AO3" s="42">
        <v>2572</v>
      </c>
      <c r="AP3" s="28" t="s">
        <v>394</v>
      </c>
      <c r="AQ3" s="28" t="s">
        <v>394</v>
      </c>
      <c r="AR3" s="28">
        <v>150</v>
      </c>
      <c r="AS3" s="28">
        <v>250</v>
      </c>
      <c r="AT3" s="28">
        <v>2</v>
      </c>
      <c r="AU3" s="28">
        <v>160</v>
      </c>
      <c r="AV3" s="28">
        <v>50</v>
      </c>
      <c r="AW3" s="28" t="s">
        <v>312</v>
      </c>
      <c r="AX3" s="28" t="s">
        <v>312</v>
      </c>
      <c r="AY3" s="28" t="s">
        <v>312</v>
      </c>
      <c r="AZ3" s="28" t="s">
        <v>312</v>
      </c>
      <c r="BA3" s="28" t="s">
        <v>312</v>
      </c>
      <c r="BB3" s="28" t="s">
        <v>394</v>
      </c>
    </row>
    <row r="4" spans="1:54" ht="20.100000000000001" customHeight="1" x14ac:dyDescent="0.3">
      <c r="A4" s="28" t="s">
        <v>342</v>
      </c>
      <c r="B4" s="28" t="s">
        <v>312</v>
      </c>
      <c r="C4" s="28" t="s">
        <v>394</v>
      </c>
      <c r="D4" s="28" t="s">
        <v>394</v>
      </c>
      <c r="E4" s="28" t="s">
        <v>301</v>
      </c>
      <c r="F4" s="28" t="s">
        <v>312</v>
      </c>
      <c r="G4" s="28" t="s">
        <v>394</v>
      </c>
      <c r="H4" s="28" t="s">
        <v>394</v>
      </c>
      <c r="I4" s="28" t="s">
        <v>394</v>
      </c>
      <c r="J4" s="28" t="s">
        <v>394</v>
      </c>
      <c r="K4" s="28" t="s">
        <v>394</v>
      </c>
      <c r="L4" s="28" t="s">
        <v>312</v>
      </c>
      <c r="M4" s="28" t="s">
        <v>394</v>
      </c>
      <c r="N4" s="28" t="s">
        <v>394</v>
      </c>
      <c r="O4" s="28" t="s">
        <v>394</v>
      </c>
      <c r="P4" s="28" t="s">
        <v>394</v>
      </c>
      <c r="Q4" s="28" t="s">
        <v>394</v>
      </c>
      <c r="R4" s="28" t="s">
        <v>394</v>
      </c>
      <c r="S4" s="28" t="s">
        <v>394</v>
      </c>
      <c r="T4" s="28" t="s">
        <v>394</v>
      </c>
      <c r="U4" s="28" t="s">
        <v>394</v>
      </c>
      <c r="V4" s="28" t="s">
        <v>394</v>
      </c>
      <c r="W4" s="28" t="s">
        <v>394</v>
      </c>
      <c r="X4" s="28" t="s">
        <v>394</v>
      </c>
      <c r="Y4" s="28" t="s">
        <v>394</v>
      </c>
      <c r="Z4" s="28" t="s">
        <v>394</v>
      </c>
      <c r="AA4" s="28" t="s">
        <v>394</v>
      </c>
      <c r="AB4" s="28" t="s">
        <v>312</v>
      </c>
      <c r="AC4" s="28" t="s">
        <v>394</v>
      </c>
      <c r="AD4" s="28" t="s">
        <v>312</v>
      </c>
      <c r="AE4" s="28">
        <v>1</v>
      </c>
      <c r="AF4" s="28">
        <v>12</v>
      </c>
      <c r="AG4" s="28">
        <v>365</v>
      </c>
      <c r="AH4" s="28" t="s">
        <v>312</v>
      </c>
      <c r="AI4" s="28" t="s">
        <v>394</v>
      </c>
      <c r="AJ4" s="28">
        <v>30</v>
      </c>
      <c r="AK4" s="28">
        <v>90</v>
      </c>
      <c r="AL4" s="28">
        <v>382.7</v>
      </c>
      <c r="AM4" s="28">
        <v>7.39</v>
      </c>
      <c r="AN4" s="28">
        <v>214</v>
      </c>
      <c r="AO4" s="42">
        <v>2572</v>
      </c>
      <c r="AP4" s="28" t="s">
        <v>394</v>
      </c>
      <c r="AQ4" s="28" t="s">
        <v>394</v>
      </c>
      <c r="AR4" s="28">
        <v>150</v>
      </c>
      <c r="AS4" s="28">
        <v>250</v>
      </c>
      <c r="AT4" s="28">
        <v>5</v>
      </c>
      <c r="AU4" s="28">
        <v>180</v>
      </c>
      <c r="AV4" s="28">
        <v>50</v>
      </c>
      <c r="AW4" s="28" t="s">
        <v>312</v>
      </c>
      <c r="AX4" s="28" t="s">
        <v>312</v>
      </c>
      <c r="AY4" s="28" t="s">
        <v>312</v>
      </c>
      <c r="AZ4" s="28" t="s">
        <v>312</v>
      </c>
      <c r="BA4" s="28" t="s">
        <v>312</v>
      </c>
      <c r="BB4" s="28" t="s">
        <v>394</v>
      </c>
    </row>
    <row r="5" spans="1:54" ht="20.100000000000001" customHeight="1" x14ac:dyDescent="0.3">
      <c r="A5" s="28" t="s">
        <v>342</v>
      </c>
      <c r="B5" s="28" t="s">
        <v>312</v>
      </c>
      <c r="C5" s="28" t="s">
        <v>394</v>
      </c>
      <c r="D5" s="28" t="s">
        <v>394</v>
      </c>
      <c r="E5" s="28" t="s">
        <v>302</v>
      </c>
      <c r="F5" s="28" t="s">
        <v>312</v>
      </c>
      <c r="G5" s="28" t="s">
        <v>394</v>
      </c>
      <c r="H5" s="28" t="s">
        <v>394</v>
      </c>
      <c r="I5" s="28" t="s">
        <v>394</v>
      </c>
      <c r="J5" s="28" t="s">
        <v>394</v>
      </c>
      <c r="K5" s="28" t="s">
        <v>394</v>
      </c>
      <c r="L5" s="28" t="s">
        <v>312</v>
      </c>
      <c r="M5" s="28" t="s">
        <v>394</v>
      </c>
      <c r="N5" s="28" t="s">
        <v>394</v>
      </c>
      <c r="O5" s="28" t="s">
        <v>394</v>
      </c>
      <c r="P5" s="28" t="s">
        <v>394</v>
      </c>
      <c r="Q5" s="28" t="s">
        <v>394</v>
      </c>
      <c r="R5" s="28" t="s">
        <v>394</v>
      </c>
      <c r="S5" s="28" t="s">
        <v>394</v>
      </c>
      <c r="T5" s="28" t="s">
        <v>394</v>
      </c>
      <c r="U5" s="28" t="s">
        <v>394</v>
      </c>
      <c r="V5" s="28" t="s">
        <v>394</v>
      </c>
      <c r="W5" s="28" t="s">
        <v>394</v>
      </c>
      <c r="X5" s="28" t="s">
        <v>394</v>
      </c>
      <c r="Y5" s="28" t="s">
        <v>394</v>
      </c>
      <c r="Z5" s="28" t="s">
        <v>394</v>
      </c>
      <c r="AA5" s="28" t="s">
        <v>394</v>
      </c>
      <c r="AB5" s="28" t="s">
        <v>312</v>
      </c>
      <c r="AC5" s="28" t="s">
        <v>394</v>
      </c>
      <c r="AD5" s="28" t="s">
        <v>312</v>
      </c>
      <c r="AE5" s="28">
        <v>1</v>
      </c>
      <c r="AF5" s="28">
        <v>12</v>
      </c>
      <c r="AG5" s="28">
        <v>365</v>
      </c>
      <c r="AH5" s="28" t="s">
        <v>312</v>
      </c>
      <c r="AI5" s="28" t="s">
        <v>394</v>
      </c>
      <c r="AJ5" s="28">
        <v>30</v>
      </c>
      <c r="AK5" s="28">
        <v>90</v>
      </c>
      <c r="AL5" s="28">
        <v>382.7</v>
      </c>
      <c r="AM5" s="28">
        <v>7.39</v>
      </c>
      <c r="AN5" s="28">
        <v>214</v>
      </c>
      <c r="AO5" s="42">
        <v>2572</v>
      </c>
      <c r="AP5" s="28" t="s">
        <v>394</v>
      </c>
      <c r="AQ5" s="28" t="s">
        <v>394</v>
      </c>
      <c r="AR5" s="28">
        <v>145</v>
      </c>
      <c r="AS5" s="28">
        <v>250</v>
      </c>
      <c r="AT5" s="28">
        <v>3</v>
      </c>
      <c r="AU5" s="28">
        <v>150</v>
      </c>
      <c r="AV5" s="28">
        <v>50</v>
      </c>
      <c r="AW5" s="28" t="s">
        <v>312</v>
      </c>
      <c r="AX5" s="28" t="s">
        <v>312</v>
      </c>
      <c r="AY5" s="28" t="s">
        <v>312</v>
      </c>
      <c r="AZ5" s="28" t="s">
        <v>312</v>
      </c>
      <c r="BA5" s="28" t="s">
        <v>312</v>
      </c>
      <c r="BB5" s="28" t="s">
        <v>394</v>
      </c>
    </row>
    <row r="6" spans="1:54" ht="20.100000000000001" customHeight="1" x14ac:dyDescent="0.3">
      <c r="A6" s="28" t="s">
        <v>342</v>
      </c>
      <c r="B6" s="28" t="s">
        <v>394</v>
      </c>
      <c r="C6" s="28" t="s">
        <v>312</v>
      </c>
      <c r="D6" s="28" t="s">
        <v>394</v>
      </c>
      <c r="E6" s="28" t="s">
        <v>303</v>
      </c>
      <c r="F6" s="28" t="s">
        <v>312</v>
      </c>
      <c r="G6" s="28" t="s">
        <v>312</v>
      </c>
      <c r="H6" s="28" t="s">
        <v>394</v>
      </c>
      <c r="I6" s="28" t="s">
        <v>394</v>
      </c>
      <c r="J6" s="28" t="s">
        <v>394</v>
      </c>
      <c r="K6" s="28" t="s">
        <v>394</v>
      </c>
      <c r="L6" s="28" t="s">
        <v>394</v>
      </c>
      <c r="M6" s="28" t="s">
        <v>394</v>
      </c>
      <c r="N6" s="28" t="s">
        <v>394</v>
      </c>
      <c r="O6" s="28" t="s">
        <v>394</v>
      </c>
      <c r="P6" s="28" t="s">
        <v>394</v>
      </c>
      <c r="Q6" s="28" t="s">
        <v>394</v>
      </c>
      <c r="R6" s="28" t="s">
        <v>394</v>
      </c>
      <c r="S6" s="28" t="s">
        <v>394</v>
      </c>
      <c r="T6" s="28" t="s">
        <v>394</v>
      </c>
      <c r="U6" s="28" t="s">
        <v>394</v>
      </c>
      <c r="V6" s="28" t="s">
        <v>394</v>
      </c>
      <c r="W6" s="28" t="s">
        <v>394</v>
      </c>
      <c r="X6" s="28" t="s">
        <v>394</v>
      </c>
      <c r="Y6" s="28" t="s">
        <v>394</v>
      </c>
      <c r="Z6" s="28" t="s">
        <v>394</v>
      </c>
      <c r="AA6" s="28" t="s">
        <v>394</v>
      </c>
      <c r="AB6" s="28" t="s">
        <v>394</v>
      </c>
      <c r="AC6" s="28" t="s">
        <v>312</v>
      </c>
      <c r="AD6" s="28" t="s">
        <v>312</v>
      </c>
      <c r="AE6" s="28">
        <v>1</v>
      </c>
      <c r="AF6" s="28">
        <v>12</v>
      </c>
      <c r="AG6" s="28">
        <v>365</v>
      </c>
      <c r="AH6" s="28" t="s">
        <v>312</v>
      </c>
      <c r="AI6" s="28" t="s">
        <v>394</v>
      </c>
      <c r="AJ6" s="28">
        <v>1</v>
      </c>
      <c r="AK6" s="28">
        <v>2.31</v>
      </c>
      <c r="AL6" s="28">
        <v>0.28999999999999998</v>
      </c>
      <c r="AM6" s="28">
        <v>0.68</v>
      </c>
      <c r="AN6" s="28">
        <v>20</v>
      </c>
      <c r="AO6" s="28">
        <v>237</v>
      </c>
      <c r="AP6" s="28" t="s">
        <v>394</v>
      </c>
      <c r="AQ6" s="28" t="s">
        <v>394</v>
      </c>
      <c r="AR6" s="28">
        <v>100</v>
      </c>
      <c r="AS6" s="28">
        <v>150</v>
      </c>
      <c r="AT6" s="28">
        <v>1</v>
      </c>
      <c r="AU6" s="28">
        <v>30</v>
      </c>
      <c r="AV6" s="28">
        <v>25</v>
      </c>
      <c r="AW6" s="28" t="s">
        <v>394</v>
      </c>
      <c r="AX6" s="28" t="s">
        <v>394</v>
      </c>
      <c r="AY6" s="28" t="s">
        <v>394</v>
      </c>
      <c r="AZ6" s="28" t="s">
        <v>394</v>
      </c>
      <c r="BA6" s="28" t="s">
        <v>394</v>
      </c>
      <c r="BB6" s="28" t="s">
        <v>394</v>
      </c>
    </row>
    <row r="7" spans="1:54" ht="20.100000000000001" customHeight="1" x14ac:dyDescent="0.3">
      <c r="A7" s="28" t="s">
        <v>342</v>
      </c>
      <c r="B7" s="28" t="s">
        <v>394</v>
      </c>
      <c r="C7" s="28" t="s">
        <v>312</v>
      </c>
      <c r="D7" s="28" t="s">
        <v>394</v>
      </c>
      <c r="E7" s="28" t="s">
        <v>304</v>
      </c>
      <c r="F7" s="28" t="s">
        <v>312</v>
      </c>
      <c r="G7" s="28" t="s">
        <v>394</v>
      </c>
      <c r="H7" s="28" t="s">
        <v>312</v>
      </c>
      <c r="I7" s="28" t="s">
        <v>394</v>
      </c>
      <c r="J7" s="28" t="s">
        <v>394</v>
      </c>
      <c r="K7" s="28" t="s">
        <v>394</v>
      </c>
      <c r="L7" s="28" t="s">
        <v>394</v>
      </c>
      <c r="M7" s="28" t="s">
        <v>394</v>
      </c>
      <c r="N7" s="28" t="s">
        <v>394</v>
      </c>
      <c r="O7" s="28" t="s">
        <v>394</v>
      </c>
      <c r="P7" s="28" t="s">
        <v>394</v>
      </c>
      <c r="Q7" s="28" t="s">
        <v>394</v>
      </c>
      <c r="R7" s="28" t="s">
        <v>394</v>
      </c>
      <c r="S7" s="28" t="s">
        <v>394</v>
      </c>
      <c r="T7" s="28" t="s">
        <v>394</v>
      </c>
      <c r="U7" s="28" t="s">
        <v>394</v>
      </c>
      <c r="V7" s="28" t="s">
        <v>394</v>
      </c>
      <c r="W7" s="28" t="s">
        <v>394</v>
      </c>
      <c r="X7" s="28" t="s">
        <v>394</v>
      </c>
      <c r="Y7" s="28" t="s">
        <v>394</v>
      </c>
      <c r="Z7" s="28" t="s">
        <v>394</v>
      </c>
      <c r="AA7" s="28" t="s">
        <v>394</v>
      </c>
      <c r="AB7" s="28" t="s">
        <v>394</v>
      </c>
      <c r="AC7" s="28" t="s">
        <v>312</v>
      </c>
      <c r="AD7" s="28" t="s">
        <v>312</v>
      </c>
      <c r="AE7" s="28">
        <v>1</v>
      </c>
      <c r="AF7" s="28">
        <v>12</v>
      </c>
      <c r="AG7" s="28">
        <v>365</v>
      </c>
      <c r="AH7" s="28" t="s">
        <v>394</v>
      </c>
      <c r="AI7" s="28" t="s">
        <v>312</v>
      </c>
      <c r="AJ7" s="28" t="s">
        <v>394</v>
      </c>
      <c r="AK7" s="28" t="s">
        <v>394</v>
      </c>
      <c r="AL7" s="28" t="s">
        <v>394</v>
      </c>
      <c r="AM7" s="28">
        <v>3.82</v>
      </c>
      <c r="AN7" s="28">
        <v>111</v>
      </c>
      <c r="AO7" s="42">
        <v>1329</v>
      </c>
      <c r="AP7" s="28" t="s">
        <v>394</v>
      </c>
      <c r="AQ7" s="28" t="s">
        <v>394</v>
      </c>
      <c r="AR7" s="28">
        <v>100</v>
      </c>
      <c r="AS7" s="28">
        <v>150</v>
      </c>
      <c r="AT7" s="28">
        <v>1</v>
      </c>
      <c r="AU7" s="28">
        <v>27</v>
      </c>
      <c r="AV7" s="28">
        <v>20</v>
      </c>
      <c r="AW7" s="28" t="s">
        <v>312</v>
      </c>
      <c r="AX7" s="28" t="s">
        <v>394</v>
      </c>
      <c r="AY7" s="28" t="s">
        <v>312</v>
      </c>
      <c r="AZ7" s="28" t="s">
        <v>394</v>
      </c>
      <c r="BA7" s="28" t="s">
        <v>394</v>
      </c>
      <c r="BB7" s="28" t="s">
        <v>394</v>
      </c>
    </row>
    <row r="8" spans="1:54" ht="20.100000000000001" customHeight="1" x14ac:dyDescent="0.3">
      <c r="A8" s="28" t="s">
        <v>342</v>
      </c>
      <c r="B8" s="28" t="s">
        <v>312</v>
      </c>
      <c r="C8" s="28" t="s">
        <v>394</v>
      </c>
      <c r="D8" s="28" t="s">
        <v>394</v>
      </c>
      <c r="E8" s="28" t="s">
        <v>305</v>
      </c>
      <c r="F8" s="28" t="s">
        <v>312</v>
      </c>
      <c r="G8" s="28" t="s">
        <v>394</v>
      </c>
      <c r="H8" s="28" t="s">
        <v>394</v>
      </c>
      <c r="I8" s="28" t="s">
        <v>394</v>
      </c>
      <c r="J8" s="28" t="s">
        <v>394</v>
      </c>
      <c r="K8" s="28" t="s">
        <v>394</v>
      </c>
      <c r="L8" s="28" t="s">
        <v>312</v>
      </c>
      <c r="M8" s="28" t="s">
        <v>394</v>
      </c>
      <c r="N8" s="28" t="s">
        <v>394</v>
      </c>
      <c r="O8" s="28" t="s">
        <v>394</v>
      </c>
      <c r="P8" s="28" t="s">
        <v>394</v>
      </c>
      <c r="Q8" s="28" t="s">
        <v>394</v>
      </c>
      <c r="R8" s="28" t="s">
        <v>394</v>
      </c>
      <c r="S8" s="28" t="s">
        <v>394</v>
      </c>
      <c r="T8" s="28" t="s">
        <v>394</v>
      </c>
      <c r="U8" s="28" t="s">
        <v>394</v>
      </c>
      <c r="V8" s="28" t="s">
        <v>394</v>
      </c>
      <c r="W8" s="28" t="s">
        <v>394</v>
      </c>
      <c r="X8" s="28" t="s">
        <v>394</v>
      </c>
      <c r="Y8" s="28" t="s">
        <v>394</v>
      </c>
      <c r="Z8" s="28" t="s">
        <v>394</v>
      </c>
      <c r="AA8" s="28" t="s">
        <v>394</v>
      </c>
      <c r="AB8" s="28" t="s">
        <v>312</v>
      </c>
      <c r="AC8" s="28" t="s">
        <v>394</v>
      </c>
      <c r="AD8" s="28" t="s">
        <v>312</v>
      </c>
      <c r="AE8" s="28">
        <v>1</v>
      </c>
      <c r="AF8" s="28">
        <v>12</v>
      </c>
      <c r="AG8" s="28">
        <v>365</v>
      </c>
      <c r="AH8" s="28" t="s">
        <v>312</v>
      </c>
      <c r="AI8" s="28" t="s">
        <v>394</v>
      </c>
      <c r="AJ8" s="28">
        <v>30</v>
      </c>
      <c r="AK8" s="28">
        <v>90</v>
      </c>
      <c r="AL8" s="28">
        <v>382.7</v>
      </c>
      <c r="AM8" s="28">
        <v>7.39</v>
      </c>
      <c r="AN8" s="28">
        <v>214</v>
      </c>
      <c r="AO8" s="42">
        <v>2572</v>
      </c>
      <c r="AP8" s="28" t="s">
        <v>394</v>
      </c>
      <c r="AQ8" s="28" t="s">
        <v>394</v>
      </c>
      <c r="AR8" s="28">
        <v>150</v>
      </c>
      <c r="AS8" s="28">
        <v>250</v>
      </c>
      <c r="AT8" s="28">
        <v>5</v>
      </c>
      <c r="AU8" s="28">
        <v>170</v>
      </c>
      <c r="AV8" s="28">
        <v>50</v>
      </c>
      <c r="AW8" s="28" t="s">
        <v>312</v>
      </c>
      <c r="AX8" s="28" t="s">
        <v>312</v>
      </c>
      <c r="AY8" s="28" t="s">
        <v>312</v>
      </c>
      <c r="AZ8" s="28" t="s">
        <v>312</v>
      </c>
      <c r="BA8" s="28" t="s">
        <v>312</v>
      </c>
      <c r="BB8" s="28" t="s">
        <v>394</v>
      </c>
    </row>
    <row r="9" spans="1:54" ht="20.100000000000001" customHeight="1" x14ac:dyDescent="0.3">
      <c r="A9" s="28" t="s">
        <v>342</v>
      </c>
      <c r="B9" s="28" t="s">
        <v>394</v>
      </c>
      <c r="C9" s="28" t="s">
        <v>312</v>
      </c>
      <c r="D9" s="28" t="s">
        <v>394</v>
      </c>
      <c r="E9" s="28" t="s">
        <v>306</v>
      </c>
      <c r="F9" s="28" t="s">
        <v>312</v>
      </c>
      <c r="G9" s="28" t="s">
        <v>394</v>
      </c>
      <c r="H9" s="28" t="s">
        <v>394</v>
      </c>
      <c r="I9" s="28" t="s">
        <v>394</v>
      </c>
      <c r="J9" s="28" t="s">
        <v>394</v>
      </c>
      <c r="K9" s="28" t="s">
        <v>394</v>
      </c>
      <c r="L9" s="28" t="s">
        <v>312</v>
      </c>
      <c r="M9" s="28" t="s">
        <v>394</v>
      </c>
      <c r="N9" s="28" t="s">
        <v>394</v>
      </c>
      <c r="O9" s="28" t="s">
        <v>394</v>
      </c>
      <c r="P9" s="28" t="s">
        <v>394</v>
      </c>
      <c r="Q9" s="28" t="s">
        <v>394</v>
      </c>
      <c r="R9" s="28" t="s">
        <v>394</v>
      </c>
      <c r="S9" s="28" t="s">
        <v>394</v>
      </c>
      <c r="T9" s="28" t="s">
        <v>394</v>
      </c>
      <c r="U9" s="28" t="s">
        <v>394</v>
      </c>
      <c r="V9" s="28" t="s">
        <v>394</v>
      </c>
      <c r="W9" s="28" t="s">
        <v>394</v>
      </c>
      <c r="X9" s="28" t="s">
        <v>394</v>
      </c>
      <c r="Y9" s="28" t="s">
        <v>394</v>
      </c>
      <c r="Z9" s="28" t="s">
        <v>394</v>
      </c>
      <c r="AA9" s="28" t="s">
        <v>394</v>
      </c>
      <c r="AB9" s="28" t="s">
        <v>312</v>
      </c>
      <c r="AC9" s="28" t="s">
        <v>394</v>
      </c>
      <c r="AD9" s="28" t="s">
        <v>312</v>
      </c>
      <c r="AE9" s="28">
        <v>1</v>
      </c>
      <c r="AF9" s="28">
        <v>12</v>
      </c>
      <c r="AG9" s="28">
        <v>365</v>
      </c>
      <c r="AH9" s="28" t="s">
        <v>312</v>
      </c>
      <c r="AI9" s="28" t="s">
        <v>394</v>
      </c>
      <c r="AJ9" s="28">
        <v>30</v>
      </c>
      <c r="AK9" s="28">
        <v>90</v>
      </c>
      <c r="AL9" s="28">
        <v>382.7</v>
      </c>
      <c r="AM9" s="28">
        <v>7.39</v>
      </c>
      <c r="AN9" s="28">
        <v>214</v>
      </c>
      <c r="AO9" s="42">
        <v>2572</v>
      </c>
      <c r="AP9" s="28" t="s">
        <v>394</v>
      </c>
      <c r="AQ9" s="28" t="s">
        <v>394</v>
      </c>
      <c r="AR9" s="28">
        <v>150</v>
      </c>
      <c r="AS9" s="28">
        <v>250</v>
      </c>
      <c r="AT9" s="28">
        <v>5</v>
      </c>
      <c r="AU9" s="28">
        <v>173</v>
      </c>
      <c r="AV9" s="28">
        <v>50</v>
      </c>
      <c r="AW9" s="28" t="s">
        <v>312</v>
      </c>
      <c r="AX9" s="28" t="s">
        <v>312</v>
      </c>
      <c r="AY9" s="28" t="s">
        <v>312</v>
      </c>
      <c r="AZ9" s="28" t="s">
        <v>312</v>
      </c>
      <c r="BA9" s="28" t="s">
        <v>312</v>
      </c>
      <c r="BB9" s="28" t="s">
        <v>394</v>
      </c>
    </row>
    <row r="10" spans="1:54" ht="20.100000000000001" customHeight="1" x14ac:dyDescent="0.3">
      <c r="A10" s="28" t="s">
        <v>342</v>
      </c>
      <c r="B10" s="28" t="s">
        <v>394</v>
      </c>
      <c r="C10" s="28" t="s">
        <v>312</v>
      </c>
      <c r="D10" s="28" t="s">
        <v>394</v>
      </c>
      <c r="E10" s="28" t="s">
        <v>307</v>
      </c>
      <c r="F10" s="28" t="s">
        <v>312</v>
      </c>
      <c r="G10" s="28" t="s">
        <v>312</v>
      </c>
      <c r="H10" s="28" t="s">
        <v>394</v>
      </c>
      <c r="I10" s="28" t="s">
        <v>394</v>
      </c>
      <c r="J10" s="28" t="s">
        <v>394</v>
      </c>
      <c r="K10" s="28" t="s">
        <v>394</v>
      </c>
      <c r="L10" s="28" t="s">
        <v>394</v>
      </c>
      <c r="M10" s="28" t="s">
        <v>394</v>
      </c>
      <c r="N10" s="28" t="s">
        <v>394</v>
      </c>
      <c r="O10" s="28" t="s">
        <v>394</v>
      </c>
      <c r="P10" s="28" t="s">
        <v>394</v>
      </c>
      <c r="Q10" s="28" t="s">
        <v>394</v>
      </c>
      <c r="R10" s="28" t="s">
        <v>394</v>
      </c>
      <c r="S10" s="28" t="s">
        <v>394</v>
      </c>
      <c r="T10" s="28" t="s">
        <v>394</v>
      </c>
      <c r="U10" s="28" t="s">
        <v>394</v>
      </c>
      <c r="V10" s="28" t="s">
        <v>394</v>
      </c>
      <c r="W10" s="28" t="s">
        <v>394</v>
      </c>
      <c r="X10" s="28" t="s">
        <v>394</v>
      </c>
      <c r="Y10" s="28" t="s">
        <v>394</v>
      </c>
      <c r="Z10" s="28" t="s">
        <v>394</v>
      </c>
      <c r="AA10" s="28" t="s">
        <v>394</v>
      </c>
      <c r="AB10" s="28" t="s">
        <v>394</v>
      </c>
      <c r="AC10" s="28" t="s">
        <v>312</v>
      </c>
      <c r="AD10" s="28" t="s">
        <v>312</v>
      </c>
      <c r="AE10" s="28">
        <v>1</v>
      </c>
      <c r="AF10" s="28">
        <v>12</v>
      </c>
      <c r="AG10" s="28">
        <v>365</v>
      </c>
      <c r="AH10" s="28" t="s">
        <v>312</v>
      </c>
      <c r="AI10" s="28" t="s">
        <v>394</v>
      </c>
      <c r="AJ10" s="28">
        <v>1</v>
      </c>
      <c r="AK10" s="28">
        <v>2.31</v>
      </c>
      <c r="AL10" s="28">
        <v>0.28999999999999998</v>
      </c>
      <c r="AM10" s="28">
        <v>0.68</v>
      </c>
      <c r="AN10" s="28">
        <v>20</v>
      </c>
      <c r="AO10" s="28">
        <v>237</v>
      </c>
      <c r="AP10" s="28" t="s">
        <v>394</v>
      </c>
      <c r="AQ10" s="28" t="s">
        <v>394</v>
      </c>
      <c r="AR10" s="28">
        <v>80</v>
      </c>
      <c r="AS10" s="28">
        <v>150</v>
      </c>
      <c r="AT10" s="28">
        <v>2</v>
      </c>
      <c r="AU10" s="28">
        <v>65</v>
      </c>
      <c r="AV10" s="28">
        <v>40</v>
      </c>
      <c r="AW10" s="28" t="s">
        <v>394</v>
      </c>
      <c r="AX10" s="28" t="s">
        <v>394</v>
      </c>
      <c r="AY10" s="28" t="s">
        <v>394</v>
      </c>
      <c r="AZ10" s="28" t="s">
        <v>394</v>
      </c>
      <c r="BA10" s="28" t="s">
        <v>394</v>
      </c>
      <c r="BB10" s="28" t="s">
        <v>394</v>
      </c>
    </row>
    <row r="11" spans="1:54" ht="20.100000000000001" customHeight="1" x14ac:dyDescent="0.3">
      <c r="A11" s="28" t="s">
        <v>342</v>
      </c>
      <c r="B11" s="28" t="s">
        <v>394</v>
      </c>
      <c r="C11" s="28" t="s">
        <v>312</v>
      </c>
      <c r="D11" s="28" t="s">
        <v>394</v>
      </c>
      <c r="E11" s="28" t="s">
        <v>308</v>
      </c>
      <c r="F11" s="28" t="s">
        <v>312</v>
      </c>
      <c r="G11" s="28" t="s">
        <v>394</v>
      </c>
      <c r="H11" s="28" t="s">
        <v>312</v>
      </c>
      <c r="I11" s="28" t="s">
        <v>394</v>
      </c>
      <c r="J11" s="28" t="s">
        <v>394</v>
      </c>
      <c r="K11" s="28" t="s">
        <v>394</v>
      </c>
      <c r="L11" s="28" t="s">
        <v>394</v>
      </c>
      <c r="M11" s="28" t="s">
        <v>394</v>
      </c>
      <c r="N11" s="28" t="s">
        <v>394</v>
      </c>
      <c r="O11" s="28" t="s">
        <v>394</v>
      </c>
      <c r="P11" s="28" t="s">
        <v>394</v>
      </c>
      <c r="Q11" s="28" t="s">
        <v>394</v>
      </c>
      <c r="R11" s="28" t="s">
        <v>394</v>
      </c>
      <c r="S11" s="28" t="s">
        <v>394</v>
      </c>
      <c r="T11" s="28" t="s">
        <v>394</v>
      </c>
      <c r="U11" s="28" t="s">
        <v>394</v>
      </c>
      <c r="V11" s="28" t="s">
        <v>394</v>
      </c>
      <c r="W11" s="28" t="s">
        <v>394</v>
      </c>
      <c r="X11" s="28" t="s">
        <v>394</v>
      </c>
      <c r="Y11" s="28" t="s">
        <v>394</v>
      </c>
      <c r="Z11" s="28" t="s">
        <v>394</v>
      </c>
      <c r="AA11" s="28" t="s">
        <v>394</v>
      </c>
      <c r="AB11" s="28" t="s">
        <v>394</v>
      </c>
      <c r="AC11" s="28" t="s">
        <v>312</v>
      </c>
      <c r="AD11" s="28" t="s">
        <v>312</v>
      </c>
      <c r="AE11" s="28">
        <v>1</v>
      </c>
      <c r="AF11" s="28">
        <v>12</v>
      </c>
      <c r="AG11" s="28">
        <v>365</v>
      </c>
      <c r="AH11" s="28" t="s">
        <v>394</v>
      </c>
      <c r="AI11" s="28" t="s">
        <v>312</v>
      </c>
      <c r="AJ11" s="28" t="s">
        <v>394</v>
      </c>
      <c r="AK11" s="28" t="s">
        <v>394</v>
      </c>
      <c r="AL11" s="28" t="s">
        <v>394</v>
      </c>
      <c r="AM11" s="28">
        <v>4.18</v>
      </c>
      <c r="AN11" s="28">
        <v>121</v>
      </c>
      <c r="AO11" s="42">
        <v>1455</v>
      </c>
      <c r="AP11" s="28" t="s">
        <v>394</v>
      </c>
      <c r="AQ11" s="28" t="s">
        <v>394</v>
      </c>
      <c r="AR11" s="28">
        <v>60</v>
      </c>
      <c r="AS11" s="28">
        <v>150</v>
      </c>
      <c r="AT11" s="28">
        <v>1</v>
      </c>
      <c r="AU11" s="28">
        <v>60</v>
      </c>
      <c r="AV11" s="28">
        <v>25</v>
      </c>
      <c r="AW11" s="28" t="s">
        <v>312</v>
      </c>
      <c r="AX11" s="28" t="s">
        <v>394</v>
      </c>
      <c r="AY11" s="28" t="s">
        <v>312</v>
      </c>
      <c r="AZ11" s="28" t="s">
        <v>394</v>
      </c>
      <c r="BA11" s="28" t="s">
        <v>394</v>
      </c>
      <c r="BB11" s="28" t="s">
        <v>394</v>
      </c>
    </row>
    <row r="12" spans="1:54" ht="20.100000000000001" customHeight="1" x14ac:dyDescent="0.3">
      <c r="A12" s="28" t="s">
        <v>342</v>
      </c>
      <c r="B12" s="28" t="s">
        <v>394</v>
      </c>
      <c r="C12" s="28" t="s">
        <v>312</v>
      </c>
      <c r="D12" s="28" t="s">
        <v>394</v>
      </c>
      <c r="E12" s="28" t="s">
        <v>309</v>
      </c>
      <c r="F12" s="28" t="s">
        <v>312</v>
      </c>
      <c r="G12" s="28" t="s">
        <v>312</v>
      </c>
      <c r="H12" s="28" t="s">
        <v>394</v>
      </c>
      <c r="I12" s="28" t="s">
        <v>394</v>
      </c>
      <c r="J12" s="28" t="s">
        <v>394</v>
      </c>
      <c r="K12" s="28" t="s">
        <v>394</v>
      </c>
      <c r="L12" s="28" t="s">
        <v>394</v>
      </c>
      <c r="M12" s="28" t="s">
        <v>394</v>
      </c>
      <c r="N12" s="28" t="s">
        <v>394</v>
      </c>
      <c r="O12" s="28" t="s">
        <v>394</v>
      </c>
      <c r="P12" s="28" t="s">
        <v>394</v>
      </c>
      <c r="Q12" s="28" t="s">
        <v>394</v>
      </c>
      <c r="R12" s="28" t="s">
        <v>394</v>
      </c>
      <c r="S12" s="28" t="s">
        <v>394</v>
      </c>
      <c r="T12" s="28" t="s">
        <v>394</v>
      </c>
      <c r="U12" s="28" t="s">
        <v>394</v>
      </c>
      <c r="V12" s="28" t="s">
        <v>394</v>
      </c>
      <c r="W12" s="28" t="s">
        <v>394</v>
      </c>
      <c r="X12" s="28" t="s">
        <v>394</v>
      </c>
      <c r="Y12" s="28" t="s">
        <v>394</v>
      </c>
      <c r="Z12" s="28" t="s">
        <v>394</v>
      </c>
      <c r="AA12" s="28" t="s">
        <v>394</v>
      </c>
      <c r="AB12" s="28" t="s">
        <v>394</v>
      </c>
      <c r="AC12" s="28" t="s">
        <v>312</v>
      </c>
      <c r="AD12" s="28" t="s">
        <v>312</v>
      </c>
      <c r="AE12" s="28">
        <v>1</v>
      </c>
      <c r="AF12" s="28">
        <v>12</v>
      </c>
      <c r="AG12" s="28">
        <v>365</v>
      </c>
      <c r="AH12" s="28" t="s">
        <v>312</v>
      </c>
      <c r="AI12" s="28" t="s">
        <v>394</v>
      </c>
      <c r="AJ12" s="28">
        <v>1</v>
      </c>
      <c r="AK12" s="28">
        <v>2.31</v>
      </c>
      <c r="AL12" s="28">
        <v>0.28999999999999998</v>
      </c>
      <c r="AM12" s="28">
        <v>0.68</v>
      </c>
      <c r="AN12" s="28">
        <v>20</v>
      </c>
      <c r="AO12" s="28">
        <v>237</v>
      </c>
      <c r="AP12" s="28" t="s">
        <v>394</v>
      </c>
      <c r="AQ12" s="28" t="s">
        <v>394</v>
      </c>
      <c r="AR12" s="28">
        <v>18</v>
      </c>
      <c r="AS12" s="28">
        <v>50</v>
      </c>
      <c r="AT12" s="28">
        <v>0.3</v>
      </c>
      <c r="AU12" s="28">
        <v>25</v>
      </c>
      <c r="AV12" s="28">
        <v>13</v>
      </c>
      <c r="AW12" s="28" t="s">
        <v>394</v>
      </c>
      <c r="AX12" s="28" t="s">
        <v>394</v>
      </c>
      <c r="AY12" s="28" t="s">
        <v>394</v>
      </c>
      <c r="AZ12" s="28" t="s">
        <v>394</v>
      </c>
      <c r="BA12" s="28" t="s">
        <v>394</v>
      </c>
      <c r="BB12" s="28" t="s">
        <v>394</v>
      </c>
    </row>
    <row r="13" spans="1:54" ht="20.100000000000001" customHeight="1" x14ac:dyDescent="0.3">
      <c r="A13" s="28" t="s">
        <v>342</v>
      </c>
      <c r="B13" s="28" t="s">
        <v>394</v>
      </c>
      <c r="C13" s="28" t="s">
        <v>312</v>
      </c>
      <c r="D13" s="28" t="s">
        <v>394</v>
      </c>
      <c r="E13" s="28" t="s">
        <v>310</v>
      </c>
      <c r="F13" s="28" t="s">
        <v>312</v>
      </c>
      <c r="G13" s="28" t="s">
        <v>394</v>
      </c>
      <c r="H13" s="28" t="s">
        <v>312</v>
      </c>
      <c r="I13" s="28" t="s">
        <v>394</v>
      </c>
      <c r="J13" s="28" t="s">
        <v>394</v>
      </c>
      <c r="K13" s="28" t="s">
        <v>394</v>
      </c>
      <c r="L13" s="28" t="s">
        <v>394</v>
      </c>
      <c r="M13" s="28" t="s">
        <v>394</v>
      </c>
      <c r="N13" s="28" t="s">
        <v>394</v>
      </c>
      <c r="O13" s="28" t="s">
        <v>394</v>
      </c>
      <c r="P13" s="28" t="s">
        <v>394</v>
      </c>
      <c r="Q13" s="28" t="s">
        <v>394</v>
      </c>
      <c r="R13" s="28" t="s">
        <v>394</v>
      </c>
      <c r="S13" s="28" t="s">
        <v>394</v>
      </c>
      <c r="T13" s="28" t="s">
        <v>394</v>
      </c>
      <c r="U13" s="28" t="s">
        <v>394</v>
      </c>
      <c r="V13" s="28" t="s">
        <v>394</v>
      </c>
      <c r="W13" s="28" t="s">
        <v>394</v>
      </c>
      <c r="X13" s="28" t="s">
        <v>394</v>
      </c>
      <c r="Y13" s="28" t="s">
        <v>394</v>
      </c>
      <c r="Z13" s="28" t="s">
        <v>394</v>
      </c>
      <c r="AA13" s="28" t="s">
        <v>394</v>
      </c>
      <c r="AB13" s="28" t="s">
        <v>394</v>
      </c>
      <c r="AC13" s="28" t="s">
        <v>312</v>
      </c>
      <c r="AD13" s="28" t="s">
        <v>312</v>
      </c>
      <c r="AE13" s="28">
        <v>1</v>
      </c>
      <c r="AF13" s="28">
        <v>12</v>
      </c>
      <c r="AG13" s="28">
        <v>365</v>
      </c>
      <c r="AH13" s="28" t="s">
        <v>394</v>
      </c>
      <c r="AI13" s="28" t="s">
        <v>312</v>
      </c>
      <c r="AJ13" s="28" t="s">
        <v>394</v>
      </c>
      <c r="AK13" s="28" t="s">
        <v>394</v>
      </c>
      <c r="AL13" s="28" t="s">
        <v>394</v>
      </c>
      <c r="AM13" s="28">
        <v>4.4000000000000004</v>
      </c>
      <c r="AN13" s="28">
        <v>128</v>
      </c>
      <c r="AO13" s="42">
        <v>1531</v>
      </c>
      <c r="AP13" s="28" t="s">
        <v>394</v>
      </c>
      <c r="AQ13" s="28" t="s">
        <v>394</v>
      </c>
      <c r="AR13" s="28">
        <v>60</v>
      </c>
      <c r="AS13" s="28">
        <v>125</v>
      </c>
      <c r="AT13" s="28">
        <v>1</v>
      </c>
      <c r="AU13" s="28">
        <v>80</v>
      </c>
      <c r="AV13" s="28">
        <v>25</v>
      </c>
      <c r="AW13" s="28" t="s">
        <v>312</v>
      </c>
      <c r="AX13" s="28" t="s">
        <v>394</v>
      </c>
      <c r="AY13" s="28" t="s">
        <v>312</v>
      </c>
      <c r="AZ13" s="28" t="s">
        <v>394</v>
      </c>
      <c r="BA13" s="28" t="s">
        <v>394</v>
      </c>
      <c r="BB13" s="28" t="s">
        <v>394</v>
      </c>
    </row>
    <row r="14" spans="1:54" ht="20.100000000000001" customHeight="1" x14ac:dyDescent="0.3">
      <c r="A14" s="28" t="s">
        <v>342</v>
      </c>
      <c r="B14" s="28" t="s">
        <v>394</v>
      </c>
      <c r="C14" s="28" t="s">
        <v>312</v>
      </c>
      <c r="D14" s="28" t="s">
        <v>394</v>
      </c>
      <c r="E14" s="28" t="s">
        <v>311</v>
      </c>
      <c r="F14" s="28" t="s">
        <v>312</v>
      </c>
      <c r="G14" s="28" t="s">
        <v>312</v>
      </c>
      <c r="H14" s="28" t="s">
        <v>394</v>
      </c>
      <c r="I14" s="28" t="s">
        <v>394</v>
      </c>
      <c r="J14" s="28" t="s">
        <v>394</v>
      </c>
      <c r="K14" s="28" t="s">
        <v>394</v>
      </c>
      <c r="L14" s="28" t="s">
        <v>394</v>
      </c>
      <c r="M14" s="28" t="s">
        <v>394</v>
      </c>
      <c r="N14" s="28" t="s">
        <v>394</v>
      </c>
      <c r="O14" s="28" t="s">
        <v>394</v>
      </c>
      <c r="P14" s="28" t="s">
        <v>394</v>
      </c>
      <c r="Q14" s="28" t="s">
        <v>394</v>
      </c>
      <c r="R14" s="28" t="s">
        <v>394</v>
      </c>
      <c r="S14" s="28" t="s">
        <v>394</v>
      </c>
      <c r="T14" s="28" t="s">
        <v>394</v>
      </c>
      <c r="U14" s="28" t="s">
        <v>394</v>
      </c>
      <c r="V14" s="28" t="s">
        <v>394</v>
      </c>
      <c r="W14" s="28" t="s">
        <v>394</v>
      </c>
      <c r="X14" s="28" t="s">
        <v>394</v>
      </c>
      <c r="Y14" s="28" t="s">
        <v>394</v>
      </c>
      <c r="Z14" s="28" t="s">
        <v>394</v>
      </c>
      <c r="AA14" s="28" t="s">
        <v>394</v>
      </c>
      <c r="AB14" s="28" t="s">
        <v>394</v>
      </c>
      <c r="AC14" s="28" t="s">
        <v>312</v>
      </c>
      <c r="AD14" s="28" t="s">
        <v>312</v>
      </c>
      <c r="AE14" s="28">
        <v>1</v>
      </c>
      <c r="AF14" s="28">
        <v>12</v>
      </c>
      <c r="AG14" s="28">
        <v>365</v>
      </c>
      <c r="AH14" s="28" t="s">
        <v>312</v>
      </c>
      <c r="AI14" s="28" t="s">
        <v>394</v>
      </c>
      <c r="AJ14" s="28">
        <v>1</v>
      </c>
      <c r="AK14" s="28">
        <v>2.31</v>
      </c>
      <c r="AL14" s="28">
        <v>0.28999999999999998</v>
      </c>
      <c r="AM14" s="28">
        <v>0.68</v>
      </c>
      <c r="AN14" s="28">
        <v>20</v>
      </c>
      <c r="AO14" s="28">
        <v>237</v>
      </c>
      <c r="AP14" s="28" t="s">
        <v>394</v>
      </c>
      <c r="AQ14" s="28" t="s">
        <v>394</v>
      </c>
      <c r="AR14" s="28">
        <v>30</v>
      </c>
      <c r="AS14" s="28">
        <v>50</v>
      </c>
      <c r="AT14" s="28">
        <v>0.3</v>
      </c>
      <c r="AU14" s="28">
        <v>20</v>
      </c>
      <c r="AV14" s="28">
        <v>15</v>
      </c>
      <c r="AW14" s="28" t="s">
        <v>394</v>
      </c>
      <c r="AX14" s="28" t="s">
        <v>394</v>
      </c>
      <c r="AY14" s="28" t="s">
        <v>394</v>
      </c>
      <c r="AZ14" s="28" t="s">
        <v>394</v>
      </c>
      <c r="BA14" s="28" t="s">
        <v>394</v>
      </c>
      <c r="BB14" s="28" t="s">
        <v>394</v>
      </c>
    </row>
    <row r="15" spans="1:54" ht="20.100000000000001" customHeight="1" x14ac:dyDescent="0.3">
      <c r="A15" s="28" t="s">
        <v>342</v>
      </c>
      <c r="B15" s="28" t="s">
        <v>394</v>
      </c>
      <c r="C15" s="28" t="s">
        <v>312</v>
      </c>
      <c r="D15" s="28" t="s">
        <v>394</v>
      </c>
      <c r="E15" s="28" t="s">
        <v>313</v>
      </c>
      <c r="F15" s="28" t="s">
        <v>394</v>
      </c>
      <c r="G15" s="28" t="s">
        <v>394</v>
      </c>
      <c r="H15" s="28" t="s">
        <v>394</v>
      </c>
      <c r="I15" s="28" t="s">
        <v>394</v>
      </c>
      <c r="J15" s="28" t="s">
        <v>394</v>
      </c>
      <c r="K15" s="28" t="s">
        <v>394</v>
      </c>
      <c r="L15" s="28" t="s">
        <v>394</v>
      </c>
      <c r="M15" s="28" t="s">
        <v>394</v>
      </c>
      <c r="N15" s="28" t="s">
        <v>394</v>
      </c>
      <c r="O15" s="28" t="s">
        <v>394</v>
      </c>
      <c r="P15" s="28" t="s">
        <v>394</v>
      </c>
      <c r="Q15" s="28" t="s">
        <v>394</v>
      </c>
      <c r="R15" s="28" t="s">
        <v>394</v>
      </c>
      <c r="S15" s="28" t="s">
        <v>394</v>
      </c>
      <c r="T15" s="28" t="s">
        <v>394</v>
      </c>
      <c r="U15" s="28" t="s">
        <v>312</v>
      </c>
      <c r="V15" s="28" t="s">
        <v>394</v>
      </c>
      <c r="W15" s="28" t="s">
        <v>394</v>
      </c>
      <c r="X15" s="28" t="s">
        <v>312</v>
      </c>
      <c r="Y15" s="28" t="s">
        <v>394</v>
      </c>
      <c r="Z15" s="28" t="s">
        <v>394</v>
      </c>
      <c r="AA15" s="28" t="s">
        <v>394</v>
      </c>
      <c r="AB15" s="28" t="s">
        <v>394</v>
      </c>
      <c r="AC15" s="28" t="s">
        <v>312</v>
      </c>
      <c r="AD15" s="28" t="s">
        <v>394</v>
      </c>
      <c r="AE15" s="28">
        <v>3</v>
      </c>
      <c r="AF15" s="28">
        <v>11</v>
      </c>
      <c r="AG15" s="28">
        <v>274</v>
      </c>
      <c r="AH15" s="28" t="s">
        <v>394</v>
      </c>
      <c r="AI15" s="28" t="s">
        <v>312</v>
      </c>
      <c r="AJ15" s="28" t="s">
        <v>394</v>
      </c>
      <c r="AK15" s="28" t="s">
        <v>394</v>
      </c>
      <c r="AL15" s="28" t="s">
        <v>394</v>
      </c>
      <c r="AM15" s="28">
        <v>3.23</v>
      </c>
      <c r="AN15" s="28">
        <v>94</v>
      </c>
      <c r="AO15" s="28">
        <v>749</v>
      </c>
      <c r="AP15" s="28" t="s">
        <v>394</v>
      </c>
      <c r="AQ15" s="28" t="s">
        <v>394</v>
      </c>
      <c r="AR15" s="28">
        <v>20</v>
      </c>
      <c r="AS15" s="28">
        <v>50</v>
      </c>
      <c r="AT15" s="28">
        <v>0.5</v>
      </c>
      <c r="AU15" s="28">
        <v>40</v>
      </c>
      <c r="AV15" s="28">
        <v>30</v>
      </c>
      <c r="AW15" s="28" t="s">
        <v>312</v>
      </c>
      <c r="AX15" s="28" t="s">
        <v>394</v>
      </c>
      <c r="AY15" s="28" t="s">
        <v>312</v>
      </c>
      <c r="AZ15" s="28" t="s">
        <v>394</v>
      </c>
      <c r="BA15" s="28" t="s">
        <v>394</v>
      </c>
      <c r="BB15" s="28" t="s">
        <v>394</v>
      </c>
    </row>
    <row r="16" spans="1:54" ht="20.100000000000001" customHeight="1" x14ac:dyDescent="0.3">
      <c r="A16" s="28" t="s">
        <v>342</v>
      </c>
      <c r="B16" s="28" t="s">
        <v>394</v>
      </c>
      <c r="C16" s="28" t="s">
        <v>312</v>
      </c>
      <c r="D16" s="28" t="s">
        <v>394</v>
      </c>
      <c r="E16" s="28" t="s">
        <v>314</v>
      </c>
      <c r="F16" s="28" t="s">
        <v>394</v>
      </c>
      <c r="G16" s="28" t="s">
        <v>394</v>
      </c>
      <c r="H16" s="28" t="s">
        <v>394</v>
      </c>
      <c r="I16" s="28" t="s">
        <v>394</v>
      </c>
      <c r="J16" s="28" t="s">
        <v>394</v>
      </c>
      <c r="K16" s="28" t="s">
        <v>394</v>
      </c>
      <c r="L16" s="28" t="s">
        <v>394</v>
      </c>
      <c r="M16" s="28" t="s">
        <v>394</v>
      </c>
      <c r="N16" s="28" t="s">
        <v>394</v>
      </c>
      <c r="O16" s="28" t="s">
        <v>394</v>
      </c>
      <c r="P16" s="28" t="s">
        <v>394</v>
      </c>
      <c r="Q16" s="28" t="s">
        <v>394</v>
      </c>
      <c r="R16" s="28" t="s">
        <v>394</v>
      </c>
      <c r="S16" s="28" t="s">
        <v>394</v>
      </c>
      <c r="T16" s="28" t="s">
        <v>394</v>
      </c>
      <c r="U16" s="28" t="s">
        <v>312</v>
      </c>
      <c r="V16" s="28" t="s">
        <v>394</v>
      </c>
      <c r="W16" s="28" t="s">
        <v>312</v>
      </c>
      <c r="X16" s="28" t="s">
        <v>394</v>
      </c>
      <c r="Y16" s="28" t="s">
        <v>394</v>
      </c>
      <c r="Z16" s="28" t="s">
        <v>394</v>
      </c>
      <c r="AA16" s="28" t="s">
        <v>394</v>
      </c>
      <c r="AB16" s="28" t="s">
        <v>394</v>
      </c>
      <c r="AC16" s="28" t="s">
        <v>312</v>
      </c>
      <c r="AD16" s="28" t="s">
        <v>394</v>
      </c>
      <c r="AE16" s="28">
        <v>3</v>
      </c>
      <c r="AF16" s="28">
        <v>11</v>
      </c>
      <c r="AG16" s="28">
        <v>274</v>
      </c>
      <c r="AH16" s="28" t="s">
        <v>394</v>
      </c>
      <c r="AI16" s="28" t="s">
        <v>312</v>
      </c>
      <c r="AJ16" s="28" t="s">
        <v>394</v>
      </c>
      <c r="AK16" s="28" t="s">
        <v>394</v>
      </c>
      <c r="AL16" s="28" t="s">
        <v>394</v>
      </c>
      <c r="AM16" s="28">
        <v>5.5</v>
      </c>
      <c r="AN16" s="28">
        <v>160</v>
      </c>
      <c r="AO16" s="42">
        <v>1276</v>
      </c>
      <c r="AP16" s="28" t="s">
        <v>394</v>
      </c>
      <c r="AQ16" s="28" t="s">
        <v>394</v>
      </c>
      <c r="AR16" s="28">
        <v>20</v>
      </c>
      <c r="AS16" s="28">
        <v>100</v>
      </c>
      <c r="AT16" s="28">
        <v>1</v>
      </c>
      <c r="AU16" s="28">
        <v>80</v>
      </c>
      <c r="AV16" s="28">
        <v>50</v>
      </c>
      <c r="AW16" s="28" t="s">
        <v>312</v>
      </c>
      <c r="AX16" s="28" t="s">
        <v>394</v>
      </c>
      <c r="AY16" s="28" t="s">
        <v>312</v>
      </c>
      <c r="AZ16" s="28" t="s">
        <v>394</v>
      </c>
      <c r="BA16" s="28" t="s">
        <v>394</v>
      </c>
      <c r="BB16" s="28" t="s">
        <v>394</v>
      </c>
    </row>
    <row r="17" spans="1:54" ht="20.100000000000001" customHeight="1" x14ac:dyDescent="0.3">
      <c r="A17" s="28" t="s">
        <v>342</v>
      </c>
      <c r="B17" s="28" t="s">
        <v>394</v>
      </c>
      <c r="C17" s="28" t="s">
        <v>312</v>
      </c>
      <c r="D17" s="28" t="s">
        <v>394</v>
      </c>
      <c r="E17" s="28" t="s">
        <v>315</v>
      </c>
      <c r="F17" s="28" t="s">
        <v>394</v>
      </c>
      <c r="G17" s="28" t="s">
        <v>394</v>
      </c>
      <c r="H17" s="28" t="s">
        <v>394</v>
      </c>
      <c r="I17" s="28" t="s">
        <v>394</v>
      </c>
      <c r="J17" s="28" t="s">
        <v>394</v>
      </c>
      <c r="K17" s="28" t="s">
        <v>394</v>
      </c>
      <c r="L17" s="28" t="s">
        <v>394</v>
      </c>
      <c r="M17" s="28" t="s">
        <v>394</v>
      </c>
      <c r="N17" s="28" t="s">
        <v>394</v>
      </c>
      <c r="O17" s="28" t="s">
        <v>394</v>
      </c>
      <c r="P17" s="28" t="s">
        <v>394</v>
      </c>
      <c r="Q17" s="28" t="s">
        <v>394</v>
      </c>
      <c r="R17" s="28" t="s">
        <v>394</v>
      </c>
      <c r="S17" s="28" t="s">
        <v>394</v>
      </c>
      <c r="T17" s="28" t="s">
        <v>394</v>
      </c>
      <c r="U17" s="28" t="s">
        <v>312</v>
      </c>
      <c r="V17" s="28" t="s">
        <v>394</v>
      </c>
      <c r="W17" s="28" t="s">
        <v>312</v>
      </c>
      <c r="X17" s="28" t="s">
        <v>394</v>
      </c>
      <c r="Y17" s="28" t="s">
        <v>394</v>
      </c>
      <c r="Z17" s="28" t="s">
        <v>394</v>
      </c>
      <c r="AA17" s="28" t="s">
        <v>394</v>
      </c>
      <c r="AB17" s="28" t="s">
        <v>394</v>
      </c>
      <c r="AC17" s="28" t="s">
        <v>312</v>
      </c>
      <c r="AD17" s="28" t="s">
        <v>394</v>
      </c>
      <c r="AE17" s="28">
        <v>3</v>
      </c>
      <c r="AF17" s="28">
        <v>11</v>
      </c>
      <c r="AG17" s="28">
        <v>274</v>
      </c>
      <c r="AH17" s="28" t="s">
        <v>394</v>
      </c>
      <c r="AI17" s="28" t="s">
        <v>312</v>
      </c>
      <c r="AJ17" s="28" t="s">
        <v>394</v>
      </c>
      <c r="AK17" s="28" t="s">
        <v>394</v>
      </c>
      <c r="AL17" s="28" t="s">
        <v>394</v>
      </c>
      <c r="AM17" s="28">
        <v>3.3</v>
      </c>
      <c r="AN17" s="28">
        <v>96</v>
      </c>
      <c r="AO17" s="28">
        <v>766</v>
      </c>
      <c r="AP17" s="28" t="s">
        <v>394</v>
      </c>
      <c r="AQ17" s="28" t="s">
        <v>394</v>
      </c>
      <c r="AR17" s="28">
        <v>20</v>
      </c>
      <c r="AS17" s="28">
        <v>50</v>
      </c>
      <c r="AT17" s="28">
        <v>0.5</v>
      </c>
      <c r="AU17" s="28">
        <v>30</v>
      </c>
      <c r="AV17" s="28">
        <v>20</v>
      </c>
      <c r="AW17" s="28" t="s">
        <v>312</v>
      </c>
      <c r="AX17" s="28" t="s">
        <v>394</v>
      </c>
      <c r="AY17" s="28" t="s">
        <v>312</v>
      </c>
      <c r="AZ17" s="28" t="s">
        <v>394</v>
      </c>
      <c r="BA17" s="28" t="s">
        <v>394</v>
      </c>
      <c r="BB17" s="28" t="s">
        <v>394</v>
      </c>
    </row>
    <row r="18" spans="1:54" ht="20.100000000000001" customHeight="1" x14ac:dyDescent="0.3">
      <c r="A18" s="28" t="s">
        <v>342</v>
      </c>
      <c r="B18" s="28" t="s">
        <v>394</v>
      </c>
      <c r="C18" s="28" t="s">
        <v>312</v>
      </c>
      <c r="D18" s="28" t="s">
        <v>394</v>
      </c>
      <c r="E18" s="28" t="s">
        <v>316</v>
      </c>
      <c r="F18" s="28" t="s">
        <v>394</v>
      </c>
      <c r="G18" s="28" t="s">
        <v>394</v>
      </c>
      <c r="H18" s="28" t="s">
        <v>394</v>
      </c>
      <c r="I18" s="28" t="s">
        <v>394</v>
      </c>
      <c r="J18" s="28" t="s">
        <v>394</v>
      </c>
      <c r="K18" s="28" t="s">
        <v>394</v>
      </c>
      <c r="L18" s="28" t="s">
        <v>394</v>
      </c>
      <c r="M18" s="28" t="s">
        <v>394</v>
      </c>
      <c r="N18" s="28" t="s">
        <v>394</v>
      </c>
      <c r="O18" s="28" t="s">
        <v>394</v>
      </c>
      <c r="P18" s="28" t="s">
        <v>394</v>
      </c>
      <c r="Q18" s="28" t="s">
        <v>394</v>
      </c>
      <c r="R18" s="28" t="s">
        <v>394</v>
      </c>
      <c r="S18" s="28" t="s">
        <v>394</v>
      </c>
      <c r="T18" s="28" t="s">
        <v>394</v>
      </c>
      <c r="U18" s="28" t="s">
        <v>312</v>
      </c>
      <c r="V18" s="28" t="s">
        <v>312</v>
      </c>
      <c r="W18" s="28" t="s">
        <v>394</v>
      </c>
      <c r="X18" s="28" t="s">
        <v>394</v>
      </c>
      <c r="Y18" s="28" t="s">
        <v>394</v>
      </c>
      <c r="Z18" s="28" t="s">
        <v>394</v>
      </c>
      <c r="AA18" s="28" t="s">
        <v>394</v>
      </c>
      <c r="AB18" s="28" t="s">
        <v>394</v>
      </c>
      <c r="AC18" s="28" t="s">
        <v>312</v>
      </c>
      <c r="AD18" s="28" t="s">
        <v>394</v>
      </c>
      <c r="AE18" s="28">
        <v>3</v>
      </c>
      <c r="AF18" s="28">
        <v>11</v>
      </c>
      <c r="AG18" s="28">
        <v>274</v>
      </c>
      <c r="AH18" s="28" t="s">
        <v>394</v>
      </c>
      <c r="AI18" s="28" t="s">
        <v>312</v>
      </c>
      <c r="AJ18" s="28" t="s">
        <v>394</v>
      </c>
      <c r="AK18" s="28" t="s">
        <v>394</v>
      </c>
      <c r="AL18" s="28" t="s">
        <v>394</v>
      </c>
      <c r="AM18" s="28">
        <v>6.01</v>
      </c>
      <c r="AN18" s="28">
        <v>174</v>
      </c>
      <c r="AO18" s="42">
        <v>1394</v>
      </c>
      <c r="AP18" s="28" t="s">
        <v>394</v>
      </c>
      <c r="AQ18" s="28" t="s">
        <v>394</v>
      </c>
      <c r="AR18" s="28">
        <v>36</v>
      </c>
      <c r="AS18" s="28">
        <v>50</v>
      </c>
      <c r="AT18" s="28">
        <v>0.5</v>
      </c>
      <c r="AU18" s="28">
        <v>25</v>
      </c>
      <c r="AV18" s="28">
        <v>13</v>
      </c>
      <c r="AW18" s="28" t="s">
        <v>312</v>
      </c>
      <c r="AX18" s="28" t="s">
        <v>394</v>
      </c>
      <c r="AY18" s="28" t="s">
        <v>312</v>
      </c>
      <c r="AZ18" s="28" t="s">
        <v>394</v>
      </c>
      <c r="BA18" s="28" t="s">
        <v>394</v>
      </c>
      <c r="BB18" s="28" t="s">
        <v>394</v>
      </c>
    </row>
    <row r="19" spans="1:54" ht="20.100000000000001" customHeight="1" x14ac:dyDescent="0.3">
      <c r="A19" s="28" t="s">
        <v>342</v>
      </c>
      <c r="B19" s="28" t="s">
        <v>394</v>
      </c>
      <c r="C19" s="28" t="s">
        <v>312</v>
      </c>
      <c r="D19" s="28" t="s">
        <v>394</v>
      </c>
      <c r="E19" s="28" t="s">
        <v>317</v>
      </c>
      <c r="F19" s="28" t="s">
        <v>394</v>
      </c>
      <c r="G19" s="28" t="s">
        <v>394</v>
      </c>
      <c r="H19" s="28" t="s">
        <v>394</v>
      </c>
      <c r="I19" s="28" t="s">
        <v>394</v>
      </c>
      <c r="J19" s="28" t="s">
        <v>394</v>
      </c>
      <c r="K19" s="28" t="s">
        <v>394</v>
      </c>
      <c r="L19" s="28" t="s">
        <v>394</v>
      </c>
      <c r="M19" s="28" t="s">
        <v>394</v>
      </c>
      <c r="N19" s="28" t="s">
        <v>394</v>
      </c>
      <c r="O19" s="28" t="s">
        <v>394</v>
      </c>
      <c r="P19" s="28" t="s">
        <v>394</v>
      </c>
      <c r="Q19" s="28" t="s">
        <v>394</v>
      </c>
      <c r="R19" s="28" t="s">
        <v>394</v>
      </c>
      <c r="S19" s="28" t="s">
        <v>394</v>
      </c>
      <c r="T19" s="28" t="s">
        <v>394</v>
      </c>
      <c r="U19" s="28" t="s">
        <v>312</v>
      </c>
      <c r="V19" s="28" t="s">
        <v>312</v>
      </c>
      <c r="W19" s="28" t="s">
        <v>394</v>
      </c>
      <c r="X19" s="28" t="s">
        <v>394</v>
      </c>
      <c r="Y19" s="28" t="s">
        <v>394</v>
      </c>
      <c r="Z19" s="28" t="s">
        <v>394</v>
      </c>
      <c r="AA19" s="28" t="s">
        <v>394</v>
      </c>
      <c r="AB19" s="28" t="s">
        <v>394</v>
      </c>
      <c r="AC19" s="28" t="s">
        <v>312</v>
      </c>
      <c r="AD19" s="28" t="s">
        <v>394</v>
      </c>
      <c r="AE19" s="28">
        <v>3</v>
      </c>
      <c r="AF19" s="28">
        <v>11</v>
      </c>
      <c r="AG19" s="28">
        <v>274</v>
      </c>
      <c r="AH19" s="28" t="s">
        <v>394</v>
      </c>
      <c r="AI19" s="28" t="s">
        <v>312</v>
      </c>
      <c r="AJ19" s="28" t="s">
        <v>394</v>
      </c>
      <c r="AK19" s="28" t="s">
        <v>394</v>
      </c>
      <c r="AL19" s="28" t="s">
        <v>394</v>
      </c>
      <c r="AM19" s="28">
        <v>6.08</v>
      </c>
      <c r="AN19" s="28">
        <v>176</v>
      </c>
      <c r="AO19" s="42">
        <v>1411</v>
      </c>
      <c r="AP19" s="28" t="s">
        <v>394</v>
      </c>
      <c r="AQ19" s="28" t="s">
        <v>394</v>
      </c>
      <c r="AR19" s="28">
        <v>20</v>
      </c>
      <c r="AS19" s="28">
        <v>50</v>
      </c>
      <c r="AT19" s="28">
        <v>0.3</v>
      </c>
      <c r="AU19" s="28">
        <v>30</v>
      </c>
      <c r="AV19" s="28">
        <v>16</v>
      </c>
      <c r="AW19" s="28" t="s">
        <v>312</v>
      </c>
      <c r="AX19" s="28" t="s">
        <v>394</v>
      </c>
      <c r="AY19" s="28" t="s">
        <v>312</v>
      </c>
      <c r="AZ19" s="28" t="s">
        <v>394</v>
      </c>
      <c r="BA19" s="28" t="s">
        <v>394</v>
      </c>
      <c r="BB19" s="28" t="s">
        <v>394</v>
      </c>
    </row>
    <row r="20" spans="1:54" ht="20.100000000000001" customHeight="1" x14ac:dyDescent="0.3">
      <c r="A20" s="28" t="s">
        <v>342</v>
      </c>
      <c r="B20" s="28" t="s">
        <v>394</v>
      </c>
      <c r="C20" s="28" t="s">
        <v>312</v>
      </c>
      <c r="D20" s="28" t="s">
        <v>394</v>
      </c>
      <c r="E20" s="28" t="s">
        <v>318</v>
      </c>
      <c r="F20" s="28" t="s">
        <v>394</v>
      </c>
      <c r="G20" s="28" t="s">
        <v>394</v>
      </c>
      <c r="H20" s="28" t="s">
        <v>394</v>
      </c>
      <c r="I20" s="28" t="s">
        <v>394</v>
      </c>
      <c r="J20" s="28" t="s">
        <v>394</v>
      </c>
      <c r="K20" s="28" t="s">
        <v>394</v>
      </c>
      <c r="L20" s="28" t="s">
        <v>394</v>
      </c>
      <c r="M20" s="28" t="s">
        <v>394</v>
      </c>
      <c r="N20" s="28" t="s">
        <v>394</v>
      </c>
      <c r="O20" s="28" t="s">
        <v>394</v>
      </c>
      <c r="P20" s="28" t="s">
        <v>394</v>
      </c>
      <c r="Q20" s="28" t="s">
        <v>394</v>
      </c>
      <c r="R20" s="28" t="s">
        <v>394</v>
      </c>
      <c r="S20" s="28" t="s">
        <v>394</v>
      </c>
      <c r="T20" s="28" t="s">
        <v>394</v>
      </c>
      <c r="U20" s="28" t="s">
        <v>312</v>
      </c>
      <c r="V20" s="28" t="s">
        <v>312</v>
      </c>
      <c r="W20" s="28" t="s">
        <v>394</v>
      </c>
      <c r="X20" s="28" t="s">
        <v>394</v>
      </c>
      <c r="Y20" s="28" t="s">
        <v>394</v>
      </c>
      <c r="Z20" s="28" t="s">
        <v>394</v>
      </c>
      <c r="AA20" s="28" t="s">
        <v>394</v>
      </c>
      <c r="AB20" s="28" t="s">
        <v>394</v>
      </c>
      <c r="AC20" s="28" t="s">
        <v>312</v>
      </c>
      <c r="AD20" s="28" t="s">
        <v>394</v>
      </c>
      <c r="AE20" s="28">
        <v>3</v>
      </c>
      <c r="AF20" s="28">
        <v>11</v>
      </c>
      <c r="AG20" s="28">
        <v>274</v>
      </c>
      <c r="AH20" s="28" t="s">
        <v>394</v>
      </c>
      <c r="AI20" s="28" t="s">
        <v>312</v>
      </c>
      <c r="AJ20" s="28" t="s">
        <v>394</v>
      </c>
      <c r="AK20" s="28" t="s">
        <v>394</v>
      </c>
      <c r="AL20" s="28" t="s">
        <v>394</v>
      </c>
      <c r="AM20" s="28">
        <v>6.64</v>
      </c>
      <c r="AN20" s="28">
        <v>193</v>
      </c>
      <c r="AO20" s="42">
        <v>1540</v>
      </c>
      <c r="AP20" s="28" t="s">
        <v>394</v>
      </c>
      <c r="AQ20" s="28" t="s">
        <v>394</v>
      </c>
      <c r="AR20" s="28">
        <v>60</v>
      </c>
      <c r="AS20" s="28">
        <v>150</v>
      </c>
      <c r="AT20" s="28">
        <v>2</v>
      </c>
      <c r="AU20" s="28">
        <v>70</v>
      </c>
      <c r="AV20" s="28">
        <v>32</v>
      </c>
      <c r="AW20" s="28" t="s">
        <v>312</v>
      </c>
      <c r="AX20" s="28" t="s">
        <v>394</v>
      </c>
      <c r="AY20" s="28" t="s">
        <v>312</v>
      </c>
      <c r="AZ20" s="28" t="s">
        <v>394</v>
      </c>
      <c r="BA20" s="28" t="s">
        <v>394</v>
      </c>
      <c r="BB20" s="28" t="s">
        <v>394</v>
      </c>
    </row>
    <row r="21" spans="1:54" ht="20.100000000000001" customHeight="1" x14ac:dyDescent="0.3">
      <c r="A21" s="28" t="s">
        <v>342</v>
      </c>
      <c r="B21" s="28" t="s">
        <v>394</v>
      </c>
      <c r="C21" s="28" t="s">
        <v>312</v>
      </c>
      <c r="D21" s="28" t="s">
        <v>394</v>
      </c>
      <c r="E21" s="28" t="s">
        <v>319</v>
      </c>
      <c r="F21" s="28" t="s">
        <v>394</v>
      </c>
      <c r="G21" s="28" t="s">
        <v>394</v>
      </c>
      <c r="H21" s="28" t="s">
        <v>394</v>
      </c>
      <c r="I21" s="28" t="s">
        <v>394</v>
      </c>
      <c r="J21" s="28" t="s">
        <v>394</v>
      </c>
      <c r="K21" s="28" t="s">
        <v>394</v>
      </c>
      <c r="L21" s="28" t="s">
        <v>394</v>
      </c>
      <c r="M21" s="28" t="s">
        <v>394</v>
      </c>
      <c r="N21" s="28" t="s">
        <v>394</v>
      </c>
      <c r="O21" s="28" t="s">
        <v>394</v>
      </c>
      <c r="P21" s="28" t="s">
        <v>394</v>
      </c>
      <c r="Q21" s="28" t="s">
        <v>394</v>
      </c>
      <c r="R21" s="28" t="s">
        <v>394</v>
      </c>
      <c r="S21" s="28" t="s">
        <v>394</v>
      </c>
      <c r="T21" s="28" t="s">
        <v>394</v>
      </c>
      <c r="U21" s="28" t="s">
        <v>312</v>
      </c>
      <c r="V21" s="28" t="s">
        <v>394</v>
      </c>
      <c r="W21" s="28" t="s">
        <v>312</v>
      </c>
      <c r="X21" s="28" t="s">
        <v>394</v>
      </c>
      <c r="Y21" s="28" t="s">
        <v>394</v>
      </c>
      <c r="Z21" s="28" t="s">
        <v>394</v>
      </c>
      <c r="AA21" s="28" t="s">
        <v>394</v>
      </c>
      <c r="AB21" s="28" t="s">
        <v>394</v>
      </c>
      <c r="AC21" s="28" t="s">
        <v>312</v>
      </c>
      <c r="AD21" s="28" t="s">
        <v>394</v>
      </c>
      <c r="AE21" s="28">
        <v>3</v>
      </c>
      <c r="AF21" s="28">
        <v>11</v>
      </c>
      <c r="AG21" s="28">
        <v>274</v>
      </c>
      <c r="AH21" s="28" t="s">
        <v>394</v>
      </c>
      <c r="AI21" s="28" t="s">
        <v>312</v>
      </c>
      <c r="AJ21" s="28" t="s">
        <v>394</v>
      </c>
      <c r="AK21" s="28" t="s">
        <v>394</v>
      </c>
      <c r="AL21" s="28" t="s">
        <v>394</v>
      </c>
      <c r="AM21" s="28">
        <v>4.18</v>
      </c>
      <c r="AN21" s="28">
        <v>121</v>
      </c>
      <c r="AO21" s="28">
        <v>970</v>
      </c>
      <c r="AP21" s="28" t="s">
        <v>394</v>
      </c>
      <c r="AQ21" s="28" t="s">
        <v>394</v>
      </c>
      <c r="AR21" s="28">
        <v>30</v>
      </c>
      <c r="AS21" s="28">
        <v>100</v>
      </c>
      <c r="AT21" s="28">
        <v>0.5</v>
      </c>
      <c r="AU21" s="28">
        <v>50</v>
      </c>
      <c r="AV21" s="28">
        <v>35</v>
      </c>
      <c r="AW21" s="28" t="s">
        <v>312</v>
      </c>
      <c r="AX21" s="28" t="s">
        <v>394</v>
      </c>
      <c r="AY21" s="28" t="s">
        <v>312</v>
      </c>
      <c r="AZ21" s="28" t="s">
        <v>394</v>
      </c>
      <c r="BA21" s="28" t="s">
        <v>394</v>
      </c>
      <c r="BB21" s="28" t="s">
        <v>394</v>
      </c>
    </row>
    <row r="22" spans="1:54" ht="20.100000000000001" customHeight="1" x14ac:dyDescent="0.3">
      <c r="A22" s="28" t="s">
        <v>342</v>
      </c>
      <c r="B22" s="28" t="s">
        <v>394</v>
      </c>
      <c r="C22" s="28" t="s">
        <v>312</v>
      </c>
      <c r="D22" s="28" t="s">
        <v>394</v>
      </c>
      <c r="E22" s="28" t="s">
        <v>320</v>
      </c>
      <c r="F22" s="28" t="s">
        <v>394</v>
      </c>
      <c r="G22" s="28" t="s">
        <v>394</v>
      </c>
      <c r="H22" s="28" t="s">
        <v>394</v>
      </c>
      <c r="I22" s="28" t="s">
        <v>394</v>
      </c>
      <c r="J22" s="28" t="s">
        <v>394</v>
      </c>
      <c r="K22" s="28" t="s">
        <v>394</v>
      </c>
      <c r="L22" s="28" t="s">
        <v>394</v>
      </c>
      <c r="M22" s="28" t="s">
        <v>394</v>
      </c>
      <c r="N22" s="28" t="s">
        <v>394</v>
      </c>
      <c r="O22" s="28" t="s">
        <v>394</v>
      </c>
      <c r="P22" s="28" t="s">
        <v>394</v>
      </c>
      <c r="Q22" s="28" t="s">
        <v>394</v>
      </c>
      <c r="R22" s="28" t="s">
        <v>394</v>
      </c>
      <c r="S22" s="28" t="s">
        <v>394</v>
      </c>
      <c r="T22" s="28" t="s">
        <v>394</v>
      </c>
      <c r="U22" s="28" t="s">
        <v>312</v>
      </c>
      <c r="V22" s="28" t="s">
        <v>394</v>
      </c>
      <c r="W22" s="28" t="s">
        <v>312</v>
      </c>
      <c r="X22" s="28" t="s">
        <v>394</v>
      </c>
      <c r="Y22" s="28" t="s">
        <v>394</v>
      </c>
      <c r="Z22" s="28" t="s">
        <v>394</v>
      </c>
      <c r="AA22" s="28" t="s">
        <v>394</v>
      </c>
      <c r="AB22" s="28" t="s">
        <v>394</v>
      </c>
      <c r="AC22" s="28" t="s">
        <v>312</v>
      </c>
      <c r="AD22" s="28" t="s">
        <v>394</v>
      </c>
      <c r="AE22" s="28">
        <v>3</v>
      </c>
      <c r="AF22" s="28">
        <v>11</v>
      </c>
      <c r="AG22" s="28">
        <v>274</v>
      </c>
      <c r="AH22" s="28" t="s">
        <v>394</v>
      </c>
      <c r="AI22" s="28" t="s">
        <v>312</v>
      </c>
      <c r="AJ22" s="28" t="s">
        <v>394</v>
      </c>
      <c r="AK22" s="28" t="s">
        <v>394</v>
      </c>
      <c r="AL22" s="28" t="s">
        <v>394</v>
      </c>
      <c r="AM22" s="28">
        <v>4.18</v>
      </c>
      <c r="AN22" s="28">
        <v>121</v>
      </c>
      <c r="AO22" s="28">
        <v>970</v>
      </c>
      <c r="AP22" s="28" t="s">
        <v>394</v>
      </c>
      <c r="AQ22" s="28" t="s">
        <v>394</v>
      </c>
      <c r="AR22" s="28">
        <v>24</v>
      </c>
      <c r="AS22" s="28">
        <v>50</v>
      </c>
      <c r="AT22" s="28">
        <v>0.5</v>
      </c>
      <c r="AU22" s="28">
        <v>50</v>
      </c>
      <c r="AV22" s="28">
        <v>32</v>
      </c>
      <c r="AW22" s="28" t="s">
        <v>312</v>
      </c>
      <c r="AX22" s="28" t="s">
        <v>394</v>
      </c>
      <c r="AY22" s="28" t="s">
        <v>312</v>
      </c>
      <c r="AZ22" s="28" t="s">
        <v>394</v>
      </c>
      <c r="BA22" s="28" t="s">
        <v>394</v>
      </c>
      <c r="BB22" s="28" t="s">
        <v>394</v>
      </c>
    </row>
    <row r="23" spans="1:54" ht="20.100000000000001" customHeight="1" x14ac:dyDescent="0.3">
      <c r="A23" s="28" t="s">
        <v>342</v>
      </c>
      <c r="B23" s="28" t="s">
        <v>394</v>
      </c>
      <c r="C23" s="28" t="s">
        <v>312</v>
      </c>
      <c r="D23" s="28" t="s">
        <v>394</v>
      </c>
      <c r="E23" s="28" t="s">
        <v>321</v>
      </c>
      <c r="F23" s="28" t="s">
        <v>394</v>
      </c>
      <c r="G23" s="28" t="s">
        <v>394</v>
      </c>
      <c r="H23" s="28" t="s">
        <v>394</v>
      </c>
      <c r="I23" s="28" t="s">
        <v>394</v>
      </c>
      <c r="J23" s="28" t="s">
        <v>394</v>
      </c>
      <c r="K23" s="28" t="s">
        <v>394</v>
      </c>
      <c r="L23" s="28" t="s">
        <v>394</v>
      </c>
      <c r="M23" s="28" t="s">
        <v>394</v>
      </c>
      <c r="N23" s="28" t="s">
        <v>394</v>
      </c>
      <c r="O23" s="28" t="s">
        <v>394</v>
      </c>
      <c r="P23" s="28" t="s">
        <v>394</v>
      </c>
      <c r="Q23" s="28" t="s">
        <v>394</v>
      </c>
      <c r="R23" s="28" t="s">
        <v>394</v>
      </c>
      <c r="S23" s="28" t="s">
        <v>394</v>
      </c>
      <c r="T23" s="28" t="s">
        <v>394</v>
      </c>
      <c r="U23" s="28" t="s">
        <v>312</v>
      </c>
      <c r="V23" s="28" t="s">
        <v>312</v>
      </c>
      <c r="W23" s="28" t="s">
        <v>394</v>
      </c>
      <c r="X23" s="28" t="s">
        <v>394</v>
      </c>
      <c r="Y23" s="28" t="s">
        <v>394</v>
      </c>
      <c r="Z23" s="28" t="s">
        <v>394</v>
      </c>
      <c r="AA23" s="28" t="s">
        <v>394</v>
      </c>
      <c r="AB23" s="28" t="s">
        <v>394</v>
      </c>
      <c r="AC23" s="28" t="s">
        <v>312</v>
      </c>
      <c r="AD23" s="28" t="s">
        <v>394</v>
      </c>
      <c r="AE23" s="28">
        <v>3</v>
      </c>
      <c r="AF23" s="28">
        <v>11</v>
      </c>
      <c r="AG23" s="28">
        <v>274</v>
      </c>
      <c r="AH23" s="28" t="s">
        <v>394</v>
      </c>
      <c r="AI23" s="28" t="s">
        <v>312</v>
      </c>
      <c r="AJ23" s="28" t="s">
        <v>394</v>
      </c>
      <c r="AK23" s="28" t="s">
        <v>394</v>
      </c>
      <c r="AL23" s="28" t="s">
        <v>394</v>
      </c>
      <c r="AM23" s="28">
        <v>6.22</v>
      </c>
      <c r="AN23" s="28">
        <v>180</v>
      </c>
      <c r="AO23" s="42">
        <v>1443</v>
      </c>
      <c r="AP23" s="28" t="s">
        <v>394</v>
      </c>
      <c r="AQ23" s="28" t="s">
        <v>394</v>
      </c>
      <c r="AR23" s="28">
        <v>30</v>
      </c>
      <c r="AS23" s="28">
        <v>50</v>
      </c>
      <c r="AT23" s="28">
        <v>0.5</v>
      </c>
      <c r="AU23" s="28">
        <v>40</v>
      </c>
      <c r="AV23" s="28">
        <v>40</v>
      </c>
      <c r="AW23" s="28" t="s">
        <v>312</v>
      </c>
      <c r="AX23" s="28" t="s">
        <v>394</v>
      </c>
      <c r="AY23" s="28" t="s">
        <v>312</v>
      </c>
      <c r="AZ23" s="28" t="s">
        <v>394</v>
      </c>
      <c r="BA23" s="28" t="s">
        <v>394</v>
      </c>
      <c r="BB23" s="28" t="s">
        <v>394</v>
      </c>
    </row>
    <row r="24" spans="1:54" ht="20.100000000000001" customHeight="1" x14ac:dyDescent="0.3">
      <c r="A24" s="28" t="s">
        <v>342</v>
      </c>
      <c r="B24" s="28" t="s">
        <v>394</v>
      </c>
      <c r="C24" s="28" t="s">
        <v>312</v>
      </c>
      <c r="D24" s="28" t="s">
        <v>394</v>
      </c>
      <c r="E24" s="28" t="s">
        <v>322</v>
      </c>
      <c r="F24" s="28" t="s">
        <v>394</v>
      </c>
      <c r="G24" s="28" t="s">
        <v>394</v>
      </c>
      <c r="H24" s="28" t="s">
        <v>394</v>
      </c>
      <c r="I24" s="28" t="s">
        <v>394</v>
      </c>
      <c r="J24" s="28" t="s">
        <v>394</v>
      </c>
      <c r="K24" s="28" t="s">
        <v>394</v>
      </c>
      <c r="L24" s="28" t="s">
        <v>394</v>
      </c>
      <c r="M24" s="28" t="s">
        <v>394</v>
      </c>
      <c r="N24" s="28" t="s">
        <v>394</v>
      </c>
      <c r="O24" s="28" t="s">
        <v>394</v>
      </c>
      <c r="P24" s="28" t="s">
        <v>394</v>
      </c>
      <c r="Q24" s="28" t="s">
        <v>394</v>
      </c>
      <c r="R24" s="28" t="s">
        <v>394</v>
      </c>
      <c r="S24" s="28" t="s">
        <v>394</v>
      </c>
      <c r="T24" s="28" t="s">
        <v>394</v>
      </c>
      <c r="U24" s="28" t="s">
        <v>312</v>
      </c>
      <c r="V24" s="28" t="s">
        <v>312</v>
      </c>
      <c r="W24" s="28" t="s">
        <v>394</v>
      </c>
      <c r="X24" s="28" t="s">
        <v>394</v>
      </c>
      <c r="Y24" s="28" t="s">
        <v>394</v>
      </c>
      <c r="Z24" s="28" t="s">
        <v>394</v>
      </c>
      <c r="AA24" s="28" t="s">
        <v>394</v>
      </c>
      <c r="AB24" s="28" t="s">
        <v>394</v>
      </c>
      <c r="AC24" s="28" t="s">
        <v>312</v>
      </c>
      <c r="AD24" s="28" t="s">
        <v>394</v>
      </c>
      <c r="AE24" s="28">
        <v>3</v>
      </c>
      <c r="AF24" s="28">
        <v>11</v>
      </c>
      <c r="AG24" s="28">
        <v>274</v>
      </c>
      <c r="AH24" s="28" t="s">
        <v>394</v>
      </c>
      <c r="AI24" s="28" t="s">
        <v>312</v>
      </c>
      <c r="AJ24" s="28" t="s">
        <v>394</v>
      </c>
      <c r="AK24" s="28" t="s">
        <v>394</v>
      </c>
      <c r="AL24" s="28" t="s">
        <v>394</v>
      </c>
      <c r="AM24" s="28">
        <v>6.92</v>
      </c>
      <c r="AN24" s="28">
        <v>201</v>
      </c>
      <c r="AO24" s="42">
        <v>1605</v>
      </c>
      <c r="AP24" s="28" t="s">
        <v>394</v>
      </c>
      <c r="AQ24" s="28" t="s">
        <v>394</v>
      </c>
      <c r="AR24" s="28">
        <v>100</v>
      </c>
      <c r="AS24" s="28">
        <v>150</v>
      </c>
      <c r="AT24" s="28">
        <v>2</v>
      </c>
      <c r="AU24" s="28">
        <v>90</v>
      </c>
      <c r="AV24" s="28">
        <v>25</v>
      </c>
      <c r="AW24" s="28" t="s">
        <v>312</v>
      </c>
      <c r="AX24" s="28" t="s">
        <v>394</v>
      </c>
      <c r="AY24" s="28" t="s">
        <v>312</v>
      </c>
      <c r="AZ24" s="28" t="s">
        <v>394</v>
      </c>
      <c r="BA24" s="28" t="s">
        <v>394</v>
      </c>
      <c r="BB24" s="28" t="s">
        <v>394</v>
      </c>
    </row>
    <row r="25" spans="1:54" ht="20.100000000000001" customHeight="1" x14ac:dyDescent="0.3">
      <c r="A25" s="28" t="s">
        <v>342</v>
      </c>
      <c r="B25" s="28" t="s">
        <v>394</v>
      </c>
      <c r="C25" s="28" t="s">
        <v>312</v>
      </c>
      <c r="D25" s="28" t="s">
        <v>394</v>
      </c>
      <c r="E25" s="28" t="s">
        <v>323</v>
      </c>
      <c r="F25" s="28" t="s">
        <v>394</v>
      </c>
      <c r="G25" s="28" t="s">
        <v>394</v>
      </c>
      <c r="H25" s="28" t="s">
        <v>394</v>
      </c>
      <c r="I25" s="28" t="s">
        <v>394</v>
      </c>
      <c r="J25" s="28" t="s">
        <v>394</v>
      </c>
      <c r="K25" s="28" t="s">
        <v>394</v>
      </c>
      <c r="L25" s="28" t="s">
        <v>394</v>
      </c>
      <c r="M25" s="28" t="s">
        <v>394</v>
      </c>
      <c r="N25" s="28" t="s">
        <v>394</v>
      </c>
      <c r="O25" s="28" t="s">
        <v>394</v>
      </c>
      <c r="P25" s="28" t="s">
        <v>394</v>
      </c>
      <c r="Q25" s="28" t="s">
        <v>394</v>
      </c>
      <c r="R25" s="28" t="s">
        <v>394</v>
      </c>
      <c r="S25" s="28" t="s">
        <v>394</v>
      </c>
      <c r="T25" s="28" t="s">
        <v>394</v>
      </c>
      <c r="U25" s="28" t="s">
        <v>312</v>
      </c>
      <c r="V25" s="28" t="s">
        <v>312</v>
      </c>
      <c r="W25" s="28" t="s">
        <v>394</v>
      </c>
      <c r="X25" s="28" t="s">
        <v>394</v>
      </c>
      <c r="Y25" s="28" t="s">
        <v>394</v>
      </c>
      <c r="Z25" s="28" t="s">
        <v>394</v>
      </c>
      <c r="AA25" s="28" t="s">
        <v>394</v>
      </c>
      <c r="AB25" s="28" t="s">
        <v>394</v>
      </c>
      <c r="AC25" s="28" t="s">
        <v>312</v>
      </c>
      <c r="AD25" s="28" t="s">
        <v>394</v>
      </c>
      <c r="AE25" s="28">
        <v>3</v>
      </c>
      <c r="AF25" s="28">
        <v>11</v>
      </c>
      <c r="AG25" s="28">
        <v>274</v>
      </c>
      <c r="AH25" s="28" t="s">
        <v>394</v>
      </c>
      <c r="AI25" s="28" t="s">
        <v>312</v>
      </c>
      <c r="AJ25" s="28" t="s">
        <v>394</v>
      </c>
      <c r="AK25" s="28" t="s">
        <v>394</v>
      </c>
      <c r="AL25" s="28" t="s">
        <v>394</v>
      </c>
      <c r="AM25" s="28">
        <v>6.99</v>
      </c>
      <c r="AN25" s="28">
        <v>203</v>
      </c>
      <c r="AO25" s="42">
        <v>1622</v>
      </c>
      <c r="AP25" s="28" t="s">
        <v>394</v>
      </c>
      <c r="AQ25" s="28" t="s">
        <v>394</v>
      </c>
      <c r="AR25" s="28">
        <v>100</v>
      </c>
      <c r="AS25" s="28">
        <v>150</v>
      </c>
      <c r="AT25" s="28">
        <v>2</v>
      </c>
      <c r="AU25" s="28">
        <v>95</v>
      </c>
      <c r="AV25" s="28">
        <v>40</v>
      </c>
      <c r="AW25" s="28" t="s">
        <v>312</v>
      </c>
      <c r="AX25" s="28" t="s">
        <v>394</v>
      </c>
      <c r="AY25" s="28" t="s">
        <v>312</v>
      </c>
      <c r="AZ25" s="28" t="s">
        <v>394</v>
      </c>
      <c r="BA25" s="28" t="s">
        <v>394</v>
      </c>
      <c r="BB25" s="28" t="s">
        <v>394</v>
      </c>
    </row>
    <row r="26" spans="1:54" ht="20.100000000000001" customHeight="1" x14ac:dyDescent="0.3">
      <c r="A26" s="28" t="s">
        <v>342</v>
      </c>
      <c r="B26" s="28" t="s">
        <v>394</v>
      </c>
      <c r="C26" s="28" t="s">
        <v>312</v>
      </c>
      <c r="D26" s="28" t="s">
        <v>394</v>
      </c>
      <c r="E26" s="28" t="s">
        <v>324</v>
      </c>
      <c r="F26" s="28" t="s">
        <v>394</v>
      </c>
      <c r="G26" s="28" t="s">
        <v>394</v>
      </c>
      <c r="H26" s="28" t="s">
        <v>394</v>
      </c>
      <c r="I26" s="28" t="s">
        <v>394</v>
      </c>
      <c r="J26" s="28" t="s">
        <v>394</v>
      </c>
      <c r="K26" s="28" t="s">
        <v>394</v>
      </c>
      <c r="L26" s="28" t="s">
        <v>394</v>
      </c>
      <c r="M26" s="28" t="s">
        <v>394</v>
      </c>
      <c r="N26" s="28" t="s">
        <v>394</v>
      </c>
      <c r="O26" s="28" t="s">
        <v>394</v>
      </c>
      <c r="P26" s="28" t="s">
        <v>394</v>
      </c>
      <c r="Q26" s="28" t="s">
        <v>394</v>
      </c>
      <c r="R26" s="28" t="s">
        <v>394</v>
      </c>
      <c r="S26" s="28" t="s">
        <v>394</v>
      </c>
      <c r="T26" s="28" t="s">
        <v>394</v>
      </c>
      <c r="U26" s="28" t="s">
        <v>312</v>
      </c>
      <c r="V26" s="28" t="s">
        <v>312</v>
      </c>
      <c r="W26" s="28" t="s">
        <v>394</v>
      </c>
      <c r="X26" s="28" t="s">
        <v>394</v>
      </c>
      <c r="Y26" s="28" t="s">
        <v>394</v>
      </c>
      <c r="Z26" s="28" t="s">
        <v>394</v>
      </c>
      <c r="AA26" s="28" t="s">
        <v>394</v>
      </c>
      <c r="AB26" s="28" t="s">
        <v>394</v>
      </c>
      <c r="AC26" s="28" t="s">
        <v>312</v>
      </c>
      <c r="AD26" s="28" t="s">
        <v>394</v>
      </c>
      <c r="AE26" s="28">
        <v>3</v>
      </c>
      <c r="AF26" s="28">
        <v>11</v>
      </c>
      <c r="AG26" s="28">
        <v>274</v>
      </c>
      <c r="AH26" s="28" t="s">
        <v>394</v>
      </c>
      <c r="AI26" s="28" t="s">
        <v>312</v>
      </c>
      <c r="AJ26" s="28" t="s">
        <v>394</v>
      </c>
      <c r="AK26" s="28" t="s">
        <v>394</v>
      </c>
      <c r="AL26" s="28" t="s">
        <v>394</v>
      </c>
      <c r="AM26" s="28">
        <v>6.08</v>
      </c>
      <c r="AN26" s="28">
        <v>176</v>
      </c>
      <c r="AO26" s="42">
        <v>1411</v>
      </c>
      <c r="AP26" s="28" t="s">
        <v>394</v>
      </c>
      <c r="AQ26" s="28" t="s">
        <v>394</v>
      </c>
      <c r="AR26" s="28">
        <v>27</v>
      </c>
      <c r="AS26" s="28">
        <v>50</v>
      </c>
      <c r="AT26" s="28">
        <v>0.5</v>
      </c>
      <c r="AU26" s="28">
        <v>30</v>
      </c>
      <c r="AV26" s="28">
        <v>35</v>
      </c>
      <c r="AW26" s="28" t="s">
        <v>312</v>
      </c>
      <c r="AX26" s="28" t="s">
        <v>394</v>
      </c>
      <c r="AY26" s="28" t="s">
        <v>312</v>
      </c>
      <c r="AZ26" s="28" t="s">
        <v>394</v>
      </c>
      <c r="BA26" s="28" t="s">
        <v>394</v>
      </c>
      <c r="BB26" s="28" t="s">
        <v>394</v>
      </c>
    </row>
    <row r="27" spans="1:54" ht="20.100000000000001" customHeight="1" x14ac:dyDescent="0.3">
      <c r="A27" s="28" t="s">
        <v>342</v>
      </c>
      <c r="B27" s="28" t="s">
        <v>394</v>
      </c>
      <c r="C27" s="28" t="s">
        <v>312</v>
      </c>
      <c r="D27" s="28" t="s">
        <v>394</v>
      </c>
      <c r="E27" s="28" t="s">
        <v>325</v>
      </c>
      <c r="F27" s="28" t="s">
        <v>394</v>
      </c>
      <c r="G27" s="28" t="s">
        <v>394</v>
      </c>
      <c r="H27" s="28" t="s">
        <v>394</v>
      </c>
      <c r="I27" s="28" t="s">
        <v>394</v>
      </c>
      <c r="J27" s="28" t="s">
        <v>394</v>
      </c>
      <c r="K27" s="28" t="s">
        <v>394</v>
      </c>
      <c r="L27" s="28" t="s">
        <v>394</v>
      </c>
      <c r="M27" s="28" t="s">
        <v>394</v>
      </c>
      <c r="N27" s="28" t="s">
        <v>394</v>
      </c>
      <c r="O27" s="28" t="s">
        <v>394</v>
      </c>
      <c r="P27" s="28" t="s">
        <v>394</v>
      </c>
      <c r="Q27" s="28" t="s">
        <v>394</v>
      </c>
      <c r="R27" s="28" t="s">
        <v>394</v>
      </c>
      <c r="S27" s="28" t="s">
        <v>394</v>
      </c>
      <c r="T27" s="28" t="s">
        <v>394</v>
      </c>
      <c r="U27" s="28" t="s">
        <v>312</v>
      </c>
      <c r="V27" s="28" t="s">
        <v>312</v>
      </c>
      <c r="W27" s="28" t="s">
        <v>394</v>
      </c>
      <c r="X27" s="28" t="s">
        <v>394</v>
      </c>
      <c r="Y27" s="28" t="s">
        <v>394</v>
      </c>
      <c r="Z27" s="28" t="s">
        <v>394</v>
      </c>
      <c r="AA27" s="28" t="s">
        <v>394</v>
      </c>
      <c r="AB27" s="28" t="s">
        <v>394</v>
      </c>
      <c r="AC27" s="28" t="s">
        <v>312</v>
      </c>
      <c r="AD27" s="28" t="s">
        <v>394</v>
      </c>
      <c r="AE27" s="28">
        <v>3</v>
      </c>
      <c r="AF27" s="28">
        <v>11</v>
      </c>
      <c r="AG27" s="28">
        <v>274</v>
      </c>
      <c r="AH27" s="28" t="s">
        <v>394</v>
      </c>
      <c r="AI27" s="28" t="s">
        <v>312</v>
      </c>
      <c r="AJ27" s="28" t="s">
        <v>394</v>
      </c>
      <c r="AK27" s="28" t="s">
        <v>394</v>
      </c>
      <c r="AL27" s="28" t="s">
        <v>394</v>
      </c>
      <c r="AM27" s="28">
        <v>6.08</v>
      </c>
      <c r="AN27" s="28">
        <v>176</v>
      </c>
      <c r="AO27" s="42">
        <v>1411</v>
      </c>
      <c r="AP27" s="28" t="s">
        <v>394</v>
      </c>
      <c r="AQ27" s="28" t="s">
        <v>394</v>
      </c>
      <c r="AR27" s="28">
        <v>30</v>
      </c>
      <c r="AS27" s="28">
        <v>50</v>
      </c>
      <c r="AT27" s="28">
        <v>0.5</v>
      </c>
      <c r="AU27" s="28">
        <v>30</v>
      </c>
      <c r="AV27" s="28">
        <v>15</v>
      </c>
      <c r="AW27" s="28" t="s">
        <v>312</v>
      </c>
      <c r="AX27" s="28" t="s">
        <v>394</v>
      </c>
      <c r="AY27" s="28" t="s">
        <v>312</v>
      </c>
      <c r="AZ27" s="28" t="s">
        <v>394</v>
      </c>
      <c r="BA27" s="28" t="s">
        <v>394</v>
      </c>
      <c r="BB27" s="28" t="s">
        <v>394</v>
      </c>
    </row>
    <row r="28" spans="1:54" ht="20.100000000000001" customHeight="1" x14ac:dyDescent="0.3">
      <c r="A28" s="28" t="s">
        <v>342</v>
      </c>
      <c r="B28" s="28" t="s">
        <v>394</v>
      </c>
      <c r="C28" s="28" t="s">
        <v>312</v>
      </c>
      <c r="D28" s="28" t="s">
        <v>394</v>
      </c>
      <c r="E28" s="28" t="s">
        <v>326</v>
      </c>
      <c r="F28" s="28" t="s">
        <v>394</v>
      </c>
      <c r="G28" s="28" t="s">
        <v>394</v>
      </c>
      <c r="H28" s="28" t="s">
        <v>394</v>
      </c>
      <c r="I28" s="28" t="s">
        <v>394</v>
      </c>
      <c r="J28" s="28" t="s">
        <v>394</v>
      </c>
      <c r="K28" s="28" t="s">
        <v>394</v>
      </c>
      <c r="L28" s="28" t="s">
        <v>394</v>
      </c>
      <c r="M28" s="28" t="s">
        <v>394</v>
      </c>
      <c r="N28" s="28" t="s">
        <v>394</v>
      </c>
      <c r="O28" s="28" t="s">
        <v>394</v>
      </c>
      <c r="P28" s="28" t="s">
        <v>394</v>
      </c>
      <c r="Q28" s="28" t="s">
        <v>394</v>
      </c>
      <c r="R28" s="28" t="s">
        <v>394</v>
      </c>
      <c r="S28" s="28" t="s">
        <v>394</v>
      </c>
      <c r="T28" s="28" t="s">
        <v>394</v>
      </c>
      <c r="U28" s="28" t="s">
        <v>312</v>
      </c>
      <c r="V28" s="28" t="s">
        <v>394</v>
      </c>
      <c r="W28" s="28" t="s">
        <v>312</v>
      </c>
      <c r="X28" s="28" t="s">
        <v>394</v>
      </c>
      <c r="Y28" s="28" t="s">
        <v>394</v>
      </c>
      <c r="Z28" s="28" t="s">
        <v>394</v>
      </c>
      <c r="AA28" s="28" t="s">
        <v>394</v>
      </c>
      <c r="AB28" s="28" t="s">
        <v>394</v>
      </c>
      <c r="AC28" s="28" t="s">
        <v>312</v>
      </c>
      <c r="AD28" s="28" t="s">
        <v>394</v>
      </c>
      <c r="AE28" s="28">
        <v>3</v>
      </c>
      <c r="AF28" s="28">
        <v>11</v>
      </c>
      <c r="AG28" s="28">
        <v>274</v>
      </c>
      <c r="AH28" s="28" t="s">
        <v>394</v>
      </c>
      <c r="AI28" s="28" t="s">
        <v>312</v>
      </c>
      <c r="AJ28" s="28" t="s">
        <v>394</v>
      </c>
      <c r="AK28" s="28" t="s">
        <v>394</v>
      </c>
      <c r="AL28" s="28" t="s">
        <v>394</v>
      </c>
      <c r="AM28" s="28">
        <v>4.18</v>
      </c>
      <c r="AN28" s="28">
        <v>121</v>
      </c>
      <c r="AO28" s="28">
        <v>970</v>
      </c>
      <c r="AP28" s="28" t="s">
        <v>394</v>
      </c>
      <c r="AQ28" s="28" t="s">
        <v>394</v>
      </c>
      <c r="AR28" s="28">
        <v>30</v>
      </c>
      <c r="AS28" s="28">
        <v>50</v>
      </c>
      <c r="AT28" s="28">
        <v>0.5</v>
      </c>
      <c r="AU28" s="28">
        <v>50</v>
      </c>
      <c r="AV28" s="28">
        <v>32</v>
      </c>
      <c r="AW28" s="28" t="s">
        <v>312</v>
      </c>
      <c r="AX28" s="28" t="s">
        <v>394</v>
      </c>
      <c r="AY28" s="28" t="s">
        <v>312</v>
      </c>
      <c r="AZ28" s="28" t="s">
        <v>394</v>
      </c>
      <c r="BA28" s="28" t="s">
        <v>394</v>
      </c>
      <c r="BB28" s="28" t="s">
        <v>394</v>
      </c>
    </row>
    <row r="29" spans="1:54" ht="20.100000000000001" customHeight="1" x14ac:dyDescent="0.3">
      <c r="A29" s="28" t="s">
        <v>342</v>
      </c>
      <c r="B29" s="28" t="s">
        <v>394</v>
      </c>
      <c r="C29" s="28" t="s">
        <v>312</v>
      </c>
      <c r="D29" s="28" t="s">
        <v>394</v>
      </c>
      <c r="E29" s="28" t="s">
        <v>327</v>
      </c>
      <c r="F29" s="28" t="s">
        <v>394</v>
      </c>
      <c r="G29" s="28" t="s">
        <v>394</v>
      </c>
      <c r="H29" s="28" t="s">
        <v>394</v>
      </c>
      <c r="I29" s="28" t="s">
        <v>394</v>
      </c>
      <c r="J29" s="28" t="s">
        <v>394</v>
      </c>
      <c r="K29" s="28" t="s">
        <v>394</v>
      </c>
      <c r="L29" s="28" t="s">
        <v>394</v>
      </c>
      <c r="M29" s="28" t="s">
        <v>394</v>
      </c>
      <c r="N29" s="28" t="s">
        <v>394</v>
      </c>
      <c r="O29" s="28" t="s">
        <v>394</v>
      </c>
      <c r="P29" s="28" t="s">
        <v>394</v>
      </c>
      <c r="Q29" s="28" t="s">
        <v>394</v>
      </c>
      <c r="R29" s="28" t="s">
        <v>394</v>
      </c>
      <c r="S29" s="28" t="s">
        <v>394</v>
      </c>
      <c r="T29" s="28" t="s">
        <v>394</v>
      </c>
      <c r="U29" s="28" t="s">
        <v>312</v>
      </c>
      <c r="V29" s="28" t="s">
        <v>394</v>
      </c>
      <c r="W29" s="28" t="s">
        <v>312</v>
      </c>
      <c r="X29" s="28" t="s">
        <v>394</v>
      </c>
      <c r="Y29" s="28" t="s">
        <v>394</v>
      </c>
      <c r="Z29" s="28" t="s">
        <v>394</v>
      </c>
      <c r="AA29" s="28" t="s">
        <v>394</v>
      </c>
      <c r="AB29" s="28" t="s">
        <v>394</v>
      </c>
      <c r="AC29" s="28" t="s">
        <v>312</v>
      </c>
      <c r="AD29" s="28" t="s">
        <v>394</v>
      </c>
      <c r="AE29" s="28">
        <v>3</v>
      </c>
      <c r="AF29" s="28">
        <v>11</v>
      </c>
      <c r="AG29" s="28">
        <v>274</v>
      </c>
      <c r="AH29" s="28" t="s">
        <v>394</v>
      </c>
      <c r="AI29" s="28" t="s">
        <v>312</v>
      </c>
      <c r="AJ29" s="28" t="s">
        <v>394</v>
      </c>
      <c r="AK29" s="28" t="s">
        <v>394</v>
      </c>
      <c r="AL29" s="28" t="s">
        <v>394</v>
      </c>
      <c r="AM29" s="28">
        <v>5.5</v>
      </c>
      <c r="AN29" s="28">
        <v>160</v>
      </c>
      <c r="AO29" s="42">
        <v>1276</v>
      </c>
      <c r="AP29" s="28" t="s">
        <v>394</v>
      </c>
      <c r="AQ29" s="28" t="s">
        <v>394</v>
      </c>
      <c r="AR29" s="28">
        <v>30</v>
      </c>
      <c r="AS29" s="28">
        <v>50</v>
      </c>
      <c r="AT29" s="28">
        <v>0.5</v>
      </c>
      <c r="AU29" s="28">
        <v>80</v>
      </c>
      <c r="AV29" s="28">
        <v>32</v>
      </c>
      <c r="AW29" s="28" t="s">
        <v>312</v>
      </c>
      <c r="AX29" s="28" t="s">
        <v>394</v>
      </c>
      <c r="AY29" s="28" t="s">
        <v>312</v>
      </c>
      <c r="AZ29" s="28" t="s">
        <v>394</v>
      </c>
      <c r="BA29" s="28" t="s">
        <v>394</v>
      </c>
      <c r="BB29" s="28" t="s">
        <v>394</v>
      </c>
    </row>
    <row r="30" spans="1:54" ht="20.100000000000001" customHeight="1" x14ac:dyDescent="0.3">
      <c r="A30" s="28" t="s">
        <v>342</v>
      </c>
      <c r="B30" s="28" t="s">
        <v>394</v>
      </c>
      <c r="C30" s="28" t="s">
        <v>312</v>
      </c>
      <c r="D30" s="28" t="s">
        <v>394</v>
      </c>
      <c r="E30" s="28" t="s">
        <v>328</v>
      </c>
      <c r="F30" s="28" t="s">
        <v>394</v>
      </c>
      <c r="G30" s="28" t="s">
        <v>394</v>
      </c>
      <c r="H30" s="28" t="s">
        <v>394</v>
      </c>
      <c r="I30" s="28" t="s">
        <v>394</v>
      </c>
      <c r="J30" s="28" t="s">
        <v>394</v>
      </c>
      <c r="K30" s="28" t="s">
        <v>394</v>
      </c>
      <c r="L30" s="28" t="s">
        <v>394</v>
      </c>
      <c r="M30" s="28" t="s">
        <v>394</v>
      </c>
      <c r="N30" s="28" t="s">
        <v>394</v>
      </c>
      <c r="O30" s="28" t="s">
        <v>394</v>
      </c>
      <c r="P30" s="28" t="s">
        <v>394</v>
      </c>
      <c r="Q30" s="28" t="s">
        <v>394</v>
      </c>
      <c r="R30" s="28" t="s">
        <v>394</v>
      </c>
      <c r="S30" s="28" t="s">
        <v>394</v>
      </c>
      <c r="T30" s="28" t="s">
        <v>394</v>
      </c>
      <c r="U30" s="28" t="s">
        <v>312</v>
      </c>
      <c r="V30" s="28" t="s">
        <v>394</v>
      </c>
      <c r="W30" s="28" t="s">
        <v>312</v>
      </c>
      <c r="X30" s="28" t="s">
        <v>394</v>
      </c>
      <c r="Y30" s="28" t="s">
        <v>394</v>
      </c>
      <c r="Z30" s="28" t="s">
        <v>394</v>
      </c>
      <c r="AA30" s="28" t="s">
        <v>394</v>
      </c>
      <c r="AB30" s="28" t="s">
        <v>394</v>
      </c>
      <c r="AC30" s="28" t="s">
        <v>312</v>
      </c>
      <c r="AD30" s="28" t="s">
        <v>394</v>
      </c>
      <c r="AE30" s="28">
        <v>3</v>
      </c>
      <c r="AF30" s="28">
        <v>11</v>
      </c>
      <c r="AG30" s="28">
        <v>274</v>
      </c>
      <c r="AH30" s="28" t="s">
        <v>394</v>
      </c>
      <c r="AI30" s="28" t="s">
        <v>312</v>
      </c>
      <c r="AJ30" s="28" t="s">
        <v>394</v>
      </c>
      <c r="AK30" s="28" t="s">
        <v>394</v>
      </c>
      <c r="AL30" s="28" t="s">
        <v>394</v>
      </c>
      <c r="AM30" s="28">
        <v>4.18</v>
      </c>
      <c r="AN30" s="28">
        <v>121</v>
      </c>
      <c r="AO30" s="28">
        <v>970</v>
      </c>
      <c r="AP30" s="28" t="s">
        <v>394</v>
      </c>
      <c r="AQ30" s="28" t="s">
        <v>394</v>
      </c>
      <c r="AR30" s="28">
        <v>20</v>
      </c>
      <c r="AS30" s="28">
        <v>50</v>
      </c>
      <c r="AT30" s="28">
        <v>0.3</v>
      </c>
      <c r="AU30" s="28">
        <v>50</v>
      </c>
      <c r="AV30" s="28">
        <v>20</v>
      </c>
      <c r="AW30" s="28" t="s">
        <v>312</v>
      </c>
      <c r="AX30" s="28" t="s">
        <v>394</v>
      </c>
      <c r="AY30" s="28" t="s">
        <v>312</v>
      </c>
      <c r="AZ30" s="28" t="s">
        <v>394</v>
      </c>
      <c r="BA30" s="28" t="s">
        <v>394</v>
      </c>
      <c r="BB30" s="28" t="s">
        <v>394</v>
      </c>
    </row>
    <row r="31" spans="1:54" ht="20.100000000000001" customHeight="1" x14ac:dyDescent="0.3">
      <c r="A31" s="28" t="s">
        <v>342</v>
      </c>
      <c r="B31" s="28" t="s">
        <v>394</v>
      </c>
      <c r="C31" s="28" t="s">
        <v>312</v>
      </c>
      <c r="D31" s="28" t="s">
        <v>394</v>
      </c>
      <c r="E31" s="28" t="s">
        <v>329</v>
      </c>
      <c r="F31" s="28" t="s">
        <v>394</v>
      </c>
      <c r="G31" s="28" t="s">
        <v>394</v>
      </c>
      <c r="H31" s="28" t="s">
        <v>394</v>
      </c>
      <c r="I31" s="28" t="s">
        <v>394</v>
      </c>
      <c r="J31" s="28" t="s">
        <v>394</v>
      </c>
      <c r="K31" s="28" t="s">
        <v>394</v>
      </c>
      <c r="L31" s="28" t="s">
        <v>394</v>
      </c>
      <c r="M31" s="28" t="s">
        <v>394</v>
      </c>
      <c r="N31" s="28" t="s">
        <v>394</v>
      </c>
      <c r="O31" s="28" t="s">
        <v>394</v>
      </c>
      <c r="P31" s="28" t="s">
        <v>394</v>
      </c>
      <c r="Q31" s="28" t="s">
        <v>394</v>
      </c>
      <c r="R31" s="28" t="s">
        <v>394</v>
      </c>
      <c r="S31" s="28" t="s">
        <v>394</v>
      </c>
      <c r="T31" s="28" t="s">
        <v>394</v>
      </c>
      <c r="U31" s="28" t="s">
        <v>312</v>
      </c>
      <c r="V31" s="28" t="s">
        <v>394</v>
      </c>
      <c r="W31" s="28" t="s">
        <v>312</v>
      </c>
      <c r="X31" s="28" t="s">
        <v>394</v>
      </c>
      <c r="Y31" s="28" t="s">
        <v>394</v>
      </c>
      <c r="Z31" s="28" t="s">
        <v>394</v>
      </c>
      <c r="AA31" s="28" t="s">
        <v>394</v>
      </c>
      <c r="AB31" s="28" t="s">
        <v>394</v>
      </c>
      <c r="AC31" s="28" t="s">
        <v>312</v>
      </c>
      <c r="AD31" s="28" t="s">
        <v>394</v>
      </c>
      <c r="AE31" s="28">
        <v>3</v>
      </c>
      <c r="AF31" s="28">
        <v>11</v>
      </c>
      <c r="AG31" s="28">
        <v>274</v>
      </c>
      <c r="AH31" s="28" t="s">
        <v>394</v>
      </c>
      <c r="AI31" s="28" t="s">
        <v>312</v>
      </c>
      <c r="AJ31" s="28" t="s">
        <v>394</v>
      </c>
      <c r="AK31" s="28" t="s">
        <v>394</v>
      </c>
      <c r="AL31" s="28" t="s">
        <v>394</v>
      </c>
      <c r="AM31" s="28">
        <v>4.18</v>
      </c>
      <c r="AN31" s="28">
        <v>121</v>
      </c>
      <c r="AO31" s="28">
        <v>970</v>
      </c>
      <c r="AP31" s="28" t="s">
        <v>394</v>
      </c>
      <c r="AQ31" s="28" t="s">
        <v>394</v>
      </c>
      <c r="AR31" s="28">
        <v>20</v>
      </c>
      <c r="AS31" s="28">
        <v>50</v>
      </c>
      <c r="AT31" s="28">
        <v>0.5</v>
      </c>
      <c r="AU31" s="28">
        <v>50</v>
      </c>
      <c r="AV31" s="28">
        <v>30</v>
      </c>
      <c r="AW31" s="28" t="s">
        <v>312</v>
      </c>
      <c r="AX31" s="28" t="s">
        <v>394</v>
      </c>
      <c r="AY31" s="28" t="s">
        <v>312</v>
      </c>
      <c r="AZ31" s="28" t="s">
        <v>394</v>
      </c>
      <c r="BA31" s="28" t="s">
        <v>394</v>
      </c>
      <c r="BB31" s="28" t="s">
        <v>394</v>
      </c>
    </row>
    <row r="32" spans="1:54" ht="20.100000000000001" customHeight="1" x14ac:dyDescent="0.3">
      <c r="A32" s="28" t="s">
        <v>342</v>
      </c>
      <c r="B32" s="28" t="s">
        <v>312</v>
      </c>
      <c r="C32" s="28" t="s">
        <v>394</v>
      </c>
      <c r="D32" s="28" t="s">
        <v>394</v>
      </c>
      <c r="E32" s="28" t="s">
        <v>330</v>
      </c>
      <c r="F32" s="28" t="s">
        <v>394</v>
      </c>
      <c r="G32" s="28" t="s">
        <v>394</v>
      </c>
      <c r="H32" s="28" t="s">
        <v>394</v>
      </c>
      <c r="I32" s="28" t="s">
        <v>394</v>
      </c>
      <c r="J32" s="28" t="s">
        <v>394</v>
      </c>
      <c r="K32" s="28" t="s">
        <v>394</v>
      </c>
      <c r="L32" s="28" t="s">
        <v>394</v>
      </c>
      <c r="M32" s="28" t="s">
        <v>394</v>
      </c>
      <c r="N32" s="28" t="s">
        <v>394</v>
      </c>
      <c r="O32" s="28" t="s">
        <v>394</v>
      </c>
      <c r="P32" s="28" t="s">
        <v>394</v>
      </c>
      <c r="Q32" s="28" t="s">
        <v>394</v>
      </c>
      <c r="R32" s="28" t="s">
        <v>394</v>
      </c>
      <c r="S32" s="28" t="s">
        <v>394</v>
      </c>
      <c r="T32" s="28" t="s">
        <v>394</v>
      </c>
      <c r="U32" s="28" t="s">
        <v>312</v>
      </c>
      <c r="V32" s="28" t="s">
        <v>394</v>
      </c>
      <c r="W32" s="28" t="s">
        <v>312</v>
      </c>
      <c r="X32" s="28" t="s">
        <v>394</v>
      </c>
      <c r="Y32" s="28" t="s">
        <v>394</v>
      </c>
      <c r="Z32" s="28" t="s">
        <v>394</v>
      </c>
      <c r="AA32" s="28" t="s">
        <v>394</v>
      </c>
      <c r="AB32" s="28" t="s">
        <v>312</v>
      </c>
      <c r="AC32" s="28" t="s">
        <v>394</v>
      </c>
      <c r="AD32" s="28" t="s">
        <v>394</v>
      </c>
      <c r="AE32" s="28">
        <v>3</v>
      </c>
      <c r="AF32" s="28">
        <v>11</v>
      </c>
      <c r="AG32" s="28">
        <v>274</v>
      </c>
      <c r="AH32" s="28" t="s">
        <v>394</v>
      </c>
      <c r="AI32" s="28" t="s">
        <v>312</v>
      </c>
      <c r="AJ32" s="28" t="s">
        <v>394</v>
      </c>
      <c r="AK32" s="28" t="s">
        <v>394</v>
      </c>
      <c r="AL32" s="28" t="s">
        <v>394</v>
      </c>
      <c r="AM32" s="28">
        <v>9.4600000000000009</v>
      </c>
      <c r="AN32" s="28">
        <v>274</v>
      </c>
      <c r="AO32" s="42">
        <v>2195</v>
      </c>
      <c r="AP32" s="28" t="s">
        <v>394</v>
      </c>
      <c r="AQ32" s="28" t="s">
        <v>394</v>
      </c>
      <c r="AR32" s="28">
        <v>60</v>
      </c>
      <c r="AS32" s="28">
        <v>250</v>
      </c>
      <c r="AT32" s="28">
        <v>5</v>
      </c>
      <c r="AU32" s="28">
        <v>170</v>
      </c>
      <c r="AV32" s="28">
        <v>50</v>
      </c>
      <c r="AW32" s="28" t="s">
        <v>312</v>
      </c>
      <c r="AX32" s="28" t="s">
        <v>312</v>
      </c>
      <c r="AY32" s="28" t="s">
        <v>312</v>
      </c>
      <c r="AZ32" s="28" t="s">
        <v>312</v>
      </c>
      <c r="BA32" s="28" t="s">
        <v>312</v>
      </c>
      <c r="BB32" s="28" t="s">
        <v>394</v>
      </c>
    </row>
    <row r="33" spans="1:54" ht="20.100000000000001" customHeight="1" x14ac:dyDescent="0.3">
      <c r="A33" s="28" t="s">
        <v>342</v>
      </c>
      <c r="B33" s="28" t="s">
        <v>394</v>
      </c>
      <c r="C33" s="28" t="s">
        <v>312</v>
      </c>
      <c r="D33" s="28" t="s">
        <v>394</v>
      </c>
      <c r="E33" s="28" t="s">
        <v>331</v>
      </c>
      <c r="F33" s="28" t="s">
        <v>394</v>
      </c>
      <c r="G33" s="28" t="s">
        <v>394</v>
      </c>
      <c r="H33" s="28" t="s">
        <v>394</v>
      </c>
      <c r="I33" s="28" t="s">
        <v>394</v>
      </c>
      <c r="J33" s="28" t="s">
        <v>394</v>
      </c>
      <c r="K33" s="28" t="s">
        <v>394</v>
      </c>
      <c r="L33" s="28" t="s">
        <v>394</v>
      </c>
      <c r="M33" s="28" t="s">
        <v>394</v>
      </c>
      <c r="N33" s="28" t="s">
        <v>394</v>
      </c>
      <c r="O33" s="28" t="s">
        <v>394</v>
      </c>
      <c r="P33" s="28" t="s">
        <v>394</v>
      </c>
      <c r="Q33" s="28" t="s">
        <v>394</v>
      </c>
      <c r="R33" s="28" t="s">
        <v>394</v>
      </c>
      <c r="S33" s="28" t="s">
        <v>394</v>
      </c>
      <c r="T33" s="28" t="s">
        <v>394</v>
      </c>
      <c r="U33" s="28" t="s">
        <v>312</v>
      </c>
      <c r="V33" s="28" t="s">
        <v>394</v>
      </c>
      <c r="W33" s="28" t="s">
        <v>394</v>
      </c>
      <c r="X33" s="28" t="s">
        <v>312</v>
      </c>
      <c r="Y33" s="28" t="s">
        <v>394</v>
      </c>
      <c r="Z33" s="28" t="s">
        <v>394</v>
      </c>
      <c r="AA33" s="28" t="s">
        <v>394</v>
      </c>
      <c r="AB33" s="28" t="s">
        <v>394</v>
      </c>
      <c r="AC33" s="28" t="s">
        <v>312</v>
      </c>
      <c r="AD33" s="28" t="s">
        <v>394</v>
      </c>
      <c r="AE33" s="28">
        <v>3</v>
      </c>
      <c r="AF33" s="28">
        <v>11</v>
      </c>
      <c r="AG33" s="28">
        <v>274</v>
      </c>
      <c r="AH33" s="28" t="s">
        <v>394</v>
      </c>
      <c r="AI33" s="28" t="s">
        <v>312</v>
      </c>
      <c r="AJ33" s="28" t="s">
        <v>394</v>
      </c>
      <c r="AK33" s="28" t="s">
        <v>394</v>
      </c>
      <c r="AL33" s="28" t="s">
        <v>394</v>
      </c>
      <c r="AM33" s="28">
        <v>3.34</v>
      </c>
      <c r="AN33" s="28">
        <v>97</v>
      </c>
      <c r="AO33" s="28">
        <v>775</v>
      </c>
      <c r="AP33" s="28" t="s">
        <v>394</v>
      </c>
      <c r="AQ33" s="28" t="s">
        <v>394</v>
      </c>
      <c r="AR33" s="28">
        <v>20</v>
      </c>
      <c r="AS33" s="28">
        <v>50</v>
      </c>
      <c r="AT33" s="28">
        <v>1</v>
      </c>
      <c r="AU33" s="28">
        <v>50</v>
      </c>
      <c r="AV33" s="28">
        <v>30</v>
      </c>
      <c r="AW33" s="28" t="s">
        <v>312</v>
      </c>
      <c r="AX33" s="28" t="s">
        <v>394</v>
      </c>
      <c r="AY33" s="28" t="s">
        <v>312</v>
      </c>
      <c r="AZ33" s="28" t="s">
        <v>394</v>
      </c>
      <c r="BA33" s="28" t="s">
        <v>394</v>
      </c>
      <c r="BB33" s="28" t="s">
        <v>394</v>
      </c>
    </row>
    <row r="34" spans="1:54" ht="20.100000000000001" customHeight="1" x14ac:dyDescent="0.3">
      <c r="A34" s="28" t="s">
        <v>342</v>
      </c>
      <c r="B34" s="28" t="s">
        <v>394</v>
      </c>
      <c r="C34" s="28" t="s">
        <v>312</v>
      </c>
      <c r="D34" s="28" t="s">
        <v>394</v>
      </c>
      <c r="E34" s="28" t="s">
        <v>332</v>
      </c>
      <c r="F34" s="28" t="s">
        <v>394</v>
      </c>
      <c r="G34" s="28" t="s">
        <v>394</v>
      </c>
      <c r="H34" s="28" t="s">
        <v>394</v>
      </c>
      <c r="I34" s="28" t="s">
        <v>394</v>
      </c>
      <c r="J34" s="28" t="s">
        <v>394</v>
      </c>
      <c r="K34" s="28" t="s">
        <v>394</v>
      </c>
      <c r="L34" s="28" t="s">
        <v>394</v>
      </c>
      <c r="M34" s="28" t="s">
        <v>394</v>
      </c>
      <c r="N34" s="28" t="s">
        <v>394</v>
      </c>
      <c r="O34" s="28" t="s">
        <v>394</v>
      </c>
      <c r="P34" s="28" t="s">
        <v>394</v>
      </c>
      <c r="Q34" s="28" t="s">
        <v>394</v>
      </c>
      <c r="R34" s="28" t="s">
        <v>394</v>
      </c>
      <c r="S34" s="28" t="s">
        <v>394</v>
      </c>
      <c r="T34" s="28" t="s">
        <v>394</v>
      </c>
      <c r="U34" s="28" t="s">
        <v>312</v>
      </c>
      <c r="V34" s="28" t="s">
        <v>312</v>
      </c>
      <c r="W34" s="28" t="s">
        <v>394</v>
      </c>
      <c r="X34" s="28" t="s">
        <v>394</v>
      </c>
      <c r="Y34" s="28" t="s">
        <v>394</v>
      </c>
      <c r="Z34" s="28" t="s">
        <v>394</v>
      </c>
      <c r="AA34" s="28" t="s">
        <v>394</v>
      </c>
      <c r="AB34" s="28" t="s">
        <v>394</v>
      </c>
      <c r="AC34" s="28" t="s">
        <v>312</v>
      </c>
      <c r="AD34" s="28" t="s">
        <v>394</v>
      </c>
      <c r="AE34" s="28">
        <v>3</v>
      </c>
      <c r="AF34" s="28">
        <v>11</v>
      </c>
      <c r="AG34" s="28">
        <v>274</v>
      </c>
      <c r="AH34" s="28" t="s">
        <v>394</v>
      </c>
      <c r="AI34" s="28" t="s">
        <v>312</v>
      </c>
      <c r="AJ34" s="28" t="s">
        <v>394</v>
      </c>
      <c r="AK34" s="28" t="s">
        <v>394</v>
      </c>
      <c r="AL34" s="28" t="s">
        <v>394</v>
      </c>
      <c r="AM34" s="28">
        <v>6.08</v>
      </c>
      <c r="AN34" s="28">
        <v>176</v>
      </c>
      <c r="AO34" s="42">
        <v>1411</v>
      </c>
      <c r="AP34" s="28" t="s">
        <v>394</v>
      </c>
      <c r="AQ34" s="28" t="s">
        <v>394</v>
      </c>
      <c r="AR34" s="28">
        <v>20</v>
      </c>
      <c r="AS34" s="28">
        <v>50</v>
      </c>
      <c r="AT34" s="28">
        <v>0.5</v>
      </c>
      <c r="AU34" s="28">
        <v>30</v>
      </c>
      <c r="AV34" s="28">
        <v>50</v>
      </c>
      <c r="AW34" s="28" t="s">
        <v>312</v>
      </c>
      <c r="AX34" s="28" t="s">
        <v>394</v>
      </c>
      <c r="AY34" s="28" t="s">
        <v>312</v>
      </c>
      <c r="AZ34" s="28" t="s">
        <v>394</v>
      </c>
      <c r="BA34" s="28" t="s">
        <v>394</v>
      </c>
      <c r="BB34" s="28" t="s">
        <v>394</v>
      </c>
    </row>
    <row r="35" spans="1:54" ht="20.100000000000001" customHeight="1" x14ac:dyDescent="0.3">
      <c r="A35" s="28" t="s">
        <v>342</v>
      </c>
      <c r="B35" s="28" t="s">
        <v>394</v>
      </c>
      <c r="C35" s="28" t="s">
        <v>312</v>
      </c>
      <c r="D35" s="28" t="s">
        <v>394</v>
      </c>
      <c r="E35" s="28" t="s">
        <v>333</v>
      </c>
      <c r="F35" s="28" t="s">
        <v>394</v>
      </c>
      <c r="G35" s="28" t="s">
        <v>394</v>
      </c>
      <c r="H35" s="28" t="s">
        <v>394</v>
      </c>
      <c r="I35" s="28" t="s">
        <v>394</v>
      </c>
      <c r="J35" s="28" t="s">
        <v>394</v>
      </c>
      <c r="K35" s="28" t="s">
        <v>394</v>
      </c>
      <c r="L35" s="28" t="s">
        <v>394</v>
      </c>
      <c r="M35" s="28" t="s">
        <v>394</v>
      </c>
      <c r="N35" s="28" t="s">
        <v>394</v>
      </c>
      <c r="O35" s="28" t="s">
        <v>394</v>
      </c>
      <c r="P35" s="28" t="s">
        <v>394</v>
      </c>
      <c r="Q35" s="28" t="s">
        <v>394</v>
      </c>
      <c r="R35" s="28" t="s">
        <v>394</v>
      </c>
      <c r="S35" s="28" t="s">
        <v>394</v>
      </c>
      <c r="T35" s="28" t="s">
        <v>394</v>
      </c>
      <c r="U35" s="28" t="s">
        <v>312</v>
      </c>
      <c r="V35" s="28" t="s">
        <v>312</v>
      </c>
      <c r="W35" s="28" t="s">
        <v>394</v>
      </c>
      <c r="X35" s="28" t="s">
        <v>394</v>
      </c>
      <c r="Y35" s="28" t="s">
        <v>394</v>
      </c>
      <c r="Z35" s="28" t="s">
        <v>394</v>
      </c>
      <c r="AA35" s="28" t="s">
        <v>394</v>
      </c>
      <c r="AB35" s="28" t="s">
        <v>394</v>
      </c>
      <c r="AC35" s="28" t="s">
        <v>312</v>
      </c>
      <c r="AD35" s="28" t="s">
        <v>394</v>
      </c>
      <c r="AE35" s="28">
        <v>3</v>
      </c>
      <c r="AF35" s="28">
        <v>11</v>
      </c>
      <c r="AG35" s="28">
        <v>274</v>
      </c>
      <c r="AH35" s="28" t="s">
        <v>394</v>
      </c>
      <c r="AI35" s="28" t="s">
        <v>312</v>
      </c>
      <c r="AJ35" s="28" t="s">
        <v>394</v>
      </c>
      <c r="AK35" s="28" t="s">
        <v>394</v>
      </c>
      <c r="AL35" s="28" t="s">
        <v>394</v>
      </c>
      <c r="AM35" s="28">
        <v>6.64</v>
      </c>
      <c r="AN35" s="28">
        <v>193</v>
      </c>
      <c r="AO35" s="42">
        <v>1540</v>
      </c>
      <c r="AP35" s="28" t="s">
        <v>394</v>
      </c>
      <c r="AQ35" s="28" t="s">
        <v>394</v>
      </c>
      <c r="AR35" s="28">
        <v>100</v>
      </c>
      <c r="AS35" s="28">
        <v>150</v>
      </c>
      <c r="AT35" s="28">
        <v>1</v>
      </c>
      <c r="AU35" s="28">
        <v>70</v>
      </c>
      <c r="AV35" s="28">
        <v>32</v>
      </c>
      <c r="AW35" s="28" t="s">
        <v>312</v>
      </c>
      <c r="AX35" s="28" t="s">
        <v>394</v>
      </c>
      <c r="AY35" s="28" t="s">
        <v>312</v>
      </c>
      <c r="AZ35" s="28" t="s">
        <v>394</v>
      </c>
      <c r="BA35" s="28" t="s">
        <v>394</v>
      </c>
      <c r="BB35" s="28" t="s">
        <v>394</v>
      </c>
    </row>
    <row r="36" spans="1:54" ht="20.100000000000001" customHeight="1" x14ac:dyDescent="0.3">
      <c r="A36" s="28" t="s">
        <v>342</v>
      </c>
      <c r="B36" s="28" t="s">
        <v>394</v>
      </c>
      <c r="C36" s="28" t="s">
        <v>312</v>
      </c>
      <c r="D36" s="28" t="s">
        <v>394</v>
      </c>
      <c r="E36" s="28" t="s">
        <v>334</v>
      </c>
      <c r="F36" s="28" t="s">
        <v>394</v>
      </c>
      <c r="G36" s="28" t="s">
        <v>394</v>
      </c>
      <c r="H36" s="28" t="s">
        <v>394</v>
      </c>
      <c r="I36" s="28" t="s">
        <v>394</v>
      </c>
      <c r="J36" s="28" t="s">
        <v>394</v>
      </c>
      <c r="K36" s="28" t="s">
        <v>394</v>
      </c>
      <c r="L36" s="28" t="s">
        <v>394</v>
      </c>
      <c r="M36" s="28" t="s">
        <v>394</v>
      </c>
      <c r="N36" s="28" t="s">
        <v>394</v>
      </c>
      <c r="O36" s="28" t="s">
        <v>394</v>
      </c>
      <c r="P36" s="28" t="s">
        <v>394</v>
      </c>
      <c r="Q36" s="28" t="s">
        <v>394</v>
      </c>
      <c r="R36" s="28" t="s">
        <v>394</v>
      </c>
      <c r="S36" s="28" t="s">
        <v>394</v>
      </c>
      <c r="T36" s="28" t="s">
        <v>394</v>
      </c>
      <c r="U36" s="28" t="s">
        <v>312</v>
      </c>
      <c r="V36" s="28" t="s">
        <v>394</v>
      </c>
      <c r="W36" s="28" t="s">
        <v>312</v>
      </c>
      <c r="X36" s="28" t="s">
        <v>394</v>
      </c>
      <c r="Y36" s="28" t="s">
        <v>394</v>
      </c>
      <c r="Z36" s="28" t="s">
        <v>394</v>
      </c>
      <c r="AA36" s="28" t="s">
        <v>394</v>
      </c>
      <c r="AB36" s="28" t="s">
        <v>394</v>
      </c>
      <c r="AC36" s="28" t="s">
        <v>312</v>
      </c>
      <c r="AD36" s="28" t="s">
        <v>394</v>
      </c>
      <c r="AE36" s="28">
        <v>3</v>
      </c>
      <c r="AF36" s="28">
        <v>11</v>
      </c>
      <c r="AG36" s="28">
        <v>274</v>
      </c>
      <c r="AH36" s="28" t="s">
        <v>394</v>
      </c>
      <c r="AI36" s="28" t="s">
        <v>312</v>
      </c>
      <c r="AJ36" s="28" t="s">
        <v>394</v>
      </c>
      <c r="AK36" s="28" t="s">
        <v>394</v>
      </c>
      <c r="AL36" s="28" t="s">
        <v>394</v>
      </c>
      <c r="AM36" s="28">
        <v>4.18</v>
      </c>
      <c r="AN36" s="28">
        <v>121</v>
      </c>
      <c r="AO36" s="28">
        <v>970</v>
      </c>
      <c r="AP36" s="28" t="s">
        <v>394</v>
      </c>
      <c r="AQ36" s="28" t="s">
        <v>394</v>
      </c>
      <c r="AR36" s="28">
        <v>24</v>
      </c>
      <c r="AS36" s="28">
        <v>50</v>
      </c>
      <c r="AT36" s="28">
        <v>0.5</v>
      </c>
      <c r="AU36" s="28">
        <v>50</v>
      </c>
      <c r="AV36" s="28">
        <v>30</v>
      </c>
      <c r="AW36" s="28" t="s">
        <v>312</v>
      </c>
      <c r="AX36" s="28" t="s">
        <v>394</v>
      </c>
      <c r="AY36" s="28" t="s">
        <v>312</v>
      </c>
      <c r="AZ36" s="28" t="s">
        <v>394</v>
      </c>
      <c r="BA36" s="28" t="s">
        <v>394</v>
      </c>
      <c r="BB36" s="28" t="s">
        <v>394</v>
      </c>
    </row>
    <row r="37" spans="1:54" ht="20.100000000000001" customHeight="1" x14ac:dyDescent="0.3">
      <c r="A37" s="28" t="s">
        <v>342</v>
      </c>
      <c r="B37" s="28" t="s">
        <v>394</v>
      </c>
      <c r="C37" s="28" t="s">
        <v>312</v>
      </c>
      <c r="D37" s="28" t="s">
        <v>394</v>
      </c>
      <c r="E37" s="28" t="s">
        <v>335</v>
      </c>
      <c r="F37" s="28" t="s">
        <v>394</v>
      </c>
      <c r="G37" s="28" t="s">
        <v>394</v>
      </c>
      <c r="H37" s="28" t="s">
        <v>394</v>
      </c>
      <c r="I37" s="28" t="s">
        <v>394</v>
      </c>
      <c r="J37" s="28" t="s">
        <v>394</v>
      </c>
      <c r="K37" s="28" t="s">
        <v>394</v>
      </c>
      <c r="L37" s="28" t="s">
        <v>394</v>
      </c>
      <c r="M37" s="28" t="s">
        <v>394</v>
      </c>
      <c r="N37" s="28" t="s">
        <v>394</v>
      </c>
      <c r="O37" s="28" t="s">
        <v>394</v>
      </c>
      <c r="P37" s="28" t="s">
        <v>394</v>
      </c>
      <c r="Q37" s="28" t="s">
        <v>394</v>
      </c>
      <c r="R37" s="28" t="s">
        <v>394</v>
      </c>
      <c r="S37" s="28" t="s">
        <v>394</v>
      </c>
      <c r="T37" s="28" t="s">
        <v>394</v>
      </c>
      <c r="U37" s="28" t="s">
        <v>312</v>
      </c>
      <c r="V37" s="28" t="s">
        <v>394</v>
      </c>
      <c r="W37" s="28" t="s">
        <v>312</v>
      </c>
      <c r="X37" s="28" t="s">
        <v>394</v>
      </c>
      <c r="Y37" s="28" t="s">
        <v>394</v>
      </c>
      <c r="Z37" s="28" t="s">
        <v>394</v>
      </c>
      <c r="AA37" s="28" t="s">
        <v>394</v>
      </c>
      <c r="AB37" s="28" t="s">
        <v>394</v>
      </c>
      <c r="AC37" s="28" t="s">
        <v>312</v>
      </c>
      <c r="AD37" s="28" t="s">
        <v>394</v>
      </c>
      <c r="AE37" s="28">
        <v>3</v>
      </c>
      <c r="AF37" s="28">
        <v>11</v>
      </c>
      <c r="AG37" s="28">
        <v>274</v>
      </c>
      <c r="AH37" s="28" t="s">
        <v>394</v>
      </c>
      <c r="AI37" s="28" t="s">
        <v>312</v>
      </c>
      <c r="AJ37" s="28" t="s">
        <v>394</v>
      </c>
      <c r="AK37" s="28" t="s">
        <v>394</v>
      </c>
      <c r="AL37" s="28" t="s">
        <v>394</v>
      </c>
      <c r="AM37" s="28">
        <v>5.0599999999999996</v>
      </c>
      <c r="AN37" s="28">
        <v>147</v>
      </c>
      <c r="AO37" s="42">
        <v>1174</v>
      </c>
      <c r="AP37" s="28" t="s">
        <v>394</v>
      </c>
      <c r="AQ37" s="28" t="s">
        <v>394</v>
      </c>
      <c r="AR37" s="28">
        <v>70</v>
      </c>
      <c r="AS37" s="28">
        <v>150</v>
      </c>
      <c r="AT37" s="28">
        <v>1</v>
      </c>
      <c r="AU37" s="28">
        <v>70</v>
      </c>
      <c r="AV37" s="28">
        <v>32</v>
      </c>
      <c r="AW37" s="28" t="s">
        <v>312</v>
      </c>
      <c r="AX37" s="28" t="s">
        <v>394</v>
      </c>
      <c r="AY37" s="28" t="s">
        <v>312</v>
      </c>
      <c r="AZ37" s="28" t="s">
        <v>394</v>
      </c>
      <c r="BA37" s="28" t="s">
        <v>394</v>
      </c>
      <c r="BB37" s="28" t="s">
        <v>394</v>
      </c>
    </row>
    <row r="38" spans="1:54" ht="20.100000000000001" customHeight="1" x14ac:dyDescent="0.3">
      <c r="A38" s="28" t="s">
        <v>342</v>
      </c>
      <c r="B38" s="28" t="s">
        <v>312</v>
      </c>
      <c r="C38" s="28" t="s">
        <v>394</v>
      </c>
      <c r="D38" s="28" t="s">
        <v>394</v>
      </c>
      <c r="E38" s="28" t="s">
        <v>336</v>
      </c>
      <c r="F38" s="28" t="s">
        <v>394</v>
      </c>
      <c r="G38" s="28" t="s">
        <v>394</v>
      </c>
      <c r="H38" s="28" t="s">
        <v>394</v>
      </c>
      <c r="I38" s="28" t="s">
        <v>394</v>
      </c>
      <c r="J38" s="28" t="s">
        <v>394</v>
      </c>
      <c r="K38" s="28" t="s">
        <v>394</v>
      </c>
      <c r="L38" s="28" t="s">
        <v>394</v>
      </c>
      <c r="M38" s="28" t="s">
        <v>394</v>
      </c>
      <c r="N38" s="28" t="s">
        <v>394</v>
      </c>
      <c r="O38" s="28" t="s">
        <v>394</v>
      </c>
      <c r="P38" s="28" t="s">
        <v>394</v>
      </c>
      <c r="Q38" s="28" t="s">
        <v>394</v>
      </c>
      <c r="R38" s="28" t="s">
        <v>394</v>
      </c>
      <c r="S38" s="28" t="s">
        <v>394</v>
      </c>
      <c r="T38" s="28" t="s">
        <v>394</v>
      </c>
      <c r="U38" s="28" t="s">
        <v>312</v>
      </c>
      <c r="V38" s="28" t="s">
        <v>394</v>
      </c>
      <c r="W38" s="28" t="s">
        <v>312</v>
      </c>
      <c r="X38" s="28" t="s">
        <v>394</v>
      </c>
      <c r="Y38" s="28" t="s">
        <v>394</v>
      </c>
      <c r="Z38" s="28" t="s">
        <v>394</v>
      </c>
      <c r="AA38" s="28" t="s">
        <v>394</v>
      </c>
      <c r="AB38" s="28" t="s">
        <v>312</v>
      </c>
      <c r="AC38" s="28" t="s">
        <v>394</v>
      </c>
      <c r="AD38" s="28" t="s">
        <v>394</v>
      </c>
      <c r="AE38" s="28">
        <v>3</v>
      </c>
      <c r="AF38" s="28">
        <v>11</v>
      </c>
      <c r="AG38" s="28">
        <v>274</v>
      </c>
      <c r="AH38" s="28" t="s">
        <v>394</v>
      </c>
      <c r="AI38" s="28" t="s">
        <v>312</v>
      </c>
      <c r="AJ38" s="28" t="s">
        <v>394</v>
      </c>
      <c r="AK38" s="28" t="s">
        <v>394</v>
      </c>
      <c r="AL38" s="28" t="s">
        <v>394</v>
      </c>
      <c r="AM38" s="28">
        <v>10.78</v>
      </c>
      <c r="AN38" s="28">
        <v>313</v>
      </c>
      <c r="AO38" s="42">
        <v>2501</v>
      </c>
      <c r="AP38" s="28" t="s">
        <v>394</v>
      </c>
      <c r="AQ38" s="28" t="s">
        <v>394</v>
      </c>
      <c r="AR38" s="28">
        <v>100</v>
      </c>
      <c r="AS38" s="28">
        <v>250</v>
      </c>
      <c r="AT38" s="28">
        <v>5</v>
      </c>
      <c r="AU38" s="28">
        <v>200</v>
      </c>
      <c r="AV38" s="28">
        <v>50</v>
      </c>
      <c r="AW38" s="28" t="s">
        <v>312</v>
      </c>
      <c r="AX38" s="28" t="s">
        <v>312</v>
      </c>
      <c r="AY38" s="28" t="s">
        <v>312</v>
      </c>
      <c r="AZ38" s="28" t="s">
        <v>312</v>
      </c>
      <c r="BA38" s="28" t="s">
        <v>312</v>
      </c>
      <c r="BB38" s="28" t="s">
        <v>394</v>
      </c>
    </row>
    <row r="39" spans="1:54" ht="20.100000000000001" customHeight="1" x14ac:dyDescent="0.3">
      <c r="A39" s="28" t="s">
        <v>342</v>
      </c>
      <c r="B39" s="28" t="s">
        <v>394</v>
      </c>
      <c r="C39" s="28" t="s">
        <v>312</v>
      </c>
      <c r="D39" s="28" t="s">
        <v>394</v>
      </c>
      <c r="E39" s="28" t="s">
        <v>337</v>
      </c>
      <c r="F39" s="28" t="s">
        <v>394</v>
      </c>
      <c r="G39" s="28" t="s">
        <v>394</v>
      </c>
      <c r="H39" s="28" t="s">
        <v>394</v>
      </c>
      <c r="I39" s="28" t="s">
        <v>394</v>
      </c>
      <c r="J39" s="28" t="s">
        <v>394</v>
      </c>
      <c r="K39" s="28" t="s">
        <v>394</v>
      </c>
      <c r="L39" s="28" t="s">
        <v>394</v>
      </c>
      <c r="M39" s="28" t="s">
        <v>394</v>
      </c>
      <c r="N39" s="28" t="s">
        <v>394</v>
      </c>
      <c r="O39" s="28" t="s">
        <v>394</v>
      </c>
      <c r="P39" s="28" t="s">
        <v>394</v>
      </c>
      <c r="Q39" s="28" t="s">
        <v>394</v>
      </c>
      <c r="R39" s="28" t="s">
        <v>394</v>
      </c>
      <c r="S39" s="28" t="s">
        <v>394</v>
      </c>
      <c r="T39" s="28" t="s">
        <v>394</v>
      </c>
      <c r="U39" s="28" t="s">
        <v>312</v>
      </c>
      <c r="V39" s="28" t="s">
        <v>394</v>
      </c>
      <c r="W39" s="28" t="s">
        <v>312</v>
      </c>
      <c r="X39" s="28" t="s">
        <v>394</v>
      </c>
      <c r="Y39" s="28" t="s">
        <v>394</v>
      </c>
      <c r="Z39" s="28" t="s">
        <v>394</v>
      </c>
      <c r="AA39" s="28" t="s">
        <v>394</v>
      </c>
      <c r="AB39" s="28" t="s">
        <v>394</v>
      </c>
      <c r="AC39" s="28" t="s">
        <v>312</v>
      </c>
      <c r="AD39" s="28" t="s">
        <v>394</v>
      </c>
      <c r="AE39" s="28">
        <v>3</v>
      </c>
      <c r="AF39" s="28">
        <v>11</v>
      </c>
      <c r="AG39" s="28">
        <v>274</v>
      </c>
      <c r="AH39" s="28" t="s">
        <v>394</v>
      </c>
      <c r="AI39" s="28" t="s">
        <v>312</v>
      </c>
      <c r="AJ39" s="28" t="s">
        <v>394</v>
      </c>
      <c r="AK39" s="28" t="s">
        <v>394</v>
      </c>
      <c r="AL39" s="28" t="s">
        <v>394</v>
      </c>
      <c r="AM39" s="28">
        <v>15.22</v>
      </c>
      <c r="AN39" s="28">
        <v>441</v>
      </c>
      <c r="AO39" s="42">
        <v>3531</v>
      </c>
      <c r="AP39" s="28" t="s">
        <v>394</v>
      </c>
      <c r="AQ39" s="28" t="s">
        <v>394</v>
      </c>
      <c r="AR39" s="28">
        <v>80</v>
      </c>
      <c r="AS39" s="28">
        <v>250</v>
      </c>
      <c r="AT39" s="28">
        <v>7.5</v>
      </c>
      <c r="AU39" s="28">
        <v>301</v>
      </c>
      <c r="AV39" s="28">
        <v>60</v>
      </c>
      <c r="AW39" s="28" t="s">
        <v>312</v>
      </c>
      <c r="AX39" s="28" t="s">
        <v>394</v>
      </c>
      <c r="AY39" s="28" t="s">
        <v>312</v>
      </c>
      <c r="AZ39" s="28" t="s">
        <v>394</v>
      </c>
      <c r="BA39" s="28" t="s">
        <v>394</v>
      </c>
      <c r="BB39" s="28" t="s">
        <v>394</v>
      </c>
    </row>
    <row r="40" spans="1:54" ht="20.100000000000001" customHeight="1" x14ac:dyDescent="0.3">
      <c r="A40" s="28" t="s">
        <v>342</v>
      </c>
      <c r="B40" s="28" t="s">
        <v>394</v>
      </c>
      <c r="C40" s="28" t="s">
        <v>312</v>
      </c>
      <c r="D40" s="28" t="s">
        <v>394</v>
      </c>
      <c r="E40" s="28" t="s">
        <v>338</v>
      </c>
      <c r="F40" s="28" t="s">
        <v>394</v>
      </c>
      <c r="G40" s="28" t="s">
        <v>394</v>
      </c>
      <c r="H40" s="28" t="s">
        <v>394</v>
      </c>
      <c r="I40" s="28" t="s">
        <v>394</v>
      </c>
      <c r="J40" s="28" t="s">
        <v>394</v>
      </c>
      <c r="K40" s="28" t="s">
        <v>394</v>
      </c>
      <c r="L40" s="28" t="s">
        <v>394</v>
      </c>
      <c r="M40" s="28" t="s">
        <v>394</v>
      </c>
      <c r="N40" s="28" t="s">
        <v>394</v>
      </c>
      <c r="O40" s="28" t="s">
        <v>394</v>
      </c>
      <c r="P40" s="28" t="s">
        <v>394</v>
      </c>
      <c r="Q40" s="28" t="s">
        <v>394</v>
      </c>
      <c r="R40" s="28" t="s">
        <v>394</v>
      </c>
      <c r="S40" s="28" t="s">
        <v>394</v>
      </c>
      <c r="T40" s="28" t="s">
        <v>394</v>
      </c>
      <c r="U40" s="28" t="s">
        <v>312</v>
      </c>
      <c r="V40" s="28" t="s">
        <v>394</v>
      </c>
      <c r="W40" s="28" t="s">
        <v>312</v>
      </c>
      <c r="X40" s="28" t="s">
        <v>394</v>
      </c>
      <c r="Y40" s="28" t="s">
        <v>394</v>
      </c>
      <c r="Z40" s="28" t="s">
        <v>394</v>
      </c>
      <c r="AA40" s="28" t="s">
        <v>394</v>
      </c>
      <c r="AB40" s="28" t="s">
        <v>394</v>
      </c>
      <c r="AC40" s="28" t="s">
        <v>312</v>
      </c>
      <c r="AD40" s="28" t="s">
        <v>394</v>
      </c>
      <c r="AE40" s="28">
        <v>3</v>
      </c>
      <c r="AF40" s="28">
        <v>11</v>
      </c>
      <c r="AG40" s="28">
        <v>274</v>
      </c>
      <c r="AH40" s="28" t="s">
        <v>394</v>
      </c>
      <c r="AI40" s="28" t="s">
        <v>312</v>
      </c>
      <c r="AJ40" s="28" t="s">
        <v>394</v>
      </c>
      <c r="AK40" s="28" t="s">
        <v>394</v>
      </c>
      <c r="AL40" s="28" t="s">
        <v>394</v>
      </c>
      <c r="AM40" s="28">
        <v>6.16</v>
      </c>
      <c r="AN40" s="28">
        <v>179</v>
      </c>
      <c r="AO40" s="42">
        <v>1429</v>
      </c>
      <c r="AP40" s="28" t="s">
        <v>394</v>
      </c>
      <c r="AQ40" s="28" t="s">
        <v>394</v>
      </c>
      <c r="AR40" s="28">
        <v>80</v>
      </c>
      <c r="AS40" s="28">
        <v>250</v>
      </c>
      <c r="AT40" s="28">
        <v>3</v>
      </c>
      <c r="AU40" s="28">
        <v>95</v>
      </c>
      <c r="AV40" s="28">
        <v>40</v>
      </c>
      <c r="AW40" s="28" t="s">
        <v>312</v>
      </c>
      <c r="AX40" s="28" t="s">
        <v>394</v>
      </c>
      <c r="AY40" s="28" t="s">
        <v>312</v>
      </c>
      <c r="AZ40" s="28" t="s">
        <v>394</v>
      </c>
      <c r="BA40" s="28" t="s">
        <v>394</v>
      </c>
      <c r="BB40" s="28" t="s">
        <v>394</v>
      </c>
    </row>
    <row r="41" spans="1:54" ht="20.100000000000001" customHeight="1" x14ac:dyDescent="0.3">
      <c r="A41" s="28" t="s">
        <v>342</v>
      </c>
      <c r="B41" s="28" t="s">
        <v>394</v>
      </c>
      <c r="C41" s="28" t="s">
        <v>312</v>
      </c>
      <c r="D41" s="28" t="s">
        <v>394</v>
      </c>
      <c r="E41" s="28" t="s">
        <v>339</v>
      </c>
      <c r="F41" s="28" t="s">
        <v>394</v>
      </c>
      <c r="G41" s="28" t="s">
        <v>394</v>
      </c>
      <c r="H41" s="28" t="s">
        <v>394</v>
      </c>
      <c r="I41" s="28" t="s">
        <v>394</v>
      </c>
      <c r="J41" s="28" t="s">
        <v>394</v>
      </c>
      <c r="K41" s="28" t="s">
        <v>394</v>
      </c>
      <c r="L41" s="28" t="s">
        <v>394</v>
      </c>
      <c r="M41" s="28" t="s">
        <v>394</v>
      </c>
      <c r="N41" s="28" t="s">
        <v>394</v>
      </c>
      <c r="O41" s="28" t="s">
        <v>394</v>
      </c>
      <c r="P41" s="28" t="s">
        <v>394</v>
      </c>
      <c r="Q41" s="28" t="s">
        <v>394</v>
      </c>
      <c r="R41" s="28" t="s">
        <v>394</v>
      </c>
      <c r="S41" s="28" t="s">
        <v>394</v>
      </c>
      <c r="T41" s="28" t="s">
        <v>394</v>
      </c>
      <c r="U41" s="28" t="s">
        <v>312</v>
      </c>
      <c r="V41" s="28" t="s">
        <v>394</v>
      </c>
      <c r="W41" s="28" t="s">
        <v>394</v>
      </c>
      <c r="X41" s="28" t="s">
        <v>312</v>
      </c>
      <c r="Y41" s="28" t="s">
        <v>394</v>
      </c>
      <c r="Z41" s="28" t="s">
        <v>394</v>
      </c>
      <c r="AA41" s="28" t="s">
        <v>394</v>
      </c>
      <c r="AB41" s="28" t="s">
        <v>394</v>
      </c>
      <c r="AC41" s="28" t="s">
        <v>312</v>
      </c>
      <c r="AD41" s="28" t="s">
        <v>394</v>
      </c>
      <c r="AE41" s="28">
        <v>3</v>
      </c>
      <c r="AF41" s="28">
        <v>11</v>
      </c>
      <c r="AG41" s="28">
        <v>274</v>
      </c>
      <c r="AH41" s="28" t="s">
        <v>394</v>
      </c>
      <c r="AI41" s="28" t="s">
        <v>312</v>
      </c>
      <c r="AJ41" s="28" t="s">
        <v>394</v>
      </c>
      <c r="AK41" s="28" t="s">
        <v>394</v>
      </c>
      <c r="AL41" s="28" t="s">
        <v>394</v>
      </c>
      <c r="AM41" s="28">
        <v>3.67</v>
      </c>
      <c r="AN41" s="28">
        <v>106</v>
      </c>
      <c r="AO41" s="28">
        <v>851</v>
      </c>
      <c r="AP41" s="28" t="s">
        <v>394</v>
      </c>
      <c r="AQ41" s="28" t="s">
        <v>394</v>
      </c>
      <c r="AR41" s="28">
        <v>100</v>
      </c>
      <c r="AS41" s="28">
        <v>150</v>
      </c>
      <c r="AT41" s="28">
        <v>2</v>
      </c>
      <c r="AU41" s="28">
        <v>80</v>
      </c>
      <c r="AV41" s="28">
        <v>32</v>
      </c>
      <c r="AW41" s="28" t="s">
        <v>312</v>
      </c>
      <c r="AX41" s="28" t="s">
        <v>394</v>
      </c>
      <c r="AY41" s="28" t="s">
        <v>312</v>
      </c>
      <c r="AZ41" s="28" t="s">
        <v>394</v>
      </c>
      <c r="BA41" s="28" t="s">
        <v>394</v>
      </c>
      <c r="BB41" s="28" t="s">
        <v>394</v>
      </c>
    </row>
    <row r="42" spans="1:54" ht="20.100000000000001" customHeight="1" x14ac:dyDescent="0.3">
      <c r="A42" s="28" t="s">
        <v>342</v>
      </c>
      <c r="B42" s="28" t="s">
        <v>394</v>
      </c>
      <c r="C42" s="28" t="s">
        <v>312</v>
      </c>
      <c r="D42" s="28" t="s">
        <v>394</v>
      </c>
      <c r="E42" s="28" t="s">
        <v>340</v>
      </c>
      <c r="F42" s="28" t="s">
        <v>394</v>
      </c>
      <c r="G42" s="28" t="s">
        <v>394</v>
      </c>
      <c r="H42" s="28" t="s">
        <v>394</v>
      </c>
      <c r="I42" s="28" t="s">
        <v>394</v>
      </c>
      <c r="J42" s="28" t="s">
        <v>394</v>
      </c>
      <c r="K42" s="28" t="s">
        <v>394</v>
      </c>
      <c r="L42" s="28" t="s">
        <v>394</v>
      </c>
      <c r="M42" s="28" t="s">
        <v>394</v>
      </c>
      <c r="N42" s="28" t="s">
        <v>394</v>
      </c>
      <c r="O42" s="28" t="s">
        <v>312</v>
      </c>
      <c r="P42" s="28" t="s">
        <v>394</v>
      </c>
      <c r="Q42" s="28" t="s">
        <v>394</v>
      </c>
      <c r="R42" s="28" t="s">
        <v>394</v>
      </c>
      <c r="S42" s="28" t="s">
        <v>312</v>
      </c>
      <c r="T42" s="28" t="s">
        <v>394</v>
      </c>
      <c r="U42" s="28" t="s">
        <v>394</v>
      </c>
      <c r="V42" s="28" t="s">
        <v>394</v>
      </c>
      <c r="W42" s="28" t="s">
        <v>394</v>
      </c>
      <c r="X42" s="28" t="s">
        <v>394</v>
      </c>
      <c r="Y42" s="28" t="s">
        <v>394</v>
      </c>
      <c r="Z42" s="28" t="s">
        <v>394</v>
      </c>
      <c r="AA42" s="28" t="s">
        <v>394</v>
      </c>
      <c r="AB42" s="28" t="s">
        <v>394</v>
      </c>
      <c r="AC42" s="28" t="s">
        <v>312</v>
      </c>
      <c r="AD42" s="28" t="s">
        <v>312</v>
      </c>
      <c r="AE42" s="28">
        <v>1</v>
      </c>
      <c r="AF42" s="28">
        <v>12</v>
      </c>
      <c r="AG42" s="28">
        <v>365</v>
      </c>
      <c r="AH42" s="28" t="s">
        <v>394</v>
      </c>
      <c r="AI42" s="28" t="s">
        <v>312</v>
      </c>
      <c r="AJ42" s="28" t="s">
        <v>394</v>
      </c>
      <c r="AK42" s="28" t="s">
        <v>394</v>
      </c>
      <c r="AL42" s="28" t="s">
        <v>394</v>
      </c>
      <c r="AM42" s="28">
        <v>9</v>
      </c>
      <c r="AN42" s="28">
        <v>261</v>
      </c>
      <c r="AO42" s="42">
        <v>2088</v>
      </c>
      <c r="AP42" s="28" t="s">
        <v>394</v>
      </c>
      <c r="AQ42" s="28" t="s">
        <v>394</v>
      </c>
      <c r="AR42" s="28">
        <v>100</v>
      </c>
      <c r="AS42" s="28">
        <v>200</v>
      </c>
      <c r="AT42" s="28">
        <v>2</v>
      </c>
      <c r="AU42" s="28">
        <v>95</v>
      </c>
      <c r="AV42" s="28">
        <v>32</v>
      </c>
      <c r="AW42" s="28" t="s">
        <v>312</v>
      </c>
      <c r="AX42" s="28" t="s">
        <v>394</v>
      </c>
      <c r="AY42" s="28" t="s">
        <v>312</v>
      </c>
      <c r="AZ42" s="28" t="s">
        <v>394</v>
      </c>
      <c r="BA42" s="28" t="s">
        <v>394</v>
      </c>
      <c r="BB42" s="28" t="s">
        <v>394</v>
      </c>
    </row>
    <row r="43" spans="1:54" ht="20.100000000000001" customHeight="1" x14ac:dyDescent="0.3">
      <c r="A43" s="28" t="s">
        <v>342</v>
      </c>
      <c r="B43" s="28" t="s">
        <v>394</v>
      </c>
      <c r="C43" s="28" t="s">
        <v>312</v>
      </c>
      <c r="D43" s="28" t="s">
        <v>394</v>
      </c>
      <c r="E43" s="28" t="s">
        <v>341</v>
      </c>
      <c r="F43" s="28" t="s">
        <v>394</v>
      </c>
      <c r="G43" s="28" t="s">
        <v>394</v>
      </c>
      <c r="H43" s="28" t="s">
        <v>394</v>
      </c>
      <c r="I43" s="28" t="s">
        <v>394</v>
      </c>
      <c r="J43" s="28" t="s">
        <v>394</v>
      </c>
      <c r="K43" s="28" t="s">
        <v>394</v>
      </c>
      <c r="L43" s="28" t="s">
        <v>394</v>
      </c>
      <c r="M43" s="28" t="s">
        <v>394</v>
      </c>
      <c r="N43" s="28" t="s">
        <v>394</v>
      </c>
      <c r="O43" s="28" t="s">
        <v>312</v>
      </c>
      <c r="P43" s="28" t="s">
        <v>394</v>
      </c>
      <c r="Q43" s="28" t="s">
        <v>394</v>
      </c>
      <c r="R43" s="28" t="s">
        <v>394</v>
      </c>
      <c r="S43" s="28" t="s">
        <v>394</v>
      </c>
      <c r="T43" s="28" t="s">
        <v>312</v>
      </c>
      <c r="U43" s="28" t="s">
        <v>394</v>
      </c>
      <c r="V43" s="28" t="s">
        <v>394</v>
      </c>
      <c r="W43" s="28" t="s">
        <v>394</v>
      </c>
      <c r="X43" s="28" t="s">
        <v>394</v>
      </c>
      <c r="Y43" s="28" t="s">
        <v>394</v>
      </c>
      <c r="Z43" s="28" t="s">
        <v>394</v>
      </c>
      <c r="AA43" s="28" t="s">
        <v>394</v>
      </c>
      <c r="AB43" s="28" t="s">
        <v>394</v>
      </c>
      <c r="AC43" s="28" t="s">
        <v>312</v>
      </c>
      <c r="AD43" s="28" t="s">
        <v>312</v>
      </c>
      <c r="AE43" s="28">
        <v>1</v>
      </c>
      <c r="AF43" s="28">
        <v>12</v>
      </c>
      <c r="AG43" s="28">
        <v>365</v>
      </c>
      <c r="AH43" s="28" t="s">
        <v>394</v>
      </c>
      <c r="AI43" s="28" t="s">
        <v>312</v>
      </c>
      <c r="AJ43" s="28" t="s">
        <v>394</v>
      </c>
      <c r="AK43" s="28" t="s">
        <v>394</v>
      </c>
      <c r="AL43" s="28" t="s">
        <v>394</v>
      </c>
      <c r="AM43" s="28">
        <v>5</v>
      </c>
      <c r="AN43" s="28">
        <v>145</v>
      </c>
      <c r="AO43" s="42">
        <v>1160</v>
      </c>
      <c r="AP43" s="28" t="s">
        <v>394</v>
      </c>
      <c r="AQ43" s="28" t="s">
        <v>394</v>
      </c>
      <c r="AR43" s="28">
        <v>60</v>
      </c>
      <c r="AS43" s="28">
        <v>100</v>
      </c>
      <c r="AT43" s="28">
        <v>1</v>
      </c>
      <c r="AU43" s="28">
        <v>50</v>
      </c>
      <c r="AV43" s="28">
        <v>20</v>
      </c>
      <c r="AW43" s="28" t="s">
        <v>312</v>
      </c>
      <c r="AX43" s="28" t="s">
        <v>394</v>
      </c>
      <c r="AY43" s="28" t="s">
        <v>312</v>
      </c>
      <c r="AZ43" s="28" t="s">
        <v>394</v>
      </c>
      <c r="BA43" s="28" t="s">
        <v>394</v>
      </c>
      <c r="BB43" s="28" t="s">
        <v>394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2023-10-12T13:17:52Z</dcterms:modified>
</cp:coreProperties>
</file>