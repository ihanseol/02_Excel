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4C1B52E1-754B-4DB3-9A04-1B75660FA75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__ss__" sheetId="8" r:id="rId1"/>
    <sheet name="__aa__" sheetId="10" r:id="rId2"/>
    <sheet name="__ii__" sheetId="11" r:id="rId3"/>
  </sheets>
  <functionGroups builtInGroupCount="19"/>
  <definedNames>
    <definedName name="AA_INSIDE_AREA">OFFSET(__aa__!$R$2,0,0,COUNTA(__aa__!$R:$R),1)</definedName>
    <definedName name="II_INSIDE_AREA">OFFSET(__ii__!$R$2,0,0,COUNTA(__ii__!$R:$R),1)</definedName>
    <definedName name="SS_INSIDE_AREA">OFFSET(__ss__!$R$2,0,0,COUNTA(__ss__!$R:$R),1)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8" l="1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2" i="8"/>
  <c r="L2" i="10"/>
  <c r="L4" i="10"/>
  <c r="L3" i="10"/>
  <c r="D9" i="11"/>
  <c r="H24" i="8" s="1"/>
  <c r="C9" i="11"/>
  <c r="D8" i="11"/>
  <c r="C8" i="11"/>
  <c r="K5" i="11"/>
  <c r="L2" i="11"/>
  <c r="C9" i="10"/>
  <c r="C8" i="10"/>
  <c r="C29" i="8"/>
  <c r="C28" i="8"/>
  <c r="G24" i="8"/>
  <c r="C24" i="8"/>
  <c r="G23" i="8"/>
  <c r="C23" i="8"/>
  <c r="K3" i="10"/>
  <c r="K16" i="8"/>
  <c r="K9" i="8"/>
  <c r="K2" i="10"/>
  <c r="K11" i="8"/>
  <c r="K17" i="8"/>
  <c r="K5" i="8"/>
  <c r="K2" i="8"/>
  <c r="K13" i="8"/>
  <c r="K3" i="8"/>
  <c r="K6" i="8"/>
  <c r="K12" i="8"/>
  <c r="K4" i="10"/>
  <c r="K4" i="8"/>
  <c r="K8" i="8"/>
  <c r="K15" i="8"/>
  <c r="K7" i="8"/>
  <c r="K10" i="8"/>
  <c r="K14" i="8"/>
  <c r="D24" i="8" l="1"/>
  <c r="D9" i="10"/>
  <c r="D29" i="8" s="1"/>
  <c r="D10" i="11"/>
  <c r="H25" i="8" s="1"/>
  <c r="D8" i="10"/>
  <c r="K7" i="10"/>
  <c r="D23" i="8"/>
  <c r="K20" i="8"/>
  <c r="C34" i="8"/>
  <c r="H23" i="8"/>
  <c r="D34" i="8" l="1"/>
  <c r="D25" i="8"/>
  <c r="K22" i="8"/>
  <c r="D10" i="10"/>
  <c r="D28" i="8"/>
  <c r="D30" i="8" s="1"/>
  <c r="C33" i="8"/>
  <c r="K25" i="8" s="1"/>
  <c r="D33" i="8" l="1"/>
  <c r="K24" i="8" s="1"/>
</calcChain>
</file>

<file path=xl/sharedStrings.xml><?xml version="1.0" encoding="utf-8"?>
<sst xmlns="http://schemas.openxmlformats.org/spreadsheetml/2006/main" count="227" uniqueCount="81">
  <si>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</si>
  <si>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</si>
  <si>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</si>
  <si>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</si>
  <si>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</si>
  <si>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</si>
  <si>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</si>
  <si>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</si>
  <si>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</si>
  <si>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</si>
  <si>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</si>
  <si>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</si>
  <si>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</si>
  <si>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</si>
  <si>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</si>
  <si>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</si>
  <si>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</si>
  <si>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</si>
  <si>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</si>
  <si>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</si>
  <si>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</si>
  <si>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</si>
  <si>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</si>
  <si>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</si>
  <si>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</si>
  <si>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</si>
  <si>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</si>
  <si>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</si>
  <si>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</si>
  <si>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</si>
  <si>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</si>
  <si>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</si>
  <si>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</si>
  <si>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</si>
  <si>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</si>
  <si>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</si>
  <si>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</si>
  <si>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</si>
  <si>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</si>
  <si>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</si>
  <si>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</si>
  <si>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</si>
  <si>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</si>
  <si>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</si>
  <si>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</si>
  <si>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</si>
  <si>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</si>
  <si>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</si>
  <si>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</si>
  <si>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</si>
  <si>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</si>
  <si>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</si>
  <si>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s15</t>
  </si>
  <si>
    <t>일반용</t>
    <phoneticPr fontId="19" type="noConversion"/>
  </si>
  <si>
    <t>s16</t>
  </si>
  <si>
    <t>유성구</t>
    <phoneticPr fontId="19" type="noConversion"/>
  </si>
  <si>
    <t>지족동</t>
    <phoneticPr fontId="19" type="noConversion"/>
  </si>
  <si>
    <t>858</t>
    <phoneticPr fontId="19" type="noConversion"/>
  </si>
  <si>
    <t>공동주택용</t>
    <phoneticPr fontId="19" type="noConversion"/>
  </si>
  <si>
    <t>857</t>
    <phoneticPr fontId="19" type="noConversion"/>
  </si>
  <si>
    <t>학교용</t>
    <phoneticPr fontId="19" type="noConversion"/>
  </si>
  <si>
    <t>859</t>
    <phoneticPr fontId="19" type="noConversion"/>
  </si>
  <si>
    <t>민방위용</t>
    <phoneticPr fontId="19" type="noConversion"/>
  </si>
  <si>
    <t>877</t>
    <phoneticPr fontId="19" type="noConversion"/>
  </si>
  <si>
    <t>879</t>
    <phoneticPr fontId="19" type="noConversion"/>
  </si>
  <si>
    <t>853</t>
    <phoneticPr fontId="19" type="noConversion"/>
  </si>
  <si>
    <t>262</t>
    <phoneticPr fontId="19" type="noConversion"/>
  </si>
  <si>
    <t>850</t>
    <phoneticPr fontId="19" type="noConversion"/>
  </si>
  <si>
    <t>130-52</t>
    <phoneticPr fontId="19" type="noConversion"/>
  </si>
  <si>
    <t>1008</t>
    <phoneticPr fontId="19" type="noConversion"/>
  </si>
  <si>
    <t>233-14</t>
    <phoneticPr fontId="19" type="noConversion"/>
  </si>
  <si>
    <t>987-1</t>
    <phoneticPr fontId="19" type="noConversion"/>
  </si>
  <si>
    <t>993</t>
    <phoneticPr fontId="19" type="noConversion"/>
  </si>
  <si>
    <t>하기동</t>
    <phoneticPr fontId="19" type="noConversion"/>
  </si>
  <si>
    <t>511-1</t>
    <phoneticPr fontId="19" type="noConversion"/>
  </si>
  <si>
    <t>X</t>
    <phoneticPr fontId="19" type="noConversion"/>
  </si>
  <si>
    <t>412</t>
    <phoneticPr fontId="19" type="noConversion"/>
  </si>
  <si>
    <t>411</t>
    <phoneticPr fontId="19" type="noConversion"/>
  </si>
  <si>
    <t>411-6</t>
    <phoneticPr fontId="19" type="noConversion"/>
  </si>
  <si>
    <t>514</t>
    <phoneticPr fontId="19" type="noConversion"/>
  </si>
  <si>
    <t>520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</si>
</sst>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>
    <tabColor rgb="FFC00000"/>
  </sheetPr>
  <dimension ref="A1:R40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28</v>
      </c>
      <c r="B2" s="1" t="s">
        <v>27</v>
      </c>
      <c r="C2" s="2" t="s">
        <v>55</v>
      </c>
      <c r="D2" s="2" t="s">
        <v>56</v>
      </c>
      <c r="E2" s="7" t="s">
        <v>57</v>
      </c>
      <c r="F2" s="2">
        <v>150</v>
      </c>
      <c r="G2" s="2">
        <v>200</v>
      </c>
      <c r="H2" s="2">
        <v>2</v>
      </c>
      <c r="I2" s="2">
        <v>80</v>
      </c>
      <c r="J2" s="2" t="s">
        <v>58</v>
      </c>
      <c r="K2" s="16">
        <f>ss_water(I2,J2,100)</f>
        <v>0</v>
      </c>
      <c r="L2" s="2" t="str">
        <f>C2 &amp; " " &amp;D2&amp;" "&amp;E2</f>
        <v>유성구 지족동 858</v>
      </c>
      <c r="R2" s="2" t="s">
        <v>13</v>
      </c>
    </row>
    <row r="3" spans="1:18" ht="21.75" customHeight="1" x14ac:dyDescent="0.3">
      <c r="A3" s="2" t="s">
        <v>33</v>
      </c>
      <c r="B3" s="1" t="s">
        <v>27</v>
      </c>
      <c r="C3" s="2" t="s">
        <v>55</v>
      </c>
      <c r="D3" s="2" t="s">
        <v>56</v>
      </c>
      <c r="E3" s="7" t="s">
        <v>59</v>
      </c>
      <c r="F3" s="2">
        <v>90</v>
      </c>
      <c r="G3" s="2">
        <v>200</v>
      </c>
      <c r="H3" s="2">
        <v>2</v>
      </c>
      <c r="I3" s="2">
        <v>90</v>
      </c>
      <c r="J3" s="2" t="s">
        <v>60</v>
      </c>
      <c r="K3" s="16">
        <f>ss_water(I3,J3,700)</f>
        <v>0</v>
      </c>
      <c r="L3" s="2" t="str">
        <f t="shared" ref="L3:L17" si="0">C3 &amp; " " &amp;D3&amp;" "&amp;E3</f>
        <v>유성구 지족동 857</v>
      </c>
      <c r="R3" s="2" t="s">
        <v>13</v>
      </c>
    </row>
    <row r="4" spans="1:18" ht="21.75" customHeight="1" x14ac:dyDescent="0.3">
      <c r="A4" s="2" t="s">
        <v>34</v>
      </c>
      <c r="B4" s="1" t="s">
        <v>27</v>
      </c>
      <c r="C4" s="2" t="s">
        <v>55</v>
      </c>
      <c r="D4" s="2" t="s">
        <v>56</v>
      </c>
      <c r="E4" s="7" t="s">
        <v>61</v>
      </c>
      <c r="F4" s="2">
        <v>100</v>
      </c>
      <c r="G4" s="2">
        <v>200</v>
      </c>
      <c r="H4" s="2">
        <v>3</v>
      </c>
      <c r="I4" s="2">
        <v>160</v>
      </c>
      <c r="J4" s="2" t="s">
        <v>62</v>
      </c>
      <c r="K4" s="16">
        <f t="shared" ref="K4:K15" si="1">ss_water(I4,J4)</f>
        <v>0</v>
      </c>
      <c r="L4" s="2" t="str">
        <f t="shared" si="0"/>
        <v>유성구 지족동 859</v>
      </c>
      <c r="R4" s="2" t="s">
        <v>13</v>
      </c>
    </row>
    <row r="5" spans="1:18" ht="21.75" customHeight="1" x14ac:dyDescent="0.3">
      <c r="A5" s="2" t="s">
        <v>35</v>
      </c>
      <c r="B5" s="1" t="s">
        <v>27</v>
      </c>
      <c r="C5" s="2" t="s">
        <v>55</v>
      </c>
      <c r="D5" s="2" t="s">
        <v>56</v>
      </c>
      <c r="E5" s="7" t="s">
        <v>63</v>
      </c>
      <c r="F5" s="2">
        <v>200</v>
      </c>
      <c r="G5" s="2">
        <v>200</v>
      </c>
      <c r="H5" s="2">
        <v>3</v>
      </c>
      <c r="I5" s="2">
        <v>140</v>
      </c>
      <c r="J5" s="2" t="s">
        <v>58</v>
      </c>
      <c r="K5" s="16">
        <f>ss_water(I5,J5,80)</f>
        <v>0</v>
      </c>
      <c r="L5" s="2" t="str">
        <f t="shared" si="0"/>
        <v>유성구 지족동 877</v>
      </c>
      <c r="R5" s="2" t="s">
        <v>13</v>
      </c>
    </row>
    <row r="6" spans="1:18" ht="21.75" customHeight="1" x14ac:dyDescent="0.3">
      <c r="A6" s="2" t="s">
        <v>36</v>
      </c>
      <c r="B6" s="1" t="s">
        <v>27</v>
      </c>
      <c r="C6" s="2" t="s">
        <v>55</v>
      </c>
      <c r="D6" s="2" t="s">
        <v>56</v>
      </c>
      <c r="E6" s="7" t="s">
        <v>64</v>
      </c>
      <c r="F6" s="2">
        <v>95</v>
      </c>
      <c r="G6" s="2">
        <v>200</v>
      </c>
      <c r="H6" s="2">
        <v>2</v>
      </c>
      <c r="I6" s="2">
        <v>95</v>
      </c>
      <c r="J6" s="2" t="s">
        <v>60</v>
      </c>
      <c r="K6" s="16">
        <f>ss_water(I6,J6,600)</f>
        <v>0</v>
      </c>
      <c r="L6" s="2" t="str">
        <f t="shared" si="0"/>
        <v>유성구 지족동 879</v>
      </c>
      <c r="R6" s="2" t="s">
        <v>13</v>
      </c>
    </row>
    <row r="7" spans="1:18" ht="21.75" customHeight="1" x14ac:dyDescent="0.3">
      <c r="A7" s="2" t="s">
        <v>37</v>
      </c>
      <c r="B7" s="1" t="s">
        <v>27</v>
      </c>
      <c r="C7" s="2" t="s">
        <v>55</v>
      </c>
      <c r="D7" s="2" t="s">
        <v>56</v>
      </c>
      <c r="E7" s="7" t="s">
        <v>65</v>
      </c>
      <c r="F7" s="2">
        <v>120</v>
      </c>
      <c r="G7" s="2">
        <v>200</v>
      </c>
      <c r="H7" s="2">
        <v>2</v>
      </c>
      <c r="I7" s="2">
        <v>98</v>
      </c>
      <c r="J7" s="2" t="s">
        <v>58</v>
      </c>
      <c r="K7" s="16">
        <f>ss_water(I7,J7,600)</f>
        <v>0</v>
      </c>
      <c r="L7" s="2" t="str">
        <f t="shared" si="0"/>
        <v>유성구 지족동 853</v>
      </c>
      <c r="R7" s="2" t="s">
        <v>13</v>
      </c>
    </row>
    <row r="8" spans="1:18" ht="21.75" customHeight="1" x14ac:dyDescent="0.3">
      <c r="A8" s="2" t="s">
        <v>38</v>
      </c>
      <c r="B8" s="1" t="s">
        <v>27</v>
      </c>
      <c r="C8" s="2" t="s">
        <v>55</v>
      </c>
      <c r="D8" s="2" t="s">
        <v>56</v>
      </c>
      <c r="E8" s="7" t="s">
        <v>67</v>
      </c>
      <c r="F8" s="2">
        <v>90</v>
      </c>
      <c r="G8" s="2">
        <v>200</v>
      </c>
      <c r="H8" s="2">
        <v>1</v>
      </c>
      <c r="I8" s="2">
        <v>95</v>
      </c>
      <c r="J8" s="2" t="s">
        <v>60</v>
      </c>
      <c r="K8" s="16">
        <f t="shared" si="1"/>
        <v>0</v>
      </c>
      <c r="L8" s="2" t="str">
        <f t="shared" si="0"/>
        <v>유성구 지족동 850</v>
      </c>
      <c r="R8" s="2" t="s">
        <v>13</v>
      </c>
    </row>
    <row r="9" spans="1:18" ht="21.75" customHeight="1" x14ac:dyDescent="0.3">
      <c r="A9" s="2" t="s">
        <v>39</v>
      </c>
      <c r="B9" s="1" t="s">
        <v>27</v>
      </c>
      <c r="C9" s="2" t="s">
        <v>55</v>
      </c>
      <c r="D9" s="2" t="s">
        <v>56</v>
      </c>
      <c r="E9" s="7" t="s">
        <v>68</v>
      </c>
      <c r="F9" s="2">
        <v>30</v>
      </c>
      <c r="G9" s="2">
        <v>50</v>
      </c>
      <c r="H9" s="2">
        <v>0.5</v>
      </c>
      <c r="I9" s="2">
        <v>30</v>
      </c>
      <c r="J9" s="2" t="s">
        <v>53</v>
      </c>
      <c r="K9" s="16">
        <f t="shared" si="1"/>
        <v>0</v>
      </c>
      <c r="L9" s="2" t="str">
        <f t="shared" si="0"/>
        <v>유성구 지족동 130-52</v>
      </c>
      <c r="R9" s="2" t="s">
        <v>13</v>
      </c>
    </row>
    <row r="10" spans="1:18" ht="21.75" customHeight="1" x14ac:dyDescent="0.3">
      <c r="A10" s="2" t="s">
        <v>40</v>
      </c>
      <c r="B10" s="1" t="s">
        <v>27</v>
      </c>
      <c r="C10" s="2" t="s">
        <v>55</v>
      </c>
      <c r="D10" s="2" t="s">
        <v>56</v>
      </c>
      <c r="E10" s="7" t="s">
        <v>69</v>
      </c>
      <c r="F10" s="2">
        <v>100</v>
      </c>
      <c r="G10" s="2">
        <v>250</v>
      </c>
      <c r="H10" s="2">
        <v>3</v>
      </c>
      <c r="I10" s="2">
        <v>100</v>
      </c>
      <c r="J10" s="2" t="s">
        <v>62</v>
      </c>
      <c r="K10" s="16">
        <f t="shared" si="1"/>
        <v>0</v>
      </c>
      <c r="L10" s="2" t="str">
        <f t="shared" si="0"/>
        <v>유성구 지족동 1008</v>
      </c>
      <c r="R10" s="2" t="s">
        <v>13</v>
      </c>
    </row>
    <row r="11" spans="1:18" ht="21.75" customHeight="1" x14ac:dyDescent="0.3">
      <c r="A11" s="2" t="s">
        <v>41</v>
      </c>
      <c r="B11" s="1" t="s">
        <v>27</v>
      </c>
      <c r="C11" s="2" t="s">
        <v>55</v>
      </c>
      <c r="D11" s="2" t="s">
        <v>56</v>
      </c>
      <c r="E11" s="7" t="s">
        <v>70</v>
      </c>
      <c r="F11" s="2">
        <v>120</v>
      </c>
      <c r="G11" s="2">
        <v>150</v>
      </c>
      <c r="H11" s="2">
        <v>2</v>
      </c>
      <c r="I11" s="2">
        <v>90</v>
      </c>
      <c r="J11" s="2" t="s">
        <v>53</v>
      </c>
      <c r="K11" s="16">
        <f t="shared" si="1"/>
        <v>0</v>
      </c>
      <c r="L11" s="2" t="str">
        <f t="shared" si="0"/>
        <v>유성구 지족동 233-14</v>
      </c>
      <c r="R11" s="2" t="s">
        <v>13</v>
      </c>
    </row>
    <row r="12" spans="1:18" ht="21.75" customHeight="1" x14ac:dyDescent="0.3">
      <c r="A12" s="2" t="s">
        <v>42</v>
      </c>
      <c r="B12" s="1" t="s">
        <v>27</v>
      </c>
      <c r="C12" s="2" t="s">
        <v>55</v>
      </c>
      <c r="D12" s="2" t="s">
        <v>56</v>
      </c>
      <c r="E12" s="7" t="s">
        <v>71</v>
      </c>
      <c r="F12" s="2">
        <v>30</v>
      </c>
      <c r="G12" s="2">
        <v>50</v>
      </c>
      <c r="H12" s="2">
        <v>0.5</v>
      </c>
      <c r="I12" s="2">
        <v>25</v>
      </c>
      <c r="J12" s="2" t="s">
        <v>53</v>
      </c>
      <c r="K12" s="16">
        <f t="shared" si="1"/>
        <v>0</v>
      </c>
      <c r="L12" s="2" t="str">
        <f t="shared" si="0"/>
        <v>유성구 지족동 987-1</v>
      </c>
      <c r="R12" s="2" t="s">
        <v>13</v>
      </c>
    </row>
    <row r="13" spans="1:18" ht="21.75" customHeight="1" x14ac:dyDescent="0.3">
      <c r="A13" s="2" t="s">
        <v>43</v>
      </c>
      <c r="B13" s="1" t="s">
        <v>27</v>
      </c>
      <c r="C13" s="2" t="s">
        <v>55</v>
      </c>
      <c r="D13" s="2" t="s">
        <v>56</v>
      </c>
      <c r="E13" s="7" t="s">
        <v>72</v>
      </c>
      <c r="F13" s="2">
        <v>70</v>
      </c>
      <c r="G13" s="2">
        <v>200</v>
      </c>
      <c r="H13" s="2">
        <v>1</v>
      </c>
      <c r="I13" s="2">
        <v>95</v>
      </c>
      <c r="J13" s="2" t="s">
        <v>60</v>
      </c>
      <c r="K13" s="16">
        <f>ss_water(I13,J13,300)</f>
        <v>0</v>
      </c>
      <c r="L13" s="2" t="str">
        <f t="shared" si="0"/>
        <v>유성구 지족동 993</v>
      </c>
      <c r="R13" s="2" t="s">
        <v>13</v>
      </c>
    </row>
    <row r="14" spans="1:18" ht="21.75" customHeight="1" x14ac:dyDescent="0.3">
      <c r="A14" s="2" t="s">
        <v>44</v>
      </c>
      <c r="B14" s="1" t="s">
        <v>27</v>
      </c>
      <c r="C14" s="2" t="s">
        <v>55</v>
      </c>
      <c r="D14" s="2" t="s">
        <v>73</v>
      </c>
      <c r="E14" s="7" t="s">
        <v>74</v>
      </c>
      <c r="F14" s="2">
        <v>80</v>
      </c>
      <c r="G14" s="2">
        <v>150</v>
      </c>
      <c r="H14" s="2">
        <v>1</v>
      </c>
      <c r="I14" s="2">
        <v>60</v>
      </c>
      <c r="J14" s="2" t="s">
        <v>53</v>
      </c>
      <c r="K14" s="16">
        <f t="shared" si="1"/>
        <v>0</v>
      </c>
      <c r="L14" s="2" t="str">
        <f t="shared" si="0"/>
        <v>유성구 하기동 511-1</v>
      </c>
      <c r="R14" s="2" t="s">
        <v>75</v>
      </c>
    </row>
    <row r="15" spans="1:18" ht="21.75" customHeight="1" x14ac:dyDescent="0.3">
      <c r="A15" s="2" t="s">
        <v>46</v>
      </c>
      <c r="B15" s="1" t="s">
        <v>27</v>
      </c>
      <c r="C15" s="2" t="s">
        <v>55</v>
      </c>
      <c r="D15" s="2" t="s">
        <v>73</v>
      </c>
      <c r="E15" s="7" t="s">
        <v>78</v>
      </c>
      <c r="F15" s="2">
        <v>30</v>
      </c>
      <c r="G15" s="2">
        <v>84</v>
      </c>
      <c r="H15" s="2">
        <v>1</v>
      </c>
      <c r="I15" s="2">
        <v>25</v>
      </c>
      <c r="J15" s="2" t="s">
        <v>53</v>
      </c>
      <c r="K15" s="16">
        <f t="shared" si="1"/>
        <v>0</v>
      </c>
      <c r="L15" s="2" t="str">
        <f t="shared" si="0"/>
        <v>유성구 하기동 411-6</v>
      </c>
      <c r="R15" s="2" t="s">
        <v>75</v>
      </c>
    </row>
    <row r="16" spans="1:18" ht="23.25" customHeight="1" x14ac:dyDescent="0.3">
      <c r="A16" s="2" t="s">
        <v>52</v>
      </c>
      <c r="B16" s="1" t="s">
        <v>27</v>
      </c>
      <c r="C16" s="2" t="s">
        <v>55</v>
      </c>
      <c r="D16" s="2" t="s">
        <v>73</v>
      </c>
      <c r="E16" s="7" t="s">
        <v>79</v>
      </c>
      <c r="F16" s="2">
        <v>90</v>
      </c>
      <c r="G16" s="2">
        <v>200</v>
      </c>
      <c r="H16" s="2">
        <v>2</v>
      </c>
      <c r="I16" s="2">
        <v>95</v>
      </c>
      <c r="J16" s="2" t="s">
        <v>60</v>
      </c>
      <c r="K16" s="16">
        <f>ss_water(I16,J16,120)</f>
        <v>0</v>
      </c>
      <c r="L16" s="2" t="str">
        <f t="shared" si="0"/>
        <v>유성구 하기동 514</v>
      </c>
      <c r="R16" s="2" t="s">
        <v>75</v>
      </c>
    </row>
    <row r="17" spans="1:18" ht="23.25" customHeight="1" x14ac:dyDescent="0.3">
      <c r="A17" s="2" t="s">
        <v>54</v>
      </c>
      <c r="B17" s="1" t="s">
        <v>27</v>
      </c>
      <c r="C17" s="2" t="s">
        <v>55</v>
      </c>
      <c r="D17" s="2" t="s">
        <v>73</v>
      </c>
      <c r="E17" s="7" t="s">
        <v>80</v>
      </c>
      <c r="F17" s="2">
        <v>70</v>
      </c>
      <c r="G17" s="2">
        <v>200</v>
      </c>
      <c r="H17" s="2">
        <v>1</v>
      </c>
      <c r="I17" s="2">
        <v>80</v>
      </c>
      <c r="J17" s="2" t="s">
        <v>60</v>
      </c>
      <c r="K17" s="16">
        <f>ss_water(I17,J17,100)</f>
        <v>0</v>
      </c>
      <c r="L17" s="2" t="str">
        <f t="shared" si="0"/>
        <v>유성구 하기동 520</v>
      </c>
      <c r="R17" s="2" t="s">
        <v>75</v>
      </c>
    </row>
    <row r="18" spans="1:18" ht="21" customHeight="1" x14ac:dyDescent="0.3">
      <c r="B18" s="1"/>
      <c r="I18" s="2"/>
      <c r="K18" s="3"/>
    </row>
    <row r="19" spans="1:18" ht="21.75" customHeight="1" x14ac:dyDescent="0.3">
      <c r="I19" s="2"/>
    </row>
    <row r="20" spans="1:18" ht="21.75" customHeight="1" x14ac:dyDescent="0.3">
      <c r="J20" s="2" t="s">
        <v>51</v>
      </c>
      <c r="K20" s="15">
        <f>SUM(K2:K19)</f>
        <v>0</v>
      </c>
    </row>
    <row r="21" spans="1:18" ht="21.75" customHeight="1" thickBot="1" x14ac:dyDescent="0.35">
      <c r="K21" s="15"/>
    </row>
    <row r="22" spans="1:18" ht="21.75" customHeight="1" x14ac:dyDescent="0.3">
      <c r="B22" s="22" t="s">
        <v>24</v>
      </c>
      <c r="C22" s="23" t="s">
        <v>22</v>
      </c>
      <c r="D22" s="24" t="s">
        <v>7</v>
      </c>
      <c r="F22" s="22" t="s">
        <v>47</v>
      </c>
      <c r="G22" s="23" t="s">
        <v>22</v>
      </c>
      <c r="H22" s="24" t="s">
        <v>7</v>
      </c>
      <c r="J22" s="2" t="s">
        <v>48</v>
      </c>
      <c r="K22" s="4">
        <f>K20+__aa__!K7+__ii__!K5</f>
        <v>0</v>
      </c>
    </row>
    <row r="23" spans="1:18" ht="21.75" customHeight="1" thickBot="1" x14ac:dyDescent="0.35">
      <c r="B23" s="25" t="s">
        <v>20</v>
      </c>
      <c r="C23" s="21">
        <f ca="1">COUNTIF(SS_INSIDE_AREA,"O")</f>
        <v>12</v>
      </c>
      <c r="D23" s="26">
        <f ca="1">SUMIF(SS_INSIDE_AREA,"O",K2:K2)</f>
        <v>0</v>
      </c>
      <c r="F23" s="29" t="s">
        <v>20</v>
      </c>
      <c r="G23" s="21">
        <f ca="1">COUNTIF(II_INSIDE_AREA,"O")</f>
        <v>1</v>
      </c>
      <c r="H23" s="26">
        <f ca="1">__ii__!D8</f>
        <v>0</v>
      </c>
    </row>
    <row r="24" spans="1:18" ht="21.75" customHeight="1" x14ac:dyDescent="0.3">
      <c r="B24" s="25" t="s">
        <v>21</v>
      </c>
      <c r="C24" s="21">
        <f ca="1">COUNTIF(SS_INSIDE_AREA,"X")</f>
        <v>4</v>
      </c>
      <c r="D24" s="26">
        <f ca="1">SUMIF(SS_INSIDE_AREA,"X",K2:K2)</f>
        <v>0</v>
      </c>
      <c r="F24" s="29" t="s">
        <v>21</v>
      </c>
      <c r="G24" s="21">
        <f ca="1">COUNTIF(II_INSIDE_AREA,"X")</f>
        <v>0</v>
      </c>
      <c r="H24" s="26">
        <f ca="1">__ii__!D9</f>
        <v>0</v>
      </c>
      <c r="J24" s="17" t="s">
        <v>49</v>
      </c>
      <c r="K24" s="18">
        <f ca="1">D33</f>
        <v>0</v>
      </c>
    </row>
    <row r="25" spans="1:18" ht="21.75" customHeight="1" thickBot="1" x14ac:dyDescent="0.35">
      <c r="B25" s="19"/>
      <c r="C25" s="27"/>
      <c r="D25" s="28">
        <f ca="1">SUM(D23:D24)</f>
        <v>0</v>
      </c>
      <c r="F25" s="30"/>
      <c r="G25" s="27"/>
      <c r="H25" s="28">
        <f ca="1">__ii__!D10</f>
        <v>0</v>
      </c>
      <c r="J25" s="19" t="s">
        <v>50</v>
      </c>
      <c r="K25" s="20">
        <f ca="1">C33</f>
        <v>13</v>
      </c>
    </row>
    <row r="26" spans="1:18" ht="21.75" customHeight="1" thickBot="1" x14ac:dyDescent="0.35"/>
    <row r="27" spans="1:18" ht="21.75" customHeight="1" x14ac:dyDescent="0.3">
      <c r="B27" s="22" t="s">
        <v>23</v>
      </c>
      <c r="C27" s="23" t="s">
        <v>22</v>
      </c>
      <c r="D27" s="24" t="s">
        <v>7</v>
      </c>
    </row>
    <row r="28" spans="1:18" ht="21.75" customHeight="1" x14ac:dyDescent="0.3">
      <c r="B28" s="25" t="s">
        <v>20</v>
      </c>
      <c r="C28" s="21">
        <f ca="1">COUNTIF(AA_INSIDE_AREA,"O")</f>
        <v>1</v>
      </c>
      <c r="D28" s="26">
        <f ca="1">__aa__!D8</f>
        <v>0</v>
      </c>
    </row>
    <row r="29" spans="1:18" ht="21.75" customHeight="1" x14ac:dyDescent="0.3">
      <c r="B29" s="25" t="s">
        <v>21</v>
      </c>
      <c r="C29" s="21">
        <f ca="1">COUNTIF(AA_INSIDE_AREA,"X")</f>
        <v>2</v>
      </c>
      <c r="D29" s="26">
        <f ca="1">__aa__!D9</f>
        <v>0</v>
      </c>
    </row>
    <row r="30" spans="1:18" ht="21.75" customHeight="1" thickBot="1" x14ac:dyDescent="0.35">
      <c r="B30" s="19"/>
      <c r="C30" s="27"/>
      <c r="D30" s="28">
        <f ca="1">SUM(D28:D29)</f>
        <v>0</v>
      </c>
    </row>
    <row r="31" spans="1:18" ht="21.75" customHeight="1" thickBot="1" x14ac:dyDescent="0.35"/>
    <row r="32" spans="1:18" ht="21.75" customHeight="1" x14ac:dyDescent="0.3">
      <c r="B32" s="22" t="s">
        <v>25</v>
      </c>
      <c r="C32" s="23" t="s">
        <v>22</v>
      </c>
      <c r="D32" s="24" t="s">
        <v>7</v>
      </c>
    </row>
    <row r="33" spans="2:16" ht="21.75" customHeight="1" x14ac:dyDescent="0.3">
      <c r="B33" s="25" t="s">
        <v>20</v>
      </c>
      <c r="C33" s="21">
        <f ca="1">C23+C28+IF(H23=0,0,G23)</f>
        <v>13</v>
      </c>
      <c r="D33" s="26">
        <f ca="1">D23+D28+H23</f>
        <v>0</v>
      </c>
    </row>
    <row r="34" spans="2:16" ht="21.75" customHeight="1" thickBot="1" x14ac:dyDescent="0.35">
      <c r="B34" s="19" t="s">
        <v>21</v>
      </c>
      <c r="C34" s="27">
        <f ca="1">C24+C29+IF(H24=0,0,G24)</f>
        <v>6</v>
      </c>
      <c r="D34" s="28">
        <f ca="1">D24+D29+H24</f>
        <v>0</v>
      </c>
    </row>
    <row r="40" spans="2:16" ht="21.75" customHeight="1" x14ac:dyDescent="0.3">
      <c r="J40" s="13"/>
      <c r="K40" s="13"/>
      <c r="L40" s="13"/>
      <c r="M40" s="13"/>
      <c r="N40" s="13"/>
      <c r="O40" s="13"/>
      <c r="P40" s="1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>
    <tabColor rgb="FF00B0F0"/>
  </sheetPr>
  <dimension ref="A1:R10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27</v>
      </c>
      <c r="C2" s="2" t="s">
        <v>55</v>
      </c>
      <c r="D2" s="2" t="s">
        <v>56</v>
      </c>
      <c r="E2" s="12" t="s">
        <v>66</v>
      </c>
      <c r="F2" s="10">
        <v>100</v>
      </c>
      <c r="G2" s="10">
        <v>150</v>
      </c>
      <c r="H2" s="10">
        <v>2</v>
      </c>
      <c r="I2" s="10">
        <v>95</v>
      </c>
      <c r="J2" s="10" t="s">
        <v>32</v>
      </c>
      <c r="K2" s="2">
        <f t="shared" ref="K2:K4" si="0">aa_water(I2,J2)</f>
        <v>0</v>
      </c>
      <c r="L2" s="2" t="str">
        <f>C2 &amp; " " &amp;D2&amp;" "&amp;E2</f>
        <v>유성구 지족동 262</v>
      </c>
      <c r="M2" s="10"/>
      <c r="N2" s="10"/>
      <c r="O2" s="10"/>
      <c r="P2" s="3"/>
      <c r="Q2" s="10"/>
      <c r="R2" s="2" t="s">
        <v>31</v>
      </c>
    </row>
    <row r="3" spans="1:18" s="8" customFormat="1" ht="21.75" customHeight="1" x14ac:dyDescent="0.3">
      <c r="A3" s="1" t="s">
        <v>29</v>
      </c>
      <c r="B3" s="1" t="s">
        <v>27</v>
      </c>
      <c r="C3" s="2" t="s">
        <v>55</v>
      </c>
      <c r="D3" s="2" t="s">
        <v>73</v>
      </c>
      <c r="E3" s="12" t="s">
        <v>76</v>
      </c>
      <c r="F3" s="10">
        <v>24</v>
      </c>
      <c r="G3" s="10">
        <v>50</v>
      </c>
      <c r="H3" s="10">
        <v>0.5</v>
      </c>
      <c r="I3" s="10">
        <v>50</v>
      </c>
      <c r="J3" s="10" t="s">
        <v>45</v>
      </c>
      <c r="K3" s="2">
        <f t="shared" si="0"/>
        <v>0</v>
      </c>
      <c r="L3" s="2" t="str">
        <f>C3 &amp; " " &amp;D3&amp;" "&amp;E3</f>
        <v>유성구 하기동 412</v>
      </c>
      <c r="M3" s="10"/>
      <c r="N3" s="10"/>
      <c r="O3" s="10"/>
      <c r="P3" s="3"/>
      <c r="Q3" s="10"/>
      <c r="R3" s="2" t="s">
        <v>75</v>
      </c>
    </row>
    <row r="4" spans="1:18" s="8" customFormat="1" ht="21.75" customHeight="1" x14ac:dyDescent="0.3">
      <c r="A4" s="1" t="s">
        <v>30</v>
      </c>
      <c r="B4" s="1" t="s">
        <v>27</v>
      </c>
      <c r="C4" s="2" t="s">
        <v>55</v>
      </c>
      <c r="D4" s="2" t="s">
        <v>73</v>
      </c>
      <c r="E4" s="12" t="s">
        <v>77</v>
      </c>
      <c r="F4" s="10">
        <v>30</v>
      </c>
      <c r="G4" s="10">
        <v>50</v>
      </c>
      <c r="H4" s="10">
        <v>0.5</v>
      </c>
      <c r="I4" s="10">
        <v>25</v>
      </c>
      <c r="J4" s="10" t="s">
        <v>45</v>
      </c>
      <c r="K4" s="2">
        <f t="shared" si="0"/>
        <v>0</v>
      </c>
      <c r="L4" s="2" t="str">
        <f t="shared" ref="L4" si="1">C4 &amp; " " &amp;D4&amp;" "&amp;E4</f>
        <v>유성구 하기동 411</v>
      </c>
      <c r="M4" s="10"/>
      <c r="N4" s="10"/>
      <c r="O4" s="10"/>
      <c r="P4" s="3"/>
      <c r="Q4" s="10"/>
      <c r="R4" s="2" t="s">
        <v>75</v>
      </c>
    </row>
    <row r="5" spans="1:18" s="8" customFormat="1" ht="21.75" customHeight="1" x14ac:dyDescent="0.3">
      <c r="A5" s="1"/>
      <c r="B5" s="1"/>
      <c r="C5" s="2"/>
      <c r="D5" s="2"/>
      <c r="E5" s="12"/>
      <c r="F5" s="10"/>
      <c r="G5" s="10"/>
      <c r="H5" s="10"/>
      <c r="I5" s="10"/>
      <c r="J5" s="10"/>
      <c r="K5" s="2"/>
      <c r="L5" s="2"/>
      <c r="M5" s="10"/>
      <c r="N5" s="10"/>
      <c r="O5" s="10"/>
      <c r="P5" s="3"/>
      <c r="Q5" s="10"/>
      <c r="R5" s="2"/>
    </row>
    <row r="6" spans="1:18" ht="21.75" customHeight="1" thickBot="1" x14ac:dyDescent="0.35">
      <c r="K6" s="5"/>
    </row>
    <row r="7" spans="1:18" ht="21.75" customHeight="1" x14ac:dyDescent="0.3">
      <c r="B7" s="31" t="s">
        <v>23</v>
      </c>
      <c r="C7" s="23" t="s">
        <v>22</v>
      </c>
      <c r="D7" s="24" t="s">
        <v>7</v>
      </c>
      <c r="J7" s="2" t="s">
        <v>48</v>
      </c>
      <c r="K7" s="14">
        <f>SUM(K2:K6)</f>
        <v>0</v>
      </c>
      <c r="L7" s="11"/>
    </row>
    <row r="8" spans="1:18" ht="21.75" customHeight="1" x14ac:dyDescent="0.3">
      <c r="B8" s="29" t="s">
        <v>20</v>
      </c>
      <c r="C8" s="21">
        <f ca="1">COUNTIF(AA_INSIDE_AREA,"O")</f>
        <v>1</v>
      </c>
      <c r="D8" s="26">
        <f ca="1">SUMIF(AA_INSIDE_AREA,"O",$K$2:$K$2)</f>
        <v>0</v>
      </c>
    </row>
    <row r="9" spans="1:18" ht="21.75" customHeight="1" x14ac:dyDescent="0.3">
      <c r="B9" s="29" t="s">
        <v>21</v>
      </c>
      <c r="C9" s="21">
        <f ca="1">COUNTIF(AA_INSIDE_AREA,"X")</f>
        <v>2</v>
      </c>
      <c r="D9" s="26">
        <f ca="1">SUMIF(AA_INSIDE_AREA,"X",$K$2:$K$2)</f>
        <v>0</v>
      </c>
      <c r="K9" s="4"/>
    </row>
    <row r="10" spans="1:18" ht="21.75" customHeight="1" thickBot="1" x14ac:dyDescent="0.35">
      <c r="B10" s="30"/>
      <c r="C10" s="27"/>
      <c r="D10" s="28">
        <f ca="1">D8+D9</f>
        <v>0</v>
      </c>
      <c r="K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>
    <tabColor rgb="FF00B050"/>
  </sheetPr>
  <dimension ref="A1:R50"/>
  <sheetViews>
    <sheetView tabSelected="1" workbookViewId="0">
      <selection activeCell="L10" sqref="L10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55</v>
      </c>
      <c r="D2" s="2" t="s">
        <v>73</v>
      </c>
      <c r="E2" s="7"/>
      <c r="F2" s="2"/>
      <c r="G2" s="2"/>
      <c r="H2" s="2"/>
      <c r="I2" s="2"/>
      <c r="J2" s="2" t="s">
        <v>26</v>
      </c>
      <c r="K2" s="2">
        <v>0</v>
      </c>
      <c r="L2" s="2" t="str">
        <f>D2&amp;" "&amp;E2&amp;" 번지"</f>
        <v>하기동 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48</v>
      </c>
      <c r="K5" s="15">
        <f>SUM(K2:K4)</f>
        <v>0</v>
      </c>
    </row>
    <row r="6" spans="1:18" ht="18.75" customHeight="1" thickBot="1" x14ac:dyDescent="0.35"/>
    <row r="7" spans="1:18" ht="18.75" customHeight="1" x14ac:dyDescent="0.3">
      <c r="B7" s="31" t="s">
        <v>47</v>
      </c>
      <c r="C7" s="23" t="s">
        <v>22</v>
      </c>
      <c r="D7" s="24" t="s">
        <v>7</v>
      </c>
      <c r="K7" s="4"/>
    </row>
    <row r="8" spans="1:18" ht="18.75" customHeight="1" x14ac:dyDescent="0.3">
      <c r="B8" s="29" t="s">
        <v>20</v>
      </c>
      <c r="C8" s="21">
        <f ca="1">COUNTIF(II_INSIDE_AREA,"O")</f>
        <v>1</v>
      </c>
      <c r="D8" s="26">
        <f ca="1">SUMIF(II_INSIDE_AREA,"O",$K$2:$K$2)</f>
        <v>0</v>
      </c>
      <c r="K8" s="4"/>
    </row>
    <row r="9" spans="1:18" ht="18.75" customHeight="1" x14ac:dyDescent="0.3">
      <c r="B9" s="29" t="s">
        <v>21</v>
      </c>
      <c r="C9" s="21">
        <f ca="1">COUNTIF(II_INSIDE_AREA,"X")</f>
        <v>0</v>
      </c>
      <c r="D9" s="26">
        <f ca="1">SUMIF(II_INSIDE_AREA,"X",$K$2:$K$2)</f>
        <v>0</v>
      </c>
    </row>
    <row r="10" spans="1:18" ht="18.75" customHeight="1" thickBot="1" x14ac:dyDescent="0.35">
      <c r="B10" s="30"/>
      <c r="C10" s="27"/>
      <c r="D10" s="28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__ss__</vt:lpstr>
      <vt:lpstr>__aa__</vt:lpstr>
      <vt:lpstr>__ii__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2022-07-10T04:52:23Z</dcterms:modified>
</cp:coreProperties>
</file>