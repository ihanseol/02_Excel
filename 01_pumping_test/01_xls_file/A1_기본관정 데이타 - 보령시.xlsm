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drawings/drawing1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2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2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40844B2C-1369-42C9-8ADC-D3D566CF5869}" xr6:coauthVersionLast="45" xr6:coauthVersionMax="45" xr10:uidLastSave="{00000000-0000-0000-0000-000000000000}"/>
  <bookViews>
    <workbookView xWindow="-120" yWindow="-120" windowWidth="29040" windowHeight="15840" tabRatio="668" activeTab="21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2" sheetId="85" r:id="rId8"/>
    <sheet name="3" sheetId="87" r:id="rId9"/>
    <sheet name="4" sheetId="88" r:id="rId10"/>
    <sheet name="5" sheetId="89" r:id="rId11"/>
    <sheet name="6" sheetId="90" r:id="rId12"/>
    <sheet name="7" sheetId="91" r:id="rId13"/>
    <sheet name="8" sheetId="92" r:id="rId14"/>
    <sheet name="9" sheetId="108" r:id="rId15"/>
    <sheet name="10" sheetId="109" r:id="rId16"/>
    <sheet name="11" sheetId="110" r:id="rId17"/>
    <sheet name="12" sheetId="116" r:id="rId18"/>
    <sheet name="Q1" sheetId="117" r:id="rId19"/>
    <sheet name="Q2" sheetId="115" r:id="rId20"/>
    <sheet name="w1" sheetId="100" r:id="rId21"/>
    <sheet name="w2" sheetId="101" r:id="rId22"/>
  </sheets>
  <functionGroups builtInGroupCount="19"/>
  <externalReferences>
    <externalReference r:id="rId23"/>
    <externalReference r:id="rId24"/>
    <externalReference r:id="rId25"/>
  </externalReferences>
  <definedNames>
    <definedName name="allow_ratio" localSheetId="18">[1]Recharge!$C$27</definedName>
    <definedName name="allow_ratio">Recharge!$C$27</definedName>
    <definedName name="baseTemp" localSheetId="15">#REF!</definedName>
    <definedName name="baseTemp" localSheetId="16">#REF!</definedName>
    <definedName name="baseTemp" localSheetId="14">#REF!</definedName>
    <definedName name="baseTemp" localSheetId="18">'Q1'!$C$7</definedName>
    <definedName name="baseTemp" localSheetId="19">'Q2'!$C$7</definedName>
    <definedName name="baseTemp" localSheetId="20">'w1'!$C$7</definedName>
    <definedName name="baseTemp" localSheetId="21">'w2'!$C$7</definedName>
    <definedName name="baseTemp">#REF!</definedName>
    <definedName name="max" localSheetId="18">[2]지하수함양량!$C$27</definedName>
    <definedName name="max" localSheetId="19">[2]지하수함양량!$C$27</definedName>
    <definedName name="max" localSheetId="20">[3]지하수함양량!$C$30</definedName>
    <definedName name="max" localSheetId="21">[3]지하수함양량!$C$30</definedName>
    <definedName name="max">Recharge!$C$26</definedName>
    <definedName name="min" localSheetId="18">[2]지하수함양량!$C$26</definedName>
    <definedName name="min" localSheetId="19">[2]지하수함양량!$C$26</definedName>
    <definedName name="min" localSheetId="20">[3]지하수함양량!$C$29</definedName>
    <definedName name="min" localSheetId="21">[3]지하수함양량!$C$29</definedName>
    <definedName name="min">Recharge!$C$25</definedName>
    <definedName name="rf_1" localSheetId="18">[2]지하수함양량!$C$29</definedName>
    <definedName name="rf_1" localSheetId="19">[2]지하수함양량!$C$29</definedName>
    <definedName name="rf_1" localSheetId="20">[3]지하수함양량!$C$32</definedName>
    <definedName name="rf_1" localSheetId="21">[3]지하수함양량!$C$32</definedName>
    <definedName name="rf_1">Recharge!$C$29</definedName>
    <definedName name="rf_2" localSheetId="18">[2]지하수함양량!$D$29</definedName>
    <definedName name="rf_2" localSheetId="19">[2]지하수함양량!$D$29</definedName>
    <definedName name="rf_2" localSheetId="20">[3]지하수함양량!$D$32</definedName>
    <definedName name="rf_2" localSheetId="21">[3]지하수함양량!$D$32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3" i="117" l="1"/>
  <c r="B22" i="117"/>
  <c r="B21" i="117"/>
  <c r="B20" i="117"/>
  <c r="B19" i="117"/>
  <c r="B18" i="117"/>
  <c r="B17" i="117"/>
  <c r="B16" i="117"/>
  <c r="B15" i="117"/>
  <c r="B14" i="117"/>
  <c r="J36" i="117"/>
  <c r="H38" i="117"/>
  <c r="H35" i="117"/>
  <c r="D32" i="117"/>
  <c r="D37" i="117"/>
  <c r="E33" i="117"/>
  <c r="E32" i="117"/>
  <c r="D33" i="117"/>
  <c r="E37" i="117"/>
  <c r="H34" i="117"/>
  <c r="D36" i="117"/>
  <c r="F36" i="117"/>
  <c r="D31" i="117"/>
  <c r="F37" i="117"/>
  <c r="E38" i="117"/>
  <c r="H40" i="117"/>
  <c r="F38" i="117"/>
  <c r="H36" i="117"/>
  <c r="E36" i="117"/>
  <c r="I34" i="117"/>
  <c r="D35" i="117"/>
  <c r="I32" i="117"/>
  <c r="H33" i="117"/>
  <c r="D34" i="117"/>
  <c r="D40" i="117"/>
  <c r="I33" i="117"/>
  <c r="H31" i="117"/>
  <c r="F31" i="117"/>
  <c r="H32" i="117"/>
  <c r="F40" i="117"/>
  <c r="I36" i="117"/>
  <c r="I37" i="117"/>
  <c r="F39" i="117"/>
  <c r="I39" i="117"/>
  <c r="J39" i="117"/>
  <c r="E40" i="117"/>
  <c r="J38" i="117"/>
  <c r="J37" i="117"/>
  <c r="E39" i="117"/>
  <c r="F35" i="117"/>
  <c r="E34" i="117"/>
  <c r="I31" i="117"/>
  <c r="F34" i="117"/>
  <c r="J31" i="117"/>
  <c r="J32" i="117"/>
  <c r="J34" i="117"/>
  <c r="J35" i="117"/>
  <c r="I35" i="117"/>
  <c r="H39" i="117"/>
  <c r="H37" i="117"/>
  <c r="E31" i="117"/>
  <c r="J33" i="117"/>
  <c r="D38" i="117"/>
  <c r="F33" i="117"/>
  <c r="E35" i="117"/>
  <c r="I40" i="117"/>
  <c r="J40" i="117"/>
  <c r="F32" i="117"/>
  <c r="I38" i="117"/>
  <c r="D39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1" i="116"/>
  <c r="F21" i="116"/>
  <c r="E17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E21" i="110"/>
  <c r="F21" i="110"/>
  <c r="E17" i="110"/>
  <c r="C19" i="110"/>
  <c r="C18" i="110"/>
  <c r="C17" i="110"/>
  <c r="C16" i="110"/>
  <c r="C15" i="110"/>
  <c r="C8" i="110"/>
  <c r="C7" i="110"/>
  <c r="C6" i="110"/>
  <c r="C5" i="110"/>
  <c r="C4" i="110"/>
  <c r="C3" i="110"/>
  <c r="C2" i="110"/>
  <c r="E21" i="109"/>
  <c r="F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E21" i="108"/>
  <c r="F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E21" i="92"/>
  <c r="F21" i="92"/>
  <c r="E17" i="92"/>
  <c r="C19" i="92"/>
  <c r="C18" i="92"/>
  <c r="C17" i="92"/>
  <c r="C16" i="92"/>
  <c r="C15" i="92"/>
  <c r="C8" i="92"/>
  <c r="C7" i="92"/>
  <c r="C6" i="92"/>
  <c r="C5" i="92"/>
  <c r="C4" i="92"/>
  <c r="C3" i="92"/>
  <c r="C2" i="92"/>
  <c r="E21" i="91"/>
  <c r="F21" i="91"/>
  <c r="E17" i="91"/>
  <c r="C19" i="91"/>
  <c r="C18" i="91"/>
  <c r="C17" i="91"/>
  <c r="C16" i="91"/>
  <c r="C15" i="91"/>
  <c r="C8" i="91"/>
  <c r="C7" i="91"/>
  <c r="C6" i="91"/>
  <c r="C5" i="91"/>
  <c r="C4" i="91"/>
  <c r="C3" i="91"/>
  <c r="C2" i="91"/>
  <c r="E21" i="90"/>
  <c r="F21" i="90"/>
  <c r="E17" i="90"/>
  <c r="C19" i="90"/>
  <c r="C18" i="90"/>
  <c r="C17" i="90"/>
  <c r="C16" i="90"/>
  <c r="C15" i="90"/>
  <c r="C8" i="90"/>
  <c r="C7" i="90"/>
  <c r="C6" i="90"/>
  <c r="C5" i="90"/>
  <c r="C4" i="90"/>
  <c r="C3" i="90"/>
  <c r="C2" i="90"/>
  <c r="E21" i="89"/>
  <c r="F21" i="89"/>
  <c r="E17" i="89"/>
  <c r="C19" i="89"/>
  <c r="C18" i="89"/>
  <c r="C17" i="89"/>
  <c r="C16" i="89"/>
  <c r="C15" i="89"/>
  <c r="C8" i="89"/>
  <c r="C7" i="89"/>
  <c r="C6" i="89"/>
  <c r="C5" i="89"/>
  <c r="C4" i="89"/>
  <c r="C3" i="89"/>
  <c r="C2" i="89"/>
  <c r="E21" i="88"/>
  <c r="F21" i="88"/>
  <c r="E17" i="88"/>
  <c r="C19" i="88"/>
  <c r="C18" i="88"/>
  <c r="C17" i="88"/>
  <c r="C16" i="88"/>
  <c r="C15" i="88"/>
  <c r="C8" i="88"/>
  <c r="C7" i="88"/>
  <c r="C6" i="88"/>
  <c r="C5" i="88"/>
  <c r="C4" i="88"/>
  <c r="C3" i="88"/>
  <c r="C2" i="88"/>
  <c r="E21" i="87"/>
  <c r="F21" i="87"/>
  <c r="E17" i="87"/>
  <c r="C19" i="87"/>
  <c r="C18" i="87"/>
  <c r="C17" i="87"/>
  <c r="C16" i="87"/>
  <c r="C15" i="87"/>
  <c r="C8" i="87"/>
  <c r="C7" i="87"/>
  <c r="C6" i="87"/>
  <c r="C5" i="87"/>
  <c r="C4" i="87"/>
  <c r="C3" i="87"/>
  <c r="C2" i="87"/>
  <c r="E21" i="85"/>
  <c r="F21" i="85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29" i="116"/>
  <c r="I29" i="116"/>
  <c r="H29" i="116"/>
  <c r="G29" i="116"/>
  <c r="F29" i="116"/>
  <c r="E29" i="116"/>
  <c r="D29" i="116"/>
  <c r="K29" i="116" s="1"/>
  <c r="D26" i="116"/>
  <c r="C22" i="116"/>
  <c r="K17" i="116"/>
  <c r="K18" i="116" s="1"/>
  <c r="L18" i="116" s="1"/>
  <c r="H26" i="116" s="1"/>
  <c r="F17" i="116"/>
  <c r="G17" i="116" s="1"/>
  <c r="K16" i="116"/>
  <c r="C14" i="116"/>
  <c r="F6" i="116" s="1"/>
  <c r="L12" i="116"/>
  <c r="E11" i="116"/>
  <c r="C9" i="116"/>
  <c r="G7" i="116"/>
  <c r="E7" i="116"/>
  <c r="C12" i="116"/>
  <c r="A13" i="116" s="1"/>
  <c r="A12" i="116" s="1"/>
  <c r="K6" i="116"/>
  <c r="K5" i="116"/>
  <c r="K4" i="116"/>
  <c r="K3" i="116"/>
  <c r="E24" i="117" l="1"/>
  <c r="E25" i="117"/>
  <c r="I24" i="117"/>
  <c r="I25" i="117"/>
  <c r="G24" i="117"/>
  <c r="G25" i="117"/>
  <c r="D24" i="117"/>
  <c r="D25" i="117"/>
  <c r="F25" i="117"/>
  <c r="F24" i="117"/>
  <c r="H24" i="117"/>
  <c r="H25" i="117"/>
  <c r="J26" i="116"/>
  <c r="F5" i="116"/>
  <c r="E19" i="116"/>
  <c r="F19" i="116" s="1"/>
  <c r="G19" i="116" s="1"/>
  <c r="G21" i="116" s="1"/>
  <c r="F7" i="116"/>
  <c r="C22" i="110"/>
  <c r="C22" i="109"/>
  <c r="C22" i="108"/>
  <c r="C22" i="92"/>
  <c r="C22" i="91"/>
  <c r="C22" i="90"/>
  <c r="C22" i="89"/>
  <c r="C22" i="88"/>
  <c r="C22" i="87"/>
  <c r="C22" i="85"/>
  <c r="C22" i="55"/>
  <c r="H26" i="117" l="1"/>
  <c r="I26" i="117"/>
  <c r="F26" i="117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L72" i="23" l="1"/>
  <c r="L78" i="23" s="1"/>
  <c r="K72" i="23"/>
  <c r="K78" i="23" s="1"/>
  <c r="J72" i="23"/>
  <c r="J78" i="23" s="1"/>
  <c r="I72" i="23"/>
  <c r="I78" i="23" s="1"/>
  <c r="H72" i="23"/>
  <c r="H78" i="23" s="1"/>
  <c r="G72" i="23"/>
  <c r="G75" i="23" s="1"/>
  <c r="G76" i="23" s="1"/>
  <c r="F72" i="23"/>
  <c r="F78" i="23" s="1"/>
  <c r="E72" i="23"/>
  <c r="E78" i="23" s="1"/>
  <c r="D72" i="23"/>
  <c r="D75" i="23" s="1"/>
  <c r="D76" i="23" s="1"/>
  <c r="C72" i="23"/>
  <c r="C78" i="23" s="1"/>
  <c r="B72" i="23"/>
  <c r="B78" i="23" s="1"/>
  <c r="G78" i="23" l="1"/>
  <c r="K75" i="23"/>
  <c r="K76" i="23" s="1"/>
  <c r="E75" i="23"/>
  <c r="E76" i="23" s="1"/>
  <c r="B75" i="23"/>
  <c r="B76" i="23" s="1"/>
  <c r="H75" i="23"/>
  <c r="H76" i="23" s="1"/>
  <c r="D78" i="23"/>
  <c r="J75" i="23"/>
  <c r="J76" i="23" s="1"/>
  <c r="C75" i="23"/>
  <c r="C76" i="23" s="1"/>
  <c r="F75" i="23"/>
  <c r="F76" i="23" s="1"/>
  <c r="I75" i="23"/>
  <c r="I76" i="23" s="1"/>
  <c r="L75" i="23"/>
  <c r="L76" i="23" s="1"/>
  <c r="B23" i="115"/>
  <c r="B22" i="115"/>
  <c r="B21" i="115"/>
  <c r="B20" i="115"/>
  <c r="B19" i="115"/>
  <c r="B18" i="115"/>
  <c r="B17" i="115"/>
  <c r="B16" i="115"/>
  <c r="B15" i="115"/>
  <c r="B14" i="115"/>
  <c r="I7" i="115"/>
  <c r="J36" i="115"/>
  <c r="I37" i="115"/>
  <c r="F33" i="115"/>
  <c r="N33" i="115"/>
  <c r="N40" i="115"/>
  <c r="M35" i="115"/>
  <c r="I40" i="115"/>
  <c r="D32" i="115"/>
  <c r="N38" i="115"/>
  <c r="L34" i="115"/>
  <c r="N39" i="115"/>
  <c r="M40" i="115"/>
  <c r="I32" i="115"/>
  <c r="H31" i="115"/>
  <c r="H39" i="115"/>
  <c r="I33" i="115"/>
  <c r="H38" i="115"/>
  <c r="E39" i="115"/>
  <c r="J31" i="115"/>
  <c r="E40" i="115"/>
  <c r="L31" i="115"/>
  <c r="I36" i="115"/>
  <c r="D37" i="115"/>
  <c r="F36" i="115"/>
  <c r="L36" i="115"/>
  <c r="F38" i="115"/>
  <c r="I39" i="115"/>
  <c r="M33" i="115"/>
  <c r="D34" i="115"/>
  <c r="E31" i="115"/>
  <c r="N31" i="115"/>
  <c r="L32" i="115"/>
  <c r="N34" i="115"/>
  <c r="H34" i="115"/>
  <c r="H35" i="115"/>
  <c r="L38" i="115"/>
  <c r="J38" i="115"/>
  <c r="F32" i="115"/>
  <c r="D36" i="115"/>
  <c r="J32" i="115"/>
  <c r="F31" i="115"/>
  <c r="L39" i="115"/>
  <c r="D33" i="115"/>
  <c r="D31" i="115"/>
  <c r="J37" i="115"/>
  <c r="F34" i="115"/>
  <c r="H40" i="115"/>
  <c r="E34" i="115"/>
  <c r="I31" i="115"/>
  <c r="L37" i="115"/>
  <c r="N35" i="115"/>
  <c r="J35" i="115"/>
  <c r="M34" i="115"/>
  <c r="E36" i="115"/>
  <c r="L40" i="115"/>
  <c r="L35" i="115"/>
  <c r="M39" i="115"/>
  <c r="J39" i="115"/>
  <c r="I38" i="115"/>
  <c r="E32" i="115"/>
  <c r="J33" i="115"/>
  <c r="H37" i="115"/>
  <c r="I35" i="115"/>
  <c r="M36" i="115"/>
  <c r="F40" i="115"/>
  <c r="J34" i="115"/>
  <c r="D35" i="115"/>
  <c r="E37" i="115"/>
  <c r="F39" i="115"/>
  <c r="F37" i="115"/>
  <c r="L33" i="115"/>
  <c r="D38" i="115"/>
  <c r="H36" i="115"/>
  <c r="D39" i="115"/>
  <c r="E38" i="115"/>
  <c r="M31" i="115"/>
  <c r="M38" i="115"/>
  <c r="E33" i="115"/>
  <c r="N37" i="115"/>
  <c r="D40" i="115"/>
  <c r="E35" i="115"/>
  <c r="N36" i="115"/>
  <c r="M32" i="115"/>
  <c r="H33" i="115"/>
  <c r="F35" i="115"/>
  <c r="H32" i="115"/>
  <c r="J40" i="115"/>
  <c r="N32" i="115"/>
  <c r="I34" i="115"/>
  <c r="M37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I16" i="100"/>
  <c r="J22" i="100"/>
  <c r="I15" i="100"/>
  <c r="J23" i="100"/>
  <c r="J15" i="100"/>
  <c r="I14" i="100"/>
  <c r="J18" i="100"/>
  <c r="I17" i="100"/>
  <c r="I18" i="100"/>
  <c r="I19" i="100"/>
  <c r="J20" i="100"/>
  <c r="J19" i="100"/>
  <c r="I22" i="100"/>
  <c r="I20" i="100"/>
  <c r="J16" i="100"/>
  <c r="J17" i="100"/>
  <c r="I21" i="100"/>
  <c r="I23" i="100"/>
  <c r="J21" i="100"/>
  <c r="J14" i="100"/>
  <c r="K6" i="110" l="1"/>
  <c r="K5" i="110"/>
  <c r="K4" i="110"/>
  <c r="K3" i="110"/>
  <c r="K6" i="109"/>
  <c r="K5" i="109"/>
  <c r="K4" i="109"/>
  <c r="K3" i="109"/>
  <c r="K6" i="108"/>
  <c r="K5" i="108"/>
  <c r="K4" i="108"/>
  <c r="K3" i="108"/>
  <c r="K6" i="92"/>
  <c r="K5" i="92"/>
  <c r="K4" i="92"/>
  <c r="K3" i="92"/>
  <c r="K6" i="91"/>
  <c r="K5" i="91"/>
  <c r="K4" i="91"/>
  <c r="K3" i="91"/>
  <c r="K6" i="90"/>
  <c r="K5" i="90"/>
  <c r="K4" i="90"/>
  <c r="K3" i="90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22" i="100"/>
  <c r="H15" i="100"/>
  <c r="H19" i="100"/>
  <c r="H14" i="100"/>
  <c r="H21" i="100"/>
  <c r="H20" i="100"/>
  <c r="H23" i="100"/>
  <c r="H17" i="100"/>
  <c r="H18" i="100"/>
  <c r="H16" i="100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L62" i="23" l="1"/>
  <c r="K62" i="23"/>
  <c r="J62" i="23"/>
  <c r="I62" i="23"/>
  <c r="H62" i="23"/>
  <c r="G62" i="23"/>
  <c r="F62" i="23"/>
  <c r="E62" i="23"/>
  <c r="D62" i="23"/>
  <c r="C62" i="23"/>
  <c r="B62" i="23"/>
  <c r="L55" i="23"/>
  <c r="L57" i="23" s="1"/>
  <c r="K55" i="23"/>
  <c r="K57" i="23" s="1"/>
  <c r="K60" i="23" s="1"/>
  <c r="K61" i="23" s="1"/>
  <c r="J55" i="23"/>
  <c r="J57" i="23" s="1"/>
  <c r="I55" i="23"/>
  <c r="H55" i="23"/>
  <c r="G55" i="23"/>
  <c r="F55" i="23"/>
  <c r="E55" i="23"/>
  <c r="D55" i="23"/>
  <c r="C55" i="23"/>
  <c r="B55" i="23"/>
  <c r="B57" i="23" s="1"/>
  <c r="L54" i="23"/>
  <c r="K54" i="23"/>
  <c r="J54" i="23"/>
  <c r="I54" i="23"/>
  <c r="H54" i="23"/>
  <c r="G54" i="23"/>
  <c r="F54" i="23"/>
  <c r="E54" i="23"/>
  <c r="D54" i="23"/>
  <c r="C54" i="23"/>
  <c r="B54" i="23"/>
  <c r="L53" i="23"/>
  <c r="K53" i="23"/>
  <c r="J53" i="23"/>
  <c r="I53" i="23"/>
  <c r="H53" i="23"/>
  <c r="G53" i="23"/>
  <c r="F53" i="23"/>
  <c r="E53" i="23"/>
  <c r="D53" i="23"/>
  <c r="C53" i="23"/>
  <c r="B53" i="23"/>
  <c r="O7" i="54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J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E19" i="110"/>
  <c r="J29" i="110"/>
  <c r="I29" i="110"/>
  <c r="H29" i="110"/>
  <c r="G29" i="110"/>
  <c r="F29" i="110"/>
  <c r="E29" i="110"/>
  <c r="D29" i="110"/>
  <c r="D26" i="110"/>
  <c r="K16" i="110"/>
  <c r="K17" i="110" s="1"/>
  <c r="K18" i="110" s="1"/>
  <c r="L18" i="110" s="1"/>
  <c r="H26" i="110" s="1"/>
  <c r="L12" i="110"/>
  <c r="E11" i="110"/>
  <c r="C9" i="110"/>
  <c r="G7" i="110"/>
  <c r="E7" i="110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J29" i="108"/>
  <c r="I29" i="108"/>
  <c r="H29" i="108"/>
  <c r="G29" i="108"/>
  <c r="F29" i="108"/>
  <c r="E29" i="108"/>
  <c r="D29" i="108"/>
  <c r="D26" i="108"/>
  <c r="K16" i="108"/>
  <c r="K17" i="108" s="1"/>
  <c r="K18" i="108" s="1"/>
  <c r="L18" i="108" s="1"/>
  <c r="H26" i="108" s="1"/>
  <c r="L12" i="108"/>
  <c r="E11" i="108"/>
  <c r="C9" i="108"/>
  <c r="G7" i="108"/>
  <c r="E7" i="108"/>
  <c r="O7" i="23" l="1"/>
  <c r="O10" i="23"/>
  <c r="O8" i="23"/>
  <c r="N18" i="23"/>
  <c r="F18" i="23"/>
  <c r="P44" i="54"/>
  <c r="P8" i="25" s="1"/>
  <c r="P49" i="54"/>
  <c r="I18" i="23"/>
  <c r="G18" i="23"/>
  <c r="O38" i="54"/>
  <c r="O18" i="23" s="1"/>
  <c r="H18" i="23"/>
  <c r="D21" i="23"/>
  <c r="O9" i="23"/>
  <c r="L18" i="23"/>
  <c r="J60" i="23"/>
  <c r="J61" i="23" s="1"/>
  <c r="P6" i="23"/>
  <c r="P9" i="25"/>
  <c r="P9" i="23"/>
  <c r="P12" i="25"/>
  <c r="P53" i="54"/>
  <c r="O9" i="25"/>
  <c r="C24" i="25" s="1"/>
  <c r="O56" i="54"/>
  <c r="O18" i="25" s="1"/>
  <c r="C33" i="25" s="1"/>
  <c r="P52" i="54"/>
  <c r="C12" i="110"/>
  <c r="A13" i="110" s="1"/>
  <c r="A12" i="110" s="1"/>
  <c r="P51" i="54"/>
  <c r="E19" i="25"/>
  <c r="O6" i="23"/>
  <c r="P50" i="54"/>
  <c r="O16" i="25"/>
  <c r="C31" i="25" s="1"/>
  <c r="O12" i="25"/>
  <c r="C27" i="25" s="1"/>
  <c r="D19" i="25"/>
  <c r="L60" i="23"/>
  <c r="L61" i="23" s="1"/>
  <c r="C19" i="25"/>
  <c r="P7" i="54"/>
  <c r="P36" i="54" s="1"/>
  <c r="P47" i="54"/>
  <c r="M19" i="25"/>
  <c r="P46" i="54"/>
  <c r="K19" i="25"/>
  <c r="K29" i="110"/>
  <c r="K29" i="109"/>
  <c r="K29" i="108"/>
  <c r="C12" i="109"/>
  <c r="A13" i="109" s="1"/>
  <c r="A12" i="109" s="1"/>
  <c r="C12" i="108"/>
  <c r="A13" i="108" s="1"/>
  <c r="A12" i="108" s="1"/>
  <c r="O37" i="54"/>
  <c r="O36" i="54"/>
  <c r="P5" i="23"/>
  <c r="O5" i="23"/>
  <c r="C14" i="110"/>
  <c r="F6" i="110" s="1"/>
  <c r="C14" i="109"/>
  <c r="J26" i="109" s="1"/>
  <c r="E19" i="109"/>
  <c r="E19" i="108"/>
  <c r="C14" i="108"/>
  <c r="J26" i="108" s="1"/>
  <c r="E11" i="92"/>
  <c r="E11" i="91"/>
  <c r="E11" i="90"/>
  <c r="E11" i="89"/>
  <c r="E11" i="88"/>
  <c r="E11" i="87"/>
  <c r="E11" i="85"/>
  <c r="E11" i="55"/>
  <c r="O19" i="25" l="1"/>
  <c r="P56" i="54"/>
  <c r="O4" i="26" s="1"/>
  <c r="P13" i="25"/>
  <c r="P10" i="23"/>
  <c r="P38" i="54"/>
  <c r="P18" i="23" s="1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J26" i="110"/>
  <c r="F5" i="110"/>
  <c r="F7" i="110"/>
  <c r="F7" i="109"/>
  <c r="F6" i="109"/>
  <c r="F5" i="109"/>
  <c r="F5" i="108"/>
  <c r="F7" i="108"/>
  <c r="F6" i="108"/>
  <c r="D57" i="23"/>
  <c r="D60" i="23" s="1"/>
  <c r="D61" i="23" s="1"/>
  <c r="E57" i="23"/>
  <c r="E60" i="23" s="1"/>
  <c r="E61" i="23" s="1"/>
  <c r="F57" i="23"/>
  <c r="F60" i="23" s="1"/>
  <c r="F61" i="23" s="1"/>
  <c r="G57" i="23"/>
  <c r="G60" i="23" s="1"/>
  <c r="G61" i="23" s="1"/>
  <c r="H57" i="23"/>
  <c r="H60" i="23" s="1"/>
  <c r="H61" i="23" s="1"/>
  <c r="I57" i="23"/>
  <c r="I60" i="23" s="1"/>
  <c r="I61" i="23" s="1"/>
  <c r="C57" i="23"/>
  <c r="F23" i="101"/>
  <c r="E23" i="101"/>
  <c r="D23" i="101"/>
  <c r="B23" i="101"/>
  <c r="F22" i="101"/>
  <c r="E22" i="101"/>
  <c r="D22" i="101"/>
  <c r="B22" i="101"/>
  <c r="F21" i="101"/>
  <c r="E21" i="101"/>
  <c r="D21" i="101"/>
  <c r="B21" i="101"/>
  <c r="F20" i="101"/>
  <c r="E20" i="101"/>
  <c r="D20" i="101"/>
  <c r="B20" i="101"/>
  <c r="F19" i="101"/>
  <c r="E19" i="101"/>
  <c r="D19" i="101"/>
  <c r="B19" i="101"/>
  <c r="F18" i="101"/>
  <c r="E18" i="101"/>
  <c r="D18" i="101"/>
  <c r="B18" i="101"/>
  <c r="F17" i="101"/>
  <c r="E17" i="101"/>
  <c r="D17" i="101"/>
  <c r="B17" i="101"/>
  <c r="F16" i="101"/>
  <c r="E16" i="101"/>
  <c r="D16" i="101"/>
  <c r="B16" i="101"/>
  <c r="F15" i="101"/>
  <c r="E15" i="101"/>
  <c r="D15" i="101"/>
  <c r="B15" i="101"/>
  <c r="F14" i="101"/>
  <c r="F25" i="101" s="1"/>
  <c r="E14" i="101"/>
  <c r="E25" i="101" s="1"/>
  <c r="D14" i="101"/>
  <c r="B14" i="101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9" i="25" l="1"/>
  <c r="P18" i="25"/>
  <c r="E25" i="100"/>
  <c r="F25" i="100"/>
  <c r="F24" i="100"/>
  <c r="F24" i="101"/>
  <c r="F26" i="101" s="1"/>
  <c r="D24" i="101"/>
  <c r="D25" i="100"/>
  <c r="D25" i="101"/>
  <c r="D24" i="100"/>
  <c r="E24" i="101"/>
  <c r="E26" i="101" s="1"/>
  <c r="E24" i="100"/>
  <c r="E26" i="100" l="1"/>
  <c r="F26" i="100"/>
  <c r="D26" i="101"/>
  <c r="D26" i="100"/>
  <c r="C9" i="92"/>
  <c r="C9" i="91"/>
  <c r="C9" i="90"/>
  <c r="C9" i="89"/>
  <c r="C9" i="88"/>
  <c r="C9" i="87"/>
  <c r="C9" i="85" l="1"/>
  <c r="E19" i="92" l="1"/>
  <c r="C12" i="92"/>
  <c r="A13" i="92" s="1"/>
  <c r="A12" i="92" s="1"/>
  <c r="C12" i="91"/>
  <c r="A13" i="91" s="1"/>
  <c r="A12" i="91" s="1"/>
  <c r="C12" i="90"/>
  <c r="A13" i="90" s="1"/>
  <c r="A12" i="90" s="1"/>
  <c r="C12" i="89"/>
  <c r="A13" i="89" s="1"/>
  <c r="A12" i="89" s="1"/>
  <c r="C12" i="87"/>
  <c r="A13" i="87" s="1"/>
  <c r="A12" i="87" s="1"/>
  <c r="J29" i="92"/>
  <c r="I29" i="92"/>
  <c r="H29" i="92"/>
  <c r="G29" i="92"/>
  <c r="F29" i="92"/>
  <c r="E29" i="92"/>
  <c r="D29" i="92"/>
  <c r="D26" i="92"/>
  <c r="K16" i="92"/>
  <c r="K17" i="92" s="1"/>
  <c r="K18" i="92" s="1"/>
  <c r="L18" i="92" s="1"/>
  <c r="H26" i="92" s="1"/>
  <c r="L12" i="92"/>
  <c r="G7" i="92"/>
  <c r="E7" i="92"/>
  <c r="J29" i="91"/>
  <c r="I29" i="91"/>
  <c r="H29" i="91"/>
  <c r="G29" i="91"/>
  <c r="F29" i="91"/>
  <c r="E29" i="91"/>
  <c r="D29" i="91"/>
  <c r="D26" i="91"/>
  <c r="K16" i="91"/>
  <c r="K17" i="91" s="1"/>
  <c r="K18" i="91" s="1"/>
  <c r="L18" i="91" s="1"/>
  <c r="H26" i="91" s="1"/>
  <c r="L12" i="91"/>
  <c r="G7" i="91"/>
  <c r="E7" i="91"/>
  <c r="J29" i="90"/>
  <c r="I29" i="90"/>
  <c r="H29" i="90"/>
  <c r="G29" i="90"/>
  <c r="F29" i="90"/>
  <c r="E29" i="90"/>
  <c r="D29" i="90"/>
  <c r="D26" i="90"/>
  <c r="K16" i="90"/>
  <c r="K17" i="90" s="1"/>
  <c r="K18" i="90" s="1"/>
  <c r="L18" i="90" s="1"/>
  <c r="H26" i="90" s="1"/>
  <c r="L12" i="90"/>
  <c r="G7" i="90"/>
  <c r="E7" i="90"/>
  <c r="J29" i="89"/>
  <c r="I29" i="89"/>
  <c r="H29" i="89"/>
  <c r="G29" i="89"/>
  <c r="F29" i="89"/>
  <c r="E29" i="89"/>
  <c r="D29" i="89"/>
  <c r="D26" i="89"/>
  <c r="K16" i="89"/>
  <c r="K17" i="89" s="1"/>
  <c r="K18" i="89" s="1"/>
  <c r="L18" i="89" s="1"/>
  <c r="H26" i="89" s="1"/>
  <c r="L12" i="89"/>
  <c r="G7" i="89"/>
  <c r="E7" i="89"/>
  <c r="J29" i="88"/>
  <c r="I29" i="88"/>
  <c r="H29" i="88"/>
  <c r="G29" i="88"/>
  <c r="F29" i="88"/>
  <c r="E29" i="88"/>
  <c r="D29" i="88"/>
  <c r="D26" i="88"/>
  <c r="K16" i="88"/>
  <c r="K17" i="88" s="1"/>
  <c r="K18" i="88" s="1"/>
  <c r="L18" i="88" s="1"/>
  <c r="H26" i="88" s="1"/>
  <c r="L12" i="88"/>
  <c r="G7" i="88"/>
  <c r="E7" i="88"/>
  <c r="J29" i="87"/>
  <c r="I29" i="87"/>
  <c r="H29" i="87"/>
  <c r="G29" i="87"/>
  <c r="F29" i="87"/>
  <c r="E29" i="87"/>
  <c r="D29" i="87"/>
  <c r="D26" i="87"/>
  <c r="K16" i="87"/>
  <c r="K17" i="87" s="1"/>
  <c r="K18" i="87" s="1"/>
  <c r="L18" i="87" s="1"/>
  <c r="H26" i="87" s="1"/>
  <c r="L12" i="87"/>
  <c r="G7" i="87"/>
  <c r="E7" i="87"/>
  <c r="C14" i="89" l="1"/>
  <c r="F6" i="89" s="1"/>
  <c r="C14" i="92"/>
  <c r="F6" i="92" s="1"/>
  <c r="C14" i="91"/>
  <c r="F7" i="91" s="1"/>
  <c r="C14" i="90"/>
  <c r="F6" i="90" s="1"/>
  <c r="C14" i="87"/>
  <c r="F5" i="87" s="1"/>
  <c r="C14" i="88"/>
  <c r="F6" i="88" s="1"/>
  <c r="C12" i="88"/>
  <c r="A13" i="88" s="1"/>
  <c r="A12" i="88" s="1"/>
  <c r="K29" i="89"/>
  <c r="K29" i="92"/>
  <c r="K29" i="91"/>
  <c r="K29" i="90"/>
  <c r="K29" i="88"/>
  <c r="K29" i="87"/>
  <c r="E19" i="91"/>
  <c r="E19" i="90"/>
  <c r="E19" i="89"/>
  <c r="E19" i="88"/>
  <c r="E19" i="87"/>
  <c r="J26" i="89" l="1"/>
  <c r="F5" i="89"/>
  <c r="F7" i="89"/>
  <c r="J26" i="91"/>
  <c r="F5" i="91"/>
  <c r="F6" i="91"/>
  <c r="F7" i="92"/>
  <c r="J26" i="92"/>
  <c r="F5" i="92"/>
  <c r="F5" i="90"/>
  <c r="F7" i="90"/>
  <c r="J26" i="90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L12" i="85"/>
  <c r="G7" i="85"/>
  <c r="E7" i="85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F5" i="85" s="1"/>
  <c r="C12" i="85"/>
  <c r="A13" i="85" s="1"/>
  <c r="A12" i="85" s="1"/>
  <c r="L18" i="85"/>
  <c r="H26" i="85" s="1"/>
  <c r="K29" i="85"/>
  <c r="E19" i="85"/>
  <c r="F29" i="55"/>
  <c r="F7" i="85" l="1"/>
  <c r="J26" i="85"/>
  <c r="F6" i="85"/>
  <c r="K16" i="55"/>
  <c r="K17" i="55" s="1"/>
  <c r="K18" i="55" s="1"/>
  <c r="L18" i="55" s="1"/>
  <c r="L12" i="55"/>
  <c r="H26" i="55" l="1"/>
  <c r="C9" i="55" l="1"/>
  <c r="C28" i="23" l="1"/>
  <c r="D26" i="55" l="1"/>
  <c r="J29" i="55"/>
  <c r="I29" i="55"/>
  <c r="H29" i="55"/>
  <c r="G29" i="55"/>
  <c r="E29" i="55"/>
  <c r="D29" i="55"/>
  <c r="K29" i="55" l="1"/>
  <c r="B60" i="23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6" i="23"/>
  <c r="D31" i="23" l="1"/>
  <c r="C31" i="23"/>
  <c r="E26" i="116" s="1"/>
  <c r="F17" i="85"/>
  <c r="G17" i="85" s="1"/>
  <c r="F19" i="85"/>
  <c r="G19" i="85" s="1"/>
  <c r="F17" i="108"/>
  <c r="G17" i="108" s="1"/>
  <c r="F17" i="109"/>
  <c r="G17" i="109" s="1"/>
  <c r="F17" i="110"/>
  <c r="G17" i="110" s="1"/>
  <c r="F19" i="110"/>
  <c r="G19" i="110" s="1"/>
  <c r="F19" i="109"/>
  <c r="G19" i="109" s="1"/>
  <c r="F19" i="108"/>
  <c r="G19" i="108" s="1"/>
  <c r="F17" i="89"/>
  <c r="G17" i="89" s="1"/>
  <c r="F17" i="87"/>
  <c r="G17" i="87" s="1"/>
  <c r="F19" i="91"/>
  <c r="G19" i="91" s="1"/>
  <c r="F19" i="92"/>
  <c r="G19" i="92" s="1"/>
  <c r="F17" i="91"/>
  <c r="G17" i="91" s="1"/>
  <c r="F17" i="92"/>
  <c r="G17" i="92" s="1"/>
  <c r="F19" i="89"/>
  <c r="G19" i="89" s="1"/>
  <c r="F17" i="88"/>
  <c r="G17" i="88" s="1"/>
  <c r="F17" i="90"/>
  <c r="G17" i="90" s="1"/>
  <c r="F19" i="90"/>
  <c r="G19" i="90" s="1"/>
  <c r="F19" i="88"/>
  <c r="G19" i="88" s="1"/>
  <c r="F19" i="87"/>
  <c r="G19" i="87" s="1"/>
  <c r="C33" i="23"/>
  <c r="C34" i="23" s="1"/>
  <c r="F17" i="55"/>
  <c r="G17" i="55" s="1"/>
  <c r="F19" i="55"/>
  <c r="G19" i="55" s="1"/>
  <c r="E26" i="85" l="1"/>
  <c r="C60" i="23"/>
  <c r="C61" i="23" s="1"/>
  <c r="B61" i="23"/>
  <c r="C25" i="23" l="1"/>
  <c r="G21" i="85" l="1"/>
  <c r="G21" i="110"/>
  <c r="G21" i="109"/>
  <c r="G21" i="108"/>
  <c r="G21" i="92"/>
  <c r="G21" i="89"/>
  <c r="G21" i="91"/>
  <c r="G21" i="90"/>
  <c r="G21" i="87"/>
  <c r="G21" i="88"/>
  <c r="C36" i="23"/>
  <c r="C37" i="23" s="1"/>
  <c r="C38" i="23" s="1"/>
  <c r="G21" i="55"/>
  <c r="D23" i="23"/>
  <c r="E26" i="109" l="1"/>
  <c r="E26" i="110"/>
  <c r="E26" i="92"/>
  <c r="E26" i="108"/>
  <c r="E26" i="90"/>
  <c r="E26" i="91"/>
  <c r="E26" i="88"/>
  <c r="E26" i="89"/>
  <c r="E26" i="87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274C4DA0-A4B6-4945-B032-00940008C0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36B2E32-0579-47A6-A0C7-727342BB86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0B1283B-3113-46D7-867C-F239B19BE6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AF7B70BE-9982-4E46-A985-BE1DDF71306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14160DC-C53F-4CCA-A26D-A66F84E87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6BB5144-4EF3-434C-8D88-AD280A745F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496082-3197-4751-904D-71D13EB824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09BC060-CA25-4365-9988-247B226B7C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DFB1143-615E-4A0B-8128-E7BE97BBDE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F36FF4-2B29-41FA-83FE-11F038979B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C2FCEBE-E56A-414F-9739-BEB309305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A89BB1E-B660-46D8-B705-DFA3B7E1F9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BDBCB44-1CA9-4BDD-A2AA-7D5D6D6930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2734CDD-42FE-458B-A1B9-1CAF88814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92790BC-EF12-4B0B-BCF0-130789B1C5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F0DD0FC-79C0-4399-8844-DD49A12474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F26B437-17BD-473C-B21B-E570A3556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D850C77-571A-463C-9E45-D9543A826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84BCDCA-CED5-4105-A3E8-0494A6DEC0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B881AB0-30CC-4FFD-8F53-7B6DDFDB4F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F00B4C3F-59AB-45FF-B823-A89E7CDC40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A66EB79-E604-4849-92E8-8DEC2821E3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4267ECB-1215-4217-B875-E5AC910B59B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95EED2B9-E4E3-45A6-97EE-2D877893812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0FC4DBD-AAF2-438C-8F4E-AA87E417C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E382FB5-7F0A-4830-8D00-6887B538E0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07D2A7E-2904-4AE6-8975-00EAEE8B52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DB45D7A-599D-49CB-9822-3CA190D1CE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9EB9BDB-EEE7-4784-B193-D459684D81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3FDDDD3A-97E0-4B94-85DB-14555262A0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AF834E6-BE03-4A2D-A1FE-4BB309A626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657F3F8-84D8-497F-8875-5901E5B0F5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B5BD8F42-A2C4-4B70-A5AB-6647240ECA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1217BD2-9682-4C0C-B42D-0665B4B28F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C1436BC-0241-427A-9D77-9387C26852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2412F02-EA12-4232-8387-B090A1319B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BE5F318-F736-47AF-9A1E-BD665B8E0B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A7A8C10-DD9B-4089-9EA1-E780FAC06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A10B5B5-E48C-476E-942B-9374461C2F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0735A4F-4DE5-4D66-B3DB-8CF8184D81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837E18AB-BAB8-4F91-B0D9-CF7BB5F3E9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E0B71C2-31D7-4F94-BE43-A47AAB9BEE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8FA5D37-4925-4BE0-80EE-D098A378D8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0B3FD72-B8BA-4085-89FC-CDCC835CB1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05EB4BA-5A15-4DAD-A4FB-A2868A477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FF2F317-6002-4285-8F37-C5DB354981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4D352EB-EBE2-4C4E-A581-E12AD4CBC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C73DBFE-AF07-4D54-BCF9-62197B0032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83FACA-4FFA-4CB9-9407-AD018E1D3E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4FD5F8-185A-4529-AE40-2AFAE558E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F601B52-8D3F-4327-B2F6-2AD8E040C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B8430E67-08E3-4377-B5D3-2DCC0CE864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68CDE819-0F07-4200-9D98-7EE0F91AE8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9831BA7-3EC7-4C4C-B7AD-D38088BCF14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DE4C353-4CE7-475E-AB2C-D60DC04D44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2994990-0227-4EAE-9BA4-B846FDA863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8E9371C-8210-4FA6-96AA-D4347FF7FB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15D386D-F848-4248-A4EE-8085640C94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B84B7A-0EB2-4D4C-8FA2-6EDC8E972D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1EAADF4-9F6B-4217-A5C6-4C8431A190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45A883-2C5A-495C-B5D4-FE20AAC564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7E9E7B8-997A-4EE1-806B-7A657F7F86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0A1EB0C-C0AB-4E86-8F12-D53BD87DA7D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AA42E9C-E632-452F-9176-3BC2A29470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CB5FC77-AAC4-400F-A9FF-960274569B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1725ABE-0558-44E5-8FAD-EDDB9F53FF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9B5E5C2A-D396-4878-A037-805CA35789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0F6E991-5113-4A27-B1DF-72A6FA128F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C9175048-4562-44E7-BFCC-BA8476B199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92B8F43D-6D68-471E-B64B-9B75767692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<sst xmlns="http://schemas.openxmlformats.org/spreadsheetml/2006/main" count="1298" uniqueCount="304">
  <si>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</si>
  <si>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</si>
  <si>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</si>
  <si>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</si>
  <si>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</si>
  <si>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</si>
  <si>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</si>
  <si>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</si>
  <si>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</si>
  <si>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</si>
  <si>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</si>
  <si>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</si>
  <si>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</si>
  <si>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</si>
  <si>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</si>
  <si>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</si>
  <si>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</si>
  <si>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</si>
  <si>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</si>
  <si>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</si>
  <si>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</si>
  <si>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</si>
  <si>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</si>
  <si>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</si>
  <si>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</si>
  <si>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</si>
  <si>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</si>
  <si>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</si>
  <si>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</si>
  <si>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</si>
  <si>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</si>
  <si>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</si>
  <si>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</si>
  <si>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</si>
  <si>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</si>
  <si>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</si>
  <si>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</si>
  <si>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조사지역 년도별 강수량 변화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</si>
  <si>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</si>
  <si>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</si>
  <si>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</si>
  <si>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조사지역 월별 강우량 변화</t>
    <phoneticPr fontId="14" type="noConversion"/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</si>
  <si>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</si>
  <si>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</si>
  <si>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</si>
  <si>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</si>
  <si>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</si>
  <si>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</si>
  <si>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</si>
  <si>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</si>
  <si>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</si>
  <si>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</si>
  <si>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</si>
  <si>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</si>
  <si>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</si>
  <si>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</si>
  <si>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</si>
  <si>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</si>
  <si>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</si>
  <si>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</si>
  <si>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</si>
  <si>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펌프마력산정하는것</t>
    <phoneticPr fontId="7" type="noConversion"/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</si>
  <si>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</si>
  <si>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</si>
  <si>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</si>
  <si>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</si>
  <si>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</si>
  <si>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</si>
  <si>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</si>
  <si>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</si>
  <si>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</si>
  <si>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</si>
  <si>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</si>
  <si>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</si>
  <si>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</si>
  <si>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</si>
  <si>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</si>
  <si>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</si>
  <si>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</si>
  <si>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</si>
  <si>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</si>
  <si>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</si>
  <si>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</si>
  <si>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</si>
  <si>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</si>
  <si>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</si>
  <si>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</si>
  <si>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</si>
  <si>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</si>
  <si>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</si>
  <si>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</si>
  <si>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</si>
  <si>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</si>
  <si>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</si>
  <si>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</si>
  <si>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</si>
  <si>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</si>
  <si>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</si>
  <si>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</si>
  <si>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</si>
  <si>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</si>
  <si>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</si>
  <si>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</si>
  <si>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</si>
  <si>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</si>
  <si>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</si>
  <si>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</si>
  <si>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</si>
  <si>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</si>
  <si>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</si>
  <si>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</si>
  <si>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</si>
  <si>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</si>
  <si>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</si>
  <si>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</si>
  <si>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계산식</t>
    <phoneticPr fontId="7" type="noConversion"/>
  </si>
  <si>
    <t>양수능력(㎥/일)</t>
    <phoneticPr fontId="7" type="noConversion"/>
  </si>
  <si>
    <t>기사용량(㎥/일)</t>
    <phoneticPr fontId="7" type="noConversion"/>
  </si>
  <si>
    <t>굴착심도</t>
    <phoneticPr fontId="7" type="noConversion"/>
  </si>
  <si>
    <t>채수계획
(㎥/일)</t>
    <phoneticPr fontId="7" type="noConversion"/>
  </si>
  <si>
    <t>양수량(㎥/일)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</si>
  <si>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</si>
  <si>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</si>
  <si>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</si>
  <si>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</si>
  <si>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</si>
  <si>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</si>
  <si>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</si>
  <si>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</si>
  <si>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</si>
  <si>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</si>
  <si>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</si>
  <si>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</si>
  <si>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</si>
  <si>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</si>
  <si>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</si>
  <si>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</si>
  <si>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</si>
  <si>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</si>
  <si>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</si>
  <si>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</si>
  <si>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</si>
  <si>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</si>
  <si>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</si>
  <si>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</si>
  <si>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</si>
  <si>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</si>
  <si>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</si>
  <si>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</si>
  <si>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</si>
  <si>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</si>
  <si>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</si>
  <si>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</si>
  <si>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</si>
  <si>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</si>
  <si>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</si>
  <si>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</si>
  <si>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</si>
  <si>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</si>
  <si>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</si>
  <si>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</si>
  <si>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</si>
  <si>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</si>
  <si>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</si>
  <si>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</si>
  <si>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</si>
  <si>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</si>
  <si>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</si>
  <si>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</si>
  <si>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</si>
  <si>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</si>
  <si>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</si>
  <si>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</si>
  <si>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</si>
  <si>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</si>
  <si>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</si>
  <si>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</si>
  <si>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</si>
  <si>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</si>
  <si>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</si>
  <si>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</si>
  <si>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</si>
  <si>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</si>
  <si>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</si>
  <si>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펌프용량산정</t>
    <phoneticPr fontId="7" type="noConversion"/>
  </si>
  <si>
    <t>Metamorphic/Igneous</t>
  </si>
  <si>
    <t>W1</t>
    <phoneticPr fontId="7" type="noConversion"/>
  </si>
  <si>
    <t>W2</t>
    <phoneticPr fontId="7" type="noConversion"/>
  </si>
  <si>
    <t>W-1</t>
    <phoneticPr fontId="7" type="noConversion"/>
  </si>
  <si>
    <t>W-2</t>
    <phoneticPr fontId="7" type="noConversion"/>
  </si>
  <si>
    <t>W3</t>
  </si>
  <si>
    <t>W4</t>
  </si>
  <si>
    <t>W5</t>
  </si>
  <si>
    <t>W6</t>
  </si>
  <si>
    <t>W7</t>
  </si>
  <si>
    <t>W8</t>
  </si>
  <si>
    <t>산수개발</t>
    <phoneticPr fontId="7" type="noConversion"/>
  </si>
  <si>
    <t>W-3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</si>
  <si>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</si>
  <si>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</si>
  <si>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</si>
  <si>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</si>
  <si>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</si>
  <si>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Silty Loam</t>
  </si>
  <si>
    <t>수질 2번</t>
    <phoneticPr fontId="7" type="noConversion"/>
  </si>
  <si>
    <t>W3</t>
    <phoneticPr fontId="7" type="noConversion"/>
  </si>
  <si>
    <t>W4</t>
    <phoneticPr fontId="7" type="noConversion"/>
  </si>
  <si>
    <t>주포면 봉당리 647</t>
    <phoneticPr fontId="7" type="noConversion"/>
  </si>
  <si>
    <t>0, 0, 0</t>
    <phoneticPr fontId="7" type="noConversion"/>
  </si>
  <si>
    <t>제2009-14호</t>
    <phoneticPr fontId="14" type="noConversion"/>
  </si>
  <si>
    <t>제2009-18호</t>
    <phoneticPr fontId="7" type="noConversion"/>
  </si>
  <si>
    <t>천북면 신덕리 산 65</t>
    <phoneticPr fontId="7" type="noConversion"/>
  </si>
  <si>
    <t>제2009-16호</t>
    <phoneticPr fontId="7" type="noConversion"/>
  </si>
  <si>
    <t>청라면 장산리 822</t>
    <phoneticPr fontId="7" type="noConversion"/>
  </si>
  <si>
    <t>제2009-15호</t>
    <phoneticPr fontId="7" type="noConversion"/>
  </si>
  <si>
    <t>청라면 황룡리 138-5</t>
    <phoneticPr fontId="7" type="noConversion"/>
  </si>
  <si>
    <t>제2009-10호</t>
    <phoneticPr fontId="7" type="noConversion"/>
  </si>
  <si>
    <t>남포면 옥서리 116-3</t>
    <phoneticPr fontId="7" type="noConversion"/>
  </si>
  <si>
    <t>126, 36, 12</t>
    <phoneticPr fontId="7" type="noConversion"/>
  </si>
  <si>
    <t xml:space="preserve">위도 </t>
    <phoneticPr fontId="7" type="noConversion"/>
  </si>
  <si>
    <t>36, 16, 59</t>
    <phoneticPr fontId="7" type="noConversion"/>
  </si>
  <si>
    <t>제2009-11호</t>
    <phoneticPr fontId="7" type="noConversion"/>
  </si>
  <si>
    <t>남포면 옥서리 128</t>
    <phoneticPr fontId="7" type="noConversion"/>
  </si>
  <si>
    <t xml:space="preserve">36, 16, 8 </t>
    <phoneticPr fontId="7" type="noConversion"/>
  </si>
  <si>
    <t>126, 36, 17</t>
    <phoneticPr fontId="7" type="noConversion"/>
  </si>
  <si>
    <t>제2009-13호</t>
    <phoneticPr fontId="7" type="noConversion"/>
  </si>
  <si>
    <t>남포면 옥서리 443-4</t>
    <phoneticPr fontId="7" type="noConversion"/>
  </si>
  <si>
    <t>36, 16, 47</t>
    <phoneticPr fontId="7" type="noConversion"/>
  </si>
  <si>
    <t>126, 36, 9</t>
    <phoneticPr fontId="7" type="noConversion"/>
  </si>
  <si>
    <t>제2009-12호</t>
    <phoneticPr fontId="7" type="noConversion"/>
  </si>
  <si>
    <t>남포면 옥서리 449</t>
    <phoneticPr fontId="7" type="noConversion"/>
  </si>
  <si>
    <t>36, 16, 50</t>
    <phoneticPr fontId="7" type="noConversion"/>
  </si>
  <si>
    <t>126, 36, 5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</si>
  <si>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</si>
  <si>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</si>
  <si>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</si>
  <si>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주산면 유곡리 산66</t>
    <phoneticPr fontId="7" type="noConversion"/>
  </si>
  <si>
    <t>36, 10, 56</t>
    <phoneticPr fontId="7" type="noConversion"/>
  </si>
  <si>
    <t>126, 36, 11</t>
    <phoneticPr fontId="7" type="noConversion"/>
  </si>
  <si>
    <t>제2009-8호</t>
    <phoneticPr fontId="7" type="noConversion"/>
  </si>
  <si>
    <t>제2009-9호</t>
    <phoneticPr fontId="7" type="noConversion"/>
  </si>
  <si>
    <t>주산면 증산리 26-14</t>
    <phoneticPr fontId="7" type="noConversion"/>
  </si>
  <si>
    <t>36, 10, 39</t>
    <phoneticPr fontId="7" type="noConversion"/>
  </si>
  <si>
    <t>126, 35, 55</t>
    <phoneticPr fontId="7" type="noConversion"/>
  </si>
  <si>
    <t>제2005-5호</t>
    <phoneticPr fontId="7" type="noConversion"/>
  </si>
  <si>
    <t>미산면 삼계리 153-1</t>
    <phoneticPr fontId="7" type="noConversion"/>
  </si>
  <si>
    <t>36, 12, 11.14</t>
    <phoneticPr fontId="7" type="noConversion"/>
  </si>
  <si>
    <t>126, 40, 46.31</t>
    <phoneticPr fontId="7" type="noConversion"/>
  </si>
  <si>
    <t>▶ 2019 농업용 지하수 영향조사 용역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</si>
  <si>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</si>
  <si>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</si>
  <si>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</si>
  <si>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30년 보령 데이터, 2019/2/16  일날, 기상청 기상자료를 바탕으로 데이터 획득</t>
    <phoneticPr fontId="7" type="noConversion"/>
  </si>
  <si>
    <t>반올림</t>
    <phoneticPr fontId="7" type="noConversion"/>
  </si>
  <si>
    <t>설치모터능력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</si>
  <si>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</si>
  <si>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</si>
  <si>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</si>
  <si>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</si>
  <si>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</si>
  <si>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</si>
  <si>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</si>
  <si>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</si>
  <si>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</si>
  <si>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</si>
  <si>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</si>
  <si>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</si>
  <si>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</si>
  <si>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</si>
  <si>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</si>
  <si>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</si>
  <si>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</si>
  <si>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</si>
  <si>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</si>
  <si>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</si>
  <si>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</si>
  <si>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투수량계수</t>
  </si>
  <si>
    <t>대수층두께</t>
  </si>
  <si>
    <t>유향</t>
  </si>
  <si>
    <t>동수경사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</si>
  <si>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</si>
  <si>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</si>
  <si>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</si>
  <si>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</si>
  <si>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</si>
  <si>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조사지역의 월평균 강수량 (2010-2019)</t>
    <phoneticPr fontId="14" type="noConversion"/>
  </si>
  <si>
    <t>수위강하량</t>
    <phoneticPr fontId="7" type="noConversion"/>
  </si>
  <si>
    <t>함양량대비개발가능량</t>
    <phoneticPr fontId="7" type="noConversion"/>
  </si>
  <si>
    <t>W-12</t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</si>
  <si>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</si>
  <si>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</si>
  <si>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</si>
  <si>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</si>
  <si>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</si>
  <si>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</si>
  <si>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</si>
  <si>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</si>
  <si>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</si>
  <si>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</si>
  <si>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</si>
  <si>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W9</t>
  </si>
  <si>
    <t>W10</t>
  </si>
  <si>
    <t>EC(μs/㎝)</t>
  </si>
  <si>
    <t>중간 정도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</si>
</sst>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</numFmts>
  <fonts count="4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aj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</font>
    <font>
      <b/>
      <i/>
      <sz val="12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</font>
    <font>
      <b/>
      <i/>
      <sz val="12"/>
      <color rgb="FFFF0000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thick">
        <color auto="1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auto="1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495">
    <xf numFmtId="0" fontId="0" fillId="0" borderId="0" xfId="0"/>
    <xf numFmtId="0" fontId="15" fillId="0" borderId="0" xfId="0" applyFont="1" applyAlignment="1">
      <alignment horizontal="center" vertical="center"/>
    </xf>
    <xf numFmtId="0" fontId="16" fillId="0" borderId="0" xfId="19" applyFont="1">
      <alignment vertical="center"/>
    </xf>
    <xf numFmtId="0" fontId="16" fillId="0" borderId="53" xfId="19" applyFont="1" applyBorder="1" applyAlignment="1">
      <alignment horizontal="center" vertical="center"/>
    </xf>
    <xf numFmtId="0" fontId="16" fillId="0" borderId="54" xfId="19" applyFont="1" applyBorder="1" applyAlignment="1">
      <alignment horizontal="center" vertical="center"/>
    </xf>
    <xf numFmtId="0" fontId="16" fillId="0" borderId="55" xfId="19" applyFont="1" applyBorder="1" applyAlignment="1">
      <alignment horizontal="center" vertical="center"/>
    </xf>
    <xf numFmtId="191" fontId="16" fillId="0" borderId="15" xfId="19" applyNumberFormat="1" applyFont="1" applyBorder="1" applyAlignment="1">
      <alignment horizontal="center" vertical="center"/>
    </xf>
    <xf numFmtId="0" fontId="16" fillId="0" borderId="56" xfId="19" applyFont="1" applyBorder="1" applyAlignment="1">
      <alignment horizontal="center" vertical="center"/>
    </xf>
    <xf numFmtId="0" fontId="17" fillId="0" borderId="57" xfId="19" applyFont="1" applyBorder="1" applyAlignment="1">
      <alignment horizontal="center" vertical="center" wrapText="1"/>
    </xf>
    <xf numFmtId="0" fontId="17" fillId="0" borderId="14" xfId="19" applyFont="1" applyBorder="1" applyAlignment="1">
      <alignment horizontal="center" vertical="center" wrapText="1"/>
    </xf>
    <xf numFmtId="0" fontId="17" fillId="0" borderId="8" xfId="19" applyFont="1" applyBorder="1" applyAlignment="1">
      <alignment horizontal="center" vertical="center" wrapText="1"/>
    </xf>
    <xf numFmtId="0" fontId="17" fillId="0" borderId="56" xfId="19" applyFont="1" applyBorder="1" applyAlignment="1">
      <alignment horizontal="center" vertical="center" wrapText="1"/>
    </xf>
    <xf numFmtId="0" fontId="16" fillId="0" borderId="58" xfId="19" applyFont="1" applyBorder="1">
      <alignment vertical="center"/>
    </xf>
    <xf numFmtId="0" fontId="18" fillId="10" borderId="59" xfId="19" applyFont="1" applyFill="1" applyBorder="1" applyAlignment="1">
      <alignment horizontal="center" vertical="center" wrapText="1"/>
    </xf>
    <xf numFmtId="0" fontId="18" fillId="10" borderId="61" xfId="19" applyFont="1" applyFill="1" applyBorder="1" applyAlignment="1">
      <alignment horizontal="center" vertical="center" wrapText="1"/>
    </xf>
    <xf numFmtId="0" fontId="17" fillId="11" borderId="62" xfId="19" applyFont="1" applyFill="1" applyBorder="1" applyAlignment="1">
      <alignment horizontal="center" vertical="center" wrapText="1"/>
    </xf>
    <xf numFmtId="0" fontId="19" fillId="11" borderId="63" xfId="19" applyFont="1" applyFill="1" applyBorder="1" applyAlignment="1">
      <alignment horizontal="center" vertical="center" wrapText="1"/>
    </xf>
    <xf numFmtId="0" fontId="19" fillId="11" borderId="60" xfId="19" applyFont="1" applyFill="1" applyBorder="1" applyAlignment="1">
      <alignment horizontal="center" vertical="center" wrapText="1"/>
    </xf>
    <xf numFmtId="0" fontId="19" fillId="11" borderId="61" xfId="19" applyFont="1" applyFill="1" applyBorder="1" applyAlignment="1">
      <alignment horizontal="center" vertical="center" wrapText="1"/>
    </xf>
    <xf numFmtId="185" fontId="16" fillId="0" borderId="0" xfId="20" applyNumberFormat="1" applyFont="1" applyFill="1">
      <alignment vertical="center"/>
    </xf>
    <xf numFmtId="0" fontId="16" fillId="0" borderId="0" xfId="20" applyFont="1" applyFill="1">
      <alignment vertical="center"/>
    </xf>
    <xf numFmtId="0" fontId="16" fillId="0" borderId="0" xfId="19" applyFont="1" applyAlignment="1">
      <alignment horizontal="center" vertical="center"/>
    </xf>
    <xf numFmtId="0" fontId="20" fillId="0" borderId="0" xfId="19" applyFont="1">
      <alignment vertical="center"/>
    </xf>
    <xf numFmtId="184" fontId="16" fillId="0" borderId="0" xfId="19" applyNumberFormat="1" applyFont="1">
      <alignment vertical="center"/>
    </xf>
    <xf numFmtId="185" fontId="16" fillId="0" borderId="0" xfId="19" applyNumberFormat="1" applyFont="1">
      <alignment vertical="center"/>
    </xf>
    <xf numFmtId="0" fontId="17" fillId="0" borderId="0" xfId="19" applyFont="1" applyAlignment="1">
      <alignment horizontal="center" vertical="center" wrapText="1"/>
    </xf>
    <xf numFmtId="0" fontId="16" fillId="0" borderId="64" xfId="19" applyFont="1" applyBorder="1" applyAlignment="1">
      <alignment horizontal="center" vertical="center"/>
    </xf>
    <xf numFmtId="187" fontId="21" fillId="3" borderId="64" xfId="19" applyNumberFormat="1" applyFont="1" applyFill="1" applyBorder="1">
      <alignment vertical="center"/>
    </xf>
    <xf numFmtId="0" fontId="16" fillId="0" borderId="65" xfId="19" applyFont="1" applyBorder="1" applyAlignment="1">
      <alignment horizontal="center" vertical="center"/>
    </xf>
    <xf numFmtId="0" fontId="18" fillId="0" borderId="0" xfId="19" applyFont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15" fillId="4" borderId="66" xfId="0" applyFont="1" applyFill="1" applyBorder="1" applyAlignment="1">
      <alignment horizontal="center" vertical="center"/>
    </xf>
    <xf numFmtId="192" fontId="15" fillId="4" borderId="0" xfId="0" applyNumberFormat="1" applyFont="1" applyFill="1" applyAlignment="1">
      <alignment horizontal="center" vertical="center"/>
    </xf>
    <xf numFmtId="184" fontId="15" fillId="4" borderId="62" xfId="0" applyNumberFormat="1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184" fontId="15" fillId="4" borderId="0" xfId="0" applyNumberFormat="1" applyFont="1" applyFill="1" applyAlignment="1">
      <alignment horizontal="center" vertical="center"/>
    </xf>
    <xf numFmtId="0" fontId="15" fillId="0" borderId="0" xfId="0" applyFont="1" applyAlignment="1">
      <alignment horizontal="center"/>
    </xf>
    <xf numFmtId="0" fontId="15" fillId="0" borderId="0" xfId="0" applyFont="1"/>
    <xf numFmtId="0" fontId="23" fillId="0" borderId="0" xfId="19" applyFont="1" applyAlignment="1">
      <alignment horizontal="center" vertical="center"/>
    </xf>
    <xf numFmtId="0" fontId="16" fillId="0" borderId="11" xfId="19" applyFont="1" applyBorder="1" applyAlignment="1">
      <alignment horizontal="center" vertical="center"/>
    </xf>
    <xf numFmtId="0" fontId="16" fillId="0" borderId="9" xfId="19" applyFont="1" applyBorder="1" applyAlignment="1">
      <alignment horizontal="center" vertical="center"/>
    </xf>
    <xf numFmtId="0" fontId="16" fillId="0" borderId="10" xfId="19" applyFont="1" applyBorder="1" applyAlignment="1">
      <alignment horizontal="center" vertical="center"/>
    </xf>
    <xf numFmtId="181" fontId="16" fillId="0" borderId="0" xfId="13" applyFont="1" applyAlignment="1">
      <alignment vertical="center"/>
    </xf>
    <xf numFmtId="0" fontId="16" fillId="12" borderId="11" xfId="19" applyFont="1" applyFill="1" applyBorder="1" applyAlignment="1">
      <alignment horizontal="center" vertical="center"/>
    </xf>
    <xf numFmtId="185" fontId="24" fillId="12" borderId="47" xfId="19" applyNumberFormat="1" applyFont="1" applyFill="1" applyBorder="1">
      <alignment vertical="center"/>
    </xf>
    <xf numFmtId="0" fontId="16" fillId="13" borderId="11" xfId="19" applyFont="1" applyFill="1" applyBorder="1" applyAlignment="1">
      <alignment horizontal="center" vertical="center"/>
    </xf>
    <xf numFmtId="185" fontId="24" fillId="13" borderId="47" xfId="19" applyNumberFormat="1" applyFont="1" applyFill="1" applyBorder="1">
      <alignment vertical="center"/>
    </xf>
    <xf numFmtId="0" fontId="16" fillId="0" borderId="61" xfId="19" applyFont="1" applyBorder="1" applyAlignment="1">
      <alignment horizontal="center" vertical="center"/>
    </xf>
    <xf numFmtId="0" fontId="18" fillId="0" borderId="64" xfId="19" applyFont="1" applyBorder="1" applyAlignment="1">
      <alignment horizontal="center" vertical="center" wrapText="1"/>
    </xf>
    <xf numFmtId="0" fontId="18" fillId="0" borderId="72" xfId="19" applyFont="1" applyBorder="1" applyAlignment="1">
      <alignment horizontal="center" vertical="center" wrapText="1"/>
    </xf>
    <xf numFmtId="0" fontId="17" fillId="3" borderId="14" xfId="19" applyFont="1" applyFill="1" applyBorder="1" applyAlignment="1">
      <alignment horizontal="center" vertical="center" wrapText="1"/>
    </xf>
    <xf numFmtId="194" fontId="17" fillId="0" borderId="8" xfId="19" applyNumberFormat="1" applyFont="1" applyBorder="1" applyAlignment="1">
      <alignment horizontal="center" vertical="center" wrapText="1"/>
    </xf>
    <xf numFmtId="194" fontId="18" fillId="0" borderId="73" xfId="19" applyNumberFormat="1" applyFont="1" applyBorder="1" applyAlignment="1">
      <alignment horizontal="center" vertical="center" wrapText="1"/>
    </xf>
    <xf numFmtId="0" fontId="18" fillId="10" borderId="60" xfId="19" applyFont="1" applyFill="1" applyBorder="1" applyAlignment="1">
      <alignment horizontal="center" vertical="center" wrapText="1"/>
    </xf>
    <xf numFmtId="0" fontId="28" fillId="0" borderId="24" xfId="17" applyFont="1" applyBorder="1">
      <alignment vertical="center"/>
    </xf>
    <xf numFmtId="0" fontId="28" fillId="13" borderId="19" xfId="17" applyFont="1" applyFill="1" applyBorder="1">
      <alignment vertical="center"/>
    </xf>
    <xf numFmtId="0" fontId="28" fillId="0" borderId="18" xfId="17" applyFont="1" applyBorder="1">
      <alignment vertical="center"/>
    </xf>
    <xf numFmtId="0" fontId="28" fillId="13" borderId="21" xfId="17" applyFont="1" applyFill="1" applyBorder="1">
      <alignment vertical="center"/>
    </xf>
    <xf numFmtId="195" fontId="28" fillId="0" borderId="21" xfId="17" applyNumberFormat="1" applyFont="1" applyBorder="1">
      <alignment vertical="center"/>
    </xf>
    <xf numFmtId="0" fontId="28" fillId="0" borderId="25" xfId="17" applyFont="1" applyBorder="1">
      <alignment vertical="center"/>
    </xf>
    <xf numFmtId="0" fontId="28" fillId="0" borderId="23" xfId="17" applyFont="1" applyBorder="1">
      <alignment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horizontal="left" vertical="center"/>
    </xf>
    <xf numFmtId="41" fontId="28" fillId="0" borderId="0" xfId="21" applyFont="1" applyAlignment="1">
      <alignment horizontal="center" vertical="center"/>
    </xf>
    <xf numFmtId="189" fontId="20" fillId="0" borderId="61" xfId="19" applyNumberFormat="1" applyFont="1" applyBorder="1" applyAlignment="1">
      <alignment horizontal="center" vertical="center"/>
    </xf>
    <xf numFmtId="0" fontId="31" fillId="0" borderId="0" xfId="19" applyFont="1">
      <alignment vertical="center"/>
    </xf>
    <xf numFmtId="0" fontId="28" fillId="0" borderId="61" xfId="17" applyFont="1" applyBorder="1">
      <alignment vertical="center"/>
    </xf>
    <xf numFmtId="196" fontId="28" fillId="13" borderId="62" xfId="17" applyNumberFormat="1" applyFont="1" applyFill="1" applyBorder="1">
      <alignment vertical="center"/>
    </xf>
    <xf numFmtId="0" fontId="28" fillId="0" borderId="0" xfId="17" applyFont="1">
      <alignment vertical="center"/>
    </xf>
    <xf numFmtId="197" fontId="28" fillId="0" borderId="0" xfId="17" applyNumberFormat="1" applyFont="1">
      <alignment vertic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74" xfId="0" applyFont="1" applyBorder="1"/>
    <xf numFmtId="0" fontId="28" fillId="0" borderId="76" xfId="0" applyFont="1" applyBorder="1"/>
    <xf numFmtId="0" fontId="28" fillId="13" borderId="1" xfId="0" applyFont="1" applyFill="1" applyBorder="1"/>
    <xf numFmtId="0" fontId="28" fillId="13" borderId="0" xfId="0" applyFont="1" applyFill="1"/>
    <xf numFmtId="0" fontId="28" fillId="13" borderId="74" xfId="0" applyFont="1" applyFill="1" applyBorder="1"/>
    <xf numFmtId="0" fontId="28" fillId="13" borderId="0" xfId="0" applyFont="1" applyFill="1" applyAlignment="1">
      <alignment horizontal="center" vertical="center"/>
    </xf>
    <xf numFmtId="0" fontId="28" fillId="13" borderId="76" xfId="0" applyFont="1" applyFill="1" applyBorder="1"/>
    <xf numFmtId="0" fontId="32" fillId="0" borderId="0" xfId="0" applyFont="1"/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/>
    </xf>
    <xf numFmtId="0" fontId="32" fillId="13" borderId="6" xfId="0" applyFont="1" applyFill="1" applyBorder="1" applyAlignment="1">
      <alignment horizontal="center" vertical="center"/>
    </xf>
    <xf numFmtId="0" fontId="32" fillId="0" borderId="75" xfId="0" applyFont="1" applyBorder="1" applyAlignment="1">
      <alignment horizontal="center" vertical="center"/>
    </xf>
    <xf numFmtId="0" fontId="32" fillId="13" borderId="75" xfId="0" applyFont="1" applyFill="1" applyBorder="1" applyAlignment="1">
      <alignment horizontal="center" vertical="center"/>
    </xf>
    <xf numFmtId="0" fontId="32" fillId="0" borderId="17" xfId="0" applyFont="1" applyBorder="1" applyAlignment="1">
      <alignment horizontal="center" vertical="center"/>
    </xf>
    <xf numFmtId="0" fontId="32" fillId="13" borderId="6" xfId="0" applyFont="1" applyFill="1" applyBorder="1" applyAlignment="1">
      <alignment horizontal="center"/>
    </xf>
    <xf numFmtId="0" fontId="32" fillId="0" borderId="75" xfId="0" applyFont="1" applyBorder="1" applyAlignment="1">
      <alignment horizontal="center"/>
    </xf>
    <xf numFmtId="0" fontId="32" fillId="13" borderId="75" xfId="0" applyFont="1" applyFill="1" applyBorder="1" applyAlignment="1">
      <alignment horizontal="center"/>
    </xf>
    <xf numFmtId="0" fontId="32" fillId="13" borderId="17" xfId="0" applyFont="1" applyFill="1" applyBorder="1" applyAlignment="1">
      <alignment horizontal="center"/>
    </xf>
    <xf numFmtId="0" fontId="32" fillId="13" borderId="6" xfId="0" applyFont="1" applyFill="1" applyBorder="1"/>
    <xf numFmtId="0" fontId="32" fillId="0" borderId="75" xfId="0" applyFont="1" applyBorder="1"/>
    <xf numFmtId="0" fontId="32" fillId="13" borderId="75" xfId="0" applyFont="1" applyFill="1" applyBorder="1"/>
    <xf numFmtId="0" fontId="32" fillId="13" borderId="17" xfId="0" applyFont="1" applyFill="1" applyBorder="1"/>
    <xf numFmtId="196" fontId="30" fillId="0" borderId="0" xfId="17" applyNumberFormat="1" applyFont="1">
      <alignment vertical="center"/>
    </xf>
    <xf numFmtId="0" fontId="29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192" fontId="15" fillId="4" borderId="62" xfId="0" applyNumberFormat="1" applyFont="1" applyFill="1" applyBorder="1" applyAlignment="1">
      <alignment horizontal="center" vertical="center"/>
    </xf>
    <xf numFmtId="40" fontId="15" fillId="4" borderId="0" xfId="0" applyNumberFormat="1" applyFont="1" applyFill="1" applyAlignment="1">
      <alignment horizontal="center" vertical="center"/>
    </xf>
    <xf numFmtId="0" fontId="3" fillId="17" borderId="0" xfId="22" applyFill="1" applyAlignment="1">
      <alignment horizontal="center" vertical="center"/>
    </xf>
    <xf numFmtId="0" fontId="2" fillId="16" borderId="0" xfId="23">
      <alignment vertical="center"/>
    </xf>
    <xf numFmtId="196" fontId="35" fillId="0" borderId="0" xfId="17" applyNumberFormat="1" applyFont="1">
      <alignment vertical="center"/>
    </xf>
    <xf numFmtId="196" fontId="32" fillId="13" borderId="62" xfId="17" applyNumberFormat="1" applyFont="1" applyFill="1" applyBorder="1">
      <alignment vertical="center"/>
    </xf>
    <xf numFmtId="0" fontId="20" fillId="0" borderId="4" xfId="19" applyFont="1" applyBorder="1" applyAlignment="1">
      <alignment horizontal="center" vertical="center"/>
    </xf>
    <xf numFmtId="0" fontId="20" fillId="0" borderId="96" xfId="19" applyFont="1" applyBorder="1" applyAlignment="1">
      <alignment horizontal="center" vertical="center"/>
    </xf>
    <xf numFmtId="0" fontId="20" fillId="0" borderId="9" xfId="19" applyFont="1" applyBorder="1" applyAlignment="1">
      <alignment horizontal="center" vertical="center"/>
    </xf>
    <xf numFmtId="0" fontId="20" fillId="0" borderId="10" xfId="19" applyFont="1" applyBorder="1" applyAlignment="1">
      <alignment horizontal="center" vertical="center"/>
    </xf>
    <xf numFmtId="0" fontId="20" fillId="0" borderId="45" xfId="19" applyFont="1" applyBorder="1" applyAlignment="1">
      <alignment horizontal="center" vertical="center"/>
    </xf>
    <xf numFmtId="0" fontId="20" fillId="0" borderId="46" xfId="19" applyFont="1" applyBorder="1" applyAlignment="1">
      <alignment horizontal="center" vertical="center"/>
    </xf>
    <xf numFmtId="0" fontId="20" fillId="0" borderId="11" xfId="19" applyFont="1" applyBorder="1" applyAlignment="1">
      <alignment horizontal="center" vertical="center"/>
    </xf>
    <xf numFmtId="0" fontId="20" fillId="0" borderId="97" xfId="19" applyFont="1" applyBorder="1" applyAlignment="1">
      <alignment horizontal="center" vertical="center"/>
    </xf>
    <xf numFmtId="0" fontId="20" fillId="0" borderId="47" xfId="19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96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45" xfId="0" applyFont="1" applyBorder="1" applyAlignment="1">
      <alignment horizontal="center" vertical="center"/>
    </xf>
    <xf numFmtId="0" fontId="20" fillId="0" borderId="46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0" fillId="0" borderId="97" xfId="0" applyFont="1" applyBorder="1" applyAlignment="1">
      <alignment horizontal="center" vertical="center"/>
    </xf>
    <xf numFmtId="0" fontId="20" fillId="0" borderId="47" xfId="0" applyFont="1" applyBorder="1" applyAlignment="1">
      <alignment horizontal="center" vertical="center"/>
    </xf>
    <xf numFmtId="0" fontId="15" fillId="0" borderId="101" xfId="0" applyFont="1" applyBorder="1" applyAlignment="1">
      <alignment horizontal="center" vertical="center"/>
    </xf>
    <xf numFmtId="0" fontId="15" fillId="0" borderId="109" xfId="0" applyFont="1" applyBorder="1" applyAlignment="1">
      <alignment horizontal="center" vertical="center"/>
    </xf>
    <xf numFmtId="0" fontId="15" fillId="22" borderId="101" xfId="0" applyFont="1" applyFill="1" applyBorder="1" applyAlignment="1">
      <alignment horizontal="center" vertical="center"/>
    </xf>
    <xf numFmtId="0" fontId="15" fillId="22" borderId="102" xfId="0" applyFont="1" applyFill="1" applyBorder="1" applyAlignment="1">
      <alignment horizontal="center" vertical="center"/>
    </xf>
    <xf numFmtId="0" fontId="15" fillId="22" borderId="31" xfId="0" applyFont="1" applyFill="1" applyBorder="1" applyAlignment="1">
      <alignment horizontal="center" vertical="center"/>
    </xf>
    <xf numFmtId="0" fontId="15" fillId="22" borderId="30" xfId="0" applyFont="1" applyFill="1" applyBorder="1" applyAlignment="1">
      <alignment horizontal="center" vertical="center"/>
    </xf>
    <xf numFmtId="198" fontId="15" fillId="0" borderId="119" xfId="0" applyNumberFormat="1" applyFont="1" applyBorder="1" applyAlignment="1">
      <alignment horizontal="center" vertical="center"/>
    </xf>
    <xf numFmtId="0" fontId="15" fillId="0" borderId="120" xfId="0" applyFont="1" applyBorder="1" applyAlignment="1">
      <alignment horizontal="center" vertical="center"/>
    </xf>
    <xf numFmtId="0" fontId="15" fillId="0" borderId="33" xfId="0" applyFont="1" applyBorder="1" applyAlignment="1">
      <alignment horizontal="center" vertical="center"/>
    </xf>
    <xf numFmtId="38" fontId="15" fillId="0" borderId="121" xfId="0" applyNumberFormat="1" applyFont="1" applyBorder="1" applyAlignment="1">
      <alignment horizontal="center" vertical="center"/>
    </xf>
    <xf numFmtId="193" fontId="15" fillId="0" borderId="120" xfId="0" applyNumberFormat="1" applyFont="1" applyBorder="1" applyAlignment="1">
      <alignment horizontal="center" vertical="center"/>
    </xf>
    <xf numFmtId="198" fontId="15" fillId="0" borderId="101" xfId="0" applyNumberFormat="1" applyFont="1" applyBorder="1" applyAlignment="1">
      <alignment horizontal="center" vertical="center"/>
    </xf>
    <xf numFmtId="0" fontId="15" fillId="0" borderId="102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38" fontId="15" fillId="0" borderId="30" xfId="0" applyNumberFormat="1" applyFont="1" applyBorder="1" applyAlignment="1">
      <alignment horizontal="center" vertical="center"/>
    </xf>
    <xf numFmtId="193" fontId="15" fillId="0" borderId="102" xfId="0" applyNumberFormat="1" applyFont="1" applyBorder="1" applyAlignment="1">
      <alignment horizontal="center" vertical="center"/>
    </xf>
    <xf numFmtId="189" fontId="15" fillId="0" borderId="31" xfId="0" applyNumberFormat="1" applyFont="1" applyBorder="1" applyAlignment="1">
      <alignment horizontal="center" vertical="center"/>
    </xf>
    <xf numFmtId="0" fontId="15" fillId="22" borderId="34" xfId="0" applyFont="1" applyFill="1" applyBorder="1" applyAlignment="1">
      <alignment horizontal="center" vertical="center"/>
    </xf>
    <xf numFmtId="0" fontId="15" fillId="22" borderId="32" xfId="0" applyFont="1" applyFill="1" applyBorder="1" applyAlignment="1">
      <alignment horizontal="center" vertical="center"/>
    </xf>
    <xf numFmtId="0" fontId="15" fillId="22" borderId="110" xfId="0" applyFont="1" applyFill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/>
    </xf>
    <xf numFmtId="0" fontId="28" fillId="0" borderId="101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3" fillId="17" borderId="30" xfId="22" applyFill="1" applyBorder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41" fontId="28" fillId="0" borderId="30" xfId="21" applyFont="1" applyBorder="1" applyAlignment="1">
      <alignment horizontal="center" vertical="center"/>
    </xf>
    <xf numFmtId="0" fontId="2" fillId="16" borderId="101" xfId="23" applyBorder="1" applyAlignment="1">
      <alignment horizontal="center" vertical="center"/>
    </xf>
    <xf numFmtId="0" fontId="2" fillId="16" borderId="30" xfId="23" applyBorder="1" applyAlignment="1">
      <alignment horizontal="center" vertical="center"/>
    </xf>
    <xf numFmtId="41" fontId="2" fillId="16" borderId="30" xfId="23" applyNumberFormat="1" applyBorder="1" applyAlignment="1">
      <alignment horizontal="center" vertical="center"/>
    </xf>
    <xf numFmtId="0" fontId="2" fillId="16" borderId="102" xfId="23" applyBorder="1" applyAlignment="1">
      <alignment horizontal="center" vertical="center"/>
    </xf>
    <xf numFmtId="0" fontId="28" fillId="0" borderId="109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3" fillId="17" borderId="32" xfId="22" applyFill="1" applyBorder="1" applyAlignment="1">
      <alignment horizontal="center" vertical="center"/>
    </xf>
    <xf numFmtId="41" fontId="28" fillId="0" borderId="32" xfId="21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119" xfId="0" applyFont="1" applyBorder="1" applyAlignment="1">
      <alignment horizontal="center" vertical="center"/>
    </xf>
    <xf numFmtId="0" fontId="28" fillId="0" borderId="121" xfId="0" applyFont="1" applyBorder="1" applyAlignment="1">
      <alignment horizontal="center" vertical="center"/>
    </xf>
    <xf numFmtId="0" fontId="3" fillId="17" borderId="121" xfId="22" applyFill="1" applyBorder="1" applyAlignment="1">
      <alignment horizontal="center" vertical="center"/>
    </xf>
    <xf numFmtId="0" fontId="20" fillId="0" borderId="121" xfId="0" applyFont="1" applyBorder="1" applyAlignment="1">
      <alignment horizontal="center" vertical="center" wrapText="1"/>
    </xf>
    <xf numFmtId="0" fontId="20" fillId="0" borderId="121" xfId="0" applyFont="1" applyBorder="1" applyAlignment="1">
      <alignment horizontal="center" vertical="center"/>
    </xf>
    <xf numFmtId="41" fontId="28" fillId="0" borderId="121" xfId="21" applyFont="1" applyBorder="1">
      <alignment vertical="center"/>
    </xf>
    <xf numFmtId="0" fontId="28" fillId="0" borderId="120" xfId="0" applyFont="1" applyBorder="1" applyAlignment="1">
      <alignment horizontal="center" vertical="center"/>
    </xf>
    <xf numFmtId="0" fontId="16" fillId="0" borderId="66" xfId="19" applyFont="1" applyBorder="1" applyAlignment="1">
      <alignment horizontal="center" vertical="center"/>
    </xf>
    <xf numFmtId="0" fontId="28" fillId="0" borderId="109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106" xfId="0" applyFont="1" applyBorder="1" applyAlignment="1">
      <alignment horizontal="center" vertical="center"/>
    </xf>
    <xf numFmtId="0" fontId="28" fillId="0" borderId="109" xfId="0" applyFont="1" applyBorder="1" applyAlignment="1">
      <alignment horizontal="center" vertical="center"/>
    </xf>
    <xf numFmtId="0" fontId="16" fillId="3" borderId="53" xfId="19" applyNumberFormat="1" applyFont="1" applyFill="1" applyBorder="1" applyAlignment="1">
      <alignment horizontal="center" vertical="center"/>
    </xf>
    <xf numFmtId="0" fontId="16" fillId="3" borderId="56" xfId="19" applyNumberFormat="1" applyFont="1" applyFill="1" applyBorder="1" applyAlignment="1">
      <alignment horizontal="center" vertical="center"/>
    </xf>
    <xf numFmtId="0" fontId="22" fillId="3" borderId="56" xfId="19" applyNumberFormat="1" applyFont="1" applyFill="1" applyBorder="1" applyAlignment="1">
      <alignment horizontal="center" vertical="center"/>
    </xf>
    <xf numFmtId="0" fontId="16" fillId="0" borderId="56" xfId="19" applyNumberFormat="1" applyFont="1" applyBorder="1" applyAlignment="1">
      <alignment horizontal="center" vertical="center"/>
    </xf>
    <xf numFmtId="0" fontId="16" fillId="12" borderId="56" xfId="19" applyNumberFormat="1" applyFont="1" applyFill="1" applyBorder="1" applyAlignment="1">
      <alignment horizontal="center" vertical="center"/>
    </xf>
    <xf numFmtId="0" fontId="16" fillId="13" borderId="56" xfId="19" applyNumberFormat="1" applyFont="1" applyFill="1" applyBorder="1" applyAlignment="1">
      <alignment horizontal="center" vertical="center"/>
    </xf>
    <xf numFmtId="0" fontId="16" fillId="0" borderId="64" xfId="19" applyNumberFormat="1" applyFont="1" applyBorder="1" applyAlignment="1">
      <alignment horizontal="center" vertical="center"/>
    </xf>
    <xf numFmtId="0" fontId="16" fillId="3" borderId="65" xfId="19" applyNumberFormat="1" applyFont="1" applyFill="1" applyBorder="1" applyAlignment="1">
      <alignment horizontal="center" vertical="center"/>
    </xf>
    <xf numFmtId="0" fontId="16" fillId="3" borderId="64" xfId="19" applyNumberFormat="1" applyFont="1" applyFill="1" applyBorder="1" applyAlignment="1">
      <alignment horizontal="center" vertical="center"/>
    </xf>
    <xf numFmtId="0" fontId="16" fillId="13" borderId="61" xfId="19" applyNumberFormat="1" applyFont="1" applyFill="1" applyBorder="1" applyAlignment="1">
      <alignment horizontal="center" vertical="center"/>
    </xf>
    <xf numFmtId="187" fontId="24" fillId="3" borderId="64" xfId="19" applyNumberFormat="1" applyFont="1" applyFill="1" applyBorder="1">
      <alignment vertical="center"/>
    </xf>
    <xf numFmtId="0" fontId="24" fillId="3" borderId="45" xfId="19" applyFont="1" applyFill="1" applyBorder="1">
      <alignment vertical="center"/>
    </xf>
    <xf numFmtId="0" fontId="24" fillId="3" borderId="46" xfId="19" applyFont="1" applyFill="1" applyBorder="1">
      <alignment vertical="center"/>
    </xf>
    <xf numFmtId="0" fontId="28" fillId="0" borderId="61" xfId="0" applyFont="1" applyBorder="1" applyAlignment="1">
      <alignment horizontal="center" vertical="center" wrapText="1"/>
    </xf>
    <xf numFmtId="0" fontId="28" fillId="0" borderId="61" xfId="0" applyFont="1" applyBorder="1" applyAlignment="1">
      <alignment horizontal="center" vertical="center"/>
    </xf>
    <xf numFmtId="0" fontId="28" fillId="3" borderId="61" xfId="0" applyFont="1" applyFill="1" applyBorder="1" applyAlignment="1">
      <alignment horizontal="center" vertical="center"/>
    </xf>
    <xf numFmtId="0" fontId="20" fillId="13" borderId="61" xfId="0" applyFont="1" applyFill="1" applyBorder="1" applyAlignment="1">
      <alignment horizontal="center" vertical="center"/>
    </xf>
    <xf numFmtId="189" fontId="20" fillId="13" borderId="61" xfId="0" applyNumberFormat="1" applyFont="1" applyFill="1" applyBorder="1" applyAlignment="1">
      <alignment horizontal="center" vertical="center"/>
    </xf>
    <xf numFmtId="0" fontId="20" fillId="13" borderId="61" xfId="0" applyFont="1" applyFill="1" applyBorder="1" applyAlignment="1">
      <alignment horizontal="center" vertical="center" wrapText="1"/>
    </xf>
    <xf numFmtId="197" fontId="20" fillId="13" borderId="61" xfId="0" applyNumberFormat="1" applyFont="1" applyFill="1" applyBorder="1" applyAlignment="1">
      <alignment horizontal="center" vertical="center"/>
    </xf>
    <xf numFmtId="0" fontId="20" fillId="0" borderId="61" xfId="0" applyFont="1" applyBorder="1" applyAlignment="1">
      <alignment horizontal="center" vertical="center"/>
    </xf>
    <xf numFmtId="0" fontId="20" fillId="3" borderId="61" xfId="0" applyFont="1" applyFill="1" applyBorder="1" applyAlignment="1">
      <alignment horizontal="center" vertical="center"/>
    </xf>
    <xf numFmtId="0" fontId="20" fillId="12" borderId="61" xfId="0" applyFont="1" applyFill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32" fillId="21" borderId="9" xfId="0" applyFont="1" applyFill="1" applyBorder="1" applyAlignment="1">
      <alignment horizontal="center" vertical="center"/>
    </xf>
    <xf numFmtId="0" fontId="32" fillId="21" borderId="10" xfId="0" applyFont="1" applyFill="1" applyBorder="1" applyAlignment="1">
      <alignment horizontal="center" vertical="center"/>
    </xf>
    <xf numFmtId="0" fontId="32" fillId="21" borderId="1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90" fontId="28" fillId="0" borderId="99" xfId="18" applyNumberFormat="1" applyFont="1" applyBorder="1">
      <alignment vertical="center"/>
    </xf>
    <xf numFmtId="190" fontId="28" fillId="0" borderId="100" xfId="18" applyNumberFormat="1" applyFont="1" applyBorder="1">
      <alignment vertical="center"/>
    </xf>
    <xf numFmtId="190" fontId="28" fillId="0" borderId="98" xfId="0" applyNumberFormat="1" applyFont="1" applyBorder="1" applyAlignment="1">
      <alignment vertical="center"/>
    </xf>
    <xf numFmtId="190" fontId="28" fillId="0" borderId="100" xfId="0" applyNumberFormat="1" applyFont="1" applyBorder="1" applyAlignment="1">
      <alignment vertical="center"/>
    </xf>
    <xf numFmtId="44" fontId="28" fillId="0" borderId="0" xfId="0" applyNumberFormat="1" applyFont="1" applyAlignment="1">
      <alignment vertical="center"/>
    </xf>
    <xf numFmtId="190" fontId="28" fillId="0" borderId="30" xfId="18" applyNumberFormat="1" applyFont="1" applyBorder="1">
      <alignment vertical="center"/>
    </xf>
    <xf numFmtId="190" fontId="28" fillId="0" borderId="102" xfId="18" applyNumberFormat="1" applyFont="1" applyBorder="1">
      <alignment vertical="center"/>
    </xf>
    <xf numFmtId="190" fontId="28" fillId="0" borderId="101" xfId="0" applyNumberFormat="1" applyFont="1" applyBorder="1" applyAlignment="1">
      <alignment vertical="center"/>
    </xf>
    <xf numFmtId="190" fontId="28" fillId="0" borderId="102" xfId="0" applyNumberFormat="1" applyFont="1" applyBorder="1" applyAlignment="1">
      <alignment vertical="center"/>
    </xf>
    <xf numFmtId="0" fontId="28" fillId="0" borderId="103" xfId="0" applyFont="1" applyBorder="1" applyAlignment="1">
      <alignment horizontal="center" vertical="center"/>
    </xf>
    <xf numFmtId="190" fontId="28" fillId="0" borderId="104" xfId="18" applyNumberFormat="1" applyFont="1" applyBorder="1">
      <alignment vertical="center"/>
    </xf>
    <xf numFmtId="190" fontId="28" fillId="0" borderId="105" xfId="18" applyNumberFormat="1" applyFont="1" applyBorder="1">
      <alignment vertical="center"/>
    </xf>
    <xf numFmtId="190" fontId="28" fillId="0" borderId="103" xfId="0" applyNumberFormat="1" applyFont="1" applyBorder="1" applyAlignment="1">
      <alignment vertical="center"/>
    </xf>
    <xf numFmtId="190" fontId="28" fillId="0" borderId="105" xfId="0" applyNumberFormat="1" applyFont="1" applyBorder="1" applyAlignment="1">
      <alignment vertical="center"/>
    </xf>
    <xf numFmtId="190" fontId="28" fillId="0" borderId="107" xfId="0" applyNumberFormat="1" applyFont="1" applyBorder="1" applyAlignment="1">
      <alignment vertical="center"/>
    </xf>
    <xf numFmtId="190" fontId="28" fillId="0" borderId="108" xfId="0" applyNumberFormat="1" applyFont="1" applyBorder="1" applyAlignment="1">
      <alignment vertical="center"/>
    </xf>
    <xf numFmtId="190" fontId="28" fillId="0" borderId="106" xfId="18" applyNumberFormat="1" applyFont="1" applyBorder="1">
      <alignment vertical="center"/>
    </xf>
    <xf numFmtId="190" fontId="28" fillId="0" borderId="108" xfId="18" applyNumberFormat="1" applyFont="1" applyBorder="1">
      <alignment vertical="center"/>
    </xf>
    <xf numFmtId="190" fontId="28" fillId="0" borderId="30" xfId="0" applyNumberFormat="1" applyFont="1" applyBorder="1" applyAlignment="1">
      <alignment vertical="center"/>
    </xf>
    <xf numFmtId="190" fontId="28" fillId="0" borderId="101" xfId="18" applyNumberFormat="1" applyFont="1" applyBorder="1">
      <alignment vertical="center"/>
    </xf>
    <xf numFmtId="190" fontId="28" fillId="0" borderId="32" xfId="0" applyNumberFormat="1" applyFont="1" applyBorder="1" applyAlignment="1">
      <alignment vertical="center"/>
    </xf>
    <xf numFmtId="190" fontId="28" fillId="0" borderId="110" xfId="0" applyNumberFormat="1" applyFont="1" applyBorder="1" applyAlignment="1">
      <alignment vertical="center"/>
    </xf>
    <xf numFmtId="190" fontId="28" fillId="0" borderId="109" xfId="18" applyNumberFormat="1" applyFont="1" applyBorder="1">
      <alignment vertical="center"/>
    </xf>
    <xf numFmtId="190" fontId="28" fillId="0" borderId="110" xfId="18" applyNumberFormat="1" applyFont="1" applyBorder="1">
      <alignment vertical="center"/>
    </xf>
    <xf numFmtId="190" fontId="28" fillId="21" borderId="106" xfId="18" applyNumberFormat="1" applyFont="1" applyFill="1" applyBorder="1" applyAlignment="1">
      <alignment horizontal="center" vertical="center"/>
    </xf>
    <xf numFmtId="190" fontId="28" fillId="21" borderId="107" xfId="18" applyNumberFormat="1" applyFont="1" applyFill="1" applyBorder="1" applyAlignment="1">
      <alignment horizontal="center" vertical="center"/>
    </xf>
    <xf numFmtId="190" fontId="28" fillId="21" borderId="108" xfId="18" applyNumberFormat="1" applyFont="1" applyFill="1" applyBorder="1" applyAlignment="1">
      <alignment horizontal="center" vertical="center"/>
    </xf>
    <xf numFmtId="190" fontId="28" fillId="21" borderId="111" xfId="18" applyNumberFormat="1" applyFont="1" applyFill="1" applyBorder="1" applyAlignment="1">
      <alignment horizontal="center" vertical="center"/>
    </xf>
    <xf numFmtId="0" fontId="28" fillId="0" borderId="101" xfId="18" applyNumberFormat="1" applyFont="1" applyBorder="1" applyAlignment="1">
      <alignment horizontal="center" vertical="center"/>
    </xf>
    <xf numFmtId="190" fontId="28" fillId="0" borderId="31" xfId="18" applyNumberFormat="1" applyFont="1" applyBorder="1">
      <alignment vertical="center"/>
    </xf>
    <xf numFmtId="190" fontId="28" fillId="0" borderId="112" xfId="18" applyNumberFormat="1" applyFont="1" applyBorder="1">
      <alignment vertical="center"/>
    </xf>
    <xf numFmtId="190" fontId="28" fillId="0" borderId="106" xfId="18" applyNumberFormat="1" applyFont="1" applyBorder="1" applyAlignment="1">
      <alignment horizontal="center" vertical="center"/>
    </xf>
    <xf numFmtId="190" fontId="28" fillId="0" borderId="107" xfId="18" applyNumberFormat="1" applyFont="1" applyBorder="1">
      <alignment vertical="center"/>
    </xf>
    <xf numFmtId="190" fontId="28" fillId="0" borderId="111" xfId="18" applyNumberFormat="1" applyFont="1" applyBorder="1">
      <alignment vertical="center"/>
    </xf>
    <xf numFmtId="190" fontId="28" fillId="0" borderId="101" xfId="18" applyNumberFormat="1" applyFont="1" applyBorder="1" applyAlignment="1">
      <alignment horizontal="center" vertical="center"/>
    </xf>
    <xf numFmtId="190" fontId="28" fillId="0" borderId="109" xfId="18" applyNumberFormat="1" applyFont="1" applyBorder="1" applyAlignment="1">
      <alignment horizontal="center" vertical="center"/>
    </xf>
    <xf numFmtId="190" fontId="28" fillId="0" borderId="32" xfId="18" applyNumberFormat="1" applyFont="1" applyBorder="1">
      <alignment vertical="center"/>
    </xf>
    <xf numFmtId="190" fontId="28" fillId="0" borderId="34" xfId="18" applyNumberFormat="1" applyFont="1" applyBorder="1">
      <alignment vertical="center"/>
    </xf>
    <xf numFmtId="0" fontId="20" fillId="0" borderId="0" xfId="17" applyFont="1">
      <alignment vertical="center"/>
    </xf>
    <xf numFmtId="0" fontId="20" fillId="0" borderId="0" xfId="17" applyFont="1" applyAlignment="1">
      <alignment horizontal="left" vertical="center"/>
    </xf>
    <xf numFmtId="0" fontId="20" fillId="21" borderId="106" xfId="25" applyFont="1" applyFill="1" applyBorder="1" applyAlignment="1">
      <alignment horizontal="center" vertical="center"/>
    </xf>
    <xf numFmtId="0" fontId="20" fillId="21" borderId="107" xfId="25" applyFont="1" applyFill="1" applyBorder="1" applyAlignment="1">
      <alignment horizontal="center" vertical="center"/>
    </xf>
    <xf numFmtId="0" fontId="20" fillId="21" borderId="108" xfId="25" applyFont="1" applyFill="1" applyBorder="1" applyAlignment="1">
      <alignment horizontal="center" vertical="center"/>
    </xf>
    <xf numFmtId="0" fontId="20" fillId="0" borderId="101" xfId="25" applyFont="1" applyBorder="1" applyAlignment="1">
      <alignment horizontal="center" vertical="center"/>
    </xf>
    <xf numFmtId="0" fontId="20" fillId="0" borderId="30" xfId="25" applyFont="1" applyBorder="1" applyAlignment="1">
      <alignment horizontal="center" vertical="center"/>
    </xf>
    <xf numFmtId="0" fontId="20" fillId="0" borderId="102" xfId="25" applyFont="1" applyBorder="1" applyAlignment="1">
      <alignment horizontal="center" vertical="center"/>
    </xf>
    <xf numFmtId="0" fontId="20" fillId="21" borderId="101" xfId="25" applyFont="1" applyFill="1" applyBorder="1" applyAlignment="1">
      <alignment horizontal="center" vertical="center"/>
    </xf>
    <xf numFmtId="0" fontId="20" fillId="21" borderId="30" xfId="25" applyFont="1" applyFill="1" applyBorder="1" applyAlignment="1">
      <alignment horizontal="center" vertical="center"/>
    </xf>
    <xf numFmtId="0" fontId="20" fillId="21" borderId="102" xfId="25" applyFont="1" applyFill="1" applyBorder="1" applyAlignment="1">
      <alignment horizontal="center" vertical="center"/>
    </xf>
    <xf numFmtId="0" fontId="20" fillId="21" borderId="109" xfId="25" applyFont="1" applyFill="1" applyBorder="1">
      <alignment vertical="center"/>
    </xf>
    <xf numFmtId="0" fontId="20" fillId="21" borderId="32" xfId="25" applyFont="1" applyFill="1" applyBorder="1" applyAlignment="1">
      <alignment horizontal="center" vertical="center"/>
    </xf>
    <xf numFmtId="0" fontId="20" fillId="21" borderId="110" xfId="25" applyFont="1" applyFill="1" applyBorder="1" applyAlignment="1">
      <alignment horizontal="center" vertical="center"/>
    </xf>
    <xf numFmtId="0" fontId="20" fillId="0" borderId="109" xfId="25" applyFont="1" applyBorder="1" applyAlignment="1">
      <alignment horizontal="center" vertical="center"/>
    </xf>
    <xf numFmtId="0" fontId="20" fillId="0" borderId="110" xfId="25" applyFont="1" applyBorder="1" applyAlignment="1">
      <alignment horizontal="center" vertical="center"/>
    </xf>
    <xf numFmtId="0" fontId="20" fillId="22" borderId="106" xfId="17" applyFont="1" applyFill="1" applyBorder="1" applyAlignment="1">
      <alignment horizontal="center" vertical="center"/>
    </xf>
    <xf numFmtId="0" fontId="20" fillId="22" borderId="107" xfId="17" applyFont="1" applyFill="1" applyBorder="1" applyAlignment="1">
      <alignment horizontal="center" vertical="center"/>
    </xf>
    <xf numFmtId="0" fontId="20" fillId="22" borderId="108" xfId="17" applyFont="1" applyFill="1" applyBorder="1" applyAlignment="1">
      <alignment horizontal="center" vertical="center"/>
    </xf>
    <xf numFmtId="0" fontId="20" fillId="0" borderId="0" xfId="17" applyFont="1" applyAlignment="1">
      <alignment horizontal="center" vertical="center"/>
    </xf>
    <xf numFmtId="0" fontId="20" fillId="0" borderId="109" xfId="17" applyNumberFormat="1" applyFont="1" applyBorder="1" applyAlignment="1">
      <alignment horizontal="center" vertical="center"/>
    </xf>
    <xf numFmtId="0" fontId="20" fillId="0" borderId="32" xfId="18" applyNumberFormat="1" applyFont="1" applyBorder="1" applyAlignment="1">
      <alignment horizontal="center" vertical="center"/>
    </xf>
    <xf numFmtId="0" fontId="20" fillId="0" borderId="110" xfId="18" applyNumberFormat="1" applyFont="1" applyBorder="1" applyAlignment="1">
      <alignment horizontal="center" vertical="center"/>
    </xf>
    <xf numFmtId="0" fontId="16" fillId="22" borderId="113" xfId="25" applyFont="1" applyFill="1" applyBorder="1" applyAlignment="1">
      <alignment horizontal="center" vertical="center"/>
    </xf>
    <xf numFmtId="0" fontId="20" fillId="22" borderId="111" xfId="25" applyFont="1" applyFill="1" applyBorder="1" applyAlignment="1">
      <alignment horizontal="center" vertical="center"/>
    </xf>
    <xf numFmtId="0" fontId="20" fillId="22" borderId="107" xfId="25" applyFont="1" applyFill="1" applyBorder="1" applyAlignment="1">
      <alignment horizontal="center" vertical="center"/>
    </xf>
    <xf numFmtId="0" fontId="20" fillId="22" borderId="108" xfId="25" applyFont="1" applyFill="1" applyBorder="1" applyAlignment="1">
      <alignment horizontal="center" vertical="center"/>
    </xf>
    <xf numFmtId="0" fontId="20" fillId="22" borderId="114" xfId="25" applyFont="1" applyFill="1" applyBorder="1" applyAlignment="1">
      <alignment horizontal="center" vertical="center"/>
    </xf>
    <xf numFmtId="0" fontId="20" fillId="0" borderId="31" xfId="25" applyFont="1" applyBorder="1" applyAlignment="1">
      <alignment horizontal="center" vertical="center"/>
    </xf>
    <xf numFmtId="0" fontId="20" fillId="0" borderId="112" xfId="25" applyFont="1" applyBorder="1" applyAlignment="1">
      <alignment horizontal="center" vertical="center"/>
    </xf>
    <xf numFmtId="0" fontId="20" fillId="0" borderId="104" xfId="25" applyFont="1" applyBorder="1" applyAlignment="1">
      <alignment horizontal="center" vertical="center"/>
    </xf>
    <xf numFmtId="0" fontId="20" fillId="0" borderId="105" xfId="25" applyFont="1" applyBorder="1" applyAlignment="1">
      <alignment horizontal="center" vertical="center"/>
    </xf>
    <xf numFmtId="0" fontId="20" fillId="22" borderId="113" xfId="25" applyFont="1" applyFill="1" applyBorder="1" applyAlignment="1">
      <alignment horizontal="center" vertical="center"/>
    </xf>
    <xf numFmtId="0" fontId="20" fillId="0" borderId="111" xfId="25" applyFont="1" applyBorder="1" applyAlignment="1">
      <alignment horizontal="center" vertical="center"/>
    </xf>
    <xf numFmtId="0" fontId="20" fillId="0" borderId="107" xfId="25" applyFont="1" applyBorder="1" applyAlignment="1">
      <alignment horizontal="center" vertical="center"/>
    </xf>
    <xf numFmtId="0" fontId="20" fillId="0" borderId="108" xfId="25" applyFont="1" applyBorder="1" applyAlignment="1">
      <alignment horizontal="center" vertical="center"/>
    </xf>
    <xf numFmtId="0" fontId="20" fillId="16" borderId="31" xfId="23" applyFont="1" applyBorder="1" applyAlignment="1">
      <alignment horizontal="center" vertical="center"/>
    </xf>
    <xf numFmtId="0" fontId="20" fillId="22" borderId="115" xfId="25" applyFont="1" applyFill="1" applyBorder="1" applyAlignment="1">
      <alignment horizontal="center" vertical="center"/>
    </xf>
    <xf numFmtId="0" fontId="20" fillId="0" borderId="34" xfId="25" applyFont="1" applyBorder="1" applyAlignment="1">
      <alignment horizontal="center" vertical="center"/>
    </xf>
    <xf numFmtId="0" fontId="20" fillId="0" borderId="32" xfId="25" applyFont="1" applyBorder="1" applyAlignment="1">
      <alignment horizontal="center" vertical="center"/>
    </xf>
    <xf numFmtId="0" fontId="20" fillId="16" borderId="32" xfId="23" applyFont="1" applyBorder="1" applyAlignment="1">
      <alignment horizontal="center" vertical="center"/>
    </xf>
    <xf numFmtId="0" fontId="20" fillId="22" borderId="25" xfId="25" applyFont="1" applyFill="1" applyBorder="1" applyAlignment="1">
      <alignment horizontal="center" vertical="center"/>
    </xf>
    <xf numFmtId="185" fontId="20" fillId="0" borderId="116" xfId="25" applyNumberFormat="1" applyFont="1" applyBorder="1" applyAlignment="1">
      <alignment horizontal="center" vertical="center"/>
    </xf>
    <xf numFmtId="185" fontId="20" fillId="0" borderId="117" xfId="25" applyNumberFormat="1" applyFont="1" applyBorder="1" applyAlignment="1">
      <alignment horizontal="center" vertical="center"/>
    </xf>
    <xf numFmtId="0" fontId="20" fillId="0" borderId="117" xfId="25" applyFont="1" applyBorder="1" applyAlignment="1">
      <alignment horizontal="center" vertical="center"/>
    </xf>
    <xf numFmtId="0" fontId="20" fillId="0" borderId="118" xfId="25" applyFont="1" applyBorder="1" applyAlignment="1">
      <alignment horizontal="center" vertical="center"/>
    </xf>
    <xf numFmtId="0" fontId="20" fillId="18" borderId="116" xfId="24" applyFont="1" applyBorder="1" applyAlignment="1">
      <alignment horizontal="center" vertical="center"/>
    </xf>
    <xf numFmtId="0" fontId="20" fillId="0" borderId="26" xfId="17" applyFont="1" applyBorder="1" applyAlignment="1">
      <alignment horizontal="center" vertical="center"/>
    </xf>
    <xf numFmtId="0" fontId="20" fillId="0" borderId="27" xfId="17" applyFont="1" applyBorder="1">
      <alignment vertical="center"/>
    </xf>
    <xf numFmtId="184" fontId="20" fillId="0" borderId="28" xfId="17" applyNumberFormat="1" applyFont="1" applyBorder="1">
      <alignment vertical="center"/>
    </xf>
    <xf numFmtId="190" fontId="20" fillId="0" borderId="0" xfId="17" applyNumberFormat="1" applyFont="1">
      <alignment vertical="center"/>
    </xf>
    <xf numFmtId="0" fontId="20" fillId="0" borderId="48" xfId="17" applyFont="1" applyBorder="1" applyAlignment="1">
      <alignment horizontal="center" vertical="center"/>
    </xf>
    <xf numFmtId="184" fontId="20" fillId="0" borderId="49" xfId="17" applyNumberFormat="1" applyFont="1" applyBorder="1">
      <alignment vertical="center"/>
    </xf>
    <xf numFmtId="0" fontId="20" fillId="0" borderId="50" xfId="17" applyFont="1" applyBorder="1">
      <alignment vertical="center"/>
    </xf>
    <xf numFmtId="0" fontId="20" fillId="0" borderId="51" xfId="17" applyFont="1" applyBorder="1">
      <alignment vertical="center"/>
    </xf>
    <xf numFmtId="10" fontId="20" fillId="0" borderId="52" xfId="17" applyNumberFormat="1" applyFont="1" applyBorder="1">
      <alignment vertical="center"/>
    </xf>
    <xf numFmtId="10" fontId="20" fillId="0" borderId="0" xfId="17" applyNumberFormat="1" applyFont="1">
      <alignment vertical="center"/>
    </xf>
    <xf numFmtId="0" fontId="38" fillId="0" borderId="16" xfId="17" applyFont="1" applyBorder="1" applyAlignment="1">
      <alignment horizontal="center" vertical="center"/>
    </xf>
    <xf numFmtId="184" fontId="20" fillId="6" borderId="24" xfId="17" applyNumberFormat="1" applyFont="1" applyFill="1" applyBorder="1">
      <alignment vertical="center"/>
    </xf>
    <xf numFmtId="0" fontId="20" fillId="0" borderId="19" xfId="17" applyFont="1" applyBorder="1">
      <alignment vertical="center"/>
    </xf>
    <xf numFmtId="0" fontId="38" fillId="0" borderId="20" xfId="17" applyFont="1" applyBorder="1" applyAlignment="1">
      <alignment horizontal="center" vertical="center"/>
    </xf>
    <xf numFmtId="185" fontId="20" fillId="5" borderId="18" xfId="17" applyNumberFormat="1" applyFont="1" applyFill="1" applyBorder="1">
      <alignment vertical="center"/>
    </xf>
    <xf numFmtId="0" fontId="20" fillId="0" borderId="21" xfId="17" applyFont="1" applyBorder="1">
      <alignment vertical="center"/>
    </xf>
    <xf numFmtId="193" fontId="20" fillId="5" borderId="18" xfId="17" applyNumberFormat="1" applyFont="1" applyFill="1" applyBorder="1">
      <alignment vertical="center"/>
    </xf>
    <xf numFmtId="0" fontId="20" fillId="0" borderId="20" xfId="17" applyFont="1" applyBorder="1" applyAlignment="1">
      <alignment horizontal="center" vertical="center"/>
    </xf>
    <xf numFmtId="187" fontId="20" fillId="4" borderId="18" xfId="17" applyNumberFormat="1" applyFont="1" applyFill="1" applyBorder="1">
      <alignment vertical="center"/>
    </xf>
    <xf numFmtId="0" fontId="20" fillId="0" borderId="22" xfId="17" applyFont="1" applyBorder="1" applyAlignment="1">
      <alignment horizontal="center" vertical="center"/>
    </xf>
    <xf numFmtId="188" fontId="20" fillId="7" borderId="25" xfId="17" applyNumberFormat="1" applyFont="1" applyFill="1" applyBorder="1">
      <alignment vertical="center"/>
    </xf>
    <xf numFmtId="0" fontId="20" fillId="0" borderId="23" xfId="17" applyFont="1" applyBorder="1">
      <alignment vertical="center"/>
    </xf>
    <xf numFmtId="0" fontId="20" fillId="0" borderId="4" xfId="17" applyFont="1" applyBorder="1" applyAlignment="1">
      <alignment horizontal="center" vertical="center"/>
    </xf>
    <xf numFmtId="189" fontId="20" fillId="0" borderId="4" xfId="17" applyNumberFormat="1" applyFont="1" applyBorder="1" applyAlignment="1">
      <alignment horizontal="center" vertical="center"/>
    </xf>
    <xf numFmtId="0" fontId="20" fillId="0" borderId="4" xfId="17" applyFont="1" applyBorder="1">
      <alignment vertical="center"/>
    </xf>
    <xf numFmtId="0" fontId="38" fillId="4" borderId="9" xfId="16" applyFont="1" applyFill="1" applyBorder="1" applyAlignment="1">
      <alignment horizontal="center" vertical="center"/>
    </xf>
    <xf numFmtId="185" fontId="39" fillId="4" borderId="10" xfId="16" applyNumberFormat="1" applyFont="1" applyFill="1" applyBorder="1">
      <alignment vertical="center"/>
    </xf>
    <xf numFmtId="0" fontId="20" fillId="4" borderId="11" xfId="16" applyFont="1" applyFill="1" applyBorder="1">
      <alignment vertical="center"/>
    </xf>
    <xf numFmtId="185" fontId="20" fillId="0" borderId="0" xfId="17" applyNumberFormat="1" applyFont="1">
      <alignment vertical="center"/>
    </xf>
    <xf numFmtId="0" fontId="20" fillId="4" borderId="45" xfId="16" applyFont="1" applyFill="1" applyBorder="1">
      <alignment vertical="center"/>
    </xf>
    <xf numFmtId="186" fontId="39" fillId="4" borderId="46" xfId="16" applyNumberFormat="1" applyFont="1" applyFill="1" applyBorder="1">
      <alignment vertical="center"/>
    </xf>
    <xf numFmtId="0" fontId="20" fillId="4" borderId="47" xfId="16" applyFont="1" applyFill="1" applyBorder="1">
      <alignment vertical="center"/>
    </xf>
    <xf numFmtId="0" fontId="38" fillId="4" borderId="9" xfId="17" applyFont="1" applyFill="1" applyBorder="1" applyAlignment="1">
      <alignment horizontal="center" vertical="center"/>
    </xf>
    <xf numFmtId="185" fontId="39" fillId="4" borderId="10" xfId="17" applyNumberFormat="1" applyFont="1" applyFill="1" applyBorder="1">
      <alignment vertical="center"/>
    </xf>
    <xf numFmtId="0" fontId="20" fillId="4" borderId="11" xfId="17" applyFont="1" applyFill="1" applyBorder="1">
      <alignment vertical="center"/>
    </xf>
    <xf numFmtId="0" fontId="20" fillId="4" borderId="12" xfId="17" applyFont="1" applyFill="1" applyBorder="1">
      <alignment vertical="center"/>
    </xf>
    <xf numFmtId="185" fontId="39" fillId="4" borderId="5" xfId="17" applyNumberFormat="1" applyFont="1" applyFill="1" applyBorder="1">
      <alignment vertical="center"/>
    </xf>
    <xf numFmtId="0" fontId="20" fillId="4" borderId="13" xfId="17" applyFont="1" applyFill="1" applyBorder="1">
      <alignment vertical="center"/>
    </xf>
    <xf numFmtId="0" fontId="20" fillId="9" borderId="43" xfId="17" applyFont="1" applyFill="1" applyBorder="1" applyAlignment="1">
      <alignment horizontal="center" vertical="center"/>
    </xf>
    <xf numFmtId="189" fontId="20" fillId="9" borderId="44" xfId="17" applyNumberFormat="1" applyFont="1" applyFill="1" applyBorder="1">
      <alignment vertical="center"/>
    </xf>
    <xf numFmtId="0" fontId="20" fillId="9" borderId="29" xfId="17" applyFont="1" applyFill="1" applyBorder="1">
      <alignment vertical="center"/>
    </xf>
    <xf numFmtId="0" fontId="28" fillId="0" borderId="4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 wrapText="1"/>
    </xf>
    <xf numFmtId="0" fontId="40" fillId="0" borderId="27" xfId="17" applyFont="1" applyBorder="1">
      <alignment vertical="center"/>
    </xf>
    <xf numFmtId="0" fontId="20" fillId="0" borderId="28" xfId="17" applyFont="1" applyBorder="1">
      <alignment vertical="center"/>
    </xf>
    <xf numFmtId="0" fontId="40" fillId="0" borderId="35" xfId="17" applyFont="1" applyBorder="1">
      <alignment vertical="center"/>
    </xf>
    <xf numFmtId="0" fontId="40" fillId="0" borderId="34" xfId="17" applyFont="1" applyBorder="1" applyAlignment="1">
      <alignment horizontal="right" vertical="center"/>
    </xf>
    <xf numFmtId="0" fontId="40" fillId="0" borderId="32" xfId="17" applyFont="1" applyBorder="1" applyAlignment="1">
      <alignment horizontal="right" vertical="center"/>
    </xf>
    <xf numFmtId="0" fontId="20" fillId="0" borderId="32" xfId="17" applyFont="1" applyBorder="1" applyAlignment="1">
      <alignment horizontal="right" vertical="center"/>
    </xf>
    <xf numFmtId="0" fontId="20" fillId="0" borderId="70" xfId="17" applyFont="1" applyBorder="1" applyAlignment="1">
      <alignment horizontal="right" vertical="center"/>
    </xf>
    <xf numFmtId="0" fontId="20" fillId="0" borderId="67" xfId="17" applyFont="1" applyBorder="1">
      <alignment vertical="center"/>
    </xf>
    <xf numFmtId="0" fontId="41" fillId="0" borderId="68" xfId="17" applyFont="1" applyBorder="1" applyAlignment="1">
      <alignment horizontal="right" vertical="center"/>
    </xf>
    <xf numFmtId="0" fontId="41" fillId="0" borderId="69" xfId="17" applyFont="1" applyBorder="1" applyAlignment="1">
      <alignment horizontal="right" vertical="center"/>
    </xf>
    <xf numFmtId="0" fontId="41" fillId="0" borderId="71" xfId="17" applyFont="1" applyBorder="1" applyAlignment="1">
      <alignment horizontal="right" vertical="center"/>
    </xf>
    <xf numFmtId="0" fontId="20" fillId="12" borderId="37" xfId="17" applyFont="1" applyFill="1" applyBorder="1">
      <alignment vertical="center"/>
    </xf>
    <xf numFmtId="0" fontId="42" fillId="3" borderId="33" xfId="17" applyFont="1" applyFill="1" applyBorder="1">
      <alignment vertical="center"/>
    </xf>
    <xf numFmtId="0" fontId="42" fillId="3" borderId="77" xfId="17" applyFont="1" applyFill="1" applyBorder="1">
      <alignment vertical="center"/>
    </xf>
    <xf numFmtId="0" fontId="40" fillId="3" borderId="31" xfId="17" applyFont="1" applyFill="1" applyBorder="1">
      <alignment vertical="center"/>
    </xf>
    <xf numFmtId="0" fontId="40" fillId="3" borderId="78" xfId="17" applyFont="1" applyFill="1" applyBorder="1">
      <alignment vertical="center"/>
    </xf>
    <xf numFmtId="0" fontId="20" fillId="14" borderId="38" xfId="17" applyFont="1" applyFill="1" applyBorder="1">
      <alignment vertical="center"/>
    </xf>
    <xf numFmtId="0" fontId="40" fillId="14" borderId="31" xfId="17" applyFont="1" applyFill="1" applyBorder="1">
      <alignment vertical="center"/>
    </xf>
    <xf numFmtId="0" fontId="40" fillId="14" borderId="30" xfId="17" applyFont="1" applyFill="1" applyBorder="1">
      <alignment vertical="center"/>
    </xf>
    <xf numFmtId="0" fontId="20" fillId="14" borderId="30" xfId="17" applyFont="1" applyFill="1" applyBorder="1">
      <alignment vertical="center"/>
    </xf>
    <xf numFmtId="0" fontId="20" fillId="14" borderId="36" xfId="17" applyFont="1" applyFill="1" applyBorder="1">
      <alignment vertical="center"/>
    </xf>
    <xf numFmtId="0" fontId="20" fillId="0" borderId="38" xfId="17" applyFont="1" applyBorder="1">
      <alignment vertical="center"/>
    </xf>
    <xf numFmtId="0" fontId="39" fillId="0" borderId="31" xfId="17" applyFont="1" applyBorder="1">
      <alignment vertical="center"/>
    </xf>
    <xf numFmtId="0" fontId="39" fillId="0" borderId="78" xfId="17" applyFont="1" applyBorder="1">
      <alignment vertical="center"/>
    </xf>
    <xf numFmtId="0" fontId="40" fillId="14" borderId="36" xfId="17" applyFont="1" applyFill="1" applyBorder="1">
      <alignment vertical="center"/>
    </xf>
    <xf numFmtId="0" fontId="40" fillId="0" borderId="31" xfId="17" applyFont="1" applyBorder="1">
      <alignment vertical="center"/>
    </xf>
    <xf numFmtId="0" fontId="40" fillId="0" borderId="30" xfId="17" applyFont="1" applyBorder="1">
      <alignment vertical="center"/>
    </xf>
    <xf numFmtId="0" fontId="20" fillId="0" borderId="30" xfId="17" applyFont="1" applyBorder="1">
      <alignment vertical="center"/>
    </xf>
    <xf numFmtId="0" fontId="20" fillId="0" borderId="36" xfId="17" applyFont="1" applyBorder="1">
      <alignment vertical="center"/>
    </xf>
    <xf numFmtId="0" fontId="40" fillId="0" borderId="36" xfId="17" applyFont="1" applyBorder="1">
      <alignment vertical="center"/>
    </xf>
    <xf numFmtId="0" fontId="20" fillId="0" borderId="39" xfId="17" applyFont="1" applyBorder="1">
      <alignment vertical="center"/>
    </xf>
    <xf numFmtId="0" fontId="40" fillId="8" borderId="40" xfId="17" applyFont="1" applyFill="1" applyBorder="1">
      <alignment vertical="center"/>
    </xf>
    <xf numFmtId="0" fontId="40" fillId="8" borderId="41" xfId="17" applyFont="1" applyFill="1" applyBorder="1">
      <alignment vertical="center"/>
    </xf>
    <xf numFmtId="0" fontId="40" fillId="8" borderId="42" xfId="17" applyFont="1" applyFill="1" applyBorder="1">
      <alignment vertical="center"/>
    </xf>
    <xf numFmtId="0" fontId="28" fillId="0" borderId="79" xfId="0" applyFont="1" applyBorder="1"/>
    <xf numFmtId="0" fontId="28" fillId="0" borderId="19" xfId="0" applyFont="1" applyBorder="1"/>
    <xf numFmtId="0" fontId="28" fillId="0" borderId="18" xfId="0" applyFont="1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20" fillId="0" borderId="89" xfId="0" applyFont="1" applyBorder="1" applyAlignment="1">
      <alignment horizontal="center" vertical="center"/>
    </xf>
    <xf numFmtId="0" fontId="44" fillId="0" borderId="86" xfId="0" applyFont="1" applyBorder="1" applyAlignment="1">
      <alignment horizontal="right" vertical="center"/>
    </xf>
    <xf numFmtId="0" fontId="44" fillId="0" borderId="80" xfId="0" applyFont="1" applyBorder="1" applyAlignment="1">
      <alignment horizontal="right" vertical="center"/>
    </xf>
    <xf numFmtId="0" fontId="44" fillId="0" borderId="81" xfId="0" applyFont="1" applyBorder="1" applyAlignment="1">
      <alignment horizontal="right" vertical="center"/>
    </xf>
    <xf numFmtId="0" fontId="20" fillId="19" borderId="90" xfId="0" applyFont="1" applyFill="1" applyBorder="1" applyAlignment="1">
      <alignment horizontal="center" vertical="center"/>
    </xf>
    <xf numFmtId="0" fontId="42" fillId="19" borderId="87" xfId="0" applyFont="1" applyFill="1" applyBorder="1" applyAlignment="1">
      <alignment horizontal="right" vertical="center"/>
    </xf>
    <xf numFmtId="0" fontId="42" fillId="19" borderId="82" xfId="0" applyFont="1" applyFill="1" applyBorder="1" applyAlignment="1">
      <alignment horizontal="right" vertical="center"/>
    </xf>
    <xf numFmtId="0" fontId="42" fillId="19" borderId="83" xfId="0" applyFont="1" applyFill="1" applyBorder="1" applyAlignment="1">
      <alignment horizontal="right" vertical="center"/>
    </xf>
    <xf numFmtId="0" fontId="40" fillId="19" borderId="87" xfId="0" applyFont="1" applyFill="1" applyBorder="1" applyAlignment="1">
      <alignment horizontal="right" vertical="center"/>
    </xf>
    <xf numFmtId="0" fontId="40" fillId="19" borderId="82" xfId="0" applyFont="1" applyFill="1" applyBorder="1" applyAlignment="1">
      <alignment horizontal="right" vertical="center"/>
    </xf>
    <xf numFmtId="0" fontId="40" fillId="19" borderId="83" xfId="0" applyFont="1" applyFill="1" applyBorder="1" applyAlignment="1">
      <alignment horizontal="right" vertical="center"/>
    </xf>
    <xf numFmtId="0" fontId="20" fillId="0" borderId="90" xfId="0" applyFont="1" applyBorder="1" applyAlignment="1">
      <alignment horizontal="center" vertical="center"/>
    </xf>
    <xf numFmtId="0" fontId="40" fillId="0" borderId="87" xfId="0" applyFont="1" applyBorder="1" applyAlignment="1">
      <alignment horizontal="right" vertical="center"/>
    </xf>
    <xf numFmtId="0" fontId="40" fillId="0" borderId="82" xfId="0" applyFont="1" applyBorder="1" applyAlignment="1">
      <alignment horizontal="right" vertical="center"/>
    </xf>
    <xf numFmtId="0" fontId="40" fillId="0" borderId="83" xfId="0" applyFont="1" applyBorder="1" applyAlignment="1">
      <alignment horizontal="right" vertical="center"/>
    </xf>
    <xf numFmtId="0" fontId="42" fillId="0" borderId="87" xfId="0" applyFont="1" applyBorder="1" applyAlignment="1">
      <alignment horizontal="right" vertical="center"/>
    </xf>
    <xf numFmtId="0" fontId="42" fillId="0" borderId="82" xfId="0" applyFont="1" applyBorder="1" applyAlignment="1">
      <alignment horizontal="right" vertical="center"/>
    </xf>
    <xf numFmtId="0" fontId="42" fillId="0" borderId="83" xfId="0" applyFont="1" applyBorder="1" applyAlignment="1">
      <alignment horizontal="right" vertical="center"/>
    </xf>
    <xf numFmtId="2" fontId="40" fillId="0" borderId="87" xfId="0" applyNumberFormat="1" applyFont="1" applyBorder="1" applyAlignment="1">
      <alignment horizontal="right" vertical="center"/>
    </xf>
    <xf numFmtId="2" fontId="40" fillId="0" borderId="82" xfId="0" applyNumberFormat="1" applyFont="1" applyBorder="1" applyAlignment="1">
      <alignment horizontal="right" vertical="center"/>
    </xf>
    <xf numFmtId="2" fontId="40" fillId="0" borderId="83" xfId="0" applyNumberFormat="1" applyFont="1" applyBorder="1" applyAlignment="1">
      <alignment horizontal="right" vertical="center"/>
    </xf>
    <xf numFmtId="0" fontId="20" fillId="0" borderId="95" xfId="0" applyFont="1" applyBorder="1" applyAlignment="1">
      <alignment horizontal="center" vertical="center"/>
    </xf>
    <xf numFmtId="0" fontId="23" fillId="20" borderId="92" xfId="0" applyFont="1" applyFill="1" applyBorder="1" applyAlignment="1">
      <alignment horizontal="right" vertical="center"/>
    </xf>
    <xf numFmtId="0" fontId="23" fillId="20" borderId="93" xfId="0" applyFont="1" applyFill="1" applyBorder="1" applyAlignment="1">
      <alignment horizontal="right" vertical="center"/>
    </xf>
    <xf numFmtId="0" fontId="23" fillId="20" borderId="94" xfId="0" applyFont="1" applyFill="1" applyBorder="1" applyAlignment="1">
      <alignment horizontal="right" vertical="center"/>
    </xf>
    <xf numFmtId="0" fontId="20" fillId="0" borderId="91" xfId="0" applyFont="1" applyBorder="1" applyAlignment="1">
      <alignment horizontal="center" vertical="center"/>
    </xf>
    <xf numFmtId="0" fontId="44" fillId="0" borderId="88" xfId="0" applyFont="1" applyBorder="1" applyAlignment="1">
      <alignment horizontal="right" vertical="center"/>
    </xf>
    <xf numFmtId="0" fontId="44" fillId="0" borderId="84" xfId="0" applyFont="1" applyBorder="1" applyAlignment="1">
      <alignment horizontal="right" vertical="center"/>
    </xf>
    <xf numFmtId="0" fontId="44" fillId="0" borderId="85" xfId="0" applyFont="1" applyBorder="1" applyAlignment="1">
      <alignment horizontal="right" vertical="center"/>
    </xf>
    <xf numFmtId="0" fontId="30" fillId="4" borderId="66" xfId="0" applyFont="1" applyFill="1" applyBorder="1" applyAlignment="1">
      <alignment horizontal="center" vertical="center"/>
    </xf>
    <xf numFmtId="192" fontId="30" fillId="4" borderId="62" xfId="0" applyNumberFormat="1" applyFont="1" applyFill="1" applyBorder="1" applyAlignment="1">
      <alignment horizontal="center" vertical="center"/>
    </xf>
    <xf numFmtId="192" fontId="28" fillId="4" borderId="0" xfId="0" applyNumberFormat="1" applyFont="1" applyFill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184" fontId="28" fillId="4" borderId="62" xfId="0" applyNumberFormat="1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184" fontId="28" fillId="4" borderId="0" xfId="0" applyNumberFormat="1" applyFont="1" applyFill="1" applyAlignment="1">
      <alignment horizontal="center" vertical="center"/>
    </xf>
    <xf numFmtId="0" fontId="28" fillId="22" borderId="101" xfId="0" applyFont="1" applyFill="1" applyBorder="1" applyAlignment="1">
      <alignment horizontal="center" vertical="center"/>
    </xf>
    <xf numFmtId="0" fontId="28" fillId="22" borderId="102" xfId="0" applyFont="1" applyFill="1" applyBorder="1" applyAlignment="1">
      <alignment horizontal="center" vertical="center"/>
    </xf>
    <xf numFmtId="0" fontId="28" fillId="22" borderId="30" xfId="0" applyFont="1" applyFill="1" applyBorder="1" applyAlignment="1">
      <alignment horizontal="center" vertical="center"/>
    </xf>
    <xf numFmtId="192" fontId="28" fillId="0" borderId="119" xfId="0" applyNumberFormat="1" applyFont="1" applyBorder="1" applyAlignment="1">
      <alignment horizontal="center" vertical="center"/>
    </xf>
    <xf numFmtId="184" fontId="28" fillId="0" borderId="121" xfId="0" applyNumberFormat="1" applyFont="1" applyBorder="1" applyAlignment="1">
      <alignment horizontal="center" vertical="center"/>
    </xf>
    <xf numFmtId="193" fontId="28" fillId="0" borderId="120" xfId="0" applyNumberFormat="1" applyFont="1" applyBorder="1" applyAlignment="1">
      <alignment horizontal="center" vertical="center"/>
    </xf>
    <xf numFmtId="186" fontId="28" fillId="0" borderId="119" xfId="0" applyNumberFormat="1" applyFont="1" applyBorder="1" applyAlignment="1">
      <alignment horizontal="center" vertical="center"/>
    </xf>
    <xf numFmtId="192" fontId="28" fillId="0" borderId="101" xfId="0" applyNumberFormat="1" applyFont="1" applyBorder="1" applyAlignment="1">
      <alignment horizontal="center" vertical="center"/>
    </xf>
    <xf numFmtId="184" fontId="28" fillId="0" borderId="30" xfId="0" applyNumberFormat="1" applyFont="1" applyBorder="1" applyAlignment="1">
      <alignment horizontal="center" vertical="center"/>
    </xf>
    <xf numFmtId="193" fontId="28" fillId="0" borderId="102" xfId="0" applyNumberFormat="1" applyFont="1" applyBorder="1" applyAlignment="1">
      <alignment horizontal="center" vertical="center"/>
    </xf>
    <xf numFmtId="192" fontId="28" fillId="0" borderId="103" xfId="0" applyNumberFormat="1" applyFont="1" applyBorder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184" fontId="28" fillId="0" borderId="104" xfId="0" applyNumberFormat="1" applyFont="1" applyBorder="1" applyAlignment="1">
      <alignment horizontal="center" vertical="center"/>
    </xf>
    <xf numFmtId="193" fontId="28" fillId="0" borderId="105" xfId="0" applyNumberFormat="1" applyFont="1" applyBorder="1" applyAlignment="1">
      <alignment horizontal="center" vertical="center"/>
    </xf>
    <xf numFmtId="186" fontId="28" fillId="0" borderId="122" xfId="0" applyNumberFormat="1" applyFont="1" applyBorder="1" applyAlignment="1">
      <alignment horizontal="center" vertical="center"/>
    </xf>
    <xf numFmtId="184" fontId="28" fillId="0" borderId="69" xfId="0" applyNumberFormat="1" applyFont="1" applyBorder="1" applyAlignment="1">
      <alignment horizontal="center" vertical="center"/>
    </xf>
    <xf numFmtId="0" fontId="28" fillId="22" borderId="101" xfId="0" applyFont="1" applyFill="1" applyBorder="1" applyAlignment="1">
      <alignment horizontal="center" vertical="center"/>
    </xf>
    <xf numFmtId="0" fontId="28" fillId="22" borderId="102" xfId="0" applyFont="1" applyFill="1" applyBorder="1" applyAlignment="1">
      <alignment horizontal="center" vertical="center"/>
    </xf>
    <xf numFmtId="2" fontId="28" fillId="22" borderId="102" xfId="0" applyNumberFormat="1" applyFont="1" applyFill="1" applyBorder="1" applyAlignment="1">
      <alignment horizontal="center" vertical="center"/>
    </xf>
    <xf numFmtId="0" fontId="28" fillId="22" borderId="109" xfId="0" applyFont="1" applyFill="1" applyBorder="1" applyAlignment="1">
      <alignment horizontal="center" vertical="center"/>
    </xf>
    <xf numFmtId="0" fontId="28" fillId="22" borderId="32" xfId="0" applyFont="1" applyFill="1" applyBorder="1" applyAlignment="1">
      <alignment horizontal="center" vertical="center"/>
    </xf>
    <xf numFmtId="0" fontId="28" fillId="22" borderId="110" xfId="0" applyFont="1" applyFill="1" applyBorder="1" applyAlignment="1">
      <alignment horizontal="center" vertical="center"/>
    </xf>
    <xf numFmtId="189" fontId="28" fillId="0" borderId="101" xfId="0" applyNumberFormat="1" applyFont="1" applyBorder="1" applyAlignment="1">
      <alignment horizontal="center" vertical="center"/>
    </xf>
    <xf numFmtId="2" fontId="28" fillId="0" borderId="102" xfId="0" applyNumberFormat="1" applyFont="1" applyBorder="1" applyAlignment="1">
      <alignment horizontal="center" vertical="center"/>
    </xf>
    <xf numFmtId="189" fontId="28" fillId="0" borderId="119" xfId="0" applyNumberFormat="1" applyFont="1" applyBorder="1" applyAlignment="1">
      <alignment horizontal="center" vertical="center"/>
    </xf>
    <xf numFmtId="2" fontId="28" fillId="0" borderId="120" xfId="0" applyNumberFormat="1" applyFont="1" applyBorder="1" applyAlignment="1">
      <alignment horizontal="center" vertical="center"/>
    </xf>
    <xf numFmtId="189" fontId="28" fillId="0" borderId="109" xfId="0" applyNumberFormat="1" applyFont="1" applyBorder="1" applyAlignment="1">
      <alignment horizontal="center" vertical="center"/>
    </xf>
    <xf numFmtId="2" fontId="28" fillId="0" borderId="110" xfId="0" applyNumberFormat="1" applyFont="1" applyBorder="1" applyAlignment="1">
      <alignment horizontal="center" vertical="center"/>
    </xf>
    <xf numFmtId="2" fontId="28" fillId="0" borderId="118" xfId="0" applyNumberFormat="1" applyFont="1" applyBorder="1" applyAlignment="1">
      <alignment horizontal="center" vertical="center"/>
    </xf>
    <xf numFmtId="0" fontId="28" fillId="22" borderId="31" xfId="0" applyFont="1" applyFill="1" applyBorder="1" applyAlignment="1">
      <alignment horizontal="center" vertical="center"/>
    </xf>
    <xf numFmtId="186" fontId="28" fillId="0" borderId="33" xfId="0" applyNumberFormat="1" applyFont="1" applyBorder="1" applyAlignment="1">
      <alignment horizontal="center" vertical="center"/>
    </xf>
    <xf numFmtId="193" fontId="28" fillId="0" borderId="123" xfId="0" applyNumberFormat="1" applyFont="1" applyBorder="1" applyAlignment="1">
      <alignment horizontal="center" vertical="center"/>
    </xf>
    <xf numFmtId="186" fontId="28" fillId="0" borderId="68" xfId="0" applyNumberFormat="1" applyFont="1" applyBorder="1" applyAlignment="1">
      <alignment horizontal="center" vertical="center"/>
    </xf>
    <xf numFmtId="0" fontId="28" fillId="22" borderId="34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0" xfId="0" applyFont="1" applyAlignment="1">
      <alignment vertical="center"/>
    </xf>
    <xf numFmtId="192" fontId="28" fillId="4" borderId="62" xfId="0" applyNumberFormat="1" applyFont="1" applyFill="1" applyBorder="1" applyAlignment="1">
      <alignment horizontal="center" vertical="center"/>
    </xf>
    <xf numFmtId="40" fontId="28" fillId="4" borderId="0" xfId="0" applyNumberFormat="1" applyFont="1" applyFill="1" applyAlignment="1">
      <alignment horizontal="center" vertical="center"/>
    </xf>
    <xf numFmtId="198" fontId="28" fillId="0" borderId="119" xfId="0" applyNumberFormat="1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38" fontId="28" fillId="0" borderId="121" xfId="0" applyNumberFormat="1" applyFont="1" applyBorder="1" applyAlignment="1">
      <alignment horizontal="center" vertical="center"/>
    </xf>
    <xf numFmtId="198" fontId="28" fillId="0" borderId="101" xfId="0" applyNumberFormat="1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38" fontId="28" fillId="0" borderId="30" xfId="0" applyNumberFormat="1" applyFont="1" applyBorder="1" applyAlignment="1">
      <alignment horizontal="center" vertical="center"/>
    </xf>
    <xf numFmtId="189" fontId="28" fillId="0" borderId="31" xfId="0" applyNumberFormat="1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40" fillId="0" borderId="26" xfId="17" applyFont="1" applyBorder="1" applyAlignment="1">
      <alignment horizontal="center" vertical="center"/>
    </xf>
    <xf numFmtId="0" fontId="40" fillId="0" borderId="27" xfId="17" applyFont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0" fontId="43" fillId="0" borderId="79" xfId="0" applyFont="1" applyBorder="1" applyAlignment="1">
      <alignment horizontal="center" vertical="center"/>
    </xf>
    <xf numFmtId="0" fontId="28" fillId="0" borderId="107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108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107" xfId="0" applyFont="1" applyBorder="1" applyAlignment="1">
      <alignment horizontal="center" vertical="center" wrapText="1"/>
    </xf>
    <xf numFmtId="0" fontId="28" fillId="0" borderId="32" xfId="0" applyFont="1" applyBorder="1" applyAlignment="1">
      <alignment horizontal="center" vertical="center" wrapText="1"/>
    </xf>
    <xf numFmtId="41" fontId="28" fillId="0" borderId="107" xfId="21" applyFont="1" applyBorder="1" applyAlignment="1">
      <alignment horizontal="center" vertical="center" wrapText="1"/>
    </xf>
    <xf numFmtId="41" fontId="28" fillId="0" borderId="32" xfId="21" applyFont="1" applyBorder="1" applyAlignment="1">
      <alignment horizontal="center" vertical="center" wrapText="1"/>
    </xf>
    <xf numFmtId="0" fontId="28" fillId="0" borderId="106" xfId="0" applyFont="1" applyBorder="1" applyAlignment="1">
      <alignment horizontal="center" vertical="center"/>
    </xf>
    <xf numFmtId="0" fontId="28" fillId="0" borderId="109" xfId="0" applyFont="1" applyBorder="1" applyAlignment="1">
      <alignment horizontal="center" vertical="center"/>
    </xf>
    <xf numFmtId="0" fontId="3" fillId="17" borderId="107" xfId="22" applyFill="1" applyBorder="1" applyAlignment="1">
      <alignment horizontal="center" vertical="center" wrapText="1"/>
    </xf>
    <xf numFmtId="0" fontId="3" fillId="17" borderId="32" xfId="22" applyFill="1" applyBorder="1" applyAlignment="1">
      <alignment horizontal="center" vertical="center" wrapText="1"/>
    </xf>
    <xf numFmtId="0" fontId="28" fillId="0" borderId="66" xfId="0" applyFont="1" applyBorder="1" applyAlignment="1">
      <alignment horizontal="center" vertical="center"/>
    </xf>
    <xf numFmtId="0" fontId="28" fillId="0" borderId="62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28" fillId="0" borderId="66" xfId="17" applyFont="1" applyBorder="1" applyAlignment="1">
      <alignment horizontal="center" vertical="center"/>
    </xf>
    <xf numFmtId="0" fontId="28" fillId="0" borderId="62" xfId="17" applyFont="1" applyBorder="1" applyAlignment="1">
      <alignment horizontal="center" vertical="center"/>
    </xf>
    <xf numFmtId="0" fontId="28" fillId="22" borderId="106" xfId="0" applyFont="1" applyFill="1" applyBorder="1" applyAlignment="1">
      <alignment horizontal="center" vertical="center"/>
    </xf>
    <xf numFmtId="0" fontId="28" fillId="22" borderId="107" xfId="0" applyFont="1" applyFill="1" applyBorder="1" applyAlignment="1">
      <alignment horizontal="center" vertical="center"/>
    </xf>
    <xf numFmtId="0" fontId="28" fillId="22" borderId="108" xfId="0" applyFont="1" applyFill="1" applyBorder="1" applyAlignment="1">
      <alignment horizontal="center" vertical="center"/>
    </xf>
    <xf numFmtId="0" fontId="28" fillId="22" borderId="101" xfId="0" applyFont="1" applyFill="1" applyBorder="1" applyAlignment="1">
      <alignment horizontal="center" vertical="center"/>
    </xf>
    <xf numFmtId="0" fontId="28" fillId="22" borderId="102" xfId="0" applyFont="1" applyFill="1" applyBorder="1" applyAlignment="1">
      <alignment horizontal="center" vertical="center"/>
    </xf>
    <xf numFmtId="0" fontId="28" fillId="22" borderId="109" xfId="0" applyFont="1" applyFill="1" applyBorder="1" applyAlignment="1">
      <alignment horizontal="center" vertical="center"/>
    </xf>
    <xf numFmtId="0" fontId="28" fillId="22" borderId="110" xfId="0" applyFont="1" applyFill="1" applyBorder="1" applyAlignment="1">
      <alignment horizontal="center" vertical="center"/>
    </xf>
    <xf numFmtId="0" fontId="28" fillId="22" borderId="111" xfId="0" applyFont="1" applyFill="1" applyBorder="1" applyAlignment="1">
      <alignment horizontal="center" vertical="center"/>
    </xf>
    <xf numFmtId="0" fontId="15" fillId="22" borderId="109" xfId="0" applyFont="1" applyFill="1" applyBorder="1" applyAlignment="1">
      <alignment horizontal="center" vertical="center"/>
    </xf>
    <xf numFmtId="0" fontId="15" fillId="22" borderId="110" xfId="0" applyFont="1" applyFill="1" applyBorder="1" applyAlignment="1">
      <alignment horizontal="center" vertical="center"/>
    </xf>
    <xf numFmtId="0" fontId="15" fillId="22" borderId="106" xfId="0" applyFont="1" applyFill="1" applyBorder="1" applyAlignment="1">
      <alignment horizontal="center" vertical="center"/>
    </xf>
    <xf numFmtId="0" fontId="15" fillId="22" borderId="108" xfId="0" applyFont="1" applyFill="1" applyBorder="1" applyAlignment="1">
      <alignment horizontal="center" vertical="center"/>
    </xf>
    <xf numFmtId="0" fontId="15" fillId="22" borderId="111" xfId="0" applyFont="1" applyFill="1" applyBorder="1" applyAlignment="1">
      <alignment horizontal="center" vertical="center"/>
    </xf>
    <xf numFmtId="0" fontId="15" fillId="22" borderId="107" xfId="0" applyFont="1" applyFill="1" applyBorder="1" applyAlignment="1">
      <alignment horizontal="center" vertical="center"/>
    </xf>
    <xf numFmtId="0" fontId="15" fillId="22" borderId="101" xfId="0" applyFont="1" applyFill="1" applyBorder="1" applyAlignment="1">
      <alignment horizontal="center" vertical="center"/>
    </xf>
    <xf numFmtId="0" fontId="15" fillId="22" borderId="102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1502.3</c:v>
                </c:pt>
                <c:pt idx="1">
                  <c:v>1743</c:v>
                </c:pt>
                <c:pt idx="2">
                  <c:v>1319</c:v>
                </c:pt>
                <c:pt idx="3">
                  <c:v>1390.8</c:v>
                </c:pt>
                <c:pt idx="4">
                  <c:v>1010.6</c:v>
                </c:pt>
                <c:pt idx="5">
                  <c:v>782.5</c:v>
                </c:pt>
                <c:pt idx="6">
                  <c:v>792.8</c:v>
                </c:pt>
                <c:pt idx="7">
                  <c:v>855.7</c:v>
                </c:pt>
                <c:pt idx="8">
                  <c:v>1337.2</c:v>
                </c:pt>
                <c:pt idx="9">
                  <c:v>821.9</c:v>
                </c:pt>
                <c:pt idx="10">
                  <c:v>1155.5999999999999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16.7</c:v>
                </c:pt>
                <c:pt idx="1">
                  <c:v>34.1</c:v>
                </c:pt>
                <c:pt idx="2">
                  <c:v>42.3</c:v>
                </c:pt>
                <c:pt idx="3">
                  <c:v>83</c:v>
                </c:pt>
                <c:pt idx="4">
                  <c:v>79.599999999999994</c:v>
                </c:pt>
                <c:pt idx="5">
                  <c:v>99.7</c:v>
                </c:pt>
                <c:pt idx="6">
                  <c:v>270.7</c:v>
                </c:pt>
                <c:pt idx="7">
                  <c:v>214.2</c:v>
                </c:pt>
                <c:pt idx="8">
                  <c:v>141.69999999999999</c:v>
                </c:pt>
                <c:pt idx="9">
                  <c:v>70.8</c:v>
                </c:pt>
                <c:pt idx="10">
                  <c:v>61.4</c:v>
                </c:pt>
                <c:pt idx="11">
                  <c:v>41.4</c:v>
                </c:pt>
                <c:pt idx="12">
                  <c:v>96.3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32</xdr:row>
      <xdr:rowOff>171450</xdr:rowOff>
    </xdr:from>
    <xdr:to>
      <xdr:col>15</xdr:col>
      <xdr:colOff>838200</xdr:colOff>
      <xdr:row>39</xdr:row>
      <xdr:rowOff>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342900</xdr:colOff>
      <xdr:row>41</xdr:row>
      <xdr:rowOff>200025</xdr:rowOff>
    </xdr:from>
    <xdr:to>
      <xdr:col>6</xdr:col>
      <xdr:colOff>304800</xdr:colOff>
      <xdr:row>48</xdr:row>
      <xdr:rowOff>114300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47</xdr:row>
          <xdr:rowOff>9525</xdr:rowOff>
        </xdr:from>
        <xdr:to>
          <xdr:col>9</xdr:col>
          <xdr:colOff>257175</xdr:colOff>
          <xdr:row>49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971550</xdr:colOff>
          <xdr:row>0</xdr:row>
          <xdr:rowOff>76200</xdr:rowOff>
        </xdr:from>
        <xdr:to>
          <xdr:col>3</xdr:col>
          <xdr:colOff>1543050</xdr:colOff>
          <xdr:row>0</xdr:row>
          <xdr:rowOff>533400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10</xdr:row>
          <xdr:rowOff>66675</xdr:rowOff>
        </xdr:from>
        <xdr:to>
          <xdr:col>8</xdr:col>
          <xdr:colOff>1314450</xdr:colOff>
          <xdr:row>11</xdr:row>
          <xdr:rowOff>161925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11</xdr:row>
          <xdr:rowOff>228600</xdr:rowOff>
        </xdr:from>
        <xdr:to>
          <xdr:col>8</xdr:col>
          <xdr:colOff>1314450</xdr:colOff>
          <xdr:row>13</xdr:row>
          <xdr:rowOff>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13</xdr:row>
          <xdr:rowOff>76200</xdr:rowOff>
        </xdr:from>
        <xdr:to>
          <xdr:col>8</xdr:col>
          <xdr:colOff>1314450</xdr:colOff>
          <xdr:row>14</xdr:row>
          <xdr:rowOff>171450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9442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2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3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4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30049" name="CommandButton1" hidden="1">
              <a:extLst>
                <a:ext uri="{63B3BB69-23CF-44E3-9099-C40C66FF867C}">
                  <a14:compatExt spid="_x0000_s130049"/>
                </a:ext>
                <a:ext uri="{FF2B5EF4-FFF2-40B4-BE49-F238E27FC236}">
                  <a16:creationId xmlns:a16="http://schemas.microsoft.com/office/drawing/2014/main" id="{00000000-0008-0000-1500-000001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11.emf"/><Relationship Id="rId4" Type="http://schemas.openxmlformats.org/officeDocument/2006/relationships/control" Target="../activeX/activeX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3.emf"/><Relationship Id="rId4" Type="http://schemas.openxmlformats.org/officeDocument/2006/relationships/control" Target="../activeX/activeX1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14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37" zoomScaleNormal="100" workbookViewId="0">
      <selection activeCell="Q15" sqref="Q15"/>
    </sheetView>
  </sheetViews>
  <sheetFormatPr defaultRowHeight="16.5"/>
  <cols>
    <col min="1" max="1" width="8.88671875" style="62"/>
    <col min="2" max="2" width="5.88671875" style="61" customWidth="1"/>
    <col min="3" max="11" width="5.77734375" style="62" customWidth="1"/>
    <col min="12" max="12" width="5.6640625" style="62" customWidth="1"/>
    <col min="13" max="14" width="5.77734375" style="62" customWidth="1"/>
    <col min="15" max="15" width="8.109375" style="62" customWidth="1"/>
    <col min="16" max="16" width="6.44140625" style="62" customWidth="1"/>
    <col min="17" max="17" width="12.21875" style="62" bestFit="1" customWidth="1"/>
    <col min="18" max="16384" width="8.88671875" style="62"/>
  </cols>
  <sheetData>
    <row r="2" spans="2:17" ht="26.25" customHeight="1">
      <c r="B2" s="455" t="s">
        <v>252</v>
      </c>
      <c r="C2" s="455"/>
      <c r="D2" s="455"/>
      <c r="E2" s="455"/>
      <c r="F2" s="455"/>
      <c r="G2" s="455"/>
      <c r="H2" s="455"/>
      <c r="I2" s="455"/>
      <c r="J2" s="455"/>
      <c r="K2" s="455"/>
      <c r="L2" s="455"/>
    </row>
    <row r="4" spans="2:17" ht="17.25" thickBot="1"/>
    <row r="5" spans="2:17" s="203" customFormat="1" ht="21.95" customHeight="1">
      <c r="B5" s="200" t="s">
        <v>54</v>
      </c>
      <c r="C5" s="201" t="s">
        <v>55</v>
      </c>
      <c r="D5" s="201" t="s">
        <v>43</v>
      </c>
      <c r="E5" s="201" t="s">
        <v>44</v>
      </c>
      <c r="F5" s="201" t="s">
        <v>45</v>
      </c>
      <c r="G5" s="201" t="s">
        <v>46</v>
      </c>
      <c r="H5" s="201" t="s">
        <v>12</v>
      </c>
      <c r="I5" s="201" t="s">
        <v>13</v>
      </c>
      <c r="J5" s="201" t="s">
        <v>14</v>
      </c>
      <c r="K5" s="201" t="s">
        <v>15</v>
      </c>
      <c r="L5" s="201" t="s">
        <v>16</v>
      </c>
      <c r="M5" s="201" t="s">
        <v>17</v>
      </c>
      <c r="N5" s="202" t="s">
        <v>18</v>
      </c>
      <c r="O5" s="200" t="s">
        <v>57</v>
      </c>
      <c r="P5" s="202" t="s">
        <v>58</v>
      </c>
    </row>
    <row r="6" spans="2:17" ht="21.95" customHeight="1">
      <c r="B6" s="204">
        <v>1990</v>
      </c>
      <c r="C6" s="205">
        <v>43</v>
      </c>
      <c r="D6" s="205">
        <v>88.7</v>
      </c>
      <c r="E6" s="205">
        <v>71.5</v>
      </c>
      <c r="F6" s="205">
        <v>97.8</v>
      </c>
      <c r="G6" s="205">
        <v>103.4</v>
      </c>
      <c r="H6" s="205">
        <v>301.7</v>
      </c>
      <c r="I6" s="205">
        <v>299</v>
      </c>
      <c r="J6" s="205">
        <v>204.2</v>
      </c>
      <c r="K6" s="205">
        <v>151.4</v>
      </c>
      <c r="L6" s="205">
        <v>4.2</v>
      </c>
      <c r="M6" s="205">
        <v>53.5</v>
      </c>
      <c r="N6" s="206">
        <v>32.6</v>
      </c>
      <c r="O6" s="207">
        <f>ROUND(SUM(C6:N6),1)</f>
        <v>1451</v>
      </c>
      <c r="P6" s="208">
        <f>ROUND(O6/12,1)</f>
        <v>120.9</v>
      </c>
      <c r="Q6" s="209"/>
    </row>
    <row r="7" spans="2:17" ht="21.95" customHeight="1">
      <c r="B7" s="147">
        <v>1991</v>
      </c>
      <c r="C7" s="210">
        <v>13.9</v>
      </c>
      <c r="D7" s="210">
        <v>33.799999999999997</v>
      </c>
      <c r="E7" s="210">
        <v>67.599999999999994</v>
      </c>
      <c r="F7" s="210">
        <v>77.599999999999994</v>
      </c>
      <c r="G7" s="210">
        <v>79.099999999999994</v>
      </c>
      <c r="H7" s="210">
        <v>133.30000000000001</v>
      </c>
      <c r="I7" s="210">
        <v>268.2</v>
      </c>
      <c r="J7" s="210">
        <v>116.5</v>
      </c>
      <c r="K7" s="210">
        <v>224.7</v>
      </c>
      <c r="L7" s="210">
        <v>23.9</v>
      </c>
      <c r="M7" s="210">
        <v>35.6</v>
      </c>
      <c r="N7" s="211">
        <v>42.7</v>
      </c>
      <c r="O7" s="212">
        <f t="shared" ref="O7:O35" si="0">ROUND(SUM(C7:N7),1)</f>
        <v>1116.9000000000001</v>
      </c>
      <c r="P7" s="213">
        <f t="shared" ref="P7:P35" si="1">ROUND(O7/12,1)</f>
        <v>93.1</v>
      </c>
      <c r="Q7" s="209"/>
    </row>
    <row r="8" spans="2:17" ht="21.95" customHeight="1">
      <c r="B8" s="147">
        <v>1992</v>
      </c>
      <c r="C8" s="210">
        <v>9.5</v>
      </c>
      <c r="D8" s="210">
        <v>24.4</v>
      </c>
      <c r="E8" s="210">
        <v>23.6</v>
      </c>
      <c r="F8" s="210">
        <v>67.599999999999994</v>
      </c>
      <c r="G8" s="210">
        <v>89.6</v>
      </c>
      <c r="H8" s="210">
        <v>60.6</v>
      </c>
      <c r="I8" s="210">
        <v>84.9</v>
      </c>
      <c r="J8" s="210">
        <v>435</v>
      </c>
      <c r="K8" s="210">
        <v>168.1</v>
      </c>
      <c r="L8" s="210">
        <v>27.4</v>
      </c>
      <c r="M8" s="210">
        <v>73</v>
      </c>
      <c r="N8" s="211">
        <v>68.599999999999994</v>
      </c>
      <c r="O8" s="212">
        <f t="shared" si="0"/>
        <v>1132.3</v>
      </c>
      <c r="P8" s="213">
        <f t="shared" si="1"/>
        <v>94.4</v>
      </c>
      <c r="Q8" s="209"/>
    </row>
    <row r="9" spans="2:17" ht="21.95" customHeight="1">
      <c r="B9" s="147">
        <v>1993</v>
      </c>
      <c r="C9" s="210">
        <v>4.5999999999999996</v>
      </c>
      <c r="D9" s="210">
        <v>66.7</v>
      </c>
      <c r="E9" s="210">
        <v>21.6</v>
      </c>
      <c r="F9" s="210">
        <v>32.6</v>
      </c>
      <c r="G9" s="210">
        <v>68.5</v>
      </c>
      <c r="H9" s="210">
        <v>225.5</v>
      </c>
      <c r="I9" s="210">
        <v>241.5</v>
      </c>
      <c r="J9" s="210">
        <v>206.5</v>
      </c>
      <c r="K9" s="210">
        <v>141.5</v>
      </c>
      <c r="L9" s="210">
        <v>32</v>
      </c>
      <c r="M9" s="210">
        <v>87.4</v>
      </c>
      <c r="N9" s="211">
        <v>33.700000000000003</v>
      </c>
      <c r="O9" s="212">
        <f t="shared" si="0"/>
        <v>1162.0999999999999</v>
      </c>
      <c r="P9" s="213">
        <f t="shared" si="1"/>
        <v>96.8</v>
      </c>
      <c r="Q9" s="209"/>
    </row>
    <row r="10" spans="2:17" ht="21.95" customHeight="1">
      <c r="B10" s="147">
        <v>1994</v>
      </c>
      <c r="C10" s="210">
        <v>17.899999999999999</v>
      </c>
      <c r="D10" s="210">
        <v>6</v>
      </c>
      <c r="E10" s="210">
        <v>58.2</v>
      </c>
      <c r="F10" s="210">
        <v>51.5</v>
      </c>
      <c r="G10" s="210">
        <v>135.5</v>
      </c>
      <c r="H10" s="210">
        <v>207</v>
      </c>
      <c r="I10" s="210">
        <v>137</v>
      </c>
      <c r="J10" s="210">
        <v>443.5</v>
      </c>
      <c r="K10" s="210">
        <v>21</v>
      </c>
      <c r="L10" s="210">
        <v>155</v>
      </c>
      <c r="M10" s="210">
        <v>17.5</v>
      </c>
      <c r="N10" s="211">
        <v>18.899999999999999</v>
      </c>
      <c r="O10" s="212">
        <f t="shared" si="0"/>
        <v>1269</v>
      </c>
      <c r="P10" s="213">
        <f t="shared" si="1"/>
        <v>105.8</v>
      </c>
      <c r="Q10" s="209"/>
    </row>
    <row r="11" spans="2:17" ht="21.95" customHeight="1">
      <c r="B11" s="147">
        <v>1995</v>
      </c>
      <c r="C11" s="210">
        <v>15.7</v>
      </c>
      <c r="D11" s="210">
        <v>11</v>
      </c>
      <c r="E11" s="210">
        <v>19.600000000000001</v>
      </c>
      <c r="F11" s="210">
        <v>65.5</v>
      </c>
      <c r="G11" s="210">
        <v>49.5</v>
      </c>
      <c r="H11" s="210">
        <v>26.5</v>
      </c>
      <c r="I11" s="210">
        <v>144.5</v>
      </c>
      <c r="J11" s="210">
        <v>996.5</v>
      </c>
      <c r="K11" s="210">
        <v>70.5</v>
      </c>
      <c r="L11" s="210">
        <v>24.5</v>
      </c>
      <c r="M11" s="210">
        <v>23</v>
      </c>
      <c r="N11" s="211">
        <v>12.7</v>
      </c>
      <c r="O11" s="212">
        <f t="shared" si="0"/>
        <v>1459.5</v>
      </c>
      <c r="P11" s="213">
        <f t="shared" si="1"/>
        <v>121.6</v>
      </c>
      <c r="Q11" s="209"/>
    </row>
    <row r="12" spans="2:17" ht="21.95" customHeight="1">
      <c r="B12" s="147">
        <v>1996</v>
      </c>
      <c r="C12" s="210">
        <v>33.4</v>
      </c>
      <c r="D12" s="210">
        <v>6.8</v>
      </c>
      <c r="E12" s="210">
        <v>104.5</v>
      </c>
      <c r="F12" s="210">
        <v>34</v>
      </c>
      <c r="G12" s="210">
        <v>22.5</v>
      </c>
      <c r="H12" s="210">
        <v>235</v>
      </c>
      <c r="I12" s="210">
        <v>192.5</v>
      </c>
      <c r="J12" s="210">
        <v>44.5</v>
      </c>
      <c r="K12" s="210">
        <v>14</v>
      </c>
      <c r="L12" s="210">
        <v>106.5</v>
      </c>
      <c r="M12" s="210">
        <v>74.2</v>
      </c>
      <c r="N12" s="211">
        <v>31.7</v>
      </c>
      <c r="O12" s="212">
        <f t="shared" si="0"/>
        <v>899.6</v>
      </c>
      <c r="P12" s="213">
        <f t="shared" si="1"/>
        <v>75</v>
      </c>
    </row>
    <row r="13" spans="2:17" ht="21.95" customHeight="1">
      <c r="B13" s="147">
        <v>1997</v>
      </c>
      <c r="C13" s="210">
        <v>15.1</v>
      </c>
      <c r="D13" s="210">
        <v>38.4</v>
      </c>
      <c r="E13" s="210">
        <v>30.5</v>
      </c>
      <c r="F13" s="210">
        <v>57.5</v>
      </c>
      <c r="G13" s="210">
        <v>203</v>
      </c>
      <c r="H13" s="210">
        <v>272</v>
      </c>
      <c r="I13" s="210">
        <v>353.5</v>
      </c>
      <c r="J13" s="210">
        <v>211.5</v>
      </c>
      <c r="K13" s="210">
        <v>23</v>
      </c>
      <c r="L13" s="210">
        <v>10</v>
      </c>
      <c r="M13" s="210">
        <v>193.5</v>
      </c>
      <c r="N13" s="211">
        <v>34.299999999999997</v>
      </c>
      <c r="O13" s="212">
        <f t="shared" si="0"/>
        <v>1442.3</v>
      </c>
      <c r="P13" s="213">
        <f t="shared" si="1"/>
        <v>120.2</v>
      </c>
    </row>
    <row r="14" spans="2:17" ht="21.95" customHeight="1">
      <c r="B14" s="147">
        <v>1998</v>
      </c>
      <c r="C14" s="210">
        <v>29.9</v>
      </c>
      <c r="D14" s="210">
        <v>40.200000000000003</v>
      </c>
      <c r="E14" s="210">
        <v>30.5</v>
      </c>
      <c r="F14" s="210">
        <v>138</v>
      </c>
      <c r="G14" s="210">
        <v>100</v>
      </c>
      <c r="H14" s="210">
        <v>209.5</v>
      </c>
      <c r="I14" s="210">
        <v>263</v>
      </c>
      <c r="J14" s="210">
        <v>341.7</v>
      </c>
      <c r="K14" s="210">
        <v>150.30000000000001</v>
      </c>
      <c r="L14" s="210">
        <v>61</v>
      </c>
      <c r="M14" s="210">
        <v>29.3</v>
      </c>
      <c r="N14" s="211">
        <v>3.8</v>
      </c>
      <c r="O14" s="212">
        <f t="shared" si="0"/>
        <v>1397.2</v>
      </c>
      <c r="P14" s="213">
        <f t="shared" si="1"/>
        <v>116.4</v>
      </c>
    </row>
    <row r="15" spans="2:17" ht="21.95" customHeight="1">
      <c r="B15" s="147">
        <v>1999</v>
      </c>
      <c r="C15" s="210">
        <v>7.9</v>
      </c>
      <c r="D15" s="210">
        <v>9.5</v>
      </c>
      <c r="E15" s="210">
        <v>71</v>
      </c>
      <c r="F15" s="210">
        <v>88.5</v>
      </c>
      <c r="G15" s="210">
        <v>124.5</v>
      </c>
      <c r="H15" s="210">
        <v>192.5</v>
      </c>
      <c r="I15" s="210">
        <v>98</v>
      </c>
      <c r="J15" s="210">
        <v>180</v>
      </c>
      <c r="K15" s="210">
        <v>292.5</v>
      </c>
      <c r="L15" s="210">
        <v>169</v>
      </c>
      <c r="M15" s="210">
        <v>24.9</v>
      </c>
      <c r="N15" s="211">
        <v>25.8</v>
      </c>
      <c r="O15" s="212">
        <f t="shared" si="0"/>
        <v>1284.0999999999999</v>
      </c>
      <c r="P15" s="213">
        <f t="shared" si="1"/>
        <v>107</v>
      </c>
    </row>
    <row r="16" spans="2:17" ht="21.95" customHeight="1">
      <c r="B16" s="147">
        <v>2000</v>
      </c>
      <c r="C16" s="210">
        <v>42.1</v>
      </c>
      <c r="D16" s="210">
        <v>3.2</v>
      </c>
      <c r="E16" s="210">
        <v>7</v>
      </c>
      <c r="F16" s="210">
        <v>35</v>
      </c>
      <c r="G16" s="210">
        <v>53.5</v>
      </c>
      <c r="H16" s="210">
        <v>159.5</v>
      </c>
      <c r="I16" s="210">
        <v>155</v>
      </c>
      <c r="J16" s="210">
        <v>701.5</v>
      </c>
      <c r="K16" s="210">
        <v>241</v>
      </c>
      <c r="L16" s="210">
        <v>46</v>
      </c>
      <c r="M16" s="210">
        <v>39.5</v>
      </c>
      <c r="N16" s="211">
        <v>32.1</v>
      </c>
      <c r="O16" s="212">
        <f t="shared" si="0"/>
        <v>1515.4</v>
      </c>
      <c r="P16" s="213">
        <f t="shared" si="1"/>
        <v>126.3</v>
      </c>
    </row>
    <row r="17" spans="2:16" ht="21.95" customHeight="1">
      <c r="B17" s="147">
        <v>2001</v>
      </c>
      <c r="C17" s="210">
        <v>73.3</v>
      </c>
      <c r="D17" s="210">
        <v>46</v>
      </c>
      <c r="E17" s="210">
        <v>15.9</v>
      </c>
      <c r="F17" s="210">
        <v>26</v>
      </c>
      <c r="G17" s="210">
        <v>17</v>
      </c>
      <c r="H17" s="210">
        <v>129</v>
      </c>
      <c r="I17" s="210">
        <v>286.5</v>
      </c>
      <c r="J17" s="210">
        <v>170</v>
      </c>
      <c r="K17" s="210">
        <v>10</v>
      </c>
      <c r="L17" s="210">
        <v>85</v>
      </c>
      <c r="M17" s="210">
        <v>13</v>
      </c>
      <c r="N17" s="211">
        <v>32</v>
      </c>
      <c r="O17" s="212">
        <f t="shared" si="0"/>
        <v>903.7</v>
      </c>
      <c r="P17" s="213">
        <f t="shared" si="1"/>
        <v>75.3</v>
      </c>
    </row>
    <row r="18" spans="2:16" ht="21.95" customHeight="1">
      <c r="B18" s="147">
        <v>2002</v>
      </c>
      <c r="C18" s="210">
        <v>50.8</v>
      </c>
      <c r="D18" s="210">
        <v>5.5</v>
      </c>
      <c r="E18" s="210">
        <v>32</v>
      </c>
      <c r="F18" s="210">
        <v>169</v>
      </c>
      <c r="G18" s="210">
        <v>155.5</v>
      </c>
      <c r="H18" s="210">
        <v>72</v>
      </c>
      <c r="I18" s="210">
        <v>217.5</v>
      </c>
      <c r="J18" s="210">
        <v>477</v>
      </c>
      <c r="K18" s="210">
        <v>27</v>
      </c>
      <c r="L18" s="210">
        <v>134</v>
      </c>
      <c r="M18" s="210">
        <v>61.1</v>
      </c>
      <c r="N18" s="211">
        <v>51.8</v>
      </c>
      <c r="O18" s="212">
        <f t="shared" si="0"/>
        <v>1453.2</v>
      </c>
      <c r="P18" s="213">
        <f t="shared" si="1"/>
        <v>121.1</v>
      </c>
    </row>
    <row r="19" spans="2:16" ht="21.95" customHeight="1">
      <c r="B19" s="147">
        <v>2003</v>
      </c>
      <c r="C19" s="210">
        <v>30.7</v>
      </c>
      <c r="D19" s="210">
        <v>44.5</v>
      </c>
      <c r="E19" s="210">
        <v>39.5</v>
      </c>
      <c r="F19" s="210">
        <v>168.5</v>
      </c>
      <c r="G19" s="210">
        <v>78.5</v>
      </c>
      <c r="H19" s="210">
        <v>153</v>
      </c>
      <c r="I19" s="210">
        <v>309.5</v>
      </c>
      <c r="J19" s="210">
        <v>310</v>
      </c>
      <c r="K19" s="210">
        <v>128</v>
      </c>
      <c r="L19" s="210">
        <v>23</v>
      </c>
      <c r="M19" s="210">
        <v>45.5</v>
      </c>
      <c r="N19" s="211">
        <v>13</v>
      </c>
      <c r="O19" s="212">
        <f t="shared" si="0"/>
        <v>1343.7</v>
      </c>
      <c r="P19" s="213">
        <f t="shared" si="1"/>
        <v>112</v>
      </c>
    </row>
    <row r="20" spans="2:16" ht="21.95" customHeight="1">
      <c r="B20" s="147">
        <v>2004</v>
      </c>
      <c r="C20" s="210">
        <v>22.1</v>
      </c>
      <c r="D20" s="210">
        <v>28.5</v>
      </c>
      <c r="E20" s="210">
        <v>45.7</v>
      </c>
      <c r="F20" s="210">
        <v>58</v>
      </c>
      <c r="G20" s="210">
        <v>105.5</v>
      </c>
      <c r="H20" s="210">
        <v>234.5</v>
      </c>
      <c r="I20" s="210">
        <v>263.5</v>
      </c>
      <c r="J20" s="210">
        <v>164</v>
      </c>
      <c r="K20" s="210">
        <v>195</v>
      </c>
      <c r="L20" s="210">
        <v>4</v>
      </c>
      <c r="M20" s="210">
        <v>56.5</v>
      </c>
      <c r="N20" s="211">
        <v>38.9</v>
      </c>
      <c r="O20" s="212">
        <f t="shared" si="0"/>
        <v>1216.2</v>
      </c>
      <c r="P20" s="213">
        <f t="shared" si="1"/>
        <v>101.4</v>
      </c>
    </row>
    <row r="21" spans="2:16" ht="21.95" customHeight="1">
      <c r="B21" s="147">
        <v>2005</v>
      </c>
      <c r="C21" s="210">
        <v>5.8</v>
      </c>
      <c r="D21" s="210">
        <v>35.799999999999997</v>
      </c>
      <c r="E21" s="210">
        <v>30</v>
      </c>
      <c r="F21" s="210">
        <v>73.5</v>
      </c>
      <c r="G21" s="210">
        <v>48.5</v>
      </c>
      <c r="H21" s="210">
        <v>156</v>
      </c>
      <c r="I21" s="210">
        <v>260.5</v>
      </c>
      <c r="J21" s="210">
        <v>291.5</v>
      </c>
      <c r="K21" s="210">
        <v>282.5</v>
      </c>
      <c r="L21" s="210">
        <v>21</v>
      </c>
      <c r="M21" s="210">
        <v>18</v>
      </c>
      <c r="N21" s="211">
        <v>43.4</v>
      </c>
      <c r="O21" s="212">
        <f t="shared" si="0"/>
        <v>1266.5</v>
      </c>
      <c r="P21" s="213">
        <f t="shared" si="1"/>
        <v>105.5</v>
      </c>
    </row>
    <row r="22" spans="2:16" ht="21.95" customHeight="1">
      <c r="B22" s="147">
        <v>2006</v>
      </c>
      <c r="C22" s="210">
        <v>27</v>
      </c>
      <c r="D22" s="210">
        <v>25.9</v>
      </c>
      <c r="E22" s="210">
        <v>10.6</v>
      </c>
      <c r="F22" s="210">
        <v>81.5</v>
      </c>
      <c r="G22" s="210">
        <v>94.5</v>
      </c>
      <c r="H22" s="210">
        <v>114.5</v>
      </c>
      <c r="I22" s="210">
        <v>321</v>
      </c>
      <c r="J22" s="210">
        <v>21.5</v>
      </c>
      <c r="K22" s="210">
        <v>23.5</v>
      </c>
      <c r="L22" s="210">
        <v>24.5</v>
      </c>
      <c r="M22" s="210">
        <v>61.5</v>
      </c>
      <c r="N22" s="211">
        <v>25.4</v>
      </c>
      <c r="O22" s="212">
        <f t="shared" si="0"/>
        <v>831.4</v>
      </c>
      <c r="P22" s="213">
        <f t="shared" si="1"/>
        <v>69.3</v>
      </c>
    </row>
    <row r="23" spans="2:16" ht="21.95" customHeight="1">
      <c r="B23" s="147">
        <v>2007</v>
      </c>
      <c r="C23" s="210">
        <v>23.4</v>
      </c>
      <c r="D23" s="210">
        <v>29.8</v>
      </c>
      <c r="E23" s="210">
        <v>102</v>
      </c>
      <c r="F23" s="210">
        <v>29.5</v>
      </c>
      <c r="G23" s="210">
        <v>79</v>
      </c>
      <c r="H23" s="210">
        <v>85</v>
      </c>
      <c r="I23" s="210">
        <v>214</v>
      </c>
      <c r="J23" s="210">
        <v>239.5</v>
      </c>
      <c r="K23" s="210">
        <v>384</v>
      </c>
      <c r="L23" s="210">
        <v>59</v>
      </c>
      <c r="M23" s="210">
        <v>17.5</v>
      </c>
      <c r="N23" s="211">
        <v>33.1</v>
      </c>
      <c r="O23" s="212">
        <f t="shared" si="0"/>
        <v>1295.8</v>
      </c>
      <c r="P23" s="213">
        <f t="shared" si="1"/>
        <v>108</v>
      </c>
    </row>
    <row r="24" spans="2:16" ht="21.95" customHeight="1">
      <c r="B24" s="147">
        <v>2008</v>
      </c>
      <c r="C24" s="210">
        <v>20.9</v>
      </c>
      <c r="D24" s="210">
        <v>10.8</v>
      </c>
      <c r="E24" s="210">
        <v>48.2</v>
      </c>
      <c r="F24" s="210">
        <v>40.5</v>
      </c>
      <c r="G24" s="210">
        <v>78.900000000000006</v>
      </c>
      <c r="H24" s="210">
        <v>101.3</v>
      </c>
      <c r="I24" s="210">
        <v>257.2</v>
      </c>
      <c r="J24" s="210">
        <v>119.5</v>
      </c>
      <c r="K24" s="210">
        <v>46.9</v>
      </c>
      <c r="L24" s="210">
        <v>26.7</v>
      </c>
      <c r="M24" s="210">
        <v>37.6</v>
      </c>
      <c r="N24" s="211">
        <v>25</v>
      </c>
      <c r="O24" s="212">
        <f t="shared" si="0"/>
        <v>813.5</v>
      </c>
      <c r="P24" s="213">
        <f t="shared" si="1"/>
        <v>67.8</v>
      </c>
    </row>
    <row r="25" spans="2:16" ht="21.95" customHeight="1">
      <c r="B25" s="147">
        <v>2009</v>
      </c>
      <c r="C25" s="210">
        <v>18.5</v>
      </c>
      <c r="D25" s="210">
        <v>23.3</v>
      </c>
      <c r="E25" s="210">
        <v>55.1</v>
      </c>
      <c r="F25" s="210">
        <v>41.5</v>
      </c>
      <c r="G25" s="210">
        <v>154.5</v>
      </c>
      <c r="H25" s="210">
        <v>115.1</v>
      </c>
      <c r="I25" s="210">
        <v>320.89999999999998</v>
      </c>
      <c r="J25" s="210">
        <v>176.6</v>
      </c>
      <c r="K25" s="210">
        <v>25.5</v>
      </c>
      <c r="L25" s="210">
        <v>39.5</v>
      </c>
      <c r="M25" s="210">
        <v>52.9</v>
      </c>
      <c r="N25" s="211">
        <v>58</v>
      </c>
      <c r="O25" s="212">
        <f t="shared" si="0"/>
        <v>1081.4000000000001</v>
      </c>
      <c r="P25" s="213">
        <f t="shared" si="1"/>
        <v>90.1</v>
      </c>
    </row>
    <row r="26" spans="2:16" ht="21.95" customHeight="1">
      <c r="B26" s="147">
        <v>2010</v>
      </c>
      <c r="C26" s="210">
        <v>30.1</v>
      </c>
      <c r="D26" s="210">
        <v>73.5</v>
      </c>
      <c r="E26" s="210">
        <v>75.900000000000006</v>
      </c>
      <c r="F26" s="210">
        <v>58.5</v>
      </c>
      <c r="G26" s="210">
        <v>122.8</v>
      </c>
      <c r="H26" s="210">
        <v>60.8</v>
      </c>
      <c r="I26" s="210">
        <v>396.5</v>
      </c>
      <c r="J26" s="210">
        <v>402.7</v>
      </c>
      <c r="K26" s="210">
        <v>213.1</v>
      </c>
      <c r="L26" s="210">
        <v>19.2</v>
      </c>
      <c r="M26" s="210">
        <v>16.3</v>
      </c>
      <c r="N26" s="211">
        <v>32.9</v>
      </c>
      <c r="O26" s="212">
        <f t="shared" si="0"/>
        <v>1502.3</v>
      </c>
      <c r="P26" s="213">
        <f t="shared" si="1"/>
        <v>125.2</v>
      </c>
    </row>
    <row r="27" spans="2:16" ht="21.95" customHeight="1">
      <c r="B27" s="147">
        <v>2011</v>
      </c>
      <c r="C27" s="210">
        <v>11.1</v>
      </c>
      <c r="D27" s="210">
        <v>37.5</v>
      </c>
      <c r="E27" s="210">
        <v>18</v>
      </c>
      <c r="F27" s="210">
        <v>72.099999999999994</v>
      </c>
      <c r="G27" s="210">
        <v>115.3</v>
      </c>
      <c r="H27" s="210">
        <v>318</v>
      </c>
      <c r="I27" s="210">
        <v>723.1</v>
      </c>
      <c r="J27" s="210">
        <v>289.39999999999998</v>
      </c>
      <c r="K27" s="210">
        <v>70.8</v>
      </c>
      <c r="L27" s="210">
        <v>13.9</v>
      </c>
      <c r="M27" s="210">
        <v>61.3</v>
      </c>
      <c r="N27" s="211">
        <v>12.5</v>
      </c>
      <c r="O27" s="212">
        <f t="shared" si="0"/>
        <v>1743</v>
      </c>
      <c r="P27" s="213">
        <f t="shared" si="1"/>
        <v>145.30000000000001</v>
      </c>
    </row>
    <row r="28" spans="2:16" ht="21.95" customHeight="1">
      <c r="B28" s="147">
        <v>2012</v>
      </c>
      <c r="C28" s="210">
        <v>24.2</v>
      </c>
      <c r="D28" s="210">
        <v>9.1999999999999993</v>
      </c>
      <c r="E28" s="210">
        <v>45</v>
      </c>
      <c r="F28" s="210">
        <v>68.900000000000006</v>
      </c>
      <c r="G28" s="210">
        <v>14.6</v>
      </c>
      <c r="H28" s="210">
        <v>76.8</v>
      </c>
      <c r="I28" s="210">
        <v>231.1</v>
      </c>
      <c r="J28" s="210">
        <v>450.2</v>
      </c>
      <c r="K28" s="210">
        <v>207.7</v>
      </c>
      <c r="L28" s="210">
        <v>65</v>
      </c>
      <c r="M28" s="210">
        <v>61.1</v>
      </c>
      <c r="N28" s="211">
        <v>65.2</v>
      </c>
      <c r="O28" s="212">
        <f t="shared" si="0"/>
        <v>1319</v>
      </c>
      <c r="P28" s="213">
        <f t="shared" si="1"/>
        <v>109.9</v>
      </c>
    </row>
    <row r="29" spans="2:16" ht="21.95" customHeight="1">
      <c r="B29" s="147">
        <v>2013</v>
      </c>
      <c r="C29" s="210">
        <v>28.4</v>
      </c>
      <c r="D29" s="210">
        <v>40.700000000000003</v>
      </c>
      <c r="E29" s="210">
        <v>53.4</v>
      </c>
      <c r="F29" s="210">
        <v>68.2</v>
      </c>
      <c r="G29" s="210">
        <v>116.6</v>
      </c>
      <c r="H29" s="210">
        <v>159.9</v>
      </c>
      <c r="I29" s="210">
        <v>267.5</v>
      </c>
      <c r="J29" s="210">
        <v>214.6</v>
      </c>
      <c r="K29" s="210">
        <v>320</v>
      </c>
      <c r="L29" s="210">
        <v>11</v>
      </c>
      <c r="M29" s="210">
        <v>84.1</v>
      </c>
      <c r="N29" s="211">
        <v>26.4</v>
      </c>
      <c r="O29" s="212">
        <f t="shared" si="0"/>
        <v>1390.8</v>
      </c>
      <c r="P29" s="213">
        <f t="shared" si="1"/>
        <v>115.9</v>
      </c>
    </row>
    <row r="30" spans="2:16" ht="21.95" customHeight="1">
      <c r="B30" s="147">
        <v>2014</v>
      </c>
      <c r="C30" s="210">
        <v>3.4</v>
      </c>
      <c r="D30" s="210">
        <v>20.5</v>
      </c>
      <c r="E30" s="210">
        <v>56.3</v>
      </c>
      <c r="F30" s="210">
        <v>70</v>
      </c>
      <c r="G30" s="210">
        <v>47.1</v>
      </c>
      <c r="H30" s="210">
        <v>125.8</v>
      </c>
      <c r="I30" s="210">
        <v>104</v>
      </c>
      <c r="J30" s="210">
        <v>168.5</v>
      </c>
      <c r="K30" s="210">
        <v>152</v>
      </c>
      <c r="L30" s="210">
        <v>156</v>
      </c>
      <c r="M30" s="210">
        <v>39.9</v>
      </c>
      <c r="N30" s="211">
        <v>67.099999999999994</v>
      </c>
      <c r="O30" s="212">
        <f t="shared" si="0"/>
        <v>1010.6</v>
      </c>
      <c r="P30" s="213">
        <f t="shared" si="1"/>
        <v>84.2</v>
      </c>
    </row>
    <row r="31" spans="2:16" ht="21.95" customHeight="1">
      <c r="B31" s="147">
        <v>2015</v>
      </c>
      <c r="C31" s="210">
        <v>29.9</v>
      </c>
      <c r="D31" s="210">
        <v>23.4</v>
      </c>
      <c r="E31" s="210">
        <v>30.9</v>
      </c>
      <c r="F31" s="210">
        <v>129.69999999999999</v>
      </c>
      <c r="G31" s="210">
        <v>38.799999999999997</v>
      </c>
      <c r="H31" s="210">
        <v>83.9</v>
      </c>
      <c r="I31" s="210">
        <v>94.7</v>
      </c>
      <c r="J31" s="210">
        <v>30.2</v>
      </c>
      <c r="K31" s="210">
        <v>13.3</v>
      </c>
      <c r="L31" s="210">
        <v>90</v>
      </c>
      <c r="M31" s="210">
        <v>153.1</v>
      </c>
      <c r="N31" s="211">
        <v>64.599999999999994</v>
      </c>
      <c r="O31" s="212">
        <f t="shared" si="0"/>
        <v>782.5</v>
      </c>
      <c r="P31" s="213">
        <f t="shared" si="1"/>
        <v>65.2</v>
      </c>
    </row>
    <row r="32" spans="2:16" ht="21.95" customHeight="1">
      <c r="B32" s="147">
        <v>2016</v>
      </c>
      <c r="C32" s="210">
        <v>7.8</v>
      </c>
      <c r="D32" s="210">
        <v>54.2</v>
      </c>
      <c r="E32" s="210">
        <v>18.7</v>
      </c>
      <c r="F32" s="210">
        <v>105.1</v>
      </c>
      <c r="G32" s="210">
        <v>146.5</v>
      </c>
      <c r="H32" s="210">
        <v>23.7</v>
      </c>
      <c r="I32" s="210">
        <v>200.2</v>
      </c>
      <c r="J32" s="210">
        <v>5.0999999999999996</v>
      </c>
      <c r="K32" s="210">
        <v>73.400000000000006</v>
      </c>
      <c r="L32" s="210">
        <v>108</v>
      </c>
      <c r="M32" s="210">
        <v>5.6</v>
      </c>
      <c r="N32" s="211">
        <v>44.5</v>
      </c>
      <c r="O32" s="212">
        <f t="shared" si="0"/>
        <v>792.8</v>
      </c>
      <c r="P32" s="213">
        <f t="shared" si="1"/>
        <v>66.099999999999994</v>
      </c>
    </row>
    <row r="33" spans="2:16" ht="21.95" customHeight="1">
      <c r="B33" s="147">
        <v>2017</v>
      </c>
      <c r="C33" s="210">
        <v>14.8</v>
      </c>
      <c r="D33" s="210">
        <v>30.2</v>
      </c>
      <c r="E33" s="210">
        <v>14.4</v>
      </c>
      <c r="F33" s="210">
        <v>57.6</v>
      </c>
      <c r="G33" s="210">
        <v>58.9</v>
      </c>
      <c r="H33" s="210">
        <v>21.1</v>
      </c>
      <c r="I33" s="210">
        <v>278.10000000000002</v>
      </c>
      <c r="J33" s="210">
        <v>210</v>
      </c>
      <c r="K33" s="210">
        <v>90</v>
      </c>
      <c r="L33" s="210">
        <v>26.6</v>
      </c>
      <c r="M33" s="210">
        <v>15.4</v>
      </c>
      <c r="N33" s="211">
        <v>38.6</v>
      </c>
      <c r="O33" s="212">
        <f t="shared" si="0"/>
        <v>855.7</v>
      </c>
      <c r="P33" s="213">
        <f t="shared" si="1"/>
        <v>71.3</v>
      </c>
    </row>
    <row r="34" spans="2:16" ht="21.95" customHeight="1">
      <c r="B34" s="147">
        <v>2018</v>
      </c>
      <c r="C34" s="210">
        <v>15</v>
      </c>
      <c r="D34" s="210">
        <v>33.6</v>
      </c>
      <c r="E34" s="210">
        <v>92</v>
      </c>
      <c r="F34" s="210">
        <v>128.1</v>
      </c>
      <c r="G34" s="210">
        <v>104.5</v>
      </c>
      <c r="H34" s="210">
        <v>71</v>
      </c>
      <c r="I34" s="210">
        <v>262.7</v>
      </c>
      <c r="J34" s="210">
        <v>239.6</v>
      </c>
      <c r="K34" s="210">
        <v>158.19999999999999</v>
      </c>
      <c r="L34" s="210">
        <v>154.69999999999999</v>
      </c>
      <c r="M34" s="210">
        <v>46.7</v>
      </c>
      <c r="N34" s="211">
        <v>31.1</v>
      </c>
      <c r="O34" s="212">
        <f t="shared" si="0"/>
        <v>1337.2</v>
      </c>
      <c r="P34" s="213">
        <f t="shared" si="1"/>
        <v>111.4</v>
      </c>
    </row>
    <row r="35" spans="2:16" ht="21.95" customHeight="1" thickBot="1">
      <c r="B35" s="214">
        <v>2019</v>
      </c>
      <c r="C35" s="215">
        <v>1.9</v>
      </c>
      <c r="D35" s="215">
        <v>17.8</v>
      </c>
      <c r="E35" s="215">
        <v>18.2</v>
      </c>
      <c r="F35" s="215">
        <v>71.900000000000006</v>
      </c>
      <c r="G35" s="215">
        <v>31.3</v>
      </c>
      <c r="H35" s="215">
        <v>56</v>
      </c>
      <c r="I35" s="215">
        <v>149</v>
      </c>
      <c r="J35" s="215">
        <v>131.30000000000001</v>
      </c>
      <c r="K35" s="215">
        <v>118.7</v>
      </c>
      <c r="L35" s="215">
        <v>63.9</v>
      </c>
      <c r="M35" s="215">
        <v>130.6</v>
      </c>
      <c r="N35" s="216">
        <v>31.3</v>
      </c>
      <c r="O35" s="217">
        <f t="shared" si="0"/>
        <v>821.9</v>
      </c>
      <c r="P35" s="218">
        <f t="shared" si="1"/>
        <v>68.5</v>
      </c>
    </row>
    <row r="36" spans="2:16" ht="21.95" customHeight="1">
      <c r="B36" s="174" t="s">
        <v>47</v>
      </c>
      <c r="C36" s="219">
        <f>ROUND(MAX(C6:C35),1)</f>
        <v>73.3</v>
      </c>
      <c r="D36" s="219">
        <f t="shared" ref="D36:N36" si="2">ROUND(MAX(D6:D35),1)</f>
        <v>88.7</v>
      </c>
      <c r="E36" s="219">
        <f t="shared" si="2"/>
        <v>104.5</v>
      </c>
      <c r="F36" s="219">
        <f t="shared" si="2"/>
        <v>169</v>
      </c>
      <c r="G36" s="219">
        <f t="shared" si="2"/>
        <v>203</v>
      </c>
      <c r="H36" s="219">
        <f t="shared" si="2"/>
        <v>318</v>
      </c>
      <c r="I36" s="219">
        <f t="shared" si="2"/>
        <v>723.1</v>
      </c>
      <c r="J36" s="219">
        <f t="shared" si="2"/>
        <v>996.5</v>
      </c>
      <c r="K36" s="219">
        <f t="shared" si="2"/>
        <v>384</v>
      </c>
      <c r="L36" s="219">
        <f t="shared" si="2"/>
        <v>169</v>
      </c>
      <c r="M36" s="219">
        <f t="shared" si="2"/>
        <v>193.5</v>
      </c>
      <c r="N36" s="220">
        <f t="shared" si="2"/>
        <v>68.599999999999994</v>
      </c>
      <c r="O36" s="221">
        <f>ROUND(MAX(O6:O35),1)</f>
        <v>1743</v>
      </c>
      <c r="P36" s="222">
        <f>ROUND(MAX(P6:P35),1)</f>
        <v>145.30000000000001</v>
      </c>
    </row>
    <row r="37" spans="2:16" ht="21.95" customHeight="1">
      <c r="B37" s="147" t="s">
        <v>48</v>
      </c>
      <c r="C37" s="223">
        <f>ROUND(MIN(C6:C35),1)</f>
        <v>1.9</v>
      </c>
      <c r="D37" s="223">
        <f t="shared" ref="D37:N37" si="3">ROUND(MIN(D6:D35),1)</f>
        <v>3.2</v>
      </c>
      <c r="E37" s="223">
        <f t="shared" si="3"/>
        <v>7</v>
      </c>
      <c r="F37" s="223">
        <f t="shared" si="3"/>
        <v>26</v>
      </c>
      <c r="G37" s="223">
        <f t="shared" si="3"/>
        <v>14.6</v>
      </c>
      <c r="H37" s="223">
        <f t="shared" si="3"/>
        <v>21.1</v>
      </c>
      <c r="I37" s="223">
        <f t="shared" si="3"/>
        <v>84.9</v>
      </c>
      <c r="J37" s="223">
        <f t="shared" si="3"/>
        <v>5.0999999999999996</v>
      </c>
      <c r="K37" s="223">
        <f t="shared" si="3"/>
        <v>10</v>
      </c>
      <c r="L37" s="223">
        <f t="shared" si="3"/>
        <v>4</v>
      </c>
      <c r="M37" s="223">
        <f t="shared" si="3"/>
        <v>5.6</v>
      </c>
      <c r="N37" s="213">
        <f t="shared" si="3"/>
        <v>3.8</v>
      </c>
      <c r="O37" s="224">
        <f>ROUND(MIN(O6:O35),1)</f>
        <v>782.5</v>
      </c>
      <c r="P37" s="211">
        <f>ROUND(MIN(P6:P35),1)</f>
        <v>65.2</v>
      </c>
    </row>
    <row r="38" spans="2:16" ht="21.95" customHeight="1" thickBot="1">
      <c r="B38" s="175" t="s">
        <v>58</v>
      </c>
      <c r="C38" s="225">
        <f>ROUND(AVERAGE(C6:C35),1)</f>
        <v>22.4</v>
      </c>
      <c r="D38" s="225">
        <f t="shared" ref="D38:N38" si="4">ROUND(AVERAGE(D6:D35),1)</f>
        <v>30.6</v>
      </c>
      <c r="E38" s="225">
        <f t="shared" si="4"/>
        <v>43.6</v>
      </c>
      <c r="F38" s="225">
        <f t="shared" si="4"/>
        <v>75.5</v>
      </c>
      <c r="G38" s="225">
        <f t="shared" si="4"/>
        <v>87.9</v>
      </c>
      <c r="H38" s="225">
        <f t="shared" si="4"/>
        <v>139.4</v>
      </c>
      <c r="I38" s="225">
        <f t="shared" si="4"/>
        <v>246.5</v>
      </c>
      <c r="J38" s="225">
        <f t="shared" si="4"/>
        <v>266.39999999999998</v>
      </c>
      <c r="K38" s="225">
        <f t="shared" si="4"/>
        <v>134.6</v>
      </c>
      <c r="L38" s="225">
        <f t="shared" si="4"/>
        <v>59.5</v>
      </c>
      <c r="M38" s="225">
        <f t="shared" si="4"/>
        <v>54.3</v>
      </c>
      <c r="N38" s="226">
        <f t="shared" si="4"/>
        <v>35.700000000000003</v>
      </c>
      <c r="O38" s="227">
        <f>ROUND(AVERAGE(O6:O35),1)</f>
        <v>1196.4000000000001</v>
      </c>
      <c r="P38" s="228">
        <f>ROUND(AVERAGE(P6:P35),1)</f>
        <v>99.7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29" t="s">
        <v>53</v>
      </c>
      <c r="C43" s="230" t="s">
        <v>42</v>
      </c>
      <c r="D43" s="230" t="s">
        <v>43</v>
      </c>
      <c r="E43" s="230" t="s">
        <v>44</v>
      </c>
      <c r="F43" s="230" t="s">
        <v>45</v>
      </c>
      <c r="G43" s="230" t="s">
        <v>46</v>
      </c>
      <c r="H43" s="230" t="s">
        <v>12</v>
      </c>
      <c r="I43" s="230" t="s">
        <v>13</v>
      </c>
      <c r="J43" s="230" t="s">
        <v>14</v>
      </c>
      <c r="K43" s="230" t="s">
        <v>15</v>
      </c>
      <c r="L43" s="230" t="s">
        <v>16</v>
      </c>
      <c r="M43" s="230" t="s">
        <v>17</v>
      </c>
      <c r="N43" s="231" t="s">
        <v>18</v>
      </c>
      <c r="O43" s="232" t="s">
        <v>56</v>
      </c>
      <c r="P43" s="231" t="s">
        <v>40</v>
      </c>
    </row>
    <row r="44" spans="2:16" ht="21.95" customHeight="1">
      <c r="B44" s="233">
        <v>2010</v>
      </c>
      <c r="C44" s="210">
        <v>30.1</v>
      </c>
      <c r="D44" s="210">
        <v>73.5</v>
      </c>
      <c r="E44" s="210">
        <v>75.900000000000006</v>
      </c>
      <c r="F44" s="210">
        <v>58.5</v>
      </c>
      <c r="G44" s="210">
        <v>122.8</v>
      </c>
      <c r="H44" s="210">
        <v>60.8</v>
      </c>
      <c r="I44" s="210">
        <v>396.5</v>
      </c>
      <c r="J44" s="210">
        <v>402.7</v>
      </c>
      <c r="K44" s="210">
        <v>213.1</v>
      </c>
      <c r="L44" s="210">
        <v>19.2</v>
      </c>
      <c r="M44" s="210">
        <v>16.3</v>
      </c>
      <c r="N44" s="211">
        <v>32.9</v>
      </c>
      <c r="O44" s="234">
        <f>ROUND(SUM(C44:N44),1)</f>
        <v>1502.3</v>
      </c>
      <c r="P44" s="211">
        <f>ROUND(O44/12,1)</f>
        <v>125.2</v>
      </c>
    </row>
    <row r="45" spans="2:16" ht="21.95" customHeight="1">
      <c r="B45" s="233">
        <v>2011</v>
      </c>
      <c r="C45" s="210">
        <v>11.1</v>
      </c>
      <c r="D45" s="210">
        <v>37.5</v>
      </c>
      <c r="E45" s="210">
        <v>18</v>
      </c>
      <c r="F45" s="210">
        <v>72.099999999999994</v>
      </c>
      <c r="G45" s="210">
        <v>115.3</v>
      </c>
      <c r="H45" s="210">
        <v>318</v>
      </c>
      <c r="I45" s="210">
        <v>723.1</v>
      </c>
      <c r="J45" s="210">
        <v>289.39999999999998</v>
      </c>
      <c r="K45" s="210">
        <v>70.8</v>
      </c>
      <c r="L45" s="210">
        <v>13.9</v>
      </c>
      <c r="M45" s="210">
        <v>61.3</v>
      </c>
      <c r="N45" s="211">
        <v>12.5</v>
      </c>
      <c r="O45" s="234">
        <f t="shared" ref="O45:O53" si="5">ROUND(SUM(C45:N45),1)</f>
        <v>1743</v>
      </c>
      <c r="P45" s="211">
        <f t="shared" ref="P45:P53" si="6">ROUND(O45/12,1)</f>
        <v>145.30000000000001</v>
      </c>
    </row>
    <row r="46" spans="2:16" ht="21.95" customHeight="1">
      <c r="B46" s="233">
        <v>2012</v>
      </c>
      <c r="C46" s="210">
        <v>24.2</v>
      </c>
      <c r="D46" s="210">
        <v>9.1999999999999993</v>
      </c>
      <c r="E46" s="210">
        <v>45</v>
      </c>
      <c r="F46" s="210">
        <v>68.900000000000006</v>
      </c>
      <c r="G46" s="210">
        <v>14.6</v>
      </c>
      <c r="H46" s="210">
        <v>76.8</v>
      </c>
      <c r="I46" s="210">
        <v>231.1</v>
      </c>
      <c r="J46" s="210">
        <v>450.2</v>
      </c>
      <c r="K46" s="210">
        <v>207.7</v>
      </c>
      <c r="L46" s="210">
        <v>65</v>
      </c>
      <c r="M46" s="210">
        <v>61.1</v>
      </c>
      <c r="N46" s="211">
        <v>65.2</v>
      </c>
      <c r="O46" s="234">
        <f t="shared" si="5"/>
        <v>1319</v>
      </c>
      <c r="P46" s="211">
        <f t="shared" si="6"/>
        <v>109.9</v>
      </c>
    </row>
    <row r="47" spans="2:16" ht="21.95" customHeight="1">
      <c r="B47" s="233">
        <v>2013</v>
      </c>
      <c r="C47" s="210">
        <v>28.4</v>
      </c>
      <c r="D47" s="210">
        <v>40.700000000000003</v>
      </c>
      <c r="E47" s="210">
        <v>53.4</v>
      </c>
      <c r="F47" s="210">
        <v>68.2</v>
      </c>
      <c r="G47" s="210">
        <v>116.6</v>
      </c>
      <c r="H47" s="210">
        <v>159.9</v>
      </c>
      <c r="I47" s="210">
        <v>267.5</v>
      </c>
      <c r="J47" s="210">
        <v>214.6</v>
      </c>
      <c r="K47" s="210">
        <v>320</v>
      </c>
      <c r="L47" s="210">
        <v>11</v>
      </c>
      <c r="M47" s="210">
        <v>84.1</v>
      </c>
      <c r="N47" s="211">
        <v>26.4</v>
      </c>
      <c r="O47" s="234">
        <f t="shared" si="5"/>
        <v>1390.8</v>
      </c>
      <c r="P47" s="211">
        <f t="shared" si="6"/>
        <v>115.9</v>
      </c>
    </row>
    <row r="48" spans="2:16" ht="21.95" customHeight="1">
      <c r="B48" s="233">
        <v>2014</v>
      </c>
      <c r="C48" s="210">
        <v>3.4</v>
      </c>
      <c r="D48" s="210">
        <v>20.5</v>
      </c>
      <c r="E48" s="210">
        <v>56.3</v>
      </c>
      <c r="F48" s="210">
        <v>70</v>
      </c>
      <c r="G48" s="210">
        <v>47.1</v>
      </c>
      <c r="H48" s="210">
        <v>125.8</v>
      </c>
      <c r="I48" s="210">
        <v>104</v>
      </c>
      <c r="J48" s="210">
        <v>168.5</v>
      </c>
      <c r="K48" s="210">
        <v>152</v>
      </c>
      <c r="L48" s="210">
        <v>156</v>
      </c>
      <c r="M48" s="210">
        <v>39.9</v>
      </c>
      <c r="N48" s="211">
        <v>67.099999999999994</v>
      </c>
      <c r="O48" s="234">
        <f t="shared" si="5"/>
        <v>1010.6</v>
      </c>
      <c r="P48" s="211">
        <f t="shared" si="6"/>
        <v>84.2</v>
      </c>
    </row>
    <row r="49" spans="2:16" ht="21.95" customHeight="1">
      <c r="B49" s="233">
        <v>2015</v>
      </c>
      <c r="C49" s="210">
        <v>29.9</v>
      </c>
      <c r="D49" s="210">
        <v>23.4</v>
      </c>
      <c r="E49" s="210">
        <v>30.9</v>
      </c>
      <c r="F49" s="210">
        <v>129.69999999999999</v>
      </c>
      <c r="G49" s="210">
        <v>38.799999999999997</v>
      </c>
      <c r="H49" s="210">
        <v>83.9</v>
      </c>
      <c r="I49" s="210">
        <v>94.7</v>
      </c>
      <c r="J49" s="210">
        <v>30.2</v>
      </c>
      <c r="K49" s="210">
        <v>13.3</v>
      </c>
      <c r="L49" s="210">
        <v>90</v>
      </c>
      <c r="M49" s="210">
        <v>153.1</v>
      </c>
      <c r="N49" s="211">
        <v>64.599999999999994</v>
      </c>
      <c r="O49" s="234">
        <f t="shared" si="5"/>
        <v>782.5</v>
      </c>
      <c r="P49" s="211">
        <f t="shared" si="6"/>
        <v>65.2</v>
      </c>
    </row>
    <row r="50" spans="2:16" ht="21.95" customHeight="1">
      <c r="B50" s="233">
        <v>2016</v>
      </c>
      <c r="C50" s="210">
        <v>7.8</v>
      </c>
      <c r="D50" s="210">
        <v>54.2</v>
      </c>
      <c r="E50" s="210">
        <v>18.7</v>
      </c>
      <c r="F50" s="210">
        <v>105.1</v>
      </c>
      <c r="G50" s="210">
        <v>146.5</v>
      </c>
      <c r="H50" s="210">
        <v>23.7</v>
      </c>
      <c r="I50" s="210">
        <v>200.2</v>
      </c>
      <c r="J50" s="210">
        <v>5.0999999999999996</v>
      </c>
      <c r="K50" s="210">
        <v>73.400000000000006</v>
      </c>
      <c r="L50" s="210">
        <v>108</v>
      </c>
      <c r="M50" s="210">
        <v>5.6</v>
      </c>
      <c r="N50" s="211">
        <v>44.5</v>
      </c>
      <c r="O50" s="234">
        <f t="shared" si="5"/>
        <v>792.8</v>
      </c>
      <c r="P50" s="211">
        <f t="shared" si="6"/>
        <v>66.099999999999994</v>
      </c>
    </row>
    <row r="51" spans="2:16" ht="21.95" customHeight="1">
      <c r="B51" s="233">
        <v>2017</v>
      </c>
      <c r="C51" s="210">
        <v>14.8</v>
      </c>
      <c r="D51" s="210">
        <v>30.2</v>
      </c>
      <c r="E51" s="210">
        <v>14.4</v>
      </c>
      <c r="F51" s="210">
        <v>57.6</v>
      </c>
      <c r="G51" s="210">
        <v>58.9</v>
      </c>
      <c r="H51" s="210">
        <v>21.1</v>
      </c>
      <c r="I51" s="210">
        <v>278.10000000000002</v>
      </c>
      <c r="J51" s="210">
        <v>210</v>
      </c>
      <c r="K51" s="210">
        <v>90</v>
      </c>
      <c r="L51" s="210">
        <v>26.6</v>
      </c>
      <c r="M51" s="210">
        <v>15.4</v>
      </c>
      <c r="N51" s="211">
        <v>38.6</v>
      </c>
      <c r="O51" s="234">
        <f t="shared" si="5"/>
        <v>855.7</v>
      </c>
      <c r="P51" s="211">
        <f t="shared" si="6"/>
        <v>71.3</v>
      </c>
    </row>
    <row r="52" spans="2:16" ht="21.95" customHeight="1">
      <c r="B52" s="233">
        <v>2018</v>
      </c>
      <c r="C52" s="210">
        <v>15</v>
      </c>
      <c r="D52" s="210">
        <v>33.6</v>
      </c>
      <c r="E52" s="210">
        <v>92</v>
      </c>
      <c r="F52" s="210">
        <v>128.1</v>
      </c>
      <c r="G52" s="210">
        <v>104.5</v>
      </c>
      <c r="H52" s="210">
        <v>71</v>
      </c>
      <c r="I52" s="210">
        <v>262.7</v>
      </c>
      <c r="J52" s="210">
        <v>239.6</v>
      </c>
      <c r="K52" s="210">
        <v>158.19999999999999</v>
      </c>
      <c r="L52" s="210">
        <v>154.69999999999999</v>
      </c>
      <c r="M52" s="210">
        <v>46.7</v>
      </c>
      <c r="N52" s="211">
        <v>31.1</v>
      </c>
      <c r="O52" s="234">
        <f t="shared" si="5"/>
        <v>1337.2</v>
      </c>
      <c r="P52" s="211">
        <f t="shared" si="6"/>
        <v>111.4</v>
      </c>
    </row>
    <row r="53" spans="2:16" ht="21.95" customHeight="1" thickBot="1">
      <c r="B53" s="214">
        <v>2019</v>
      </c>
      <c r="C53" s="215">
        <v>1.9</v>
      </c>
      <c r="D53" s="215">
        <v>17.8</v>
      </c>
      <c r="E53" s="215">
        <v>18.2</v>
      </c>
      <c r="F53" s="215">
        <v>71.900000000000006</v>
      </c>
      <c r="G53" s="215">
        <v>31.3</v>
      </c>
      <c r="H53" s="215">
        <v>56</v>
      </c>
      <c r="I53" s="215">
        <v>149</v>
      </c>
      <c r="J53" s="215">
        <v>131.30000000000001</v>
      </c>
      <c r="K53" s="215">
        <v>118.7</v>
      </c>
      <c r="L53" s="215">
        <v>63.9</v>
      </c>
      <c r="M53" s="215">
        <v>130.6</v>
      </c>
      <c r="N53" s="216">
        <v>31.3</v>
      </c>
      <c r="O53" s="235">
        <f t="shared" si="5"/>
        <v>821.9</v>
      </c>
      <c r="P53" s="216">
        <f t="shared" si="6"/>
        <v>68.5</v>
      </c>
    </row>
    <row r="54" spans="2:16" ht="21.95" customHeight="1">
      <c r="B54" s="236" t="s">
        <v>59</v>
      </c>
      <c r="C54" s="237">
        <f>MAX(C44:C53)</f>
        <v>30.1</v>
      </c>
      <c r="D54" s="237">
        <f t="shared" ref="D54:P54" si="7">MAX(D44:D53)</f>
        <v>73.5</v>
      </c>
      <c r="E54" s="237">
        <f t="shared" si="7"/>
        <v>92</v>
      </c>
      <c r="F54" s="237">
        <f t="shared" si="7"/>
        <v>129.69999999999999</v>
      </c>
      <c r="G54" s="237">
        <f t="shared" si="7"/>
        <v>146.5</v>
      </c>
      <c r="H54" s="237">
        <f t="shared" si="7"/>
        <v>318</v>
      </c>
      <c r="I54" s="237">
        <f t="shared" si="7"/>
        <v>723.1</v>
      </c>
      <c r="J54" s="237">
        <f t="shared" si="7"/>
        <v>450.2</v>
      </c>
      <c r="K54" s="237">
        <f t="shared" si="7"/>
        <v>320</v>
      </c>
      <c r="L54" s="237">
        <f t="shared" si="7"/>
        <v>156</v>
      </c>
      <c r="M54" s="237">
        <f t="shared" si="7"/>
        <v>153.1</v>
      </c>
      <c r="N54" s="222">
        <f t="shared" si="7"/>
        <v>67.099999999999994</v>
      </c>
      <c r="O54" s="238">
        <f t="shared" si="7"/>
        <v>1743</v>
      </c>
      <c r="P54" s="222">
        <f t="shared" si="7"/>
        <v>145.30000000000001</v>
      </c>
    </row>
    <row r="55" spans="2:16" ht="21.95" customHeight="1">
      <c r="B55" s="239" t="s">
        <v>60</v>
      </c>
      <c r="C55" s="210">
        <f>MIN(C44:C53)</f>
        <v>1.9</v>
      </c>
      <c r="D55" s="210">
        <f t="shared" ref="D55:P55" si="8">MIN(D44:D53)</f>
        <v>9.1999999999999993</v>
      </c>
      <c r="E55" s="210">
        <f t="shared" si="8"/>
        <v>14.4</v>
      </c>
      <c r="F55" s="210">
        <f t="shared" si="8"/>
        <v>57.6</v>
      </c>
      <c r="G55" s="210">
        <f t="shared" si="8"/>
        <v>14.6</v>
      </c>
      <c r="H55" s="210">
        <f t="shared" si="8"/>
        <v>21.1</v>
      </c>
      <c r="I55" s="210">
        <f t="shared" si="8"/>
        <v>94.7</v>
      </c>
      <c r="J55" s="210">
        <f t="shared" si="8"/>
        <v>5.0999999999999996</v>
      </c>
      <c r="K55" s="210">
        <f t="shared" si="8"/>
        <v>13.3</v>
      </c>
      <c r="L55" s="210">
        <f t="shared" si="8"/>
        <v>11</v>
      </c>
      <c r="M55" s="210">
        <f t="shared" si="8"/>
        <v>5.6</v>
      </c>
      <c r="N55" s="211">
        <f t="shared" si="8"/>
        <v>12.5</v>
      </c>
      <c r="O55" s="234">
        <f>MIN(O44:O53)</f>
        <v>782.5</v>
      </c>
      <c r="P55" s="211">
        <f t="shared" si="8"/>
        <v>65.2</v>
      </c>
    </row>
    <row r="56" spans="2:16" ht="21.95" customHeight="1" thickBot="1">
      <c r="B56" s="240" t="s">
        <v>40</v>
      </c>
      <c r="C56" s="241">
        <f>ROUND(AVERAGE(C44:C53),1)</f>
        <v>16.7</v>
      </c>
      <c r="D56" s="241">
        <f t="shared" ref="D56:N56" si="9">ROUND(AVERAGE(D44:D53),1)</f>
        <v>34.1</v>
      </c>
      <c r="E56" s="241">
        <f t="shared" si="9"/>
        <v>42.3</v>
      </c>
      <c r="F56" s="241">
        <f t="shared" si="9"/>
        <v>83</v>
      </c>
      <c r="G56" s="241">
        <f t="shared" si="9"/>
        <v>79.599999999999994</v>
      </c>
      <c r="H56" s="241">
        <f t="shared" si="9"/>
        <v>99.7</v>
      </c>
      <c r="I56" s="241">
        <f t="shared" si="9"/>
        <v>270.7</v>
      </c>
      <c r="J56" s="241">
        <f t="shared" si="9"/>
        <v>214.2</v>
      </c>
      <c r="K56" s="241">
        <f t="shared" si="9"/>
        <v>141.69999999999999</v>
      </c>
      <c r="L56" s="241">
        <f t="shared" si="9"/>
        <v>70.8</v>
      </c>
      <c r="M56" s="241">
        <f t="shared" si="9"/>
        <v>61.4</v>
      </c>
      <c r="N56" s="228">
        <f t="shared" si="9"/>
        <v>41.4</v>
      </c>
      <c r="O56" s="242">
        <f>ROUND(AVERAGE(O44:O53),1)</f>
        <v>1155.5999999999999</v>
      </c>
      <c r="P56" s="228">
        <f>ROUND(AVERAGE(P44:P53),1)</f>
        <v>96.3</v>
      </c>
    </row>
    <row r="57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C1" sqref="C1"/>
    </sheetView>
  </sheetViews>
  <sheetFormatPr defaultColWidth="8.88671875" defaultRowHeight="16.5"/>
  <cols>
    <col min="1" max="2" width="8.88671875" style="243"/>
    <col min="3" max="3" width="8" style="243" customWidth="1"/>
    <col min="4" max="16384" width="8.88671875" style="243"/>
  </cols>
  <sheetData>
    <row r="2" spans="2:16">
      <c r="B2" s="243" t="s">
        <v>37</v>
      </c>
    </row>
    <row r="4" spans="2:16">
      <c r="B4" s="244" t="s">
        <v>285</v>
      </c>
    </row>
    <row r="6" spans="2:16" ht="17.25" thickBot="1">
      <c r="O6" s="243" t="s">
        <v>38</v>
      </c>
    </row>
    <row r="7" spans="2:16">
      <c r="B7" s="245"/>
      <c r="C7" s="246" t="s">
        <v>7</v>
      </c>
      <c r="D7" s="246" t="s">
        <v>8</v>
      </c>
      <c r="E7" s="246" t="s">
        <v>9</v>
      </c>
      <c r="F7" s="246" t="s">
        <v>10</v>
      </c>
      <c r="G7" s="246" t="s">
        <v>11</v>
      </c>
      <c r="H7" s="246" t="s">
        <v>12</v>
      </c>
      <c r="I7" s="246" t="s">
        <v>13</v>
      </c>
      <c r="J7" s="246" t="s">
        <v>14</v>
      </c>
      <c r="K7" s="246" t="s">
        <v>15</v>
      </c>
      <c r="L7" s="246" t="s">
        <v>16</v>
      </c>
      <c r="M7" s="246" t="s">
        <v>17</v>
      </c>
      <c r="N7" s="246" t="s">
        <v>18</v>
      </c>
      <c r="O7" s="246" t="s">
        <v>38</v>
      </c>
      <c r="P7" s="247" t="s">
        <v>20</v>
      </c>
    </row>
    <row r="8" spans="2:16">
      <c r="B8" s="248">
        <f>'30Year'!B44</f>
        <v>2010</v>
      </c>
      <c r="C8" s="249">
        <f>'30Year'!C44</f>
        <v>30.1</v>
      </c>
      <c r="D8" s="249">
        <f>'30Year'!D44</f>
        <v>73.5</v>
      </c>
      <c r="E8" s="249">
        <f>'30Year'!E44</f>
        <v>75.900000000000006</v>
      </c>
      <c r="F8" s="249">
        <f>'30Year'!F44</f>
        <v>58.5</v>
      </c>
      <c r="G8" s="249">
        <f>'30Year'!G44</f>
        <v>122.8</v>
      </c>
      <c r="H8" s="249">
        <f>'30Year'!H44</f>
        <v>60.8</v>
      </c>
      <c r="I8" s="249">
        <f>'30Year'!I44</f>
        <v>396.5</v>
      </c>
      <c r="J8" s="249">
        <f>'30Year'!J44</f>
        <v>402.7</v>
      </c>
      <c r="K8" s="249">
        <f>'30Year'!K44</f>
        <v>213.1</v>
      </c>
      <c r="L8" s="249">
        <f>'30Year'!L44</f>
        <v>19.2</v>
      </c>
      <c r="M8" s="249">
        <f>'30Year'!M44</f>
        <v>16.3</v>
      </c>
      <c r="N8" s="249">
        <f>'30Year'!N44</f>
        <v>32.9</v>
      </c>
      <c r="O8" s="249">
        <f>'30Year'!O44</f>
        <v>1502.3</v>
      </c>
      <c r="P8" s="250">
        <f>'30Year'!P44</f>
        <v>125.2</v>
      </c>
    </row>
    <row r="9" spans="2:16">
      <c r="B9" s="248">
        <f>'30Year'!B45</f>
        <v>2011</v>
      </c>
      <c r="C9" s="249">
        <f>'30Year'!C45</f>
        <v>11.1</v>
      </c>
      <c r="D9" s="249">
        <f>'30Year'!D45</f>
        <v>37.5</v>
      </c>
      <c r="E9" s="249">
        <f>'30Year'!E45</f>
        <v>18</v>
      </c>
      <c r="F9" s="249">
        <f>'30Year'!F45</f>
        <v>72.099999999999994</v>
      </c>
      <c r="G9" s="249">
        <f>'30Year'!G45</f>
        <v>115.3</v>
      </c>
      <c r="H9" s="249">
        <f>'30Year'!H45</f>
        <v>318</v>
      </c>
      <c r="I9" s="249">
        <f>'30Year'!I45</f>
        <v>723.1</v>
      </c>
      <c r="J9" s="249">
        <f>'30Year'!J45</f>
        <v>289.39999999999998</v>
      </c>
      <c r="K9" s="249">
        <f>'30Year'!K45</f>
        <v>70.8</v>
      </c>
      <c r="L9" s="249">
        <f>'30Year'!L45</f>
        <v>13.9</v>
      </c>
      <c r="M9" s="249">
        <f>'30Year'!M45</f>
        <v>61.3</v>
      </c>
      <c r="N9" s="249">
        <f>'30Year'!N45</f>
        <v>12.5</v>
      </c>
      <c r="O9" s="249">
        <f>'30Year'!O45</f>
        <v>1743</v>
      </c>
      <c r="P9" s="250">
        <f>'30Year'!P45</f>
        <v>145.30000000000001</v>
      </c>
    </row>
    <row r="10" spans="2:16">
      <c r="B10" s="248">
        <f>'30Year'!B46</f>
        <v>2012</v>
      </c>
      <c r="C10" s="249">
        <f>'30Year'!C46</f>
        <v>24.2</v>
      </c>
      <c r="D10" s="249">
        <f>'30Year'!D46</f>
        <v>9.1999999999999993</v>
      </c>
      <c r="E10" s="249">
        <f>'30Year'!E46</f>
        <v>45</v>
      </c>
      <c r="F10" s="249">
        <f>'30Year'!F46</f>
        <v>68.900000000000006</v>
      </c>
      <c r="G10" s="249">
        <f>'30Year'!G46</f>
        <v>14.6</v>
      </c>
      <c r="H10" s="249">
        <f>'30Year'!H46</f>
        <v>76.8</v>
      </c>
      <c r="I10" s="249">
        <f>'30Year'!I46</f>
        <v>231.1</v>
      </c>
      <c r="J10" s="249">
        <f>'30Year'!J46</f>
        <v>450.2</v>
      </c>
      <c r="K10" s="249">
        <f>'30Year'!K46</f>
        <v>207.7</v>
      </c>
      <c r="L10" s="249">
        <f>'30Year'!L46</f>
        <v>65</v>
      </c>
      <c r="M10" s="249">
        <f>'30Year'!M46</f>
        <v>61.1</v>
      </c>
      <c r="N10" s="249">
        <f>'30Year'!N46</f>
        <v>65.2</v>
      </c>
      <c r="O10" s="249">
        <f>'30Year'!O46</f>
        <v>1319</v>
      </c>
      <c r="P10" s="250">
        <f>'30Year'!P46</f>
        <v>109.9</v>
      </c>
    </row>
    <row r="11" spans="2:16">
      <c r="B11" s="248">
        <f>'30Year'!B47</f>
        <v>2013</v>
      </c>
      <c r="C11" s="249">
        <f>'30Year'!C47</f>
        <v>28.4</v>
      </c>
      <c r="D11" s="249">
        <f>'30Year'!D47</f>
        <v>40.700000000000003</v>
      </c>
      <c r="E11" s="249">
        <f>'30Year'!E47</f>
        <v>53.4</v>
      </c>
      <c r="F11" s="249">
        <f>'30Year'!F47</f>
        <v>68.2</v>
      </c>
      <c r="G11" s="249">
        <f>'30Year'!G47</f>
        <v>116.6</v>
      </c>
      <c r="H11" s="249">
        <f>'30Year'!H47</f>
        <v>159.9</v>
      </c>
      <c r="I11" s="249">
        <f>'30Year'!I47</f>
        <v>267.5</v>
      </c>
      <c r="J11" s="249">
        <f>'30Year'!J47</f>
        <v>214.6</v>
      </c>
      <c r="K11" s="249">
        <f>'30Year'!K47</f>
        <v>320</v>
      </c>
      <c r="L11" s="249">
        <f>'30Year'!L47</f>
        <v>11</v>
      </c>
      <c r="M11" s="249">
        <f>'30Year'!M47</f>
        <v>84.1</v>
      </c>
      <c r="N11" s="249">
        <f>'30Year'!N47</f>
        <v>26.4</v>
      </c>
      <c r="O11" s="249">
        <f>'30Year'!O47</f>
        <v>1390.8</v>
      </c>
      <c r="P11" s="250">
        <f>'30Year'!P47</f>
        <v>115.9</v>
      </c>
    </row>
    <row r="12" spans="2:16">
      <c r="B12" s="248">
        <f>'30Year'!B48</f>
        <v>2014</v>
      </c>
      <c r="C12" s="249">
        <f>'30Year'!C48</f>
        <v>3.4</v>
      </c>
      <c r="D12" s="249">
        <f>'30Year'!D48</f>
        <v>20.5</v>
      </c>
      <c r="E12" s="249">
        <f>'30Year'!E48</f>
        <v>56.3</v>
      </c>
      <c r="F12" s="249">
        <f>'30Year'!F48</f>
        <v>70</v>
      </c>
      <c r="G12" s="249">
        <f>'30Year'!G48</f>
        <v>47.1</v>
      </c>
      <c r="H12" s="249">
        <f>'30Year'!H48</f>
        <v>125.8</v>
      </c>
      <c r="I12" s="249">
        <f>'30Year'!I48</f>
        <v>104</v>
      </c>
      <c r="J12" s="249">
        <f>'30Year'!J48</f>
        <v>168.5</v>
      </c>
      <c r="K12" s="249">
        <f>'30Year'!K48</f>
        <v>152</v>
      </c>
      <c r="L12" s="249">
        <f>'30Year'!L48</f>
        <v>156</v>
      </c>
      <c r="M12" s="249">
        <f>'30Year'!M48</f>
        <v>39.9</v>
      </c>
      <c r="N12" s="249">
        <f>'30Year'!N48</f>
        <v>67.099999999999994</v>
      </c>
      <c r="O12" s="249">
        <f>'30Year'!O48</f>
        <v>1010.6</v>
      </c>
      <c r="P12" s="250">
        <f>'30Year'!P48</f>
        <v>84.2</v>
      </c>
    </row>
    <row r="13" spans="2:16">
      <c r="B13" s="248">
        <f>'30Year'!B49</f>
        <v>2015</v>
      </c>
      <c r="C13" s="249">
        <f>'30Year'!C49</f>
        <v>29.9</v>
      </c>
      <c r="D13" s="249">
        <f>'30Year'!D49</f>
        <v>23.4</v>
      </c>
      <c r="E13" s="249">
        <f>'30Year'!E49</f>
        <v>30.9</v>
      </c>
      <c r="F13" s="249">
        <f>'30Year'!F49</f>
        <v>129.69999999999999</v>
      </c>
      <c r="G13" s="249">
        <f>'30Year'!G49</f>
        <v>38.799999999999997</v>
      </c>
      <c r="H13" s="249">
        <f>'30Year'!H49</f>
        <v>83.9</v>
      </c>
      <c r="I13" s="249">
        <f>'30Year'!I49</f>
        <v>94.7</v>
      </c>
      <c r="J13" s="249">
        <f>'30Year'!J49</f>
        <v>30.2</v>
      </c>
      <c r="K13" s="249">
        <f>'30Year'!K49</f>
        <v>13.3</v>
      </c>
      <c r="L13" s="249">
        <f>'30Year'!L49</f>
        <v>90</v>
      </c>
      <c r="M13" s="249">
        <f>'30Year'!M49</f>
        <v>153.1</v>
      </c>
      <c r="N13" s="249">
        <f>'30Year'!N49</f>
        <v>64.599999999999994</v>
      </c>
      <c r="O13" s="249">
        <f>'30Year'!O49</f>
        <v>782.5</v>
      </c>
      <c r="P13" s="250">
        <f>'30Year'!P49</f>
        <v>65.2</v>
      </c>
    </row>
    <row r="14" spans="2:16">
      <c r="B14" s="248">
        <f>'30Year'!B50</f>
        <v>2016</v>
      </c>
      <c r="C14" s="249">
        <f>'30Year'!C50</f>
        <v>7.8</v>
      </c>
      <c r="D14" s="249">
        <f>'30Year'!D50</f>
        <v>54.2</v>
      </c>
      <c r="E14" s="249">
        <f>'30Year'!E50</f>
        <v>18.7</v>
      </c>
      <c r="F14" s="249">
        <f>'30Year'!F50</f>
        <v>105.1</v>
      </c>
      <c r="G14" s="249">
        <f>'30Year'!G50</f>
        <v>146.5</v>
      </c>
      <c r="H14" s="249">
        <f>'30Year'!H50</f>
        <v>23.7</v>
      </c>
      <c r="I14" s="249">
        <f>'30Year'!I50</f>
        <v>200.2</v>
      </c>
      <c r="J14" s="249">
        <f>'30Year'!J50</f>
        <v>5.0999999999999996</v>
      </c>
      <c r="K14" s="249">
        <f>'30Year'!K50</f>
        <v>73.400000000000006</v>
      </c>
      <c r="L14" s="249">
        <f>'30Year'!L50</f>
        <v>108</v>
      </c>
      <c r="M14" s="249">
        <f>'30Year'!M50</f>
        <v>5.6</v>
      </c>
      <c r="N14" s="249">
        <f>'30Year'!N50</f>
        <v>44.5</v>
      </c>
      <c r="O14" s="249">
        <f>'30Year'!O50</f>
        <v>792.8</v>
      </c>
      <c r="P14" s="250">
        <f>'30Year'!P50</f>
        <v>66.099999999999994</v>
      </c>
    </row>
    <row r="15" spans="2:16">
      <c r="B15" s="248">
        <f>'30Year'!B51</f>
        <v>2017</v>
      </c>
      <c r="C15" s="249">
        <f>'30Year'!C51</f>
        <v>14.8</v>
      </c>
      <c r="D15" s="249">
        <f>'30Year'!D51</f>
        <v>30.2</v>
      </c>
      <c r="E15" s="249">
        <f>'30Year'!E51</f>
        <v>14.4</v>
      </c>
      <c r="F15" s="249">
        <f>'30Year'!F51</f>
        <v>57.6</v>
      </c>
      <c r="G15" s="249">
        <f>'30Year'!G51</f>
        <v>58.9</v>
      </c>
      <c r="H15" s="249">
        <f>'30Year'!H51</f>
        <v>21.1</v>
      </c>
      <c r="I15" s="249">
        <f>'30Year'!I51</f>
        <v>278.10000000000002</v>
      </c>
      <c r="J15" s="249">
        <f>'30Year'!J51</f>
        <v>210</v>
      </c>
      <c r="K15" s="249">
        <f>'30Year'!K51</f>
        <v>90</v>
      </c>
      <c r="L15" s="249">
        <f>'30Year'!L51</f>
        <v>26.6</v>
      </c>
      <c r="M15" s="249">
        <f>'30Year'!M51</f>
        <v>15.4</v>
      </c>
      <c r="N15" s="249">
        <f>'30Year'!N51</f>
        <v>38.6</v>
      </c>
      <c r="O15" s="249">
        <f>'30Year'!O51</f>
        <v>855.7</v>
      </c>
      <c r="P15" s="250">
        <f>'30Year'!P51</f>
        <v>71.3</v>
      </c>
    </row>
    <row r="16" spans="2:16">
      <c r="B16" s="248">
        <f>'30Year'!B52</f>
        <v>2018</v>
      </c>
      <c r="C16" s="249">
        <f>'30Year'!C52</f>
        <v>15</v>
      </c>
      <c r="D16" s="249">
        <f>'30Year'!D52</f>
        <v>33.6</v>
      </c>
      <c r="E16" s="249">
        <f>'30Year'!E52</f>
        <v>92</v>
      </c>
      <c r="F16" s="249">
        <f>'30Year'!F52</f>
        <v>128.1</v>
      </c>
      <c r="G16" s="249">
        <f>'30Year'!G52</f>
        <v>104.5</v>
      </c>
      <c r="H16" s="249">
        <f>'30Year'!H52</f>
        <v>71</v>
      </c>
      <c r="I16" s="249">
        <f>'30Year'!I52</f>
        <v>262.7</v>
      </c>
      <c r="J16" s="249">
        <f>'30Year'!J52</f>
        <v>239.6</v>
      </c>
      <c r="K16" s="249">
        <f>'30Year'!K52</f>
        <v>158.19999999999999</v>
      </c>
      <c r="L16" s="249">
        <f>'30Year'!L52</f>
        <v>154.69999999999999</v>
      </c>
      <c r="M16" s="249">
        <f>'30Year'!M52</f>
        <v>46.7</v>
      </c>
      <c r="N16" s="249">
        <f>'30Year'!N52</f>
        <v>31.1</v>
      </c>
      <c r="O16" s="249">
        <f>'30Year'!O52</f>
        <v>1337.2</v>
      </c>
      <c r="P16" s="250">
        <f>'30Year'!P52</f>
        <v>111.4</v>
      </c>
    </row>
    <row r="17" spans="2:16">
      <c r="B17" s="248">
        <f>'30Year'!B53</f>
        <v>2019</v>
      </c>
      <c r="C17" s="249">
        <f>'30Year'!C53</f>
        <v>1.9</v>
      </c>
      <c r="D17" s="249">
        <f>'30Year'!D53</f>
        <v>17.8</v>
      </c>
      <c r="E17" s="249">
        <f>'30Year'!E53</f>
        <v>18.2</v>
      </c>
      <c r="F17" s="249">
        <f>'30Year'!F53</f>
        <v>71.900000000000006</v>
      </c>
      <c r="G17" s="249">
        <f>'30Year'!G53</f>
        <v>31.3</v>
      </c>
      <c r="H17" s="249">
        <f>'30Year'!H53</f>
        <v>56</v>
      </c>
      <c r="I17" s="249">
        <f>'30Year'!I53</f>
        <v>149</v>
      </c>
      <c r="J17" s="249">
        <f>'30Year'!J53</f>
        <v>131.30000000000001</v>
      </c>
      <c r="K17" s="249">
        <f>'30Year'!K53</f>
        <v>118.7</v>
      </c>
      <c r="L17" s="249">
        <f>'30Year'!L53</f>
        <v>63.9</v>
      </c>
      <c r="M17" s="249">
        <f>'30Year'!M53</f>
        <v>130.6</v>
      </c>
      <c r="N17" s="249">
        <f>'30Year'!N53</f>
        <v>31.3</v>
      </c>
      <c r="O17" s="249">
        <f>'30Year'!O53</f>
        <v>821.9</v>
      </c>
      <c r="P17" s="250">
        <f>'30Year'!P53</f>
        <v>68.5</v>
      </c>
    </row>
    <row r="18" spans="2:16">
      <c r="B18" s="251" t="s">
        <v>20</v>
      </c>
      <c r="C18" s="252">
        <f>'30Year'!C56</f>
        <v>16.7</v>
      </c>
      <c r="D18" s="252">
        <f>'30Year'!D56</f>
        <v>34.1</v>
      </c>
      <c r="E18" s="252">
        <f>'30Year'!E56</f>
        <v>42.3</v>
      </c>
      <c r="F18" s="252">
        <f>'30Year'!F56</f>
        <v>83</v>
      </c>
      <c r="G18" s="252">
        <f>'30Year'!G56</f>
        <v>79.599999999999994</v>
      </c>
      <c r="H18" s="252">
        <f>'30Year'!H56</f>
        <v>99.7</v>
      </c>
      <c r="I18" s="252">
        <f>'30Year'!I56</f>
        <v>270.7</v>
      </c>
      <c r="J18" s="252">
        <f>'30Year'!J56</f>
        <v>214.2</v>
      </c>
      <c r="K18" s="252">
        <f>'30Year'!K56</f>
        <v>141.69999999999999</v>
      </c>
      <c r="L18" s="252">
        <f>'30Year'!L56</f>
        <v>70.8</v>
      </c>
      <c r="M18" s="252">
        <f>'30Year'!M56</f>
        <v>61.4</v>
      </c>
      <c r="N18" s="252">
        <f>'30Year'!N56</f>
        <v>41.4</v>
      </c>
      <c r="O18" s="252">
        <f>'30Year'!O56</f>
        <v>1155.5999999999999</v>
      </c>
      <c r="P18" s="253">
        <f>'30Year'!P56</f>
        <v>96.3</v>
      </c>
    </row>
    <row r="19" spans="2:16" ht="17.25" thickBot="1">
      <c r="B19" s="254" t="s">
        <v>23</v>
      </c>
      <c r="C19" s="255">
        <f>'30Year'!C38</f>
        <v>22.4</v>
      </c>
      <c r="D19" s="255">
        <f>'30Year'!D38</f>
        <v>30.6</v>
      </c>
      <c r="E19" s="255">
        <f>'30Year'!E38</f>
        <v>43.6</v>
      </c>
      <c r="F19" s="255">
        <f>'30Year'!F38</f>
        <v>75.5</v>
      </c>
      <c r="G19" s="255">
        <f>'30Year'!G38</f>
        <v>87.9</v>
      </c>
      <c r="H19" s="255">
        <f>'30Year'!H38</f>
        <v>139.4</v>
      </c>
      <c r="I19" s="255">
        <f>'30Year'!I38</f>
        <v>246.5</v>
      </c>
      <c r="J19" s="255">
        <f>'30Year'!J38</f>
        <v>266.39999999999998</v>
      </c>
      <c r="K19" s="255">
        <f>'30Year'!K38</f>
        <v>134.6</v>
      </c>
      <c r="L19" s="255">
        <f>'30Year'!L38</f>
        <v>59.5</v>
      </c>
      <c r="M19" s="255">
        <f>'30Year'!M38</f>
        <v>54.3</v>
      </c>
      <c r="N19" s="255">
        <f>'30Year'!N38</f>
        <v>35.700000000000003</v>
      </c>
      <c r="O19" s="255">
        <f>'30Year'!O38</f>
        <v>1196.4000000000001</v>
      </c>
      <c r="P19" s="256">
        <f>'30Year'!P38</f>
        <v>99.7</v>
      </c>
    </row>
    <row r="21" spans="2:16" ht="17.25" thickBot="1"/>
    <row r="22" spans="2:16">
      <c r="B22" s="245" t="s">
        <v>39</v>
      </c>
      <c r="C22" s="247" t="s">
        <v>280</v>
      </c>
    </row>
    <row r="23" spans="2:16">
      <c r="B23" s="248">
        <f>B8</f>
        <v>2010</v>
      </c>
      <c r="C23" s="250">
        <f>O8</f>
        <v>1502.3</v>
      </c>
    </row>
    <row r="24" spans="2:16">
      <c r="B24" s="248">
        <f t="shared" ref="B24:B33" si="0">B9</f>
        <v>2011</v>
      </c>
      <c r="C24" s="250">
        <f t="shared" ref="C24:C33" si="1">O9</f>
        <v>1743</v>
      </c>
    </row>
    <row r="25" spans="2:16">
      <c r="B25" s="248">
        <f t="shared" si="0"/>
        <v>2012</v>
      </c>
      <c r="C25" s="250">
        <f t="shared" si="1"/>
        <v>1319</v>
      </c>
    </row>
    <row r="26" spans="2:16">
      <c r="B26" s="248">
        <f t="shared" si="0"/>
        <v>2013</v>
      </c>
      <c r="C26" s="250">
        <f t="shared" si="1"/>
        <v>1390.8</v>
      </c>
    </row>
    <row r="27" spans="2:16">
      <c r="B27" s="248">
        <f t="shared" si="0"/>
        <v>2014</v>
      </c>
      <c r="C27" s="250">
        <f t="shared" si="1"/>
        <v>1010.6</v>
      </c>
    </row>
    <row r="28" spans="2:16">
      <c r="B28" s="248">
        <f t="shared" si="0"/>
        <v>2015</v>
      </c>
      <c r="C28" s="250">
        <f t="shared" si="1"/>
        <v>782.5</v>
      </c>
    </row>
    <row r="29" spans="2:16">
      <c r="B29" s="248">
        <f t="shared" si="0"/>
        <v>2016</v>
      </c>
      <c r="C29" s="250">
        <f t="shared" si="1"/>
        <v>792.8</v>
      </c>
    </row>
    <row r="30" spans="2:16">
      <c r="B30" s="248">
        <f t="shared" si="0"/>
        <v>2017</v>
      </c>
      <c r="C30" s="250">
        <f t="shared" si="1"/>
        <v>855.7</v>
      </c>
    </row>
    <row r="31" spans="2:16">
      <c r="B31" s="248">
        <f t="shared" si="0"/>
        <v>2018</v>
      </c>
      <c r="C31" s="250">
        <f t="shared" si="1"/>
        <v>1337.2</v>
      </c>
    </row>
    <row r="32" spans="2:16">
      <c r="B32" s="248">
        <f t="shared" si="0"/>
        <v>2019</v>
      </c>
      <c r="C32" s="250">
        <f t="shared" si="1"/>
        <v>821.9</v>
      </c>
    </row>
    <row r="33" spans="2:3" ht="17.25" thickBot="1">
      <c r="B33" s="257" t="str">
        <f t="shared" si="0"/>
        <v>평균</v>
      </c>
      <c r="C33" s="258">
        <f t="shared" si="1"/>
        <v>1155.5999999999999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C1" sqref="C1"/>
    </sheetView>
  </sheetViews>
  <sheetFormatPr defaultColWidth="8.88671875" defaultRowHeight="16.5"/>
  <cols>
    <col min="1" max="2" width="8.88671875" style="243"/>
    <col min="3" max="14" width="9" style="243" bestFit="1" customWidth="1"/>
    <col min="15" max="15" width="9.33203125" style="243" bestFit="1" customWidth="1"/>
    <col min="16" max="16" width="9" style="243" bestFit="1" customWidth="1"/>
    <col min="17" max="16384" width="8.88671875" style="243"/>
  </cols>
  <sheetData>
    <row r="1" spans="2:15">
      <c r="B1" s="243" t="s">
        <v>41</v>
      </c>
    </row>
    <row r="2" spans="2:15" ht="17.25" thickBot="1"/>
    <row r="3" spans="2:15" s="262" customFormat="1" ht="18" customHeight="1">
      <c r="B3" s="259"/>
      <c r="C3" s="260" t="s">
        <v>42</v>
      </c>
      <c r="D3" s="260" t="s">
        <v>43</v>
      </c>
      <c r="E3" s="260" t="s">
        <v>44</v>
      </c>
      <c r="F3" s="260" t="s">
        <v>45</v>
      </c>
      <c r="G3" s="260" t="s">
        <v>46</v>
      </c>
      <c r="H3" s="260" t="s">
        <v>12</v>
      </c>
      <c r="I3" s="260" t="s">
        <v>13</v>
      </c>
      <c r="J3" s="260" t="s">
        <v>14</v>
      </c>
      <c r="K3" s="260" t="s">
        <v>15</v>
      </c>
      <c r="L3" s="260" t="s">
        <v>16</v>
      </c>
      <c r="M3" s="260" t="s">
        <v>17</v>
      </c>
      <c r="N3" s="260" t="s">
        <v>18</v>
      </c>
      <c r="O3" s="261" t="s">
        <v>40</v>
      </c>
    </row>
    <row r="4" spans="2:15" ht="18" customHeight="1" thickBot="1">
      <c r="B4" s="263" t="s">
        <v>40</v>
      </c>
      <c r="C4" s="264">
        <f>'30Year'!C56</f>
        <v>16.7</v>
      </c>
      <c r="D4" s="264">
        <f>'30Year'!D56</f>
        <v>34.1</v>
      </c>
      <c r="E4" s="264">
        <f>'30Year'!E56</f>
        <v>42.3</v>
      </c>
      <c r="F4" s="264">
        <f>'30Year'!F56</f>
        <v>83</v>
      </c>
      <c r="G4" s="264">
        <f>'30Year'!G56</f>
        <v>79.599999999999994</v>
      </c>
      <c r="H4" s="264">
        <f>'30Year'!H56</f>
        <v>99.7</v>
      </c>
      <c r="I4" s="264">
        <f>'30Year'!I56</f>
        <v>270.7</v>
      </c>
      <c r="J4" s="264">
        <f>'30Year'!J56</f>
        <v>214.2</v>
      </c>
      <c r="K4" s="264">
        <f>'30Year'!K56</f>
        <v>141.69999999999999</v>
      </c>
      <c r="L4" s="264">
        <f>'30Year'!L56</f>
        <v>70.8</v>
      </c>
      <c r="M4" s="264">
        <f>'30Year'!M56</f>
        <v>61.4</v>
      </c>
      <c r="N4" s="264">
        <f>'30Year'!N56</f>
        <v>41.4</v>
      </c>
      <c r="O4" s="265">
        <f>'30Year'!P56</f>
        <v>96.3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96"/>
  <sheetViews>
    <sheetView topLeftCell="A36" zoomScaleNormal="100" workbookViewId="0">
      <selection activeCell="F84" sqref="F84"/>
    </sheetView>
  </sheetViews>
  <sheetFormatPr defaultColWidth="8.88671875" defaultRowHeight="16.5"/>
  <cols>
    <col min="1" max="1" width="17" style="243" customWidth="1"/>
    <col min="2" max="2" width="19.5546875" style="243" customWidth="1"/>
    <col min="3" max="16" width="10.109375" style="243" customWidth="1"/>
    <col min="17" max="16384" width="8.88671875" style="243"/>
  </cols>
  <sheetData>
    <row r="2" spans="2:16">
      <c r="B2" s="244" t="s">
        <v>289</v>
      </c>
    </row>
    <row r="3" spans="2:16" ht="17.25" thickBot="1"/>
    <row r="4" spans="2:16" ht="23.25" customHeight="1">
      <c r="B4" s="266"/>
      <c r="C4" s="267" t="s">
        <v>7</v>
      </c>
      <c r="D4" s="268" t="s">
        <v>8</v>
      </c>
      <c r="E4" s="268" t="s">
        <v>9</v>
      </c>
      <c r="F4" s="268" t="s">
        <v>10</v>
      </c>
      <c r="G4" s="268" t="s">
        <v>11</v>
      </c>
      <c r="H4" s="268" t="s">
        <v>12</v>
      </c>
      <c r="I4" s="268" t="s">
        <v>13</v>
      </c>
      <c r="J4" s="268" t="s">
        <v>14</v>
      </c>
      <c r="K4" s="268" t="s">
        <v>15</v>
      </c>
      <c r="L4" s="268" t="s">
        <v>16</v>
      </c>
      <c r="M4" s="268" t="s">
        <v>17</v>
      </c>
      <c r="N4" s="269" t="s">
        <v>18</v>
      </c>
      <c r="O4" s="267" t="s">
        <v>19</v>
      </c>
      <c r="P4" s="269" t="s">
        <v>20</v>
      </c>
    </row>
    <row r="5" spans="2:16" ht="22.15" customHeight="1">
      <c r="B5" s="270">
        <f>'30Year'!B44</f>
        <v>2010</v>
      </c>
      <c r="C5" s="271">
        <f>'30Year'!C44</f>
        <v>30.1</v>
      </c>
      <c r="D5" s="249">
        <f>'30Year'!D44</f>
        <v>73.5</v>
      </c>
      <c r="E5" s="249">
        <f>'30Year'!E44</f>
        <v>75.900000000000006</v>
      </c>
      <c r="F5" s="249">
        <f>'30Year'!F44</f>
        <v>58.5</v>
      </c>
      <c r="G5" s="249">
        <f>'30Year'!G44</f>
        <v>122.8</v>
      </c>
      <c r="H5" s="249">
        <f>'30Year'!H44</f>
        <v>60.8</v>
      </c>
      <c r="I5" s="249">
        <f>'30Year'!I44</f>
        <v>396.5</v>
      </c>
      <c r="J5" s="249">
        <f>'30Year'!J44</f>
        <v>402.7</v>
      </c>
      <c r="K5" s="249">
        <f>'30Year'!K44</f>
        <v>213.1</v>
      </c>
      <c r="L5" s="249">
        <f>'30Year'!L44</f>
        <v>19.2</v>
      </c>
      <c r="M5" s="249">
        <f>'30Year'!M44</f>
        <v>16.3</v>
      </c>
      <c r="N5" s="250">
        <f>'30Year'!N44</f>
        <v>32.9</v>
      </c>
      <c r="O5" s="271">
        <f>'30Year'!O44</f>
        <v>1502.3</v>
      </c>
      <c r="P5" s="250">
        <f>'30Year'!P44</f>
        <v>125.2</v>
      </c>
    </row>
    <row r="6" spans="2:16" ht="22.15" customHeight="1">
      <c r="B6" s="270">
        <f>'30Year'!B45</f>
        <v>2011</v>
      </c>
      <c r="C6" s="271">
        <f>'30Year'!C45</f>
        <v>11.1</v>
      </c>
      <c r="D6" s="249">
        <f>'30Year'!D45</f>
        <v>37.5</v>
      </c>
      <c r="E6" s="249">
        <f>'30Year'!E45</f>
        <v>18</v>
      </c>
      <c r="F6" s="249">
        <f>'30Year'!F45</f>
        <v>72.099999999999994</v>
      </c>
      <c r="G6" s="249">
        <f>'30Year'!G45</f>
        <v>115.3</v>
      </c>
      <c r="H6" s="249">
        <f>'30Year'!H45</f>
        <v>318</v>
      </c>
      <c r="I6" s="249">
        <f>'30Year'!I45</f>
        <v>723.1</v>
      </c>
      <c r="J6" s="249">
        <f>'30Year'!J45</f>
        <v>289.39999999999998</v>
      </c>
      <c r="K6" s="249">
        <f>'30Year'!K45</f>
        <v>70.8</v>
      </c>
      <c r="L6" s="249">
        <f>'30Year'!L45</f>
        <v>13.9</v>
      </c>
      <c r="M6" s="249">
        <f>'30Year'!M45</f>
        <v>61.3</v>
      </c>
      <c r="N6" s="250">
        <f>'30Year'!N45</f>
        <v>12.5</v>
      </c>
      <c r="O6" s="271">
        <f>'30Year'!O45</f>
        <v>1743</v>
      </c>
      <c r="P6" s="250">
        <f>'30Year'!P45</f>
        <v>145.30000000000001</v>
      </c>
    </row>
    <row r="7" spans="2:16" ht="22.15" customHeight="1">
      <c r="B7" s="270">
        <f>'30Year'!B46</f>
        <v>2012</v>
      </c>
      <c r="C7" s="271">
        <f>'30Year'!C46</f>
        <v>24.2</v>
      </c>
      <c r="D7" s="249">
        <f>'30Year'!D46</f>
        <v>9.1999999999999993</v>
      </c>
      <c r="E7" s="249">
        <f>'30Year'!E46</f>
        <v>45</v>
      </c>
      <c r="F7" s="249">
        <f>'30Year'!F46</f>
        <v>68.900000000000006</v>
      </c>
      <c r="G7" s="249">
        <f>'30Year'!G46</f>
        <v>14.6</v>
      </c>
      <c r="H7" s="249">
        <f>'30Year'!H46</f>
        <v>76.8</v>
      </c>
      <c r="I7" s="249">
        <f>'30Year'!I46</f>
        <v>231.1</v>
      </c>
      <c r="J7" s="249">
        <f>'30Year'!J46</f>
        <v>450.2</v>
      </c>
      <c r="K7" s="249">
        <f>'30Year'!K46</f>
        <v>207.7</v>
      </c>
      <c r="L7" s="249">
        <f>'30Year'!L46</f>
        <v>65</v>
      </c>
      <c r="M7" s="249">
        <f>'30Year'!M46</f>
        <v>61.1</v>
      </c>
      <c r="N7" s="250">
        <f>'30Year'!N46</f>
        <v>65.2</v>
      </c>
      <c r="O7" s="271">
        <f>'30Year'!O46</f>
        <v>1319</v>
      </c>
      <c r="P7" s="250">
        <f>'30Year'!P46</f>
        <v>109.9</v>
      </c>
    </row>
    <row r="8" spans="2:16" ht="22.15" customHeight="1">
      <c r="B8" s="270">
        <f>'30Year'!B47</f>
        <v>2013</v>
      </c>
      <c r="C8" s="271">
        <f>'30Year'!C47</f>
        <v>28.4</v>
      </c>
      <c r="D8" s="249">
        <f>'30Year'!D47</f>
        <v>40.700000000000003</v>
      </c>
      <c r="E8" s="249">
        <f>'30Year'!E47</f>
        <v>53.4</v>
      </c>
      <c r="F8" s="249">
        <f>'30Year'!F47</f>
        <v>68.2</v>
      </c>
      <c r="G8" s="249">
        <f>'30Year'!G47</f>
        <v>116.6</v>
      </c>
      <c r="H8" s="249">
        <f>'30Year'!H47</f>
        <v>159.9</v>
      </c>
      <c r="I8" s="249">
        <f>'30Year'!I47</f>
        <v>267.5</v>
      </c>
      <c r="J8" s="249">
        <f>'30Year'!J47</f>
        <v>214.6</v>
      </c>
      <c r="K8" s="249">
        <f>'30Year'!K47</f>
        <v>320</v>
      </c>
      <c r="L8" s="249">
        <f>'30Year'!L47</f>
        <v>11</v>
      </c>
      <c r="M8" s="249">
        <f>'30Year'!M47</f>
        <v>84.1</v>
      </c>
      <c r="N8" s="250">
        <f>'30Year'!N47</f>
        <v>26.4</v>
      </c>
      <c r="O8" s="271">
        <f>'30Year'!O47</f>
        <v>1390.8</v>
      </c>
      <c r="P8" s="250">
        <f>'30Year'!P47</f>
        <v>115.9</v>
      </c>
    </row>
    <row r="9" spans="2:16" ht="22.15" customHeight="1">
      <c r="B9" s="270">
        <f>'30Year'!B48</f>
        <v>2014</v>
      </c>
      <c r="C9" s="271">
        <f>'30Year'!C48</f>
        <v>3.4</v>
      </c>
      <c r="D9" s="249">
        <f>'30Year'!D48</f>
        <v>20.5</v>
      </c>
      <c r="E9" s="249">
        <f>'30Year'!E48</f>
        <v>56.3</v>
      </c>
      <c r="F9" s="249">
        <f>'30Year'!F48</f>
        <v>70</v>
      </c>
      <c r="G9" s="249">
        <f>'30Year'!G48</f>
        <v>47.1</v>
      </c>
      <c r="H9" s="249">
        <f>'30Year'!H48</f>
        <v>125.8</v>
      </c>
      <c r="I9" s="249">
        <f>'30Year'!I48</f>
        <v>104</v>
      </c>
      <c r="J9" s="249">
        <f>'30Year'!J48</f>
        <v>168.5</v>
      </c>
      <c r="K9" s="249">
        <f>'30Year'!K48</f>
        <v>152</v>
      </c>
      <c r="L9" s="249">
        <f>'30Year'!L48</f>
        <v>156</v>
      </c>
      <c r="M9" s="249">
        <f>'30Year'!M48</f>
        <v>39.9</v>
      </c>
      <c r="N9" s="250">
        <f>'30Year'!N48</f>
        <v>67.099999999999994</v>
      </c>
      <c r="O9" s="271">
        <f>'30Year'!O48</f>
        <v>1010.6</v>
      </c>
      <c r="P9" s="250">
        <f>'30Year'!P48</f>
        <v>84.2</v>
      </c>
    </row>
    <row r="10" spans="2:16" ht="22.15" customHeight="1">
      <c r="B10" s="270">
        <f>'30Year'!B49</f>
        <v>2015</v>
      </c>
      <c r="C10" s="271">
        <f>'30Year'!C49</f>
        <v>29.9</v>
      </c>
      <c r="D10" s="249">
        <f>'30Year'!D49</f>
        <v>23.4</v>
      </c>
      <c r="E10" s="249">
        <f>'30Year'!E49</f>
        <v>30.9</v>
      </c>
      <c r="F10" s="249">
        <f>'30Year'!F49</f>
        <v>129.69999999999999</v>
      </c>
      <c r="G10" s="249">
        <f>'30Year'!G49</f>
        <v>38.799999999999997</v>
      </c>
      <c r="H10" s="249">
        <f>'30Year'!H49</f>
        <v>83.9</v>
      </c>
      <c r="I10" s="249">
        <f>'30Year'!I49</f>
        <v>94.7</v>
      </c>
      <c r="J10" s="249">
        <f>'30Year'!J49</f>
        <v>30.2</v>
      </c>
      <c r="K10" s="249">
        <f>'30Year'!K49</f>
        <v>13.3</v>
      </c>
      <c r="L10" s="249">
        <f>'30Year'!L49</f>
        <v>90</v>
      </c>
      <c r="M10" s="249">
        <f>'30Year'!M49</f>
        <v>153.1</v>
      </c>
      <c r="N10" s="250">
        <f>'30Year'!N49</f>
        <v>64.599999999999994</v>
      </c>
      <c r="O10" s="271">
        <f>'30Year'!O49</f>
        <v>782.5</v>
      </c>
      <c r="P10" s="250">
        <f>'30Year'!P49</f>
        <v>65.2</v>
      </c>
    </row>
    <row r="11" spans="2:16" ht="22.15" customHeight="1">
      <c r="B11" s="270">
        <f>'30Year'!B50</f>
        <v>2016</v>
      </c>
      <c r="C11" s="271">
        <f>'30Year'!C50</f>
        <v>7.8</v>
      </c>
      <c r="D11" s="249">
        <f>'30Year'!D50</f>
        <v>54.2</v>
      </c>
      <c r="E11" s="249">
        <f>'30Year'!E50</f>
        <v>18.7</v>
      </c>
      <c r="F11" s="249">
        <f>'30Year'!F50</f>
        <v>105.1</v>
      </c>
      <c r="G11" s="249">
        <f>'30Year'!G50</f>
        <v>146.5</v>
      </c>
      <c r="H11" s="249">
        <f>'30Year'!H50</f>
        <v>23.7</v>
      </c>
      <c r="I11" s="249">
        <f>'30Year'!I50</f>
        <v>200.2</v>
      </c>
      <c r="J11" s="249">
        <f>'30Year'!J50</f>
        <v>5.0999999999999996</v>
      </c>
      <c r="K11" s="249">
        <f>'30Year'!K50</f>
        <v>73.400000000000006</v>
      </c>
      <c r="L11" s="249">
        <f>'30Year'!L50</f>
        <v>108</v>
      </c>
      <c r="M11" s="249">
        <f>'30Year'!M50</f>
        <v>5.6</v>
      </c>
      <c r="N11" s="250">
        <f>'30Year'!N50</f>
        <v>44.5</v>
      </c>
      <c r="O11" s="271">
        <f>'30Year'!O50</f>
        <v>792.8</v>
      </c>
      <c r="P11" s="250">
        <f>'30Year'!P50</f>
        <v>66.099999999999994</v>
      </c>
    </row>
    <row r="12" spans="2:16" ht="22.15" customHeight="1">
      <c r="B12" s="270">
        <f>'30Year'!B51</f>
        <v>2017</v>
      </c>
      <c r="C12" s="271">
        <f>'30Year'!C51</f>
        <v>14.8</v>
      </c>
      <c r="D12" s="249">
        <f>'30Year'!D51</f>
        <v>30.2</v>
      </c>
      <c r="E12" s="249">
        <f>'30Year'!E51</f>
        <v>14.4</v>
      </c>
      <c r="F12" s="249">
        <f>'30Year'!F51</f>
        <v>57.6</v>
      </c>
      <c r="G12" s="249">
        <f>'30Year'!G51</f>
        <v>58.9</v>
      </c>
      <c r="H12" s="249">
        <f>'30Year'!H51</f>
        <v>21.1</v>
      </c>
      <c r="I12" s="249">
        <f>'30Year'!I51</f>
        <v>278.10000000000002</v>
      </c>
      <c r="J12" s="249">
        <f>'30Year'!J51</f>
        <v>210</v>
      </c>
      <c r="K12" s="249">
        <f>'30Year'!K51</f>
        <v>90</v>
      </c>
      <c r="L12" s="249">
        <f>'30Year'!L51</f>
        <v>26.6</v>
      </c>
      <c r="M12" s="249">
        <f>'30Year'!M51</f>
        <v>15.4</v>
      </c>
      <c r="N12" s="250">
        <f>'30Year'!N51</f>
        <v>38.6</v>
      </c>
      <c r="O12" s="271">
        <f>'30Year'!O51</f>
        <v>855.7</v>
      </c>
      <c r="P12" s="250">
        <f>'30Year'!P51</f>
        <v>71.3</v>
      </c>
    </row>
    <row r="13" spans="2:16" ht="22.15" customHeight="1">
      <c r="B13" s="270">
        <f>'30Year'!B52</f>
        <v>2018</v>
      </c>
      <c r="C13" s="271">
        <f>'30Year'!C52</f>
        <v>15</v>
      </c>
      <c r="D13" s="249">
        <f>'30Year'!D52</f>
        <v>33.6</v>
      </c>
      <c r="E13" s="249">
        <f>'30Year'!E52</f>
        <v>92</v>
      </c>
      <c r="F13" s="249">
        <f>'30Year'!F52</f>
        <v>128.1</v>
      </c>
      <c r="G13" s="249">
        <f>'30Year'!G52</f>
        <v>104.5</v>
      </c>
      <c r="H13" s="249">
        <f>'30Year'!H52</f>
        <v>71</v>
      </c>
      <c r="I13" s="249">
        <f>'30Year'!I52</f>
        <v>262.7</v>
      </c>
      <c r="J13" s="249">
        <f>'30Year'!J52</f>
        <v>239.6</v>
      </c>
      <c r="K13" s="249">
        <f>'30Year'!K52</f>
        <v>158.19999999999999</v>
      </c>
      <c r="L13" s="249">
        <f>'30Year'!L52</f>
        <v>154.69999999999999</v>
      </c>
      <c r="M13" s="249">
        <f>'30Year'!M52</f>
        <v>46.7</v>
      </c>
      <c r="N13" s="250">
        <f>'30Year'!N52</f>
        <v>31.1</v>
      </c>
      <c r="O13" s="271">
        <f>'30Year'!O52</f>
        <v>1337.2</v>
      </c>
      <c r="P13" s="250">
        <f>'30Year'!P52</f>
        <v>111.4</v>
      </c>
    </row>
    <row r="14" spans="2:16" ht="22.15" customHeight="1" thickBot="1">
      <c r="B14" s="270">
        <f>'30Year'!B53</f>
        <v>2019</v>
      </c>
      <c r="C14" s="272">
        <f>'30Year'!C53</f>
        <v>1.9</v>
      </c>
      <c r="D14" s="273">
        <f>'30Year'!D53</f>
        <v>17.8</v>
      </c>
      <c r="E14" s="273">
        <f>'30Year'!E53</f>
        <v>18.2</v>
      </c>
      <c r="F14" s="273">
        <f>'30Year'!F53</f>
        <v>71.900000000000006</v>
      </c>
      <c r="G14" s="273">
        <f>'30Year'!G53</f>
        <v>31.3</v>
      </c>
      <c r="H14" s="273">
        <f>'30Year'!H53</f>
        <v>56</v>
      </c>
      <c r="I14" s="273">
        <f>'30Year'!I53</f>
        <v>149</v>
      </c>
      <c r="J14" s="273">
        <f>'30Year'!J53</f>
        <v>131.30000000000001</v>
      </c>
      <c r="K14" s="273">
        <f>'30Year'!K53</f>
        <v>118.7</v>
      </c>
      <c r="L14" s="273">
        <f>'30Year'!L53</f>
        <v>63.9</v>
      </c>
      <c r="M14" s="273">
        <f>'30Year'!M53</f>
        <v>130.6</v>
      </c>
      <c r="N14" s="274">
        <f>'30Year'!N53</f>
        <v>31.3</v>
      </c>
      <c r="O14" s="272">
        <f>'30Year'!O53</f>
        <v>821.9</v>
      </c>
      <c r="P14" s="274">
        <f>'30Year'!P53</f>
        <v>68.5</v>
      </c>
    </row>
    <row r="15" spans="2:16" ht="22.15" customHeight="1">
      <c r="B15" s="275" t="s">
        <v>21</v>
      </c>
      <c r="C15" s="276">
        <f>'30Year'!C54</f>
        <v>30.1</v>
      </c>
      <c r="D15" s="277">
        <f>'30Year'!D54</f>
        <v>73.5</v>
      </c>
      <c r="E15" s="277">
        <f>'30Year'!E54</f>
        <v>92</v>
      </c>
      <c r="F15" s="277">
        <f>'30Year'!F54</f>
        <v>129.69999999999999</v>
      </c>
      <c r="G15" s="277">
        <f>'30Year'!G54</f>
        <v>146.5</v>
      </c>
      <c r="H15" s="277">
        <f>'30Year'!H54</f>
        <v>318</v>
      </c>
      <c r="I15" s="277">
        <f>'30Year'!I54</f>
        <v>723.1</v>
      </c>
      <c r="J15" s="277">
        <f>'30Year'!J54</f>
        <v>450.2</v>
      </c>
      <c r="K15" s="277">
        <f>'30Year'!K54</f>
        <v>320</v>
      </c>
      <c r="L15" s="277">
        <f>'30Year'!L54</f>
        <v>156</v>
      </c>
      <c r="M15" s="277">
        <f>'30Year'!M54</f>
        <v>153.1</v>
      </c>
      <c r="N15" s="278">
        <f>'30Year'!N54</f>
        <v>67.099999999999994</v>
      </c>
      <c r="O15" s="276">
        <f>'30Year'!O54</f>
        <v>1743</v>
      </c>
      <c r="P15" s="278">
        <f>'30Year'!P54</f>
        <v>145.30000000000001</v>
      </c>
    </row>
    <row r="16" spans="2:16" ht="22.15" customHeight="1">
      <c r="B16" s="270" t="s">
        <v>22</v>
      </c>
      <c r="C16" s="271">
        <f>'30Year'!C55</f>
        <v>1.9</v>
      </c>
      <c r="D16" s="249">
        <f>'30Year'!D55</f>
        <v>9.1999999999999993</v>
      </c>
      <c r="E16" s="249">
        <f>'30Year'!E55</f>
        <v>14.4</v>
      </c>
      <c r="F16" s="249">
        <f>'30Year'!F55</f>
        <v>57.6</v>
      </c>
      <c r="G16" s="249">
        <f>'30Year'!G55</f>
        <v>14.6</v>
      </c>
      <c r="H16" s="249">
        <f>'30Year'!H55</f>
        <v>21.1</v>
      </c>
      <c r="I16" s="249">
        <f>'30Year'!I55</f>
        <v>94.7</v>
      </c>
      <c r="J16" s="249">
        <f>'30Year'!J55</f>
        <v>5.0999999999999996</v>
      </c>
      <c r="K16" s="249">
        <f>'30Year'!K55</f>
        <v>13.3</v>
      </c>
      <c r="L16" s="249">
        <f>'30Year'!L55</f>
        <v>11</v>
      </c>
      <c r="M16" s="249">
        <f>'30Year'!M55</f>
        <v>5.6</v>
      </c>
      <c r="N16" s="250">
        <f>'30Year'!N55</f>
        <v>12.5</v>
      </c>
      <c r="O16" s="279">
        <f>'30Year'!O55</f>
        <v>782.5</v>
      </c>
      <c r="P16" s="250">
        <f>'30Year'!P55</f>
        <v>65.2</v>
      </c>
    </row>
    <row r="17" spans="1:16" ht="22.15" customHeight="1" thickBot="1">
      <c r="B17" s="280" t="s">
        <v>20</v>
      </c>
      <c r="C17" s="281">
        <f>'30Year'!C56</f>
        <v>16.7</v>
      </c>
      <c r="D17" s="282">
        <f>'30Year'!D56</f>
        <v>34.1</v>
      </c>
      <c r="E17" s="282">
        <f>'30Year'!E56</f>
        <v>42.3</v>
      </c>
      <c r="F17" s="282">
        <f>'30Year'!F56</f>
        <v>83</v>
      </c>
      <c r="G17" s="283">
        <f>'30Year'!G56</f>
        <v>79.599999999999994</v>
      </c>
      <c r="H17" s="283">
        <f>'30Year'!H56</f>
        <v>99.7</v>
      </c>
      <c r="I17" s="283">
        <f>'30Year'!I56</f>
        <v>270.7</v>
      </c>
      <c r="J17" s="283">
        <f>'30Year'!J56</f>
        <v>214.2</v>
      </c>
      <c r="K17" s="283">
        <f>'30Year'!K56</f>
        <v>141.69999999999999</v>
      </c>
      <c r="L17" s="282">
        <f>'30Year'!L56</f>
        <v>70.8</v>
      </c>
      <c r="M17" s="282">
        <f>'30Year'!M56</f>
        <v>61.4</v>
      </c>
      <c r="N17" s="258">
        <f>'30Year'!N56</f>
        <v>41.4</v>
      </c>
      <c r="O17" s="281">
        <f>'30Year'!O56</f>
        <v>1155.5999999999999</v>
      </c>
      <c r="P17" s="258">
        <f>'30Year'!P56</f>
        <v>96.3</v>
      </c>
    </row>
    <row r="18" spans="1:16" ht="22.15" customHeight="1" thickBot="1">
      <c r="B18" s="284" t="s">
        <v>23</v>
      </c>
      <c r="C18" s="285">
        <f>'30Year'!C38</f>
        <v>22.4</v>
      </c>
      <c r="D18" s="286">
        <f>'30Year'!D38</f>
        <v>30.6</v>
      </c>
      <c r="E18" s="286">
        <f>'30Year'!E38</f>
        <v>43.6</v>
      </c>
      <c r="F18" s="286">
        <f>'30Year'!F38</f>
        <v>75.5</v>
      </c>
      <c r="G18" s="286">
        <f>'30Year'!G38</f>
        <v>87.9</v>
      </c>
      <c r="H18" s="286">
        <f>'30Year'!H38</f>
        <v>139.4</v>
      </c>
      <c r="I18" s="287">
        <f>'30Year'!I38</f>
        <v>246.5</v>
      </c>
      <c r="J18" s="287">
        <f>'30Year'!J38</f>
        <v>266.39999999999998</v>
      </c>
      <c r="K18" s="287">
        <f>'30Year'!K38</f>
        <v>134.6</v>
      </c>
      <c r="L18" s="287">
        <f>'30Year'!L38</f>
        <v>59.5</v>
      </c>
      <c r="M18" s="287">
        <f>'30Year'!M38</f>
        <v>54.3</v>
      </c>
      <c r="N18" s="288">
        <f>'30Year'!N38</f>
        <v>35.700000000000003</v>
      </c>
      <c r="O18" s="289">
        <f>'30Year'!O38</f>
        <v>1196.4000000000001</v>
      </c>
      <c r="P18" s="288">
        <f>'30Year'!P38</f>
        <v>99.7</v>
      </c>
    </row>
    <row r="19" spans="1:16" ht="22.15" customHeight="1"/>
    <row r="20" spans="1:16" ht="17.25" thickBot="1"/>
    <row r="21" spans="1:16" ht="17.25" thickTop="1">
      <c r="B21" s="290" t="s">
        <v>24</v>
      </c>
      <c r="C21" s="291"/>
      <c r="D21" s="292">
        <f>SUM(G17:K17)</f>
        <v>805.90000000000009</v>
      </c>
      <c r="F21" s="293"/>
    </row>
    <row r="22" spans="1:16">
      <c r="B22" s="294" t="s">
        <v>290</v>
      </c>
      <c r="D22" s="295">
        <f>O17</f>
        <v>1155.5999999999999</v>
      </c>
    </row>
    <row r="23" spans="1:16" ht="17.25" thickBot="1">
      <c r="B23" s="296"/>
      <c r="C23" s="297"/>
      <c r="D23" s="298">
        <f>D21/D22</f>
        <v>0.69738663897542419</v>
      </c>
    </row>
    <row r="24" spans="1:16" ht="18" thickTop="1" thickBot="1">
      <c r="D24" s="299"/>
    </row>
    <row r="25" spans="1:16">
      <c r="A25" s="243" t="s">
        <v>265</v>
      </c>
      <c r="B25" s="300" t="s">
        <v>111</v>
      </c>
      <c r="C25" s="301">
        <f>O16</f>
        <v>782.5</v>
      </c>
      <c r="D25" s="302" t="s">
        <v>30</v>
      </c>
    </row>
    <row r="26" spans="1:16">
      <c r="B26" s="303" t="s">
        <v>27</v>
      </c>
      <c r="C26" s="304">
        <f>O18</f>
        <v>1196.4000000000001</v>
      </c>
      <c r="D26" s="305" t="s">
        <v>29</v>
      </c>
    </row>
    <row r="27" spans="1:16">
      <c r="B27" s="303" t="s">
        <v>287</v>
      </c>
      <c r="C27" s="306">
        <v>0.67</v>
      </c>
      <c r="D27" s="305"/>
    </row>
    <row r="28" spans="1:16">
      <c r="B28" s="307" t="s">
        <v>28</v>
      </c>
      <c r="C28" s="308">
        <f>Well!P4</f>
        <v>2932369</v>
      </c>
      <c r="D28" s="305" t="s">
        <v>31</v>
      </c>
    </row>
    <row r="29" spans="1:16" ht="16.5" customHeight="1" thickBot="1">
      <c r="B29" s="309" t="s">
        <v>32</v>
      </c>
      <c r="C29" s="310">
        <v>0.1535</v>
      </c>
      <c r="D29" s="311">
        <v>0.14369999999999999</v>
      </c>
    </row>
    <row r="30" spans="1:16">
      <c r="E30" s="299"/>
    </row>
    <row r="31" spans="1:16" ht="22.15" customHeight="1">
      <c r="B31" s="312" t="s">
        <v>291</v>
      </c>
      <c r="C31" s="313">
        <f>max*rf_1/10</f>
        <v>18.364740000000001</v>
      </c>
      <c r="D31" s="313">
        <f>max*rf_2/10</f>
        <v>17.192268000000002</v>
      </c>
      <c r="E31" s="314" t="s">
        <v>121</v>
      </c>
    </row>
    <row r="32" spans="1:16" ht="22.15" customHeight="1" thickBot="1">
      <c r="E32" s="299"/>
    </row>
    <row r="33" spans="1:6" ht="22.15" customHeight="1">
      <c r="B33" s="315" t="s">
        <v>25</v>
      </c>
      <c r="C33" s="316">
        <f>(C26*C28*C29)/1000</f>
        <v>538521.94269060006</v>
      </c>
      <c r="D33" s="317" t="s">
        <v>36</v>
      </c>
      <c r="F33" s="318"/>
    </row>
    <row r="34" spans="1:6" ht="22.15" customHeight="1" thickBot="1">
      <c r="B34" s="319"/>
      <c r="C34" s="320">
        <f>C33/365</f>
        <v>1475.4025827139728</v>
      </c>
      <c r="D34" s="321" t="s">
        <v>33</v>
      </c>
    </row>
    <row r="35" spans="1:6" ht="22.15" customHeight="1" thickBot="1"/>
    <row r="36" spans="1:6" ht="22.15" customHeight="1">
      <c r="B36" s="322" t="s">
        <v>26</v>
      </c>
      <c r="C36" s="323">
        <f>C25*C28*C29/1000</f>
        <v>352217.83697374997</v>
      </c>
      <c r="D36" s="324" t="s">
        <v>34</v>
      </c>
    </row>
    <row r="37" spans="1:6" ht="22.15" customHeight="1" thickBot="1">
      <c r="B37" s="325"/>
      <c r="C37" s="326">
        <f>C36/365</f>
        <v>964.98037527054782</v>
      </c>
      <c r="D37" s="327" t="s">
        <v>35</v>
      </c>
    </row>
    <row r="38" spans="1:6" ht="18" thickTop="1" thickBot="1">
      <c r="B38" s="328" t="s">
        <v>292</v>
      </c>
      <c r="C38" s="329">
        <f>(C37/C34)*100</f>
        <v>65.404546974256078</v>
      </c>
      <c r="D38" s="330" t="s">
        <v>62</v>
      </c>
    </row>
    <row r="39" spans="1:6" ht="17.25" thickTop="1"/>
    <row r="40" spans="1:6">
      <c r="A40" s="243" t="s">
        <v>293</v>
      </c>
      <c r="C40" s="331">
        <v>115</v>
      </c>
      <c r="D40" s="332">
        <v>120</v>
      </c>
    </row>
    <row r="41" spans="1:6">
      <c r="A41" s="243" t="s">
        <v>294</v>
      </c>
      <c r="C41" s="333">
        <v>75</v>
      </c>
      <c r="D41" s="333">
        <v>80</v>
      </c>
    </row>
    <row r="42" spans="1:6">
      <c r="A42" s="243" t="s">
        <v>295</v>
      </c>
      <c r="C42" s="331">
        <v>95</v>
      </c>
      <c r="D42" s="332">
        <v>100</v>
      </c>
    </row>
    <row r="43" spans="1:6">
      <c r="A43" s="243" t="s">
        <v>296</v>
      </c>
      <c r="C43" s="331">
        <v>90</v>
      </c>
      <c r="D43" s="332">
        <v>95</v>
      </c>
    </row>
    <row r="44" spans="1:6">
      <c r="A44" s="243" t="s">
        <v>297</v>
      </c>
    </row>
    <row r="46" spans="1:6">
      <c r="A46" s="243" t="s">
        <v>114</v>
      </c>
    </row>
    <row r="48" spans="1:6">
      <c r="A48" s="243" t="s">
        <v>298</v>
      </c>
    </row>
    <row r="49" spans="1:12">
      <c r="A49" s="243" t="s">
        <v>299</v>
      </c>
    </row>
    <row r="50" spans="1:12" ht="17.25" thickBot="1"/>
    <row r="51" spans="1:12" ht="18" thickTop="1">
      <c r="A51" s="456" t="s">
        <v>61</v>
      </c>
      <c r="B51" s="457"/>
      <c r="C51" s="334"/>
      <c r="D51" s="334"/>
      <c r="E51" s="334"/>
      <c r="F51" s="291"/>
      <c r="G51" s="291"/>
      <c r="H51" s="291"/>
      <c r="I51" s="291"/>
      <c r="J51" s="291"/>
      <c r="K51" s="291"/>
      <c r="L51" s="335"/>
    </row>
    <row r="52" spans="1:12" ht="18" thickBot="1">
      <c r="A52" s="336"/>
      <c r="B52" s="337" t="s">
        <v>186</v>
      </c>
      <c r="C52" s="338" t="s">
        <v>187</v>
      </c>
      <c r="D52" s="338" t="s">
        <v>205</v>
      </c>
      <c r="E52" s="338" t="s">
        <v>206</v>
      </c>
      <c r="F52" s="338" t="s">
        <v>192</v>
      </c>
      <c r="G52" s="338" t="s">
        <v>193</v>
      </c>
      <c r="H52" s="338" t="s">
        <v>194</v>
      </c>
      <c r="I52" s="338" t="s">
        <v>195</v>
      </c>
      <c r="J52" s="339" t="s">
        <v>300</v>
      </c>
      <c r="K52" s="339" t="s">
        <v>301</v>
      </c>
      <c r="L52" s="340" t="s">
        <v>235</v>
      </c>
    </row>
    <row r="53" spans="1:12">
      <c r="A53" s="341" t="s">
        <v>118</v>
      </c>
      <c r="B53" s="342">
        <f>Well!H4</f>
        <v>80</v>
      </c>
      <c r="C53" s="343">
        <f>Well!H5</f>
        <v>150</v>
      </c>
      <c r="D53" s="343">
        <f>Well!H6</f>
        <v>80</v>
      </c>
      <c r="E53" s="343">
        <f>Well!H7</f>
        <v>80</v>
      </c>
      <c r="F53" s="343">
        <f>Well!H8</f>
        <v>150</v>
      </c>
      <c r="G53" s="343">
        <f>Well!H9</f>
        <v>150</v>
      </c>
      <c r="H53" s="343">
        <f>Well!H10</f>
        <v>170</v>
      </c>
      <c r="I53" s="343">
        <f>Well!H11</f>
        <v>150</v>
      </c>
      <c r="J53" s="343">
        <f>Well!H12</f>
        <v>150</v>
      </c>
      <c r="K53" s="343">
        <f>Well!H13</f>
        <v>150</v>
      </c>
      <c r="L53" s="344">
        <f>Well!H14</f>
        <v>100</v>
      </c>
    </row>
    <row r="54" spans="1:12" ht="17.25">
      <c r="A54" s="345" t="s">
        <v>257</v>
      </c>
      <c r="B54" s="346">
        <f>Well!J4</f>
        <v>250</v>
      </c>
      <c r="C54" s="346">
        <f>Well!$J5</f>
        <v>170</v>
      </c>
      <c r="D54" s="346">
        <f>Well!$J6</f>
        <v>151</v>
      </c>
      <c r="E54" s="346">
        <f>Well!$J7</f>
        <v>250</v>
      </c>
      <c r="F54" s="346">
        <f>Well!$J8</f>
        <v>300</v>
      </c>
      <c r="G54" s="346">
        <f>Well!$J9</f>
        <v>200</v>
      </c>
      <c r="H54" s="346">
        <f>Well!$J10</f>
        <v>210</v>
      </c>
      <c r="I54" s="346">
        <f>Well!$J11</f>
        <v>410</v>
      </c>
      <c r="J54" s="346">
        <f>Well!$J12</f>
        <v>200</v>
      </c>
      <c r="K54" s="346">
        <f>Well!$J13</f>
        <v>310</v>
      </c>
      <c r="L54" s="347">
        <f>Well!$J14</f>
        <v>150</v>
      </c>
    </row>
    <row r="55" spans="1:12" ht="17.25">
      <c r="A55" s="345" t="s">
        <v>258</v>
      </c>
      <c r="B55" s="348">
        <f>Well!$M$4</f>
        <v>70</v>
      </c>
      <c r="C55" s="348">
        <f>Well!$M$5</f>
        <v>100</v>
      </c>
      <c r="D55" s="348">
        <f>Well!$M$6</f>
        <v>60</v>
      </c>
      <c r="E55" s="348">
        <f>Well!$M$7</f>
        <v>70</v>
      </c>
      <c r="F55" s="348">
        <f>Well!$M$8</f>
        <v>80</v>
      </c>
      <c r="G55" s="348">
        <f>Well!$M$9</f>
        <v>80</v>
      </c>
      <c r="H55" s="348">
        <f>Well!$M$10</f>
        <v>80</v>
      </c>
      <c r="I55" s="348">
        <f>Well!$M$11</f>
        <v>80</v>
      </c>
      <c r="J55" s="348">
        <f>Well!$M$12</f>
        <v>70</v>
      </c>
      <c r="K55" s="348">
        <f>Well!$M$13</f>
        <v>70</v>
      </c>
      <c r="L55" s="349">
        <f>Well!$M$14</f>
        <v>60</v>
      </c>
    </row>
    <row r="56" spans="1:12" ht="17.25">
      <c r="A56" s="350" t="s">
        <v>259</v>
      </c>
      <c r="B56" s="351">
        <v>0</v>
      </c>
      <c r="C56" s="352">
        <v>0</v>
      </c>
      <c r="D56" s="352">
        <v>5</v>
      </c>
      <c r="E56" s="352">
        <v>0</v>
      </c>
      <c r="F56" s="353">
        <v>5</v>
      </c>
      <c r="G56" s="353">
        <v>20</v>
      </c>
      <c r="H56" s="353">
        <v>20</v>
      </c>
      <c r="I56" s="353">
        <v>0</v>
      </c>
      <c r="J56" s="353">
        <v>30</v>
      </c>
      <c r="K56" s="353">
        <v>10</v>
      </c>
      <c r="L56" s="354">
        <v>50</v>
      </c>
    </row>
    <row r="57" spans="1:12">
      <c r="A57" s="355" t="s">
        <v>260</v>
      </c>
      <c r="B57" s="356">
        <f>B55+B56</f>
        <v>70</v>
      </c>
      <c r="C57" s="356">
        <f>C55+C56</f>
        <v>100</v>
      </c>
      <c r="D57" s="356">
        <f t="shared" ref="D57:L57" si="0">D55+D56</f>
        <v>65</v>
      </c>
      <c r="E57" s="356">
        <f t="shared" si="0"/>
        <v>70</v>
      </c>
      <c r="F57" s="356">
        <f t="shared" si="0"/>
        <v>85</v>
      </c>
      <c r="G57" s="356">
        <f t="shared" si="0"/>
        <v>100</v>
      </c>
      <c r="H57" s="356">
        <f t="shared" si="0"/>
        <v>100</v>
      </c>
      <c r="I57" s="356">
        <f t="shared" si="0"/>
        <v>80</v>
      </c>
      <c r="J57" s="356">
        <f t="shared" si="0"/>
        <v>100</v>
      </c>
      <c r="K57" s="356">
        <f t="shared" si="0"/>
        <v>80</v>
      </c>
      <c r="L57" s="357">
        <f t="shared" si="0"/>
        <v>110</v>
      </c>
    </row>
    <row r="58" spans="1:12" ht="17.25">
      <c r="A58" s="350" t="s">
        <v>261</v>
      </c>
      <c r="B58" s="351">
        <v>0.52</v>
      </c>
      <c r="C58" s="352">
        <v>0.5</v>
      </c>
      <c r="D58" s="352">
        <v>0.5</v>
      </c>
      <c r="E58" s="352">
        <v>0.52</v>
      </c>
      <c r="F58" s="352">
        <v>0.54</v>
      </c>
      <c r="G58" s="352">
        <v>0.5</v>
      </c>
      <c r="H58" s="352">
        <v>0.5</v>
      </c>
      <c r="I58" s="352">
        <v>0.54</v>
      </c>
      <c r="J58" s="352">
        <v>0.42</v>
      </c>
      <c r="K58" s="352">
        <v>0.54</v>
      </c>
      <c r="L58" s="358">
        <v>0.42</v>
      </c>
    </row>
    <row r="59" spans="1:12" ht="17.25">
      <c r="A59" s="355"/>
      <c r="B59" s="359"/>
      <c r="C59" s="360"/>
      <c r="D59" s="360"/>
      <c r="E59" s="360"/>
      <c r="F59" s="361"/>
      <c r="G59" s="361"/>
      <c r="H59" s="361"/>
      <c r="I59" s="361"/>
      <c r="J59" s="361"/>
      <c r="K59" s="361"/>
      <c r="L59" s="362"/>
    </row>
    <row r="60" spans="1:12" ht="17.25">
      <c r="A60" s="355" t="s">
        <v>115</v>
      </c>
      <c r="B60" s="359">
        <f>(B54*B57)/(6572.5*B58)</f>
        <v>5.1204026099423583</v>
      </c>
      <c r="C60" s="360">
        <f t="shared" ref="C60:L60" si="1">(C54*C57)/(6572.5*C58)</f>
        <v>5.1730696082160517</v>
      </c>
      <c r="D60" s="360">
        <f t="shared" si="1"/>
        <v>2.98668695321415</v>
      </c>
      <c r="E60" s="360">
        <f t="shared" si="1"/>
        <v>5.1204026099423583</v>
      </c>
      <c r="F60" s="360">
        <f t="shared" si="1"/>
        <v>7.1848189003000718</v>
      </c>
      <c r="G60" s="360">
        <f t="shared" si="1"/>
        <v>6.0859642449600608</v>
      </c>
      <c r="H60" s="360">
        <f t="shared" si="1"/>
        <v>6.3902624572080642</v>
      </c>
      <c r="I60" s="360">
        <f t="shared" si="1"/>
        <v>9.2416494090134247</v>
      </c>
      <c r="J60" s="360">
        <f t="shared" si="1"/>
        <v>7.2451955297143584</v>
      </c>
      <c r="K60" s="360">
        <f t="shared" si="1"/>
        <v>6.9875885775467363</v>
      </c>
      <c r="L60" s="363">
        <f t="shared" si="1"/>
        <v>5.9772863120143462</v>
      </c>
    </row>
    <row r="61" spans="1:12" ht="18" thickBot="1">
      <c r="A61" s="364" t="s">
        <v>253</v>
      </c>
      <c r="B61" s="365">
        <f>ROUNDUP(B60,0)</f>
        <v>6</v>
      </c>
      <c r="C61" s="366">
        <f t="shared" ref="C61:L61" si="2">ROUNDUP(C60,0)</f>
        <v>6</v>
      </c>
      <c r="D61" s="366">
        <f t="shared" si="2"/>
        <v>3</v>
      </c>
      <c r="E61" s="366">
        <f t="shared" si="2"/>
        <v>6</v>
      </c>
      <c r="F61" s="366">
        <f t="shared" si="2"/>
        <v>8</v>
      </c>
      <c r="G61" s="366">
        <f t="shared" si="2"/>
        <v>7</v>
      </c>
      <c r="H61" s="366">
        <f t="shared" si="2"/>
        <v>7</v>
      </c>
      <c r="I61" s="366">
        <f t="shared" si="2"/>
        <v>10</v>
      </c>
      <c r="J61" s="366">
        <f t="shared" si="2"/>
        <v>8</v>
      </c>
      <c r="K61" s="366">
        <f t="shared" si="2"/>
        <v>7</v>
      </c>
      <c r="L61" s="367">
        <f t="shared" si="2"/>
        <v>6</v>
      </c>
    </row>
    <row r="62" spans="1:12" ht="16.5" customHeight="1" thickTop="1">
      <c r="A62" s="243" t="s">
        <v>254</v>
      </c>
      <c r="B62" s="342">
        <f>Well!$L$4</f>
        <v>5</v>
      </c>
      <c r="C62" s="342">
        <f>Well!$L$5</f>
        <v>5</v>
      </c>
      <c r="D62" s="342">
        <f>Well!$L$6</f>
        <v>3</v>
      </c>
      <c r="E62" s="342">
        <f>Well!$L$7</f>
        <v>5</v>
      </c>
      <c r="F62" s="342">
        <f>Well!$L$8</f>
        <v>7.5</v>
      </c>
      <c r="G62" s="342">
        <f>Well!$L$9</f>
        <v>7.5</v>
      </c>
      <c r="H62" s="342">
        <f>Well!$L$10</f>
        <v>7.5</v>
      </c>
      <c r="I62" s="342">
        <f>Well!$L$11</f>
        <v>10</v>
      </c>
      <c r="J62" s="342">
        <f>Well!$L$12</f>
        <v>7.5</v>
      </c>
      <c r="K62" s="342">
        <f>Well!$L$13</f>
        <v>7.5</v>
      </c>
      <c r="L62" s="342">
        <f>Well!$L$14</f>
        <v>7.5</v>
      </c>
    </row>
    <row r="65" spans="1:12" ht="18" customHeight="1" thickBot="1"/>
    <row r="66" spans="1:12" s="71" customFormat="1" ht="18" customHeight="1">
      <c r="A66" s="458" t="s">
        <v>255</v>
      </c>
      <c r="B66" s="459"/>
      <c r="C66" s="368"/>
      <c r="D66" s="368"/>
      <c r="E66" s="368"/>
      <c r="F66" s="368"/>
      <c r="G66" s="368"/>
      <c r="H66" s="368"/>
      <c r="I66" s="368"/>
      <c r="J66" s="368"/>
      <c r="K66" s="368"/>
      <c r="L66" s="369"/>
    </row>
    <row r="67" spans="1:12" s="71" customFormat="1" ht="18" customHeight="1" thickBot="1">
      <c r="A67" s="370"/>
      <c r="B67" s="371" t="s">
        <v>265</v>
      </c>
      <c r="C67" s="371" t="s">
        <v>266</v>
      </c>
      <c r="D67" s="371" t="s">
        <v>267</v>
      </c>
      <c r="E67" s="371" t="s">
        <v>268</v>
      </c>
      <c r="F67" s="371" t="s">
        <v>269</v>
      </c>
      <c r="G67" s="371" t="s">
        <v>270</v>
      </c>
      <c r="H67" s="371" t="s">
        <v>271</v>
      </c>
      <c r="I67" s="371" t="s">
        <v>272</v>
      </c>
      <c r="J67" s="371" t="s">
        <v>273</v>
      </c>
      <c r="K67" s="371" t="s">
        <v>274</v>
      </c>
      <c r="L67" s="372" t="s">
        <v>275</v>
      </c>
    </row>
    <row r="68" spans="1:12" s="71" customFormat="1" ht="18" customHeight="1">
      <c r="A68" s="373" t="s">
        <v>256</v>
      </c>
      <c r="B68" s="374">
        <v>80</v>
      </c>
      <c r="C68" s="375">
        <v>150</v>
      </c>
      <c r="D68" s="375">
        <v>80</v>
      </c>
      <c r="E68" s="375">
        <v>80</v>
      </c>
      <c r="F68" s="375">
        <v>150</v>
      </c>
      <c r="G68" s="375">
        <v>150</v>
      </c>
      <c r="H68" s="375">
        <v>170</v>
      </c>
      <c r="I68" s="375">
        <v>150</v>
      </c>
      <c r="J68" s="375">
        <v>150</v>
      </c>
      <c r="K68" s="375">
        <v>150</v>
      </c>
      <c r="L68" s="376">
        <v>100</v>
      </c>
    </row>
    <row r="69" spans="1:12" s="71" customFormat="1" ht="18" customHeight="1">
      <c r="A69" s="377" t="s">
        <v>257</v>
      </c>
      <c r="B69" s="378">
        <v>250</v>
      </c>
      <c r="C69" s="379">
        <v>170</v>
      </c>
      <c r="D69" s="379">
        <v>151</v>
      </c>
      <c r="E69" s="379">
        <v>250</v>
      </c>
      <c r="F69" s="379">
        <v>300</v>
      </c>
      <c r="G69" s="379">
        <v>200</v>
      </c>
      <c r="H69" s="379">
        <v>210</v>
      </c>
      <c r="I69" s="379">
        <v>410</v>
      </c>
      <c r="J69" s="379">
        <v>200</v>
      </c>
      <c r="K69" s="379">
        <v>310</v>
      </c>
      <c r="L69" s="380">
        <v>150</v>
      </c>
    </row>
    <row r="70" spans="1:12" s="71" customFormat="1" ht="18" customHeight="1">
      <c r="A70" s="377" t="s">
        <v>258</v>
      </c>
      <c r="B70" s="381">
        <v>70</v>
      </c>
      <c r="C70" s="382">
        <v>100</v>
      </c>
      <c r="D70" s="382">
        <v>60</v>
      </c>
      <c r="E70" s="382">
        <v>70</v>
      </c>
      <c r="F70" s="382">
        <v>80</v>
      </c>
      <c r="G70" s="382">
        <v>80</v>
      </c>
      <c r="H70" s="382">
        <v>80</v>
      </c>
      <c r="I70" s="382">
        <v>80</v>
      </c>
      <c r="J70" s="382">
        <v>70</v>
      </c>
      <c r="K70" s="382">
        <v>70</v>
      </c>
      <c r="L70" s="383">
        <v>60</v>
      </c>
    </row>
    <row r="71" spans="1:12" s="71" customFormat="1" ht="18" customHeight="1">
      <c r="A71" s="384" t="s">
        <v>259</v>
      </c>
      <c r="B71" s="385"/>
      <c r="C71" s="386"/>
      <c r="D71" s="386"/>
      <c r="E71" s="386"/>
      <c r="F71" s="386"/>
      <c r="G71" s="386"/>
      <c r="H71" s="386"/>
      <c r="I71" s="386"/>
      <c r="J71" s="386"/>
      <c r="K71" s="386"/>
      <c r="L71" s="387"/>
    </row>
    <row r="72" spans="1:12" s="71" customFormat="1" ht="18" customHeight="1">
      <c r="A72" s="384" t="s">
        <v>260</v>
      </c>
      <c r="B72" s="388">
        <f t="shared" ref="B72:L72" si="3">B70+B71</f>
        <v>70</v>
      </c>
      <c r="C72" s="389">
        <f t="shared" si="3"/>
        <v>100</v>
      </c>
      <c r="D72" s="389">
        <f t="shared" si="3"/>
        <v>60</v>
      </c>
      <c r="E72" s="389">
        <f t="shared" si="3"/>
        <v>70</v>
      </c>
      <c r="F72" s="389">
        <f t="shared" si="3"/>
        <v>80</v>
      </c>
      <c r="G72" s="389">
        <f t="shared" si="3"/>
        <v>80</v>
      </c>
      <c r="H72" s="389">
        <f t="shared" si="3"/>
        <v>80</v>
      </c>
      <c r="I72" s="389">
        <f t="shared" si="3"/>
        <v>80</v>
      </c>
      <c r="J72" s="389">
        <f t="shared" si="3"/>
        <v>70</v>
      </c>
      <c r="K72" s="389">
        <f t="shared" si="3"/>
        <v>70</v>
      </c>
      <c r="L72" s="390">
        <f t="shared" si="3"/>
        <v>60</v>
      </c>
    </row>
    <row r="73" spans="1:12" s="71" customFormat="1" ht="18" customHeight="1">
      <c r="A73" s="384" t="s">
        <v>261</v>
      </c>
      <c r="B73" s="391">
        <v>0.54</v>
      </c>
      <c r="C73" s="392">
        <v>0.52</v>
      </c>
      <c r="D73" s="392">
        <v>0.52</v>
      </c>
      <c r="E73" s="392">
        <v>0.54</v>
      </c>
      <c r="F73" s="392">
        <v>0.56999999999999995</v>
      </c>
      <c r="G73" s="392">
        <v>0.52</v>
      </c>
      <c r="H73" s="392">
        <v>0.52</v>
      </c>
      <c r="I73" s="392">
        <v>0.56999999999999995</v>
      </c>
      <c r="J73" s="392">
        <v>0.52</v>
      </c>
      <c r="K73" s="392">
        <v>0.56999999999999995</v>
      </c>
      <c r="L73" s="393">
        <v>0.52</v>
      </c>
    </row>
    <row r="74" spans="1:12" s="71" customFormat="1" ht="18" customHeight="1">
      <c r="A74" s="384"/>
      <c r="B74" s="385"/>
      <c r="C74" s="386"/>
      <c r="D74" s="386"/>
      <c r="E74" s="386"/>
      <c r="F74" s="386"/>
      <c r="G74" s="386"/>
      <c r="H74" s="386"/>
      <c r="I74" s="386"/>
      <c r="J74" s="386"/>
      <c r="K74" s="386"/>
      <c r="L74" s="387"/>
    </row>
    <row r="75" spans="1:12" s="71" customFormat="1" ht="18" customHeight="1">
      <c r="A75" s="384" t="s">
        <v>262</v>
      </c>
      <c r="B75" s="385">
        <f t="shared" ref="B75:L75" si="4">ROUND((B69*B72)/(6572.5*B73),4)</f>
        <v>4.9307999999999996</v>
      </c>
      <c r="C75" s="386">
        <f t="shared" si="4"/>
        <v>4.9741</v>
      </c>
      <c r="D75" s="386">
        <f t="shared" si="4"/>
        <v>2.6509</v>
      </c>
      <c r="E75" s="386">
        <f t="shared" si="4"/>
        <v>4.9307999999999996</v>
      </c>
      <c r="F75" s="386">
        <f t="shared" si="4"/>
        <v>6.4062999999999999</v>
      </c>
      <c r="G75" s="386">
        <f t="shared" si="4"/>
        <v>4.6814999999999998</v>
      </c>
      <c r="H75" s="386">
        <f t="shared" si="4"/>
        <v>4.9156000000000004</v>
      </c>
      <c r="I75" s="386">
        <f t="shared" si="4"/>
        <v>8.7552000000000003</v>
      </c>
      <c r="J75" s="386">
        <f t="shared" si="4"/>
        <v>4.0963000000000003</v>
      </c>
      <c r="K75" s="386">
        <f t="shared" si="4"/>
        <v>5.7923</v>
      </c>
      <c r="L75" s="387">
        <f t="shared" si="4"/>
        <v>2.6333000000000002</v>
      </c>
    </row>
    <row r="76" spans="1:12" s="71" customFormat="1" ht="18" customHeight="1" thickBot="1">
      <c r="A76" s="394"/>
      <c r="B76" s="395">
        <f t="shared" ref="B76:L76" si="5">ROUNDUP(B75,0)</f>
        <v>5</v>
      </c>
      <c r="C76" s="396">
        <f t="shared" si="5"/>
        <v>5</v>
      </c>
      <c r="D76" s="396">
        <f t="shared" si="5"/>
        <v>3</v>
      </c>
      <c r="E76" s="396">
        <f t="shared" si="5"/>
        <v>5</v>
      </c>
      <c r="F76" s="396">
        <f t="shared" si="5"/>
        <v>7</v>
      </c>
      <c r="G76" s="396">
        <f t="shared" si="5"/>
        <v>5</v>
      </c>
      <c r="H76" s="396">
        <f t="shared" si="5"/>
        <v>5</v>
      </c>
      <c r="I76" s="396">
        <f t="shared" si="5"/>
        <v>9</v>
      </c>
      <c r="J76" s="396">
        <f t="shared" si="5"/>
        <v>5</v>
      </c>
      <c r="K76" s="396">
        <f t="shared" si="5"/>
        <v>6</v>
      </c>
      <c r="L76" s="397">
        <f t="shared" si="5"/>
        <v>3</v>
      </c>
    </row>
    <row r="77" spans="1:12" s="71" customFormat="1" ht="18" customHeight="1">
      <c r="A77" s="373" t="s">
        <v>263</v>
      </c>
      <c r="B77" s="374">
        <v>5</v>
      </c>
      <c r="C77" s="375">
        <v>5</v>
      </c>
      <c r="D77" s="375">
        <v>3</v>
      </c>
      <c r="E77" s="375">
        <v>5</v>
      </c>
      <c r="F77" s="375">
        <v>7.5</v>
      </c>
      <c r="G77" s="375">
        <v>7.5</v>
      </c>
      <c r="H77" s="375">
        <v>7.5</v>
      </c>
      <c r="I77" s="375">
        <v>10</v>
      </c>
      <c r="J77" s="375">
        <v>7.5</v>
      </c>
      <c r="K77" s="375">
        <v>7.5</v>
      </c>
      <c r="L77" s="376">
        <v>7.5</v>
      </c>
    </row>
    <row r="78" spans="1:12" s="71" customFormat="1" ht="18" customHeight="1" thickBot="1">
      <c r="A78" s="398" t="s">
        <v>264</v>
      </c>
      <c r="B78" s="399">
        <f t="shared" ref="B78:L78" si="6">ROUND((B77*B73*6572.5)/B72,1)</f>
        <v>253.5</v>
      </c>
      <c r="C78" s="400">
        <f t="shared" si="6"/>
        <v>170.9</v>
      </c>
      <c r="D78" s="400">
        <f t="shared" si="6"/>
        <v>170.9</v>
      </c>
      <c r="E78" s="400">
        <f t="shared" si="6"/>
        <v>253.5</v>
      </c>
      <c r="F78" s="400">
        <f t="shared" si="6"/>
        <v>351.2</v>
      </c>
      <c r="G78" s="400">
        <f t="shared" si="6"/>
        <v>320.39999999999998</v>
      </c>
      <c r="H78" s="400">
        <f t="shared" si="6"/>
        <v>320.39999999999998</v>
      </c>
      <c r="I78" s="400">
        <f t="shared" si="6"/>
        <v>468.3</v>
      </c>
      <c r="J78" s="400">
        <f t="shared" si="6"/>
        <v>366.2</v>
      </c>
      <c r="K78" s="400">
        <f t="shared" si="6"/>
        <v>401.4</v>
      </c>
      <c r="L78" s="401">
        <f t="shared" si="6"/>
        <v>427.2</v>
      </c>
    </row>
    <row r="79" spans="1:12" s="71" customFormat="1" ht="18" customHeight="1"/>
    <row r="80" spans="1:12" s="71" customFormat="1" ht="18" customHeight="1"/>
    <row r="81" s="71" customFormat="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</sheetData>
  <mergeCells count="2">
    <mergeCell ref="A51:B51"/>
    <mergeCell ref="A66:B6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47</xdr:row>
                <xdr:rowOff>9525</xdr:rowOff>
              </from>
              <to>
                <xdr:col>9</xdr:col>
                <xdr:colOff>257175</xdr:colOff>
                <xdr:row>49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71" customWidth="1"/>
    <col min="2" max="2" width="14.5546875" style="61" customWidth="1"/>
    <col min="3" max="3" width="4.77734375" style="71" customWidth="1"/>
    <col min="4" max="4" width="31.5546875" style="71" customWidth="1"/>
    <col min="5" max="5" width="8.88671875" style="72"/>
    <col min="6" max="6" width="8.88671875" style="71"/>
    <col min="7" max="7" width="36" style="71" customWidth="1"/>
    <col min="8" max="16384" width="8.88671875" style="71"/>
  </cols>
  <sheetData>
    <row r="2" spans="1:8" s="80" customFormat="1">
      <c r="A2" s="80" t="s">
        <v>178</v>
      </c>
      <c r="B2" s="81" t="s">
        <v>174</v>
      </c>
      <c r="D2" s="80" t="s">
        <v>177</v>
      </c>
      <c r="E2" s="82" t="s">
        <v>175</v>
      </c>
      <c r="G2" s="80" t="s">
        <v>176</v>
      </c>
    </row>
    <row r="3" spans="1:8">
      <c r="A3" s="71" t="s">
        <v>150</v>
      </c>
    </row>
    <row r="4" spans="1:8" s="76" customFormat="1">
      <c r="A4" s="75" t="s">
        <v>161</v>
      </c>
      <c r="B4" s="83">
        <v>2</v>
      </c>
      <c r="D4" s="75" t="s">
        <v>163</v>
      </c>
      <c r="E4" s="87">
        <v>10</v>
      </c>
      <c r="G4" s="75" t="s">
        <v>179</v>
      </c>
      <c r="H4" s="91">
        <v>1</v>
      </c>
    </row>
    <row r="5" spans="1:8">
      <c r="A5" s="73" t="s">
        <v>152</v>
      </c>
      <c r="B5" s="84">
        <v>3</v>
      </c>
      <c r="D5" s="73" t="s">
        <v>164</v>
      </c>
      <c r="E5" s="88">
        <v>10</v>
      </c>
      <c r="G5" s="73" t="s">
        <v>180</v>
      </c>
      <c r="H5" s="92">
        <v>3</v>
      </c>
    </row>
    <row r="6" spans="1:8" s="76" customFormat="1">
      <c r="A6" s="77" t="s">
        <v>153</v>
      </c>
      <c r="B6" s="85">
        <v>4</v>
      </c>
      <c r="D6" s="77" t="s">
        <v>165</v>
      </c>
      <c r="E6" s="89">
        <v>9</v>
      </c>
      <c r="G6" s="77" t="s">
        <v>151</v>
      </c>
      <c r="H6" s="93">
        <v>3</v>
      </c>
    </row>
    <row r="7" spans="1:8">
      <c r="A7" s="73" t="s">
        <v>154</v>
      </c>
      <c r="B7" s="84">
        <v>5</v>
      </c>
      <c r="D7" s="73" t="s">
        <v>166</v>
      </c>
      <c r="E7" s="88">
        <v>8</v>
      </c>
      <c r="G7" s="73" t="s">
        <v>156</v>
      </c>
      <c r="H7" s="92">
        <v>6</v>
      </c>
    </row>
    <row r="8" spans="1:8" s="76" customFormat="1">
      <c r="A8" s="77" t="s">
        <v>155</v>
      </c>
      <c r="B8" s="85">
        <v>6</v>
      </c>
      <c r="D8" s="77" t="s">
        <v>167</v>
      </c>
      <c r="E8" s="89">
        <v>7</v>
      </c>
      <c r="G8" s="77" t="s">
        <v>181</v>
      </c>
      <c r="H8" s="93">
        <v>6</v>
      </c>
    </row>
    <row r="9" spans="1:8">
      <c r="A9" s="73" t="s">
        <v>162</v>
      </c>
      <c r="B9" s="84">
        <v>6</v>
      </c>
      <c r="D9" s="73" t="s">
        <v>168</v>
      </c>
      <c r="E9" s="88">
        <v>6</v>
      </c>
      <c r="G9" s="73" t="s">
        <v>182</v>
      </c>
      <c r="H9" s="92">
        <v>6</v>
      </c>
    </row>
    <row r="10" spans="1:8" s="76" customFormat="1">
      <c r="A10" s="77" t="s">
        <v>160</v>
      </c>
      <c r="B10" s="85">
        <v>6</v>
      </c>
      <c r="D10" s="77" t="s">
        <v>169</v>
      </c>
      <c r="E10" s="89">
        <v>5</v>
      </c>
      <c r="G10" s="77" t="s">
        <v>183</v>
      </c>
      <c r="H10" s="93">
        <v>6</v>
      </c>
    </row>
    <row r="11" spans="1:8">
      <c r="A11" s="73" t="s">
        <v>157</v>
      </c>
      <c r="B11" s="84">
        <v>8</v>
      </c>
      <c r="D11" s="73" t="s">
        <v>170</v>
      </c>
      <c r="E11" s="88">
        <v>4</v>
      </c>
      <c r="G11" s="73" t="s">
        <v>152</v>
      </c>
      <c r="H11" s="92">
        <v>4</v>
      </c>
    </row>
    <row r="12" spans="1:8" s="76" customFormat="1">
      <c r="A12" s="77" t="s">
        <v>158</v>
      </c>
      <c r="B12" s="85">
        <v>9</v>
      </c>
      <c r="D12" s="77" t="s">
        <v>171</v>
      </c>
      <c r="E12" s="89">
        <v>3</v>
      </c>
      <c r="G12" s="77" t="s">
        <v>157</v>
      </c>
      <c r="H12" s="93">
        <v>8</v>
      </c>
    </row>
    <row r="13" spans="1:8">
      <c r="A13" s="74" t="s">
        <v>159</v>
      </c>
      <c r="B13" s="86">
        <v>10</v>
      </c>
      <c r="D13" s="73" t="s">
        <v>172</v>
      </c>
      <c r="E13" s="88">
        <v>2</v>
      </c>
      <c r="G13" s="73" t="s">
        <v>158</v>
      </c>
      <c r="H13" s="92">
        <v>9</v>
      </c>
    </row>
    <row r="14" spans="1:8" s="76" customFormat="1">
      <c r="B14" s="78"/>
      <c r="D14" s="79" t="s">
        <v>173</v>
      </c>
      <c r="E14" s="90">
        <v>1</v>
      </c>
      <c r="G14" s="79" t="s">
        <v>159</v>
      </c>
      <c r="H14" s="94">
        <v>10</v>
      </c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6"/>
  <sheetViews>
    <sheetView workbookViewId="0">
      <selection activeCell="E19" sqref="E19"/>
    </sheetView>
  </sheetViews>
  <sheetFormatPr defaultColWidth="8.88671875" defaultRowHeight="16.5"/>
  <cols>
    <col min="1" max="1" width="5.21875" style="62" customWidth="1"/>
    <col min="2" max="2" width="14.5546875" style="61" customWidth="1"/>
    <col min="3" max="3" width="15.5546875" style="61" customWidth="1"/>
    <col min="4" max="4" width="22.21875" style="61" customWidth="1"/>
    <col min="5" max="5" width="9.6640625" style="61" customWidth="1"/>
    <col min="6" max="6" width="11.6640625" style="61" customWidth="1"/>
    <col min="7" max="7" width="8.109375" style="61" customWidth="1"/>
    <col min="8" max="8" width="9.33203125" style="61" customWidth="1"/>
    <col min="9" max="9" width="7.77734375" style="61" customWidth="1"/>
    <col min="10" max="10" width="7.77734375" style="102" customWidth="1"/>
    <col min="11" max="11" width="8.109375" style="61" customWidth="1"/>
    <col min="12" max="12" width="5.33203125" style="61" customWidth="1"/>
    <col min="13" max="13" width="6.33203125" style="61" customWidth="1"/>
    <col min="14" max="14" width="6.5546875" style="61" customWidth="1"/>
    <col min="15" max="15" width="8.44140625" style="61" customWidth="1"/>
    <col min="16" max="16" width="12.21875" style="64" customWidth="1"/>
    <col min="17" max="17" width="15.6640625" style="61" customWidth="1"/>
    <col min="18" max="18" width="15" style="61" customWidth="1"/>
    <col min="19" max="16384" width="8.88671875" style="62"/>
  </cols>
  <sheetData>
    <row r="1" spans="1:18" ht="49.5" customHeight="1" thickBot="1">
      <c r="D1" s="96"/>
      <c r="E1" s="96"/>
      <c r="F1" s="63" t="s">
        <v>248</v>
      </c>
    </row>
    <row r="2" spans="1:18" s="61" customFormat="1" ht="30" customHeight="1">
      <c r="A2" s="468" t="s">
        <v>0</v>
      </c>
      <c r="B2" s="460" t="s">
        <v>51</v>
      </c>
      <c r="C2" s="460" t="s">
        <v>6</v>
      </c>
      <c r="D2" s="460" t="s">
        <v>49</v>
      </c>
      <c r="E2" s="460" t="s">
        <v>145</v>
      </c>
      <c r="F2" s="460" t="s">
        <v>50</v>
      </c>
      <c r="G2" s="464" t="s">
        <v>1</v>
      </c>
      <c r="H2" s="464" t="s">
        <v>2</v>
      </c>
      <c r="I2" s="464" t="s">
        <v>119</v>
      </c>
      <c r="J2" s="470" t="s">
        <v>120</v>
      </c>
      <c r="K2" s="464" t="s">
        <v>116</v>
      </c>
      <c r="L2" s="464" t="s">
        <v>3</v>
      </c>
      <c r="M2" s="464" t="s">
        <v>4</v>
      </c>
      <c r="N2" s="464" t="s">
        <v>5</v>
      </c>
      <c r="O2" s="464" t="s">
        <v>117</v>
      </c>
      <c r="P2" s="466" t="s">
        <v>52</v>
      </c>
      <c r="Q2" s="460" t="s">
        <v>219</v>
      </c>
      <c r="R2" s="462" t="s">
        <v>108</v>
      </c>
    </row>
    <row r="3" spans="1:18" s="61" customFormat="1" ht="30" customHeight="1" thickBot="1">
      <c r="A3" s="469"/>
      <c r="B3" s="461"/>
      <c r="C3" s="461"/>
      <c r="D3" s="461"/>
      <c r="E3" s="461"/>
      <c r="F3" s="461"/>
      <c r="G3" s="465"/>
      <c r="H3" s="465"/>
      <c r="I3" s="465"/>
      <c r="J3" s="471"/>
      <c r="K3" s="465"/>
      <c r="L3" s="465"/>
      <c r="M3" s="465"/>
      <c r="N3" s="465"/>
      <c r="O3" s="465"/>
      <c r="P3" s="467"/>
      <c r="Q3" s="461"/>
      <c r="R3" s="463"/>
    </row>
    <row r="4" spans="1:18" ht="30.75" customHeight="1">
      <c r="A4" s="161" t="s">
        <v>186</v>
      </c>
      <c r="B4" s="162" t="s">
        <v>196</v>
      </c>
      <c r="C4" s="162" t="s">
        <v>209</v>
      </c>
      <c r="D4" s="162" t="s">
        <v>207</v>
      </c>
      <c r="E4" s="162"/>
      <c r="F4" s="162"/>
      <c r="G4" s="162">
        <v>250</v>
      </c>
      <c r="H4" s="162">
        <v>80</v>
      </c>
      <c r="I4" s="162">
        <v>250</v>
      </c>
      <c r="J4" s="163">
        <v>250</v>
      </c>
      <c r="K4" s="162">
        <v>250</v>
      </c>
      <c r="L4" s="162">
        <v>5</v>
      </c>
      <c r="M4" s="162">
        <v>70</v>
      </c>
      <c r="N4" s="164">
        <v>50</v>
      </c>
      <c r="O4" s="165">
        <v>418.6</v>
      </c>
      <c r="P4" s="166">
        <v>2932369</v>
      </c>
      <c r="Q4" s="162" t="s">
        <v>208</v>
      </c>
      <c r="R4" s="167" t="s">
        <v>208</v>
      </c>
    </row>
    <row r="5" spans="1:18" ht="30.75" customHeight="1">
      <c r="A5" s="147" t="s">
        <v>187</v>
      </c>
      <c r="B5" s="148" t="s">
        <v>196</v>
      </c>
      <c r="C5" s="148" t="s">
        <v>210</v>
      </c>
      <c r="D5" s="148" t="s">
        <v>211</v>
      </c>
      <c r="E5" s="148"/>
      <c r="F5" s="148"/>
      <c r="G5" s="148">
        <v>250</v>
      </c>
      <c r="H5" s="148">
        <v>150</v>
      </c>
      <c r="I5" s="148">
        <v>161</v>
      </c>
      <c r="J5" s="149">
        <v>170</v>
      </c>
      <c r="K5" s="148">
        <v>180</v>
      </c>
      <c r="L5" s="148">
        <v>5</v>
      </c>
      <c r="M5" s="148">
        <v>100</v>
      </c>
      <c r="N5" s="148">
        <v>50</v>
      </c>
      <c r="O5" s="148">
        <v>290.89999999999998</v>
      </c>
      <c r="P5" s="151">
        <v>1927970</v>
      </c>
      <c r="Q5" s="148" t="s">
        <v>208</v>
      </c>
      <c r="R5" s="150" t="s">
        <v>208</v>
      </c>
    </row>
    <row r="6" spans="1:18" s="103" customFormat="1" ht="30.75" customHeight="1">
      <c r="A6" s="152" t="s">
        <v>190</v>
      </c>
      <c r="B6" s="153" t="s">
        <v>196</v>
      </c>
      <c r="C6" s="153" t="s">
        <v>212</v>
      </c>
      <c r="D6" s="153" t="s">
        <v>213</v>
      </c>
      <c r="E6" s="153"/>
      <c r="F6" s="153"/>
      <c r="G6" s="153">
        <v>250</v>
      </c>
      <c r="H6" s="153">
        <v>80</v>
      </c>
      <c r="I6" s="153">
        <v>151</v>
      </c>
      <c r="J6" s="153">
        <v>151</v>
      </c>
      <c r="K6" s="153">
        <v>151</v>
      </c>
      <c r="L6" s="153">
        <v>3</v>
      </c>
      <c r="M6" s="153">
        <v>60</v>
      </c>
      <c r="N6" s="153">
        <v>50</v>
      </c>
      <c r="O6" s="153">
        <v>130.5</v>
      </c>
      <c r="P6" s="154">
        <v>2714853</v>
      </c>
      <c r="Q6" s="153" t="s">
        <v>208</v>
      </c>
      <c r="R6" s="155" t="s">
        <v>208</v>
      </c>
    </row>
    <row r="7" spans="1:18" ht="30.75" customHeight="1">
      <c r="A7" s="147" t="s">
        <v>191</v>
      </c>
      <c r="B7" s="148" t="s">
        <v>196</v>
      </c>
      <c r="C7" s="148" t="s">
        <v>214</v>
      </c>
      <c r="D7" s="148" t="s">
        <v>215</v>
      </c>
      <c r="E7" s="148"/>
      <c r="F7" s="148"/>
      <c r="G7" s="148">
        <v>250</v>
      </c>
      <c r="H7" s="148">
        <v>80</v>
      </c>
      <c r="I7" s="148">
        <v>250</v>
      </c>
      <c r="J7" s="149">
        <v>250</v>
      </c>
      <c r="K7" s="148">
        <v>250</v>
      </c>
      <c r="L7" s="148">
        <v>5</v>
      </c>
      <c r="M7" s="148">
        <v>70</v>
      </c>
      <c r="N7" s="148">
        <v>50</v>
      </c>
      <c r="O7" s="148">
        <v>55.7</v>
      </c>
      <c r="P7" s="151">
        <v>1724100</v>
      </c>
      <c r="Q7" s="148" t="s">
        <v>208</v>
      </c>
      <c r="R7" s="150" t="s">
        <v>208</v>
      </c>
    </row>
    <row r="8" spans="1:18" ht="30.75" customHeight="1">
      <c r="A8" s="147" t="s">
        <v>192</v>
      </c>
      <c r="B8" s="148" t="s">
        <v>196</v>
      </c>
      <c r="C8" s="148" t="s">
        <v>216</v>
      </c>
      <c r="D8" s="148" t="s">
        <v>217</v>
      </c>
      <c r="E8" s="148"/>
      <c r="F8" s="148"/>
      <c r="G8" s="148">
        <v>200</v>
      </c>
      <c r="H8" s="148">
        <v>150</v>
      </c>
      <c r="I8" s="148">
        <v>300</v>
      </c>
      <c r="J8" s="149">
        <v>300</v>
      </c>
      <c r="K8" s="148">
        <v>336</v>
      </c>
      <c r="L8" s="148">
        <v>7.5</v>
      </c>
      <c r="M8" s="148">
        <v>80</v>
      </c>
      <c r="N8" s="148">
        <v>50</v>
      </c>
      <c r="O8" s="148">
        <v>975.4</v>
      </c>
      <c r="P8" s="151">
        <v>6673757</v>
      </c>
      <c r="Q8" s="148" t="s">
        <v>220</v>
      </c>
      <c r="R8" s="150" t="s">
        <v>218</v>
      </c>
    </row>
    <row r="9" spans="1:18" s="103" customFormat="1" ht="30.75" customHeight="1">
      <c r="A9" s="152" t="s">
        <v>193</v>
      </c>
      <c r="B9" s="153" t="s">
        <v>196</v>
      </c>
      <c r="C9" s="153" t="s">
        <v>221</v>
      </c>
      <c r="D9" s="153" t="s">
        <v>222</v>
      </c>
      <c r="E9" s="153"/>
      <c r="F9" s="153"/>
      <c r="G9" s="153">
        <v>200</v>
      </c>
      <c r="H9" s="153">
        <v>150</v>
      </c>
      <c r="I9" s="153">
        <v>200</v>
      </c>
      <c r="J9" s="153">
        <v>200</v>
      </c>
      <c r="K9" s="153">
        <v>219</v>
      </c>
      <c r="L9" s="153">
        <v>7.5</v>
      </c>
      <c r="M9" s="153">
        <v>80</v>
      </c>
      <c r="N9" s="153">
        <v>50</v>
      </c>
      <c r="O9" s="153">
        <v>1075.4000000000001</v>
      </c>
      <c r="P9" s="154">
        <v>6673757</v>
      </c>
      <c r="Q9" s="153" t="s">
        <v>223</v>
      </c>
      <c r="R9" s="155" t="s">
        <v>224</v>
      </c>
    </row>
    <row r="10" spans="1:18" ht="30.75" customHeight="1">
      <c r="A10" s="147" t="s">
        <v>194</v>
      </c>
      <c r="B10" s="148" t="s">
        <v>196</v>
      </c>
      <c r="C10" s="148" t="s">
        <v>225</v>
      </c>
      <c r="D10" s="148" t="s">
        <v>226</v>
      </c>
      <c r="E10" s="148"/>
      <c r="F10" s="148"/>
      <c r="G10" s="148">
        <v>200</v>
      </c>
      <c r="H10" s="148">
        <v>170</v>
      </c>
      <c r="I10" s="148">
        <v>200</v>
      </c>
      <c r="J10" s="149">
        <v>210</v>
      </c>
      <c r="K10" s="148">
        <v>240</v>
      </c>
      <c r="L10" s="148">
        <v>7.5</v>
      </c>
      <c r="M10" s="148">
        <v>80</v>
      </c>
      <c r="N10" s="148">
        <v>50</v>
      </c>
      <c r="O10" s="148">
        <v>1075.4000000000001</v>
      </c>
      <c r="P10" s="151">
        <v>6673757</v>
      </c>
      <c r="Q10" s="148" t="s">
        <v>227</v>
      </c>
      <c r="R10" s="150" t="s">
        <v>228</v>
      </c>
    </row>
    <row r="11" spans="1:18" ht="30.75" customHeight="1">
      <c r="A11" s="147" t="s">
        <v>195</v>
      </c>
      <c r="B11" s="148" t="s">
        <v>196</v>
      </c>
      <c r="C11" s="148" t="s">
        <v>229</v>
      </c>
      <c r="D11" s="148" t="s">
        <v>230</v>
      </c>
      <c r="E11" s="148"/>
      <c r="F11" s="148"/>
      <c r="G11" s="148">
        <v>200</v>
      </c>
      <c r="H11" s="148">
        <v>150</v>
      </c>
      <c r="I11" s="148">
        <v>400</v>
      </c>
      <c r="J11" s="149">
        <v>410</v>
      </c>
      <c r="K11" s="148">
        <v>614</v>
      </c>
      <c r="L11" s="148">
        <v>10</v>
      </c>
      <c r="M11" s="148">
        <v>80</v>
      </c>
      <c r="N11" s="148">
        <v>65</v>
      </c>
      <c r="O11" s="148">
        <v>875.4</v>
      </c>
      <c r="P11" s="151">
        <v>6673757</v>
      </c>
      <c r="Q11" s="148" t="s">
        <v>231</v>
      </c>
      <c r="R11" s="150" t="s">
        <v>232</v>
      </c>
    </row>
    <row r="12" spans="1:18" s="103" customFormat="1" ht="30.75" customHeight="1">
      <c r="A12" s="152" t="s">
        <v>233</v>
      </c>
      <c r="B12" s="153" t="s">
        <v>196</v>
      </c>
      <c r="C12" s="153" t="s">
        <v>239</v>
      </c>
      <c r="D12" s="153" t="s">
        <v>236</v>
      </c>
      <c r="E12" s="153"/>
      <c r="F12" s="153"/>
      <c r="G12" s="153">
        <v>200</v>
      </c>
      <c r="H12" s="153">
        <v>150</v>
      </c>
      <c r="I12" s="153">
        <v>200</v>
      </c>
      <c r="J12" s="153">
        <v>200</v>
      </c>
      <c r="K12" s="153">
        <v>205</v>
      </c>
      <c r="L12" s="153">
        <v>7.5</v>
      </c>
      <c r="M12" s="153">
        <v>70</v>
      </c>
      <c r="N12" s="153">
        <v>50</v>
      </c>
      <c r="O12" s="153">
        <v>535.29999999999995</v>
      </c>
      <c r="P12" s="154">
        <v>3338604</v>
      </c>
      <c r="Q12" s="153" t="s">
        <v>237</v>
      </c>
      <c r="R12" s="155" t="s">
        <v>238</v>
      </c>
    </row>
    <row r="13" spans="1:18" ht="30.75" customHeight="1">
      <c r="A13" s="147" t="s">
        <v>234</v>
      </c>
      <c r="B13" s="148" t="s">
        <v>196</v>
      </c>
      <c r="C13" s="148" t="s">
        <v>240</v>
      </c>
      <c r="D13" s="148" t="s">
        <v>241</v>
      </c>
      <c r="E13" s="148"/>
      <c r="F13" s="148"/>
      <c r="G13" s="148">
        <v>200</v>
      </c>
      <c r="H13" s="148">
        <v>150</v>
      </c>
      <c r="I13" s="148">
        <v>300</v>
      </c>
      <c r="J13" s="149">
        <v>310</v>
      </c>
      <c r="K13" s="148">
        <v>453</v>
      </c>
      <c r="L13" s="148">
        <v>7.5</v>
      </c>
      <c r="M13" s="148">
        <v>70</v>
      </c>
      <c r="N13" s="148">
        <v>50</v>
      </c>
      <c r="O13" s="148">
        <v>435.3</v>
      </c>
      <c r="P13" s="151">
        <v>3338604</v>
      </c>
      <c r="Q13" s="148" t="s">
        <v>242</v>
      </c>
      <c r="R13" s="150" t="s">
        <v>243</v>
      </c>
    </row>
    <row r="14" spans="1:18" ht="30.75" customHeight="1" thickBot="1">
      <c r="A14" s="156" t="s">
        <v>235</v>
      </c>
      <c r="B14" s="157" t="s">
        <v>196</v>
      </c>
      <c r="C14" s="157" t="s">
        <v>244</v>
      </c>
      <c r="D14" s="157" t="s">
        <v>245</v>
      </c>
      <c r="E14" s="157"/>
      <c r="F14" s="157"/>
      <c r="G14" s="157">
        <v>250</v>
      </c>
      <c r="H14" s="157">
        <v>100</v>
      </c>
      <c r="I14" s="157">
        <v>150</v>
      </c>
      <c r="J14" s="158">
        <v>150</v>
      </c>
      <c r="K14" s="157">
        <v>160</v>
      </c>
      <c r="L14" s="157">
        <v>7.5</v>
      </c>
      <c r="M14" s="157">
        <v>60</v>
      </c>
      <c r="N14" s="157">
        <v>50</v>
      </c>
      <c r="O14" s="157">
        <v>118.5</v>
      </c>
      <c r="P14" s="159">
        <v>1451270</v>
      </c>
      <c r="Q14" s="157" t="s">
        <v>246</v>
      </c>
      <c r="R14" s="160" t="s">
        <v>247</v>
      </c>
    </row>
    <row r="15" spans="1:18" ht="30.75" customHeight="1" thickBot="1">
      <c r="A15" s="169" t="s">
        <v>235</v>
      </c>
      <c r="B15" s="170" t="s">
        <v>196</v>
      </c>
      <c r="C15" s="170" t="s">
        <v>244</v>
      </c>
      <c r="D15" s="170" t="s">
        <v>245</v>
      </c>
      <c r="E15" s="170"/>
      <c r="F15" s="170"/>
      <c r="G15" s="170">
        <v>250</v>
      </c>
      <c r="H15" s="170">
        <v>100</v>
      </c>
      <c r="I15" s="170">
        <v>150</v>
      </c>
      <c r="J15" s="158">
        <v>150</v>
      </c>
      <c r="K15" s="170">
        <v>160</v>
      </c>
      <c r="L15" s="170">
        <v>7.5</v>
      </c>
      <c r="M15" s="170">
        <v>60</v>
      </c>
      <c r="N15" s="170">
        <v>50</v>
      </c>
      <c r="O15" s="170">
        <v>118.5</v>
      </c>
      <c r="P15" s="159">
        <v>1451270</v>
      </c>
      <c r="Q15" s="170" t="s">
        <v>246</v>
      </c>
      <c r="R15" s="171" t="s">
        <v>247</v>
      </c>
    </row>
    <row r="16" spans="1:18" ht="23.25" customHeight="1"/>
  </sheetData>
  <mergeCells count="18">
    <mergeCell ref="A2:A3"/>
    <mergeCell ref="C2:C3"/>
    <mergeCell ref="D2:D3"/>
    <mergeCell ref="F2:F3"/>
    <mergeCell ref="J2:J3"/>
    <mergeCell ref="E2:E3"/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0" r:id="rId4" name="CommandButton2">
          <controlPr defaultSize="0" autoLine="0" r:id="rId5">
            <anchor moveWithCells="1">
              <from>
                <xdr:col>2</xdr:col>
                <xdr:colOff>971550</xdr:colOff>
                <xdr:row>0</xdr:row>
                <xdr:rowOff>76200</xdr:rowOff>
              </from>
              <to>
                <xdr:col>3</xdr:col>
                <xdr:colOff>1543050</xdr:colOff>
                <xdr:row>0</xdr:row>
                <xdr:rowOff>533400</xdr:rowOff>
              </to>
            </anchor>
          </controlPr>
        </control>
      </mc:Choice>
      <mc:Fallback>
        <control shapeId="99330" r:id="rId4" name="CommandButton2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L5" sqref="L5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188</v>
      </c>
      <c r="C2" s="2" t="str">
        <f>Well!D4</f>
        <v>주포면 봉당리 647</v>
      </c>
      <c r="I2"/>
      <c r="J2"/>
      <c r="K2"/>
      <c r="L2"/>
    </row>
    <row r="3" spans="1:12" ht="26.1" customHeight="1">
      <c r="B3" s="3" t="s">
        <v>63</v>
      </c>
      <c r="C3" s="176" t="str">
        <f>Well!C4</f>
        <v>제2009-14호</v>
      </c>
      <c r="D3" s="4" t="s">
        <v>64</v>
      </c>
      <c r="E3" s="5" t="s">
        <v>146</v>
      </c>
      <c r="F3" s="6" t="s">
        <v>135</v>
      </c>
      <c r="G3" s="3" t="s">
        <v>65</v>
      </c>
      <c r="I3" s="117" t="s">
        <v>276</v>
      </c>
      <c r="J3" s="118">
        <v>2.9695000648498535</v>
      </c>
      <c r="K3" s="121">
        <f>ROUND(J3,4)</f>
        <v>2.9695</v>
      </c>
      <c r="L3"/>
    </row>
    <row r="4" spans="1:12" ht="26.1" customHeight="1">
      <c r="B4" s="7" t="s">
        <v>66</v>
      </c>
      <c r="C4" s="177" t="str">
        <f>Well!R4</f>
        <v>0, 0, 0</v>
      </c>
      <c r="D4" s="8" t="s">
        <v>67</v>
      </c>
      <c r="E4" s="9">
        <v>0</v>
      </c>
      <c r="F4" s="10"/>
      <c r="G4" s="11"/>
      <c r="I4" s="116" t="s">
        <v>277</v>
      </c>
      <c r="J4" s="115">
        <v>68</v>
      </c>
      <c r="K4" s="122">
        <f>ROUND(J4,1)</f>
        <v>68</v>
      </c>
      <c r="L4"/>
    </row>
    <row r="5" spans="1:12" ht="26.1" customHeight="1">
      <c r="B5" s="7" t="s">
        <v>68</v>
      </c>
      <c r="C5" s="177" t="str">
        <f>Well!Q4</f>
        <v>0, 0, 0</v>
      </c>
      <c r="D5" s="8" t="s">
        <v>69</v>
      </c>
      <c r="E5" s="50">
        <v>3.073</v>
      </c>
      <c r="F5" s="51">
        <f>$E$5/$C$14</f>
        <v>4.5191176470588235E-2</v>
      </c>
      <c r="G5" s="11">
        <v>6.9300000000000004E-4</v>
      </c>
      <c r="I5" s="116" t="s">
        <v>278</v>
      </c>
      <c r="J5" s="115">
        <v>224</v>
      </c>
      <c r="K5" s="122">
        <f>ROUND(J5,1)</f>
        <v>224</v>
      </c>
      <c r="L5"/>
    </row>
    <row r="6" spans="1:12" ht="26.1" customHeight="1" thickBot="1">
      <c r="B6" s="7" t="s">
        <v>70</v>
      </c>
      <c r="C6" s="178" t="str">
        <f>Well!D4</f>
        <v>주포면 봉당리 647</v>
      </c>
      <c r="D6" s="8" t="s">
        <v>72</v>
      </c>
      <c r="E6" s="9">
        <v>2.8660000000000001</v>
      </c>
      <c r="F6" s="51">
        <f>$E$6/$C$14</f>
        <v>4.2147058823529412E-2</v>
      </c>
      <c r="G6" s="11" t="s">
        <v>73</v>
      </c>
      <c r="I6" s="119" t="s">
        <v>279</v>
      </c>
      <c r="J6" s="120">
        <v>5.5922865867614746E-3</v>
      </c>
      <c r="K6" s="123">
        <f>ROUND(J6,4)</f>
        <v>5.5999999999999999E-3</v>
      </c>
      <c r="L6"/>
    </row>
    <row r="7" spans="1:12" ht="26.1" customHeight="1" thickBot="1">
      <c r="B7" s="7" t="s">
        <v>71</v>
      </c>
      <c r="C7" s="179">
        <f>Well!H4</f>
        <v>80</v>
      </c>
      <c r="D7" s="48" t="s">
        <v>75</v>
      </c>
      <c r="E7" s="49">
        <f>(E5+E6)/2</f>
        <v>2.9695</v>
      </c>
      <c r="F7" s="52">
        <f>$E$7/$C$14</f>
        <v>4.3669117647058824E-2</v>
      </c>
      <c r="G7" s="48">
        <f>G5</f>
        <v>6.9300000000000004E-4</v>
      </c>
      <c r="I7"/>
      <c r="J7"/>
      <c r="K7"/>
      <c r="L7"/>
    </row>
    <row r="8" spans="1:12" ht="26.1" customHeight="1" thickBot="1">
      <c r="B8" s="7" t="s">
        <v>74</v>
      </c>
      <c r="C8" s="179">
        <f>Well!G4</f>
        <v>250</v>
      </c>
    </row>
    <row r="9" spans="1:12" ht="26.1" customHeight="1" thickBot="1">
      <c r="B9" s="7" t="s">
        <v>76</v>
      </c>
      <c r="C9" s="179">
        <f>C10+C11</f>
        <v>12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128.80000000000001</v>
      </c>
      <c r="F10" s="17">
        <v>157.80000000000001</v>
      </c>
      <c r="G10" s="18">
        <v>94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126.9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68</v>
      </c>
      <c r="H12" s="23"/>
      <c r="J12" s="67" t="s">
        <v>147</v>
      </c>
      <c r="K12" s="68">
        <v>44</v>
      </c>
      <c r="L12" s="104">
        <f>K12+180</f>
        <v>224</v>
      </c>
    </row>
    <row r="13" spans="1:12" ht="26.1" customHeight="1">
      <c r="A13" s="21">
        <f>C10+C11+C12+C13</f>
        <v>80</v>
      </c>
      <c r="B13" s="7" t="s">
        <v>82</v>
      </c>
      <c r="C13" s="177"/>
      <c r="H13" s="24"/>
      <c r="J13" s="54" t="s">
        <v>139</v>
      </c>
      <c r="K13" s="55">
        <v>726</v>
      </c>
      <c r="L13" s="69"/>
    </row>
    <row r="14" spans="1:12" ht="26.1" customHeight="1">
      <c r="B14" s="7" t="s">
        <v>83</v>
      </c>
      <c r="C14" s="180">
        <f>C7-IF(C20&gt;C9,C20,C9)</f>
        <v>68</v>
      </c>
      <c r="H14" s="24"/>
      <c r="J14" s="56" t="s">
        <v>140</v>
      </c>
      <c r="K14" s="57">
        <v>18</v>
      </c>
      <c r="L14" s="69"/>
    </row>
    <row r="15" spans="1:12" ht="26.1" customHeight="1" thickBot="1">
      <c r="B15" s="7" t="s">
        <v>84</v>
      </c>
      <c r="C15" s="179">
        <f>Well!I4</f>
        <v>250</v>
      </c>
      <c r="E15" s="66">
        <v>1</v>
      </c>
      <c r="J15" s="56" t="s">
        <v>141</v>
      </c>
      <c r="K15" s="57">
        <v>8</v>
      </c>
      <c r="L15" s="69"/>
    </row>
    <row r="16" spans="1:12" ht="26.1" customHeight="1">
      <c r="B16" s="7" t="s">
        <v>85</v>
      </c>
      <c r="C16" s="181">
        <f>Well!J4</f>
        <v>250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12.059999999999999</v>
      </c>
      <c r="L16" s="69"/>
    </row>
    <row r="17" spans="2:12" ht="26.1" customHeight="1" thickBot="1">
      <c r="B17" s="7" t="s">
        <v>86</v>
      </c>
      <c r="C17" s="179">
        <f>Well!L4</f>
        <v>5</v>
      </c>
      <c r="E17" s="27">
        <f>Well!P4</f>
        <v>2932369</v>
      </c>
      <c r="F17" s="46">
        <f>(max*rf_1*E17/1000)</f>
        <v>538521.94269060006</v>
      </c>
      <c r="G17" s="44">
        <f>F17*allow_ratio</f>
        <v>360809.70160270209</v>
      </c>
      <c r="J17" s="56" t="s">
        <v>142</v>
      </c>
      <c r="K17" s="58">
        <f>K16-K15</f>
        <v>4.0599999999999987</v>
      </c>
      <c r="L17" s="69"/>
    </row>
    <row r="18" spans="2:12" ht="26.1" customHeight="1" thickBot="1">
      <c r="B18" s="7" t="s">
        <v>87</v>
      </c>
      <c r="C18" s="179">
        <f>Well!M4</f>
        <v>70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5.5922865013774085E-3</v>
      </c>
      <c r="L18" s="70">
        <f>K18*100</f>
        <v>0.55922865013774081</v>
      </c>
    </row>
    <row r="19" spans="2:12" ht="26.1" customHeight="1" thickBot="1">
      <c r="B19" s="26" t="s">
        <v>91</v>
      </c>
      <c r="C19" s="182">
        <f>Well!N4</f>
        <v>50</v>
      </c>
      <c r="E19" s="186">
        <f>E17</f>
        <v>2932369</v>
      </c>
      <c r="F19" s="46">
        <f>(max*rf_1*E19/1000)/365</f>
        <v>1475.4025827139728</v>
      </c>
      <c r="G19" s="44">
        <f>F19*allow_ratio</f>
        <v>988.51973041836186</v>
      </c>
    </row>
    <row r="20" spans="2:12" ht="26.1" customHeight="1">
      <c r="B20" s="28" t="s">
        <v>92</v>
      </c>
      <c r="C20" s="183">
        <v>5.94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53.83</v>
      </c>
      <c r="D21" s="21"/>
      <c r="E21" s="187">
        <f>Well!$I$4</f>
        <v>250</v>
      </c>
      <c r="F21" s="188">
        <f>Well!O4</f>
        <v>418.6</v>
      </c>
      <c r="G21" s="44">
        <f>G19-E21-F21</f>
        <v>319.91973041836184</v>
      </c>
    </row>
    <row r="22" spans="2:12" ht="26.1" customHeight="1" thickBot="1">
      <c r="B22" s="168" t="s">
        <v>286</v>
      </c>
      <c r="C22" s="185">
        <f>C21-C20</f>
        <v>47.89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128</v>
      </c>
      <c r="C26" s="190" t="s">
        <v>129</v>
      </c>
      <c r="D26" s="192">
        <f>C20</f>
        <v>5.94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0.55922865013774081</v>
      </c>
      <c r="I26" s="192" t="s">
        <v>185</v>
      </c>
      <c r="J26" s="192">
        <f>(E7/C14)/864</f>
        <v>5.0542960239651416E-5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2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35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30</v>
      </c>
      <c r="I29" s="198">
        <f t="shared" si="0"/>
        <v>16</v>
      </c>
      <c r="J29" s="198">
        <f t="shared" si="0"/>
        <v>4</v>
      </c>
      <c r="K29" s="198">
        <f>SUM(D29:J29)</f>
        <v>146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3">
          <controlPr defaultSize="0" autoLine="0" r:id="rId5">
            <anchor moveWithCells="1">
              <from>
                <xdr:col>7</xdr:col>
                <xdr:colOff>304800</xdr:colOff>
                <xdr:row>13</xdr:row>
                <xdr:rowOff>76200</xdr:rowOff>
              </from>
              <to>
                <xdr:col>8</xdr:col>
                <xdr:colOff>1314450</xdr:colOff>
                <xdr:row>14</xdr:row>
                <xdr:rowOff>171450</xdr:rowOff>
              </to>
            </anchor>
          </controlPr>
        </control>
      </mc:Choice>
      <mc:Fallback>
        <control shapeId="3094" r:id="rId4" name="CommandButton3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304800</xdr:colOff>
                <xdr:row>11</xdr:row>
                <xdr:rowOff>228600</xdr:rowOff>
              </from>
              <to>
                <xdr:col>8</xdr:col>
                <xdr:colOff>1314450</xdr:colOff>
                <xdr:row>13</xdr:row>
                <xdr:rowOff>0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2" r:id="rId8" name="CommandButton1">
          <controlPr defaultSize="0" autoLine="0" r:id="rId9">
            <anchor moveWithCells="1">
              <from>
                <xdr:col>7</xdr:col>
                <xdr:colOff>304800</xdr:colOff>
                <xdr:row>10</xdr:row>
                <xdr:rowOff>66675</xdr:rowOff>
              </from>
              <to>
                <xdr:col>8</xdr:col>
                <xdr:colOff>1314450</xdr:colOff>
                <xdr:row>11</xdr:row>
                <xdr:rowOff>161925</xdr:rowOff>
              </to>
            </anchor>
          </controlPr>
        </control>
      </mc:Choice>
      <mc:Fallback>
        <control shapeId="309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0000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19.33203125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189</v>
      </c>
      <c r="C2" s="2" t="str">
        <f>Well!D5</f>
        <v>천북면 신덕리 산 65</v>
      </c>
    </row>
    <row r="3" spans="1:12" ht="26.1" customHeight="1">
      <c r="B3" s="3" t="s">
        <v>6</v>
      </c>
      <c r="C3" s="176" t="str">
        <f>Well!C5</f>
        <v>제2009-18호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1.2860000133514404</v>
      </c>
      <c r="K3" s="112">
        <f>ROUND(J3,4)</f>
        <v>1.286</v>
      </c>
    </row>
    <row r="4" spans="1:12" ht="26.1" customHeight="1">
      <c r="B4" s="7" t="s">
        <v>66</v>
      </c>
      <c r="C4" s="177" t="str">
        <f>Well!R5</f>
        <v>0, 0, 0</v>
      </c>
      <c r="D4" s="8" t="s">
        <v>67</v>
      </c>
      <c r="E4" s="9">
        <v>0</v>
      </c>
      <c r="F4" s="10"/>
      <c r="G4" s="11"/>
      <c r="I4" s="107" t="s">
        <v>277</v>
      </c>
      <c r="J4" s="106">
        <v>137</v>
      </c>
      <c r="K4" s="113">
        <f>ROUND(J4,1)</f>
        <v>137</v>
      </c>
    </row>
    <row r="5" spans="1:12" ht="26.1" customHeight="1">
      <c r="B5" s="7" t="s">
        <v>68</v>
      </c>
      <c r="C5" s="177" t="str">
        <f>Well!Q5</f>
        <v>0, 0, 0</v>
      </c>
      <c r="D5" s="8" t="s">
        <v>69</v>
      </c>
      <c r="E5" s="50">
        <v>1.2509999999999999</v>
      </c>
      <c r="F5" s="51">
        <f>$E$5/$C$14</f>
        <v>9.1313868613138675E-3</v>
      </c>
      <c r="G5" s="11">
        <v>8.8619999999999997E-4</v>
      </c>
      <c r="I5" s="107" t="s">
        <v>278</v>
      </c>
      <c r="J5" s="106">
        <v>168</v>
      </c>
      <c r="K5" s="113">
        <f>ROUND(J5,1)</f>
        <v>168</v>
      </c>
    </row>
    <row r="6" spans="1:12" ht="26.1" customHeight="1" thickBot="1">
      <c r="B6" s="7" t="s">
        <v>70</v>
      </c>
      <c r="C6" s="178" t="str">
        <f>Well!D5</f>
        <v>천북면 신덕리 산 65</v>
      </c>
      <c r="D6" s="8" t="s">
        <v>72</v>
      </c>
      <c r="E6" s="9">
        <v>1.321</v>
      </c>
      <c r="F6" s="51">
        <f>$E$6/$C$14</f>
        <v>9.6423357664233572E-3</v>
      </c>
      <c r="G6" s="11" t="s">
        <v>73</v>
      </c>
      <c r="I6" s="110" t="s">
        <v>279</v>
      </c>
      <c r="J6" s="111">
        <v>2.0621242001652718E-2</v>
      </c>
      <c r="K6" s="114">
        <f>ROUND(J6,4)</f>
        <v>2.06E-2</v>
      </c>
    </row>
    <row r="7" spans="1:12" ht="26.1" customHeight="1" thickBot="1">
      <c r="B7" s="7" t="s">
        <v>71</v>
      </c>
      <c r="C7" s="179">
        <f>Well!H5</f>
        <v>150</v>
      </c>
      <c r="D7" s="48" t="s">
        <v>75</v>
      </c>
      <c r="E7" s="49">
        <f>(E5+E6)/2</f>
        <v>1.286</v>
      </c>
      <c r="F7" s="52">
        <f>$E$7/$C$14</f>
        <v>9.3868613138686132E-3</v>
      </c>
      <c r="G7" s="48">
        <f>G5</f>
        <v>8.8619999999999997E-4</v>
      </c>
    </row>
    <row r="8" spans="1:12" ht="26.1" customHeight="1" thickBot="1">
      <c r="B8" s="7" t="s">
        <v>74</v>
      </c>
      <c r="C8" s="179">
        <f>Well!G5</f>
        <v>250</v>
      </c>
    </row>
    <row r="9" spans="1:12" ht="26.1" customHeight="1" thickBot="1">
      <c r="B9" s="7" t="s">
        <v>76</v>
      </c>
      <c r="C9" s="179">
        <f>C10+C11</f>
        <v>13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67.400000000000006</v>
      </c>
      <c r="F10" s="17">
        <v>82.5</v>
      </c>
      <c r="G10" s="18">
        <v>55.9</v>
      </c>
      <c r="H10" s="19"/>
      <c r="I10" s="20"/>
    </row>
    <row r="11" spans="1:12" ht="26.1" customHeight="1" thickBot="1">
      <c r="B11" s="7" t="s">
        <v>79</v>
      </c>
      <c r="C11" s="177">
        <v>9</v>
      </c>
      <c r="D11" s="47" t="s">
        <v>80</v>
      </c>
      <c r="E11" s="65">
        <f>ROUND(AVERAGE(E10:G10),1)</f>
        <v>68.599999999999994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137</v>
      </c>
      <c r="H12" s="23"/>
      <c r="J12" s="67" t="s">
        <v>147</v>
      </c>
      <c r="K12" s="105">
        <v>168</v>
      </c>
      <c r="L12" s="95">
        <f>K12+180</f>
        <v>348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499</v>
      </c>
      <c r="L13" s="69"/>
    </row>
    <row r="14" spans="1:12" ht="26.1" customHeight="1">
      <c r="B14" s="7" t="s">
        <v>83</v>
      </c>
      <c r="C14" s="180">
        <f>C7-IF(C20&gt;C9,C20,C9)</f>
        <v>137</v>
      </c>
      <c r="H14" s="24"/>
      <c r="J14" s="56" t="s">
        <v>140</v>
      </c>
      <c r="K14" s="57">
        <v>26</v>
      </c>
      <c r="L14" s="69"/>
    </row>
    <row r="15" spans="1:12" ht="26.1" customHeight="1" thickBot="1">
      <c r="B15" s="7" t="s">
        <v>84</v>
      </c>
      <c r="C15" s="179">
        <f>Well!I5</f>
        <v>161</v>
      </c>
      <c r="E15" s="66">
        <v>2</v>
      </c>
      <c r="J15" s="56" t="s">
        <v>141</v>
      </c>
      <c r="K15" s="57">
        <v>8</v>
      </c>
      <c r="L15" s="69"/>
    </row>
    <row r="16" spans="1:12" ht="26.1" customHeight="1">
      <c r="B16" s="7" t="s">
        <v>85</v>
      </c>
      <c r="C16" s="181">
        <f>Well!J5</f>
        <v>170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18.29</v>
      </c>
      <c r="L16" s="69"/>
    </row>
    <row r="17" spans="2:12" ht="26.1" customHeight="1" thickBot="1">
      <c r="B17" s="7" t="s">
        <v>86</v>
      </c>
      <c r="C17" s="179">
        <f>Well!L5</f>
        <v>5</v>
      </c>
      <c r="E17" s="27">
        <f>Well!P5</f>
        <v>1927970</v>
      </c>
      <c r="F17" s="46">
        <f>(max*rf_1*E17/1000)</f>
        <v>354066.67777800001</v>
      </c>
      <c r="G17" s="44">
        <f>F17*allow_ratio</f>
        <v>237224.67411126001</v>
      </c>
      <c r="J17" s="56" t="s">
        <v>142</v>
      </c>
      <c r="K17" s="58">
        <f>K16-K15</f>
        <v>10.29</v>
      </c>
      <c r="L17" s="69"/>
    </row>
    <row r="18" spans="2:12" ht="26.1" customHeight="1" thickBot="1">
      <c r="B18" s="7" t="s">
        <v>87</v>
      </c>
      <c r="C18" s="179">
        <f>Well!M5</f>
        <v>100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2.0621242484969937E-2</v>
      </c>
      <c r="L18" s="70">
        <f>K18*100</f>
        <v>2.0621242484969935</v>
      </c>
    </row>
    <row r="19" spans="2:12" ht="26.1" customHeight="1" thickBot="1">
      <c r="B19" s="26" t="s">
        <v>91</v>
      </c>
      <c r="C19" s="182">
        <f>Well!N5</f>
        <v>50</v>
      </c>
      <c r="E19" s="186">
        <f>E17</f>
        <v>1927970</v>
      </c>
      <c r="F19" s="46">
        <f>(max*rf_1*E19/1000)/365</f>
        <v>970.04569254246576</v>
      </c>
      <c r="G19" s="44">
        <f>F19*allow_ratio</f>
        <v>649.93061400345209</v>
      </c>
    </row>
    <row r="20" spans="2:12" ht="26.1" customHeight="1">
      <c r="B20" s="28" t="s">
        <v>92</v>
      </c>
      <c r="C20" s="183">
        <v>7.71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82.3</v>
      </c>
      <c r="D21" s="21"/>
      <c r="E21" s="187">
        <f>Well!$I$5</f>
        <v>161</v>
      </c>
      <c r="F21" s="188">
        <f>Well!O5</f>
        <v>290.89999999999998</v>
      </c>
      <c r="G21" s="44">
        <f>G19-E21-F21</f>
        <v>198.03061400345211</v>
      </c>
    </row>
    <row r="22" spans="2:12" ht="26.1" customHeight="1" thickBot="1">
      <c r="B22" s="168" t="s">
        <v>286</v>
      </c>
      <c r="C22" s="185">
        <f>C21-C20</f>
        <v>74.59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7.71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2.0621242484969935</v>
      </c>
      <c r="I26" s="192" t="s">
        <v>185</v>
      </c>
      <c r="J26" s="192">
        <f>(E7/C14)/864</f>
        <v>1.0864422816977561E-5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35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27</v>
      </c>
      <c r="I29" s="198">
        <f t="shared" si="0"/>
        <v>16</v>
      </c>
      <c r="J29" s="198">
        <f t="shared" si="0"/>
        <v>2</v>
      </c>
      <c r="K29" s="198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197</v>
      </c>
      <c r="C2" s="2" t="str">
        <f>Well!D6</f>
        <v>청라면 장산리 822</v>
      </c>
    </row>
    <row r="3" spans="1:12" ht="26.1" customHeight="1">
      <c r="B3" s="3" t="s">
        <v>6</v>
      </c>
      <c r="C3" s="176" t="str">
        <f>Well!C6</f>
        <v>제2009-16호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2.192500114440918</v>
      </c>
      <c r="K3" s="112">
        <f>ROUND(J3,4)</f>
        <v>2.1924999999999999</v>
      </c>
    </row>
    <row r="4" spans="1:12" ht="26.1" customHeight="1">
      <c r="B4" s="7" t="s">
        <v>66</v>
      </c>
      <c r="C4" s="177" t="str">
        <f>Well!R6</f>
        <v>0, 0, 0</v>
      </c>
      <c r="D4" s="8" t="s">
        <v>67</v>
      </c>
      <c r="E4" s="9">
        <v>0</v>
      </c>
      <c r="F4" s="10"/>
      <c r="G4" s="11"/>
      <c r="I4" s="107" t="s">
        <v>277</v>
      </c>
      <c r="J4" s="106">
        <v>69</v>
      </c>
      <c r="K4" s="113">
        <f>ROUND(J4,1)</f>
        <v>69</v>
      </c>
    </row>
    <row r="5" spans="1:12" ht="26.1" customHeight="1">
      <c r="B5" s="7" t="s">
        <v>68</v>
      </c>
      <c r="C5" s="177" t="str">
        <f>Well!Q6</f>
        <v>0, 0, 0</v>
      </c>
      <c r="D5" s="8" t="s">
        <v>69</v>
      </c>
      <c r="E5" s="50">
        <v>2.2799999999999998</v>
      </c>
      <c r="F5" s="51">
        <f>$E$5/$C$14</f>
        <v>3.3043478260869563E-2</v>
      </c>
      <c r="G5" s="11">
        <v>7.2939999999999995E-4</v>
      </c>
      <c r="I5" s="107" t="s">
        <v>278</v>
      </c>
      <c r="J5" s="106">
        <v>346</v>
      </c>
      <c r="K5" s="113">
        <f>ROUND(J5,1)</f>
        <v>346</v>
      </c>
    </row>
    <row r="6" spans="1:12" ht="26.1" customHeight="1" thickBot="1">
      <c r="B6" s="7" t="s">
        <v>70</v>
      </c>
      <c r="C6" s="178" t="str">
        <f>Well!D6</f>
        <v>청라면 장산리 822</v>
      </c>
      <c r="D6" s="8" t="s">
        <v>72</v>
      </c>
      <c r="E6" s="9">
        <v>2.105</v>
      </c>
      <c r="F6" s="51">
        <f>$E$6/$C$14</f>
        <v>3.0507246376811594E-2</v>
      </c>
      <c r="G6" s="11" t="s">
        <v>73</v>
      </c>
      <c r="I6" s="110" t="s">
        <v>279</v>
      </c>
      <c r="J6" s="111">
        <v>2.7472177520394325E-2</v>
      </c>
      <c r="K6" s="114">
        <f>ROUND(J6,4)</f>
        <v>2.75E-2</v>
      </c>
    </row>
    <row r="7" spans="1:12" ht="26.1" customHeight="1" thickBot="1">
      <c r="B7" s="7" t="s">
        <v>71</v>
      </c>
      <c r="C7" s="179">
        <f>Well!H6</f>
        <v>80</v>
      </c>
      <c r="D7" s="48" t="s">
        <v>75</v>
      </c>
      <c r="E7" s="49">
        <f>(E5+E6)/2</f>
        <v>2.1924999999999999</v>
      </c>
      <c r="F7" s="52">
        <f>$E$7/$C$14</f>
        <v>3.177536231884058E-2</v>
      </c>
      <c r="G7" s="48">
        <f>G5</f>
        <v>7.2939999999999995E-4</v>
      </c>
    </row>
    <row r="8" spans="1:12" ht="26.1" customHeight="1" thickBot="1">
      <c r="B8" s="7" t="s">
        <v>74</v>
      </c>
      <c r="C8" s="179">
        <f>Well!G6</f>
        <v>250</v>
      </c>
    </row>
    <row r="9" spans="1:12" ht="26.1" customHeight="1" thickBot="1">
      <c r="B9" s="7" t="s">
        <v>76</v>
      </c>
      <c r="C9" s="179">
        <f>C10+C11</f>
        <v>11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3</v>
      </c>
      <c r="D10" s="15" t="s">
        <v>78</v>
      </c>
      <c r="E10" s="16">
        <v>98.2</v>
      </c>
      <c r="F10" s="17">
        <v>120.3</v>
      </c>
      <c r="G10" s="18">
        <v>80.5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99.7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69</v>
      </c>
      <c r="H12" s="23"/>
      <c r="J12" s="67" t="s">
        <v>147</v>
      </c>
      <c r="K12" s="68">
        <v>166</v>
      </c>
      <c r="L12" s="104">
        <f>K12+180</f>
        <v>346</v>
      </c>
    </row>
    <row r="13" spans="1:12" ht="26.1" customHeight="1">
      <c r="A13" s="21">
        <f>C10+C11+C12+C13</f>
        <v>80</v>
      </c>
      <c r="B13" s="7" t="s">
        <v>82</v>
      </c>
      <c r="C13" s="177"/>
      <c r="H13" s="24"/>
      <c r="J13" s="54" t="s">
        <v>139</v>
      </c>
      <c r="K13" s="55">
        <v>629</v>
      </c>
      <c r="L13" s="69"/>
    </row>
    <row r="14" spans="1:12" ht="26.1" customHeight="1">
      <c r="B14" s="7" t="s">
        <v>83</v>
      </c>
      <c r="C14" s="180">
        <f>C7-IF(C20&gt;C9,C20,C9)</f>
        <v>69</v>
      </c>
      <c r="H14" s="24"/>
      <c r="J14" s="56" t="s">
        <v>140</v>
      </c>
      <c r="K14" s="57">
        <v>75</v>
      </c>
      <c r="L14" s="69"/>
    </row>
    <row r="15" spans="1:12" ht="26.1" customHeight="1" thickBot="1">
      <c r="B15" s="7" t="s">
        <v>84</v>
      </c>
      <c r="C15" s="179">
        <f>Well!I6</f>
        <v>151</v>
      </c>
      <c r="E15" s="66">
        <v>3</v>
      </c>
      <c r="J15" s="56" t="s">
        <v>141</v>
      </c>
      <c r="K15" s="57">
        <v>53</v>
      </c>
      <c r="L15" s="69"/>
    </row>
    <row r="16" spans="1:12" ht="26.1" customHeight="1">
      <c r="B16" s="7" t="s">
        <v>85</v>
      </c>
      <c r="C16" s="181">
        <f>Well!J6</f>
        <v>151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70.28</v>
      </c>
      <c r="L16" s="69"/>
    </row>
    <row r="17" spans="2:12" ht="26.1" customHeight="1" thickBot="1">
      <c r="B17" s="7" t="s">
        <v>86</v>
      </c>
      <c r="C17" s="179">
        <f>Well!L6</f>
        <v>3</v>
      </c>
      <c r="E17" s="27">
        <f>Well!P6</f>
        <v>2714853</v>
      </c>
      <c r="F17" s="46">
        <f>(max*rf_1*E17/1000)</f>
        <v>498575.69483220001</v>
      </c>
      <c r="G17" s="44">
        <f>F17*allow_ratio</f>
        <v>334045.71553757403</v>
      </c>
      <c r="J17" s="56" t="s">
        <v>142</v>
      </c>
      <c r="K17" s="58">
        <f>K16-K15</f>
        <v>17.28</v>
      </c>
      <c r="L17" s="69"/>
    </row>
    <row r="18" spans="2:12" ht="26.1" customHeight="1" thickBot="1">
      <c r="B18" s="7" t="s">
        <v>87</v>
      </c>
      <c r="C18" s="179">
        <f>Well!M6</f>
        <v>60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2.7472178060413355E-2</v>
      </c>
      <c r="L18" s="70">
        <f>K18*100</f>
        <v>2.7472178060413355</v>
      </c>
    </row>
    <row r="19" spans="2:12" ht="26.1" customHeight="1" thickBot="1">
      <c r="B19" s="26" t="s">
        <v>91</v>
      </c>
      <c r="C19" s="182">
        <f>Well!N6</f>
        <v>50</v>
      </c>
      <c r="E19" s="186">
        <f>E17</f>
        <v>2714853</v>
      </c>
      <c r="F19" s="46">
        <f>(max*rf_1*E19/1000)/365</f>
        <v>1365.9608077594521</v>
      </c>
      <c r="G19" s="44">
        <f>F19*allow_ratio</f>
        <v>915.19374119883298</v>
      </c>
    </row>
    <row r="20" spans="2:12" ht="26.1" customHeight="1">
      <c r="B20" s="28" t="s">
        <v>92</v>
      </c>
      <c r="C20" s="183">
        <v>4.72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43.25</v>
      </c>
      <c r="D21" s="21"/>
      <c r="E21" s="187">
        <f>Well!$I$6</f>
        <v>151</v>
      </c>
      <c r="F21" s="188">
        <f>Well!O6</f>
        <v>130.5</v>
      </c>
      <c r="G21" s="44">
        <f>G19-E21-F21</f>
        <v>633.69374119883298</v>
      </c>
    </row>
    <row r="22" spans="2:12" ht="26.1" customHeight="1" thickBot="1">
      <c r="B22" s="168" t="s">
        <v>286</v>
      </c>
      <c r="C22" s="185">
        <f>C21-C20</f>
        <v>38.53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4.72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2.7472178060413355</v>
      </c>
      <c r="I26" s="192" t="s">
        <v>185</v>
      </c>
      <c r="J26" s="192">
        <f>(E7/C14)/864</f>
        <v>3.6777039720880302E-5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35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27</v>
      </c>
      <c r="I29" s="198">
        <f t="shared" si="0"/>
        <v>16</v>
      </c>
      <c r="J29" s="198">
        <f t="shared" si="0"/>
        <v>2</v>
      </c>
      <c r="K29" s="198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198</v>
      </c>
      <c r="C2" s="2" t="str">
        <f>Well!D7</f>
        <v>청라면 황룡리 138-5</v>
      </c>
    </row>
    <row r="3" spans="1:12" ht="26.1" customHeight="1">
      <c r="B3" s="3" t="s">
        <v>6</v>
      </c>
      <c r="C3" s="176" t="str">
        <f>Well!C7</f>
        <v>제2009-15호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2.682499885559082</v>
      </c>
      <c r="K3" s="112">
        <f>ROUND(J3,4)</f>
        <v>2.6825000000000001</v>
      </c>
    </row>
    <row r="4" spans="1:12" ht="26.1" customHeight="1">
      <c r="B4" s="7" t="s">
        <v>66</v>
      </c>
      <c r="C4" s="177" t="str">
        <f>Well!R7</f>
        <v>0, 0, 0</v>
      </c>
      <c r="D4" s="8" t="s">
        <v>67</v>
      </c>
      <c r="E4" s="9">
        <v>0</v>
      </c>
      <c r="F4" s="10"/>
      <c r="G4" s="11"/>
      <c r="I4" s="107" t="s">
        <v>277</v>
      </c>
      <c r="J4" s="106">
        <v>68</v>
      </c>
      <c r="K4" s="113">
        <f>ROUND(J4,1)</f>
        <v>68</v>
      </c>
    </row>
    <row r="5" spans="1:12" ht="26.1" customHeight="1">
      <c r="B5" s="7" t="s">
        <v>68</v>
      </c>
      <c r="C5" s="177" t="str">
        <f>Well!Q7</f>
        <v>0, 0, 0</v>
      </c>
      <c r="D5" s="8" t="s">
        <v>69</v>
      </c>
      <c r="E5" s="50">
        <v>2.8519999999999999</v>
      </c>
      <c r="F5" s="51">
        <f>$E$5/$C$14</f>
        <v>4.1941176470588232E-2</v>
      </c>
      <c r="G5" s="11">
        <v>6.7699999999999998E-4</v>
      </c>
      <c r="I5" s="107" t="s">
        <v>278</v>
      </c>
      <c r="J5" s="106">
        <v>145</v>
      </c>
      <c r="K5" s="113">
        <f>ROUND(J5,1)</f>
        <v>145</v>
      </c>
    </row>
    <row r="6" spans="1:12" ht="26.1" customHeight="1" thickBot="1">
      <c r="B6" s="7" t="s">
        <v>70</v>
      </c>
      <c r="C6" s="178" t="str">
        <f>Well!D7</f>
        <v>청라면 황룡리 138-5</v>
      </c>
      <c r="D6" s="8" t="s">
        <v>72</v>
      </c>
      <c r="E6" s="9">
        <v>2.5129999999999999</v>
      </c>
      <c r="F6" s="51">
        <f>$E$6/$C$14</f>
        <v>3.6955882352941172E-2</v>
      </c>
      <c r="G6" s="11" t="s">
        <v>73</v>
      </c>
      <c r="I6" s="110" t="s">
        <v>279</v>
      </c>
      <c r="J6" s="111">
        <v>4.2578123509883881E-2</v>
      </c>
      <c r="K6" s="114">
        <f>ROUND(J6,4)</f>
        <v>4.2599999999999999E-2</v>
      </c>
    </row>
    <row r="7" spans="1:12" ht="26.1" customHeight="1" thickBot="1">
      <c r="B7" s="7" t="s">
        <v>71</v>
      </c>
      <c r="C7" s="179">
        <f>Well!H7</f>
        <v>80</v>
      </c>
      <c r="D7" s="48" t="s">
        <v>75</v>
      </c>
      <c r="E7" s="49">
        <f>(E5+E6)/2</f>
        <v>2.6825000000000001</v>
      </c>
      <c r="F7" s="52">
        <f>$E$7/$C$14</f>
        <v>3.9448529411764709E-2</v>
      </c>
      <c r="G7" s="48">
        <f>G5</f>
        <v>6.7699999999999998E-4</v>
      </c>
    </row>
    <row r="8" spans="1:12" ht="26.1" customHeight="1" thickBot="1">
      <c r="B8" s="7" t="s">
        <v>74</v>
      </c>
      <c r="C8" s="179">
        <f>Well!G7</f>
        <v>250</v>
      </c>
    </row>
    <row r="9" spans="1:12" ht="26.1" customHeight="1" thickBot="1">
      <c r="B9" s="7" t="s">
        <v>76</v>
      </c>
      <c r="C9" s="179">
        <f>C10+C11</f>
        <v>12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135.4</v>
      </c>
      <c r="F10" s="17">
        <v>165.8</v>
      </c>
      <c r="G10" s="18">
        <v>94.4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131.9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68</v>
      </c>
      <c r="H12" s="23"/>
      <c r="J12" s="67" t="s">
        <v>147</v>
      </c>
      <c r="K12" s="105">
        <v>145</v>
      </c>
      <c r="L12" s="95">
        <f>K12+180</f>
        <v>325</v>
      </c>
    </row>
    <row r="13" spans="1:12" ht="26.1" customHeight="1">
      <c r="A13" s="21">
        <f>C10+C11+C12+C13</f>
        <v>80</v>
      </c>
      <c r="B13" s="7" t="s">
        <v>82</v>
      </c>
      <c r="C13" s="177"/>
      <c r="H13" s="24"/>
      <c r="J13" s="54" t="s">
        <v>139</v>
      </c>
      <c r="K13" s="55">
        <v>896</v>
      </c>
      <c r="L13" s="69"/>
    </row>
    <row r="14" spans="1:12" ht="26.1" customHeight="1">
      <c r="B14" s="7" t="s">
        <v>83</v>
      </c>
      <c r="C14" s="180">
        <f>C7-IF(C20&gt;C9,C20,C9)</f>
        <v>68</v>
      </c>
      <c r="H14" s="24"/>
      <c r="J14" s="56" t="s">
        <v>140</v>
      </c>
      <c r="K14" s="57">
        <v>105</v>
      </c>
      <c r="L14" s="69"/>
    </row>
    <row r="15" spans="1:12" ht="26.1" customHeight="1" thickBot="1">
      <c r="B15" s="7" t="s">
        <v>84</v>
      </c>
      <c r="C15" s="179">
        <f>Well!I7</f>
        <v>250</v>
      </c>
      <c r="E15" s="66">
        <v>4</v>
      </c>
      <c r="J15" s="56" t="s">
        <v>141</v>
      </c>
      <c r="K15" s="57">
        <v>65</v>
      </c>
      <c r="L15" s="69"/>
    </row>
    <row r="16" spans="1:12" ht="26.1" customHeight="1">
      <c r="B16" s="7" t="s">
        <v>85</v>
      </c>
      <c r="C16" s="181">
        <f>Well!J7</f>
        <v>250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103.15</v>
      </c>
      <c r="L16" s="69"/>
    </row>
    <row r="17" spans="2:12" ht="26.1" customHeight="1" thickBot="1">
      <c r="B17" s="7" t="s">
        <v>86</v>
      </c>
      <c r="C17" s="179">
        <f>Well!L7</f>
        <v>5</v>
      </c>
      <c r="E17" s="27">
        <f>Well!P7</f>
        <v>1724100</v>
      </c>
      <c r="F17" s="46">
        <f>(max*rf_1*E17/1000)</f>
        <v>316626.48234000005</v>
      </c>
      <c r="G17" s="44">
        <f>F17*allow_ratio</f>
        <v>212139.74316780004</v>
      </c>
      <c r="J17" s="56" t="s">
        <v>142</v>
      </c>
      <c r="K17" s="58">
        <f>K16-K15</f>
        <v>38.150000000000006</v>
      </c>
      <c r="L17" s="69"/>
    </row>
    <row r="18" spans="2:12" ht="26.1" customHeight="1" thickBot="1">
      <c r="B18" s="7" t="s">
        <v>87</v>
      </c>
      <c r="C18" s="179">
        <f>Well!M7</f>
        <v>70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4.2578125000000008E-2</v>
      </c>
      <c r="L18" s="70">
        <f>K18*100</f>
        <v>4.2578125000000009</v>
      </c>
    </row>
    <row r="19" spans="2:12" ht="26.1" customHeight="1" thickBot="1">
      <c r="B19" s="26" t="s">
        <v>91</v>
      </c>
      <c r="C19" s="182">
        <f>Well!N7</f>
        <v>50</v>
      </c>
      <c r="E19" s="186">
        <f>E17</f>
        <v>1724100</v>
      </c>
      <c r="F19" s="46">
        <f>(max*rf_1*E19/1000)/365</f>
        <v>867.46981463013708</v>
      </c>
      <c r="G19" s="44">
        <f>F19*allow_ratio</f>
        <v>581.20477580219188</v>
      </c>
    </row>
    <row r="20" spans="2:12" ht="26.1" customHeight="1">
      <c r="B20" s="28" t="s">
        <v>92</v>
      </c>
      <c r="C20" s="183">
        <v>1.85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54.27</v>
      </c>
      <c r="D21" s="21"/>
      <c r="E21" s="187">
        <f>Well!$I$7</f>
        <v>250</v>
      </c>
      <c r="F21" s="188">
        <f>Well!O7</f>
        <v>55.7</v>
      </c>
      <c r="G21" s="44">
        <f>G19-E21-F21</f>
        <v>275.50477580219189</v>
      </c>
    </row>
    <row r="22" spans="2:12" ht="26.1" customHeight="1" thickBot="1">
      <c r="B22" s="168" t="s">
        <v>286</v>
      </c>
      <c r="C22" s="185">
        <f>C21-C20</f>
        <v>52.42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1.85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4.2578125000000009</v>
      </c>
      <c r="I26" s="192" t="s">
        <v>185</v>
      </c>
      <c r="J26" s="192">
        <f>(E7/C14)/864</f>
        <v>4.5658020152505447E-5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9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45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27</v>
      </c>
      <c r="I29" s="198">
        <f t="shared" si="0"/>
        <v>16</v>
      </c>
      <c r="J29" s="198">
        <f t="shared" si="0"/>
        <v>2</v>
      </c>
      <c r="K29" s="198">
        <f>SUM(D29:J29)</f>
        <v>151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0000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2" style="2" bestFit="1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199</v>
      </c>
      <c r="C2" s="2" t="str">
        <f>Well!D8</f>
        <v>남포면 옥서리 116-3</v>
      </c>
    </row>
    <row r="3" spans="1:12" ht="26.1" customHeight="1">
      <c r="B3" s="3" t="s">
        <v>6</v>
      </c>
      <c r="C3" s="176" t="str">
        <f>Well!C8</f>
        <v>제2009-10호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3.0724999904632568</v>
      </c>
      <c r="K3" s="112">
        <f>ROUND(J3,4)</f>
        <v>3.0724999999999998</v>
      </c>
    </row>
    <row r="4" spans="1:12" ht="26.1" customHeight="1">
      <c r="B4" s="7" t="s">
        <v>66</v>
      </c>
      <c r="C4" s="177" t="str">
        <f>Well!R8</f>
        <v>126, 36, 12</v>
      </c>
      <c r="D4" s="8" t="s">
        <v>67</v>
      </c>
      <c r="E4" s="9">
        <v>0</v>
      </c>
      <c r="F4" s="10"/>
      <c r="G4" s="11"/>
      <c r="I4" s="107" t="s">
        <v>277</v>
      </c>
      <c r="J4" s="106">
        <v>138</v>
      </c>
      <c r="K4" s="113">
        <f>ROUND(J4,1)</f>
        <v>138</v>
      </c>
    </row>
    <row r="5" spans="1:12" ht="26.1" customHeight="1">
      <c r="B5" s="7" t="s">
        <v>68</v>
      </c>
      <c r="C5" s="177" t="str">
        <f>Well!Q8</f>
        <v>36, 16, 59</v>
      </c>
      <c r="D5" s="8" t="s">
        <v>69</v>
      </c>
      <c r="E5" s="50">
        <v>3.2490000000000001</v>
      </c>
      <c r="F5" s="51">
        <f>$E$5/$C$14</f>
        <v>2.3543478260869565E-2</v>
      </c>
      <c r="G5" s="11">
        <v>6.5209999999999997E-4</v>
      </c>
      <c r="I5" s="107" t="s">
        <v>278</v>
      </c>
      <c r="J5" s="106">
        <v>95</v>
      </c>
      <c r="K5" s="113">
        <f>ROUND(J5,1)</f>
        <v>95</v>
      </c>
    </row>
    <row r="6" spans="1:12" ht="26.1" customHeight="1" thickBot="1">
      <c r="B6" s="7" t="s">
        <v>70</v>
      </c>
      <c r="C6" s="178" t="str">
        <f>Well!D8</f>
        <v>남포면 옥서리 116-3</v>
      </c>
      <c r="D6" s="8" t="s">
        <v>72</v>
      </c>
      <c r="E6" s="9">
        <v>2.8959999999999999</v>
      </c>
      <c r="F6" s="51">
        <f>$E$6/$C$14</f>
        <v>2.0985507246376812E-2</v>
      </c>
      <c r="G6" s="11" t="s">
        <v>73</v>
      </c>
      <c r="I6" s="110" t="s">
        <v>279</v>
      </c>
      <c r="J6" s="111">
        <v>2.3602752014994621E-2</v>
      </c>
      <c r="K6" s="114">
        <f>ROUND(J6,4)</f>
        <v>2.3599999999999999E-2</v>
      </c>
    </row>
    <row r="7" spans="1:12" ht="26.1" customHeight="1" thickBot="1">
      <c r="B7" s="7" t="s">
        <v>71</v>
      </c>
      <c r="C7" s="179">
        <f>Well!H8</f>
        <v>150</v>
      </c>
      <c r="D7" s="48" t="s">
        <v>75</v>
      </c>
      <c r="E7" s="49">
        <f>(E5+E6)/2</f>
        <v>3.0724999999999998</v>
      </c>
      <c r="F7" s="52">
        <f>$E$7/$C$14</f>
        <v>2.2264492753623188E-2</v>
      </c>
      <c r="G7" s="48">
        <f>G5</f>
        <v>6.5209999999999997E-4</v>
      </c>
    </row>
    <row r="8" spans="1:12" ht="26.1" customHeight="1" thickBot="1">
      <c r="B8" s="7" t="s">
        <v>74</v>
      </c>
      <c r="C8" s="179">
        <f>Well!G8</f>
        <v>200</v>
      </c>
    </row>
    <row r="9" spans="1:12" ht="26.1" customHeight="1" thickBot="1">
      <c r="B9" s="7" t="s">
        <v>76</v>
      </c>
      <c r="C9" s="179">
        <f>C10+C11</f>
        <v>12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111.1</v>
      </c>
      <c r="F10" s="17">
        <v>136</v>
      </c>
      <c r="G10" s="18">
        <v>105.1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117.4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138</v>
      </c>
      <c r="H12" s="23"/>
      <c r="J12" s="67" t="s">
        <v>147</v>
      </c>
      <c r="K12" s="105">
        <v>95</v>
      </c>
      <c r="L12" s="95">
        <f>K12+180</f>
        <v>275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1163</v>
      </c>
      <c r="L13" s="69"/>
    </row>
    <row r="14" spans="1:12" ht="26.1" customHeight="1">
      <c r="B14" s="7" t="s">
        <v>83</v>
      </c>
      <c r="C14" s="180">
        <f>C7-IF(C20&gt;C9,C20,C9)</f>
        <v>138</v>
      </c>
      <c r="H14" s="24"/>
      <c r="J14" s="56" t="s">
        <v>140</v>
      </c>
      <c r="K14" s="57">
        <v>64</v>
      </c>
      <c r="L14" s="69"/>
    </row>
    <row r="15" spans="1:12" ht="26.1" customHeight="1" thickBot="1">
      <c r="B15" s="7" t="s">
        <v>84</v>
      </c>
      <c r="C15" s="179">
        <f>Well!I8</f>
        <v>300</v>
      </c>
      <c r="E15" s="66">
        <v>5</v>
      </c>
      <c r="J15" s="56" t="s">
        <v>141</v>
      </c>
      <c r="K15" s="57">
        <v>30</v>
      </c>
      <c r="L15" s="69"/>
    </row>
    <row r="16" spans="1:12" ht="26.1" customHeight="1">
      <c r="B16" s="7" t="s">
        <v>85</v>
      </c>
      <c r="C16" s="181">
        <f>Well!J8</f>
        <v>300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57.45</v>
      </c>
      <c r="L16" s="69"/>
    </row>
    <row r="17" spans="2:12" ht="26.1" customHeight="1" thickBot="1">
      <c r="B17" s="7" t="s">
        <v>86</v>
      </c>
      <c r="C17" s="179">
        <f>Well!L8</f>
        <v>7.5</v>
      </c>
      <c r="E17" s="27">
        <f>Well!P8</f>
        <v>6673757</v>
      </c>
      <c r="F17" s="46">
        <f>(max*rf_1*E17/1000)</f>
        <v>1225618.1212818001</v>
      </c>
      <c r="G17" s="44">
        <f>F17*allow_ratio</f>
        <v>821164.14125880611</v>
      </c>
      <c r="J17" s="56" t="s">
        <v>142</v>
      </c>
      <c r="K17" s="58">
        <f>K16-K15</f>
        <v>27.450000000000003</v>
      </c>
      <c r="L17" s="69"/>
    </row>
    <row r="18" spans="2:12" ht="26.1" customHeight="1" thickBot="1">
      <c r="B18" s="7" t="s">
        <v>87</v>
      </c>
      <c r="C18" s="179">
        <f>Well!M8</f>
        <v>80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2.3602751504729153E-2</v>
      </c>
      <c r="L18" s="70">
        <f>K18*100</f>
        <v>2.3602751504729151</v>
      </c>
    </row>
    <row r="19" spans="2:12" ht="26.1" customHeight="1" thickBot="1">
      <c r="B19" s="26" t="s">
        <v>91</v>
      </c>
      <c r="C19" s="182">
        <f>Well!N8</f>
        <v>50</v>
      </c>
      <c r="E19" s="186">
        <f>E17</f>
        <v>6673757</v>
      </c>
      <c r="F19" s="46">
        <f>(max*rf_1*E19/1000)/365</f>
        <v>3357.8578665254795</v>
      </c>
      <c r="G19" s="44">
        <f>F19*allow_ratio</f>
        <v>2249.7647705720715</v>
      </c>
    </row>
    <row r="20" spans="2:12" ht="26.1" customHeight="1">
      <c r="B20" s="28" t="s">
        <v>92</v>
      </c>
      <c r="C20" s="183">
        <v>6.55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64.36</v>
      </c>
      <c r="D21" s="21"/>
      <c r="E21" s="187">
        <f>Well!$I$8</f>
        <v>300</v>
      </c>
      <c r="F21" s="188">
        <f>Well!O8</f>
        <v>975.4</v>
      </c>
      <c r="G21" s="44">
        <f>G19-E21-F21</f>
        <v>974.36477057207151</v>
      </c>
    </row>
    <row r="22" spans="2:12" ht="26.1" customHeight="1" thickBot="1">
      <c r="B22" s="168" t="s">
        <v>286</v>
      </c>
      <c r="C22" s="185">
        <f>C21-C20</f>
        <v>57.81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6.55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2.3602751504729151</v>
      </c>
      <c r="I26" s="192" t="s">
        <v>185</v>
      </c>
      <c r="J26" s="192">
        <f>(E7/C14)/864</f>
        <v>2.5769088835212024E-5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35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27</v>
      </c>
      <c r="I29" s="198">
        <f t="shared" si="0"/>
        <v>16</v>
      </c>
      <c r="J29" s="198">
        <f t="shared" si="0"/>
        <v>2</v>
      </c>
      <c r="K29" s="198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2B631-5FDE-43F2-B84E-5BC682C949DB}">
  <sheetPr codeName="Sheet12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200</v>
      </c>
      <c r="C2" s="2" t="str">
        <f>Well!D9</f>
        <v>남포면 옥서리 128</v>
      </c>
    </row>
    <row r="3" spans="1:12" ht="26.1" customHeight="1">
      <c r="B3" s="3" t="s">
        <v>6</v>
      </c>
      <c r="C3" s="176" t="str">
        <f>Well!C9</f>
        <v>제2009-11호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1.8320000171661377</v>
      </c>
      <c r="K3" s="112">
        <f>ROUND(J3,4)</f>
        <v>1.8320000000000001</v>
      </c>
    </row>
    <row r="4" spans="1:12" ht="26.1" customHeight="1">
      <c r="B4" s="7" t="s">
        <v>66</v>
      </c>
      <c r="C4" s="177" t="str">
        <f>Well!R9</f>
        <v>126, 36, 17</v>
      </c>
      <c r="D4" s="8" t="s">
        <v>67</v>
      </c>
      <c r="E4" s="9">
        <v>0</v>
      </c>
      <c r="F4" s="10"/>
      <c r="G4" s="11"/>
      <c r="I4" s="107" t="s">
        <v>277</v>
      </c>
      <c r="J4" s="106">
        <v>137</v>
      </c>
      <c r="K4" s="113">
        <f>ROUND(J4,1)</f>
        <v>137</v>
      </c>
    </row>
    <row r="5" spans="1:12" ht="26.1" customHeight="1">
      <c r="B5" s="7" t="s">
        <v>68</v>
      </c>
      <c r="C5" s="177" t="str">
        <f>Well!Q9</f>
        <v xml:space="preserve">36, 16, 8 </v>
      </c>
      <c r="D5" s="8" t="s">
        <v>69</v>
      </c>
      <c r="E5" s="50">
        <v>1.968</v>
      </c>
      <c r="F5" s="51">
        <f>$E$5/$C$14</f>
        <v>1.4364963503649636E-2</v>
      </c>
      <c r="G5" s="11">
        <v>7.6000000000000004E-4</v>
      </c>
      <c r="I5" s="107" t="s">
        <v>278</v>
      </c>
      <c r="J5" s="106">
        <v>102</v>
      </c>
      <c r="K5" s="113">
        <f>ROUND(J5,1)</f>
        <v>102</v>
      </c>
    </row>
    <row r="6" spans="1:12" ht="26.1" customHeight="1" thickBot="1">
      <c r="B6" s="7" t="s">
        <v>70</v>
      </c>
      <c r="C6" s="178" t="str">
        <f>Well!D9</f>
        <v>남포면 옥서리 128</v>
      </c>
      <c r="D6" s="8" t="s">
        <v>72</v>
      </c>
      <c r="E6" s="9">
        <v>1.696</v>
      </c>
      <c r="F6" s="51">
        <f>$E$6/$C$14</f>
        <v>1.237956204379562E-2</v>
      </c>
      <c r="G6" s="11" t="s">
        <v>73</v>
      </c>
      <c r="I6" s="110" t="s">
        <v>279</v>
      </c>
      <c r="J6" s="111">
        <v>3.5534441471099854E-2</v>
      </c>
      <c r="K6" s="114">
        <f>ROUND(J6,4)</f>
        <v>3.5499999999999997E-2</v>
      </c>
    </row>
    <row r="7" spans="1:12" ht="26.1" customHeight="1" thickBot="1">
      <c r="B7" s="7" t="s">
        <v>71</v>
      </c>
      <c r="C7" s="179">
        <f>Well!H9</f>
        <v>150</v>
      </c>
      <c r="D7" s="48" t="s">
        <v>75</v>
      </c>
      <c r="E7" s="49">
        <f>(E5+E6)/2</f>
        <v>1.8319999999999999</v>
      </c>
      <c r="F7" s="52">
        <f>$E$7/$C$14</f>
        <v>1.3372262773722627E-2</v>
      </c>
      <c r="G7" s="48">
        <f>G5</f>
        <v>7.6000000000000004E-4</v>
      </c>
    </row>
    <row r="8" spans="1:12" ht="26.1" customHeight="1" thickBot="1">
      <c r="B8" s="7" t="s">
        <v>74</v>
      </c>
      <c r="C8" s="179">
        <f>Well!G9</f>
        <v>200</v>
      </c>
    </row>
    <row r="9" spans="1:12" ht="26.1" customHeight="1" thickBot="1">
      <c r="B9" s="7" t="s">
        <v>76</v>
      </c>
      <c r="C9" s="179">
        <f>C10+C11</f>
        <v>13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80.7</v>
      </c>
      <c r="F10" s="17">
        <v>98.8</v>
      </c>
      <c r="G10" s="18">
        <v>75.2</v>
      </c>
      <c r="H10" s="19"/>
      <c r="I10" s="20"/>
    </row>
    <row r="11" spans="1:12" ht="26.1" customHeight="1" thickBot="1">
      <c r="B11" s="7" t="s">
        <v>79</v>
      </c>
      <c r="C11" s="177">
        <v>9</v>
      </c>
      <c r="D11" s="47" t="s">
        <v>80</v>
      </c>
      <c r="E11" s="65">
        <f>ROUND(AVERAGE(E10:G10),1)</f>
        <v>84.9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137</v>
      </c>
      <c r="H12" s="23"/>
      <c r="J12" s="67" t="s">
        <v>147</v>
      </c>
      <c r="K12" s="105">
        <v>102</v>
      </c>
      <c r="L12" s="95">
        <f>K12+180</f>
        <v>282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842</v>
      </c>
      <c r="L13" s="69"/>
    </row>
    <row r="14" spans="1:12" ht="26.1" customHeight="1">
      <c r="B14" s="7" t="s">
        <v>83</v>
      </c>
      <c r="C14" s="180">
        <f>C7-IF(C20&gt;C9,C20,C9)</f>
        <v>137</v>
      </c>
      <c r="H14" s="24"/>
      <c r="J14" s="56" t="s">
        <v>140</v>
      </c>
      <c r="K14" s="57">
        <v>64</v>
      </c>
      <c r="L14" s="69"/>
    </row>
    <row r="15" spans="1:12" ht="26.1" customHeight="1" thickBot="1">
      <c r="B15" s="7" t="s">
        <v>84</v>
      </c>
      <c r="C15" s="179">
        <f>Well!I9</f>
        <v>200</v>
      </c>
      <c r="E15" s="66">
        <v>6</v>
      </c>
      <c r="J15" s="56" t="s">
        <v>141</v>
      </c>
      <c r="K15" s="57">
        <v>30</v>
      </c>
      <c r="L15" s="69"/>
    </row>
    <row r="16" spans="1:12" ht="26.1" customHeight="1">
      <c r="B16" s="7" t="s">
        <v>85</v>
      </c>
      <c r="C16" s="181">
        <f>Well!J9</f>
        <v>200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59.92</v>
      </c>
      <c r="L16" s="69"/>
    </row>
    <row r="17" spans="2:12" ht="26.1" customHeight="1" thickBot="1">
      <c r="B17" s="7" t="s">
        <v>86</v>
      </c>
      <c r="C17" s="179">
        <f>Well!L9</f>
        <v>7.5</v>
      </c>
      <c r="E17" s="27">
        <f>Well!P9</f>
        <v>6673757</v>
      </c>
      <c r="F17" s="46">
        <f>(max*rf_1*E17/1000)</f>
        <v>1225618.1212818001</v>
      </c>
      <c r="G17" s="44">
        <f>F17*allow_ratio</f>
        <v>821164.14125880611</v>
      </c>
      <c r="J17" s="56" t="s">
        <v>142</v>
      </c>
      <c r="K17" s="58">
        <f>K16-K15</f>
        <v>29.92</v>
      </c>
      <c r="L17" s="69"/>
    </row>
    <row r="18" spans="2:12" ht="26.1" customHeight="1" thickBot="1">
      <c r="B18" s="7" t="s">
        <v>87</v>
      </c>
      <c r="C18" s="179">
        <f>Well!M9</f>
        <v>80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3.5534441805225657E-2</v>
      </c>
      <c r="L18" s="70">
        <f>K18*100</f>
        <v>3.5534441805225656</v>
      </c>
    </row>
    <row r="19" spans="2:12" ht="26.1" customHeight="1" thickBot="1">
      <c r="B19" s="26" t="s">
        <v>91</v>
      </c>
      <c r="C19" s="182">
        <f>Well!N9</f>
        <v>50</v>
      </c>
      <c r="E19" s="186">
        <f>E17</f>
        <v>6673757</v>
      </c>
      <c r="F19" s="46">
        <f>(max*rf_1*E19/1000)/365</f>
        <v>3357.8578665254795</v>
      </c>
      <c r="G19" s="44">
        <f>F19*allow_ratio</f>
        <v>2249.7647705720715</v>
      </c>
    </row>
    <row r="20" spans="2:12" ht="26.1" customHeight="1">
      <c r="B20" s="28" t="s">
        <v>92</v>
      </c>
      <c r="C20" s="183">
        <v>4.08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63.27</v>
      </c>
      <c r="D21" s="21"/>
      <c r="E21" s="187">
        <f>Well!$I$9</f>
        <v>200</v>
      </c>
      <c r="F21" s="188">
        <f>Well!O9</f>
        <v>1075.4000000000001</v>
      </c>
      <c r="G21" s="44">
        <f>G19-E21-F21</f>
        <v>974.36477057207139</v>
      </c>
    </row>
    <row r="22" spans="2:12" ht="26.1" customHeight="1" thickBot="1">
      <c r="B22" s="168" t="s">
        <v>286</v>
      </c>
      <c r="C22" s="185">
        <f>C21-C20</f>
        <v>59.190000000000005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4.08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3.5534441805225656</v>
      </c>
      <c r="I26" s="192" t="s">
        <v>185</v>
      </c>
      <c r="J26" s="192">
        <f>(E7/C14)/864</f>
        <v>1.5477155988104894E-5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9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45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27</v>
      </c>
      <c r="I29" s="198">
        <f t="shared" si="0"/>
        <v>16</v>
      </c>
      <c r="J29" s="198">
        <f t="shared" si="0"/>
        <v>2</v>
      </c>
      <c r="K29" s="198">
        <f>SUM(D29:J29)</f>
        <v>151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E9253B9-120E-49B8-B7F5-D232E6074A21}">
          <x14:formula1>
            <xm:f>drastic!$G$4:$G$14</xm:f>
          </x14:formula1>
          <xm:sqref>I26</xm:sqref>
        </x14:dataValidation>
        <x14:dataValidation type="list" allowBlank="1" showInputMessage="1" showErrorMessage="1" xr:uid="{537B4575-CA62-4F54-A98C-024AAFAB6044}">
          <x14:formula1>
            <xm:f>drastic!$D$4:$D$14</xm:f>
          </x14:formula1>
          <xm:sqref>G26</xm:sqref>
        </x14:dataValidation>
        <x14:dataValidation type="list" allowBlank="1" showInputMessage="1" showErrorMessage="1" xr:uid="{5E1D36DE-6C29-4430-951C-DD11CA117EBB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20D9-6F5E-40ED-938D-0C97B6CACCCF}">
  <sheetPr codeName="Sheet13">
    <tabColor rgb="FFFF0000"/>
  </sheetPr>
  <dimension ref="A2:M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3" ht="33" customHeight="1" thickBot="1">
      <c r="B2" s="38" t="s">
        <v>201</v>
      </c>
      <c r="C2" s="2" t="str">
        <f>Well!D10</f>
        <v>남포면 옥서리 443-4</v>
      </c>
    </row>
    <row r="3" spans="1:13" ht="26.1" customHeight="1">
      <c r="B3" s="3" t="s">
        <v>6</v>
      </c>
      <c r="C3" s="176" t="str">
        <f>Well!C10</f>
        <v>제2009-13호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2.057499885559082</v>
      </c>
      <c r="K3" s="112">
        <f>ROUND(J3,4)</f>
        <v>2.0575000000000001</v>
      </c>
    </row>
    <row r="4" spans="1:13" ht="26.1" customHeight="1">
      <c r="B4" s="7" t="s">
        <v>66</v>
      </c>
      <c r="C4" s="177" t="str">
        <f>Well!R10</f>
        <v>126, 36, 9</v>
      </c>
      <c r="D4" s="8" t="s">
        <v>67</v>
      </c>
      <c r="E4" s="9">
        <v>0</v>
      </c>
      <c r="F4" s="10"/>
      <c r="G4" s="11"/>
      <c r="I4" s="107" t="s">
        <v>277</v>
      </c>
      <c r="J4" s="106">
        <v>157</v>
      </c>
      <c r="K4" s="113">
        <f>ROUND(J4,1)</f>
        <v>157</v>
      </c>
    </row>
    <row r="5" spans="1:13" ht="26.1" customHeight="1">
      <c r="B5" s="7" t="s">
        <v>68</v>
      </c>
      <c r="C5" s="177" t="str">
        <f>Well!Q10</f>
        <v>36, 16, 47</v>
      </c>
      <c r="D5" s="8" t="s">
        <v>69</v>
      </c>
      <c r="E5" s="50">
        <v>2.198</v>
      </c>
      <c r="F5" s="51">
        <f>$E$5/$C$14</f>
        <v>1.4E-2</v>
      </c>
      <c r="G5" s="11">
        <v>7.4399999999999998E-4</v>
      </c>
      <c r="I5" s="107" t="s">
        <v>278</v>
      </c>
      <c r="J5" s="106">
        <v>86</v>
      </c>
      <c r="K5" s="113">
        <f>ROUND(J5,1)</f>
        <v>86</v>
      </c>
    </row>
    <row r="6" spans="1:13" ht="26.1" customHeight="1" thickBot="1">
      <c r="B6" s="7" t="s">
        <v>70</v>
      </c>
      <c r="C6" s="178" t="str">
        <f>Well!D10</f>
        <v>남포면 옥서리 443-4</v>
      </c>
      <c r="D6" s="8" t="s">
        <v>72</v>
      </c>
      <c r="E6" s="9">
        <v>1.917</v>
      </c>
      <c r="F6" s="51">
        <f>$E$6/$C$14</f>
        <v>1.2210191082802548E-2</v>
      </c>
      <c r="G6" s="11" t="s">
        <v>73</v>
      </c>
      <c r="I6" s="110" t="s">
        <v>279</v>
      </c>
      <c r="J6" s="111">
        <v>1.9010767340660095E-2</v>
      </c>
      <c r="K6" s="114">
        <f>ROUND(J6,4)</f>
        <v>1.9E-2</v>
      </c>
    </row>
    <row r="7" spans="1:13" ht="26.1" customHeight="1" thickBot="1">
      <c r="B7" s="7" t="s">
        <v>71</v>
      </c>
      <c r="C7" s="179">
        <f>Well!H10</f>
        <v>170</v>
      </c>
      <c r="D7" s="48" t="s">
        <v>75</v>
      </c>
      <c r="E7" s="49">
        <f>(E5+E6)/2</f>
        <v>2.0575000000000001</v>
      </c>
      <c r="F7" s="52">
        <f>$E$7/$C$14</f>
        <v>1.3105095541401275E-2</v>
      </c>
      <c r="G7" s="48">
        <f>G5</f>
        <v>7.4399999999999998E-4</v>
      </c>
    </row>
    <row r="8" spans="1:13" ht="26.1" customHeight="1" thickBot="1">
      <c r="B8" s="7" t="s">
        <v>74</v>
      </c>
      <c r="C8" s="179">
        <f>Well!G10</f>
        <v>200</v>
      </c>
    </row>
    <row r="9" spans="1:13" ht="26.1" customHeight="1" thickBot="1">
      <c r="B9" s="7" t="s">
        <v>76</v>
      </c>
      <c r="C9" s="179">
        <f>C10+C11</f>
        <v>13</v>
      </c>
      <c r="D9" s="12"/>
      <c r="E9" s="13" t="s">
        <v>136</v>
      </c>
      <c r="F9" s="53" t="s">
        <v>137</v>
      </c>
      <c r="G9" s="14" t="s">
        <v>138</v>
      </c>
    </row>
    <row r="10" spans="1:13" ht="26.1" customHeight="1" thickBot="1">
      <c r="B10" s="7" t="s">
        <v>77</v>
      </c>
      <c r="C10" s="177">
        <v>4</v>
      </c>
      <c r="D10" s="15" t="s">
        <v>78</v>
      </c>
      <c r="E10" s="16">
        <v>80.400000000000006</v>
      </c>
      <c r="F10" s="17">
        <v>98.5</v>
      </c>
      <c r="G10" s="18">
        <v>82.1</v>
      </c>
      <c r="H10" s="19"/>
      <c r="I10" s="20"/>
    </row>
    <row r="11" spans="1:13" ht="26.1" customHeight="1" thickBot="1">
      <c r="B11" s="7" t="s">
        <v>79</v>
      </c>
      <c r="C11" s="177">
        <v>9</v>
      </c>
      <c r="D11" s="47" t="s">
        <v>80</v>
      </c>
      <c r="E11" s="65">
        <f>ROUND(AVERAGE(E10:G10),1)</f>
        <v>87</v>
      </c>
      <c r="F11" s="22"/>
      <c r="G11" s="22"/>
      <c r="H11" s="19"/>
      <c r="I11" s="20"/>
      <c r="J11" s="477" t="s">
        <v>144</v>
      </c>
      <c r="K11" s="478"/>
    </row>
    <row r="12" spans="1:13" ht="26.1" customHeight="1" thickBot="1">
      <c r="A12" s="21" t="str">
        <f>IF(A13&lt;&gt;C7,"CHECK","OK")</f>
        <v>OK</v>
      </c>
      <c r="B12" s="7" t="s">
        <v>81</v>
      </c>
      <c r="C12" s="177">
        <f>C7-C9</f>
        <v>157</v>
      </c>
      <c r="H12" s="23"/>
      <c r="J12" s="67" t="s">
        <v>147</v>
      </c>
      <c r="K12" s="105">
        <v>86</v>
      </c>
      <c r="L12" s="95">
        <f>K12+180</f>
        <v>266</v>
      </c>
      <c r="M12" s="2">
        <v>192</v>
      </c>
    </row>
    <row r="13" spans="1:13" ht="26.1" customHeight="1">
      <c r="A13" s="21">
        <f>C10+C11+C12+C13</f>
        <v>170</v>
      </c>
      <c r="B13" s="7" t="s">
        <v>82</v>
      </c>
      <c r="C13" s="177"/>
      <c r="H13" s="24"/>
      <c r="J13" s="54" t="s">
        <v>139</v>
      </c>
      <c r="K13" s="55">
        <v>1486</v>
      </c>
      <c r="L13" s="69"/>
    </row>
    <row r="14" spans="1:13" ht="26.1" customHeight="1">
      <c r="B14" s="7" t="s">
        <v>83</v>
      </c>
      <c r="C14" s="180">
        <f>C7-IF(C20&gt;C9,C20,C9)</f>
        <v>157</v>
      </c>
      <c r="H14" s="24"/>
      <c r="J14" s="56" t="s">
        <v>140</v>
      </c>
      <c r="K14" s="57">
        <v>65</v>
      </c>
      <c r="L14" s="69"/>
    </row>
    <row r="15" spans="1:13" ht="26.1" customHeight="1" thickBot="1">
      <c r="B15" s="7" t="s">
        <v>84</v>
      </c>
      <c r="C15" s="179">
        <f>Well!I10</f>
        <v>200</v>
      </c>
      <c r="E15" s="66">
        <v>7</v>
      </c>
      <c r="J15" s="56" t="s">
        <v>141</v>
      </c>
      <c r="K15" s="57">
        <v>30</v>
      </c>
      <c r="L15" s="69"/>
    </row>
    <row r="16" spans="1:13" ht="26.1" customHeight="1">
      <c r="B16" s="7" t="s">
        <v>85</v>
      </c>
      <c r="C16" s="181">
        <f>Well!J10</f>
        <v>210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58.25</v>
      </c>
      <c r="L16" s="69"/>
    </row>
    <row r="17" spans="2:12" ht="26.1" customHeight="1" thickBot="1">
      <c r="B17" s="7" t="s">
        <v>86</v>
      </c>
      <c r="C17" s="179">
        <f>Well!L10</f>
        <v>7.5</v>
      </c>
      <c r="E17" s="27">
        <f>Well!P10</f>
        <v>6673757</v>
      </c>
      <c r="F17" s="46">
        <f>(max*rf_1*E17/1000)</f>
        <v>1225618.1212818001</v>
      </c>
      <c r="G17" s="44">
        <f>F17*allow_ratio</f>
        <v>821164.14125880611</v>
      </c>
      <c r="J17" s="56" t="s">
        <v>142</v>
      </c>
      <c r="K17" s="58">
        <f>K16-K15</f>
        <v>28.25</v>
      </c>
      <c r="L17" s="69"/>
    </row>
    <row r="18" spans="2:12" ht="26.1" customHeight="1" thickBot="1">
      <c r="B18" s="7" t="s">
        <v>87</v>
      </c>
      <c r="C18" s="179">
        <f>Well!M10</f>
        <v>80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1.9010767160161507E-2</v>
      </c>
      <c r="L18" s="70">
        <f>K18*100</f>
        <v>1.9010767160161506</v>
      </c>
    </row>
    <row r="19" spans="2:12" ht="26.1" customHeight="1" thickBot="1">
      <c r="B19" s="26" t="s">
        <v>91</v>
      </c>
      <c r="C19" s="182">
        <f>Well!N10</f>
        <v>50</v>
      </c>
      <c r="E19" s="186">
        <f>E17</f>
        <v>6673757</v>
      </c>
      <c r="F19" s="46">
        <f>(max*rf_1*E19/1000)/365</f>
        <v>3357.8578665254795</v>
      </c>
      <c r="G19" s="44">
        <f>F19*allow_ratio</f>
        <v>2249.7647705720715</v>
      </c>
    </row>
    <row r="20" spans="2:12" ht="26.1" customHeight="1">
      <c r="B20" s="28" t="s">
        <v>92</v>
      </c>
      <c r="C20" s="183">
        <v>6.75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63.29</v>
      </c>
      <c r="D21" s="21"/>
      <c r="E21" s="187">
        <f>Well!$I$10</f>
        <v>200</v>
      </c>
      <c r="F21" s="188">
        <f>Well!O10</f>
        <v>1075.4000000000001</v>
      </c>
      <c r="G21" s="44">
        <f>G19-E21-F21</f>
        <v>974.36477057207139</v>
      </c>
    </row>
    <row r="22" spans="2:12" ht="26.1" customHeight="1" thickBot="1">
      <c r="B22" s="168" t="s">
        <v>286</v>
      </c>
      <c r="C22" s="185">
        <f>C21-C20</f>
        <v>56.54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6.75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1.9010767160161506</v>
      </c>
      <c r="I26" s="192" t="s">
        <v>185</v>
      </c>
      <c r="J26" s="192">
        <f>(E7/C14)/864</f>
        <v>1.5167934654399624E-5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35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30</v>
      </c>
      <c r="I29" s="198">
        <f t="shared" si="0"/>
        <v>16</v>
      </c>
      <c r="J29" s="198">
        <f t="shared" si="0"/>
        <v>2</v>
      </c>
      <c r="K29" s="198">
        <f>SUM(D29:J29)</f>
        <v>144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2C5B84-53F9-4B62-B630-9E8F6C2F9072}">
          <x14:formula1>
            <xm:f>drastic!$A$4:$A$13</xm:f>
          </x14:formula1>
          <xm:sqref>F26</xm:sqref>
        </x14:dataValidation>
        <x14:dataValidation type="list" allowBlank="1" showInputMessage="1" showErrorMessage="1" xr:uid="{56DB9F46-0892-489D-8269-C4024BC048CF}">
          <x14:formula1>
            <xm:f>drastic!$D$4:$D$14</xm:f>
          </x14:formula1>
          <xm:sqref>G26</xm:sqref>
        </x14:dataValidation>
        <x14:dataValidation type="list" allowBlank="1" showInputMessage="1" showErrorMessage="1" xr:uid="{4402926B-EFDC-4C95-9101-813ACBB3609C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E0B3-51EC-4CFD-B12A-47E898266CD8}">
  <sheetPr codeName="Sheet14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202</v>
      </c>
      <c r="C2" s="2" t="str">
        <f>Well!D11</f>
        <v>남포면 옥서리 449</v>
      </c>
    </row>
    <row r="3" spans="1:12" ht="26.1" customHeight="1">
      <c r="B3" s="3" t="s">
        <v>6</v>
      </c>
      <c r="C3" s="176" t="str">
        <f>Well!C11</f>
        <v>제2009-12호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3.6600000858306885</v>
      </c>
      <c r="K3" s="112">
        <f>ROUND(J3,4)</f>
        <v>3.66</v>
      </c>
    </row>
    <row r="4" spans="1:12" ht="26.1" customHeight="1">
      <c r="B4" s="7" t="s">
        <v>66</v>
      </c>
      <c r="C4" s="177" t="str">
        <f>Well!R11</f>
        <v>126, 36, 5</v>
      </c>
      <c r="D4" s="8" t="s">
        <v>67</v>
      </c>
      <c r="E4" s="9">
        <v>0</v>
      </c>
      <c r="F4" s="10"/>
      <c r="G4" s="11"/>
      <c r="I4" s="107" t="s">
        <v>277</v>
      </c>
      <c r="J4" s="106">
        <v>138</v>
      </c>
      <c r="K4" s="113">
        <f>ROUND(J4,1)</f>
        <v>138</v>
      </c>
    </row>
    <row r="5" spans="1:12" ht="26.1" customHeight="1">
      <c r="B5" s="7" t="s">
        <v>68</v>
      </c>
      <c r="C5" s="177" t="str">
        <f>Well!Q11</f>
        <v>36, 16, 50</v>
      </c>
      <c r="D5" s="8" t="s">
        <v>69</v>
      </c>
      <c r="E5" s="50">
        <v>3.7480000000000002</v>
      </c>
      <c r="F5" s="51">
        <f>$E$5/$C$14</f>
        <v>2.7159420289855074E-2</v>
      </c>
      <c r="G5" s="11">
        <v>6.3829999999999996E-4</v>
      </c>
      <c r="I5" s="107" t="s">
        <v>278</v>
      </c>
      <c r="J5" s="106">
        <v>87</v>
      </c>
      <c r="K5" s="113">
        <f>ROUND(J5,1)</f>
        <v>87</v>
      </c>
    </row>
    <row r="6" spans="1:12" ht="26.1" customHeight="1" thickBot="1">
      <c r="B6" s="7" t="s">
        <v>70</v>
      </c>
      <c r="C6" s="178" t="str">
        <f>Well!D11</f>
        <v>남포면 옥서리 449</v>
      </c>
      <c r="D6" s="8" t="s">
        <v>72</v>
      </c>
      <c r="E6" s="9">
        <v>3.5720000000000001</v>
      </c>
      <c r="F6" s="51">
        <f>$E$6/$C$14</f>
        <v>2.5884057971014493E-2</v>
      </c>
      <c r="G6" s="11" t="s">
        <v>73</v>
      </c>
      <c r="I6" s="110" t="s">
        <v>279</v>
      </c>
      <c r="J6" s="111">
        <v>2.2926239296793938E-2</v>
      </c>
      <c r="K6" s="114">
        <f>ROUND(J6,4)</f>
        <v>2.29E-2</v>
      </c>
    </row>
    <row r="7" spans="1:12" ht="26.1" customHeight="1" thickBot="1">
      <c r="B7" s="7" t="s">
        <v>71</v>
      </c>
      <c r="C7" s="179">
        <f>Well!H11</f>
        <v>150</v>
      </c>
      <c r="D7" s="48" t="s">
        <v>75</v>
      </c>
      <c r="E7" s="49">
        <f>(E5+E6)/2</f>
        <v>3.66</v>
      </c>
      <c r="F7" s="52">
        <f>$E$7/$C$14</f>
        <v>2.6521739130434784E-2</v>
      </c>
      <c r="G7" s="48">
        <f>G5</f>
        <v>6.3829999999999996E-4</v>
      </c>
    </row>
    <row r="8" spans="1:12" ht="26.1" customHeight="1" thickBot="1">
      <c r="B8" s="7" t="s">
        <v>74</v>
      </c>
      <c r="C8" s="179">
        <f>Well!G11</f>
        <v>200</v>
      </c>
    </row>
    <row r="9" spans="1:12" ht="26.1" customHeight="1" thickBot="1">
      <c r="B9" s="7" t="s">
        <v>76</v>
      </c>
      <c r="C9" s="179">
        <f>C10+C11</f>
        <v>12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133.80000000000001</v>
      </c>
      <c r="F10" s="17">
        <v>163.9</v>
      </c>
      <c r="G10" s="18">
        <v>118.2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138.6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138</v>
      </c>
      <c r="H12" s="23"/>
      <c r="J12" s="67" t="s">
        <v>147</v>
      </c>
      <c r="K12" s="105">
        <v>87</v>
      </c>
      <c r="L12" s="95">
        <f>K12+180</f>
        <v>267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1654</v>
      </c>
      <c r="L13" s="69"/>
    </row>
    <row r="14" spans="1:12" ht="26.1" customHeight="1">
      <c r="B14" s="7" t="s">
        <v>83</v>
      </c>
      <c r="C14" s="180">
        <f>C7-IF(C20&gt;C9,C20,C9)</f>
        <v>138</v>
      </c>
      <c r="H14" s="24"/>
      <c r="J14" s="56" t="s">
        <v>140</v>
      </c>
      <c r="K14" s="57">
        <v>75</v>
      </c>
      <c r="L14" s="69"/>
    </row>
    <row r="15" spans="1:12" ht="26.1" customHeight="1" thickBot="1">
      <c r="B15" s="7" t="s">
        <v>84</v>
      </c>
      <c r="C15" s="179">
        <f>Well!I11</f>
        <v>400</v>
      </c>
      <c r="E15" s="66">
        <v>8</v>
      </c>
      <c r="J15" s="56" t="s">
        <v>141</v>
      </c>
      <c r="K15" s="57">
        <v>30</v>
      </c>
      <c r="L15" s="69"/>
    </row>
    <row r="16" spans="1:12" ht="26.1" customHeight="1">
      <c r="B16" s="7" t="s">
        <v>85</v>
      </c>
      <c r="C16" s="181">
        <f>Well!J11</f>
        <v>410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67.92</v>
      </c>
      <c r="L16" s="69"/>
    </row>
    <row r="17" spans="2:12" ht="26.1" customHeight="1" thickBot="1">
      <c r="B17" s="7" t="s">
        <v>86</v>
      </c>
      <c r="C17" s="179">
        <f>Well!L11</f>
        <v>10</v>
      </c>
      <c r="E17" s="27">
        <f>Well!P11</f>
        <v>6673757</v>
      </c>
      <c r="F17" s="46">
        <f>(max*rf_1*E17/1000)</f>
        <v>1225618.1212818001</v>
      </c>
      <c r="G17" s="44">
        <f>F17*allow_ratio</f>
        <v>821164.14125880611</v>
      </c>
      <c r="J17" s="56" t="s">
        <v>142</v>
      </c>
      <c r="K17" s="58">
        <f>K16-K15</f>
        <v>37.92</v>
      </c>
      <c r="L17" s="69"/>
    </row>
    <row r="18" spans="2:12" ht="26.1" customHeight="1" thickBot="1">
      <c r="B18" s="7" t="s">
        <v>87</v>
      </c>
      <c r="C18" s="179">
        <f>Well!M11</f>
        <v>80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2.2926239419588875E-2</v>
      </c>
      <c r="L18" s="70">
        <f>K18*100</f>
        <v>2.2926239419588876</v>
      </c>
    </row>
    <row r="19" spans="2:12" ht="26.1" customHeight="1" thickBot="1">
      <c r="B19" s="26" t="s">
        <v>91</v>
      </c>
      <c r="C19" s="182">
        <f>Well!N11</f>
        <v>65</v>
      </c>
      <c r="E19" s="186">
        <f>E17</f>
        <v>6673757</v>
      </c>
      <c r="F19" s="46">
        <f>(max*rf_1*E19/1000)/365</f>
        <v>3357.8578665254795</v>
      </c>
      <c r="G19" s="44">
        <f>F19*allow_ratio</f>
        <v>2249.7647705720715</v>
      </c>
    </row>
    <row r="20" spans="2:12" ht="26.1" customHeight="1">
      <c r="B20" s="28" t="s">
        <v>92</v>
      </c>
      <c r="C20" s="183">
        <v>7.08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73.38</v>
      </c>
      <c r="D21" s="21"/>
      <c r="E21" s="187">
        <f>Well!$I$11</f>
        <v>400</v>
      </c>
      <c r="F21" s="188">
        <f>Well!O11</f>
        <v>875.4</v>
      </c>
      <c r="G21" s="44">
        <f>G19-E21-F21</f>
        <v>974.36477057207151</v>
      </c>
    </row>
    <row r="22" spans="2:12" ht="26.1" customHeight="1" thickBot="1">
      <c r="B22" s="168" t="s">
        <v>286</v>
      </c>
      <c r="C22" s="185">
        <f>C21-C20</f>
        <v>66.3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7.08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2.2926239419588876</v>
      </c>
      <c r="I26" s="192" t="s">
        <v>185</v>
      </c>
      <c r="J26" s="192">
        <f>(E7/C14)/864</f>
        <v>3.0696457326892107E-5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35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27</v>
      </c>
      <c r="I29" s="198">
        <f t="shared" si="0"/>
        <v>16</v>
      </c>
      <c r="J29" s="198">
        <f t="shared" si="0"/>
        <v>2</v>
      </c>
      <c r="K29" s="198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1DF613A-7E1D-4DB9-8766-BB7782431A12}">
          <x14:formula1>
            <xm:f>drastic!$G$4:$G$14</xm:f>
          </x14:formula1>
          <xm:sqref>I26</xm:sqref>
        </x14:dataValidation>
        <x14:dataValidation type="list" allowBlank="1" showInputMessage="1" showErrorMessage="1" xr:uid="{15A5C5F2-8DCA-4442-B33F-7F221C0141BF}">
          <x14:formula1>
            <xm:f>drastic!$D$4:$D$14</xm:f>
          </x14:formula1>
          <xm:sqref>G26</xm:sqref>
        </x14:dataValidation>
        <x14:dataValidation type="list" allowBlank="1" showInputMessage="1" showErrorMessage="1" xr:uid="{29CFF682-B733-46BA-A7CA-A4234E0E2921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E23E-638B-4FA6-AC85-1DFEB46D06C0}">
  <sheetPr codeName="Sheet23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249</v>
      </c>
      <c r="C2" s="2" t="str">
        <f>Well!D12</f>
        <v>주산면 유곡리 산66</v>
      </c>
    </row>
    <row r="3" spans="1:12" ht="26.1" customHeight="1">
      <c r="B3" s="3" t="s">
        <v>6</v>
      </c>
      <c r="C3" s="176" t="str">
        <f>Well!C12</f>
        <v>제2009-8호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2.3405001163482666</v>
      </c>
      <c r="K3" s="112">
        <f>ROUND(J3,4)</f>
        <v>2.3405</v>
      </c>
    </row>
    <row r="4" spans="1:12" ht="26.1" customHeight="1">
      <c r="B4" s="7" t="s">
        <v>66</v>
      </c>
      <c r="C4" s="177" t="str">
        <f>Well!R12</f>
        <v>126, 36, 11</v>
      </c>
      <c r="D4" s="8" t="s">
        <v>67</v>
      </c>
      <c r="E4" s="9">
        <v>0</v>
      </c>
      <c r="F4" s="10"/>
      <c r="G4" s="11"/>
      <c r="I4" s="107" t="s">
        <v>277</v>
      </c>
      <c r="J4" s="106">
        <v>139</v>
      </c>
      <c r="K4" s="113">
        <f>ROUND(J4,1)</f>
        <v>139</v>
      </c>
    </row>
    <row r="5" spans="1:12" ht="26.1" customHeight="1">
      <c r="B5" s="7" t="s">
        <v>68</v>
      </c>
      <c r="C5" s="177" t="str">
        <f>Well!Q12</f>
        <v>36, 10, 56</v>
      </c>
      <c r="D5" s="8" t="s">
        <v>69</v>
      </c>
      <c r="E5" s="50">
        <v>2.5139999999999998</v>
      </c>
      <c r="F5" s="51">
        <f>$E$5/$C$14</f>
        <v>1.8086330935251797E-2</v>
      </c>
      <c r="G5" s="11">
        <v>7.0279999999999995E-4</v>
      </c>
      <c r="I5" s="107" t="s">
        <v>278</v>
      </c>
      <c r="J5" s="106">
        <v>225</v>
      </c>
      <c r="K5" s="113">
        <f>ROUND(J5,1)</f>
        <v>225</v>
      </c>
    </row>
    <row r="6" spans="1:12" ht="26.1" customHeight="1" thickBot="1">
      <c r="B6" s="7" t="s">
        <v>70</v>
      </c>
      <c r="C6" s="178" t="str">
        <f>Well!D12</f>
        <v>주산면 유곡리 산66</v>
      </c>
      <c r="D6" s="8" t="s">
        <v>72</v>
      </c>
      <c r="E6" s="9">
        <v>2.1669999999999998</v>
      </c>
      <c r="F6" s="51">
        <f>$E$6/$C$14</f>
        <v>1.5589928057553956E-2</v>
      </c>
      <c r="G6" s="11" t="s">
        <v>73</v>
      </c>
      <c r="I6" s="110" t="s">
        <v>279</v>
      </c>
      <c r="J6" s="111">
        <v>1.4775851741433144E-2</v>
      </c>
      <c r="K6" s="114">
        <f>ROUND(J6,4)</f>
        <v>1.4800000000000001E-2</v>
      </c>
    </row>
    <row r="7" spans="1:12" ht="26.1" customHeight="1" thickBot="1">
      <c r="B7" s="7" t="s">
        <v>71</v>
      </c>
      <c r="C7" s="179">
        <f>Well!H12</f>
        <v>150</v>
      </c>
      <c r="D7" s="48" t="s">
        <v>75</v>
      </c>
      <c r="E7" s="49">
        <f>(E5+E6)/2</f>
        <v>2.3404999999999996</v>
      </c>
      <c r="F7" s="52">
        <f>$E$7/$C$14</f>
        <v>1.6838129496402874E-2</v>
      </c>
      <c r="G7" s="48">
        <f>G5</f>
        <v>7.0279999999999995E-4</v>
      </c>
    </row>
    <row r="8" spans="1:12" ht="26.1" customHeight="1" thickBot="1">
      <c r="B8" s="7" t="s">
        <v>74</v>
      </c>
      <c r="C8" s="179">
        <f>Well!G12</f>
        <v>200</v>
      </c>
    </row>
    <row r="9" spans="1:12" ht="26.1" customHeight="1" thickBot="1">
      <c r="B9" s="7" t="s">
        <v>76</v>
      </c>
      <c r="C9" s="179">
        <f>C10+C11</f>
        <v>11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3</v>
      </c>
      <c r="D10" s="15" t="s">
        <v>78</v>
      </c>
      <c r="E10" s="16">
        <v>80.5</v>
      </c>
      <c r="F10" s="17">
        <v>98.6</v>
      </c>
      <c r="G10" s="18">
        <v>84.7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87.9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139</v>
      </c>
      <c r="H12" s="23"/>
      <c r="J12" s="67" t="s">
        <v>147</v>
      </c>
      <c r="K12" s="68">
        <v>45</v>
      </c>
      <c r="L12" s="104">
        <f>K12+180</f>
        <v>225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1673</v>
      </c>
      <c r="L13" s="69"/>
    </row>
    <row r="14" spans="1:12" ht="26.1" customHeight="1">
      <c r="B14" s="7" t="s">
        <v>83</v>
      </c>
      <c r="C14" s="180">
        <f>C7-IF(C20&gt;C9,C20,C9)</f>
        <v>139</v>
      </c>
      <c r="H14" s="24"/>
      <c r="J14" s="56" t="s">
        <v>140</v>
      </c>
      <c r="K14" s="57">
        <v>35</v>
      </c>
      <c r="L14" s="69"/>
    </row>
    <row r="15" spans="1:12" ht="26.1" customHeight="1" thickBot="1">
      <c r="B15" s="7" t="s">
        <v>84</v>
      </c>
      <c r="C15" s="179">
        <f>Well!I12</f>
        <v>200</v>
      </c>
      <c r="E15" s="66">
        <v>9</v>
      </c>
      <c r="J15" s="56" t="s">
        <v>141</v>
      </c>
      <c r="K15" s="57">
        <v>3</v>
      </c>
      <c r="L15" s="69"/>
    </row>
    <row r="16" spans="1:12" ht="26.1" customHeight="1">
      <c r="B16" s="7" t="s">
        <v>85</v>
      </c>
      <c r="C16" s="181">
        <f>Well!J12</f>
        <v>200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27.72</v>
      </c>
      <c r="L16" s="69"/>
    </row>
    <row r="17" spans="2:12" ht="26.1" customHeight="1" thickBot="1">
      <c r="B17" s="7" t="s">
        <v>86</v>
      </c>
      <c r="C17" s="179">
        <f>Well!L12</f>
        <v>7.5</v>
      </c>
      <c r="E17" s="27">
        <f>Well!P12</f>
        <v>3338604</v>
      </c>
      <c r="F17" s="46">
        <f>(max*rf_1*E17/1000)</f>
        <v>613125.94422960002</v>
      </c>
      <c r="G17" s="44">
        <f>F17*allow_ratio</f>
        <v>410794.38263383205</v>
      </c>
      <c r="J17" s="56" t="s">
        <v>142</v>
      </c>
      <c r="K17" s="58">
        <f>K16-K15</f>
        <v>24.72</v>
      </c>
      <c r="L17" s="69"/>
    </row>
    <row r="18" spans="2:12" ht="26.1" customHeight="1" thickBot="1">
      <c r="B18" s="7" t="s">
        <v>87</v>
      </c>
      <c r="C18" s="179">
        <f>Well!M12</f>
        <v>70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1.4775851763299461E-2</v>
      </c>
      <c r="L18" s="70">
        <f>K18*100</f>
        <v>1.4775851763299461</v>
      </c>
    </row>
    <row r="19" spans="2:12" ht="26.1" customHeight="1" thickBot="1">
      <c r="B19" s="26" t="s">
        <v>91</v>
      </c>
      <c r="C19" s="182">
        <f>Well!N12</f>
        <v>50</v>
      </c>
      <c r="E19" s="186">
        <f>E17</f>
        <v>3338604</v>
      </c>
      <c r="F19" s="46">
        <f>(max*rf_1*E19/1000)/365</f>
        <v>1679.7971074783561</v>
      </c>
      <c r="G19" s="44">
        <f>F19*allow_ratio</f>
        <v>1125.4640620104988</v>
      </c>
    </row>
    <row r="20" spans="2:12" ht="26.1" customHeight="1">
      <c r="B20" s="28" t="s">
        <v>92</v>
      </c>
      <c r="C20" s="183">
        <v>7.28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54.39</v>
      </c>
      <c r="D21" s="21"/>
      <c r="E21" s="187">
        <f>Well!$I$12</f>
        <v>200</v>
      </c>
      <c r="F21" s="188">
        <f>Well!O12</f>
        <v>535.29999999999995</v>
      </c>
      <c r="G21" s="44">
        <f>G19-E21-F21</f>
        <v>390.16406201049881</v>
      </c>
    </row>
    <row r="22" spans="2:12" ht="26.1" customHeight="1" thickBot="1">
      <c r="B22" s="168" t="s">
        <v>286</v>
      </c>
      <c r="C22" s="185">
        <f>C21-C20</f>
        <v>47.11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7.28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1.4775851763299461</v>
      </c>
      <c r="I26" s="192" t="s">
        <v>185</v>
      </c>
      <c r="J26" s="192">
        <f>(E7/C14)/864</f>
        <v>1.9488575806021845E-5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35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30</v>
      </c>
      <c r="I29" s="198">
        <f t="shared" si="0"/>
        <v>16</v>
      </c>
      <c r="J29" s="198">
        <f t="shared" si="0"/>
        <v>2</v>
      </c>
      <c r="K29" s="198">
        <f>SUM(D29:J29)</f>
        <v>144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7544C8-E199-4898-A55D-805CF7B79EB5}">
          <x14:formula1>
            <xm:f>drastic!$A$4:$A$13</xm:f>
          </x14:formula1>
          <xm:sqref>F26</xm:sqref>
        </x14:dataValidation>
        <x14:dataValidation type="list" allowBlank="1" showInputMessage="1" showErrorMessage="1" xr:uid="{BD2B2406-EC99-42C6-B846-4E8373F5929A}">
          <x14:formula1>
            <xm:f>drastic!$D$4:$D$14</xm:f>
          </x14:formula1>
          <xm:sqref>G26</xm:sqref>
        </x14:dataValidation>
        <x14:dataValidation type="list" allowBlank="1" showInputMessage="1" showErrorMessage="1" xr:uid="{D16D8334-375D-4BD5-B977-B6C723E53F3F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5AE3-17E1-4F71-8A3B-CAC6E0D5AA00}">
  <sheetPr codeName="Sheet24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250</v>
      </c>
      <c r="C2" s="2" t="str">
        <f>Well!D13</f>
        <v>주산면 증산리 26-14</v>
      </c>
    </row>
    <row r="3" spans="1:12" ht="26.1" customHeight="1">
      <c r="B3" s="3" t="s">
        <v>6</v>
      </c>
      <c r="C3" s="176" t="str">
        <f>Well!C13</f>
        <v>제2009-9호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3.4389998912811279</v>
      </c>
      <c r="K3" s="112">
        <f>ROUND(J3,4)</f>
        <v>3.4390000000000001</v>
      </c>
    </row>
    <row r="4" spans="1:12" ht="26.1" customHeight="1">
      <c r="B4" s="7" t="s">
        <v>66</v>
      </c>
      <c r="C4" s="177" t="str">
        <f>Well!R13</f>
        <v>126, 35, 55</v>
      </c>
      <c r="D4" s="8" t="s">
        <v>67</v>
      </c>
      <c r="E4" s="9">
        <v>0</v>
      </c>
      <c r="F4" s="10"/>
      <c r="G4" s="11"/>
      <c r="I4" s="107" t="s">
        <v>277</v>
      </c>
      <c r="J4" s="106">
        <v>139</v>
      </c>
      <c r="K4" s="113">
        <f>ROUND(J4,1)</f>
        <v>139</v>
      </c>
    </row>
    <row r="5" spans="1:12" ht="26.1" customHeight="1">
      <c r="B5" s="7" t="s">
        <v>68</v>
      </c>
      <c r="C5" s="177" t="str">
        <f>Well!Q13</f>
        <v>36, 10, 39</v>
      </c>
      <c r="D5" s="8" t="s">
        <v>69</v>
      </c>
      <c r="E5" s="50">
        <v>3.72</v>
      </c>
      <c r="F5" s="51">
        <f>$E$5/$C$14</f>
        <v>2.6762589928057554E-2</v>
      </c>
      <c r="G5" s="11">
        <v>5.9920000000000004E-4</v>
      </c>
      <c r="I5" s="107" t="s">
        <v>278</v>
      </c>
      <c r="J5" s="106">
        <v>218</v>
      </c>
      <c r="K5" s="113">
        <f>ROUND(J5,1)</f>
        <v>218</v>
      </c>
    </row>
    <row r="6" spans="1:12" ht="26.1" customHeight="1" thickBot="1">
      <c r="B6" s="7" t="s">
        <v>70</v>
      </c>
      <c r="C6" s="178" t="str">
        <f>Well!D13</f>
        <v>주산면 증산리 26-14</v>
      </c>
      <c r="D6" s="8" t="s">
        <v>72</v>
      </c>
      <c r="E6" s="9">
        <v>3.1579999999999999</v>
      </c>
      <c r="F6" s="51">
        <f>$E$6/$C$14</f>
        <v>2.2719424460431653E-2</v>
      </c>
      <c r="G6" s="11" t="s">
        <v>73</v>
      </c>
      <c r="I6" s="110" t="s">
        <v>279</v>
      </c>
      <c r="J6" s="111">
        <v>3.7007078062742949E-3</v>
      </c>
      <c r="K6" s="114">
        <f>ROUND(J6,4)</f>
        <v>3.7000000000000002E-3</v>
      </c>
    </row>
    <row r="7" spans="1:12" ht="26.1" customHeight="1" thickBot="1">
      <c r="B7" s="7" t="s">
        <v>71</v>
      </c>
      <c r="C7" s="179">
        <f>Well!H13</f>
        <v>150</v>
      </c>
      <c r="D7" s="48" t="s">
        <v>75</v>
      </c>
      <c r="E7" s="49">
        <f>(E5+E6)/2</f>
        <v>3.4390000000000001</v>
      </c>
      <c r="F7" s="52">
        <f>$E$7/$C$14</f>
        <v>2.4741007194244605E-2</v>
      </c>
      <c r="G7" s="48">
        <f>G5</f>
        <v>5.9920000000000004E-4</v>
      </c>
    </row>
    <row r="8" spans="1:12" ht="26.1" customHeight="1" thickBot="1">
      <c r="B8" s="7" t="s">
        <v>74</v>
      </c>
      <c r="C8" s="179">
        <f>Well!G13</f>
        <v>200</v>
      </c>
    </row>
    <row r="9" spans="1:12" ht="26.1" customHeight="1" thickBot="1">
      <c r="B9" s="7" t="s">
        <v>76</v>
      </c>
      <c r="C9" s="179">
        <f>C10+C11</f>
        <v>11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3</v>
      </c>
      <c r="D10" s="15" t="s">
        <v>78</v>
      </c>
      <c r="E10" s="16">
        <v>111.2</v>
      </c>
      <c r="F10" s="17">
        <v>136.19999999999999</v>
      </c>
      <c r="G10" s="18">
        <v>111.2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119.5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139</v>
      </c>
      <c r="H12" s="23"/>
      <c r="J12" s="67" t="s">
        <v>147</v>
      </c>
      <c r="K12" s="68">
        <v>38</v>
      </c>
      <c r="L12" s="104">
        <f>K12+180</f>
        <v>218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989</v>
      </c>
      <c r="L13" s="69"/>
    </row>
    <row r="14" spans="1:12" ht="26.1" customHeight="1">
      <c r="B14" s="7" t="s">
        <v>83</v>
      </c>
      <c r="C14" s="180">
        <f>C7-IF(C20&gt;C9,C20,C9)</f>
        <v>139</v>
      </c>
      <c r="H14" s="24"/>
      <c r="J14" s="56" t="s">
        <v>140</v>
      </c>
      <c r="K14" s="57">
        <v>12</v>
      </c>
      <c r="L14" s="69"/>
    </row>
    <row r="15" spans="1:12" ht="26.1" customHeight="1" thickBot="1">
      <c r="B15" s="7" t="s">
        <v>84</v>
      </c>
      <c r="C15" s="179">
        <f>Well!I13</f>
        <v>300</v>
      </c>
      <c r="E15" s="66">
        <v>10</v>
      </c>
      <c r="J15" s="56" t="s">
        <v>141</v>
      </c>
      <c r="K15" s="57">
        <v>3</v>
      </c>
      <c r="L15" s="69"/>
    </row>
    <row r="16" spans="1:12" ht="26.1" customHeight="1">
      <c r="B16" s="7" t="s">
        <v>85</v>
      </c>
      <c r="C16" s="181">
        <f>Well!J13</f>
        <v>310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6.66</v>
      </c>
      <c r="L16" s="69"/>
    </row>
    <row r="17" spans="2:12" ht="26.1" customHeight="1" thickBot="1">
      <c r="B17" s="7" t="s">
        <v>86</v>
      </c>
      <c r="C17" s="179">
        <f>Well!L13</f>
        <v>7.5</v>
      </c>
      <c r="E17" s="27">
        <f>Well!P13</f>
        <v>3338604</v>
      </c>
      <c r="F17" s="46">
        <f>(max*rf_1*E17/1000)</f>
        <v>613125.94422960002</v>
      </c>
      <c r="G17" s="44">
        <f>F17*allow_ratio</f>
        <v>410794.38263383205</v>
      </c>
      <c r="J17" s="56" t="s">
        <v>142</v>
      </c>
      <c r="K17" s="58">
        <f>K16-K15</f>
        <v>3.66</v>
      </c>
      <c r="L17" s="69"/>
    </row>
    <row r="18" spans="2:12" ht="26.1" customHeight="1" thickBot="1">
      <c r="B18" s="7" t="s">
        <v>87</v>
      </c>
      <c r="C18" s="179">
        <f>Well!M13</f>
        <v>70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3.7007077856420628E-3</v>
      </c>
      <c r="L18" s="70">
        <f>K18*100</f>
        <v>0.37007077856420628</v>
      </c>
    </row>
    <row r="19" spans="2:12" ht="26.1" customHeight="1" thickBot="1">
      <c r="B19" s="26" t="s">
        <v>91</v>
      </c>
      <c r="C19" s="182">
        <f>Well!N13</f>
        <v>50</v>
      </c>
      <c r="E19" s="186">
        <f>E17</f>
        <v>3338604</v>
      </c>
      <c r="F19" s="46">
        <f>(max*rf_1*E19/1000)/365</f>
        <v>1679.7971074783561</v>
      </c>
      <c r="G19" s="44">
        <f>F19*allow_ratio</f>
        <v>1125.4640620104988</v>
      </c>
    </row>
    <row r="20" spans="2:12" ht="26.1" customHeight="1">
      <c r="B20" s="28" t="s">
        <v>92</v>
      </c>
      <c r="C20" s="183">
        <v>5.34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57.47</v>
      </c>
      <c r="D21" s="21"/>
      <c r="E21" s="187">
        <f>Well!$I$13</f>
        <v>300</v>
      </c>
      <c r="F21" s="188">
        <f>Well!O13</f>
        <v>435.3</v>
      </c>
      <c r="G21" s="44">
        <f>G19-E21-F21</f>
        <v>390.16406201049875</v>
      </c>
    </row>
    <row r="22" spans="2:12" ht="26.1" customHeight="1" thickBot="1">
      <c r="B22" s="168" t="s">
        <v>286</v>
      </c>
      <c r="C22" s="185">
        <f>C21-C20</f>
        <v>52.129999999999995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5.34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0.37007077856420628</v>
      </c>
      <c r="I26" s="192" t="s">
        <v>185</v>
      </c>
      <c r="J26" s="192">
        <f>(E7/C14)/864</f>
        <v>2.8635424993338664E-5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35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30</v>
      </c>
      <c r="I29" s="198">
        <f t="shared" si="0"/>
        <v>16</v>
      </c>
      <c r="J29" s="198">
        <f t="shared" si="0"/>
        <v>2</v>
      </c>
      <c r="K29" s="198">
        <f>SUM(D29:J29)</f>
        <v>144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FC94BB-A99E-409D-A3FA-DBD60985B364}">
          <x14:formula1>
            <xm:f>drastic!$G$4:$G$14</xm:f>
          </x14:formula1>
          <xm:sqref>I26</xm:sqref>
        </x14:dataValidation>
        <x14:dataValidation type="list" allowBlank="1" showInputMessage="1" showErrorMessage="1" xr:uid="{B01FE89D-0593-4E7E-B160-F07B01DB034C}">
          <x14:formula1>
            <xm:f>drastic!$D$4:$D$14</xm:f>
          </x14:formula1>
          <xm:sqref>G26</xm:sqref>
        </x14:dataValidation>
        <x14:dataValidation type="list" allowBlank="1" showInputMessage="1" showErrorMessage="1" xr:uid="{8E810A47-F695-4C71-9A8B-FA273095B05E}">
          <x14:formula1>
            <xm:f>drastic!$A$4:$A$13</xm:f>
          </x14:formula1>
          <xm:sqref>F26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E4B3F-094C-490C-97FD-D44A50173AE5}">
  <sheetPr codeName="Sheet25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251</v>
      </c>
      <c r="C2" s="2" t="str">
        <f>Well!D14</f>
        <v>미산면 삼계리 153-1</v>
      </c>
    </row>
    <row r="3" spans="1:12" ht="26.1" customHeight="1">
      <c r="B3" s="3" t="s">
        <v>6</v>
      </c>
      <c r="C3" s="176" t="str">
        <f>Well!C14</f>
        <v>제2005-5호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1.7560000419616699</v>
      </c>
      <c r="K3" s="112">
        <f>ROUND(J3,4)</f>
        <v>1.756</v>
      </c>
    </row>
    <row r="4" spans="1:12" ht="26.1" customHeight="1">
      <c r="B4" s="7" t="s">
        <v>66</v>
      </c>
      <c r="C4" s="177" t="str">
        <f>Well!R14</f>
        <v>126, 40, 46.31</v>
      </c>
      <c r="D4" s="8" t="s">
        <v>67</v>
      </c>
      <c r="E4" s="9">
        <v>0</v>
      </c>
      <c r="F4" s="10"/>
      <c r="G4" s="11"/>
      <c r="I4" s="107" t="s">
        <v>277</v>
      </c>
      <c r="J4" s="106">
        <v>90</v>
      </c>
      <c r="K4" s="113">
        <f>ROUND(J4,1)</f>
        <v>90</v>
      </c>
    </row>
    <row r="5" spans="1:12" ht="26.1" customHeight="1">
      <c r="B5" s="7" t="s">
        <v>68</v>
      </c>
      <c r="C5" s="177" t="str">
        <f>Well!Q14</f>
        <v>36, 12, 11.14</v>
      </c>
      <c r="D5" s="8" t="s">
        <v>69</v>
      </c>
      <c r="E5" s="50">
        <v>1.839</v>
      </c>
      <c r="F5" s="51">
        <f>$E$5/$C$14</f>
        <v>2.0433333333333335E-2</v>
      </c>
      <c r="G5" s="11">
        <v>7.7189999999999995E-4</v>
      </c>
      <c r="I5" s="107" t="s">
        <v>278</v>
      </c>
      <c r="J5" s="106">
        <v>104</v>
      </c>
      <c r="K5" s="113">
        <f>ROUND(J5,1)</f>
        <v>104</v>
      </c>
    </row>
    <row r="6" spans="1:12" ht="26.1" customHeight="1" thickBot="1">
      <c r="B6" s="7" t="s">
        <v>70</v>
      </c>
      <c r="C6" s="178" t="str">
        <f>Well!D14</f>
        <v>미산면 삼계리 153-1</v>
      </c>
      <c r="D6" s="8" t="s">
        <v>72</v>
      </c>
      <c r="E6" s="9">
        <v>1.673</v>
      </c>
      <c r="F6" s="51">
        <f>$E$6/$C$14</f>
        <v>1.8588888888888891E-2</v>
      </c>
      <c r="G6" s="11" t="s">
        <v>73</v>
      </c>
      <c r="I6" s="110" t="s">
        <v>279</v>
      </c>
      <c r="J6" s="111">
        <v>1.0725879110395908E-2</v>
      </c>
      <c r="K6" s="114">
        <f>ROUND(J6,4)</f>
        <v>1.0699999999999999E-2</v>
      </c>
    </row>
    <row r="7" spans="1:12" ht="26.1" customHeight="1" thickBot="1">
      <c r="B7" s="7" t="s">
        <v>71</v>
      </c>
      <c r="C7" s="179">
        <f>Well!H14</f>
        <v>100</v>
      </c>
      <c r="D7" s="48" t="s">
        <v>75</v>
      </c>
      <c r="E7" s="49">
        <f>(E5+E6)/2</f>
        <v>1.756</v>
      </c>
      <c r="F7" s="52">
        <f>$E$7/$C$14</f>
        <v>1.9511111111111111E-2</v>
      </c>
      <c r="G7" s="48">
        <f>G5</f>
        <v>7.7189999999999995E-4</v>
      </c>
    </row>
    <row r="8" spans="1:12" ht="26.1" customHeight="1" thickBot="1">
      <c r="B8" s="7" t="s">
        <v>74</v>
      </c>
      <c r="C8" s="179">
        <f>Well!G14</f>
        <v>250</v>
      </c>
    </row>
    <row r="9" spans="1:12" ht="26.1" customHeight="1" thickBot="1">
      <c r="B9" s="7" t="s">
        <v>76</v>
      </c>
      <c r="C9" s="179">
        <f>C10+C11</f>
        <v>10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3</v>
      </c>
      <c r="D10" s="15" t="s">
        <v>78</v>
      </c>
      <c r="E10" s="16">
        <v>82</v>
      </c>
      <c r="F10" s="17">
        <v>100.5</v>
      </c>
      <c r="G10" s="18">
        <v>70</v>
      </c>
      <c r="H10" s="19"/>
      <c r="I10" s="20"/>
    </row>
    <row r="11" spans="1:12" ht="26.1" customHeight="1" thickBot="1">
      <c r="B11" s="7" t="s">
        <v>79</v>
      </c>
      <c r="C11" s="177">
        <v>7</v>
      </c>
      <c r="D11" s="47" t="s">
        <v>80</v>
      </c>
      <c r="E11" s="65">
        <f>ROUND(AVERAGE(E10:G10),1)</f>
        <v>84.2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90</v>
      </c>
      <c r="H12" s="23"/>
      <c r="J12" s="67" t="s">
        <v>147</v>
      </c>
      <c r="K12" s="105">
        <v>104</v>
      </c>
      <c r="L12" s="95">
        <f>K12+180</f>
        <v>284</v>
      </c>
    </row>
    <row r="13" spans="1:12" ht="26.1" customHeight="1">
      <c r="A13" s="21">
        <f>C10+C11+C12+C13</f>
        <v>100</v>
      </c>
      <c r="B13" s="7" t="s">
        <v>82</v>
      </c>
      <c r="C13" s="177"/>
      <c r="H13" s="24"/>
      <c r="J13" s="54" t="s">
        <v>139</v>
      </c>
      <c r="K13" s="55">
        <v>2218</v>
      </c>
      <c r="L13" s="69"/>
    </row>
    <row r="14" spans="1:12" ht="26.1" customHeight="1">
      <c r="B14" s="7" t="s">
        <v>83</v>
      </c>
      <c r="C14" s="180">
        <f>C7-IF(C20&gt;C9,C20,C9)</f>
        <v>90</v>
      </c>
      <c r="H14" s="24"/>
      <c r="J14" s="56" t="s">
        <v>140</v>
      </c>
      <c r="K14" s="57">
        <v>96</v>
      </c>
      <c r="L14" s="69"/>
    </row>
    <row r="15" spans="1:12" ht="26.1" customHeight="1" thickBot="1">
      <c r="B15" s="7" t="s">
        <v>84</v>
      </c>
      <c r="C15" s="179">
        <f>Well!I14</f>
        <v>150</v>
      </c>
      <c r="E15" s="66">
        <v>11</v>
      </c>
      <c r="J15" s="56" t="s">
        <v>141</v>
      </c>
      <c r="K15" s="57">
        <v>70</v>
      </c>
      <c r="L15" s="69"/>
    </row>
    <row r="16" spans="1:12" ht="26.1" customHeight="1">
      <c r="B16" s="7" t="s">
        <v>85</v>
      </c>
      <c r="C16" s="181">
        <f>Well!J14</f>
        <v>150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93.79</v>
      </c>
      <c r="L16" s="69"/>
    </row>
    <row r="17" spans="2:12" ht="26.1" customHeight="1" thickBot="1">
      <c r="B17" s="7" t="s">
        <v>86</v>
      </c>
      <c r="C17" s="179">
        <f>Well!L14</f>
        <v>7.5</v>
      </c>
      <c r="E17" s="27">
        <f>Well!P14</f>
        <v>1451270</v>
      </c>
      <c r="F17" s="46">
        <f>(max*rf_1*E17/1000)</f>
        <v>266521.96219799999</v>
      </c>
      <c r="G17" s="44">
        <f>F17*allow_ratio</f>
        <v>178569.71467266002</v>
      </c>
      <c r="J17" s="56" t="s">
        <v>142</v>
      </c>
      <c r="K17" s="58">
        <f>K16-K15</f>
        <v>23.790000000000006</v>
      </c>
      <c r="L17" s="69"/>
    </row>
    <row r="18" spans="2:12" ht="26.1" customHeight="1" thickBot="1">
      <c r="B18" s="7" t="s">
        <v>87</v>
      </c>
      <c r="C18" s="179">
        <f>Well!M14</f>
        <v>60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1.0725879170423808E-2</v>
      </c>
      <c r="L18" s="70">
        <f>K18*100</f>
        <v>1.0725879170423807</v>
      </c>
    </row>
    <row r="19" spans="2:12" ht="26.1" customHeight="1" thickBot="1">
      <c r="B19" s="26" t="s">
        <v>91</v>
      </c>
      <c r="C19" s="182">
        <f>Well!N14</f>
        <v>50</v>
      </c>
      <c r="E19" s="186">
        <f>E17</f>
        <v>1451270</v>
      </c>
      <c r="F19" s="46">
        <f>(max*rf_1*E19/1000)/365</f>
        <v>730.19715670684934</v>
      </c>
      <c r="G19" s="44">
        <f>F19*allow_ratio</f>
        <v>489.2320949935891</v>
      </c>
    </row>
    <row r="20" spans="2:12" ht="26.1" customHeight="1">
      <c r="B20" s="28" t="s">
        <v>92</v>
      </c>
      <c r="C20" s="183">
        <v>2.21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48.53</v>
      </c>
      <c r="D21" s="21"/>
      <c r="E21" s="187">
        <f>Well!$I$14</f>
        <v>150</v>
      </c>
      <c r="F21" s="188">
        <f>Well!O14</f>
        <v>118.5</v>
      </c>
      <c r="G21" s="44">
        <f>G19-E21-F21</f>
        <v>220.7320949935891</v>
      </c>
    </row>
    <row r="22" spans="2:12" ht="26.1" customHeight="1" thickBot="1">
      <c r="B22" s="168" t="s">
        <v>286</v>
      </c>
      <c r="C22" s="185">
        <f>C21-C20</f>
        <v>46.32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2.21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1.0725879170423807</v>
      </c>
      <c r="I26" s="192" t="s">
        <v>185</v>
      </c>
      <c r="J26" s="192">
        <f>(E7/C14)/864</f>
        <v>2.258230452674897E-5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9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45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30</v>
      </c>
      <c r="I29" s="198">
        <f t="shared" si="0"/>
        <v>16</v>
      </c>
      <c r="J29" s="198">
        <f t="shared" si="0"/>
        <v>2</v>
      </c>
      <c r="K29" s="198">
        <f>SUM(D29:J29)</f>
        <v>154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723D3DD-568B-4C84-97D5-EB536181287D}">
          <x14:formula1>
            <xm:f>drastic!$A$4:$A$13</xm:f>
          </x14:formula1>
          <xm:sqref>F26</xm:sqref>
        </x14:dataValidation>
        <x14:dataValidation type="list" allowBlank="1" showInputMessage="1" showErrorMessage="1" xr:uid="{3589FDEA-10C7-4711-98E9-16EF34D1B497}">
          <x14:formula1>
            <xm:f>drastic!$D$4:$D$14</xm:f>
          </x14:formula1>
          <xm:sqref>G26</xm:sqref>
        </x14:dataValidation>
        <x14:dataValidation type="list" allowBlank="1" showInputMessage="1" showErrorMessage="1" xr:uid="{B9B5EB9B-0426-4E6D-AB58-B442DBDC89D3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9A316-58EC-4372-9233-04309B79C236}">
  <sheetPr codeName="Sheet10">
    <tabColor rgb="FFFF0000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19.33203125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288</v>
      </c>
      <c r="C2" s="2" t="str">
        <f>Well!D15</f>
        <v>미산면 삼계리 153-1</v>
      </c>
    </row>
    <row r="3" spans="1:12" ht="26.1" customHeight="1">
      <c r="B3" s="3" t="s">
        <v>6</v>
      </c>
      <c r="C3" s="176" t="str">
        <f>Well!C15</f>
        <v>제2005-5호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276</v>
      </c>
      <c r="J3" s="109">
        <v>1.2860000133514404</v>
      </c>
      <c r="K3" s="112">
        <f>ROUND(J3,4)</f>
        <v>1.286</v>
      </c>
    </row>
    <row r="4" spans="1:12" ht="26.1" customHeight="1">
      <c r="B4" s="7" t="s">
        <v>66</v>
      </c>
      <c r="C4" s="177" t="str">
        <f>Well!R15</f>
        <v>126, 40, 46.31</v>
      </c>
      <c r="D4" s="8" t="s">
        <v>67</v>
      </c>
      <c r="E4" s="9">
        <v>0</v>
      </c>
      <c r="F4" s="10"/>
      <c r="G4" s="11"/>
      <c r="I4" s="107" t="s">
        <v>277</v>
      </c>
      <c r="J4" s="106">
        <v>137</v>
      </c>
      <c r="K4" s="113">
        <f>ROUND(J4,1)</f>
        <v>137</v>
      </c>
    </row>
    <row r="5" spans="1:12" ht="26.1" customHeight="1">
      <c r="B5" s="7" t="s">
        <v>68</v>
      </c>
      <c r="C5" s="177" t="str">
        <f>Well!Q15</f>
        <v>36, 12, 11.14</v>
      </c>
      <c r="D5" s="8" t="s">
        <v>69</v>
      </c>
      <c r="E5" s="50">
        <v>1.2509999999999999</v>
      </c>
      <c r="F5" s="51">
        <f>$E$5/$C$14</f>
        <v>1.4379310344827584E-2</v>
      </c>
      <c r="G5" s="11">
        <v>8.8619999999999997E-4</v>
      </c>
      <c r="I5" s="107" t="s">
        <v>278</v>
      </c>
      <c r="J5" s="106">
        <v>168</v>
      </c>
      <c r="K5" s="113">
        <f>ROUND(J5,1)</f>
        <v>168</v>
      </c>
    </row>
    <row r="6" spans="1:12" ht="26.1" customHeight="1" thickBot="1">
      <c r="B6" s="7" t="s">
        <v>70</v>
      </c>
      <c r="C6" s="178" t="str">
        <f>Well!D15</f>
        <v>미산면 삼계리 153-1</v>
      </c>
      <c r="D6" s="8" t="s">
        <v>72</v>
      </c>
      <c r="E6" s="9">
        <v>1.321</v>
      </c>
      <c r="F6" s="51">
        <f>$E$6/$C$14</f>
        <v>1.5183908045977012E-2</v>
      </c>
      <c r="G6" s="11" t="s">
        <v>73</v>
      </c>
      <c r="I6" s="110" t="s">
        <v>279</v>
      </c>
      <c r="J6" s="111">
        <v>2.0621242001652718E-2</v>
      </c>
      <c r="K6" s="114">
        <f>ROUND(J6,4)</f>
        <v>2.06E-2</v>
      </c>
    </row>
    <row r="7" spans="1:12" ht="26.1" customHeight="1" thickBot="1">
      <c r="B7" s="7" t="s">
        <v>71</v>
      </c>
      <c r="C7" s="179">
        <f>Well!H15</f>
        <v>100</v>
      </c>
      <c r="D7" s="48" t="s">
        <v>75</v>
      </c>
      <c r="E7" s="49">
        <f>(E5+E6)/2</f>
        <v>1.286</v>
      </c>
      <c r="F7" s="52">
        <f>$E$7/$C$14</f>
        <v>1.47816091954023E-2</v>
      </c>
      <c r="G7" s="48">
        <f>G5</f>
        <v>8.8619999999999997E-4</v>
      </c>
    </row>
    <row r="8" spans="1:12" ht="26.1" customHeight="1" thickBot="1">
      <c r="B8" s="7" t="s">
        <v>74</v>
      </c>
      <c r="C8" s="179">
        <f>Well!G15</f>
        <v>250</v>
      </c>
    </row>
    <row r="9" spans="1:12" ht="26.1" customHeight="1" thickBot="1">
      <c r="B9" s="7" t="s">
        <v>76</v>
      </c>
      <c r="C9" s="179">
        <f>C10+C11</f>
        <v>13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67.400000000000006</v>
      </c>
      <c r="F10" s="17">
        <v>82.5</v>
      </c>
      <c r="G10" s="18">
        <v>55.9</v>
      </c>
      <c r="H10" s="19"/>
      <c r="I10" s="20"/>
    </row>
    <row r="11" spans="1:12" ht="26.1" customHeight="1" thickBot="1">
      <c r="B11" s="7" t="s">
        <v>79</v>
      </c>
      <c r="C11" s="177">
        <v>9</v>
      </c>
      <c r="D11" s="47" t="s">
        <v>80</v>
      </c>
      <c r="E11" s="65">
        <f>ROUND(AVERAGE(E10:G10),1)</f>
        <v>68.599999999999994</v>
      </c>
      <c r="F11" s="22"/>
      <c r="G11" s="22"/>
      <c r="H11" s="19"/>
      <c r="I11" s="20"/>
      <c r="J11" s="477" t="s">
        <v>144</v>
      </c>
      <c r="K11" s="478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87</v>
      </c>
      <c r="H12" s="23"/>
      <c r="J12" s="67" t="s">
        <v>147</v>
      </c>
      <c r="K12" s="105">
        <v>168</v>
      </c>
      <c r="L12" s="95">
        <f>K12+180</f>
        <v>348</v>
      </c>
    </row>
    <row r="13" spans="1:12" ht="26.1" customHeight="1">
      <c r="A13" s="21">
        <f>C10+C11+C12+C13</f>
        <v>100</v>
      </c>
      <c r="B13" s="7" t="s">
        <v>82</v>
      </c>
      <c r="C13" s="177"/>
      <c r="H13" s="24"/>
      <c r="J13" s="54" t="s">
        <v>139</v>
      </c>
      <c r="K13" s="55">
        <v>499</v>
      </c>
      <c r="L13" s="69"/>
    </row>
    <row r="14" spans="1:12" ht="26.1" customHeight="1">
      <c r="B14" s="7" t="s">
        <v>83</v>
      </c>
      <c r="C14" s="180">
        <f>C7-IF(C20&gt;C9,C20,C9)</f>
        <v>87</v>
      </c>
      <c r="H14" s="24"/>
      <c r="J14" s="56" t="s">
        <v>140</v>
      </c>
      <c r="K14" s="57">
        <v>26</v>
      </c>
      <c r="L14" s="69"/>
    </row>
    <row r="15" spans="1:12" ht="26.1" customHeight="1" thickBot="1">
      <c r="B15" s="7" t="s">
        <v>84</v>
      </c>
      <c r="C15" s="179">
        <f>Well!I15</f>
        <v>150</v>
      </c>
      <c r="E15" s="66">
        <v>12</v>
      </c>
      <c r="J15" s="56" t="s">
        <v>141</v>
      </c>
      <c r="K15" s="57">
        <v>8</v>
      </c>
      <c r="L15" s="69"/>
    </row>
    <row r="16" spans="1:12" ht="26.1" customHeight="1">
      <c r="B16" s="7" t="s">
        <v>85</v>
      </c>
      <c r="C16" s="181">
        <f>Well!J15</f>
        <v>150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18.29</v>
      </c>
      <c r="L16" s="69"/>
    </row>
    <row r="17" spans="2:12" ht="26.1" customHeight="1" thickBot="1">
      <c r="B17" s="7" t="s">
        <v>86</v>
      </c>
      <c r="C17" s="179">
        <f>Well!L15</f>
        <v>7.5</v>
      </c>
      <c r="E17" s="27">
        <f>Well!P15</f>
        <v>1451270</v>
      </c>
      <c r="F17" s="46">
        <f>(max*rf_1*E17/1000)</f>
        <v>266521.96219799999</v>
      </c>
      <c r="G17" s="44">
        <f>F17*allow_ratio</f>
        <v>178569.71467266002</v>
      </c>
      <c r="J17" s="56" t="s">
        <v>142</v>
      </c>
      <c r="K17" s="58">
        <f>K16-K15</f>
        <v>10.29</v>
      </c>
      <c r="L17" s="69"/>
    </row>
    <row r="18" spans="2:12" ht="26.1" customHeight="1" thickBot="1">
      <c r="B18" s="7" t="s">
        <v>87</v>
      </c>
      <c r="C18" s="179">
        <f>Well!M15</f>
        <v>60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2.0621242484969937E-2</v>
      </c>
      <c r="L18" s="70">
        <f>K18*100</f>
        <v>2.0621242484969935</v>
      </c>
    </row>
    <row r="19" spans="2:12" ht="26.1" customHeight="1" thickBot="1">
      <c r="B19" s="26" t="s">
        <v>91</v>
      </c>
      <c r="C19" s="182">
        <f>Well!N15</f>
        <v>50</v>
      </c>
      <c r="E19" s="186">
        <f>E17</f>
        <v>1451270</v>
      </c>
      <c r="F19" s="46">
        <f>(max*rf_1*E19/1000)/365</f>
        <v>730.19715670684934</v>
      </c>
      <c r="G19" s="44">
        <f>F19*allow_ratio</f>
        <v>489.2320949935891</v>
      </c>
    </row>
    <row r="20" spans="2:12" ht="26.1" customHeight="1">
      <c r="B20" s="28" t="s">
        <v>92</v>
      </c>
      <c r="C20" s="183">
        <v>7.71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82.3</v>
      </c>
      <c r="D21" s="21"/>
      <c r="E21" s="187">
        <f>Well!$I$15</f>
        <v>150</v>
      </c>
      <c r="F21" s="188">
        <f>Well!O15</f>
        <v>118.5</v>
      </c>
      <c r="G21" s="44">
        <f>G19-E21-F21</f>
        <v>220.7320949935891</v>
      </c>
    </row>
    <row r="22" spans="2:12" ht="26.1" customHeight="1" thickBot="1">
      <c r="B22" s="168" t="s">
        <v>286</v>
      </c>
      <c r="C22" s="185">
        <f>C21-C20</f>
        <v>74.59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72" t="s">
        <v>122</v>
      </c>
      <c r="C25" s="473"/>
      <c r="D25" s="189" t="s">
        <v>133</v>
      </c>
      <c r="E25" s="189" t="s">
        <v>134</v>
      </c>
      <c r="F25" s="189" t="s">
        <v>123</v>
      </c>
      <c r="G25" s="189" t="s">
        <v>124</v>
      </c>
      <c r="H25" s="189" t="s">
        <v>149</v>
      </c>
      <c r="I25" s="189" t="s">
        <v>125</v>
      </c>
      <c r="J25" s="189" t="s">
        <v>126</v>
      </c>
      <c r="K25" s="189" t="s">
        <v>127</v>
      </c>
    </row>
    <row r="26" spans="2:12" ht="55.5" customHeight="1" thickBot="1">
      <c r="B26" s="474" t="s">
        <v>64</v>
      </c>
      <c r="C26" s="190" t="s">
        <v>129</v>
      </c>
      <c r="D26" s="192">
        <f>C20</f>
        <v>7.71</v>
      </c>
      <c r="E26" s="193">
        <f>Recharge!C31</f>
        <v>18.364740000000001</v>
      </c>
      <c r="F26" s="194" t="s">
        <v>185</v>
      </c>
      <c r="G26" s="192" t="s">
        <v>203</v>
      </c>
      <c r="H26" s="195">
        <f>L18</f>
        <v>2.0621242484969935</v>
      </c>
      <c r="I26" s="192" t="s">
        <v>185</v>
      </c>
      <c r="J26" s="192">
        <f>(E7/C14)/864</f>
        <v>1.7108343976160068E-5</v>
      </c>
      <c r="K26" s="192" t="s">
        <v>303</v>
      </c>
    </row>
    <row r="27" spans="2:12" ht="36.75" customHeight="1" thickBot="1">
      <c r="B27" s="475"/>
      <c r="C27" s="190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6"/>
    </row>
    <row r="28" spans="2:12" ht="36.75" customHeight="1" thickBot="1">
      <c r="B28" s="475"/>
      <c r="C28" s="191" t="s">
        <v>131</v>
      </c>
      <c r="D28" s="197">
        <v>5</v>
      </c>
      <c r="E28" s="197">
        <v>4</v>
      </c>
      <c r="F28" s="197">
        <v>3</v>
      </c>
      <c r="G28" s="197">
        <v>5</v>
      </c>
      <c r="H28" s="197">
        <v>3</v>
      </c>
      <c r="I28" s="197">
        <v>4</v>
      </c>
      <c r="J28" s="197">
        <v>2</v>
      </c>
      <c r="K28" s="197"/>
    </row>
    <row r="29" spans="2:12" ht="36.75" customHeight="1" thickBot="1">
      <c r="B29" s="476"/>
      <c r="C29" s="190" t="s">
        <v>132</v>
      </c>
      <c r="D29" s="198">
        <f>D27*D28</f>
        <v>35</v>
      </c>
      <c r="E29" s="198">
        <f t="shared" ref="E29:J29" si="0">E27*E28</f>
        <v>32</v>
      </c>
      <c r="F29" s="198">
        <f t="shared" si="0"/>
        <v>9</v>
      </c>
      <c r="G29" s="198">
        <f t="shared" si="0"/>
        <v>20</v>
      </c>
      <c r="H29" s="198">
        <f t="shared" si="0"/>
        <v>27</v>
      </c>
      <c r="I29" s="198">
        <f t="shared" si="0"/>
        <v>16</v>
      </c>
      <c r="J29" s="198">
        <f t="shared" si="0"/>
        <v>2</v>
      </c>
      <c r="K29" s="198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0F1BD20-B528-4F49-BEF7-4F43E4D63140}">
          <x14:formula1>
            <xm:f>drastic!$A$4:$A$13</xm:f>
          </x14:formula1>
          <xm:sqref>F26</xm:sqref>
        </x14:dataValidation>
        <x14:dataValidation type="list" allowBlank="1" showInputMessage="1" showErrorMessage="1" xr:uid="{2B2F6101-8C18-49D1-85B6-518861758816}">
          <x14:formula1>
            <xm:f>drastic!$D$4:$D$14</xm:f>
          </x14:formula1>
          <xm:sqref>G26</xm:sqref>
        </x14:dataValidation>
        <x14:dataValidation type="list" allowBlank="1" showInputMessage="1" showErrorMessage="1" xr:uid="{E968E694-8021-4988-8FC6-E93CC3E03819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topLeftCell="A4" workbookViewId="0">
      <selection activeCell="K23" sqref="K23"/>
    </sheetView>
  </sheetViews>
  <sheetFormatPr defaultColWidth="8.88671875" defaultRowHeight="16.5"/>
  <cols>
    <col min="1" max="1" width="8.88671875" style="71"/>
    <col min="2" max="2" width="13.109375" style="71" customWidth="1"/>
    <col min="3" max="3" width="10" style="71" customWidth="1"/>
    <col min="4" max="4" width="8.77734375" style="71" customWidth="1"/>
    <col min="5" max="6" width="8.77734375" style="72" customWidth="1"/>
    <col min="7" max="13" width="8.77734375" style="71" customWidth="1"/>
    <col min="14" max="16384" width="8.88671875" style="71"/>
  </cols>
  <sheetData>
    <row r="1" spans="2:9" s="62" customFormat="1" ht="18" customHeight="1">
      <c r="E1" s="61"/>
      <c r="F1" s="61"/>
    </row>
    <row r="2" spans="2:9" s="62" customFormat="1" ht="18" customHeight="1">
      <c r="B2" s="62" t="s">
        <v>96</v>
      </c>
      <c r="E2" s="61"/>
      <c r="F2" s="61"/>
    </row>
    <row r="3" spans="2:9" s="62" customFormat="1" ht="18" customHeight="1">
      <c r="E3" s="61"/>
      <c r="F3" s="61"/>
    </row>
    <row r="4" spans="2:9" s="62" customFormat="1" ht="18" customHeight="1">
      <c r="B4" s="81" t="s">
        <v>109</v>
      </c>
      <c r="E4" s="61"/>
      <c r="F4" s="61"/>
    </row>
    <row r="5" spans="2:9" s="62" customFormat="1" ht="18" customHeight="1" thickBot="1">
      <c r="E5" s="61"/>
      <c r="F5" s="61"/>
    </row>
    <row r="6" spans="2:9" s="62" customFormat="1" ht="26.1" customHeight="1" thickBot="1">
      <c r="B6" s="402" t="s">
        <v>97</v>
      </c>
      <c r="C6" s="403">
        <v>43577.375</v>
      </c>
      <c r="D6" s="404"/>
      <c r="E6" s="61"/>
      <c r="F6" s="61"/>
    </row>
    <row r="7" spans="2:9" s="62" customFormat="1" ht="26.1" customHeight="1" thickBot="1">
      <c r="B7" s="405" t="s">
        <v>98</v>
      </c>
      <c r="C7" s="406">
        <v>14</v>
      </c>
      <c r="D7" s="404"/>
      <c r="E7" s="61"/>
      <c r="F7" s="61"/>
    </row>
    <row r="8" spans="2:9" s="62" customFormat="1" ht="26.1" customHeight="1">
      <c r="B8" s="407" t="s">
        <v>99</v>
      </c>
      <c r="C8" s="408">
        <v>226</v>
      </c>
      <c r="D8" s="407">
        <v>229</v>
      </c>
      <c r="E8" s="61"/>
      <c r="F8" s="61"/>
    </row>
    <row r="9" spans="2:9" s="62" customFormat="1" ht="26.1" customHeight="1">
      <c r="B9" s="407" t="s">
        <v>100</v>
      </c>
      <c r="C9" s="408">
        <v>7.9</v>
      </c>
      <c r="D9" s="407">
        <v>7.8</v>
      </c>
      <c r="E9" s="61"/>
      <c r="F9" s="61"/>
    </row>
    <row r="10" spans="2:9" s="62" customFormat="1" ht="26.1" customHeight="1">
      <c r="B10" s="407"/>
      <c r="C10" s="408"/>
      <c r="D10" s="404"/>
      <c r="E10" s="61"/>
      <c r="F10" s="61"/>
    </row>
    <row r="11" spans="2:9" s="62" customFormat="1" ht="18" customHeight="1" thickBot="1">
      <c r="E11" s="61"/>
      <c r="F11" s="61"/>
    </row>
    <row r="12" spans="2:9" s="61" customFormat="1" ht="26.1" customHeight="1">
      <c r="B12" s="479" t="s">
        <v>101</v>
      </c>
      <c r="C12" s="481"/>
      <c r="D12" s="479" t="s">
        <v>102</v>
      </c>
      <c r="E12" s="480"/>
      <c r="F12" s="481"/>
      <c r="G12" s="479" t="s">
        <v>189</v>
      </c>
      <c r="H12" s="480"/>
      <c r="I12" s="481"/>
    </row>
    <row r="13" spans="2:9" s="61" customFormat="1" ht="26.1" customHeight="1">
      <c r="B13" s="425" t="s">
        <v>97</v>
      </c>
      <c r="C13" s="426" t="s">
        <v>103</v>
      </c>
      <c r="D13" s="425" t="s">
        <v>104</v>
      </c>
      <c r="E13" s="411" t="s">
        <v>105</v>
      </c>
      <c r="F13" s="426" t="s">
        <v>106</v>
      </c>
      <c r="G13" s="425" t="s">
        <v>104</v>
      </c>
      <c r="H13" s="411" t="s">
        <v>105</v>
      </c>
      <c r="I13" s="426" t="s">
        <v>106</v>
      </c>
    </row>
    <row r="14" spans="2:9" s="61" customFormat="1" ht="26.1" customHeight="1">
      <c r="B14" s="412">
        <f>$C$6+C14/1440</f>
        <v>43577.378472222219</v>
      </c>
      <c r="C14" s="167">
        <v>5</v>
      </c>
      <c r="D14" s="161">
        <f t="shared" ref="D14:D23" ca="1" si="0">baseTemp+D31</f>
        <v>14.3</v>
      </c>
      <c r="E14" s="413">
        <f t="shared" ref="E14:E23" ca="1" si="1">$C$8+E31</f>
        <v>225</v>
      </c>
      <c r="F14" s="414">
        <f t="shared" ref="F14:F23" ca="1" si="2">$C$9+F31</f>
        <v>7.9700000000000006</v>
      </c>
      <c r="G14" s="415">
        <f t="shared" ref="G14:G23" ca="1" si="3">baseTemp+H31</f>
        <v>13.7</v>
      </c>
      <c r="H14" s="413">
        <f ca="1">$D$8+I31</f>
        <v>228</v>
      </c>
      <c r="I14" s="414">
        <f ca="1">$D$9+J31</f>
        <v>7.91</v>
      </c>
    </row>
    <row r="15" spans="2:9" s="61" customFormat="1" ht="26.1" customHeight="1">
      <c r="B15" s="416">
        <f t="shared" ref="B15:B23" si="4">$C$6+C15/1440</f>
        <v>43577.395833333336</v>
      </c>
      <c r="C15" s="150">
        <v>30</v>
      </c>
      <c r="D15" s="147">
        <f t="shared" ca="1" si="0"/>
        <v>13.9</v>
      </c>
      <c r="E15" s="417">
        <f t="shared" ca="1" si="1"/>
        <v>227</v>
      </c>
      <c r="F15" s="418">
        <f t="shared" ca="1" si="2"/>
        <v>7.8100000000000005</v>
      </c>
      <c r="G15" s="415">
        <f t="shared" ca="1" si="3"/>
        <v>14.2</v>
      </c>
      <c r="H15" s="413">
        <f t="shared" ref="H15:H23" ca="1" si="5">$D$8+I32</f>
        <v>226</v>
      </c>
      <c r="I15" s="414">
        <f t="shared" ref="I15:I22" ca="1" si="6">$D$9+J32</f>
        <v>7.7299999999999995</v>
      </c>
    </row>
    <row r="16" spans="2:9" s="61" customFormat="1" ht="26.1" customHeight="1">
      <c r="B16" s="416">
        <f t="shared" si="4"/>
        <v>43577.416666666664</v>
      </c>
      <c r="C16" s="150">
        <v>60</v>
      </c>
      <c r="D16" s="147">
        <f t="shared" ca="1" si="0"/>
        <v>13.8</v>
      </c>
      <c r="E16" s="417">
        <f t="shared" ca="1" si="1"/>
        <v>228</v>
      </c>
      <c r="F16" s="418">
        <f t="shared" ca="1" si="2"/>
        <v>7.82</v>
      </c>
      <c r="G16" s="415">
        <f t="shared" ca="1" si="3"/>
        <v>14.2</v>
      </c>
      <c r="H16" s="413">
        <f t="shared" ca="1" si="5"/>
        <v>231</v>
      </c>
      <c r="I16" s="414">
        <f t="shared" ca="1" si="6"/>
        <v>7.7</v>
      </c>
    </row>
    <row r="17" spans="2:10" s="61" customFormat="1" ht="26.1" customHeight="1">
      <c r="B17" s="416">
        <f t="shared" si="4"/>
        <v>43577.458333333336</v>
      </c>
      <c r="C17" s="150">
        <v>120</v>
      </c>
      <c r="D17" s="147">
        <f t="shared" ca="1" si="0"/>
        <v>13.7</v>
      </c>
      <c r="E17" s="417">
        <f t="shared" ca="1" si="1"/>
        <v>229</v>
      </c>
      <c r="F17" s="418">
        <f t="shared" ca="1" si="2"/>
        <v>7.82</v>
      </c>
      <c r="G17" s="415">
        <f t="shared" ca="1" si="3"/>
        <v>13.7</v>
      </c>
      <c r="H17" s="413">
        <f t="shared" ca="1" si="5"/>
        <v>227</v>
      </c>
      <c r="I17" s="414">
        <f t="shared" ca="1" si="6"/>
        <v>7.6899999999999995</v>
      </c>
    </row>
    <row r="18" spans="2:10" s="61" customFormat="1" ht="26.1" customHeight="1">
      <c r="B18" s="416">
        <f t="shared" si="4"/>
        <v>43577.541666666664</v>
      </c>
      <c r="C18" s="150">
        <v>240</v>
      </c>
      <c r="D18" s="147">
        <f t="shared" ca="1" si="0"/>
        <v>13.7</v>
      </c>
      <c r="E18" s="417">
        <f t="shared" ca="1" si="1"/>
        <v>224</v>
      </c>
      <c r="F18" s="418">
        <f t="shared" ca="1" si="2"/>
        <v>7.98</v>
      </c>
      <c r="G18" s="415">
        <f t="shared" ca="1" si="3"/>
        <v>14.1</v>
      </c>
      <c r="H18" s="413">
        <f t="shared" ca="1" si="5"/>
        <v>231</v>
      </c>
      <c r="I18" s="414">
        <f t="shared" ca="1" si="6"/>
        <v>7.87</v>
      </c>
    </row>
    <row r="19" spans="2:10" s="61" customFormat="1" ht="26.1" customHeight="1">
      <c r="B19" s="416">
        <f t="shared" si="4"/>
        <v>43577.708333333336</v>
      </c>
      <c r="C19" s="150">
        <v>480</v>
      </c>
      <c r="D19" s="147">
        <f t="shared" ca="1" si="0"/>
        <v>13.9</v>
      </c>
      <c r="E19" s="417">
        <f t="shared" ca="1" si="1"/>
        <v>228</v>
      </c>
      <c r="F19" s="418">
        <f t="shared" ca="1" si="2"/>
        <v>7.8100000000000005</v>
      </c>
      <c r="G19" s="415">
        <f t="shared" ca="1" si="3"/>
        <v>14.2</v>
      </c>
      <c r="H19" s="413">
        <f t="shared" ca="1" si="5"/>
        <v>226</v>
      </c>
      <c r="I19" s="414">
        <f t="shared" ca="1" si="6"/>
        <v>7.72</v>
      </c>
    </row>
    <row r="20" spans="2:10" s="62" customFormat="1" ht="26.1" customHeight="1">
      <c r="B20" s="416">
        <f t="shared" si="4"/>
        <v>43578.375</v>
      </c>
      <c r="C20" s="150">
        <v>1440</v>
      </c>
      <c r="D20" s="147">
        <f t="shared" ca="1" si="0"/>
        <v>14.3</v>
      </c>
      <c r="E20" s="417">
        <f t="shared" ca="1" si="1"/>
        <v>223</v>
      </c>
      <c r="F20" s="418">
        <f t="shared" ca="1" si="2"/>
        <v>7.78</v>
      </c>
      <c r="G20" s="415">
        <f t="shared" ca="1" si="3"/>
        <v>13.7</v>
      </c>
      <c r="H20" s="413">
        <f t="shared" ca="1" si="5"/>
        <v>226</v>
      </c>
      <c r="I20" s="414">
        <f t="shared" ca="1" si="6"/>
        <v>7.8999999999999995</v>
      </c>
    </row>
    <row r="21" spans="2:10" s="62" customFormat="1" ht="26.1" customHeight="1">
      <c r="B21" s="416">
        <f t="shared" si="4"/>
        <v>43578.541666666664</v>
      </c>
      <c r="C21" s="150">
        <v>1680</v>
      </c>
      <c r="D21" s="147">
        <f t="shared" ca="1" si="0"/>
        <v>14.1</v>
      </c>
      <c r="E21" s="417">
        <f t="shared" ca="1" si="1"/>
        <v>224</v>
      </c>
      <c r="F21" s="418">
        <f t="shared" ca="1" si="2"/>
        <v>7.8100000000000005</v>
      </c>
      <c r="G21" s="415">
        <f t="shared" ca="1" si="3"/>
        <v>13.9</v>
      </c>
      <c r="H21" s="413">
        <f t="shared" ca="1" si="5"/>
        <v>231</v>
      </c>
      <c r="I21" s="414">
        <f t="shared" ca="1" si="6"/>
        <v>7.7</v>
      </c>
    </row>
    <row r="22" spans="2:10" s="62" customFormat="1" ht="26.1" customHeight="1">
      <c r="B22" s="416">
        <f t="shared" si="4"/>
        <v>43578.708333333336</v>
      </c>
      <c r="C22" s="150">
        <v>1920</v>
      </c>
      <c r="D22" s="147">
        <f t="shared" ca="1" si="0"/>
        <v>14.1</v>
      </c>
      <c r="E22" s="417">
        <f t="shared" ca="1" si="1"/>
        <v>229</v>
      </c>
      <c r="F22" s="418">
        <f t="shared" ca="1" si="2"/>
        <v>7.78</v>
      </c>
      <c r="G22" s="415">
        <f t="shared" ca="1" si="3"/>
        <v>13.8</v>
      </c>
      <c r="H22" s="413">
        <f t="shared" ca="1" si="5"/>
        <v>230</v>
      </c>
      <c r="I22" s="414">
        <f t="shared" ca="1" si="6"/>
        <v>7.91</v>
      </c>
    </row>
    <row r="23" spans="2:10" s="62" customFormat="1" ht="26.1" customHeight="1">
      <c r="B23" s="419">
        <f t="shared" si="4"/>
        <v>43579.375</v>
      </c>
      <c r="C23" s="420">
        <v>2880</v>
      </c>
      <c r="D23" s="214">
        <f t="shared" ca="1" si="0"/>
        <v>13.7</v>
      </c>
      <c r="E23" s="421">
        <f t="shared" ca="1" si="1"/>
        <v>229</v>
      </c>
      <c r="F23" s="422">
        <f t="shared" ca="1" si="2"/>
        <v>7.78</v>
      </c>
      <c r="G23" s="423">
        <f t="shared" ca="1" si="3"/>
        <v>14.3</v>
      </c>
      <c r="H23" s="424">
        <f t="shared" ca="1" si="5"/>
        <v>231</v>
      </c>
      <c r="I23" s="422">
        <f t="shared" ref="I23" ca="1" si="7">$D$9+J40-0.02</f>
        <v>7.6800000000000006</v>
      </c>
    </row>
    <row r="24" spans="2:10" s="62" customFormat="1" ht="26.1" customHeight="1">
      <c r="B24" s="482" t="s">
        <v>47</v>
      </c>
      <c r="C24" s="483"/>
      <c r="D24" s="425">
        <f ca="1">MAX(D14:D23)</f>
        <v>14.3</v>
      </c>
      <c r="E24" s="411">
        <f t="shared" ref="E24:F24" ca="1" si="8">MAX(E14:E23)</f>
        <v>229</v>
      </c>
      <c r="F24" s="426">
        <f t="shared" ca="1" si="8"/>
        <v>7.98</v>
      </c>
      <c r="G24" s="425">
        <f ca="1">MAX(G14:G23)</f>
        <v>14.3</v>
      </c>
      <c r="H24" s="411">
        <f t="shared" ref="H24:I24" ca="1" si="9">MAX(H14:H23)</f>
        <v>231</v>
      </c>
      <c r="I24" s="426">
        <f t="shared" ca="1" si="9"/>
        <v>7.91</v>
      </c>
      <c r="J24" s="61"/>
    </row>
    <row r="25" spans="2:10" s="62" customFormat="1" ht="26.1" customHeight="1">
      <c r="B25" s="482" t="s">
        <v>48</v>
      </c>
      <c r="C25" s="483"/>
      <c r="D25" s="425">
        <f ca="1">MIN(D14:D23)</f>
        <v>13.7</v>
      </c>
      <c r="E25" s="411">
        <f t="shared" ref="E25:F25" ca="1" si="10">MIN(E14:E23)</f>
        <v>223</v>
      </c>
      <c r="F25" s="427">
        <f t="shared" ca="1" si="10"/>
        <v>7.78</v>
      </c>
      <c r="G25" s="425">
        <f ca="1">MIN(G14:G23)</f>
        <v>13.7</v>
      </c>
      <c r="H25" s="411">
        <f t="shared" ref="H25:I25" ca="1" si="11">MIN(H14:H23)</f>
        <v>226</v>
      </c>
      <c r="I25" s="426">
        <f t="shared" ca="1" si="11"/>
        <v>7.6800000000000006</v>
      </c>
      <c r="J25" s="61"/>
    </row>
    <row r="26" spans="2:10" s="62" customFormat="1" ht="26.1" customHeight="1" thickBot="1">
      <c r="B26" s="484" t="s">
        <v>107</v>
      </c>
      <c r="C26" s="485"/>
      <c r="D26" s="428">
        <f ca="1">D24-D25</f>
        <v>0.60000000000000142</v>
      </c>
      <c r="E26" s="429">
        <f t="shared" ref="E26:F26" ca="1" si="12">E24-E25</f>
        <v>6</v>
      </c>
      <c r="F26" s="430">
        <f t="shared" ca="1" si="12"/>
        <v>0.20000000000000018</v>
      </c>
      <c r="G26" s="428">
        <f ca="1">G24-G25</f>
        <v>0.60000000000000142</v>
      </c>
      <c r="H26" s="429">
        <f t="shared" ref="H26:I26" ca="1" si="13">H24-H25</f>
        <v>5</v>
      </c>
      <c r="I26" s="430">
        <f t="shared" ca="1" si="13"/>
        <v>0.22999999999999954</v>
      </c>
      <c r="J26" s="61"/>
    </row>
    <row r="27" spans="2:10" s="62" customFormat="1" ht="18" customHeight="1">
      <c r="E27" s="61"/>
      <c r="F27" s="61"/>
    </row>
    <row r="28" spans="2:10" s="62" customFormat="1" ht="18" customHeight="1" thickBot="1">
      <c r="E28" s="61"/>
      <c r="F28" s="61"/>
    </row>
    <row r="29" spans="2:10" s="62" customFormat="1" ht="18" customHeight="1">
      <c r="D29" s="479" t="s">
        <v>102</v>
      </c>
      <c r="E29" s="480"/>
      <c r="F29" s="481"/>
      <c r="H29" s="479" t="s">
        <v>189</v>
      </c>
      <c r="I29" s="480"/>
      <c r="J29" s="481"/>
    </row>
    <row r="30" spans="2:10" s="62" customFormat="1" ht="18" customHeight="1">
      <c r="D30" s="425" t="s">
        <v>104</v>
      </c>
      <c r="E30" s="411" t="s">
        <v>105</v>
      </c>
      <c r="F30" s="426" t="s">
        <v>106</v>
      </c>
      <c r="H30" s="425" t="s">
        <v>104</v>
      </c>
      <c r="I30" s="411" t="s">
        <v>105</v>
      </c>
      <c r="J30" s="426" t="s">
        <v>106</v>
      </c>
    </row>
    <row r="31" spans="2:10" s="62" customFormat="1" ht="18" customHeight="1">
      <c r="D31" s="431">
        <f ca="1">ROUND(myRandBetween(1,3,10), 1)</f>
        <v>0.3</v>
      </c>
      <c r="E31" s="148">
        <f ca="1">myRandBetween(1,3,1)</f>
        <v>-1</v>
      </c>
      <c r="F31" s="432">
        <f ca="1">ROUND(myRandBetween(7,12,100), 2)</f>
        <v>7.0000000000000007E-2</v>
      </c>
      <c r="H31" s="433">
        <f ca="1">ROUND(myRandBetween(1,3,10), 1)</f>
        <v>-0.3</v>
      </c>
      <c r="I31" s="162">
        <f ca="1">myRandBetween(1,3,1)</f>
        <v>-1</v>
      </c>
      <c r="J31" s="434">
        <f ca="1">ROUND(myRandBetween(7,12,100), 2)</f>
        <v>0.11</v>
      </c>
    </row>
    <row r="32" spans="2:10" s="62" customFormat="1" ht="18" customHeight="1">
      <c r="D32" s="431">
        <f t="shared" ref="D32:D40" ca="1" si="14">ROUND(myRandBetween(1,3,10), 1)</f>
        <v>-0.1</v>
      </c>
      <c r="E32" s="148">
        <f t="shared" ref="E32:E40" ca="1" si="15">myRandBetween(1,3,1)</f>
        <v>1</v>
      </c>
      <c r="F32" s="432">
        <f t="shared" ref="F32:F40" ca="1" si="16">ROUND(myRandBetween(7,12,100), 2)</f>
        <v>-0.09</v>
      </c>
      <c r="H32" s="431">
        <f t="shared" ref="H32:H40" ca="1" si="17">ROUND(myRandBetween(1,3,10), 1)</f>
        <v>0.2</v>
      </c>
      <c r="I32" s="148">
        <f t="shared" ref="I32:I40" ca="1" si="18">myRandBetween(1,3,1)</f>
        <v>-3</v>
      </c>
      <c r="J32" s="434">
        <f t="shared" ref="J32:J40" ca="1" si="19">ROUND(myRandBetween(7,12,100), 2)</f>
        <v>-7.0000000000000007E-2</v>
      </c>
    </row>
    <row r="33" spans="4:10" s="62" customFormat="1" ht="18" customHeight="1">
      <c r="D33" s="431">
        <f ca="1">ROUND(myRandBetween(1,3,10), 1)</f>
        <v>-0.2</v>
      </c>
      <c r="E33" s="148">
        <f t="shared" ca="1" si="15"/>
        <v>2</v>
      </c>
      <c r="F33" s="432">
        <f t="shared" ca="1" si="16"/>
        <v>-0.08</v>
      </c>
      <c r="H33" s="431">
        <f t="shared" ca="1" si="17"/>
        <v>0.2</v>
      </c>
      <c r="I33" s="148">
        <f t="shared" ca="1" si="18"/>
        <v>2</v>
      </c>
      <c r="J33" s="434">
        <f t="shared" ca="1" si="19"/>
        <v>-0.1</v>
      </c>
    </row>
    <row r="34" spans="4:10" s="62" customFormat="1" ht="18" customHeight="1">
      <c r="D34" s="431">
        <f t="shared" ca="1" si="14"/>
        <v>-0.3</v>
      </c>
      <c r="E34" s="148">
        <f t="shared" ca="1" si="15"/>
        <v>3</v>
      </c>
      <c r="F34" s="432">
        <f t="shared" ca="1" si="16"/>
        <v>-0.08</v>
      </c>
      <c r="H34" s="431">
        <f t="shared" ca="1" si="17"/>
        <v>-0.3</v>
      </c>
      <c r="I34" s="148">
        <f t="shared" ca="1" si="18"/>
        <v>-2</v>
      </c>
      <c r="J34" s="434">
        <f t="shared" ca="1" si="19"/>
        <v>-0.11</v>
      </c>
    </row>
    <row r="35" spans="4:10" s="62" customFormat="1" ht="18" customHeight="1">
      <c r="D35" s="431">
        <f t="shared" ca="1" si="14"/>
        <v>-0.3</v>
      </c>
      <c r="E35" s="148">
        <f t="shared" ca="1" si="15"/>
        <v>-2</v>
      </c>
      <c r="F35" s="432">
        <f t="shared" ca="1" si="16"/>
        <v>0.08</v>
      </c>
      <c r="H35" s="431">
        <f t="shared" ca="1" si="17"/>
        <v>0.1</v>
      </c>
      <c r="I35" s="148">
        <f t="shared" ca="1" si="18"/>
        <v>2</v>
      </c>
      <c r="J35" s="434">
        <f t="shared" ca="1" si="19"/>
        <v>7.0000000000000007E-2</v>
      </c>
    </row>
    <row r="36" spans="4:10" s="62" customFormat="1" ht="18" customHeight="1">
      <c r="D36" s="431">
        <f t="shared" ca="1" si="14"/>
        <v>-0.1</v>
      </c>
      <c r="E36" s="148">
        <f t="shared" ca="1" si="15"/>
        <v>2</v>
      </c>
      <c r="F36" s="432">
        <f t="shared" ca="1" si="16"/>
        <v>-0.09</v>
      </c>
      <c r="H36" s="431">
        <f t="shared" ca="1" si="17"/>
        <v>0.2</v>
      </c>
      <c r="I36" s="148">
        <f t="shared" ca="1" si="18"/>
        <v>-3</v>
      </c>
      <c r="J36" s="434">
        <f t="shared" ca="1" si="19"/>
        <v>-0.08</v>
      </c>
    </row>
    <row r="37" spans="4:10" s="62" customFormat="1" ht="18" customHeight="1">
      <c r="D37" s="431">
        <f t="shared" ca="1" si="14"/>
        <v>0.3</v>
      </c>
      <c r="E37" s="148">
        <f t="shared" ca="1" si="15"/>
        <v>-3</v>
      </c>
      <c r="F37" s="432">
        <f t="shared" ca="1" si="16"/>
        <v>-0.12</v>
      </c>
      <c r="H37" s="431">
        <f t="shared" ca="1" si="17"/>
        <v>-0.3</v>
      </c>
      <c r="I37" s="148">
        <f t="shared" ca="1" si="18"/>
        <v>-3</v>
      </c>
      <c r="J37" s="434">
        <f t="shared" ca="1" si="19"/>
        <v>0.1</v>
      </c>
    </row>
    <row r="38" spans="4:10" ht="18" customHeight="1">
      <c r="D38" s="431">
        <f t="shared" ca="1" si="14"/>
        <v>0.1</v>
      </c>
      <c r="E38" s="148">
        <f t="shared" ca="1" si="15"/>
        <v>-2</v>
      </c>
      <c r="F38" s="432">
        <f t="shared" ca="1" si="16"/>
        <v>-0.09</v>
      </c>
      <c r="H38" s="431">
        <f t="shared" ca="1" si="17"/>
        <v>-0.1</v>
      </c>
      <c r="I38" s="148">
        <f t="shared" ca="1" si="18"/>
        <v>2</v>
      </c>
      <c r="J38" s="434">
        <f t="shared" ca="1" si="19"/>
        <v>-0.1</v>
      </c>
    </row>
    <row r="39" spans="4:10" ht="18" customHeight="1">
      <c r="D39" s="431">
        <f t="shared" ca="1" si="14"/>
        <v>0.1</v>
      </c>
      <c r="E39" s="148">
        <f t="shared" ca="1" si="15"/>
        <v>3</v>
      </c>
      <c r="F39" s="432">
        <f t="shared" ca="1" si="16"/>
        <v>-0.12</v>
      </c>
      <c r="H39" s="431">
        <f t="shared" ca="1" si="17"/>
        <v>-0.2</v>
      </c>
      <c r="I39" s="148">
        <f t="shared" ca="1" si="18"/>
        <v>1</v>
      </c>
      <c r="J39" s="434">
        <f t="shared" ca="1" si="19"/>
        <v>0.11</v>
      </c>
    </row>
    <row r="40" spans="4:10" ht="18" customHeight="1" thickBot="1">
      <c r="D40" s="435">
        <f t="shared" ca="1" si="14"/>
        <v>-0.3</v>
      </c>
      <c r="E40" s="199">
        <f t="shared" ca="1" si="15"/>
        <v>3</v>
      </c>
      <c r="F40" s="436">
        <f t="shared" ca="1" si="16"/>
        <v>-0.12</v>
      </c>
      <c r="H40" s="435">
        <f t="shared" ca="1" si="17"/>
        <v>0.3</v>
      </c>
      <c r="I40" s="199">
        <f t="shared" ca="1" si="18"/>
        <v>2</v>
      </c>
      <c r="J40" s="437">
        <f t="shared" ca="1" si="19"/>
        <v>-0.1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13" workbookViewId="0">
      <selection activeCell="U10" sqref="U10"/>
    </sheetView>
  </sheetViews>
  <sheetFormatPr defaultColWidth="8.88671875" defaultRowHeight="16.5"/>
  <cols>
    <col min="1" max="1" width="8.88671875" style="71"/>
    <col min="2" max="2" width="13.109375" style="71" customWidth="1"/>
    <col min="3" max="3" width="10.77734375" style="71" bestFit="1" customWidth="1"/>
    <col min="4" max="4" width="7.33203125" style="71" customWidth="1"/>
    <col min="5" max="6" width="7.33203125" style="72" customWidth="1"/>
    <col min="7" max="12" width="7.33203125" style="71" customWidth="1"/>
    <col min="13" max="23" width="6.77734375" style="71" customWidth="1"/>
    <col min="24" max="16384" width="8.88671875" style="71"/>
  </cols>
  <sheetData>
    <row r="1" spans="2:12" s="62" customFormat="1" ht="18" customHeight="1">
      <c r="E1" s="61"/>
      <c r="F1" s="61"/>
    </row>
    <row r="2" spans="2:12" s="62" customFormat="1" ht="18" customHeight="1">
      <c r="B2" s="62" t="s">
        <v>96</v>
      </c>
      <c r="E2" s="61"/>
      <c r="F2" s="61"/>
    </row>
    <row r="3" spans="2:12" s="62" customFormat="1" ht="18" customHeight="1">
      <c r="E3" s="61" t="s">
        <v>281</v>
      </c>
      <c r="F3" s="61"/>
    </row>
    <row r="4" spans="2:12" s="62" customFormat="1" ht="18" customHeight="1">
      <c r="B4" s="81" t="s">
        <v>109</v>
      </c>
      <c r="E4" s="61"/>
      <c r="F4" s="61"/>
    </row>
    <row r="5" spans="2:12" s="62" customFormat="1" ht="18" customHeight="1" thickBot="1">
      <c r="E5" s="61"/>
      <c r="F5" s="61"/>
    </row>
    <row r="6" spans="2:12" s="62" customFormat="1" ht="26.1" customHeight="1" thickBot="1">
      <c r="B6" s="402" t="s">
        <v>97</v>
      </c>
      <c r="C6" s="403">
        <v>43580.375</v>
      </c>
      <c r="D6" s="404"/>
      <c r="E6" s="61"/>
      <c r="F6" s="61"/>
    </row>
    <row r="7" spans="2:12" s="62" customFormat="1" ht="26.1" customHeight="1" thickBot="1">
      <c r="B7" s="405" t="s">
        <v>98</v>
      </c>
      <c r="C7" s="406">
        <v>14</v>
      </c>
      <c r="D7" s="404"/>
      <c r="E7" s="61"/>
      <c r="F7" s="61"/>
      <c r="I7" s="62">
        <f ca="1">RAND()</f>
        <v>0.57003693809129574</v>
      </c>
    </row>
    <row r="8" spans="2:12" s="62" customFormat="1" ht="26.1" customHeight="1">
      <c r="B8" s="407" t="s">
        <v>99</v>
      </c>
      <c r="C8" s="408">
        <v>233</v>
      </c>
      <c r="D8" s="407">
        <v>238</v>
      </c>
      <c r="E8" s="61">
        <v>231</v>
      </c>
      <c r="F8" s="61"/>
    </row>
    <row r="9" spans="2:12" s="62" customFormat="1" ht="26.1" customHeight="1">
      <c r="B9" s="407" t="s">
        <v>100</v>
      </c>
      <c r="C9" s="408">
        <v>6.2</v>
      </c>
      <c r="D9" s="407">
        <v>6.3</v>
      </c>
      <c r="E9" s="61">
        <v>6.7</v>
      </c>
      <c r="F9" s="61"/>
    </row>
    <row r="10" spans="2:12" s="62" customFormat="1" ht="26.1" customHeight="1">
      <c r="B10" s="407"/>
      <c r="C10" s="408"/>
      <c r="D10" s="404"/>
      <c r="E10" s="61"/>
      <c r="F10" s="61"/>
    </row>
    <row r="11" spans="2:12" s="62" customFormat="1" ht="18" customHeight="1" thickBot="1">
      <c r="E11" s="61"/>
      <c r="F11" s="61"/>
    </row>
    <row r="12" spans="2:12" s="61" customFormat="1" ht="27" customHeight="1">
      <c r="B12" s="479" t="s">
        <v>101</v>
      </c>
      <c r="C12" s="481"/>
      <c r="D12" s="479" t="s">
        <v>102</v>
      </c>
      <c r="E12" s="480"/>
      <c r="F12" s="481"/>
      <c r="G12" s="479" t="s">
        <v>189</v>
      </c>
      <c r="H12" s="480"/>
      <c r="I12" s="481"/>
      <c r="J12" s="486" t="s">
        <v>197</v>
      </c>
      <c r="K12" s="480"/>
      <c r="L12" s="481"/>
    </row>
    <row r="13" spans="2:12" s="61" customFormat="1" ht="27" customHeight="1">
      <c r="B13" s="409" t="s">
        <v>97</v>
      </c>
      <c r="C13" s="410" t="s">
        <v>103</v>
      </c>
      <c r="D13" s="409" t="s">
        <v>282</v>
      </c>
      <c r="E13" s="411" t="s">
        <v>302</v>
      </c>
      <c r="F13" s="410" t="s">
        <v>106</v>
      </c>
      <c r="G13" s="409" t="s">
        <v>282</v>
      </c>
      <c r="H13" s="411" t="s">
        <v>302</v>
      </c>
      <c r="I13" s="410" t="s">
        <v>106</v>
      </c>
      <c r="J13" s="438" t="s">
        <v>282</v>
      </c>
      <c r="K13" s="411" t="s">
        <v>302</v>
      </c>
      <c r="L13" s="410" t="s">
        <v>106</v>
      </c>
    </row>
    <row r="14" spans="2:12" s="61" customFormat="1" ht="27" customHeight="1">
      <c r="B14" s="412">
        <f>$C$6+C14/1440</f>
        <v>43580.378472222219</v>
      </c>
      <c r="C14" s="167">
        <v>5</v>
      </c>
      <c r="D14" s="161">
        <f t="shared" ref="D14:D23" ca="1" si="0">baseTemp+D31</f>
        <v>14.3</v>
      </c>
      <c r="E14" s="413">
        <f t="shared" ref="E14:E23" ca="1" si="1">$C$8+E31</f>
        <v>235</v>
      </c>
      <c r="F14" s="414">
        <f t="shared" ref="F14:F23" ca="1" si="2">$C$9+F31</f>
        <v>6.2700000000000005</v>
      </c>
      <c r="G14" s="415">
        <f t="shared" ref="G14:G23" ca="1" si="3">baseTemp+H31</f>
        <v>14.1</v>
      </c>
      <c r="H14" s="413">
        <f ca="1">$D$8+I31</f>
        <v>237</v>
      </c>
      <c r="I14" s="414">
        <f ca="1">$D$9+J31</f>
        <v>6.1899999999999995</v>
      </c>
      <c r="J14" s="439">
        <f t="shared" ref="J14:J23" ca="1" si="4">baseTemp+L31</f>
        <v>14.2</v>
      </c>
      <c r="K14" s="413">
        <f ca="1">$E$8+M31</f>
        <v>229</v>
      </c>
      <c r="L14" s="414">
        <f ca="1">$E$9+N31</f>
        <v>6.58</v>
      </c>
    </row>
    <row r="15" spans="2:12" s="61" customFormat="1" ht="27" customHeight="1">
      <c r="B15" s="416">
        <f t="shared" ref="B15:B23" si="5">$C$6+C15/1440</f>
        <v>43580.395833333336</v>
      </c>
      <c r="C15" s="150">
        <v>30</v>
      </c>
      <c r="D15" s="147">
        <f t="shared" ca="1" si="0"/>
        <v>14.2</v>
      </c>
      <c r="E15" s="417">
        <f t="shared" ca="1" si="1"/>
        <v>235</v>
      </c>
      <c r="F15" s="418">
        <f t="shared" ca="1" si="2"/>
        <v>6.28</v>
      </c>
      <c r="G15" s="415">
        <f t="shared" ca="1" si="3"/>
        <v>13.7</v>
      </c>
      <c r="H15" s="413">
        <f t="shared" ref="H15:H23" ca="1" si="6">$D$8+I32</f>
        <v>239</v>
      </c>
      <c r="I15" s="414">
        <f t="shared" ref="I15:I23" ca="1" si="7">$D$9+J32</f>
        <v>6.2</v>
      </c>
      <c r="J15" s="439">
        <f t="shared" ca="1" si="4"/>
        <v>13.8</v>
      </c>
      <c r="K15" s="413">
        <f t="shared" ref="K15:K23" ca="1" si="8">$E$8+M32</f>
        <v>233</v>
      </c>
      <c r="L15" s="414">
        <f t="shared" ref="L15:L23" ca="1" si="9">$E$9+N32</f>
        <v>6.8</v>
      </c>
    </row>
    <row r="16" spans="2:12" s="61" customFormat="1" ht="27" customHeight="1">
      <c r="B16" s="416">
        <f t="shared" si="5"/>
        <v>43580.416666666664</v>
      </c>
      <c r="C16" s="150">
        <v>60</v>
      </c>
      <c r="D16" s="147">
        <f t="shared" ca="1" si="0"/>
        <v>13.8</v>
      </c>
      <c r="E16" s="417">
        <f t="shared" ca="1" si="1"/>
        <v>235</v>
      </c>
      <c r="F16" s="418">
        <f t="shared" ca="1" si="2"/>
        <v>6.12</v>
      </c>
      <c r="G16" s="415">
        <f t="shared" ca="1" si="3"/>
        <v>14.3</v>
      </c>
      <c r="H16" s="413">
        <f t="shared" ca="1" si="6"/>
        <v>236</v>
      </c>
      <c r="I16" s="414">
        <f t="shared" ca="1" si="7"/>
        <v>6.42</v>
      </c>
      <c r="J16" s="439">
        <f t="shared" ca="1" si="4"/>
        <v>14.2</v>
      </c>
      <c r="K16" s="413">
        <f t="shared" ca="1" si="8"/>
        <v>229</v>
      </c>
      <c r="L16" s="414">
        <f t="shared" ca="1" si="9"/>
        <v>6.82</v>
      </c>
    </row>
    <row r="17" spans="2:14" s="61" customFormat="1" ht="27" customHeight="1">
      <c r="B17" s="416">
        <f t="shared" si="5"/>
        <v>43580.458333333336</v>
      </c>
      <c r="C17" s="150">
        <v>120</v>
      </c>
      <c r="D17" s="147">
        <f t="shared" ca="1" si="0"/>
        <v>14.3</v>
      </c>
      <c r="E17" s="417">
        <f t="shared" ca="1" si="1"/>
        <v>234</v>
      </c>
      <c r="F17" s="418">
        <f t="shared" ca="1" si="2"/>
        <v>6.3100000000000005</v>
      </c>
      <c r="G17" s="415">
        <f t="shared" ca="1" si="3"/>
        <v>14.2</v>
      </c>
      <c r="H17" s="413">
        <f t="shared" ca="1" si="6"/>
        <v>241</v>
      </c>
      <c r="I17" s="414">
        <f t="shared" ca="1" si="7"/>
        <v>6.2299999999999995</v>
      </c>
      <c r="J17" s="439">
        <f t="shared" ca="1" si="4"/>
        <v>13.8</v>
      </c>
      <c r="K17" s="413">
        <f t="shared" ca="1" si="8"/>
        <v>228</v>
      </c>
      <c r="L17" s="414">
        <f t="shared" ca="1" si="9"/>
        <v>6.8</v>
      </c>
    </row>
    <row r="18" spans="2:14" s="61" customFormat="1" ht="27" customHeight="1">
      <c r="B18" s="416">
        <f t="shared" si="5"/>
        <v>43580.541666666664</v>
      </c>
      <c r="C18" s="150">
        <v>240</v>
      </c>
      <c r="D18" s="147">
        <f t="shared" ca="1" si="0"/>
        <v>14.2</v>
      </c>
      <c r="E18" s="417">
        <f t="shared" ca="1" si="1"/>
        <v>232</v>
      </c>
      <c r="F18" s="418">
        <f t="shared" ca="1" si="2"/>
        <v>6.3</v>
      </c>
      <c r="G18" s="415">
        <f t="shared" ca="1" si="3"/>
        <v>13.9</v>
      </c>
      <c r="H18" s="413">
        <f t="shared" ca="1" si="6"/>
        <v>239</v>
      </c>
      <c r="I18" s="414">
        <f t="shared" ca="1" si="7"/>
        <v>6.2299999999999995</v>
      </c>
      <c r="J18" s="439">
        <f t="shared" ca="1" si="4"/>
        <v>13.7</v>
      </c>
      <c r="K18" s="413">
        <f t="shared" ca="1" si="8"/>
        <v>233</v>
      </c>
      <c r="L18" s="414">
        <f t="shared" ca="1" si="9"/>
        <v>6.78</v>
      </c>
    </row>
    <row r="19" spans="2:14" s="61" customFormat="1" ht="27" customHeight="1">
      <c r="B19" s="416">
        <f t="shared" si="5"/>
        <v>43580.708333333336</v>
      </c>
      <c r="C19" s="150">
        <v>480</v>
      </c>
      <c r="D19" s="147">
        <f t="shared" ca="1" si="0"/>
        <v>14.2</v>
      </c>
      <c r="E19" s="417">
        <f t="shared" ca="1" si="1"/>
        <v>234</v>
      </c>
      <c r="F19" s="418">
        <f t="shared" ca="1" si="2"/>
        <v>6.08</v>
      </c>
      <c r="G19" s="415">
        <f t="shared" ca="1" si="3"/>
        <v>13.8</v>
      </c>
      <c r="H19" s="413">
        <f t="shared" ca="1" si="6"/>
        <v>235</v>
      </c>
      <c r="I19" s="414">
        <f t="shared" ca="1" si="7"/>
        <v>6.39</v>
      </c>
      <c r="J19" s="439">
        <f t="shared" ca="1" si="4"/>
        <v>14.1</v>
      </c>
      <c r="K19" s="413">
        <f t="shared" ca="1" si="8"/>
        <v>230</v>
      </c>
      <c r="L19" s="414">
        <f t="shared" ca="1" si="9"/>
        <v>6.82</v>
      </c>
    </row>
    <row r="20" spans="2:14" s="62" customFormat="1" ht="27" customHeight="1">
      <c r="B20" s="416">
        <f t="shared" si="5"/>
        <v>43581.375</v>
      </c>
      <c r="C20" s="150">
        <v>1440</v>
      </c>
      <c r="D20" s="147">
        <f t="shared" ca="1" si="0"/>
        <v>13.7</v>
      </c>
      <c r="E20" s="417">
        <f t="shared" ca="1" si="1"/>
        <v>230</v>
      </c>
      <c r="F20" s="418">
        <f t="shared" ca="1" si="2"/>
        <v>6.12</v>
      </c>
      <c r="G20" s="415">
        <f t="shared" ca="1" si="3"/>
        <v>13.7</v>
      </c>
      <c r="H20" s="413">
        <f t="shared" ca="1" si="6"/>
        <v>237</v>
      </c>
      <c r="I20" s="414">
        <f t="shared" ca="1" si="7"/>
        <v>6.18</v>
      </c>
      <c r="J20" s="439">
        <f t="shared" ca="1" si="4"/>
        <v>13.9</v>
      </c>
      <c r="K20" s="413">
        <f t="shared" ca="1" si="8"/>
        <v>233</v>
      </c>
      <c r="L20" s="414">
        <f t="shared" ca="1" si="9"/>
        <v>6.8100000000000005</v>
      </c>
    </row>
    <row r="21" spans="2:14" s="62" customFormat="1" ht="27" customHeight="1">
      <c r="B21" s="416">
        <f t="shared" si="5"/>
        <v>43581.541666666664</v>
      </c>
      <c r="C21" s="150">
        <v>1680</v>
      </c>
      <c r="D21" s="147">
        <f t="shared" ca="1" si="0"/>
        <v>13.8</v>
      </c>
      <c r="E21" s="417">
        <f t="shared" ca="1" si="1"/>
        <v>234</v>
      </c>
      <c r="F21" s="418">
        <f t="shared" ca="1" si="2"/>
        <v>6.32</v>
      </c>
      <c r="G21" s="415">
        <f t="shared" ca="1" si="3"/>
        <v>14.3</v>
      </c>
      <c r="H21" s="413">
        <f t="shared" ca="1" si="6"/>
        <v>237</v>
      </c>
      <c r="I21" s="414">
        <f t="shared" ca="1" si="7"/>
        <v>6.1899999999999995</v>
      </c>
      <c r="J21" s="439">
        <f t="shared" ca="1" si="4"/>
        <v>13.7</v>
      </c>
      <c r="K21" s="413">
        <f t="shared" ca="1" si="8"/>
        <v>234</v>
      </c>
      <c r="L21" s="414">
        <f t="shared" ca="1" si="9"/>
        <v>6.79</v>
      </c>
    </row>
    <row r="22" spans="2:14" s="62" customFormat="1" ht="27" customHeight="1">
      <c r="B22" s="416">
        <f t="shared" si="5"/>
        <v>43581.708333333336</v>
      </c>
      <c r="C22" s="150">
        <v>1920</v>
      </c>
      <c r="D22" s="147">
        <f t="shared" ca="1" si="0"/>
        <v>14.1</v>
      </c>
      <c r="E22" s="417">
        <f t="shared" ca="1" si="1"/>
        <v>230</v>
      </c>
      <c r="F22" s="418">
        <f t="shared" ca="1" si="2"/>
        <v>6.2700000000000005</v>
      </c>
      <c r="G22" s="415">
        <f t="shared" ca="1" si="3"/>
        <v>13.8</v>
      </c>
      <c r="H22" s="413">
        <f t="shared" ca="1" si="6"/>
        <v>236</v>
      </c>
      <c r="I22" s="414">
        <f t="shared" ca="1" si="7"/>
        <v>6.42</v>
      </c>
      <c r="J22" s="439">
        <f t="shared" ca="1" si="4"/>
        <v>14.1</v>
      </c>
      <c r="K22" s="413">
        <f t="shared" ca="1" si="8"/>
        <v>229</v>
      </c>
      <c r="L22" s="414">
        <f t="shared" ca="1" si="9"/>
        <v>6.82</v>
      </c>
    </row>
    <row r="23" spans="2:14" s="62" customFormat="1" ht="27" customHeight="1">
      <c r="B23" s="419">
        <f t="shared" si="5"/>
        <v>43582.375</v>
      </c>
      <c r="C23" s="420">
        <v>2880</v>
      </c>
      <c r="D23" s="214">
        <f t="shared" ca="1" si="0"/>
        <v>14.1</v>
      </c>
      <c r="E23" s="421">
        <f t="shared" ca="1" si="1"/>
        <v>230</v>
      </c>
      <c r="F23" s="422">
        <f t="shared" ca="1" si="2"/>
        <v>6.29</v>
      </c>
      <c r="G23" s="423">
        <f t="shared" ca="1" si="3"/>
        <v>14.2</v>
      </c>
      <c r="H23" s="424">
        <f t="shared" ca="1" si="6"/>
        <v>236</v>
      </c>
      <c r="I23" s="440">
        <f t="shared" ca="1" si="7"/>
        <v>6.42</v>
      </c>
      <c r="J23" s="441">
        <f t="shared" ca="1" si="4"/>
        <v>13.8</v>
      </c>
      <c r="K23" s="424">
        <f t="shared" ca="1" si="8"/>
        <v>228</v>
      </c>
      <c r="L23" s="440">
        <f t="shared" ca="1" si="9"/>
        <v>6.78</v>
      </c>
    </row>
    <row r="24" spans="2:14" s="62" customFormat="1" ht="27" customHeight="1">
      <c r="B24" s="482" t="s">
        <v>47</v>
      </c>
      <c r="C24" s="483"/>
      <c r="D24" s="409">
        <f ca="1">MAX(D14:D23)</f>
        <v>14.3</v>
      </c>
      <c r="E24" s="411">
        <f t="shared" ref="E24:F24" ca="1" si="10">MAX(E14:E23)</f>
        <v>235</v>
      </c>
      <c r="F24" s="410">
        <f t="shared" ca="1" si="10"/>
        <v>6.32</v>
      </c>
      <c r="G24" s="409">
        <f ca="1">MAX(G14:G23)</f>
        <v>14.3</v>
      </c>
      <c r="H24" s="411">
        <f t="shared" ref="H24:I24" ca="1" si="11">MAX(H14:H23)</f>
        <v>241</v>
      </c>
      <c r="I24" s="410">
        <f t="shared" ca="1" si="11"/>
        <v>6.42</v>
      </c>
      <c r="J24" s="438">
        <f ca="1">MAX(J14:J23)</f>
        <v>14.2</v>
      </c>
      <c r="K24" s="411">
        <f t="shared" ref="K24:L24" ca="1" si="12">MAX(K14:K23)</f>
        <v>234</v>
      </c>
      <c r="L24" s="410">
        <f t="shared" ca="1" si="12"/>
        <v>6.82</v>
      </c>
    </row>
    <row r="25" spans="2:14" s="62" customFormat="1" ht="27" customHeight="1">
      <c r="B25" s="482" t="s">
        <v>48</v>
      </c>
      <c r="C25" s="483"/>
      <c r="D25" s="409">
        <f ca="1">MIN(D14:D23)</f>
        <v>13.7</v>
      </c>
      <c r="E25" s="411">
        <f t="shared" ref="E25:F25" ca="1" si="13">MIN(E14:E23)</f>
        <v>230</v>
      </c>
      <c r="F25" s="410">
        <f t="shared" ca="1" si="13"/>
        <v>6.08</v>
      </c>
      <c r="G25" s="409">
        <f ca="1">MIN(G14:G23)</f>
        <v>13.7</v>
      </c>
      <c r="H25" s="411">
        <f t="shared" ref="H25:I25" ca="1" si="14">MIN(H14:H23)</f>
        <v>235</v>
      </c>
      <c r="I25" s="410">
        <f t="shared" ca="1" si="14"/>
        <v>6.18</v>
      </c>
      <c r="J25" s="438">
        <f ca="1">MIN(J14:J23)</f>
        <v>13.7</v>
      </c>
      <c r="K25" s="411">
        <f t="shared" ref="K25:L25" ca="1" si="15">MIN(K14:K23)</f>
        <v>228</v>
      </c>
      <c r="L25" s="410">
        <f t="shared" ca="1" si="15"/>
        <v>6.58</v>
      </c>
    </row>
    <row r="26" spans="2:14" s="62" customFormat="1" ht="27" customHeight="1" thickBot="1">
      <c r="B26" s="484" t="s">
        <v>107</v>
      </c>
      <c r="C26" s="485"/>
      <c r="D26" s="428">
        <f ca="1">D24-D25</f>
        <v>0.60000000000000142</v>
      </c>
      <c r="E26" s="429">
        <f t="shared" ref="E26:F26" ca="1" si="16">E24-E25</f>
        <v>5</v>
      </c>
      <c r="F26" s="430">
        <f t="shared" ca="1" si="16"/>
        <v>0.24000000000000021</v>
      </c>
      <c r="G26" s="428">
        <f ca="1">G24-G25</f>
        <v>0.60000000000000142</v>
      </c>
      <c r="H26" s="429">
        <f t="shared" ref="H26:I26" ca="1" si="17">H24-H25</f>
        <v>6</v>
      </c>
      <c r="I26" s="430">
        <f t="shared" ca="1" si="17"/>
        <v>0.24000000000000021</v>
      </c>
      <c r="J26" s="442">
        <f ca="1">J24-J25</f>
        <v>0.5</v>
      </c>
      <c r="K26" s="429">
        <f t="shared" ref="K26:L26" ca="1" si="18">K24-K25</f>
        <v>6</v>
      </c>
      <c r="L26" s="430">
        <f t="shared" ca="1" si="18"/>
        <v>0.24000000000000021</v>
      </c>
    </row>
    <row r="27" spans="2:14" s="62" customFormat="1" ht="18" customHeight="1">
      <c r="E27" s="61"/>
      <c r="F27" s="61"/>
    </row>
    <row r="28" spans="2:14" s="62" customFormat="1" ht="18" customHeight="1" thickBot="1">
      <c r="E28" s="61"/>
      <c r="F28" s="61"/>
    </row>
    <row r="29" spans="2:14" s="62" customFormat="1" ht="18" customHeight="1">
      <c r="D29" s="479" t="s">
        <v>102</v>
      </c>
      <c r="E29" s="480"/>
      <c r="F29" s="481"/>
      <c r="H29" s="479" t="s">
        <v>189</v>
      </c>
      <c r="I29" s="480"/>
      <c r="J29" s="481"/>
      <c r="L29" s="479" t="s">
        <v>197</v>
      </c>
      <c r="M29" s="480"/>
      <c r="N29" s="481"/>
    </row>
    <row r="30" spans="2:14" s="62" customFormat="1" ht="18" customHeight="1">
      <c r="D30" s="409" t="s">
        <v>283</v>
      </c>
      <c r="E30" s="411" t="s">
        <v>284</v>
      </c>
      <c r="F30" s="410" t="s">
        <v>106</v>
      </c>
      <c r="H30" s="409" t="s">
        <v>283</v>
      </c>
      <c r="I30" s="411" t="s">
        <v>284</v>
      </c>
      <c r="J30" s="410" t="s">
        <v>106</v>
      </c>
      <c r="L30" s="409" t="s">
        <v>283</v>
      </c>
      <c r="M30" s="411" t="s">
        <v>284</v>
      </c>
      <c r="N30" s="410" t="s">
        <v>106</v>
      </c>
    </row>
    <row r="31" spans="2:14" s="62" customFormat="1" ht="18" customHeight="1">
      <c r="D31" s="431">
        <f ca="1">ROUND(myRandBetween(1,3,10), 1)</f>
        <v>0.3</v>
      </c>
      <c r="E31" s="148">
        <f ca="1">myRandBetween(1,3,1)</f>
        <v>2</v>
      </c>
      <c r="F31" s="432">
        <f ca="1">ROUND(myRandBetween(7,12,100), 2)</f>
        <v>7.0000000000000007E-2</v>
      </c>
      <c r="H31" s="431">
        <f ca="1">ROUND(myRandBetween(1,3,10), 1)</f>
        <v>0.1</v>
      </c>
      <c r="I31" s="148">
        <f ca="1">myRandBetween(1,3,1)</f>
        <v>-1</v>
      </c>
      <c r="J31" s="432">
        <f ca="1">ROUND(myRandBetween(7,12,100), 2)</f>
        <v>-0.11</v>
      </c>
      <c r="L31" s="431">
        <f ca="1">ROUND(myRandBetween(1,3,10), 1)</f>
        <v>0.2</v>
      </c>
      <c r="M31" s="148">
        <f ca="1">myRandBetween(1,3,1)</f>
        <v>-2</v>
      </c>
      <c r="N31" s="432">
        <f ca="1">ROUND(myRandBetween(7,12,100), 2)</f>
        <v>-0.12</v>
      </c>
    </row>
    <row r="32" spans="2:14" s="62" customFormat="1" ht="18" customHeight="1">
      <c r="D32" s="431">
        <f t="shared" ref="D32:D40" ca="1" si="19">ROUND(myRandBetween(1,3,10), 1)</f>
        <v>0.2</v>
      </c>
      <c r="E32" s="148">
        <f t="shared" ref="E32:E40" ca="1" si="20">myRandBetween(1,3,1)</f>
        <v>2</v>
      </c>
      <c r="F32" s="432">
        <f t="shared" ref="F32:F40" ca="1" si="21">ROUND(myRandBetween(7,12,100), 2)</f>
        <v>0.08</v>
      </c>
      <c r="H32" s="431">
        <f t="shared" ref="H32:H40" ca="1" si="22">ROUND(myRandBetween(1,3,10), 1)</f>
        <v>-0.3</v>
      </c>
      <c r="I32" s="148">
        <f t="shared" ref="I32:I40" ca="1" si="23">myRandBetween(1,3,1)</f>
        <v>1</v>
      </c>
      <c r="J32" s="432">
        <f t="shared" ref="J32:J40" ca="1" si="24">ROUND(myRandBetween(7,12,100), 2)</f>
        <v>-0.1</v>
      </c>
      <c r="L32" s="431">
        <f t="shared" ref="L32:L40" ca="1" si="25">ROUND(myRandBetween(1,3,10), 1)</f>
        <v>-0.2</v>
      </c>
      <c r="M32" s="148">
        <f t="shared" ref="M32:M40" ca="1" si="26">myRandBetween(1,3,1)</f>
        <v>2</v>
      </c>
      <c r="N32" s="432">
        <f t="shared" ref="N32:N40" ca="1" si="27">ROUND(myRandBetween(7,12,100), 2)</f>
        <v>0.1</v>
      </c>
    </row>
    <row r="33" spans="4:14" s="62" customFormat="1" ht="18" customHeight="1">
      <c r="D33" s="431">
        <f t="shared" ca="1" si="19"/>
        <v>-0.2</v>
      </c>
      <c r="E33" s="148">
        <f t="shared" ca="1" si="20"/>
        <v>2</v>
      </c>
      <c r="F33" s="432">
        <f t="shared" ca="1" si="21"/>
        <v>-0.08</v>
      </c>
      <c r="H33" s="431">
        <f t="shared" ca="1" si="22"/>
        <v>0.3</v>
      </c>
      <c r="I33" s="148">
        <f t="shared" ca="1" si="23"/>
        <v>-2</v>
      </c>
      <c r="J33" s="432">
        <f t="shared" ca="1" si="24"/>
        <v>0.12</v>
      </c>
      <c r="L33" s="431">
        <f t="shared" ca="1" si="25"/>
        <v>0.2</v>
      </c>
      <c r="M33" s="148">
        <f t="shared" ca="1" si="26"/>
        <v>-2</v>
      </c>
      <c r="N33" s="432">
        <f t="shared" ca="1" si="27"/>
        <v>0.12</v>
      </c>
    </row>
    <row r="34" spans="4:14" s="62" customFormat="1" ht="18" customHeight="1">
      <c r="D34" s="431">
        <f t="shared" ca="1" si="19"/>
        <v>0.3</v>
      </c>
      <c r="E34" s="148">
        <f t="shared" ca="1" si="20"/>
        <v>1</v>
      </c>
      <c r="F34" s="432">
        <f t="shared" ca="1" si="21"/>
        <v>0.11</v>
      </c>
      <c r="H34" s="431">
        <f t="shared" ca="1" si="22"/>
        <v>0.2</v>
      </c>
      <c r="I34" s="148">
        <f t="shared" ca="1" si="23"/>
        <v>3</v>
      </c>
      <c r="J34" s="432">
        <f t="shared" ca="1" si="24"/>
        <v>-7.0000000000000007E-2</v>
      </c>
      <c r="L34" s="431">
        <f t="shared" ca="1" si="25"/>
        <v>-0.2</v>
      </c>
      <c r="M34" s="148">
        <f t="shared" ca="1" si="26"/>
        <v>-3</v>
      </c>
      <c r="N34" s="432">
        <f t="shared" ca="1" si="27"/>
        <v>0.1</v>
      </c>
    </row>
    <row r="35" spans="4:14" s="62" customFormat="1" ht="18" customHeight="1">
      <c r="D35" s="431">
        <f t="shared" ca="1" si="19"/>
        <v>0.2</v>
      </c>
      <c r="E35" s="148">
        <f t="shared" ca="1" si="20"/>
        <v>-1</v>
      </c>
      <c r="F35" s="432">
        <f t="shared" ca="1" si="21"/>
        <v>0.1</v>
      </c>
      <c r="H35" s="431">
        <f t="shared" ca="1" si="22"/>
        <v>-0.1</v>
      </c>
      <c r="I35" s="148">
        <f t="shared" ca="1" si="23"/>
        <v>1</v>
      </c>
      <c r="J35" s="432">
        <f t="shared" ca="1" si="24"/>
        <v>-7.0000000000000007E-2</v>
      </c>
      <c r="L35" s="431">
        <f t="shared" ca="1" si="25"/>
        <v>-0.3</v>
      </c>
      <c r="M35" s="148">
        <f t="shared" ca="1" si="26"/>
        <v>2</v>
      </c>
      <c r="N35" s="432">
        <f t="shared" ca="1" si="27"/>
        <v>0.08</v>
      </c>
    </row>
    <row r="36" spans="4:14" s="62" customFormat="1" ht="18" customHeight="1">
      <c r="D36" s="431">
        <f t="shared" ca="1" si="19"/>
        <v>0.2</v>
      </c>
      <c r="E36" s="148">
        <f t="shared" ca="1" si="20"/>
        <v>1</v>
      </c>
      <c r="F36" s="432">
        <f t="shared" ca="1" si="21"/>
        <v>-0.12</v>
      </c>
      <c r="H36" s="431">
        <f t="shared" ca="1" si="22"/>
        <v>-0.2</v>
      </c>
      <c r="I36" s="148">
        <f t="shared" ca="1" si="23"/>
        <v>-3</v>
      </c>
      <c r="J36" s="432">
        <f t="shared" ca="1" si="24"/>
        <v>0.09</v>
      </c>
      <c r="L36" s="431">
        <f t="shared" ca="1" si="25"/>
        <v>0.1</v>
      </c>
      <c r="M36" s="148">
        <f t="shared" ca="1" si="26"/>
        <v>-1</v>
      </c>
      <c r="N36" s="432">
        <f t="shared" ca="1" si="27"/>
        <v>0.12</v>
      </c>
    </row>
    <row r="37" spans="4:14" s="62" customFormat="1" ht="18" customHeight="1">
      <c r="D37" s="431">
        <f t="shared" ca="1" si="19"/>
        <v>-0.3</v>
      </c>
      <c r="E37" s="148">
        <f t="shared" ca="1" si="20"/>
        <v>-3</v>
      </c>
      <c r="F37" s="432">
        <f t="shared" ca="1" si="21"/>
        <v>-0.08</v>
      </c>
      <c r="H37" s="431">
        <f t="shared" ca="1" si="22"/>
        <v>-0.3</v>
      </c>
      <c r="I37" s="148">
        <f t="shared" ca="1" si="23"/>
        <v>-1</v>
      </c>
      <c r="J37" s="432">
        <f t="shared" ca="1" si="24"/>
        <v>-0.12</v>
      </c>
      <c r="L37" s="431">
        <f t="shared" ca="1" si="25"/>
        <v>-0.1</v>
      </c>
      <c r="M37" s="148">
        <f t="shared" ca="1" si="26"/>
        <v>2</v>
      </c>
      <c r="N37" s="432">
        <f t="shared" ca="1" si="27"/>
        <v>0.11</v>
      </c>
    </row>
    <row r="38" spans="4:14" ht="18" customHeight="1">
      <c r="D38" s="431">
        <f t="shared" ca="1" si="19"/>
        <v>-0.2</v>
      </c>
      <c r="E38" s="148">
        <f t="shared" ca="1" si="20"/>
        <v>1</v>
      </c>
      <c r="F38" s="432">
        <f t="shared" ca="1" si="21"/>
        <v>0.12</v>
      </c>
      <c r="H38" s="431">
        <f t="shared" ca="1" si="22"/>
        <v>0.3</v>
      </c>
      <c r="I38" s="148">
        <f t="shared" ca="1" si="23"/>
        <v>-1</v>
      </c>
      <c r="J38" s="432">
        <f t="shared" ca="1" si="24"/>
        <v>-0.11</v>
      </c>
      <c r="L38" s="431">
        <f t="shared" ca="1" si="25"/>
        <v>-0.3</v>
      </c>
      <c r="M38" s="148">
        <f t="shared" ca="1" si="26"/>
        <v>3</v>
      </c>
      <c r="N38" s="432">
        <f t="shared" ca="1" si="27"/>
        <v>0.09</v>
      </c>
    </row>
    <row r="39" spans="4:14" ht="18" customHeight="1">
      <c r="D39" s="431">
        <f t="shared" ca="1" si="19"/>
        <v>0.1</v>
      </c>
      <c r="E39" s="148">
        <f t="shared" ca="1" si="20"/>
        <v>-3</v>
      </c>
      <c r="F39" s="432">
        <f t="shared" ca="1" si="21"/>
        <v>7.0000000000000007E-2</v>
      </c>
      <c r="H39" s="431">
        <f t="shared" ca="1" si="22"/>
        <v>-0.2</v>
      </c>
      <c r="I39" s="148">
        <f t="shared" ca="1" si="23"/>
        <v>-2</v>
      </c>
      <c r="J39" s="432">
        <f t="shared" ca="1" si="24"/>
        <v>0.12</v>
      </c>
      <c r="L39" s="431">
        <f t="shared" ca="1" si="25"/>
        <v>0.1</v>
      </c>
      <c r="M39" s="148">
        <f t="shared" ca="1" si="26"/>
        <v>-2</v>
      </c>
      <c r="N39" s="432">
        <f t="shared" ca="1" si="27"/>
        <v>0.12</v>
      </c>
    </row>
    <row r="40" spans="4:14" ht="18" customHeight="1" thickBot="1">
      <c r="D40" s="435">
        <f t="shared" ca="1" si="19"/>
        <v>0.1</v>
      </c>
      <c r="E40" s="172">
        <f t="shared" ca="1" si="20"/>
        <v>-3</v>
      </c>
      <c r="F40" s="436">
        <f t="shared" ca="1" si="21"/>
        <v>0.09</v>
      </c>
      <c r="H40" s="435">
        <f t="shared" ca="1" si="22"/>
        <v>0.2</v>
      </c>
      <c r="I40" s="172">
        <f t="shared" ca="1" si="23"/>
        <v>-2</v>
      </c>
      <c r="J40" s="436">
        <f t="shared" ca="1" si="24"/>
        <v>0.12</v>
      </c>
      <c r="L40" s="435">
        <f t="shared" ca="1" si="25"/>
        <v>-0.2</v>
      </c>
      <c r="M40" s="172">
        <f t="shared" ca="1" si="26"/>
        <v>-3</v>
      </c>
      <c r="N40" s="436">
        <f t="shared" ca="1" si="27"/>
        <v>0.08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workbookViewId="0">
      <selection activeCell="I14" sqref="I14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5" customFormat="1" ht="26.25" customHeight="1">
      <c r="B4" s="443" t="s">
        <v>109</v>
      </c>
      <c r="C4" s="444" t="s">
        <v>102</v>
      </c>
      <c r="E4" s="444"/>
      <c r="F4" s="444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5" t="s">
        <v>97</v>
      </c>
      <c r="C6" s="446">
        <v>43486.375</v>
      </c>
      <c r="D6" s="404"/>
      <c r="E6" s="61"/>
      <c r="F6" s="61"/>
    </row>
    <row r="7" spans="2:10" s="62" customFormat="1" ht="26.1" customHeight="1" thickBot="1">
      <c r="B7" s="405" t="s">
        <v>98</v>
      </c>
      <c r="C7" s="406">
        <v>14.6</v>
      </c>
      <c r="D7" s="404"/>
      <c r="E7" s="61"/>
      <c r="F7" s="61"/>
    </row>
    <row r="8" spans="2:10" s="62" customFormat="1" ht="26.1" customHeight="1">
      <c r="B8" s="407" t="s">
        <v>99</v>
      </c>
      <c r="C8" s="408">
        <v>211</v>
      </c>
      <c r="D8" s="404"/>
      <c r="E8" s="61"/>
      <c r="F8" s="61"/>
    </row>
    <row r="9" spans="2:10" s="62" customFormat="1" ht="26.1" customHeight="1">
      <c r="B9" s="407" t="s">
        <v>100</v>
      </c>
      <c r="C9" s="447">
        <v>6.7</v>
      </c>
      <c r="D9" s="404"/>
      <c r="E9" s="61"/>
      <c r="F9" s="61"/>
    </row>
    <row r="10" spans="2:10" s="62" customFormat="1" ht="26.1" customHeight="1">
      <c r="B10" s="407"/>
      <c r="C10" s="408"/>
      <c r="D10" s="404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>
      <c r="B12" s="479" t="s">
        <v>101</v>
      </c>
      <c r="C12" s="481"/>
      <c r="D12" s="486" t="s">
        <v>102</v>
      </c>
      <c r="E12" s="480"/>
      <c r="F12" s="481"/>
      <c r="H12" s="479" t="s">
        <v>102</v>
      </c>
      <c r="I12" s="480"/>
      <c r="J12" s="481"/>
    </row>
    <row r="13" spans="2:10" s="61" customFormat="1" ht="26.1" customHeight="1">
      <c r="B13" s="409" t="s">
        <v>97</v>
      </c>
      <c r="C13" s="410" t="s">
        <v>103</v>
      </c>
      <c r="D13" s="438" t="s">
        <v>104</v>
      </c>
      <c r="E13" s="411" t="s">
        <v>105</v>
      </c>
      <c r="F13" s="410" t="s">
        <v>106</v>
      </c>
      <c r="H13" s="409" t="s">
        <v>104</v>
      </c>
      <c r="I13" s="411" t="s">
        <v>105</v>
      </c>
      <c r="J13" s="410" t="s">
        <v>106</v>
      </c>
    </row>
    <row r="14" spans="2:10" s="61" customFormat="1" ht="26.1" customHeight="1">
      <c r="B14" s="448">
        <f>$C$6+C14/1440</f>
        <v>43486.378472222219</v>
      </c>
      <c r="C14" s="167">
        <v>5</v>
      </c>
      <c r="D14" s="449">
        <f t="shared" ref="D14:D23" ca="1" si="0">baseTemp+H14</f>
        <v>14.799999999999999</v>
      </c>
      <c r="E14" s="450">
        <f ca="1">$C$8+I14</f>
        <v>209</v>
      </c>
      <c r="F14" s="414">
        <f ca="1">$C$9+J14</f>
        <v>6.78</v>
      </c>
      <c r="H14" s="147">
        <f ca="1">ROUND(myRandBetween(1,3,10), 1)</f>
        <v>0.2</v>
      </c>
      <c r="I14" s="148">
        <f ca="1">myRandBetween(1,3,1)</f>
        <v>-2</v>
      </c>
      <c r="J14" s="150">
        <f ca="1">ROUND(myRandBetween(7,12,100), 2)</f>
        <v>0.08</v>
      </c>
    </row>
    <row r="15" spans="2:10" s="61" customFormat="1" ht="26.1" customHeight="1">
      <c r="B15" s="451">
        <f t="shared" ref="B15:B23" si="1">$C$6+C15/1440</f>
        <v>43486.395833333336</v>
      </c>
      <c r="C15" s="150">
        <v>30</v>
      </c>
      <c r="D15" s="452">
        <f t="shared" ca="1" si="0"/>
        <v>14.9</v>
      </c>
      <c r="E15" s="453">
        <f t="shared" ref="E15:E23" ca="1" si="2">$C$8+I15</f>
        <v>212</v>
      </c>
      <c r="F15" s="418">
        <f t="shared" ref="F15:F23" ca="1" si="3">$C$9+J15</f>
        <v>6.6000000000000005</v>
      </c>
      <c r="H15" s="147">
        <f t="shared" ref="H15:H23" ca="1" si="4">ROUND(myRandBetween(1,3,10), 1)</f>
        <v>0.3</v>
      </c>
      <c r="I15" s="148">
        <f t="shared" ref="I15:I23" ca="1" si="5">myRandBetween(1,3,1)</f>
        <v>1</v>
      </c>
      <c r="J15" s="150">
        <f t="shared" ref="J15:J23" ca="1" si="6">ROUND(myRandBetween(7,12,100), 2)</f>
        <v>-0.1</v>
      </c>
    </row>
    <row r="16" spans="2:10" s="61" customFormat="1" ht="26.1" customHeight="1">
      <c r="B16" s="451">
        <f t="shared" si="1"/>
        <v>43486.416666666664</v>
      </c>
      <c r="C16" s="150">
        <v>60</v>
      </c>
      <c r="D16" s="452">
        <f t="shared" ca="1" si="0"/>
        <v>14.799999999999999</v>
      </c>
      <c r="E16" s="453">
        <f t="shared" ca="1" si="2"/>
        <v>212</v>
      </c>
      <c r="F16" s="418">
        <f t="shared" ca="1" si="3"/>
        <v>6.58</v>
      </c>
      <c r="H16" s="147">
        <f t="shared" ca="1" si="4"/>
        <v>0.2</v>
      </c>
      <c r="I16" s="148">
        <f t="shared" ca="1" si="5"/>
        <v>1</v>
      </c>
      <c r="J16" s="150">
        <f t="shared" ca="1" si="6"/>
        <v>-0.12</v>
      </c>
    </row>
    <row r="17" spans="2:10" s="61" customFormat="1" ht="26.1" customHeight="1">
      <c r="B17" s="451">
        <f t="shared" si="1"/>
        <v>43486.458333333336</v>
      </c>
      <c r="C17" s="150">
        <v>120</v>
      </c>
      <c r="D17" s="452">
        <f t="shared" ca="1" si="0"/>
        <v>14.5</v>
      </c>
      <c r="E17" s="453">
        <f t="shared" ca="1" si="2"/>
        <v>214</v>
      </c>
      <c r="F17" s="418">
        <f t="shared" ca="1" si="3"/>
        <v>6.6000000000000005</v>
      </c>
      <c r="H17" s="147">
        <f t="shared" ca="1" si="4"/>
        <v>-0.1</v>
      </c>
      <c r="I17" s="148">
        <f t="shared" ca="1" si="5"/>
        <v>3</v>
      </c>
      <c r="J17" s="150">
        <f t="shared" ca="1" si="6"/>
        <v>-0.1</v>
      </c>
    </row>
    <row r="18" spans="2:10" s="61" customFormat="1" ht="26.1" customHeight="1">
      <c r="B18" s="451">
        <f t="shared" si="1"/>
        <v>43486.541666666664</v>
      </c>
      <c r="C18" s="150">
        <v>240</v>
      </c>
      <c r="D18" s="452">
        <f t="shared" ca="1" si="0"/>
        <v>14.799999999999999</v>
      </c>
      <c r="E18" s="453">
        <f t="shared" ca="1" si="2"/>
        <v>208</v>
      </c>
      <c r="F18" s="418">
        <f t="shared" ca="1" si="3"/>
        <v>6.79</v>
      </c>
      <c r="H18" s="147">
        <f t="shared" ca="1" si="4"/>
        <v>0.2</v>
      </c>
      <c r="I18" s="148">
        <f t="shared" ca="1" si="5"/>
        <v>-3</v>
      </c>
      <c r="J18" s="150">
        <f t="shared" ca="1" si="6"/>
        <v>0.09</v>
      </c>
    </row>
    <row r="19" spans="2:10" s="61" customFormat="1" ht="26.1" customHeight="1">
      <c r="B19" s="451">
        <f t="shared" si="1"/>
        <v>43486.708333333336</v>
      </c>
      <c r="C19" s="150">
        <v>480</v>
      </c>
      <c r="D19" s="454">
        <f t="shared" ca="1" si="0"/>
        <v>14.5</v>
      </c>
      <c r="E19" s="453">
        <f t="shared" ca="1" si="2"/>
        <v>210</v>
      </c>
      <c r="F19" s="418">
        <f t="shared" ca="1" si="3"/>
        <v>6.82</v>
      </c>
      <c r="H19" s="147">
        <f t="shared" ca="1" si="4"/>
        <v>-0.1</v>
      </c>
      <c r="I19" s="148">
        <f t="shared" ca="1" si="5"/>
        <v>-1</v>
      </c>
      <c r="J19" s="150">
        <f t="shared" ca="1" si="6"/>
        <v>0.12</v>
      </c>
    </row>
    <row r="20" spans="2:10" s="62" customFormat="1" ht="26.1" customHeight="1">
      <c r="B20" s="451">
        <f t="shared" si="1"/>
        <v>43487.375</v>
      </c>
      <c r="C20" s="150">
        <v>1440</v>
      </c>
      <c r="D20" s="452">
        <f t="shared" ca="1" si="0"/>
        <v>14.9</v>
      </c>
      <c r="E20" s="453">
        <f t="shared" ca="1" si="2"/>
        <v>213</v>
      </c>
      <c r="F20" s="418">
        <f t="shared" ca="1" si="3"/>
        <v>6.79</v>
      </c>
      <c r="H20" s="147">
        <f t="shared" ca="1" si="4"/>
        <v>0.3</v>
      </c>
      <c r="I20" s="148">
        <f t="shared" ca="1" si="5"/>
        <v>2</v>
      </c>
      <c r="J20" s="150">
        <f t="shared" ca="1" si="6"/>
        <v>0.09</v>
      </c>
    </row>
    <row r="21" spans="2:10" s="62" customFormat="1" ht="26.1" customHeight="1">
      <c r="B21" s="451">
        <f t="shared" si="1"/>
        <v>43487.541666666664</v>
      </c>
      <c r="C21" s="150">
        <v>1680</v>
      </c>
      <c r="D21" s="452">
        <f t="shared" ca="1" si="0"/>
        <v>14.299999999999999</v>
      </c>
      <c r="E21" s="453">
        <f t="shared" ca="1" si="2"/>
        <v>214</v>
      </c>
      <c r="F21" s="418">
        <f t="shared" ca="1" si="3"/>
        <v>6.63</v>
      </c>
      <c r="H21" s="147">
        <f t="shared" ca="1" si="4"/>
        <v>-0.3</v>
      </c>
      <c r="I21" s="148">
        <f t="shared" ca="1" si="5"/>
        <v>3</v>
      </c>
      <c r="J21" s="150">
        <f t="shared" ca="1" si="6"/>
        <v>-7.0000000000000007E-2</v>
      </c>
    </row>
    <row r="22" spans="2:10" s="62" customFormat="1" ht="26.1" customHeight="1">
      <c r="B22" s="451">
        <f t="shared" si="1"/>
        <v>43487.708333333336</v>
      </c>
      <c r="C22" s="150">
        <v>1920</v>
      </c>
      <c r="D22" s="452">
        <f t="shared" ca="1" si="0"/>
        <v>14.299999999999999</v>
      </c>
      <c r="E22" s="453">
        <f t="shared" ca="1" si="2"/>
        <v>209</v>
      </c>
      <c r="F22" s="418">
        <f t="shared" ca="1" si="3"/>
        <v>6.62</v>
      </c>
      <c r="H22" s="147">
        <f t="shared" ca="1" si="4"/>
        <v>-0.3</v>
      </c>
      <c r="I22" s="148">
        <f t="shared" ca="1" si="5"/>
        <v>-2</v>
      </c>
      <c r="J22" s="150">
        <f t="shared" ca="1" si="6"/>
        <v>-0.08</v>
      </c>
    </row>
    <row r="23" spans="2:10" s="62" customFormat="1" ht="26.1" customHeight="1" thickBot="1">
      <c r="B23" s="451">
        <f t="shared" si="1"/>
        <v>43488.375</v>
      </c>
      <c r="C23" s="150">
        <v>2880</v>
      </c>
      <c r="D23" s="452">
        <f t="shared" ca="1" si="0"/>
        <v>14.299999999999999</v>
      </c>
      <c r="E23" s="453">
        <f t="shared" ca="1" si="2"/>
        <v>213</v>
      </c>
      <c r="F23" s="418">
        <f t="shared" ca="1" si="3"/>
        <v>6.63</v>
      </c>
      <c r="H23" s="175">
        <f t="shared" ca="1" si="4"/>
        <v>-0.3</v>
      </c>
      <c r="I23" s="172">
        <f t="shared" ca="1" si="5"/>
        <v>2</v>
      </c>
      <c r="J23" s="173">
        <f t="shared" ca="1" si="6"/>
        <v>-7.0000000000000007E-2</v>
      </c>
    </row>
    <row r="24" spans="2:10" s="62" customFormat="1" ht="26.1" customHeight="1">
      <c r="B24" s="482" t="s">
        <v>47</v>
      </c>
      <c r="C24" s="483"/>
      <c r="D24" s="438">
        <f ca="1">MAX(D14:D23)</f>
        <v>14.9</v>
      </c>
      <c r="E24" s="411">
        <f t="shared" ref="E24:F24" ca="1" si="7">MAX(E14:E23)</f>
        <v>214</v>
      </c>
      <c r="F24" s="410">
        <f t="shared" ca="1" si="7"/>
        <v>6.82</v>
      </c>
      <c r="H24" s="61"/>
      <c r="I24" s="61"/>
      <c r="J24" s="61"/>
    </row>
    <row r="25" spans="2:10" s="62" customFormat="1" ht="26.1" customHeight="1">
      <c r="B25" s="482" t="s">
        <v>48</v>
      </c>
      <c r="C25" s="483"/>
      <c r="D25" s="438">
        <f ca="1">MIN(D14:D23)</f>
        <v>14.299999999999999</v>
      </c>
      <c r="E25" s="411">
        <f t="shared" ref="E25:F25" ca="1" si="8">MIN(E14:E23)</f>
        <v>208</v>
      </c>
      <c r="F25" s="410">
        <f t="shared" ca="1" si="8"/>
        <v>6.58</v>
      </c>
      <c r="H25" s="61"/>
      <c r="I25" s="61"/>
      <c r="J25" s="61"/>
    </row>
    <row r="26" spans="2:10" s="62" customFormat="1" ht="26.1" customHeight="1" thickBot="1">
      <c r="B26" s="484" t="s">
        <v>107</v>
      </c>
      <c r="C26" s="485"/>
      <c r="D26" s="442">
        <f ca="1">D24-D25</f>
        <v>0.60000000000000142</v>
      </c>
      <c r="E26" s="429">
        <f t="shared" ref="E26:F26" ca="1" si="9">E24-E25</f>
        <v>6</v>
      </c>
      <c r="F26" s="430">
        <f t="shared" ca="1" si="9"/>
        <v>0.24000000000000021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59F5-FFF2-4A34-901B-22C7E905BDAB}">
  <sheetPr codeName="Sheet16"/>
  <dimension ref="B1:J44"/>
  <sheetViews>
    <sheetView tabSelected="1" workbookViewId="0">
      <selection activeCell="E6" sqref="E6"/>
    </sheetView>
  </sheetViews>
  <sheetFormatPr defaultColWidth="8.88671875" defaultRowHeight="16.5"/>
  <cols>
    <col min="1" max="1" width="8.88671875" style="37"/>
    <col min="2" max="2" width="16.6640625" style="37" customWidth="1"/>
    <col min="3" max="4" width="14.6640625" style="37" customWidth="1"/>
    <col min="5" max="5" width="12" style="36" customWidth="1"/>
    <col min="6" max="6" width="12.33203125" style="36" customWidth="1"/>
    <col min="7" max="7" width="8.88671875" style="37"/>
    <col min="8" max="10" width="12.44140625" style="37" customWidth="1"/>
    <col min="11" max="16384" width="8.88671875" style="37"/>
  </cols>
  <sheetData>
    <row r="1" spans="2:10" s="30" customFormat="1" ht="18" customHeight="1">
      <c r="E1" s="1"/>
      <c r="F1" s="1"/>
    </row>
    <row r="2" spans="2:10" s="30" customFormat="1" ht="18" customHeight="1">
      <c r="B2" s="30" t="s">
        <v>96</v>
      </c>
      <c r="E2" s="1"/>
      <c r="F2" s="1"/>
    </row>
    <row r="3" spans="2:10" s="30" customFormat="1" ht="18" customHeight="1">
      <c r="E3" s="1"/>
      <c r="F3" s="1"/>
    </row>
    <row r="4" spans="2:10" s="99" customFormat="1" ht="26.25" customHeight="1">
      <c r="B4" s="97" t="s">
        <v>204</v>
      </c>
      <c r="C4" s="98">
        <v>2</v>
      </c>
      <c r="E4" s="98"/>
      <c r="F4" s="98"/>
    </row>
    <row r="5" spans="2:10" s="30" customFormat="1" ht="18" customHeight="1" thickBot="1">
      <c r="E5" s="1"/>
      <c r="F5" s="1"/>
    </row>
    <row r="6" spans="2:10" s="30" customFormat="1" ht="26.1" customHeight="1" thickBot="1">
      <c r="B6" s="31" t="s">
        <v>97</v>
      </c>
      <c r="C6" s="100">
        <v>43489.375</v>
      </c>
      <c r="D6" s="32"/>
      <c r="E6" s="1"/>
      <c r="F6" s="1"/>
    </row>
    <row r="7" spans="2:10" s="30" customFormat="1" ht="26.1" customHeight="1" thickBot="1">
      <c r="B7" s="31" t="s">
        <v>98</v>
      </c>
      <c r="C7" s="33">
        <v>14.6</v>
      </c>
      <c r="D7" s="32"/>
      <c r="E7" s="1"/>
      <c r="F7" s="1"/>
    </row>
    <row r="8" spans="2:10" s="30" customFormat="1" ht="26.1" customHeight="1">
      <c r="B8" s="34" t="s">
        <v>99</v>
      </c>
      <c r="C8" s="35">
        <v>206</v>
      </c>
      <c r="D8" s="32"/>
      <c r="E8" s="1"/>
      <c r="F8" s="1"/>
    </row>
    <row r="9" spans="2:10" s="30" customFormat="1" ht="26.1" customHeight="1">
      <c r="B9" s="34" t="s">
        <v>100</v>
      </c>
      <c r="C9" s="101">
        <v>6.3</v>
      </c>
      <c r="D9" s="32"/>
      <c r="E9" s="1"/>
      <c r="F9" s="1"/>
    </row>
    <row r="10" spans="2:10" s="30" customFormat="1" ht="26.1" customHeight="1">
      <c r="B10" s="34"/>
      <c r="C10" s="35"/>
      <c r="D10" s="32"/>
      <c r="E10" s="1"/>
      <c r="F10" s="1"/>
    </row>
    <row r="11" spans="2:10" s="30" customFormat="1" ht="18" customHeight="1" thickBot="1">
      <c r="E11" s="1"/>
      <c r="F11" s="1"/>
    </row>
    <row r="12" spans="2:10" s="1" customFormat="1" ht="26.1" customHeight="1">
      <c r="B12" s="489" t="s">
        <v>101</v>
      </c>
      <c r="C12" s="490"/>
      <c r="D12" s="491" t="s">
        <v>102</v>
      </c>
      <c r="E12" s="492"/>
      <c r="F12" s="490"/>
      <c r="H12" s="489" t="s">
        <v>102</v>
      </c>
      <c r="I12" s="492"/>
      <c r="J12" s="490"/>
    </row>
    <row r="13" spans="2:10" s="1" customFormat="1" ht="26.1" customHeight="1">
      <c r="B13" s="126" t="s">
        <v>97</v>
      </c>
      <c r="C13" s="127" t="s">
        <v>103</v>
      </c>
      <c r="D13" s="128" t="s">
        <v>104</v>
      </c>
      <c r="E13" s="129" t="s">
        <v>105</v>
      </c>
      <c r="F13" s="127" t="s">
        <v>106</v>
      </c>
      <c r="H13" s="126" t="s">
        <v>104</v>
      </c>
      <c r="I13" s="129" t="s">
        <v>105</v>
      </c>
      <c r="J13" s="127" t="s">
        <v>106</v>
      </c>
    </row>
    <row r="14" spans="2:10" s="1" customFormat="1" ht="26.1" customHeight="1">
      <c r="B14" s="130">
        <f>$C$6+C14/1440</f>
        <v>43489.378472222219</v>
      </c>
      <c r="C14" s="131">
        <v>5</v>
      </c>
      <c r="D14" s="132">
        <f t="shared" ref="D14:D23" si="0">baseTemp+H14</f>
        <v>14.9</v>
      </c>
      <c r="E14" s="133">
        <f>$C$8+I14</f>
        <v>210</v>
      </c>
      <c r="F14" s="134">
        <f>$C$9+J14</f>
        <v>6.42</v>
      </c>
      <c r="H14" s="124">
        <v>0.3</v>
      </c>
      <c r="I14" s="144">
        <v>4</v>
      </c>
      <c r="J14" s="136">
        <v>0.12</v>
      </c>
    </row>
    <row r="15" spans="2:10" s="1" customFormat="1" ht="26.1" customHeight="1">
      <c r="B15" s="135">
        <f t="shared" ref="B15:B23" si="1">$C$6+C15/1440</f>
        <v>43489.395833333336</v>
      </c>
      <c r="C15" s="136">
        <v>30</v>
      </c>
      <c r="D15" s="137">
        <f t="shared" si="0"/>
        <v>15.1</v>
      </c>
      <c r="E15" s="138">
        <f t="shared" ref="E15:E23" si="2">$C$8+I15</f>
        <v>209</v>
      </c>
      <c r="F15" s="139">
        <f t="shared" ref="F15:F23" si="3">$C$9+J15</f>
        <v>6.51</v>
      </c>
      <c r="H15" s="124">
        <v>0.5</v>
      </c>
      <c r="I15" s="144">
        <v>3</v>
      </c>
      <c r="J15" s="136">
        <v>0.21</v>
      </c>
    </row>
    <row r="16" spans="2:10" s="1" customFormat="1" ht="26.1" customHeight="1">
      <c r="B16" s="135">
        <f t="shared" si="1"/>
        <v>43489.416666666664</v>
      </c>
      <c r="C16" s="136">
        <v>60</v>
      </c>
      <c r="D16" s="137">
        <f t="shared" si="0"/>
        <v>15</v>
      </c>
      <c r="E16" s="138">
        <f t="shared" si="2"/>
        <v>209</v>
      </c>
      <c r="F16" s="139">
        <f t="shared" si="3"/>
        <v>6.18</v>
      </c>
      <c r="H16" s="124">
        <v>0.4</v>
      </c>
      <c r="I16" s="144">
        <v>3</v>
      </c>
      <c r="J16" s="136">
        <v>-0.12</v>
      </c>
    </row>
    <row r="17" spans="2:10" s="1" customFormat="1" ht="26.1" customHeight="1">
      <c r="B17" s="135">
        <f t="shared" si="1"/>
        <v>43489.458333333336</v>
      </c>
      <c r="C17" s="136">
        <v>120</v>
      </c>
      <c r="D17" s="137">
        <f t="shared" si="0"/>
        <v>14.9</v>
      </c>
      <c r="E17" s="138">
        <f t="shared" si="2"/>
        <v>208</v>
      </c>
      <c r="F17" s="139">
        <f t="shared" si="3"/>
        <v>6.4399999999999995</v>
      </c>
      <c r="H17" s="124">
        <v>0.3</v>
      </c>
      <c r="I17" s="144">
        <v>2</v>
      </c>
      <c r="J17" s="136">
        <v>0.14000000000000001</v>
      </c>
    </row>
    <row r="18" spans="2:10" s="1" customFormat="1" ht="26.1" customHeight="1">
      <c r="B18" s="135">
        <f t="shared" si="1"/>
        <v>43489.541666666664</v>
      </c>
      <c r="C18" s="136">
        <v>240</v>
      </c>
      <c r="D18" s="137">
        <f t="shared" si="0"/>
        <v>15.2</v>
      </c>
      <c r="E18" s="138">
        <f t="shared" si="2"/>
        <v>209</v>
      </c>
      <c r="F18" s="139">
        <f t="shared" si="3"/>
        <v>6.43</v>
      </c>
      <c r="H18" s="124">
        <v>0.6</v>
      </c>
      <c r="I18" s="144">
        <v>3</v>
      </c>
      <c r="J18" s="136">
        <v>0.13</v>
      </c>
    </row>
    <row r="19" spans="2:10" s="1" customFormat="1" ht="26.1" customHeight="1">
      <c r="B19" s="135">
        <f t="shared" si="1"/>
        <v>43489.708333333336</v>
      </c>
      <c r="C19" s="136">
        <v>480</v>
      </c>
      <c r="D19" s="140">
        <f t="shared" si="0"/>
        <v>15</v>
      </c>
      <c r="E19" s="138">
        <f t="shared" si="2"/>
        <v>208</v>
      </c>
      <c r="F19" s="139">
        <f t="shared" si="3"/>
        <v>6.31</v>
      </c>
      <c r="H19" s="124">
        <v>0.4</v>
      </c>
      <c r="I19" s="144">
        <v>2</v>
      </c>
      <c r="J19" s="136">
        <v>0.01</v>
      </c>
    </row>
    <row r="20" spans="2:10" s="30" customFormat="1" ht="26.1" customHeight="1">
      <c r="B20" s="135">
        <f t="shared" si="1"/>
        <v>43490.375</v>
      </c>
      <c r="C20" s="136">
        <v>1440</v>
      </c>
      <c r="D20" s="137">
        <f t="shared" si="0"/>
        <v>15.1</v>
      </c>
      <c r="E20" s="138">
        <f t="shared" si="2"/>
        <v>207</v>
      </c>
      <c r="F20" s="139">
        <f t="shared" si="3"/>
        <v>6.3199999999999994</v>
      </c>
      <c r="H20" s="124">
        <v>0.5</v>
      </c>
      <c r="I20" s="144">
        <v>1</v>
      </c>
      <c r="J20" s="136">
        <v>0.02</v>
      </c>
    </row>
    <row r="21" spans="2:10" s="30" customFormat="1" ht="26.1" customHeight="1">
      <c r="B21" s="135">
        <f t="shared" si="1"/>
        <v>43490.541666666664</v>
      </c>
      <c r="C21" s="136">
        <v>1680</v>
      </c>
      <c r="D21" s="137">
        <f t="shared" si="0"/>
        <v>15.1</v>
      </c>
      <c r="E21" s="138">
        <f t="shared" si="2"/>
        <v>206</v>
      </c>
      <c r="F21" s="139">
        <f t="shared" si="3"/>
        <v>6.34</v>
      </c>
      <c r="H21" s="124">
        <v>0.5</v>
      </c>
      <c r="I21" s="144">
        <v>0</v>
      </c>
      <c r="J21" s="136">
        <v>0.04</v>
      </c>
    </row>
    <row r="22" spans="2:10" s="30" customFormat="1" ht="26.1" customHeight="1">
      <c r="B22" s="135">
        <f t="shared" si="1"/>
        <v>43490.708333333336</v>
      </c>
      <c r="C22" s="136">
        <v>1920</v>
      </c>
      <c r="D22" s="137">
        <f t="shared" si="0"/>
        <v>14.9</v>
      </c>
      <c r="E22" s="138">
        <f t="shared" si="2"/>
        <v>208</v>
      </c>
      <c r="F22" s="139">
        <f t="shared" si="3"/>
        <v>6.31</v>
      </c>
      <c r="H22" s="124">
        <v>0.3</v>
      </c>
      <c r="I22" s="144">
        <v>2</v>
      </c>
      <c r="J22" s="136">
        <v>0.01</v>
      </c>
    </row>
    <row r="23" spans="2:10" s="30" customFormat="1" ht="26.1" customHeight="1" thickBot="1">
      <c r="B23" s="135">
        <f t="shared" si="1"/>
        <v>43491.375</v>
      </c>
      <c r="C23" s="136">
        <v>2880</v>
      </c>
      <c r="D23" s="137">
        <f t="shared" si="0"/>
        <v>15.1</v>
      </c>
      <c r="E23" s="138">
        <f t="shared" si="2"/>
        <v>207</v>
      </c>
      <c r="F23" s="139">
        <f t="shared" si="3"/>
        <v>6.3199999999999994</v>
      </c>
      <c r="H23" s="125">
        <v>0.5</v>
      </c>
      <c r="I23" s="145">
        <v>1</v>
      </c>
      <c r="J23" s="146">
        <v>0.02</v>
      </c>
    </row>
    <row r="24" spans="2:10" s="30" customFormat="1" ht="26.1" customHeight="1">
      <c r="B24" s="493" t="s">
        <v>47</v>
      </c>
      <c r="C24" s="494"/>
      <c r="D24" s="128">
        <f>MAX(D14:D23)</f>
        <v>15.2</v>
      </c>
      <c r="E24" s="129">
        <f t="shared" ref="E24:F24" si="4">MAX(E14:E23)</f>
        <v>210</v>
      </c>
      <c r="F24" s="127">
        <f t="shared" si="4"/>
        <v>6.51</v>
      </c>
      <c r="H24" s="1"/>
      <c r="I24" s="1"/>
      <c r="J24" s="1"/>
    </row>
    <row r="25" spans="2:10" s="30" customFormat="1" ht="26.1" customHeight="1">
      <c r="B25" s="493" t="s">
        <v>48</v>
      </c>
      <c r="C25" s="494"/>
      <c r="D25" s="128">
        <f>MIN(D14:D23)</f>
        <v>14.9</v>
      </c>
      <c r="E25" s="129">
        <f t="shared" ref="E25:F25" si="5">MIN(E14:E23)</f>
        <v>206</v>
      </c>
      <c r="F25" s="127">
        <f t="shared" si="5"/>
        <v>6.18</v>
      </c>
      <c r="H25" s="1"/>
      <c r="I25" s="1"/>
      <c r="J25" s="1"/>
    </row>
    <row r="26" spans="2:10" s="30" customFormat="1" ht="26.1" customHeight="1" thickBot="1">
      <c r="B26" s="487" t="s">
        <v>107</v>
      </c>
      <c r="C26" s="488"/>
      <c r="D26" s="141">
        <f>D24-D25</f>
        <v>0.29999999999999893</v>
      </c>
      <c r="E26" s="142">
        <f t="shared" ref="E26:F26" si="6">E24-E25</f>
        <v>4</v>
      </c>
      <c r="F26" s="143">
        <f t="shared" si="6"/>
        <v>0.33000000000000007</v>
      </c>
      <c r="H26" s="1"/>
      <c r="I26" s="1"/>
      <c r="J26" s="1"/>
    </row>
    <row r="27" spans="2:10" s="30" customFormat="1" ht="18" customHeight="1">
      <c r="E27" s="1"/>
      <c r="F27" s="1"/>
    </row>
    <row r="28" spans="2:10" s="30" customFormat="1" ht="18" customHeight="1">
      <c r="E28" s="1"/>
      <c r="F28" s="1"/>
    </row>
    <row r="29" spans="2:10" s="30" customFormat="1" ht="18" customHeight="1">
      <c r="E29" s="1"/>
      <c r="F29" s="1"/>
    </row>
    <row r="30" spans="2:10" s="30" customFormat="1" ht="18" customHeight="1">
      <c r="E30" s="1"/>
      <c r="F30" s="1"/>
    </row>
    <row r="31" spans="2:10" s="30" customFormat="1" ht="18" customHeight="1">
      <c r="E31" s="1"/>
      <c r="F31" s="1"/>
    </row>
    <row r="32" spans="2:10" s="30" customFormat="1" ht="18" customHeight="1">
      <c r="E32" s="1"/>
      <c r="F32" s="1"/>
    </row>
    <row r="33" spans="5:6" s="30" customFormat="1" ht="18" customHeight="1">
      <c r="E33" s="1"/>
      <c r="F33" s="1"/>
    </row>
    <row r="34" spans="5:6" s="30" customFormat="1" ht="18" customHeight="1">
      <c r="E34" s="1"/>
      <c r="F34" s="1"/>
    </row>
    <row r="35" spans="5:6" s="30" customFormat="1" ht="18" customHeight="1">
      <c r="E35" s="1"/>
      <c r="F35" s="1"/>
    </row>
    <row r="36" spans="5:6" s="30" customFormat="1" ht="18" customHeight="1">
      <c r="E36" s="1"/>
      <c r="F36" s="1"/>
    </row>
    <row r="37" spans="5:6" s="30" customFormat="1" ht="18" customHeight="1">
      <c r="E37" s="1"/>
      <c r="F37" s="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0049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30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9</vt:i4>
      </vt:variant>
    </vt:vector>
  </HeadingPairs>
  <TitlesOfParts>
    <vt:vector size="31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Q1</vt:lpstr>
      <vt:lpstr>Q2</vt:lpstr>
      <vt:lpstr>w1</vt:lpstr>
      <vt:lpstr>w2</vt:lpstr>
      <vt:lpstr>allow_ratio</vt:lpstr>
      <vt:lpstr>'Q1'!baseTemp</vt:lpstr>
      <vt:lpstr>'Q2'!baseTemp</vt:lpstr>
      <vt:lpstr>'w1'!baseTemp</vt:lpstr>
      <vt:lpstr>'w2'!baseTemp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2020-05-30T08:37:17Z</dcterms:modified>
</cp:coreProperties>
</file>