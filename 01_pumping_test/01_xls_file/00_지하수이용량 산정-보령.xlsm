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63010D3B-3C2F-4E82-B907-78DB5F6DB85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산정표" sheetId="4" r:id="rId1"/>
    <sheet name="가정용 계산" sheetId="6" state="hidden" r:id="rId2"/>
    <sheet name="학교용 계산" sheetId="5" state="hidden" r:id="rId3"/>
    <sheet name="공동주택용 계산" sheetId="7" state="hidden" r:id="rId4"/>
    <sheet name="축산용 계산" sheetId="8" state="hidden" r:id="rId5"/>
    <sheet name="농생겸용" sheetId="9" state="hidden" r:id="rId6"/>
    <sheet name="산정기준표" sheetId="2" state="hidden" r:id="rId7"/>
    <sheet name="시도데이타" sheetId="3" state="hidden" r:id="rId8"/>
  </sheets>
  <definedNames>
    <definedName name="_xlnm._FilterDatabase" localSheetId="7" hidden="1">시도데이타!#REF!</definedName>
    <definedName name="강원도">시도데이타!$K$2:$K$19</definedName>
    <definedName name="경기도">시도데이타!$J$2:$J$32</definedName>
    <definedName name="경상남도">시도데이타!$Q$2:$Q$19</definedName>
    <definedName name="경상북도">시도데이타!$P$2:$P$24</definedName>
    <definedName name="광주광역시">시도데이타!$G$2:$G$6</definedName>
    <definedName name="대구광역시">시도데이타!$E$2:$E$9</definedName>
    <definedName name="대전광역시">시도데이타!$H$2:$H$6</definedName>
    <definedName name="부산광역시">시도데이타!$D$2:$D$17</definedName>
    <definedName name="서울특별시">시도데이타!$C$2:$C$26</definedName>
    <definedName name="시도">시도데이타!$A$1:$A$15</definedName>
    <definedName name="울산광역시">시도데이타!$I$2:$I$6</definedName>
    <definedName name="인천광역시">시도데이타!$F$2:$F$11</definedName>
    <definedName name="전라남도">시도데이타!$O$2:$O$23</definedName>
    <definedName name="전라북도">시도데이타!$N$2:$N$16</definedName>
    <definedName name="충청남도">시도데이타!$M$2:$M$17</definedName>
    <definedName name="충청북도">시도데이타!$L$2:$L$13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4" l="1"/>
  <c r="F3" i="8" l="1"/>
  <c r="K37" i="4" s="1"/>
  <c r="D3" i="8"/>
  <c r="K33" i="4" s="1"/>
  <c r="O33" i="4" s="1"/>
  <c r="Q33" i="4" s="1"/>
  <c r="K31" i="4"/>
  <c r="O31" i="4" s="1"/>
  <c r="Q31" i="4" s="1"/>
  <c r="C4" i="9"/>
  <c r="E3" i="8"/>
  <c r="K35" i="4" s="1"/>
  <c r="I7" i="4" a="1"/>
  <c r="I7" i="4" s="1"/>
  <c r="K29" i="4" s="1"/>
  <c r="G7" i="4" a="1"/>
  <c r="G7" i="4" s="1"/>
  <c r="B2" i="7" s="1"/>
  <c r="G75" i="2"/>
  <c r="G73" i="2"/>
  <c r="G72" i="2"/>
  <c r="G70" i="2"/>
  <c r="G69" i="2"/>
  <c r="G68" i="2"/>
  <c r="G67" i="2"/>
  <c r="G65" i="2"/>
  <c r="G64" i="2"/>
  <c r="G63" i="2"/>
  <c r="G62" i="2"/>
  <c r="G60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4" i="2"/>
  <c r="G45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8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14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3" i="2"/>
  <c r="G212" i="2"/>
  <c r="G211" i="2"/>
  <c r="G210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0" i="2"/>
  <c r="G169" i="2"/>
  <c r="G168" i="2"/>
  <c r="G167" i="2"/>
  <c r="G209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71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4" i="2"/>
  <c r="G71" i="2"/>
  <c r="G66" i="2"/>
  <c r="G61" i="2"/>
  <c r="G59" i="2"/>
  <c r="G43" i="2"/>
  <c r="G27" i="2"/>
  <c r="G2" i="2"/>
  <c r="K13" i="4" l="1"/>
  <c r="O13" i="4" s="1"/>
  <c r="B2" i="6"/>
  <c r="K23" i="4"/>
  <c r="O23" i="4" s="1"/>
  <c r="Q23" i="4" s="1"/>
  <c r="K27" i="4"/>
  <c r="O27" i="4" s="1"/>
  <c r="Q27" i="4" s="1"/>
  <c r="O35" i="4"/>
  <c r="Q35" i="4" s="1"/>
  <c r="O37" i="4"/>
  <c r="Q37" i="4" s="1"/>
  <c r="B3" i="5"/>
  <c r="K15" i="4"/>
  <c r="O15" i="4" s="1"/>
  <c r="Q15" i="4" s="1"/>
  <c r="B3" i="7"/>
  <c r="K21" i="4" s="1"/>
  <c r="O21" i="4" s="1"/>
  <c r="Q21" i="4" s="1"/>
  <c r="C3" i="9"/>
  <c r="B4" i="9"/>
  <c r="D4" i="9" s="1"/>
  <c r="O29" i="4"/>
  <c r="Q29" i="4" s="1"/>
  <c r="C2" i="9"/>
  <c r="B3" i="9"/>
  <c r="B3" i="6"/>
  <c r="B2" i="9"/>
  <c r="B2" i="5"/>
  <c r="O19" i="4"/>
  <c r="Q19" i="4" s="1"/>
  <c r="Q13" i="4" l="1"/>
  <c r="K17" i="4"/>
  <c r="O17" i="4" s="1"/>
  <c r="Q17" i="4" s="1"/>
  <c r="D2" i="9"/>
  <c r="K25" i="4" s="1"/>
  <c r="O25" i="4" s="1"/>
  <c r="Q25" i="4" s="1"/>
  <c r="D3" i="9"/>
</calcChain>
</file>

<file path=xl/sharedStrings.xml><?xml version="1.0" encoding="utf-8"?>
<sst xmlns="http://schemas.openxmlformats.org/spreadsheetml/2006/main" count="3086" uniqueCount="329">
  <si>
    <t>영향인자</t>
  </si>
  <si>
    <t>양수능력</t>
  </si>
  <si>
    <t>구분</t>
    <phoneticPr fontId="1" type="noConversion"/>
  </si>
  <si>
    <t>서울특별시</t>
  </si>
  <si>
    <t>부산광역시</t>
  </si>
  <si>
    <t>기장군</t>
  </si>
  <si>
    <t>대구광역시</t>
  </si>
  <si>
    <t>달성군</t>
  </si>
  <si>
    <t>인천광역시</t>
  </si>
  <si>
    <t>옹진군</t>
  </si>
  <si>
    <t>강화군</t>
  </si>
  <si>
    <t>광주광역시</t>
  </si>
  <si>
    <t>대전광역시</t>
  </si>
  <si>
    <t>울산광역시</t>
  </si>
  <si>
    <t>울주군</t>
  </si>
  <si>
    <t>경기도</t>
  </si>
  <si>
    <t>가평군</t>
  </si>
  <si>
    <t>고양시</t>
  </si>
  <si>
    <t>과천시</t>
  </si>
  <si>
    <t>광명시</t>
  </si>
  <si>
    <t>광주시</t>
  </si>
  <si>
    <t>구리시</t>
  </si>
  <si>
    <t>군포시</t>
  </si>
  <si>
    <t>김포시</t>
  </si>
  <si>
    <t>남양주시</t>
  </si>
  <si>
    <t>동두천시</t>
  </si>
  <si>
    <t>부천시</t>
  </si>
  <si>
    <t>0.173+(급수인구X0.210)</t>
  </si>
  <si>
    <t>성남시</t>
  </si>
  <si>
    <t>수원시</t>
  </si>
  <si>
    <t>시흥시</t>
  </si>
  <si>
    <t>안산시</t>
  </si>
  <si>
    <t>안성시</t>
  </si>
  <si>
    <t>안양시</t>
  </si>
  <si>
    <t>양주시</t>
  </si>
  <si>
    <t>양평군</t>
  </si>
  <si>
    <t>여주군</t>
  </si>
  <si>
    <t>연천군</t>
  </si>
  <si>
    <t>오산시</t>
  </si>
  <si>
    <t>용인시</t>
  </si>
  <si>
    <t>의왕시</t>
  </si>
  <si>
    <t>의정부시</t>
  </si>
  <si>
    <t>이천시</t>
  </si>
  <si>
    <t>파주시</t>
  </si>
  <si>
    <t>평택시</t>
  </si>
  <si>
    <t>포천시</t>
  </si>
  <si>
    <t>하남시</t>
  </si>
  <si>
    <t>화성시</t>
  </si>
  <si>
    <t>강원도</t>
  </si>
  <si>
    <t>강릉시</t>
  </si>
  <si>
    <t>고성군</t>
  </si>
  <si>
    <t>동해시</t>
  </si>
  <si>
    <t>삼척시</t>
  </si>
  <si>
    <t>속초시</t>
  </si>
  <si>
    <t>양구군</t>
  </si>
  <si>
    <t>양양군</t>
  </si>
  <si>
    <t>영월군</t>
  </si>
  <si>
    <t>원주시</t>
  </si>
  <si>
    <t>인제군</t>
  </si>
  <si>
    <t>정선군</t>
  </si>
  <si>
    <t>철원군</t>
  </si>
  <si>
    <t>춘천시</t>
  </si>
  <si>
    <t>태백시</t>
  </si>
  <si>
    <t>평창군</t>
  </si>
  <si>
    <t>홍천군</t>
  </si>
  <si>
    <t>화천군</t>
  </si>
  <si>
    <t>횡성군</t>
  </si>
  <si>
    <t>충청북도</t>
  </si>
  <si>
    <t>괴산군</t>
  </si>
  <si>
    <t>단양군</t>
  </si>
  <si>
    <t>보은군</t>
  </si>
  <si>
    <t>영동군</t>
  </si>
  <si>
    <t>옥천군</t>
  </si>
  <si>
    <t>음성군</t>
  </si>
  <si>
    <t>제천시</t>
  </si>
  <si>
    <t>증평군</t>
  </si>
  <si>
    <t>진천군</t>
  </si>
  <si>
    <t>청원군</t>
  </si>
  <si>
    <t>청주시</t>
  </si>
  <si>
    <t>충주시</t>
  </si>
  <si>
    <t>충청남도</t>
  </si>
  <si>
    <t>계룡시</t>
  </si>
  <si>
    <t>공주시</t>
  </si>
  <si>
    <t>금산군</t>
  </si>
  <si>
    <t>논산시</t>
  </si>
  <si>
    <t>당진시</t>
  </si>
  <si>
    <t>보령시</t>
  </si>
  <si>
    <t>부여군</t>
  </si>
  <si>
    <t>서산시</t>
  </si>
  <si>
    <t>서천군</t>
  </si>
  <si>
    <t>아산시</t>
  </si>
  <si>
    <t>연기군</t>
  </si>
  <si>
    <t>예산군</t>
  </si>
  <si>
    <t>천안시</t>
  </si>
  <si>
    <t>청양군</t>
  </si>
  <si>
    <t>태안군</t>
  </si>
  <si>
    <t>홍성군</t>
  </si>
  <si>
    <t>전라북도</t>
  </si>
  <si>
    <t>고창군</t>
  </si>
  <si>
    <t>구례군</t>
  </si>
  <si>
    <t>군산시</t>
  </si>
  <si>
    <t>김제시</t>
  </si>
  <si>
    <t>남원시</t>
  </si>
  <si>
    <t>무주군</t>
  </si>
  <si>
    <t>부안군</t>
  </si>
  <si>
    <t>순창군</t>
  </si>
  <si>
    <t>완주군</t>
  </si>
  <si>
    <t>익산시</t>
  </si>
  <si>
    <t>임실군</t>
  </si>
  <si>
    <t>장수군</t>
  </si>
  <si>
    <t>전주시</t>
  </si>
  <si>
    <t>정읍시</t>
  </si>
  <si>
    <t>진안군</t>
  </si>
  <si>
    <t>청송군</t>
  </si>
  <si>
    <t>전라남도</t>
  </si>
  <si>
    <t>강진군</t>
  </si>
  <si>
    <t>고흥군</t>
  </si>
  <si>
    <t>곡성군</t>
  </si>
  <si>
    <t>광양시</t>
  </si>
  <si>
    <t>나주시</t>
  </si>
  <si>
    <t>담양군</t>
  </si>
  <si>
    <t>목포시</t>
  </si>
  <si>
    <t>무안군</t>
  </si>
  <si>
    <t>보성군</t>
  </si>
  <si>
    <t>순천시</t>
  </si>
  <si>
    <t>신안군</t>
  </si>
  <si>
    <t>여수시</t>
  </si>
  <si>
    <t>영광군</t>
  </si>
  <si>
    <t>영암군</t>
  </si>
  <si>
    <t>완도군</t>
  </si>
  <si>
    <t>장성군</t>
  </si>
  <si>
    <t>장흥군</t>
  </si>
  <si>
    <t>진도군</t>
  </si>
  <si>
    <t>함평군</t>
  </si>
  <si>
    <t>해남군</t>
  </si>
  <si>
    <t>화순군</t>
  </si>
  <si>
    <t>경상북도</t>
  </si>
  <si>
    <t>경산시</t>
  </si>
  <si>
    <t>경주시</t>
  </si>
  <si>
    <t>고령군</t>
  </si>
  <si>
    <t>구미시</t>
  </si>
  <si>
    <t>군위군</t>
  </si>
  <si>
    <t>김천시</t>
  </si>
  <si>
    <t>문경시</t>
  </si>
  <si>
    <t>봉화군</t>
  </si>
  <si>
    <t>상주시</t>
  </si>
  <si>
    <t>성주군</t>
  </si>
  <si>
    <t>안동시</t>
  </si>
  <si>
    <t>영덕군</t>
  </si>
  <si>
    <t>영양군</t>
  </si>
  <si>
    <t>영주시</t>
  </si>
  <si>
    <t>영천시</t>
  </si>
  <si>
    <t>예천군</t>
  </si>
  <si>
    <t>울릉군</t>
  </si>
  <si>
    <t>울진군</t>
  </si>
  <si>
    <t>의성군</t>
  </si>
  <si>
    <t>청도군</t>
  </si>
  <si>
    <t>칠곡군</t>
  </si>
  <si>
    <t>포항시</t>
  </si>
  <si>
    <t>경상남도</t>
  </si>
  <si>
    <t>거제시</t>
  </si>
  <si>
    <t>거창군</t>
  </si>
  <si>
    <t>김해시</t>
  </si>
  <si>
    <t>남해군</t>
  </si>
  <si>
    <t>밀양시</t>
  </si>
  <si>
    <t>사천시</t>
  </si>
  <si>
    <t>산청군</t>
  </si>
  <si>
    <t>양산시</t>
  </si>
  <si>
    <t>의령군</t>
  </si>
  <si>
    <t>진주시</t>
  </si>
  <si>
    <t>창녕군</t>
  </si>
  <si>
    <t>창원시</t>
  </si>
  <si>
    <t>통영시</t>
  </si>
  <si>
    <t>하동군</t>
  </si>
  <si>
    <t>함안군</t>
  </si>
  <si>
    <t>함양군</t>
  </si>
  <si>
    <t>합천군</t>
  </si>
  <si>
    <r>
      <t>0.173+(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X0.210)</t>
    </r>
  </si>
  <si>
    <r>
      <t>0.265+(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X0.181)</t>
    </r>
  </si>
  <si>
    <r>
      <t>7.986+(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X0.005)</t>
    </r>
  </si>
  <si>
    <r>
      <t>2.119+(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X0.021)</t>
    </r>
  </si>
  <si>
    <r>
      <t>11.687+(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X0.007)</t>
    </r>
  </si>
  <si>
    <r>
      <t>3.521+(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X0.011)</t>
    </r>
  </si>
  <si>
    <r>
      <t>3.154+(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X0.023)</t>
    </r>
  </si>
  <si>
    <t>고성군</t>
    <phoneticPr fontId="1" type="noConversion"/>
  </si>
  <si>
    <r>
      <t>0.265+(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X0.181)</t>
    </r>
    <r>
      <rPr>
        <sz val="11"/>
        <color theme="1"/>
        <rFont val="맑은 고딕"/>
        <family val="3"/>
        <charset val="129"/>
        <scheme val="minor"/>
      </rPr>
      <t/>
    </r>
    <phoneticPr fontId="1" type="noConversion"/>
  </si>
  <si>
    <t>11.687+(급수인구X0.007)</t>
  </si>
  <si>
    <t>3.521+(양수능력X0.011)</t>
  </si>
  <si>
    <t>7.986+(급수인구X0.005)</t>
  </si>
  <si>
    <t>3.154+(양수능력X0.023)</t>
  </si>
  <si>
    <t>2.119+(양수능력X0.021)</t>
  </si>
  <si>
    <t>전작용</t>
  </si>
  <si>
    <t>답작용</t>
  </si>
  <si>
    <t>원예용</t>
  </si>
  <si>
    <r>
      <t>5.660+(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X0.014)</t>
    </r>
  </si>
  <si>
    <r>
      <t>1.980+(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X0.044)</t>
    </r>
  </si>
  <si>
    <r>
      <t>2.789+(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X0.011)</t>
    </r>
  </si>
  <si>
    <r>
      <t>4.338+(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X0.041)</t>
    </r>
  </si>
  <si>
    <r>
      <t>0.203+(</t>
    </r>
    <r>
      <rPr>
        <sz val="10"/>
        <color indexed="8"/>
        <rFont val="맑은 고딕"/>
        <family val="3"/>
        <charset val="129"/>
      </rPr>
      <t>양수능력</t>
    </r>
    <r>
      <rPr>
        <sz val="10"/>
        <color indexed="8"/>
        <rFont val="굴림"/>
        <family val="3"/>
        <charset val="129"/>
      </rPr>
      <t>X0.047)</t>
    </r>
  </si>
  <si>
    <t>5.660+(양수능력X0.014)</t>
  </si>
  <si>
    <t>1.980+(양수능력X0.044)</t>
  </si>
  <si>
    <t>2.789+(양수능력X0.011)</t>
  </si>
  <si>
    <t>4.338+(양수능력X0.041)</t>
  </si>
  <si>
    <t>0.203+(양수능력X0.047)</t>
  </si>
  <si>
    <t>6.964+(양수능력X0.013)</t>
  </si>
  <si>
    <t>2.089+(양수능력X0.043)</t>
  </si>
  <si>
    <t>5.660+(양수능력X0.015)</t>
  </si>
  <si>
    <t>1.980+(양수능력X0.045)</t>
  </si>
  <si>
    <t>2.789+(양수능력X0.012)</t>
  </si>
  <si>
    <t>공동주택용</t>
  </si>
  <si>
    <t>마을상수도용</t>
  </si>
  <si>
    <t>7.130+(급수인구X0.001)</t>
  </si>
  <si>
    <t>6.463+(급수인구X0.178)</t>
  </si>
  <si>
    <t>7.287+(급수인구X0.001)</t>
  </si>
  <si>
    <t>11.726+(급수인구X0.025)</t>
  </si>
  <si>
    <t>0.265+(급수인구X0.181)</t>
  </si>
  <si>
    <t>시도</t>
    <phoneticPr fontId="1" type="noConversion"/>
  </si>
  <si>
    <t>시군구</t>
    <phoneticPr fontId="1" type="noConversion"/>
  </si>
  <si>
    <t>강수량기준</t>
    <phoneticPr fontId="1" type="noConversion"/>
  </si>
  <si>
    <t>가정용</t>
    <phoneticPr fontId="1" type="noConversion"/>
  </si>
  <si>
    <t>단위급수인구</t>
    <phoneticPr fontId="1" type="noConversion"/>
  </si>
  <si>
    <t>공당 이용량</t>
    <phoneticPr fontId="1" type="noConversion"/>
  </si>
  <si>
    <t>학교용</t>
    <phoneticPr fontId="1" type="noConversion"/>
  </si>
  <si>
    <t>일반용</t>
    <phoneticPr fontId="1" type="noConversion"/>
  </si>
  <si>
    <r>
      <t>0.173+(</t>
    </r>
    <r>
      <rPr>
        <sz val="10"/>
        <color indexed="8"/>
        <rFont val="맑은 고딕"/>
        <family val="3"/>
        <charset val="129"/>
      </rPr>
      <t>급수인구</t>
    </r>
    <r>
      <rPr>
        <sz val="10"/>
        <color indexed="8"/>
        <rFont val="굴림"/>
        <family val="3"/>
        <charset val="129"/>
      </rPr>
      <t>X0.210)</t>
    </r>
    <phoneticPr fontId="1" type="noConversion"/>
  </si>
  <si>
    <t>강남구</t>
  </si>
  <si>
    <t>강동구</t>
  </si>
  <si>
    <t>강북구</t>
  </si>
  <si>
    <t>강서구</t>
  </si>
  <si>
    <t>관악구</t>
  </si>
  <si>
    <t>광진구</t>
  </si>
  <si>
    <t>구로구</t>
  </si>
  <si>
    <t>금천구</t>
  </si>
  <si>
    <t>노원구</t>
  </si>
  <si>
    <t>도봉구</t>
  </si>
  <si>
    <t>동대문구</t>
  </si>
  <si>
    <t>동작구</t>
  </si>
  <si>
    <t>마포구</t>
  </si>
  <si>
    <t>서대문구</t>
  </si>
  <si>
    <t>서초구</t>
  </si>
  <si>
    <t>성동구</t>
  </si>
  <si>
    <t>성북구</t>
  </si>
  <si>
    <t>송파구</t>
  </si>
  <si>
    <t>양천구</t>
  </si>
  <si>
    <t>영등포구</t>
  </si>
  <si>
    <t>용산구</t>
  </si>
  <si>
    <t>은평구</t>
  </si>
  <si>
    <t>종로구</t>
  </si>
  <si>
    <t>중구</t>
  </si>
  <si>
    <t>중랑구</t>
  </si>
  <si>
    <t>금정구</t>
  </si>
  <si>
    <t>남구</t>
  </si>
  <si>
    <t>동구</t>
  </si>
  <si>
    <t>동래구</t>
  </si>
  <si>
    <t>부산진구</t>
  </si>
  <si>
    <t>북구</t>
  </si>
  <si>
    <t>사상구</t>
  </si>
  <si>
    <t>사하구</t>
  </si>
  <si>
    <t>서구</t>
  </si>
  <si>
    <t>수영구</t>
  </si>
  <si>
    <t>연제구</t>
  </si>
  <si>
    <t>영도구</t>
  </si>
  <si>
    <t>해운대구</t>
  </si>
  <si>
    <t>달서구</t>
  </si>
  <si>
    <t>수성구</t>
  </si>
  <si>
    <t>계양구</t>
  </si>
  <si>
    <t>남동구</t>
  </si>
  <si>
    <t>부평구</t>
  </si>
  <si>
    <t>연수구</t>
  </si>
  <si>
    <t>광산구</t>
  </si>
  <si>
    <t>대덕구</t>
  </si>
  <si>
    <t>유성구</t>
  </si>
  <si>
    <t>서울특별시</t>
    <phoneticPr fontId="1" type="noConversion"/>
  </si>
  <si>
    <t>생활용</t>
    <phoneticPr fontId="1" type="noConversion"/>
  </si>
  <si>
    <t>농업용</t>
    <phoneticPr fontId="1" type="noConversion"/>
  </si>
  <si>
    <t>강수량 기준</t>
    <phoneticPr fontId="1" type="noConversion"/>
  </si>
  <si>
    <t>도시유형</t>
    <phoneticPr fontId="1" type="noConversion"/>
  </si>
  <si>
    <t>시군구</t>
    <phoneticPr fontId="1" type="noConversion"/>
  </si>
  <si>
    <t>시도</t>
    <phoneticPr fontId="1" type="noConversion"/>
  </si>
  <si>
    <t>지하수 이용량 산정 프로그램</t>
    <phoneticPr fontId="1" type="noConversion"/>
  </si>
  <si>
    <t>입력란</t>
    <phoneticPr fontId="1" type="noConversion"/>
  </si>
  <si>
    <t>구분</t>
    <phoneticPr fontId="16" type="noConversion"/>
  </si>
  <si>
    <t>도시지역유형</t>
  </si>
  <si>
    <t>도시지역</t>
  </si>
  <si>
    <t>농촌지역</t>
  </si>
  <si>
    <t>도농복합지역</t>
  </si>
  <si>
    <r>
      <t>일사용량(A)
(</t>
    </r>
    <r>
      <rPr>
        <b/>
        <sz val="12"/>
        <color rgb="FF000000"/>
        <rFont val="맑은 고딕"/>
        <family val="3"/>
        <charset val="129"/>
      </rPr>
      <t>㎥/일)</t>
    </r>
    <phoneticPr fontId="1" type="noConversion"/>
  </si>
  <si>
    <t>사용일수(B)
(일)</t>
    <phoneticPr fontId="16" type="noConversion"/>
  </si>
  <si>
    <r>
      <t>년사용량
(</t>
    </r>
    <r>
      <rPr>
        <b/>
        <sz val="12"/>
        <color rgb="FF000000"/>
        <rFont val="맑은 고딕"/>
        <family val="3"/>
        <charset val="129"/>
      </rPr>
      <t>㎥/년)</t>
    </r>
    <phoneticPr fontId="16" type="noConversion"/>
  </si>
  <si>
    <t>평균미만 지역</t>
  </si>
  <si>
    <t>평균초과 지역</t>
  </si>
  <si>
    <t>평균 강수지역</t>
  </si>
  <si>
    <r>
      <t>월사용량
(</t>
    </r>
    <r>
      <rPr>
        <b/>
        <sz val="12"/>
        <color rgb="FF000000"/>
        <rFont val="맑은 고딕"/>
        <family val="3"/>
        <charset val="129"/>
      </rPr>
      <t>㎥/월)</t>
    </r>
    <phoneticPr fontId="16" type="noConversion"/>
  </si>
  <si>
    <t>양수능력</t>
    <phoneticPr fontId="16" type="noConversion"/>
  </si>
  <si>
    <t>급수인구</t>
    <phoneticPr fontId="16" type="noConversion"/>
  </si>
  <si>
    <t>평균 사육두수 적용</t>
    <phoneticPr fontId="16" type="noConversion"/>
  </si>
  <si>
    <t>가정용/전작용</t>
    <phoneticPr fontId="16" type="noConversion"/>
  </si>
  <si>
    <t>가정용/답작용</t>
    <phoneticPr fontId="16" type="noConversion"/>
  </si>
  <si>
    <t>가정용/원예용</t>
    <phoneticPr fontId="16" type="noConversion"/>
  </si>
  <si>
    <t>가정용</t>
    <phoneticPr fontId="1" type="noConversion"/>
  </si>
  <si>
    <t>일반용</t>
    <phoneticPr fontId="1" type="noConversion"/>
  </si>
  <si>
    <t>학교용</t>
    <phoneticPr fontId="1" type="noConversion"/>
  </si>
  <si>
    <t>민방위용</t>
    <phoneticPr fontId="1" type="noConversion"/>
  </si>
  <si>
    <t>공동주택용</t>
    <phoneticPr fontId="1" type="noConversion"/>
  </si>
  <si>
    <t>마을상수도용</t>
    <phoneticPr fontId="1" type="noConversion"/>
  </si>
  <si>
    <r>
      <t>농업</t>
    </r>
    <r>
      <rPr>
        <sz val="11"/>
        <color rgb="FF000000"/>
        <rFont val="맑은 고딕"/>
        <family val="3"/>
        <charset val="129"/>
      </rPr>
      <t>∙생활겸용</t>
    </r>
    <phoneticPr fontId="1" type="noConversion"/>
  </si>
  <si>
    <t>전작용</t>
    <phoneticPr fontId="1" type="noConversion"/>
  </si>
  <si>
    <t>답작용</t>
    <phoneticPr fontId="1" type="noConversion"/>
  </si>
  <si>
    <t>원예용</t>
    <phoneticPr fontId="1" type="noConversion"/>
  </si>
  <si>
    <t>축산용(육우용)</t>
    <phoneticPr fontId="1" type="noConversion"/>
  </si>
  <si>
    <t>축산용(양돈용)</t>
    <phoneticPr fontId="1" type="noConversion"/>
  </si>
  <si>
    <t>축산용(양계용)</t>
    <phoneticPr fontId="1" type="noConversion"/>
  </si>
  <si>
    <t>∙ 평상시 사용하지 않을 경우 : 0
∙ 평상시 사용하는 경우 : 해당 용도의 기준에 
  따라 일사용량 산정</t>
    <phoneticPr fontId="16" type="noConversion"/>
  </si>
  <si>
    <t>∙ 각 용도별 산정기준에 따라 일사용량 계산후 합산</t>
    <phoneticPr fontId="16" type="noConversion"/>
  </si>
  <si>
    <t>100인 이하(자동계산)</t>
    <phoneticPr fontId="16" type="noConversion"/>
  </si>
  <si>
    <t>100인 초과(직접입력)</t>
    <phoneticPr fontId="16" type="noConversion"/>
  </si>
  <si>
    <t>사육두수 직접입력</t>
    <phoneticPr fontId="16" type="noConversion"/>
  </si>
  <si>
    <t>평균 급수인구 적용</t>
    <phoneticPr fontId="16" type="noConversion"/>
  </si>
  <si>
    <t>급수인구 직접입력</t>
    <phoneticPr fontId="16" type="noConversion"/>
  </si>
  <si>
    <t>-</t>
    <phoneticPr fontId="16" type="noConversion"/>
  </si>
  <si>
    <t>-</t>
    <phoneticPr fontId="16" type="noConversion"/>
  </si>
  <si>
    <t>경상북도</t>
    <phoneticPr fontId="1" type="noConversion"/>
  </si>
  <si>
    <t>전라남도</t>
    <phoneticPr fontId="1" type="noConversion"/>
  </si>
  <si>
    <t>축산용(육우용)</t>
    <phoneticPr fontId="16" type="noConversion"/>
  </si>
  <si>
    <t>축산용(양돈용)</t>
    <phoneticPr fontId="16" type="noConversion"/>
  </si>
  <si>
    <t>축산용(양계용)</t>
    <phoneticPr fontId="16" type="noConversion"/>
  </si>
  <si>
    <t>평균사육두수</t>
    <phoneticPr fontId="16" type="noConversion"/>
  </si>
  <si>
    <t>구분</t>
    <phoneticPr fontId="16" type="noConversion"/>
  </si>
  <si>
    <t>초기화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</si>
</sst>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0.000_ "/>
    <numFmt numFmtId="177" formatCode="0.00_ "/>
    <numFmt numFmtId="178" formatCode="_-* #,##0.00_-;\-* #,##0.00_-;_-* &quot;-&quot;_-;_-@_-"/>
    <numFmt numFmtId="179" formatCode="0.0_ "/>
    <numFmt numFmtId="180" formatCode="_-* #,##0.0_-;\-* #,##0.0_-;_-* &quot;-&quot;_-;_-@_-"/>
    <numFmt numFmtId="181" formatCode="#,##0_ "/>
  </numFmts>
  <fonts count="22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color indexed="8"/>
      <name val="맑은 고딕"/>
      <family val="3"/>
      <charset val="129"/>
    </font>
    <font>
      <sz val="10"/>
      <color indexed="8"/>
      <name val="굴림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굴림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9EDF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FEA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C9DBA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indexed="64"/>
      </bottom>
      <diagonal/>
    </border>
    <border>
      <left/>
      <right/>
      <top style="medium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/>
      <diagonal/>
    </border>
    <border>
      <left style="thin">
        <color indexed="64"/>
      </left>
      <right style="medium">
        <color theme="0"/>
      </right>
      <top/>
      <bottom/>
      <diagonal/>
    </border>
    <border>
      <left style="thin">
        <color indexed="64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95">
    <xf numFmtId="0" fontId="0" fillId="0" borderId="0" xfId="0">
      <alignment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176" fontId="6" fillId="0" borderId="2" xfId="0" applyNumberFormat="1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0" fontId="9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 wrapText="1"/>
    </xf>
    <xf numFmtId="0" fontId="0" fillId="0" borderId="0" xfId="0">
      <alignment vertical="center"/>
    </xf>
    <xf numFmtId="177" fontId="4" fillId="0" borderId="1" xfId="2" applyNumberForma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0" fontId="0" fillId="4" borderId="10" xfId="0" applyFill="1" applyBorder="1" applyProtection="1">
      <alignment vertical="center"/>
    </xf>
    <xf numFmtId="0" fontId="0" fillId="4" borderId="11" xfId="0" applyFill="1" applyBorder="1" applyProtection="1">
      <alignment vertical="center"/>
    </xf>
    <xf numFmtId="0" fontId="0" fillId="4" borderId="12" xfId="0" applyFill="1" applyBorder="1" applyProtection="1">
      <alignment vertical="center"/>
    </xf>
    <xf numFmtId="0" fontId="0" fillId="4" borderId="13" xfId="0" applyFill="1" applyBorder="1" applyProtection="1">
      <alignment vertical="center"/>
    </xf>
    <xf numFmtId="0" fontId="0" fillId="4" borderId="0" xfId="0" applyFill="1" applyBorder="1" applyProtection="1">
      <alignment vertical="center"/>
    </xf>
    <xf numFmtId="0" fontId="12" fillId="4" borderId="0" xfId="0" applyFont="1" applyFill="1" applyBorder="1" applyAlignment="1" applyProtection="1">
      <alignment horizontal="center" vertical="center"/>
    </xf>
    <xf numFmtId="0" fontId="0" fillId="4" borderId="3" xfId="0" applyFill="1" applyBorder="1" applyProtection="1">
      <alignment vertical="center"/>
    </xf>
    <xf numFmtId="0" fontId="13" fillId="4" borderId="14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center" vertical="center"/>
    </xf>
    <xf numFmtId="0" fontId="0" fillId="4" borderId="0" xfId="0" applyFill="1" applyProtection="1">
      <alignment vertical="center"/>
    </xf>
    <xf numFmtId="0" fontId="0" fillId="4" borderId="0" xfId="0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 wrapText="1"/>
    </xf>
    <xf numFmtId="0" fontId="7" fillId="4" borderId="0" xfId="0" applyFont="1" applyFill="1" applyBorder="1" applyAlignment="1" applyProtection="1">
      <alignment horizontal="center" vertical="center" wrapText="1"/>
    </xf>
    <xf numFmtId="0" fontId="9" fillId="7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Border="1" applyAlignment="1" applyProtection="1">
      <alignment horizontal="center" vertical="center" wrapText="1"/>
    </xf>
    <xf numFmtId="177" fontId="7" fillId="4" borderId="0" xfId="0" applyNumberFormat="1" applyFont="1" applyFill="1" applyBorder="1" applyAlignment="1" applyProtection="1">
      <alignment horizontal="center" vertical="center" wrapText="1"/>
    </xf>
    <xf numFmtId="176" fontId="7" fillId="4" borderId="0" xfId="0" applyNumberFormat="1" applyFont="1" applyFill="1" applyBorder="1" applyAlignment="1" applyProtection="1">
      <alignment horizontal="center" vertical="center" wrapText="1"/>
    </xf>
    <xf numFmtId="0" fontId="15" fillId="8" borderId="9" xfId="0" applyFont="1" applyFill="1" applyBorder="1" applyAlignment="1" applyProtection="1">
      <alignment horizontal="center" vertical="center" wrapText="1"/>
    </xf>
    <xf numFmtId="0" fontId="0" fillId="4" borderId="15" xfId="0" applyFill="1" applyBorder="1" applyProtection="1">
      <alignment vertical="center"/>
    </xf>
    <xf numFmtId="0" fontId="0" fillId="4" borderId="4" xfId="0" applyFill="1" applyBorder="1" applyProtection="1">
      <alignment vertical="center"/>
    </xf>
    <xf numFmtId="0" fontId="0" fillId="4" borderId="5" xfId="0" applyFill="1" applyBorder="1" applyProtection="1">
      <alignment vertical="center"/>
    </xf>
    <xf numFmtId="0" fontId="0" fillId="0" borderId="0" xfId="0" applyProtection="1">
      <alignment vertical="center"/>
      <protection locked="0"/>
    </xf>
    <xf numFmtId="0" fontId="14" fillId="4" borderId="0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right" vertical="center"/>
    </xf>
    <xf numFmtId="0" fontId="11" fillId="5" borderId="9" xfId="0" applyFont="1" applyFill="1" applyBorder="1" applyAlignment="1" applyProtection="1">
      <alignment horizontal="center" vertical="center"/>
    </xf>
    <xf numFmtId="179" fontId="0" fillId="0" borderId="0" xfId="0" applyNumberFormat="1">
      <alignment vertical="center"/>
    </xf>
    <xf numFmtId="180" fontId="15" fillId="8" borderId="9" xfId="1" applyNumberFormat="1" applyFont="1" applyFill="1" applyBorder="1" applyAlignment="1" applyProtection="1">
      <alignment horizontal="center" vertical="center" wrapText="1"/>
    </xf>
    <xf numFmtId="179" fontId="15" fillId="8" borderId="9" xfId="0" applyNumberFormat="1" applyFont="1" applyFill="1" applyBorder="1" applyAlignment="1" applyProtection="1">
      <alignment horizontal="center" vertical="center" wrapText="1"/>
    </xf>
    <xf numFmtId="0" fontId="9" fillId="7" borderId="9" xfId="0" applyFont="1" applyFill="1" applyBorder="1" applyAlignment="1" applyProtection="1">
      <alignment horizontal="center" vertical="center" wrapText="1"/>
      <protection locked="0"/>
    </xf>
    <xf numFmtId="0" fontId="9" fillId="6" borderId="9" xfId="0" applyFont="1" applyFill="1" applyBorder="1" applyAlignment="1" applyProtection="1">
      <alignment horizontal="center" vertical="center" wrapText="1"/>
      <protection locked="0"/>
    </xf>
    <xf numFmtId="0" fontId="18" fillId="7" borderId="9" xfId="0" applyFont="1" applyFill="1" applyBorder="1" applyAlignment="1" applyProtection="1">
      <alignment horizontal="center" vertical="center" wrapText="1"/>
    </xf>
    <xf numFmtId="0" fontId="18" fillId="4" borderId="0" xfId="0" applyFont="1" applyFill="1" applyBorder="1" applyAlignment="1" applyProtection="1">
      <alignment horizontal="center" vertical="center" wrapText="1"/>
    </xf>
    <xf numFmtId="0" fontId="18" fillId="6" borderId="9" xfId="0" applyFont="1" applyFill="1" applyBorder="1" applyAlignment="1" applyProtection="1">
      <alignment horizontal="center" vertical="center" wrapText="1"/>
    </xf>
    <xf numFmtId="0" fontId="15" fillId="0" borderId="27" xfId="0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177" fontId="15" fillId="0" borderId="27" xfId="0" applyNumberFormat="1" applyFont="1" applyFill="1" applyBorder="1" applyAlignment="1" applyProtection="1">
      <alignment horizontal="center" vertical="center" wrapText="1"/>
      <protection locked="0"/>
    </xf>
    <xf numFmtId="181" fontId="15" fillId="0" borderId="27" xfId="0" applyNumberFormat="1" applyFont="1" applyFill="1" applyBorder="1" applyAlignment="1" applyProtection="1">
      <alignment horizontal="center" vertical="center" wrapText="1"/>
      <protection locked="0"/>
    </xf>
    <xf numFmtId="0" fontId="11" fillId="9" borderId="9" xfId="0" applyFont="1" applyFill="1" applyBorder="1" applyAlignment="1" applyProtection="1">
      <alignment horizontal="center" vertical="center"/>
    </xf>
    <xf numFmtId="0" fontId="11" fillId="10" borderId="9" xfId="0" applyFont="1" applyFill="1" applyBorder="1" applyAlignment="1" applyProtection="1">
      <alignment horizontal="center" vertical="center"/>
    </xf>
    <xf numFmtId="0" fontId="9" fillId="6" borderId="9" xfId="0" applyFont="1" applyFill="1" applyBorder="1" applyAlignment="1" applyProtection="1">
      <alignment horizontal="center" vertical="center" wrapText="1"/>
    </xf>
    <xf numFmtId="176" fontId="15" fillId="10" borderId="9" xfId="0" applyNumberFormat="1" applyFont="1" applyFill="1" applyBorder="1" applyAlignment="1" applyProtection="1">
      <alignment horizontal="center" vertical="center" wrapText="1"/>
    </xf>
    <xf numFmtId="0" fontId="15" fillId="10" borderId="9" xfId="0" applyFont="1" applyFill="1" applyBorder="1" applyAlignment="1" applyProtection="1">
      <alignment horizontal="center" vertical="center" wrapText="1"/>
    </xf>
    <xf numFmtId="178" fontId="15" fillId="10" borderId="9" xfId="1" applyNumberFormat="1" applyFont="1" applyFill="1" applyBorder="1" applyAlignment="1" applyProtection="1">
      <alignment horizontal="center" vertical="center" wrapText="1"/>
    </xf>
    <xf numFmtId="176" fontId="15" fillId="11" borderId="9" xfId="0" applyNumberFormat="1" applyFont="1" applyFill="1" applyBorder="1" applyAlignment="1" applyProtection="1">
      <alignment horizontal="center" vertical="center" wrapText="1"/>
    </xf>
    <xf numFmtId="0" fontId="15" fillId="11" borderId="9" xfId="0" applyFont="1" applyFill="1" applyBorder="1" applyAlignment="1" applyProtection="1">
      <alignment horizontal="center" vertical="center" wrapText="1"/>
    </xf>
    <xf numFmtId="178" fontId="15" fillId="11" borderId="9" xfId="1" applyNumberFormat="1" applyFont="1" applyFill="1" applyBorder="1" applyAlignment="1" applyProtection="1">
      <alignment horizontal="center" vertical="center" wrapText="1"/>
    </xf>
    <xf numFmtId="0" fontId="12" fillId="4" borderId="24" xfId="0" applyFont="1" applyFill="1" applyBorder="1" applyAlignment="1" applyProtection="1">
      <alignment horizontal="center" vertical="center"/>
    </xf>
    <xf numFmtId="0" fontId="12" fillId="4" borderId="25" xfId="0" applyFont="1" applyFill="1" applyBorder="1" applyAlignment="1" applyProtection="1">
      <alignment horizontal="center" vertical="center"/>
    </xf>
    <xf numFmtId="0" fontId="12" fillId="4" borderId="26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 wrapText="1"/>
    </xf>
    <xf numFmtId="0" fontId="14" fillId="4" borderId="17" xfId="0" applyFont="1" applyFill="1" applyBorder="1" applyAlignment="1" applyProtection="1">
      <alignment horizontal="center" vertical="center" wrapText="1"/>
    </xf>
    <xf numFmtId="0" fontId="14" fillId="4" borderId="18" xfId="0" applyFont="1" applyFill="1" applyBorder="1" applyAlignment="1" applyProtection="1">
      <alignment horizontal="center" vertical="center" wrapText="1"/>
    </xf>
    <xf numFmtId="0" fontId="14" fillId="4" borderId="19" xfId="0" applyFont="1" applyFill="1" applyBorder="1" applyAlignment="1" applyProtection="1">
      <alignment horizontal="center" vertical="center" wrapText="1"/>
    </xf>
    <xf numFmtId="0" fontId="14" fillId="4" borderId="0" xfId="0" applyFont="1" applyFill="1" applyBorder="1" applyAlignment="1" applyProtection="1">
      <alignment horizontal="center" vertical="center" wrapText="1"/>
    </xf>
    <xf numFmtId="0" fontId="14" fillId="4" borderId="6" xfId="0" applyFont="1" applyFill="1" applyBorder="1" applyAlignment="1" applyProtection="1">
      <alignment horizontal="center" vertical="center" wrapText="1"/>
    </xf>
    <xf numFmtId="0" fontId="14" fillId="4" borderId="20" xfId="0" applyFont="1" applyFill="1" applyBorder="1" applyAlignment="1" applyProtection="1">
      <alignment horizontal="center" vertical="center" wrapText="1"/>
    </xf>
    <xf numFmtId="0" fontId="14" fillId="4" borderId="7" xfId="0" applyFont="1" applyFill="1" applyBorder="1" applyAlignment="1" applyProtection="1">
      <alignment horizontal="center" vertical="center" wrapText="1"/>
    </xf>
    <xf numFmtId="0" fontId="14" fillId="4" borderId="8" xfId="0" applyFont="1" applyFill="1" applyBorder="1" applyAlignment="1" applyProtection="1">
      <alignment horizontal="center" vertical="center" wrapText="1"/>
    </xf>
    <xf numFmtId="0" fontId="14" fillId="4" borderId="21" xfId="0" applyFont="1" applyFill="1" applyBorder="1" applyAlignment="1" applyProtection="1">
      <alignment horizontal="center" vertical="center" wrapText="1"/>
    </xf>
    <xf numFmtId="0" fontId="14" fillId="4" borderId="22" xfId="0" applyFont="1" applyFill="1" applyBorder="1" applyAlignment="1" applyProtection="1">
      <alignment horizontal="center" vertical="center" wrapText="1"/>
    </xf>
    <xf numFmtId="0" fontId="14" fillId="4" borderId="23" xfId="0" applyFont="1" applyFill="1" applyBorder="1" applyAlignment="1" applyProtection="1">
      <alignment horizontal="center" vertical="center" wrapText="1"/>
    </xf>
    <xf numFmtId="0" fontId="13" fillId="4" borderId="32" xfId="0" applyFont="1" applyFill="1" applyBorder="1" applyAlignment="1" applyProtection="1">
      <alignment horizontal="center" vertical="center"/>
    </xf>
    <xf numFmtId="0" fontId="13" fillId="4" borderId="33" xfId="0" applyFont="1" applyFill="1" applyBorder="1" applyAlignment="1" applyProtection="1">
      <alignment horizontal="center" vertical="center"/>
    </xf>
    <xf numFmtId="0" fontId="13" fillId="4" borderId="34" xfId="0" applyFont="1" applyFill="1" applyBorder="1" applyAlignment="1" applyProtection="1">
      <alignment horizontal="center" vertical="center"/>
    </xf>
    <xf numFmtId="0" fontId="21" fillId="7" borderId="27" xfId="0" applyFont="1" applyFill="1" applyBorder="1" applyAlignment="1" applyProtection="1">
      <alignment horizontal="left" vertical="center" wrapText="1"/>
    </xf>
    <xf numFmtId="0" fontId="21" fillId="7" borderId="28" xfId="0" applyFont="1" applyFill="1" applyBorder="1" applyAlignment="1" applyProtection="1">
      <alignment horizontal="left" vertical="center" wrapText="1"/>
    </xf>
    <xf numFmtId="0" fontId="20" fillId="7" borderId="27" xfId="0" applyFont="1" applyFill="1" applyBorder="1" applyAlignment="1" applyProtection="1">
      <alignment horizontal="left" vertical="center" wrapText="1"/>
    </xf>
    <xf numFmtId="0" fontId="14" fillId="6" borderId="29" xfId="0" applyFont="1" applyFill="1" applyBorder="1" applyAlignment="1" applyProtection="1">
      <alignment horizontal="center" vertical="center" wrapText="1"/>
    </xf>
    <xf numFmtId="0" fontId="14" fillId="6" borderId="30" xfId="0" applyFont="1" applyFill="1" applyBorder="1" applyAlignment="1" applyProtection="1">
      <alignment horizontal="center" vertical="center" wrapText="1"/>
    </xf>
    <xf numFmtId="0" fontId="14" fillId="7" borderId="29" xfId="0" applyFont="1" applyFill="1" applyBorder="1" applyAlignment="1" applyProtection="1">
      <alignment horizontal="center" vertical="center" wrapText="1"/>
    </xf>
    <xf numFmtId="0" fontId="14" fillId="7" borderId="30" xfId="0" applyFont="1" applyFill="1" applyBorder="1" applyAlignment="1" applyProtection="1">
      <alignment horizontal="center" vertical="center" wrapText="1"/>
    </xf>
    <xf numFmtId="0" fontId="14" fillId="7" borderId="31" xfId="0" applyFont="1" applyFill="1" applyBorder="1" applyAlignment="1" applyProtection="1">
      <alignment horizontal="center" vertical="center" wrapText="1"/>
    </xf>
  </cellXfs>
  <cellStyles count="3">
    <cellStyle name="Comma [0]" xfId="1" builtinId="6"/>
    <cellStyle name="Normal" xfId="0" builtinId="0"/>
    <cellStyle name="표준 2" xfId="2" xr:uid="{00000000-0005-0000-0000-000002000000}"/>
  </cellStyles>
  <dxfs count="0"/>
  <tableStyles count="0" defaultTableStyle="TableStyleMedium9" defaultPivotStyle="PivotStyleLight16"/>
  <colors>
    <mruColors>
      <color rgb="FFDFEACC"/>
      <color rgb="FFC9DBA5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16" fmlaLink="$G$21" fmlaRange="'공동주택용 계산'!$A$2:$A$3" sel="2" val="0"/>
</file>

<file path=xl/ctrlProps/ctrlProp2.xml><?xml version="1.0" encoding="utf-8"?>
<formControlPr xmlns="http://schemas.microsoft.com/office/spreadsheetml/2009/9/main" objectType="Drop" dropStyle="combo" dx="16" fmlaLink="$G$17" fmlaRange="'학교용 계산'!$A$2:$A$3" sel="2" val="0"/>
</file>

<file path=xl/ctrlProps/ctrlProp3.xml><?xml version="1.0" encoding="utf-8"?>
<formControlPr xmlns="http://schemas.microsoft.com/office/spreadsheetml/2009/9/main" objectType="Drop" dropStyle="combo" dx="16" fmlaLink="$G$13" fmlaRange="'가정용 계산'!$A$2:$A$3" sel="1" val="0"/>
</file>

<file path=xl/ctrlProps/ctrlProp4.xml><?xml version="1.0" encoding="utf-8"?>
<formControlPr xmlns="http://schemas.microsoft.com/office/spreadsheetml/2009/9/main" objectType="Drop" dropStyle="combo" dx="16" fmlaLink="$G$33" fmlaRange="'축산용 계산'!$C$2:$C$3" sel="2" val="0"/>
</file>

<file path=xl/ctrlProps/ctrlProp5.xml><?xml version="1.0" encoding="utf-8"?>
<formControlPr xmlns="http://schemas.microsoft.com/office/spreadsheetml/2009/9/main" objectType="Drop" dropStyle="combo" dx="16" fmlaLink="$G$35" fmlaRange="'축산용 계산'!$C$2:$C$3" sel="2" val="0"/>
</file>

<file path=xl/ctrlProps/ctrlProp6.xml><?xml version="1.0" encoding="utf-8"?>
<formControlPr xmlns="http://schemas.microsoft.com/office/spreadsheetml/2009/9/main" objectType="Drop" dropStyle="combo" dx="16" fmlaLink="$G$37" fmlaRange="'축산용 계산'!$C$2:$C$3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6</xdr:row>
      <xdr:rowOff>0</xdr:rowOff>
    </xdr:from>
    <xdr:to>
      <xdr:col>16</xdr:col>
      <xdr:colOff>438150</xdr:colOff>
      <xdr:row>7</xdr:row>
      <xdr:rowOff>9525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82000" y="1381125"/>
          <a:ext cx="438150" cy="257175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ko-KR" altLang="en-US"/>
        </a:p>
      </xdr:txBody>
    </xdr:sp>
    <xdr:clientData/>
  </xdr:twoCellAnchor>
  <xdr:twoCellAnchor>
    <xdr:from>
      <xdr:col>14</xdr:col>
      <xdr:colOff>676275</xdr:colOff>
      <xdr:row>4</xdr:row>
      <xdr:rowOff>0</xdr:rowOff>
    </xdr:from>
    <xdr:to>
      <xdr:col>15</xdr:col>
      <xdr:colOff>19050</xdr:colOff>
      <xdr:row>7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848600" y="1076325"/>
          <a:ext cx="314325" cy="666750"/>
        </a:xfrm>
        <a:prstGeom prst="rect">
          <a:avLst/>
        </a:prstGeom>
        <a:solidFill>
          <a:sysClr val="window" lastClr="FFFFFF"/>
        </a:solidFill>
        <a:ln w="12700"/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 b="1">
              <a:solidFill>
                <a:sysClr val="windowText" lastClr="000000"/>
              </a:solidFill>
            </a:rPr>
            <a:t>범례</a:t>
          </a:r>
        </a:p>
      </xdr:txBody>
    </xdr:sp>
    <xdr:clientData/>
  </xdr:twoCellAnchor>
  <xdr:twoCellAnchor>
    <xdr:from>
      <xdr:col>14</xdr:col>
      <xdr:colOff>666750</xdr:colOff>
      <xdr:row>4</xdr:row>
      <xdr:rowOff>9525</xdr:rowOff>
    </xdr:from>
    <xdr:to>
      <xdr:col>17</xdr:col>
      <xdr:colOff>9525</xdr:colOff>
      <xdr:row>7</xdr:row>
      <xdr:rowOff>9525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8010525" y="1085850"/>
          <a:ext cx="1295400" cy="552450"/>
          <a:chOff x="7839075" y="1085850"/>
          <a:chExt cx="1295400" cy="666750"/>
        </a:xfrm>
      </xdr:grpSpPr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8658225" y="1438275"/>
            <a:ext cx="466725" cy="31432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31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endParaRPr lang="ko-KR" altLang="en-US"/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8220075" y="1438275"/>
            <a:ext cx="914400" cy="314325"/>
          </a:xfrm>
          <a:prstGeom prst="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1">
                <a:solidFill>
                  <a:sysClr val="windowText" lastClr="000000"/>
                </a:solidFill>
              </a:rPr>
              <a:t>자동계산</a:t>
            </a:r>
          </a:p>
        </xdr:txBody>
      </xdr:sp>
      <xdr:sp macro="" textlink="">
        <xdr:nvSpPr>
          <xdr:cNvPr id="7" name="직사각형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7839075" y="1085850"/>
            <a:ext cx="314325" cy="666750"/>
          </a:xfrm>
          <a:prstGeom prst="rect">
            <a:avLst/>
          </a:prstGeom>
          <a:solidFill>
            <a:sysClr val="window" lastClr="FFFFFF"/>
          </a:solidFill>
          <a:ln w="12700">
            <a:solidFill>
              <a:schemeClr val="bg1"/>
            </a:solidFill>
          </a:ln>
          <a:scene3d>
            <a:camera prst="orthographicFront"/>
            <a:lightRig rig="threePt" dir="t"/>
          </a:scene3d>
          <a:sp3d>
            <a:bevelT w="152400" h="50800" prst="softRound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ko-KR" altLang="en-US" sz="1100" b="1">
                <a:solidFill>
                  <a:sysClr val="windowText" lastClr="000000"/>
                </a:solidFill>
              </a:rPr>
              <a:t>범례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16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12</xdr:row>
          <xdr:rowOff>0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6</xdr:row>
          <xdr:rowOff>9525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6</xdr:row>
          <xdr:rowOff>9525</xdr:rowOff>
        </xdr:from>
        <xdr:to>
          <xdr:col>13</xdr:col>
          <xdr:colOff>19050</xdr:colOff>
          <xdr:row>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수동입력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0"/>
  <sheetViews>
    <sheetView tabSelected="1" workbookViewId="0">
      <selection activeCell="W18" sqref="W18"/>
    </sheetView>
  </sheetViews>
  <sheetFormatPr defaultRowHeight="16.5" x14ac:dyDescent="0.3"/>
  <cols>
    <col min="1" max="1" width="1.625" style="39" customWidth="1"/>
    <col min="2" max="2" width="3.25" style="39" customWidth="1"/>
    <col min="3" max="3" width="11" style="39" customWidth="1"/>
    <col min="4" max="4" width="0.875" style="39" customWidth="1"/>
    <col min="5" max="5" width="14.375" style="39" customWidth="1"/>
    <col min="6" max="6" width="0.875" style="39" customWidth="1"/>
    <col min="7" max="7" width="19.5" style="39" customWidth="1"/>
    <col min="8" max="8" width="0.875" style="39" customWidth="1"/>
    <col min="9" max="9" width="14.875" style="39" customWidth="1"/>
    <col min="10" max="10" width="0.875" style="39" customWidth="1"/>
    <col min="11" max="11" width="13.375" style="39" customWidth="1"/>
    <col min="12" max="12" width="0.875" style="39" customWidth="1"/>
    <col min="13" max="13" width="13.125" style="39" customWidth="1"/>
    <col min="14" max="14" width="0.875" style="39" customWidth="1"/>
    <col min="15" max="15" width="12.75" style="39" customWidth="1"/>
    <col min="16" max="16" width="0.875" style="39" customWidth="1"/>
    <col min="17" max="17" width="12" style="39" customWidth="1"/>
    <col min="18" max="18" width="3.5" style="39" customWidth="1"/>
    <col min="19" max="19" width="2.5" style="39" customWidth="1"/>
    <col min="20" max="16384" width="9" style="39"/>
  </cols>
  <sheetData>
    <row r="1" spans="1:19" ht="9.9499999999999993" customHeight="1" thickBot="1" x14ac:dyDescent="0.3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 ht="17.25" thickBot="1" x14ac:dyDescent="0.35">
      <c r="A2" s="13"/>
      <c r="B2" s="18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  <c r="S2" s="13"/>
    </row>
    <row r="3" spans="1:19" ht="33.75" customHeight="1" thickBot="1" x14ac:dyDescent="0.35">
      <c r="A3" s="13"/>
      <c r="B3" s="21"/>
      <c r="C3" s="22"/>
      <c r="D3" s="22"/>
      <c r="E3" s="69" t="s">
        <v>279</v>
      </c>
      <c r="F3" s="70"/>
      <c r="G3" s="70"/>
      <c r="H3" s="70"/>
      <c r="I3" s="70"/>
      <c r="J3" s="70"/>
      <c r="K3" s="70"/>
      <c r="L3" s="70"/>
      <c r="M3" s="70"/>
      <c r="N3" s="70"/>
      <c r="O3" s="71"/>
      <c r="P3" s="23"/>
      <c r="Q3" s="22"/>
      <c r="R3" s="24"/>
      <c r="S3" s="13"/>
    </row>
    <row r="4" spans="1:19" ht="24" customHeight="1" x14ac:dyDescent="0.3">
      <c r="A4" s="13"/>
      <c r="B4" s="21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4"/>
      <c r="S4" s="13"/>
    </row>
    <row r="5" spans="1:19" ht="20.100000000000001" customHeight="1" thickBot="1" x14ac:dyDescent="0.35">
      <c r="A5" s="13"/>
      <c r="B5" s="21"/>
      <c r="C5" s="25" t="s">
        <v>278</v>
      </c>
      <c r="D5" s="26"/>
      <c r="E5" s="25" t="s">
        <v>277</v>
      </c>
      <c r="F5" s="26"/>
      <c r="G5" s="25" t="s">
        <v>276</v>
      </c>
      <c r="H5" s="26"/>
      <c r="I5" s="25" t="s">
        <v>275</v>
      </c>
      <c r="J5" s="26"/>
      <c r="K5" s="84" t="s">
        <v>328</v>
      </c>
      <c r="L5" s="85"/>
      <c r="M5" s="86"/>
      <c r="N5" s="22"/>
      <c r="O5" s="27"/>
      <c r="P5" s="22"/>
      <c r="Q5" s="42" t="s">
        <v>280</v>
      </c>
      <c r="R5" s="24"/>
      <c r="S5" s="13"/>
    </row>
    <row r="6" spans="1:19" ht="5.0999999999999996" customHeight="1" x14ac:dyDescent="0.3">
      <c r="A6" s="13"/>
      <c r="B6" s="21"/>
      <c r="C6" s="26"/>
      <c r="D6" s="26"/>
      <c r="E6" s="26"/>
      <c r="F6" s="26"/>
      <c r="G6" s="26"/>
      <c r="H6" s="26"/>
      <c r="I6" s="22"/>
      <c r="J6" s="22"/>
      <c r="K6" s="22"/>
      <c r="L6" s="22"/>
      <c r="M6" s="22"/>
      <c r="N6" s="22"/>
      <c r="O6" s="22"/>
      <c r="P6" s="22"/>
      <c r="Q6" s="22"/>
      <c r="R6" s="24"/>
      <c r="S6" s="13"/>
    </row>
    <row r="7" spans="1:19" ht="20.100000000000001" customHeight="1" thickBot="1" x14ac:dyDescent="0.35">
      <c r="A7" s="13"/>
      <c r="B7" s="21"/>
      <c r="C7" s="17" t="s">
        <v>80</v>
      </c>
      <c r="D7" s="26"/>
      <c r="E7" s="17" t="s">
        <v>86</v>
      </c>
      <c r="F7" s="28"/>
      <c r="G7" s="60" t="str">
        <f t="array" ref="G7">INDEX(산정기준표!$C$2:$C$229,MATCH(C7&amp;E7,산정기준표!$A$2:$A$229&amp;산정기준표!$B$2:$B$229,0))</f>
        <v>도농복합지역</v>
      </c>
      <c r="H7" s="28"/>
      <c r="I7" s="61" t="str">
        <f t="array" ref="I7">INDEX(산정기준표!$D$2:$D$229,MATCH(C7&amp;E7,산정기준표!$A$2:$A$229&amp;산정기준표!$B$2:$B$229,0))</f>
        <v>평균미만 지역</v>
      </c>
      <c r="J7" s="28"/>
      <c r="K7" s="22"/>
      <c r="L7" s="22"/>
      <c r="M7" s="22"/>
      <c r="N7" s="22"/>
      <c r="O7" s="22"/>
      <c r="P7" s="22"/>
      <c r="Q7" s="22"/>
      <c r="R7" s="24"/>
      <c r="S7" s="13"/>
    </row>
    <row r="8" spans="1:19" ht="20.100000000000001" customHeight="1" x14ac:dyDescent="0.3">
      <c r="A8" s="13"/>
      <c r="B8" s="21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4"/>
      <c r="S8" s="13"/>
    </row>
    <row r="9" spans="1:19" ht="20.100000000000001" customHeight="1" x14ac:dyDescent="0.3">
      <c r="A9" s="13"/>
      <c r="B9" s="21"/>
      <c r="C9" s="72" t="s">
        <v>2</v>
      </c>
      <c r="D9" s="73"/>
      <c r="E9" s="74"/>
      <c r="F9" s="40"/>
      <c r="G9" s="72" t="s">
        <v>0</v>
      </c>
      <c r="H9" s="73"/>
      <c r="I9" s="74"/>
      <c r="J9" s="40"/>
      <c r="K9" s="81" t="s">
        <v>286</v>
      </c>
      <c r="L9" s="40"/>
      <c r="M9" s="81" t="s">
        <v>287</v>
      </c>
      <c r="N9" s="40"/>
      <c r="O9" s="81" t="s">
        <v>288</v>
      </c>
      <c r="P9" s="40"/>
      <c r="Q9" s="81" t="s">
        <v>292</v>
      </c>
      <c r="R9" s="24"/>
      <c r="S9" s="13"/>
    </row>
    <row r="10" spans="1:19" ht="5.0999999999999996" customHeight="1" x14ac:dyDescent="0.3">
      <c r="A10" s="13"/>
      <c r="B10" s="21"/>
      <c r="C10" s="75"/>
      <c r="D10" s="76"/>
      <c r="E10" s="77"/>
      <c r="F10" s="40"/>
      <c r="G10" s="75"/>
      <c r="H10" s="76"/>
      <c r="I10" s="77"/>
      <c r="J10" s="40"/>
      <c r="K10" s="82"/>
      <c r="L10" s="40"/>
      <c r="M10" s="82"/>
      <c r="N10" s="40"/>
      <c r="O10" s="82"/>
      <c r="P10" s="40"/>
      <c r="Q10" s="82"/>
      <c r="R10" s="24"/>
      <c r="S10" s="13"/>
    </row>
    <row r="11" spans="1:19" ht="20.100000000000001" customHeight="1" x14ac:dyDescent="0.3">
      <c r="A11" s="13"/>
      <c r="B11" s="21"/>
      <c r="C11" s="78"/>
      <c r="D11" s="79"/>
      <c r="E11" s="80"/>
      <c r="F11" s="40"/>
      <c r="G11" s="78"/>
      <c r="H11" s="79"/>
      <c r="I11" s="80"/>
      <c r="J11" s="40"/>
      <c r="K11" s="83"/>
      <c r="L11" s="40"/>
      <c r="M11" s="83"/>
      <c r="N11" s="40"/>
      <c r="O11" s="83"/>
      <c r="P11" s="40"/>
      <c r="Q11" s="83"/>
      <c r="R11" s="24"/>
      <c r="S11" s="13"/>
    </row>
    <row r="12" spans="1:19" ht="5.0999999999999996" customHeight="1" x14ac:dyDescent="0.3">
      <c r="A12" s="13"/>
      <c r="B12" s="21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24"/>
      <c r="S12" s="13"/>
    </row>
    <row r="13" spans="1:19" ht="20.100000000000001" customHeight="1" thickBot="1" x14ac:dyDescent="0.35">
      <c r="A13" s="13"/>
      <c r="B13" s="21"/>
      <c r="C13" s="92" t="s">
        <v>273</v>
      </c>
      <c r="D13" s="29"/>
      <c r="E13" s="48" t="s">
        <v>299</v>
      </c>
      <c r="F13" s="30"/>
      <c r="G13" s="46">
        <v>1</v>
      </c>
      <c r="H13" s="32"/>
      <c r="I13" s="58">
        <v>2.52</v>
      </c>
      <c r="J13" s="33"/>
      <c r="K13" s="66">
        <f>IF(산정표!I13="","-",IF(산정표!G7="도시지역",0.173+(산정표!I13*0.21),IF(산정표!G7="도농복합지역",0.173+(산정표!I13*0.21),IF(산정표!G7="농촌지역",0.265+(산정표!I13*0.181),0))))</f>
        <v>0.70219999999999994</v>
      </c>
      <c r="L13" s="34"/>
      <c r="M13" s="67">
        <v>365</v>
      </c>
      <c r="N13" s="30"/>
      <c r="O13" s="68">
        <f>IF(K13="-","-",K13*M13)</f>
        <v>256.303</v>
      </c>
      <c r="P13" s="34"/>
      <c r="Q13" s="68">
        <f>IF(O13="-","-",O13/12)</f>
        <v>21.358583333333332</v>
      </c>
      <c r="R13" s="24"/>
      <c r="S13" s="13"/>
    </row>
    <row r="14" spans="1:19" ht="5.0999999999999996" customHeight="1" x14ac:dyDescent="0.3">
      <c r="A14" s="13"/>
      <c r="B14" s="21"/>
      <c r="C14" s="93"/>
      <c r="D14" s="29"/>
      <c r="E14" s="49"/>
      <c r="F14" s="30"/>
      <c r="G14" s="32"/>
      <c r="H14" s="32"/>
      <c r="I14" s="33"/>
      <c r="J14" s="33"/>
      <c r="K14" s="34"/>
      <c r="L14" s="34"/>
      <c r="M14" s="30"/>
      <c r="N14" s="30"/>
      <c r="O14" s="34"/>
      <c r="P14" s="34"/>
      <c r="Q14" s="34"/>
      <c r="R14" s="24"/>
      <c r="S14" s="13"/>
    </row>
    <row r="15" spans="1:19" ht="20.100000000000001" customHeight="1" thickBot="1" x14ac:dyDescent="0.35">
      <c r="A15" s="13"/>
      <c r="B15" s="21"/>
      <c r="C15" s="93"/>
      <c r="D15" s="29"/>
      <c r="E15" s="48" t="s">
        <v>300</v>
      </c>
      <c r="F15" s="30"/>
      <c r="G15" s="31" t="s">
        <v>293</v>
      </c>
      <c r="H15" s="32"/>
      <c r="I15" s="51"/>
      <c r="J15" s="30"/>
      <c r="K15" s="66" t="str">
        <f>IF(I15="","-",IF(G7="도시지역",2.119+(I15*0.021),IF(G7="도농복합지역",3.154+(I15*0.023),IF(G7="농촌지역",3.521+(I15*0.011),0))))</f>
        <v>-</v>
      </c>
      <c r="L15" s="34"/>
      <c r="M15" s="67">
        <v>365</v>
      </c>
      <c r="N15" s="30"/>
      <c r="O15" s="68" t="str">
        <f t="shared" ref="O15:O37" si="0">IF(K15="-","-",K15*M15)</f>
        <v>-</v>
      </c>
      <c r="P15" s="34"/>
      <c r="Q15" s="68" t="str">
        <f t="shared" ref="Q15:Q37" si="1">IF(O15="-","-",O15/12)</f>
        <v>-</v>
      </c>
      <c r="R15" s="24"/>
      <c r="S15" s="13"/>
    </row>
    <row r="16" spans="1:19" ht="5.0999999999999996" customHeight="1" x14ac:dyDescent="0.3">
      <c r="A16" s="13"/>
      <c r="B16" s="21"/>
      <c r="C16" s="93"/>
      <c r="D16" s="29"/>
      <c r="E16" s="49"/>
      <c r="F16" s="30"/>
      <c r="G16" s="32"/>
      <c r="H16" s="32"/>
      <c r="I16" s="30"/>
      <c r="J16" s="30"/>
      <c r="K16" s="34"/>
      <c r="L16" s="34"/>
      <c r="M16" s="30"/>
      <c r="N16" s="30"/>
      <c r="O16" s="34"/>
      <c r="P16" s="34"/>
      <c r="Q16" s="34"/>
      <c r="R16" s="24"/>
      <c r="S16" s="13"/>
    </row>
    <row r="17" spans="1:19" ht="20.100000000000001" customHeight="1" thickBot="1" x14ac:dyDescent="0.35">
      <c r="A17" s="13"/>
      <c r="B17" s="21"/>
      <c r="C17" s="93"/>
      <c r="D17" s="29"/>
      <c r="E17" s="48" t="s">
        <v>301</v>
      </c>
      <c r="F17" s="30"/>
      <c r="G17" s="46">
        <v>2</v>
      </c>
      <c r="H17" s="32"/>
      <c r="I17" s="51"/>
      <c r="J17" s="30"/>
      <c r="K17" s="66" t="str">
        <f>IF(G17=1,'학교용 계산'!B2,IF(I17&gt;100,'학교용 계산'!B3,"-"))</f>
        <v>-</v>
      </c>
      <c r="L17" s="34"/>
      <c r="M17" s="67">
        <v>365</v>
      </c>
      <c r="N17" s="30"/>
      <c r="O17" s="68" t="str">
        <f t="shared" si="0"/>
        <v>-</v>
      </c>
      <c r="P17" s="34"/>
      <c r="Q17" s="68" t="str">
        <f t="shared" si="1"/>
        <v>-</v>
      </c>
      <c r="R17" s="24"/>
      <c r="S17" s="13"/>
    </row>
    <row r="18" spans="1:19" ht="5.0999999999999996" customHeight="1" x14ac:dyDescent="0.3">
      <c r="A18" s="13"/>
      <c r="B18" s="21"/>
      <c r="C18" s="93"/>
      <c r="D18" s="29"/>
      <c r="E18" s="49"/>
      <c r="F18" s="30"/>
      <c r="G18" s="32"/>
      <c r="H18" s="32"/>
      <c r="I18" s="30"/>
      <c r="J18" s="30"/>
      <c r="K18" s="34"/>
      <c r="L18" s="34"/>
      <c r="M18" s="30"/>
      <c r="N18" s="30"/>
      <c r="O18" s="34"/>
      <c r="P18" s="34"/>
      <c r="Q18" s="34"/>
      <c r="R18" s="24"/>
      <c r="S18" s="13"/>
    </row>
    <row r="19" spans="1:19" ht="39.950000000000003" customHeight="1" thickBot="1" x14ac:dyDescent="0.35">
      <c r="A19" s="13"/>
      <c r="B19" s="21"/>
      <c r="C19" s="93"/>
      <c r="D19" s="29"/>
      <c r="E19" s="48" t="s">
        <v>302</v>
      </c>
      <c r="F19" s="30"/>
      <c r="G19" s="89" t="s">
        <v>312</v>
      </c>
      <c r="H19" s="88"/>
      <c r="I19" s="88"/>
      <c r="J19" s="30"/>
      <c r="K19" s="66" t="str">
        <f>IF(I19="","-",I19)</f>
        <v>-</v>
      </c>
      <c r="L19" s="34"/>
      <c r="M19" s="67" t="s">
        <v>319</v>
      </c>
      <c r="N19" s="30"/>
      <c r="O19" s="68" t="str">
        <f t="shared" si="0"/>
        <v>-</v>
      </c>
      <c r="P19" s="34"/>
      <c r="Q19" s="68" t="str">
        <f t="shared" si="1"/>
        <v>-</v>
      </c>
      <c r="R19" s="24"/>
      <c r="S19" s="13"/>
    </row>
    <row r="20" spans="1:19" ht="5.0999999999999996" customHeight="1" x14ac:dyDescent="0.3">
      <c r="A20" s="13"/>
      <c r="B20" s="21"/>
      <c r="C20" s="93"/>
      <c r="D20" s="29"/>
      <c r="E20" s="49"/>
      <c r="F20" s="30"/>
      <c r="G20" s="32"/>
      <c r="H20" s="32"/>
      <c r="I20" s="30"/>
      <c r="J20" s="30"/>
      <c r="K20" s="34"/>
      <c r="L20" s="34"/>
      <c r="M20" s="30"/>
      <c r="N20" s="30"/>
      <c r="O20" s="34"/>
      <c r="P20" s="34"/>
      <c r="Q20" s="34"/>
      <c r="R20" s="24"/>
      <c r="S20" s="13"/>
    </row>
    <row r="21" spans="1:19" ht="20.100000000000001" customHeight="1" thickBot="1" x14ac:dyDescent="0.35">
      <c r="A21" s="13"/>
      <c r="B21" s="21"/>
      <c r="C21" s="93"/>
      <c r="D21" s="29"/>
      <c r="E21" s="48" t="s">
        <v>303</v>
      </c>
      <c r="F21" s="30"/>
      <c r="G21" s="46">
        <v>2</v>
      </c>
      <c r="H21" s="32"/>
      <c r="I21" s="51"/>
      <c r="J21" s="30"/>
      <c r="K21" s="66" t="str">
        <f>IF(G21=1,'공동주택용 계산'!B2,IF(I21&gt;100,'공동주택용 계산'!B3,"-"))</f>
        <v>-</v>
      </c>
      <c r="L21" s="34"/>
      <c r="M21" s="67">
        <v>365</v>
      </c>
      <c r="N21" s="30"/>
      <c r="O21" s="68" t="str">
        <f t="shared" si="0"/>
        <v>-</v>
      </c>
      <c r="P21" s="34"/>
      <c r="Q21" s="68" t="str">
        <f t="shared" si="1"/>
        <v>-</v>
      </c>
      <c r="R21" s="24"/>
      <c r="S21" s="13"/>
    </row>
    <row r="22" spans="1:19" ht="5.0999999999999996" customHeight="1" x14ac:dyDescent="0.3">
      <c r="A22" s="13"/>
      <c r="B22" s="21"/>
      <c r="C22" s="93"/>
      <c r="D22" s="29"/>
      <c r="E22" s="49"/>
      <c r="F22" s="30"/>
      <c r="G22" s="32"/>
      <c r="H22" s="32"/>
      <c r="I22" s="30"/>
      <c r="J22" s="30"/>
      <c r="K22" s="34"/>
      <c r="L22" s="34"/>
      <c r="M22" s="30"/>
      <c r="N22" s="30"/>
      <c r="O22" s="34"/>
      <c r="P22" s="34"/>
      <c r="Q22" s="34"/>
      <c r="R22" s="24"/>
      <c r="S22" s="13"/>
    </row>
    <row r="23" spans="1:19" ht="20.100000000000001" customHeight="1" thickBot="1" x14ac:dyDescent="0.35">
      <c r="A23" s="13"/>
      <c r="B23" s="21"/>
      <c r="C23" s="93"/>
      <c r="D23" s="29"/>
      <c r="E23" s="48" t="s">
        <v>304</v>
      </c>
      <c r="F23" s="30"/>
      <c r="G23" s="31" t="s">
        <v>294</v>
      </c>
      <c r="H23" s="32"/>
      <c r="I23" s="51"/>
      <c r="J23" s="30"/>
      <c r="K23" s="66" t="str">
        <f>IF(I23="","-",IF(G7="도시지역",6.463+(I23*0.178),IF(G7="도농복합지역",6.463+(I23*0.178),IF(G7="농촌지역",11.726+(I23*0.025),0))))</f>
        <v>-</v>
      </c>
      <c r="L23" s="34"/>
      <c r="M23" s="67">
        <v>365</v>
      </c>
      <c r="N23" s="30"/>
      <c r="O23" s="68" t="str">
        <f t="shared" ref="O23" si="2">IF(K23="-","-",K23*M23)</f>
        <v>-</v>
      </c>
      <c r="P23" s="34"/>
      <c r="Q23" s="68" t="str">
        <f t="shared" ref="Q23" si="3">IF(O23="-","-",O23/12)</f>
        <v>-</v>
      </c>
      <c r="R23" s="24"/>
      <c r="S23" s="13"/>
    </row>
    <row r="24" spans="1:19" ht="5.0999999999999996" customHeight="1" x14ac:dyDescent="0.3">
      <c r="A24" s="13"/>
      <c r="B24" s="21"/>
      <c r="C24" s="93"/>
      <c r="D24" s="29"/>
      <c r="E24" s="49"/>
      <c r="F24" s="30"/>
      <c r="G24" s="32"/>
      <c r="H24" s="32"/>
      <c r="I24" s="30"/>
      <c r="J24" s="30"/>
      <c r="K24" s="34"/>
      <c r="L24" s="34"/>
      <c r="M24" s="30"/>
      <c r="N24" s="30"/>
      <c r="O24" s="34"/>
      <c r="P24" s="34"/>
      <c r="Q24" s="34"/>
      <c r="R24" s="24"/>
      <c r="S24" s="13"/>
    </row>
    <row r="25" spans="1:19" ht="20.100000000000001" customHeight="1" thickBot="1" x14ac:dyDescent="0.35">
      <c r="A25" s="13"/>
      <c r="B25" s="21"/>
      <c r="C25" s="94"/>
      <c r="D25" s="29"/>
      <c r="E25" s="48" t="s">
        <v>305</v>
      </c>
      <c r="F25" s="30"/>
      <c r="G25" s="87" t="s">
        <v>313</v>
      </c>
      <c r="H25" s="88"/>
      <c r="I25" s="88"/>
      <c r="J25" s="30"/>
      <c r="K25" s="66" t="str">
        <f>IF(G25=1,농생겸용!D2,IF(G25=2,농생겸용!D3,IF(G25=3,농생겸용!D4,"-")))</f>
        <v>-</v>
      </c>
      <c r="L25" s="34"/>
      <c r="M25" s="67" t="s">
        <v>320</v>
      </c>
      <c r="N25" s="30"/>
      <c r="O25" s="68" t="str">
        <f t="shared" ref="O25" si="4">IF(K25="-","-",K25*M25)</f>
        <v>-</v>
      </c>
      <c r="P25" s="34"/>
      <c r="Q25" s="68" t="str">
        <f t="shared" ref="Q25" si="5">IF(O25="-","-",O25/12)</f>
        <v>-</v>
      </c>
      <c r="R25" s="24"/>
      <c r="S25" s="13"/>
    </row>
    <row r="26" spans="1:19" ht="5.0999999999999996" customHeight="1" x14ac:dyDescent="0.3">
      <c r="A26" s="13"/>
      <c r="B26" s="21"/>
      <c r="C26" s="29"/>
      <c r="D26" s="29"/>
      <c r="E26" s="49"/>
      <c r="F26" s="30"/>
      <c r="G26" s="32"/>
      <c r="H26" s="32"/>
      <c r="I26" s="30"/>
      <c r="J26" s="30"/>
      <c r="K26" s="34"/>
      <c r="L26" s="34"/>
      <c r="M26" s="30"/>
      <c r="N26" s="30"/>
      <c r="O26" s="34"/>
      <c r="P26" s="34"/>
      <c r="Q26" s="34"/>
      <c r="R26" s="24"/>
      <c r="S26" s="13"/>
    </row>
    <row r="27" spans="1:19" ht="20.100000000000001" customHeight="1" thickBot="1" x14ac:dyDescent="0.35">
      <c r="A27" s="13"/>
      <c r="B27" s="21"/>
      <c r="C27" s="90" t="s">
        <v>274</v>
      </c>
      <c r="D27" s="29"/>
      <c r="E27" s="50" t="s">
        <v>306</v>
      </c>
      <c r="F27" s="30"/>
      <c r="G27" s="62" t="s">
        <v>1</v>
      </c>
      <c r="H27" s="32"/>
      <c r="I27" s="51"/>
      <c r="J27" s="30"/>
      <c r="K27" s="63" t="str">
        <f>IF(I27="","-",IF(I7="평균미만 지역",6.964+(I27*0.013),IF(I7="평균 강수지역",5.66+(I27*0.014),IF(I7="평균초과 지역",4.338+(I27*0.041),0))))</f>
        <v>-</v>
      </c>
      <c r="L27" s="34"/>
      <c r="M27" s="64">
        <v>270</v>
      </c>
      <c r="N27" s="30"/>
      <c r="O27" s="65" t="str">
        <f t="shared" si="0"/>
        <v>-</v>
      </c>
      <c r="P27" s="34"/>
      <c r="Q27" s="65" t="str">
        <f>IF(O27="-","-",O27/9)</f>
        <v>-</v>
      </c>
      <c r="R27" s="24"/>
      <c r="S27" s="13"/>
    </row>
    <row r="28" spans="1:19" ht="5.0999999999999996" customHeight="1" x14ac:dyDescent="0.3">
      <c r="A28" s="13"/>
      <c r="B28" s="21"/>
      <c r="C28" s="91"/>
      <c r="D28" s="29"/>
      <c r="E28" s="49"/>
      <c r="F28" s="30"/>
      <c r="G28" s="32"/>
      <c r="H28" s="32"/>
      <c r="I28" s="30"/>
      <c r="J28" s="30"/>
      <c r="K28" s="34"/>
      <c r="L28" s="34"/>
      <c r="M28" s="30"/>
      <c r="N28" s="30"/>
      <c r="O28" s="34"/>
      <c r="P28" s="34"/>
      <c r="Q28" s="34"/>
      <c r="R28" s="24"/>
      <c r="S28" s="13"/>
    </row>
    <row r="29" spans="1:19" ht="20.100000000000001" customHeight="1" thickBot="1" x14ac:dyDescent="0.35">
      <c r="A29" s="13"/>
      <c r="B29" s="21"/>
      <c r="C29" s="91"/>
      <c r="D29" s="29"/>
      <c r="E29" s="50" t="s">
        <v>307</v>
      </c>
      <c r="F29" s="30"/>
      <c r="G29" s="62" t="s">
        <v>1</v>
      </c>
      <c r="H29" s="32"/>
      <c r="I29" s="51"/>
      <c r="J29" s="30"/>
      <c r="K29" s="63" t="str">
        <f>IF(I29="","-",IF(I7="평균미만 지역",2.089+(I29*0.043),IF(I7="평균 강수지역",1.98+(I29*0.044),IF(I7="평균초과 지역",0.203+(I29*0.047),0))))</f>
        <v>-</v>
      </c>
      <c r="L29" s="34"/>
      <c r="M29" s="64">
        <v>180</v>
      </c>
      <c r="N29" s="30"/>
      <c r="O29" s="65" t="str">
        <f t="shared" si="0"/>
        <v>-</v>
      </c>
      <c r="P29" s="34"/>
      <c r="Q29" s="65" t="str">
        <f>IF(O29="-","-",O29/6)</f>
        <v>-</v>
      </c>
      <c r="R29" s="24"/>
      <c r="S29" s="13"/>
    </row>
    <row r="30" spans="1:19" ht="5.0999999999999996" customHeight="1" x14ac:dyDescent="0.3">
      <c r="A30" s="13"/>
      <c r="B30" s="21"/>
      <c r="C30" s="91"/>
      <c r="D30" s="29"/>
      <c r="E30" s="49"/>
      <c r="F30" s="30"/>
      <c r="G30" s="32"/>
      <c r="H30" s="32"/>
      <c r="I30" s="30"/>
      <c r="J30" s="30"/>
      <c r="K30" s="34"/>
      <c r="L30" s="34"/>
      <c r="M30" s="30"/>
      <c r="N30" s="30"/>
      <c r="O30" s="34"/>
      <c r="P30" s="34"/>
      <c r="Q30" s="34"/>
      <c r="R30" s="24"/>
      <c r="S30" s="13"/>
    </row>
    <row r="31" spans="1:19" ht="20.100000000000001" customHeight="1" thickBot="1" x14ac:dyDescent="0.35">
      <c r="A31" s="13"/>
      <c r="B31" s="21"/>
      <c r="C31" s="91"/>
      <c r="D31" s="29"/>
      <c r="E31" s="50" t="s">
        <v>308</v>
      </c>
      <c r="F31" s="30"/>
      <c r="G31" s="62" t="s">
        <v>1</v>
      </c>
      <c r="H31" s="32"/>
      <c r="I31" s="51"/>
      <c r="J31" s="30"/>
      <c r="K31" s="63" t="str">
        <f>IF(I31="","-",2.789+(I31*0.011))</f>
        <v>-</v>
      </c>
      <c r="L31" s="34"/>
      <c r="M31" s="64">
        <v>365</v>
      </c>
      <c r="N31" s="30"/>
      <c r="O31" s="65" t="str">
        <f t="shared" si="0"/>
        <v>-</v>
      </c>
      <c r="P31" s="34"/>
      <c r="Q31" s="65" t="str">
        <f>IF(O31="-","-",O31/12)</f>
        <v>-</v>
      </c>
      <c r="R31" s="24"/>
      <c r="S31" s="13"/>
    </row>
    <row r="32" spans="1:19" ht="5.0999999999999996" customHeight="1" x14ac:dyDescent="0.3">
      <c r="A32" s="13"/>
      <c r="B32" s="21"/>
      <c r="C32" s="91"/>
      <c r="D32" s="29"/>
      <c r="E32" s="49"/>
      <c r="F32" s="30"/>
      <c r="G32" s="32"/>
      <c r="H32" s="32"/>
      <c r="I32" s="30"/>
      <c r="J32" s="30"/>
      <c r="K32" s="34"/>
      <c r="L32" s="34"/>
      <c r="M32" s="30"/>
      <c r="N32" s="30"/>
      <c r="O32" s="34"/>
      <c r="P32" s="34"/>
      <c r="Q32" s="34"/>
      <c r="R32" s="24"/>
      <c r="S32" s="13"/>
    </row>
    <row r="33" spans="1:19" ht="20.100000000000001" customHeight="1" thickBot="1" x14ac:dyDescent="0.35">
      <c r="A33" s="13"/>
      <c r="B33" s="21"/>
      <c r="C33" s="91"/>
      <c r="D33" s="29"/>
      <c r="E33" s="50" t="s">
        <v>309</v>
      </c>
      <c r="F33" s="30"/>
      <c r="G33" s="47">
        <v>2</v>
      </c>
      <c r="H33" s="32"/>
      <c r="I33" s="59"/>
      <c r="J33" s="30"/>
      <c r="K33" s="45" t="str">
        <f>IF(G33=1,'축산용 계산'!D2,IF(G33=2,'축산용 계산'!D3,"-"))</f>
        <v>-</v>
      </c>
      <c r="L33" s="34"/>
      <c r="M33" s="35">
        <v>365</v>
      </c>
      <c r="N33" s="30"/>
      <c r="O33" s="44" t="str">
        <f t="shared" si="0"/>
        <v>-</v>
      </c>
      <c r="P33" s="34"/>
      <c r="Q33" s="44" t="str">
        <f t="shared" si="1"/>
        <v>-</v>
      </c>
      <c r="R33" s="24"/>
      <c r="S33" s="13"/>
    </row>
    <row r="34" spans="1:19" ht="5.0999999999999996" customHeight="1" x14ac:dyDescent="0.3">
      <c r="A34" s="13"/>
      <c r="B34" s="21"/>
      <c r="C34" s="91"/>
      <c r="D34" s="29"/>
      <c r="E34" s="49"/>
      <c r="F34" s="30"/>
      <c r="G34" s="32"/>
      <c r="H34" s="32"/>
      <c r="I34" s="30"/>
      <c r="J34" s="30"/>
      <c r="K34" s="34"/>
      <c r="L34" s="34"/>
      <c r="M34" s="30"/>
      <c r="N34" s="30"/>
      <c r="O34" s="34"/>
      <c r="P34" s="34"/>
      <c r="Q34" s="34"/>
      <c r="R34" s="24"/>
      <c r="S34" s="13"/>
    </row>
    <row r="35" spans="1:19" ht="20.100000000000001" customHeight="1" thickBot="1" x14ac:dyDescent="0.35">
      <c r="A35" s="13"/>
      <c r="B35" s="21"/>
      <c r="C35" s="91"/>
      <c r="D35" s="29"/>
      <c r="E35" s="50" t="s">
        <v>310</v>
      </c>
      <c r="F35" s="30"/>
      <c r="G35" s="47">
        <v>2</v>
      </c>
      <c r="H35" s="32"/>
      <c r="I35" s="59"/>
      <c r="J35" s="30"/>
      <c r="K35" s="45" t="str">
        <f>IF(G35=1,'축산용 계산'!E2,IF(G35=2,'축산용 계산'!E3,"-"))</f>
        <v>-</v>
      </c>
      <c r="L35" s="34"/>
      <c r="M35" s="35">
        <v>365</v>
      </c>
      <c r="N35" s="30"/>
      <c r="O35" s="44" t="str">
        <f t="shared" si="0"/>
        <v>-</v>
      </c>
      <c r="P35" s="34"/>
      <c r="Q35" s="44" t="str">
        <f t="shared" si="1"/>
        <v>-</v>
      </c>
      <c r="R35" s="24"/>
      <c r="S35" s="13"/>
    </row>
    <row r="36" spans="1:19" ht="5.0999999999999996" customHeight="1" x14ac:dyDescent="0.3">
      <c r="A36" s="13"/>
      <c r="B36" s="21"/>
      <c r="C36" s="91"/>
      <c r="D36" s="29"/>
      <c r="E36" s="49"/>
      <c r="F36" s="30"/>
      <c r="G36" s="32"/>
      <c r="H36" s="32"/>
      <c r="I36" s="30"/>
      <c r="J36" s="30"/>
      <c r="K36" s="34"/>
      <c r="L36" s="34"/>
      <c r="M36" s="30"/>
      <c r="N36" s="30"/>
      <c r="O36" s="34"/>
      <c r="P36" s="34"/>
      <c r="Q36" s="34"/>
      <c r="R36" s="24"/>
      <c r="S36" s="13"/>
    </row>
    <row r="37" spans="1:19" ht="20.100000000000001" customHeight="1" thickBot="1" x14ac:dyDescent="0.35">
      <c r="A37" s="13"/>
      <c r="B37" s="21"/>
      <c r="C37" s="91"/>
      <c r="D37" s="29"/>
      <c r="E37" s="50" t="s">
        <v>311</v>
      </c>
      <c r="F37" s="30"/>
      <c r="G37" s="47">
        <v>2</v>
      </c>
      <c r="H37" s="32"/>
      <c r="I37" s="59"/>
      <c r="J37" s="30"/>
      <c r="K37" s="45" t="str">
        <f>IF(G37=1,'축산용 계산'!F2,IF(G37=2,'축산용 계산'!F3,"-"))</f>
        <v>-</v>
      </c>
      <c r="L37" s="34"/>
      <c r="M37" s="35">
        <v>365</v>
      </c>
      <c r="N37" s="30"/>
      <c r="O37" s="44" t="str">
        <f t="shared" si="0"/>
        <v>-</v>
      </c>
      <c r="P37" s="34"/>
      <c r="Q37" s="44" t="str">
        <f t="shared" si="1"/>
        <v>-</v>
      </c>
      <c r="R37" s="24"/>
      <c r="S37" s="13"/>
    </row>
    <row r="38" spans="1:19" ht="5.0999999999999996" customHeight="1" x14ac:dyDescent="0.3">
      <c r="A38" s="13"/>
      <c r="B38" s="21"/>
      <c r="C38" s="91"/>
      <c r="D38" s="29"/>
      <c r="E38" s="49"/>
      <c r="F38" s="30"/>
      <c r="G38" s="32"/>
      <c r="H38" s="32"/>
      <c r="I38" s="30"/>
      <c r="J38" s="30"/>
      <c r="K38" s="34"/>
      <c r="L38" s="34"/>
      <c r="M38" s="30"/>
      <c r="N38" s="30"/>
      <c r="O38" s="34"/>
      <c r="P38" s="34"/>
      <c r="Q38" s="34"/>
      <c r="R38" s="24"/>
      <c r="S38" s="13"/>
    </row>
    <row r="39" spans="1:19" ht="17.25" thickBot="1" x14ac:dyDescent="0.35">
      <c r="A39" s="13"/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8"/>
      <c r="S39" s="13"/>
    </row>
    <row r="40" spans="1:1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</row>
  </sheetData>
  <sheetProtection password="9F52" sheet="1" objects="1" scenarios="1" selectLockedCells="1"/>
  <mergeCells count="12">
    <mergeCell ref="G25:I25"/>
    <mergeCell ref="Q9:Q11"/>
    <mergeCell ref="G9:I11"/>
    <mergeCell ref="G19:I19"/>
    <mergeCell ref="C27:C38"/>
    <mergeCell ref="C13:C25"/>
    <mergeCell ref="E3:O3"/>
    <mergeCell ref="C9:E11"/>
    <mergeCell ref="K9:K11"/>
    <mergeCell ref="M9:M11"/>
    <mergeCell ref="O9:O11"/>
    <mergeCell ref="K5:M5"/>
  </mergeCells>
  <phoneticPr fontId="1" type="noConversion"/>
  <dataValidations count="3">
    <dataValidation type="list" allowBlank="1" showInputMessage="1" showErrorMessage="1" sqref="E7" xr:uid="{00000000-0002-0000-0000-000000000000}">
      <formula1>INDIRECT($C$7)</formula1>
    </dataValidation>
    <dataValidation type="list" allowBlank="1" showInputMessage="1" showErrorMessage="1" sqref="H7" xr:uid="{00000000-0002-0000-0000-000001000000}">
      <formula1>시군구</formula1>
    </dataValidation>
    <dataValidation type="list" allowBlank="1" showInputMessage="1" showErrorMessage="1" sqref="F7 C7" xr:uid="{00000000-0002-0000-0000-000002000000}">
      <formula1>시도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 macro="[0]!드롭다운3_Change">
                <anchor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 macro="[0]!드롭다운2_Change">
                <anchor>
                  <from>
                    <xdr:col>6</xdr:col>
                    <xdr:colOff>0</xdr:colOff>
                    <xdr:row>16</xdr:row>
                    <xdr:rowOff>0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Drop Down 7">
              <controlPr defaultSize="0" autoLine="0" autoPict="0" macro="[0]!드롭다운1_Change">
                <anchor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Drop Down 8">
              <controlPr defaultSize="0" autoLine="0" autoPict="0" macro="[0]!드롭다운4_Change">
                <anchor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Drop Down 9">
              <controlPr defaultSize="0" autoLine="0" autoPict="0" macro="[0]!드롭다운5_Change">
                <anchor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Drop Down 10">
              <controlPr defaultSize="0" autoLine="0" autoPict="0" macro="[0]!드롭다운6_Change">
                <anchor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자동계산">
                <anchor moveWithCells="1" sizeWithCells="1">
                  <from>
                    <xdr:col>10</xdr:col>
                    <xdr:colOff>38100</xdr:colOff>
                    <xdr:row>6</xdr:row>
                    <xdr:rowOff>9525</xdr:rowOff>
                  </from>
                  <to>
                    <xdr:col>11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초기화">
                <anchor moveWithCells="1" sizeWithCells="1">
                  <from>
                    <xdr:col>12</xdr:col>
                    <xdr:colOff>38100</xdr:colOff>
                    <xdr:row>6</xdr:row>
                    <xdr:rowOff>9525</xdr:rowOff>
                  </from>
                  <to>
                    <xdr:col>13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B3"/>
  <sheetViews>
    <sheetView workbookViewId="0">
      <selection activeCell="B3" sqref="B3"/>
    </sheetView>
  </sheetViews>
  <sheetFormatPr defaultRowHeight="16.5" x14ac:dyDescent="0.3"/>
  <cols>
    <col min="1" max="1" width="20" bestFit="1" customWidth="1"/>
  </cols>
  <sheetData>
    <row r="1" spans="1:2" x14ac:dyDescent="0.3">
      <c r="A1" s="13" t="s">
        <v>281</v>
      </c>
    </row>
    <row r="2" spans="1:2" x14ac:dyDescent="0.3">
      <c r="A2" s="13" t="s">
        <v>317</v>
      </c>
      <c r="B2" s="13">
        <f>IF(산정표!I13="","-",IF(산정표!G7="도시지역",0.173+(산정표!I13*0.21),IF(산정표!G7="도농복합지역",0.173+(산정표!I13*0.21),IF(산정표!G7="농촌지역",0.265+(산정표!I13*0.181),0))))</f>
        <v>0.70219999999999994</v>
      </c>
    </row>
    <row r="3" spans="1:2" x14ac:dyDescent="0.3">
      <c r="A3" s="13" t="s">
        <v>318</v>
      </c>
      <c r="B3" s="13" t="e">
        <f>IF(산정표!#REF!="","-",IF(산정표!G7="도시지역",0.173+(산정표!#REF!*0.21),IF(산정표!G7="도농복합지역",0.173+(산정표!#REF!*0.21),IF(산정표!G7="농촌지역",0.265+(산정표!#REF!*0.181),0))))</f>
        <v>#REF!</v>
      </c>
    </row>
  </sheetData>
  <phoneticPr fontId="1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B3"/>
  <sheetViews>
    <sheetView workbookViewId="0">
      <selection activeCell="O22" sqref="O22"/>
    </sheetView>
  </sheetViews>
  <sheetFormatPr defaultRowHeight="16.5" x14ac:dyDescent="0.3"/>
  <cols>
    <col min="1" max="1" width="20.75" customWidth="1"/>
    <col min="2" max="3" width="10.875" bestFit="1" customWidth="1"/>
  </cols>
  <sheetData>
    <row r="2" spans="1:2" x14ac:dyDescent="0.3">
      <c r="A2" s="13" t="s">
        <v>314</v>
      </c>
      <c r="B2" s="41" t="str">
        <f>IF(산정표!G17=2,"-",IF(산정표!G7="도시지역",8,IF(산정표!G7="도농복합지역",8,IF(산정표!G7="농촌지역",12,0))))</f>
        <v>-</v>
      </c>
    </row>
    <row r="3" spans="1:2" x14ac:dyDescent="0.3">
      <c r="A3" s="13" t="s">
        <v>315</v>
      </c>
      <c r="B3" s="41" t="str">
        <f>IF(산정표!I17&lt;101,"-",IF(산정표!G7="도시지역",7.986+(산정표!I17*0.005),IF(산정표!G7="도농복합지역",7.986+(산정표!I17*0.005),IF(산정표!G7="농촌지역",11.687+(산정표!I17*0.007),0))))</f>
        <v>-</v>
      </c>
    </row>
  </sheetData>
  <phoneticPr fontId="16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B3"/>
  <sheetViews>
    <sheetView workbookViewId="0">
      <selection activeCell="O22" sqref="O22"/>
    </sheetView>
  </sheetViews>
  <sheetFormatPr defaultRowHeight="16.5" x14ac:dyDescent="0.3"/>
  <cols>
    <col min="1" max="1" width="20.125" customWidth="1"/>
  </cols>
  <sheetData>
    <row r="2" spans="1:2" x14ac:dyDescent="0.3">
      <c r="A2" s="13" t="s">
        <v>314</v>
      </c>
      <c r="B2" s="41" t="str">
        <f>IF(산정표!G21=2,"-",IF(산정표!G7="도시지역",7.2,IF(산정표!G7="도농복합지역",7.2,IF(산정표!G7="농촌지역",7.3,0))))</f>
        <v>-</v>
      </c>
    </row>
    <row r="3" spans="1:2" x14ac:dyDescent="0.3">
      <c r="A3" s="13" t="s">
        <v>315</v>
      </c>
      <c r="B3" s="41" t="str">
        <f>IF(산정표!I21&lt;101,"-",IF(산정표!G7="도시지역",7.13+(산정표!I21*0.001),IF(산정표!G7="도농복합지역",7.13+(산정표!I21*0.001),IF(산정표!G7="농촌지역",7.287+(산정표!I21*0.001),0))))</f>
        <v>-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F4"/>
  <sheetViews>
    <sheetView workbookViewId="0">
      <selection activeCell="F7" sqref="F7"/>
    </sheetView>
  </sheetViews>
  <sheetFormatPr defaultRowHeight="16.5" x14ac:dyDescent="0.3"/>
  <cols>
    <col min="1" max="1" width="14.375" style="13" bestFit="1" customWidth="1"/>
    <col min="2" max="2" width="13" style="13" bestFit="1" customWidth="1"/>
    <col min="3" max="3" width="18.625" bestFit="1" customWidth="1"/>
    <col min="4" max="6" width="14.375" bestFit="1" customWidth="1"/>
    <col min="8" max="8" width="14.375" bestFit="1" customWidth="1"/>
  </cols>
  <sheetData>
    <row r="1" spans="1:6" x14ac:dyDescent="0.3">
      <c r="A1" s="13" t="s">
        <v>327</v>
      </c>
      <c r="B1" s="13" t="s">
        <v>326</v>
      </c>
      <c r="D1" s="13" t="s">
        <v>323</v>
      </c>
      <c r="E1" s="13" t="s">
        <v>324</v>
      </c>
      <c r="F1" s="13" t="s">
        <v>325</v>
      </c>
    </row>
    <row r="2" spans="1:6" x14ac:dyDescent="0.3">
      <c r="A2" s="13" t="s">
        <v>323</v>
      </c>
      <c r="B2" s="13">
        <v>60</v>
      </c>
      <c r="C2" s="13" t="s">
        <v>295</v>
      </c>
      <c r="D2" s="43">
        <v>4</v>
      </c>
      <c r="E2">
        <v>5.5</v>
      </c>
      <c r="F2">
        <v>6.6</v>
      </c>
    </row>
    <row r="3" spans="1:6" x14ac:dyDescent="0.3">
      <c r="A3" s="13" t="s">
        <v>324</v>
      </c>
      <c r="B3" s="13">
        <v>800</v>
      </c>
      <c r="C3" s="13" t="s">
        <v>316</v>
      </c>
      <c r="D3" t="str">
        <f>IF(산정표!I33="","-",3.48+(산정표!I33*0.009))</f>
        <v>-</v>
      </c>
      <c r="E3" t="str">
        <f>IF(산정표!I35="","-",4.719+(산정표!I35*0.001))</f>
        <v>-</v>
      </c>
      <c r="F3" t="str">
        <f>IF(산정표!I37="","-",5.492+((산정표!I37/1000)*0.041))</f>
        <v>-</v>
      </c>
    </row>
    <row r="4" spans="1:6" x14ac:dyDescent="0.3">
      <c r="A4" s="13" t="s">
        <v>325</v>
      </c>
      <c r="B4" s="13">
        <v>26000</v>
      </c>
      <c r="C4" s="13" t="s">
        <v>326</v>
      </c>
      <c r="D4">
        <v>60</v>
      </c>
      <c r="E4">
        <v>800</v>
      </c>
      <c r="F4">
        <v>26000</v>
      </c>
    </row>
  </sheetData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D4"/>
  <sheetViews>
    <sheetView workbookViewId="0">
      <selection activeCell="O22" sqref="O22"/>
    </sheetView>
  </sheetViews>
  <sheetFormatPr defaultRowHeight="16.5" x14ac:dyDescent="0.3"/>
  <cols>
    <col min="1" max="1" width="15.125" customWidth="1"/>
  </cols>
  <sheetData>
    <row r="2" spans="1:4" x14ac:dyDescent="0.3">
      <c r="A2" s="13" t="s">
        <v>296</v>
      </c>
      <c r="B2" t="str">
        <f>IF(산정표!I25="","0",IF(산정표!G7="도시지역",0.173+(산정표!I25*0.21),IF(산정표!G7="도농복합지역",0.173+(산정표!I25*0.21),IF(산정표!G7="농촌지역",0.265+(산정표!I25*0.181),0))))</f>
        <v>0</v>
      </c>
      <c r="C2" t="e">
        <f>IF(산정표!#REF!="","0",IF(산정표!I7="평균미만 지역",6.964+(산정표!#REF!*0.013),IF(산정표!I7="평균 강수지역",5.66+(산정표!#REF!*0.014),IF(산정표!I7="평균초과 지역",4.338+(산정표!#REF!*0.041),0))))</f>
        <v>#REF!</v>
      </c>
      <c r="D2" s="13" t="e">
        <f>IF(B2+C2=0,"-",B2+C2)</f>
        <v>#REF!</v>
      </c>
    </row>
    <row r="3" spans="1:4" x14ac:dyDescent="0.3">
      <c r="A3" s="13" t="s">
        <v>297</v>
      </c>
      <c r="B3" s="13" t="str">
        <f>IF(산정표!I25="","0",IF(산정표!G7="도시지역",0.173+(산정표!I25*0.21),IF(산정표!G7="도농복합지역",0.173+(산정표!I25*0.21),IF(산정표!G7="농촌지역",0.265+(산정표!I25*0.181),0))))</f>
        <v>0</v>
      </c>
      <c r="C3" t="e">
        <f>IF(산정표!#REF!="","0",IF(산정표!I7="평균미만 지역",2.089+(산정표!#REF!*0.043),IF(산정표!I7="평균 강수지역",1.98+(산정표!#REF!*0.044),IF(산정표!I7="평균초과 지역",0.203+(산정표!#REF!*0.047),0))))</f>
        <v>#REF!</v>
      </c>
      <c r="D3" s="13" t="e">
        <f t="shared" ref="D3:D4" si="0">IF(B3+C3=0,"-",B3+C3)</f>
        <v>#REF!</v>
      </c>
    </row>
    <row r="4" spans="1:4" x14ac:dyDescent="0.3">
      <c r="A4" s="13" t="s">
        <v>298</v>
      </c>
      <c r="B4" s="13" t="str">
        <f>IF(산정표!I25="","0",IF(산정표!G7="도시지역",0.173+(산정표!I25*0.21),IF(산정표!G7="도농복합지역",0.173+(산정표!I25*0.21),IF(산정표!G7="농촌지역",0.265+(산정표!I25*0.181),0))))</f>
        <v>0</v>
      </c>
      <c r="C4" t="e">
        <f>IF(산정표!#REF!="","0",2.789+(산정표!#REF!*0.011))</f>
        <v>#REF!</v>
      </c>
      <c r="D4" s="13" t="e">
        <f t="shared" si="0"/>
        <v>#REF!</v>
      </c>
    </row>
  </sheetData>
  <phoneticPr fontId="1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229"/>
  <sheetViews>
    <sheetView zoomScale="85" zoomScaleNormal="85" workbookViewId="0">
      <pane xSplit="4" ySplit="1" topLeftCell="E110" activePane="bottomRight" state="frozen"/>
      <selection activeCell="O22" sqref="O22"/>
      <selection pane="topRight" activeCell="O22" sqref="O22"/>
      <selection pane="bottomLeft" activeCell="O22" sqref="O22"/>
      <selection pane="bottomRight" activeCell="F131" sqref="F131"/>
    </sheetView>
  </sheetViews>
  <sheetFormatPr defaultRowHeight="16.5" x14ac:dyDescent="0.3"/>
  <cols>
    <col min="1" max="1" width="13.375" customWidth="1"/>
    <col min="2" max="2" width="12.125" customWidth="1"/>
    <col min="3" max="3" width="14.25" customWidth="1"/>
    <col min="4" max="4" width="20.75" customWidth="1"/>
    <col min="5" max="5" width="23" customWidth="1"/>
    <col min="6" max="6" width="11.625" bestFit="1" customWidth="1"/>
    <col min="7" max="7" width="14.25" customWidth="1"/>
    <col min="8" max="9" width="22.25" customWidth="1"/>
    <col min="10" max="10" width="22.875" customWidth="1"/>
    <col min="11" max="11" width="24" customWidth="1"/>
    <col min="12" max="12" width="24.875" customWidth="1"/>
    <col min="13" max="13" width="26" customWidth="1"/>
    <col min="14" max="14" width="27.625" customWidth="1"/>
  </cols>
  <sheetData>
    <row r="1" spans="1:14" x14ac:dyDescent="0.3">
      <c r="A1" s="9" t="s">
        <v>216</v>
      </c>
      <c r="B1" s="9" t="s">
        <v>217</v>
      </c>
      <c r="C1" s="9" t="s">
        <v>282</v>
      </c>
      <c r="D1" s="9" t="s">
        <v>218</v>
      </c>
      <c r="E1" s="9" t="s">
        <v>219</v>
      </c>
      <c r="F1" s="9" t="s">
        <v>220</v>
      </c>
      <c r="G1" s="10" t="s">
        <v>221</v>
      </c>
      <c r="H1" s="10" t="s">
        <v>209</v>
      </c>
      <c r="I1" s="10" t="s">
        <v>210</v>
      </c>
      <c r="J1" s="11" t="s">
        <v>222</v>
      </c>
      <c r="K1" s="11" t="s">
        <v>223</v>
      </c>
      <c r="L1" s="8" t="s">
        <v>191</v>
      </c>
      <c r="M1" s="8" t="s">
        <v>192</v>
      </c>
      <c r="N1" s="8" t="s">
        <v>193</v>
      </c>
    </row>
    <row r="2" spans="1:14" x14ac:dyDescent="0.3">
      <c r="A2" s="3" t="s">
        <v>3</v>
      </c>
      <c r="B2" s="3" t="s">
        <v>225</v>
      </c>
      <c r="C2" s="3" t="s">
        <v>283</v>
      </c>
      <c r="D2" s="3" t="s">
        <v>291</v>
      </c>
      <c r="E2" s="2" t="s">
        <v>177</v>
      </c>
      <c r="F2" s="14">
        <v>2.74</v>
      </c>
      <c r="G2" s="6">
        <f>0.173+(F2*0.21)</f>
        <v>0.74839999999999995</v>
      </c>
      <c r="H2" s="6" t="s">
        <v>211</v>
      </c>
      <c r="I2" s="6" t="s">
        <v>212</v>
      </c>
      <c r="J2" s="2" t="s">
        <v>179</v>
      </c>
      <c r="K2" s="2" t="s">
        <v>180</v>
      </c>
      <c r="L2" s="2" t="s">
        <v>194</v>
      </c>
      <c r="M2" s="2" t="s">
        <v>195</v>
      </c>
      <c r="N2" s="2" t="s">
        <v>196</v>
      </c>
    </row>
    <row r="3" spans="1:14" s="13" customFormat="1" x14ac:dyDescent="0.3">
      <c r="A3" s="3" t="s">
        <v>3</v>
      </c>
      <c r="B3" s="3" t="s">
        <v>226</v>
      </c>
      <c r="C3" s="3" t="s">
        <v>283</v>
      </c>
      <c r="D3" s="3" t="s">
        <v>291</v>
      </c>
      <c r="E3" s="12" t="s">
        <v>177</v>
      </c>
      <c r="F3" s="14">
        <v>2.74</v>
      </c>
      <c r="G3" s="6">
        <f t="shared" ref="G3:G26" si="0">0.173+(F3*0.21)</f>
        <v>0.74839999999999995</v>
      </c>
      <c r="H3" s="6" t="s">
        <v>211</v>
      </c>
      <c r="I3" s="6" t="s">
        <v>212</v>
      </c>
      <c r="J3" s="12" t="s">
        <v>179</v>
      </c>
      <c r="K3" s="12" t="s">
        <v>180</v>
      </c>
      <c r="L3" s="12" t="s">
        <v>194</v>
      </c>
      <c r="M3" s="12" t="s">
        <v>195</v>
      </c>
      <c r="N3" s="12" t="s">
        <v>196</v>
      </c>
    </row>
    <row r="4" spans="1:14" s="13" customFormat="1" x14ac:dyDescent="0.3">
      <c r="A4" s="3" t="s">
        <v>3</v>
      </c>
      <c r="B4" s="3" t="s">
        <v>227</v>
      </c>
      <c r="C4" s="3" t="s">
        <v>283</v>
      </c>
      <c r="D4" s="3" t="s">
        <v>291</v>
      </c>
      <c r="E4" s="12" t="s">
        <v>177</v>
      </c>
      <c r="F4" s="14">
        <v>2.74</v>
      </c>
      <c r="G4" s="6">
        <f t="shared" si="0"/>
        <v>0.74839999999999995</v>
      </c>
      <c r="H4" s="6" t="s">
        <v>211</v>
      </c>
      <c r="I4" s="6" t="s">
        <v>212</v>
      </c>
      <c r="J4" s="12" t="s">
        <v>179</v>
      </c>
      <c r="K4" s="12" t="s">
        <v>180</v>
      </c>
      <c r="L4" s="12" t="s">
        <v>194</v>
      </c>
      <c r="M4" s="12" t="s">
        <v>195</v>
      </c>
      <c r="N4" s="12" t="s">
        <v>196</v>
      </c>
    </row>
    <row r="5" spans="1:14" s="13" customFormat="1" x14ac:dyDescent="0.3">
      <c r="A5" s="3" t="s">
        <v>3</v>
      </c>
      <c r="B5" s="3" t="s">
        <v>228</v>
      </c>
      <c r="C5" s="3" t="s">
        <v>283</v>
      </c>
      <c r="D5" s="3" t="s">
        <v>291</v>
      </c>
      <c r="E5" s="12" t="s">
        <v>177</v>
      </c>
      <c r="F5" s="14">
        <v>2.74</v>
      </c>
      <c r="G5" s="6">
        <f t="shared" si="0"/>
        <v>0.74839999999999995</v>
      </c>
      <c r="H5" s="6" t="s">
        <v>211</v>
      </c>
      <c r="I5" s="6" t="s">
        <v>212</v>
      </c>
      <c r="J5" s="12" t="s">
        <v>179</v>
      </c>
      <c r="K5" s="12" t="s">
        <v>180</v>
      </c>
      <c r="L5" s="12" t="s">
        <v>194</v>
      </c>
      <c r="M5" s="12" t="s">
        <v>195</v>
      </c>
      <c r="N5" s="12" t="s">
        <v>196</v>
      </c>
    </row>
    <row r="6" spans="1:14" s="13" customFormat="1" x14ac:dyDescent="0.3">
      <c r="A6" s="3" t="s">
        <v>3</v>
      </c>
      <c r="B6" s="3" t="s">
        <v>229</v>
      </c>
      <c r="C6" s="3" t="s">
        <v>283</v>
      </c>
      <c r="D6" s="3" t="s">
        <v>291</v>
      </c>
      <c r="E6" s="12" t="s">
        <v>177</v>
      </c>
      <c r="F6" s="14">
        <v>2.74</v>
      </c>
      <c r="G6" s="6">
        <f t="shared" si="0"/>
        <v>0.74839999999999995</v>
      </c>
      <c r="H6" s="6" t="s">
        <v>211</v>
      </c>
      <c r="I6" s="6" t="s">
        <v>212</v>
      </c>
      <c r="J6" s="12" t="s">
        <v>179</v>
      </c>
      <c r="K6" s="12" t="s">
        <v>180</v>
      </c>
      <c r="L6" s="12" t="s">
        <v>194</v>
      </c>
      <c r="M6" s="12" t="s">
        <v>195</v>
      </c>
      <c r="N6" s="12" t="s">
        <v>196</v>
      </c>
    </row>
    <row r="7" spans="1:14" s="13" customFormat="1" x14ac:dyDescent="0.3">
      <c r="A7" s="3" t="s">
        <v>3</v>
      </c>
      <c r="B7" s="3" t="s">
        <v>230</v>
      </c>
      <c r="C7" s="3" t="s">
        <v>283</v>
      </c>
      <c r="D7" s="3" t="s">
        <v>291</v>
      </c>
      <c r="E7" s="12" t="s">
        <v>177</v>
      </c>
      <c r="F7" s="14">
        <v>2.74</v>
      </c>
      <c r="G7" s="6">
        <f t="shared" si="0"/>
        <v>0.74839999999999995</v>
      </c>
      <c r="H7" s="6" t="s">
        <v>211</v>
      </c>
      <c r="I7" s="6" t="s">
        <v>212</v>
      </c>
      <c r="J7" s="12" t="s">
        <v>179</v>
      </c>
      <c r="K7" s="12" t="s">
        <v>180</v>
      </c>
      <c r="L7" s="12" t="s">
        <v>194</v>
      </c>
      <c r="M7" s="12" t="s">
        <v>195</v>
      </c>
      <c r="N7" s="12" t="s">
        <v>196</v>
      </c>
    </row>
    <row r="8" spans="1:14" s="13" customFormat="1" x14ac:dyDescent="0.3">
      <c r="A8" s="3" t="s">
        <v>3</v>
      </c>
      <c r="B8" s="3" t="s">
        <v>231</v>
      </c>
      <c r="C8" s="3" t="s">
        <v>283</v>
      </c>
      <c r="D8" s="3" t="s">
        <v>291</v>
      </c>
      <c r="E8" s="12" t="s">
        <v>177</v>
      </c>
      <c r="F8" s="14">
        <v>2.74</v>
      </c>
      <c r="G8" s="6">
        <f t="shared" si="0"/>
        <v>0.74839999999999995</v>
      </c>
      <c r="H8" s="6" t="s">
        <v>211</v>
      </c>
      <c r="I8" s="6" t="s">
        <v>212</v>
      </c>
      <c r="J8" s="12" t="s">
        <v>179</v>
      </c>
      <c r="K8" s="12" t="s">
        <v>180</v>
      </c>
      <c r="L8" s="12" t="s">
        <v>194</v>
      </c>
      <c r="M8" s="12" t="s">
        <v>195</v>
      </c>
      <c r="N8" s="12" t="s">
        <v>196</v>
      </c>
    </row>
    <row r="9" spans="1:14" s="13" customFormat="1" x14ac:dyDescent="0.3">
      <c r="A9" s="3" t="s">
        <v>3</v>
      </c>
      <c r="B9" s="3" t="s">
        <v>232</v>
      </c>
      <c r="C9" s="3" t="s">
        <v>283</v>
      </c>
      <c r="D9" s="3" t="s">
        <v>291</v>
      </c>
      <c r="E9" s="12" t="s">
        <v>177</v>
      </c>
      <c r="F9" s="14">
        <v>2.74</v>
      </c>
      <c r="G9" s="6">
        <f t="shared" si="0"/>
        <v>0.74839999999999995</v>
      </c>
      <c r="H9" s="6" t="s">
        <v>211</v>
      </c>
      <c r="I9" s="6" t="s">
        <v>212</v>
      </c>
      <c r="J9" s="12" t="s">
        <v>179</v>
      </c>
      <c r="K9" s="12" t="s">
        <v>180</v>
      </c>
      <c r="L9" s="12" t="s">
        <v>194</v>
      </c>
      <c r="M9" s="12" t="s">
        <v>195</v>
      </c>
      <c r="N9" s="12" t="s">
        <v>196</v>
      </c>
    </row>
    <row r="10" spans="1:14" s="13" customFormat="1" x14ac:dyDescent="0.3">
      <c r="A10" s="3" t="s">
        <v>3</v>
      </c>
      <c r="B10" s="3" t="s">
        <v>233</v>
      </c>
      <c r="C10" s="3" t="s">
        <v>283</v>
      </c>
      <c r="D10" s="3" t="s">
        <v>291</v>
      </c>
      <c r="E10" s="12" t="s">
        <v>177</v>
      </c>
      <c r="F10" s="14">
        <v>2.74</v>
      </c>
      <c r="G10" s="6">
        <f t="shared" si="0"/>
        <v>0.74839999999999995</v>
      </c>
      <c r="H10" s="6" t="s">
        <v>211</v>
      </c>
      <c r="I10" s="6" t="s">
        <v>212</v>
      </c>
      <c r="J10" s="12" t="s">
        <v>179</v>
      </c>
      <c r="K10" s="12" t="s">
        <v>180</v>
      </c>
      <c r="L10" s="12" t="s">
        <v>194</v>
      </c>
      <c r="M10" s="12" t="s">
        <v>195</v>
      </c>
      <c r="N10" s="12" t="s">
        <v>196</v>
      </c>
    </row>
    <row r="11" spans="1:14" s="13" customFormat="1" x14ac:dyDescent="0.3">
      <c r="A11" s="3" t="s">
        <v>3</v>
      </c>
      <c r="B11" s="3" t="s">
        <v>234</v>
      </c>
      <c r="C11" s="3" t="s">
        <v>283</v>
      </c>
      <c r="D11" s="3" t="s">
        <v>291</v>
      </c>
      <c r="E11" s="12" t="s">
        <v>177</v>
      </c>
      <c r="F11" s="14">
        <v>2.74</v>
      </c>
      <c r="G11" s="6">
        <f t="shared" si="0"/>
        <v>0.74839999999999995</v>
      </c>
      <c r="H11" s="6" t="s">
        <v>211</v>
      </c>
      <c r="I11" s="6" t="s">
        <v>212</v>
      </c>
      <c r="J11" s="12" t="s">
        <v>179</v>
      </c>
      <c r="K11" s="12" t="s">
        <v>180</v>
      </c>
      <c r="L11" s="12" t="s">
        <v>194</v>
      </c>
      <c r="M11" s="12" t="s">
        <v>195</v>
      </c>
      <c r="N11" s="12" t="s">
        <v>196</v>
      </c>
    </row>
    <row r="12" spans="1:14" s="13" customFormat="1" x14ac:dyDescent="0.3">
      <c r="A12" s="3" t="s">
        <v>3</v>
      </c>
      <c r="B12" s="3" t="s">
        <v>235</v>
      </c>
      <c r="C12" s="3" t="s">
        <v>283</v>
      </c>
      <c r="D12" s="3" t="s">
        <v>291</v>
      </c>
      <c r="E12" s="12" t="s">
        <v>177</v>
      </c>
      <c r="F12" s="14">
        <v>2.74</v>
      </c>
      <c r="G12" s="6">
        <f t="shared" si="0"/>
        <v>0.74839999999999995</v>
      </c>
      <c r="H12" s="6" t="s">
        <v>211</v>
      </c>
      <c r="I12" s="6" t="s">
        <v>212</v>
      </c>
      <c r="J12" s="12" t="s">
        <v>179</v>
      </c>
      <c r="K12" s="12" t="s">
        <v>180</v>
      </c>
      <c r="L12" s="12" t="s">
        <v>194</v>
      </c>
      <c r="M12" s="12" t="s">
        <v>195</v>
      </c>
      <c r="N12" s="12" t="s">
        <v>196</v>
      </c>
    </row>
    <row r="13" spans="1:14" s="13" customFormat="1" x14ac:dyDescent="0.3">
      <c r="A13" s="3" t="s">
        <v>3</v>
      </c>
      <c r="B13" s="3" t="s">
        <v>236</v>
      </c>
      <c r="C13" s="3" t="s">
        <v>283</v>
      </c>
      <c r="D13" s="3" t="s">
        <v>291</v>
      </c>
      <c r="E13" s="12" t="s">
        <v>177</v>
      </c>
      <c r="F13" s="14">
        <v>2.74</v>
      </c>
      <c r="G13" s="6">
        <f t="shared" si="0"/>
        <v>0.74839999999999995</v>
      </c>
      <c r="H13" s="6" t="s">
        <v>211</v>
      </c>
      <c r="I13" s="6" t="s">
        <v>212</v>
      </c>
      <c r="J13" s="12" t="s">
        <v>179</v>
      </c>
      <c r="K13" s="12" t="s">
        <v>180</v>
      </c>
      <c r="L13" s="12" t="s">
        <v>194</v>
      </c>
      <c r="M13" s="12" t="s">
        <v>195</v>
      </c>
      <c r="N13" s="12" t="s">
        <v>196</v>
      </c>
    </row>
    <row r="14" spans="1:14" s="13" customFormat="1" x14ac:dyDescent="0.3">
      <c r="A14" s="3" t="s">
        <v>3</v>
      </c>
      <c r="B14" s="3" t="s">
        <v>237</v>
      </c>
      <c r="C14" s="3" t="s">
        <v>283</v>
      </c>
      <c r="D14" s="3" t="s">
        <v>291</v>
      </c>
      <c r="E14" s="12" t="s">
        <v>177</v>
      </c>
      <c r="F14" s="14">
        <v>2.74</v>
      </c>
      <c r="G14" s="6">
        <f t="shared" si="0"/>
        <v>0.74839999999999995</v>
      </c>
      <c r="H14" s="6" t="s">
        <v>211</v>
      </c>
      <c r="I14" s="6" t="s">
        <v>212</v>
      </c>
      <c r="J14" s="12" t="s">
        <v>179</v>
      </c>
      <c r="K14" s="12" t="s">
        <v>180</v>
      </c>
      <c r="L14" s="12" t="s">
        <v>194</v>
      </c>
      <c r="M14" s="12" t="s">
        <v>195</v>
      </c>
      <c r="N14" s="12" t="s">
        <v>196</v>
      </c>
    </row>
    <row r="15" spans="1:14" s="13" customFormat="1" x14ac:dyDescent="0.3">
      <c r="A15" s="3" t="s">
        <v>3</v>
      </c>
      <c r="B15" s="3" t="s">
        <v>238</v>
      </c>
      <c r="C15" s="3" t="s">
        <v>283</v>
      </c>
      <c r="D15" s="3" t="s">
        <v>291</v>
      </c>
      <c r="E15" s="12" t="s">
        <v>177</v>
      </c>
      <c r="F15" s="14">
        <v>2.74</v>
      </c>
      <c r="G15" s="6">
        <f t="shared" si="0"/>
        <v>0.74839999999999995</v>
      </c>
      <c r="H15" s="6" t="s">
        <v>211</v>
      </c>
      <c r="I15" s="6" t="s">
        <v>212</v>
      </c>
      <c r="J15" s="12" t="s">
        <v>179</v>
      </c>
      <c r="K15" s="12" t="s">
        <v>180</v>
      </c>
      <c r="L15" s="12" t="s">
        <v>194</v>
      </c>
      <c r="M15" s="12" t="s">
        <v>195</v>
      </c>
      <c r="N15" s="12" t="s">
        <v>196</v>
      </c>
    </row>
    <row r="16" spans="1:14" s="13" customFormat="1" x14ac:dyDescent="0.3">
      <c r="A16" s="3" t="s">
        <v>3</v>
      </c>
      <c r="B16" s="3" t="s">
        <v>239</v>
      </c>
      <c r="C16" s="3" t="s">
        <v>283</v>
      </c>
      <c r="D16" s="3" t="s">
        <v>291</v>
      </c>
      <c r="E16" s="12" t="s">
        <v>177</v>
      </c>
      <c r="F16" s="14">
        <v>2.74</v>
      </c>
      <c r="G16" s="6">
        <f t="shared" si="0"/>
        <v>0.74839999999999995</v>
      </c>
      <c r="H16" s="6" t="s">
        <v>211</v>
      </c>
      <c r="I16" s="6" t="s">
        <v>212</v>
      </c>
      <c r="J16" s="12" t="s">
        <v>179</v>
      </c>
      <c r="K16" s="12" t="s">
        <v>180</v>
      </c>
      <c r="L16" s="12" t="s">
        <v>194</v>
      </c>
      <c r="M16" s="12" t="s">
        <v>195</v>
      </c>
      <c r="N16" s="12" t="s">
        <v>196</v>
      </c>
    </row>
    <row r="17" spans="1:14" s="13" customFormat="1" x14ac:dyDescent="0.3">
      <c r="A17" s="3" t="s">
        <v>3</v>
      </c>
      <c r="B17" s="3" t="s">
        <v>240</v>
      </c>
      <c r="C17" s="3" t="s">
        <v>283</v>
      </c>
      <c r="D17" s="3" t="s">
        <v>291</v>
      </c>
      <c r="E17" s="12" t="s">
        <v>177</v>
      </c>
      <c r="F17" s="14">
        <v>2.74</v>
      </c>
      <c r="G17" s="6">
        <f t="shared" si="0"/>
        <v>0.74839999999999995</v>
      </c>
      <c r="H17" s="6" t="s">
        <v>211</v>
      </c>
      <c r="I17" s="6" t="s">
        <v>212</v>
      </c>
      <c r="J17" s="12" t="s">
        <v>179</v>
      </c>
      <c r="K17" s="12" t="s">
        <v>180</v>
      </c>
      <c r="L17" s="12" t="s">
        <v>194</v>
      </c>
      <c r="M17" s="12" t="s">
        <v>195</v>
      </c>
      <c r="N17" s="12" t="s">
        <v>196</v>
      </c>
    </row>
    <row r="18" spans="1:14" s="13" customFormat="1" x14ac:dyDescent="0.3">
      <c r="A18" s="3" t="s">
        <v>3</v>
      </c>
      <c r="B18" s="3" t="s">
        <v>241</v>
      </c>
      <c r="C18" s="3" t="s">
        <v>283</v>
      </c>
      <c r="D18" s="3" t="s">
        <v>291</v>
      </c>
      <c r="E18" s="12" t="s">
        <v>177</v>
      </c>
      <c r="F18" s="14">
        <v>2.74</v>
      </c>
      <c r="G18" s="6">
        <f t="shared" si="0"/>
        <v>0.74839999999999995</v>
      </c>
      <c r="H18" s="6" t="s">
        <v>211</v>
      </c>
      <c r="I18" s="6" t="s">
        <v>212</v>
      </c>
      <c r="J18" s="12" t="s">
        <v>179</v>
      </c>
      <c r="K18" s="12" t="s">
        <v>180</v>
      </c>
      <c r="L18" s="12" t="s">
        <v>194</v>
      </c>
      <c r="M18" s="12" t="s">
        <v>195</v>
      </c>
      <c r="N18" s="12" t="s">
        <v>196</v>
      </c>
    </row>
    <row r="19" spans="1:14" s="13" customFormat="1" x14ac:dyDescent="0.3">
      <c r="A19" s="3" t="s">
        <v>3</v>
      </c>
      <c r="B19" s="3" t="s">
        <v>242</v>
      </c>
      <c r="C19" s="3" t="s">
        <v>283</v>
      </c>
      <c r="D19" s="3" t="s">
        <v>291</v>
      </c>
      <c r="E19" s="12" t="s">
        <v>177</v>
      </c>
      <c r="F19" s="14">
        <v>2.74</v>
      </c>
      <c r="G19" s="6">
        <f t="shared" si="0"/>
        <v>0.74839999999999995</v>
      </c>
      <c r="H19" s="6" t="s">
        <v>211</v>
      </c>
      <c r="I19" s="6" t="s">
        <v>212</v>
      </c>
      <c r="J19" s="12" t="s">
        <v>179</v>
      </c>
      <c r="K19" s="12" t="s">
        <v>180</v>
      </c>
      <c r="L19" s="12" t="s">
        <v>194</v>
      </c>
      <c r="M19" s="12" t="s">
        <v>195</v>
      </c>
      <c r="N19" s="12" t="s">
        <v>196</v>
      </c>
    </row>
    <row r="20" spans="1:14" s="13" customFormat="1" x14ac:dyDescent="0.3">
      <c r="A20" s="3" t="s">
        <v>3</v>
      </c>
      <c r="B20" s="3" t="s">
        <v>243</v>
      </c>
      <c r="C20" s="3" t="s">
        <v>283</v>
      </c>
      <c r="D20" s="3" t="s">
        <v>291</v>
      </c>
      <c r="E20" s="12" t="s">
        <v>177</v>
      </c>
      <c r="F20" s="14">
        <v>2.74</v>
      </c>
      <c r="G20" s="6">
        <f t="shared" si="0"/>
        <v>0.74839999999999995</v>
      </c>
      <c r="H20" s="6" t="s">
        <v>211</v>
      </c>
      <c r="I20" s="6" t="s">
        <v>212</v>
      </c>
      <c r="J20" s="12" t="s">
        <v>179</v>
      </c>
      <c r="K20" s="12" t="s">
        <v>180</v>
      </c>
      <c r="L20" s="12" t="s">
        <v>194</v>
      </c>
      <c r="M20" s="12" t="s">
        <v>195</v>
      </c>
      <c r="N20" s="12" t="s">
        <v>196</v>
      </c>
    </row>
    <row r="21" spans="1:14" s="13" customFormat="1" x14ac:dyDescent="0.3">
      <c r="A21" s="3" t="s">
        <v>3</v>
      </c>
      <c r="B21" s="3" t="s">
        <v>244</v>
      </c>
      <c r="C21" s="3" t="s">
        <v>283</v>
      </c>
      <c r="D21" s="3" t="s">
        <v>291</v>
      </c>
      <c r="E21" s="12" t="s">
        <v>177</v>
      </c>
      <c r="F21" s="14">
        <v>2.74</v>
      </c>
      <c r="G21" s="6">
        <f t="shared" si="0"/>
        <v>0.74839999999999995</v>
      </c>
      <c r="H21" s="6" t="s">
        <v>211</v>
      </c>
      <c r="I21" s="6" t="s">
        <v>212</v>
      </c>
      <c r="J21" s="12" t="s">
        <v>179</v>
      </c>
      <c r="K21" s="12" t="s">
        <v>180</v>
      </c>
      <c r="L21" s="12" t="s">
        <v>194</v>
      </c>
      <c r="M21" s="12" t="s">
        <v>195</v>
      </c>
      <c r="N21" s="12" t="s">
        <v>196</v>
      </c>
    </row>
    <row r="22" spans="1:14" s="13" customFormat="1" x14ac:dyDescent="0.3">
      <c r="A22" s="3" t="s">
        <v>3</v>
      </c>
      <c r="B22" s="3" t="s">
        <v>245</v>
      </c>
      <c r="C22" s="3" t="s">
        <v>283</v>
      </c>
      <c r="D22" s="3" t="s">
        <v>291</v>
      </c>
      <c r="E22" s="12" t="s">
        <v>177</v>
      </c>
      <c r="F22" s="14">
        <v>2.74</v>
      </c>
      <c r="G22" s="6">
        <f t="shared" si="0"/>
        <v>0.74839999999999995</v>
      </c>
      <c r="H22" s="6" t="s">
        <v>211</v>
      </c>
      <c r="I22" s="6" t="s">
        <v>212</v>
      </c>
      <c r="J22" s="12" t="s">
        <v>179</v>
      </c>
      <c r="K22" s="12" t="s">
        <v>180</v>
      </c>
      <c r="L22" s="12" t="s">
        <v>194</v>
      </c>
      <c r="M22" s="12" t="s">
        <v>195</v>
      </c>
      <c r="N22" s="12" t="s">
        <v>196</v>
      </c>
    </row>
    <row r="23" spans="1:14" s="13" customFormat="1" x14ac:dyDescent="0.3">
      <c r="A23" s="3" t="s">
        <v>3</v>
      </c>
      <c r="B23" s="3" t="s">
        <v>246</v>
      </c>
      <c r="C23" s="3" t="s">
        <v>283</v>
      </c>
      <c r="D23" s="3" t="s">
        <v>291</v>
      </c>
      <c r="E23" s="12" t="s">
        <v>177</v>
      </c>
      <c r="F23" s="14">
        <v>2.74</v>
      </c>
      <c r="G23" s="6">
        <f t="shared" si="0"/>
        <v>0.74839999999999995</v>
      </c>
      <c r="H23" s="6" t="s">
        <v>211</v>
      </c>
      <c r="I23" s="6" t="s">
        <v>212</v>
      </c>
      <c r="J23" s="12" t="s">
        <v>179</v>
      </c>
      <c r="K23" s="12" t="s">
        <v>180</v>
      </c>
      <c r="L23" s="12" t="s">
        <v>194</v>
      </c>
      <c r="M23" s="12" t="s">
        <v>195</v>
      </c>
      <c r="N23" s="12" t="s">
        <v>196</v>
      </c>
    </row>
    <row r="24" spans="1:14" s="13" customFormat="1" x14ac:dyDescent="0.3">
      <c r="A24" s="3" t="s">
        <v>3</v>
      </c>
      <c r="B24" s="3" t="s">
        <v>247</v>
      </c>
      <c r="C24" s="3" t="s">
        <v>283</v>
      </c>
      <c r="D24" s="3" t="s">
        <v>291</v>
      </c>
      <c r="E24" s="12" t="s">
        <v>177</v>
      </c>
      <c r="F24" s="14">
        <v>2.74</v>
      </c>
      <c r="G24" s="6">
        <f t="shared" si="0"/>
        <v>0.74839999999999995</v>
      </c>
      <c r="H24" s="6" t="s">
        <v>211</v>
      </c>
      <c r="I24" s="6" t="s">
        <v>212</v>
      </c>
      <c r="J24" s="12" t="s">
        <v>179</v>
      </c>
      <c r="K24" s="12" t="s">
        <v>180</v>
      </c>
      <c r="L24" s="12" t="s">
        <v>194</v>
      </c>
      <c r="M24" s="12" t="s">
        <v>195</v>
      </c>
      <c r="N24" s="12" t="s">
        <v>196</v>
      </c>
    </row>
    <row r="25" spans="1:14" s="13" customFormat="1" x14ac:dyDescent="0.3">
      <c r="A25" s="3" t="s">
        <v>3</v>
      </c>
      <c r="B25" s="3" t="s">
        <v>248</v>
      </c>
      <c r="C25" s="3" t="s">
        <v>283</v>
      </c>
      <c r="D25" s="3" t="s">
        <v>291</v>
      </c>
      <c r="E25" s="12" t="s">
        <v>177</v>
      </c>
      <c r="F25" s="14">
        <v>2.74</v>
      </c>
      <c r="G25" s="6">
        <f t="shared" si="0"/>
        <v>0.74839999999999995</v>
      </c>
      <c r="H25" s="6" t="s">
        <v>211</v>
      </c>
      <c r="I25" s="6" t="s">
        <v>212</v>
      </c>
      <c r="J25" s="12" t="s">
        <v>179</v>
      </c>
      <c r="K25" s="12" t="s">
        <v>180</v>
      </c>
      <c r="L25" s="12" t="s">
        <v>194</v>
      </c>
      <c r="M25" s="12" t="s">
        <v>195</v>
      </c>
      <c r="N25" s="12" t="s">
        <v>196</v>
      </c>
    </row>
    <row r="26" spans="1:14" s="13" customFormat="1" x14ac:dyDescent="0.3">
      <c r="A26" s="3" t="s">
        <v>3</v>
      </c>
      <c r="B26" s="3" t="s">
        <v>249</v>
      </c>
      <c r="C26" s="3" t="s">
        <v>283</v>
      </c>
      <c r="D26" s="3" t="s">
        <v>291</v>
      </c>
      <c r="E26" s="12" t="s">
        <v>177</v>
      </c>
      <c r="F26" s="14">
        <v>2.74</v>
      </c>
      <c r="G26" s="6">
        <f t="shared" si="0"/>
        <v>0.74839999999999995</v>
      </c>
      <c r="H26" s="6" t="s">
        <v>211</v>
      </c>
      <c r="I26" s="6" t="s">
        <v>212</v>
      </c>
      <c r="J26" s="12" t="s">
        <v>179</v>
      </c>
      <c r="K26" s="12" t="s">
        <v>180</v>
      </c>
      <c r="L26" s="12" t="s">
        <v>194</v>
      </c>
      <c r="M26" s="12" t="s">
        <v>195</v>
      </c>
      <c r="N26" s="12" t="s">
        <v>196</v>
      </c>
    </row>
    <row r="27" spans="1:14" x14ac:dyDescent="0.3">
      <c r="A27" s="3" t="s">
        <v>4</v>
      </c>
      <c r="B27" s="3" t="s">
        <v>228</v>
      </c>
      <c r="C27" s="3" t="s">
        <v>283</v>
      </c>
      <c r="D27" s="3" t="s">
        <v>290</v>
      </c>
      <c r="E27" s="2" t="s">
        <v>177</v>
      </c>
      <c r="F27" s="14">
        <v>2.7281275264508418</v>
      </c>
      <c r="G27" s="6">
        <f>0.173+(F27*0.21)</f>
        <v>0.74590678055467663</v>
      </c>
      <c r="H27" s="6" t="s">
        <v>211</v>
      </c>
      <c r="I27" s="6" t="s">
        <v>212</v>
      </c>
      <c r="J27" s="2" t="s">
        <v>179</v>
      </c>
      <c r="K27" s="2" t="s">
        <v>180</v>
      </c>
      <c r="L27" s="2" t="s">
        <v>197</v>
      </c>
      <c r="M27" s="2" t="s">
        <v>198</v>
      </c>
      <c r="N27" s="2" t="s">
        <v>196</v>
      </c>
    </row>
    <row r="28" spans="1:14" s="13" customFormat="1" x14ac:dyDescent="0.3">
      <c r="A28" s="3" t="s">
        <v>4</v>
      </c>
      <c r="B28" s="3" t="s">
        <v>250</v>
      </c>
      <c r="C28" s="3" t="s">
        <v>283</v>
      </c>
      <c r="D28" s="3" t="s">
        <v>290</v>
      </c>
      <c r="E28" s="12" t="s">
        <v>177</v>
      </c>
      <c r="F28" s="14">
        <v>2.7281275264508418</v>
      </c>
      <c r="G28" s="6">
        <f>0.173+(F28*0.21)</f>
        <v>0.74590678055467663</v>
      </c>
      <c r="H28" s="6" t="s">
        <v>211</v>
      </c>
      <c r="I28" s="6" t="s">
        <v>212</v>
      </c>
      <c r="J28" s="12" t="s">
        <v>179</v>
      </c>
      <c r="K28" s="12" t="s">
        <v>180</v>
      </c>
      <c r="L28" s="12" t="s">
        <v>197</v>
      </c>
      <c r="M28" s="12" t="s">
        <v>198</v>
      </c>
      <c r="N28" s="12" t="s">
        <v>196</v>
      </c>
    </row>
    <row r="29" spans="1:14" s="13" customFormat="1" x14ac:dyDescent="0.3">
      <c r="A29" s="3" t="s">
        <v>4</v>
      </c>
      <c r="B29" s="3" t="s">
        <v>5</v>
      </c>
      <c r="C29" s="3" t="s">
        <v>284</v>
      </c>
      <c r="D29" s="3" t="s">
        <v>290</v>
      </c>
      <c r="E29" s="12" t="s">
        <v>215</v>
      </c>
      <c r="F29" s="14">
        <v>2.76</v>
      </c>
      <c r="G29" s="6">
        <v>0.76455999999999991</v>
      </c>
      <c r="H29" s="6" t="s">
        <v>213</v>
      </c>
      <c r="I29" s="6" t="s">
        <v>214</v>
      </c>
      <c r="J29" s="12" t="s">
        <v>186</v>
      </c>
      <c r="K29" s="12" t="s">
        <v>187</v>
      </c>
      <c r="L29" s="12" t="s">
        <v>202</v>
      </c>
      <c r="M29" s="12" t="s">
        <v>203</v>
      </c>
      <c r="N29" s="12" t="s">
        <v>201</v>
      </c>
    </row>
    <row r="30" spans="1:14" s="13" customFormat="1" x14ac:dyDescent="0.3">
      <c r="A30" s="3" t="s">
        <v>4</v>
      </c>
      <c r="B30" s="3" t="s">
        <v>251</v>
      </c>
      <c r="C30" s="3" t="s">
        <v>283</v>
      </c>
      <c r="D30" s="3" t="s">
        <v>290</v>
      </c>
      <c r="E30" s="12" t="s">
        <v>177</v>
      </c>
      <c r="F30" s="14">
        <v>2.7281275264508418</v>
      </c>
      <c r="G30" s="6">
        <f t="shared" ref="G30:G42" si="1">0.173+(F30*0.21)</f>
        <v>0.74590678055467663</v>
      </c>
      <c r="H30" s="6" t="s">
        <v>211</v>
      </c>
      <c r="I30" s="6" t="s">
        <v>212</v>
      </c>
      <c r="J30" s="12" t="s">
        <v>179</v>
      </c>
      <c r="K30" s="12" t="s">
        <v>180</v>
      </c>
      <c r="L30" s="12" t="s">
        <v>197</v>
      </c>
      <c r="M30" s="12" t="s">
        <v>198</v>
      </c>
      <c r="N30" s="12" t="s">
        <v>196</v>
      </c>
    </row>
    <row r="31" spans="1:14" s="13" customFormat="1" x14ac:dyDescent="0.3">
      <c r="A31" s="3" t="s">
        <v>4</v>
      </c>
      <c r="B31" s="3" t="s">
        <v>252</v>
      </c>
      <c r="C31" s="3" t="s">
        <v>283</v>
      </c>
      <c r="D31" s="3" t="s">
        <v>290</v>
      </c>
      <c r="E31" s="12" t="s">
        <v>177</v>
      </c>
      <c r="F31" s="14">
        <v>2.7281275264508418</v>
      </c>
      <c r="G31" s="6">
        <f t="shared" si="1"/>
        <v>0.74590678055467663</v>
      </c>
      <c r="H31" s="6" t="s">
        <v>211</v>
      </c>
      <c r="I31" s="6" t="s">
        <v>212</v>
      </c>
      <c r="J31" s="12" t="s">
        <v>179</v>
      </c>
      <c r="K31" s="12" t="s">
        <v>180</v>
      </c>
      <c r="L31" s="12" t="s">
        <v>197</v>
      </c>
      <c r="M31" s="12" t="s">
        <v>198</v>
      </c>
      <c r="N31" s="12" t="s">
        <v>196</v>
      </c>
    </row>
    <row r="32" spans="1:14" s="13" customFormat="1" x14ac:dyDescent="0.3">
      <c r="A32" s="3" t="s">
        <v>4</v>
      </c>
      <c r="B32" s="3" t="s">
        <v>253</v>
      </c>
      <c r="C32" s="3" t="s">
        <v>283</v>
      </c>
      <c r="D32" s="3" t="s">
        <v>290</v>
      </c>
      <c r="E32" s="12" t="s">
        <v>177</v>
      </c>
      <c r="F32" s="14">
        <v>2.7281275264508418</v>
      </c>
      <c r="G32" s="6">
        <f t="shared" si="1"/>
        <v>0.74590678055467663</v>
      </c>
      <c r="H32" s="6" t="s">
        <v>211</v>
      </c>
      <c r="I32" s="6" t="s">
        <v>212</v>
      </c>
      <c r="J32" s="12" t="s">
        <v>179</v>
      </c>
      <c r="K32" s="12" t="s">
        <v>180</v>
      </c>
      <c r="L32" s="12" t="s">
        <v>197</v>
      </c>
      <c r="M32" s="12" t="s">
        <v>198</v>
      </c>
      <c r="N32" s="12" t="s">
        <v>196</v>
      </c>
    </row>
    <row r="33" spans="1:14" s="13" customFormat="1" x14ac:dyDescent="0.3">
      <c r="A33" s="3" t="s">
        <v>4</v>
      </c>
      <c r="B33" s="3" t="s">
        <v>254</v>
      </c>
      <c r="C33" s="3" t="s">
        <v>283</v>
      </c>
      <c r="D33" s="3" t="s">
        <v>290</v>
      </c>
      <c r="E33" s="12" t="s">
        <v>177</v>
      </c>
      <c r="F33" s="14">
        <v>2.7281275264508418</v>
      </c>
      <c r="G33" s="6">
        <f t="shared" si="1"/>
        <v>0.74590678055467663</v>
      </c>
      <c r="H33" s="6" t="s">
        <v>211</v>
      </c>
      <c r="I33" s="6" t="s">
        <v>212</v>
      </c>
      <c r="J33" s="12" t="s">
        <v>179</v>
      </c>
      <c r="K33" s="12" t="s">
        <v>180</v>
      </c>
      <c r="L33" s="12" t="s">
        <v>197</v>
      </c>
      <c r="M33" s="12" t="s">
        <v>198</v>
      </c>
      <c r="N33" s="12" t="s">
        <v>196</v>
      </c>
    </row>
    <row r="34" spans="1:14" s="13" customFormat="1" x14ac:dyDescent="0.3">
      <c r="A34" s="3" t="s">
        <v>4</v>
      </c>
      <c r="B34" s="3" t="s">
        <v>255</v>
      </c>
      <c r="C34" s="3" t="s">
        <v>283</v>
      </c>
      <c r="D34" s="3" t="s">
        <v>290</v>
      </c>
      <c r="E34" s="12" t="s">
        <v>177</v>
      </c>
      <c r="F34" s="14">
        <v>2.7281275264508418</v>
      </c>
      <c r="G34" s="6">
        <f t="shared" si="1"/>
        <v>0.74590678055467663</v>
      </c>
      <c r="H34" s="6" t="s">
        <v>211</v>
      </c>
      <c r="I34" s="6" t="s">
        <v>212</v>
      </c>
      <c r="J34" s="12" t="s">
        <v>179</v>
      </c>
      <c r="K34" s="12" t="s">
        <v>180</v>
      </c>
      <c r="L34" s="12" t="s">
        <v>197</v>
      </c>
      <c r="M34" s="12" t="s">
        <v>198</v>
      </c>
      <c r="N34" s="12" t="s">
        <v>196</v>
      </c>
    </row>
    <row r="35" spans="1:14" s="13" customFormat="1" x14ac:dyDescent="0.3">
      <c r="A35" s="3" t="s">
        <v>4</v>
      </c>
      <c r="B35" s="3" t="s">
        <v>256</v>
      </c>
      <c r="C35" s="3" t="s">
        <v>283</v>
      </c>
      <c r="D35" s="3" t="s">
        <v>290</v>
      </c>
      <c r="E35" s="12" t="s">
        <v>177</v>
      </c>
      <c r="F35" s="14">
        <v>2.7281275264508418</v>
      </c>
      <c r="G35" s="6">
        <f t="shared" si="1"/>
        <v>0.74590678055467663</v>
      </c>
      <c r="H35" s="6" t="s">
        <v>211</v>
      </c>
      <c r="I35" s="6" t="s">
        <v>212</v>
      </c>
      <c r="J35" s="12" t="s">
        <v>179</v>
      </c>
      <c r="K35" s="12" t="s">
        <v>180</v>
      </c>
      <c r="L35" s="12" t="s">
        <v>197</v>
      </c>
      <c r="M35" s="12" t="s">
        <v>198</v>
      </c>
      <c r="N35" s="12" t="s">
        <v>196</v>
      </c>
    </row>
    <row r="36" spans="1:14" s="13" customFormat="1" x14ac:dyDescent="0.3">
      <c r="A36" s="3" t="s">
        <v>4</v>
      </c>
      <c r="B36" s="3" t="s">
        <v>257</v>
      </c>
      <c r="C36" s="3" t="s">
        <v>283</v>
      </c>
      <c r="D36" s="3" t="s">
        <v>290</v>
      </c>
      <c r="E36" s="12" t="s">
        <v>177</v>
      </c>
      <c r="F36" s="14">
        <v>2.7281275264508418</v>
      </c>
      <c r="G36" s="6">
        <f t="shared" si="1"/>
        <v>0.74590678055467663</v>
      </c>
      <c r="H36" s="6" t="s">
        <v>211</v>
      </c>
      <c r="I36" s="6" t="s">
        <v>212</v>
      </c>
      <c r="J36" s="12" t="s">
        <v>179</v>
      </c>
      <c r="K36" s="12" t="s">
        <v>180</v>
      </c>
      <c r="L36" s="12" t="s">
        <v>197</v>
      </c>
      <c r="M36" s="12" t="s">
        <v>198</v>
      </c>
      <c r="N36" s="12" t="s">
        <v>196</v>
      </c>
    </row>
    <row r="37" spans="1:14" s="13" customFormat="1" x14ac:dyDescent="0.3">
      <c r="A37" s="3" t="s">
        <v>4</v>
      </c>
      <c r="B37" s="3" t="s">
        <v>258</v>
      </c>
      <c r="C37" s="3" t="s">
        <v>283</v>
      </c>
      <c r="D37" s="3" t="s">
        <v>290</v>
      </c>
      <c r="E37" s="12" t="s">
        <v>177</v>
      </c>
      <c r="F37" s="14">
        <v>2.7281275264508418</v>
      </c>
      <c r="G37" s="6">
        <f t="shared" si="1"/>
        <v>0.74590678055467663</v>
      </c>
      <c r="H37" s="6" t="s">
        <v>211</v>
      </c>
      <c r="I37" s="6" t="s">
        <v>212</v>
      </c>
      <c r="J37" s="12" t="s">
        <v>179</v>
      </c>
      <c r="K37" s="12" t="s">
        <v>180</v>
      </c>
      <c r="L37" s="12" t="s">
        <v>197</v>
      </c>
      <c r="M37" s="12" t="s">
        <v>198</v>
      </c>
      <c r="N37" s="12" t="s">
        <v>196</v>
      </c>
    </row>
    <row r="38" spans="1:14" s="13" customFormat="1" x14ac:dyDescent="0.3">
      <c r="A38" s="3" t="s">
        <v>4</v>
      </c>
      <c r="B38" s="3" t="s">
        <v>259</v>
      </c>
      <c r="C38" s="3" t="s">
        <v>283</v>
      </c>
      <c r="D38" s="3" t="s">
        <v>290</v>
      </c>
      <c r="E38" s="12" t="s">
        <v>177</v>
      </c>
      <c r="F38" s="14">
        <v>2.7281275264508418</v>
      </c>
      <c r="G38" s="6">
        <f t="shared" si="1"/>
        <v>0.74590678055467663</v>
      </c>
      <c r="H38" s="6" t="s">
        <v>211</v>
      </c>
      <c r="I38" s="6" t="s">
        <v>212</v>
      </c>
      <c r="J38" s="12" t="s">
        <v>179</v>
      </c>
      <c r="K38" s="12" t="s">
        <v>180</v>
      </c>
      <c r="L38" s="12" t="s">
        <v>197</v>
      </c>
      <c r="M38" s="12" t="s">
        <v>198</v>
      </c>
      <c r="N38" s="12" t="s">
        <v>196</v>
      </c>
    </row>
    <row r="39" spans="1:14" s="13" customFormat="1" x14ac:dyDescent="0.3">
      <c r="A39" s="3" t="s">
        <v>4</v>
      </c>
      <c r="B39" s="3" t="s">
        <v>260</v>
      </c>
      <c r="C39" s="3" t="s">
        <v>283</v>
      </c>
      <c r="D39" s="3" t="s">
        <v>290</v>
      </c>
      <c r="E39" s="12" t="s">
        <v>177</v>
      </c>
      <c r="F39" s="14">
        <v>2.7281275264508418</v>
      </c>
      <c r="G39" s="6">
        <f t="shared" si="1"/>
        <v>0.74590678055467663</v>
      </c>
      <c r="H39" s="6" t="s">
        <v>211</v>
      </c>
      <c r="I39" s="6" t="s">
        <v>212</v>
      </c>
      <c r="J39" s="12" t="s">
        <v>179</v>
      </c>
      <c r="K39" s="12" t="s">
        <v>180</v>
      </c>
      <c r="L39" s="12" t="s">
        <v>197</v>
      </c>
      <c r="M39" s="12" t="s">
        <v>198</v>
      </c>
      <c r="N39" s="12" t="s">
        <v>196</v>
      </c>
    </row>
    <row r="40" spans="1:14" s="13" customFormat="1" x14ac:dyDescent="0.3">
      <c r="A40" s="3" t="s">
        <v>4</v>
      </c>
      <c r="B40" s="3" t="s">
        <v>261</v>
      </c>
      <c r="C40" s="3" t="s">
        <v>283</v>
      </c>
      <c r="D40" s="3" t="s">
        <v>290</v>
      </c>
      <c r="E40" s="12" t="s">
        <v>177</v>
      </c>
      <c r="F40" s="14">
        <v>2.7281275264508418</v>
      </c>
      <c r="G40" s="6">
        <f t="shared" si="1"/>
        <v>0.74590678055467663</v>
      </c>
      <c r="H40" s="6" t="s">
        <v>211</v>
      </c>
      <c r="I40" s="6" t="s">
        <v>212</v>
      </c>
      <c r="J40" s="12" t="s">
        <v>179</v>
      </c>
      <c r="K40" s="12" t="s">
        <v>180</v>
      </c>
      <c r="L40" s="12" t="s">
        <v>197</v>
      </c>
      <c r="M40" s="12" t="s">
        <v>198</v>
      </c>
      <c r="N40" s="12" t="s">
        <v>196</v>
      </c>
    </row>
    <row r="41" spans="1:14" s="13" customFormat="1" x14ac:dyDescent="0.3">
      <c r="A41" s="3" t="s">
        <v>4</v>
      </c>
      <c r="B41" s="3" t="s">
        <v>248</v>
      </c>
      <c r="C41" s="3" t="s">
        <v>283</v>
      </c>
      <c r="D41" s="3" t="s">
        <v>290</v>
      </c>
      <c r="E41" s="12" t="s">
        <v>177</v>
      </c>
      <c r="F41" s="14">
        <v>2.7281275264508418</v>
      </c>
      <c r="G41" s="6">
        <f t="shared" si="1"/>
        <v>0.74590678055467663</v>
      </c>
      <c r="H41" s="6" t="s">
        <v>211</v>
      </c>
      <c r="I41" s="6" t="s">
        <v>212</v>
      </c>
      <c r="J41" s="12" t="s">
        <v>179</v>
      </c>
      <c r="K41" s="12" t="s">
        <v>180</v>
      </c>
      <c r="L41" s="12" t="s">
        <v>197</v>
      </c>
      <c r="M41" s="12" t="s">
        <v>198</v>
      </c>
      <c r="N41" s="12" t="s">
        <v>196</v>
      </c>
    </row>
    <row r="42" spans="1:14" x14ac:dyDescent="0.3">
      <c r="A42" s="3" t="s">
        <v>4</v>
      </c>
      <c r="B42" s="3" t="s">
        <v>262</v>
      </c>
      <c r="C42" s="3" t="s">
        <v>283</v>
      </c>
      <c r="D42" s="3" t="s">
        <v>290</v>
      </c>
      <c r="E42" s="12" t="s">
        <v>177</v>
      </c>
      <c r="F42" s="14">
        <v>2.7281275264508418</v>
      </c>
      <c r="G42" s="6">
        <f t="shared" si="1"/>
        <v>0.74590678055467663</v>
      </c>
      <c r="H42" s="6" t="s">
        <v>211</v>
      </c>
      <c r="I42" s="6" t="s">
        <v>212</v>
      </c>
      <c r="J42" s="12" t="s">
        <v>179</v>
      </c>
      <c r="K42" s="12" t="s">
        <v>180</v>
      </c>
      <c r="L42" s="12" t="s">
        <v>197</v>
      </c>
      <c r="M42" s="12" t="s">
        <v>198</v>
      </c>
      <c r="N42" s="12" t="s">
        <v>196</v>
      </c>
    </row>
    <row r="43" spans="1:14" x14ac:dyDescent="0.3">
      <c r="A43" s="3" t="s">
        <v>6</v>
      </c>
      <c r="B43" s="3" t="s">
        <v>251</v>
      </c>
      <c r="C43" s="3" t="s">
        <v>283</v>
      </c>
      <c r="D43" s="3" t="s">
        <v>291</v>
      </c>
      <c r="E43" s="2" t="s">
        <v>177</v>
      </c>
      <c r="F43" s="14">
        <v>2.8</v>
      </c>
      <c r="G43" s="6">
        <f>0.173+(F43*0.21)</f>
        <v>0.7609999999999999</v>
      </c>
      <c r="H43" s="6" t="s">
        <v>211</v>
      </c>
      <c r="I43" s="6" t="s">
        <v>212</v>
      </c>
      <c r="J43" s="2" t="s">
        <v>179</v>
      </c>
      <c r="K43" s="2" t="s">
        <v>180</v>
      </c>
      <c r="L43" s="2" t="s">
        <v>194</v>
      </c>
      <c r="M43" s="2" t="s">
        <v>195</v>
      </c>
      <c r="N43" s="2" t="s">
        <v>196</v>
      </c>
    </row>
    <row r="44" spans="1:14" s="13" customFormat="1" x14ac:dyDescent="0.3">
      <c r="A44" s="3" t="s">
        <v>6</v>
      </c>
      <c r="B44" s="3" t="s">
        <v>263</v>
      </c>
      <c r="C44" s="3" t="s">
        <v>283</v>
      </c>
      <c r="D44" s="3" t="s">
        <v>291</v>
      </c>
      <c r="E44" s="12" t="s">
        <v>177</v>
      </c>
      <c r="F44" s="14">
        <v>2.8</v>
      </c>
      <c r="G44" s="6">
        <f>0.173+(F44*0.21)</f>
        <v>0.7609999999999999</v>
      </c>
      <c r="H44" s="6" t="s">
        <v>211</v>
      </c>
      <c r="I44" s="6" t="s">
        <v>212</v>
      </c>
      <c r="J44" s="12" t="s">
        <v>179</v>
      </c>
      <c r="K44" s="12" t="s">
        <v>180</v>
      </c>
      <c r="L44" s="12" t="s">
        <v>194</v>
      </c>
      <c r="M44" s="12" t="s">
        <v>195</v>
      </c>
      <c r="N44" s="12" t="s">
        <v>196</v>
      </c>
    </row>
    <row r="45" spans="1:14" s="13" customFormat="1" x14ac:dyDescent="0.3">
      <c r="A45" s="3" t="s">
        <v>6</v>
      </c>
      <c r="B45" s="3" t="s">
        <v>7</v>
      </c>
      <c r="C45" s="3" t="s">
        <v>284</v>
      </c>
      <c r="D45" s="3" t="s">
        <v>291</v>
      </c>
      <c r="E45" s="12" t="s">
        <v>178</v>
      </c>
      <c r="F45" s="14">
        <v>2.98</v>
      </c>
      <c r="G45" s="6">
        <f>0.265+(F45*0.181)</f>
        <v>0.80437999999999998</v>
      </c>
      <c r="H45" s="6" t="s">
        <v>213</v>
      </c>
      <c r="I45" s="6" t="s">
        <v>214</v>
      </c>
      <c r="J45" s="12" t="s">
        <v>181</v>
      </c>
      <c r="K45" s="12" t="s">
        <v>182</v>
      </c>
      <c r="L45" s="12" t="s">
        <v>194</v>
      </c>
      <c r="M45" s="12" t="s">
        <v>195</v>
      </c>
      <c r="N45" s="12" t="s">
        <v>196</v>
      </c>
    </row>
    <row r="46" spans="1:14" s="13" customFormat="1" x14ac:dyDescent="0.3">
      <c r="A46" s="3" t="s">
        <v>6</v>
      </c>
      <c r="B46" s="3" t="s">
        <v>252</v>
      </c>
      <c r="C46" s="3" t="s">
        <v>283</v>
      </c>
      <c r="D46" s="3" t="s">
        <v>291</v>
      </c>
      <c r="E46" s="12" t="s">
        <v>177</v>
      </c>
      <c r="F46" s="14">
        <v>2.8</v>
      </c>
      <c r="G46" s="6">
        <f>0.173+(F46*0.21)</f>
        <v>0.7609999999999999</v>
      </c>
      <c r="H46" s="6" t="s">
        <v>211</v>
      </c>
      <c r="I46" s="6" t="s">
        <v>212</v>
      </c>
      <c r="J46" s="12" t="s">
        <v>179</v>
      </c>
      <c r="K46" s="12" t="s">
        <v>180</v>
      </c>
      <c r="L46" s="12" t="s">
        <v>194</v>
      </c>
      <c r="M46" s="12" t="s">
        <v>195</v>
      </c>
      <c r="N46" s="12" t="s">
        <v>196</v>
      </c>
    </row>
    <row r="47" spans="1:14" s="13" customFormat="1" x14ac:dyDescent="0.3">
      <c r="A47" s="3" t="s">
        <v>6</v>
      </c>
      <c r="B47" s="3" t="s">
        <v>255</v>
      </c>
      <c r="C47" s="3" t="s">
        <v>283</v>
      </c>
      <c r="D47" s="3" t="s">
        <v>291</v>
      </c>
      <c r="E47" s="12" t="s">
        <v>177</v>
      </c>
      <c r="F47" s="14">
        <v>2.8</v>
      </c>
      <c r="G47" s="6">
        <f>0.173+(F47*0.21)</f>
        <v>0.7609999999999999</v>
      </c>
      <c r="H47" s="6" t="s">
        <v>211</v>
      </c>
      <c r="I47" s="6" t="s">
        <v>212</v>
      </c>
      <c r="J47" s="12" t="s">
        <v>179</v>
      </c>
      <c r="K47" s="12" t="s">
        <v>180</v>
      </c>
      <c r="L47" s="12" t="s">
        <v>194</v>
      </c>
      <c r="M47" s="12" t="s">
        <v>195</v>
      </c>
      <c r="N47" s="12" t="s">
        <v>196</v>
      </c>
    </row>
    <row r="48" spans="1:14" s="13" customFormat="1" x14ac:dyDescent="0.3">
      <c r="A48" s="3" t="s">
        <v>6</v>
      </c>
      <c r="B48" s="3" t="s">
        <v>258</v>
      </c>
      <c r="C48" s="3" t="s">
        <v>283</v>
      </c>
      <c r="D48" s="3" t="s">
        <v>291</v>
      </c>
      <c r="E48" s="12" t="s">
        <v>177</v>
      </c>
      <c r="F48" s="14">
        <v>2.8</v>
      </c>
      <c r="G48" s="6">
        <f>0.173+(F48*0.21)</f>
        <v>0.7609999999999999</v>
      </c>
      <c r="H48" s="6" t="s">
        <v>211</v>
      </c>
      <c r="I48" s="6" t="s">
        <v>212</v>
      </c>
      <c r="J48" s="12" t="s">
        <v>179</v>
      </c>
      <c r="K48" s="12" t="s">
        <v>180</v>
      </c>
      <c r="L48" s="12" t="s">
        <v>194</v>
      </c>
      <c r="M48" s="12" t="s">
        <v>195</v>
      </c>
      <c r="N48" s="12" t="s">
        <v>196</v>
      </c>
    </row>
    <row r="49" spans="1:14" s="13" customFormat="1" x14ac:dyDescent="0.3">
      <c r="A49" s="3" t="s">
        <v>6</v>
      </c>
      <c r="B49" s="3" t="s">
        <v>264</v>
      </c>
      <c r="C49" s="3" t="s">
        <v>283</v>
      </c>
      <c r="D49" s="3" t="s">
        <v>291</v>
      </c>
      <c r="E49" s="12" t="s">
        <v>177</v>
      </c>
      <c r="F49" s="14">
        <v>2.8</v>
      </c>
      <c r="G49" s="6">
        <f>0.173+(F49*0.21)</f>
        <v>0.7609999999999999</v>
      </c>
      <c r="H49" s="6" t="s">
        <v>211</v>
      </c>
      <c r="I49" s="6" t="s">
        <v>212</v>
      </c>
      <c r="J49" s="12" t="s">
        <v>179</v>
      </c>
      <c r="K49" s="12" t="s">
        <v>180</v>
      </c>
      <c r="L49" s="12" t="s">
        <v>194</v>
      </c>
      <c r="M49" s="12" t="s">
        <v>195</v>
      </c>
      <c r="N49" s="12" t="s">
        <v>196</v>
      </c>
    </row>
    <row r="50" spans="1:14" x14ac:dyDescent="0.3">
      <c r="A50" s="3" t="s">
        <v>6</v>
      </c>
      <c r="B50" s="3" t="s">
        <v>248</v>
      </c>
      <c r="C50" s="3" t="s">
        <v>283</v>
      </c>
      <c r="D50" s="3" t="s">
        <v>291</v>
      </c>
      <c r="E50" s="12" t="s">
        <v>177</v>
      </c>
      <c r="F50" s="14">
        <v>2.8</v>
      </c>
      <c r="G50" s="6">
        <f>0.173+(F50*0.21)</f>
        <v>0.7609999999999999</v>
      </c>
      <c r="H50" s="6" t="s">
        <v>211</v>
      </c>
      <c r="I50" s="6" t="s">
        <v>212</v>
      </c>
      <c r="J50" s="12" t="s">
        <v>179</v>
      </c>
      <c r="K50" s="12" t="s">
        <v>180</v>
      </c>
      <c r="L50" s="12" t="s">
        <v>194</v>
      </c>
      <c r="M50" s="12" t="s">
        <v>195</v>
      </c>
      <c r="N50" s="12" t="s">
        <v>196</v>
      </c>
    </row>
    <row r="51" spans="1:14" x14ac:dyDescent="0.3">
      <c r="A51" s="3" t="s">
        <v>8</v>
      </c>
      <c r="B51" s="3" t="s">
        <v>10</v>
      </c>
      <c r="C51" s="3" t="s">
        <v>284</v>
      </c>
      <c r="D51" s="3" t="s">
        <v>291</v>
      </c>
      <c r="E51" s="12" t="s">
        <v>178</v>
      </c>
      <c r="F51" s="14">
        <v>2.6</v>
      </c>
      <c r="G51" s="6">
        <f>0.265+(F51*0.181)</f>
        <v>0.73560000000000003</v>
      </c>
      <c r="H51" s="6" t="s">
        <v>213</v>
      </c>
      <c r="I51" s="6" t="s">
        <v>214</v>
      </c>
      <c r="J51" s="12" t="s">
        <v>181</v>
      </c>
      <c r="K51" s="12" t="s">
        <v>182</v>
      </c>
      <c r="L51" s="12" t="s">
        <v>194</v>
      </c>
      <c r="M51" s="12" t="s">
        <v>195</v>
      </c>
      <c r="N51" s="12" t="s">
        <v>196</v>
      </c>
    </row>
    <row r="52" spans="1:14" s="13" customFormat="1" x14ac:dyDescent="0.3">
      <c r="A52" s="3" t="s">
        <v>8</v>
      </c>
      <c r="B52" s="3" t="s">
        <v>265</v>
      </c>
      <c r="C52" s="3" t="s">
        <v>283</v>
      </c>
      <c r="D52" s="3" t="s">
        <v>291</v>
      </c>
      <c r="E52" s="12" t="s">
        <v>177</v>
      </c>
      <c r="F52" s="14">
        <v>2.86</v>
      </c>
      <c r="G52" s="6">
        <f t="shared" ref="G52:G58" si="2">0.173+(F52*0.21)</f>
        <v>0.77359999999999984</v>
      </c>
      <c r="H52" s="6" t="s">
        <v>211</v>
      </c>
      <c r="I52" s="6" t="s">
        <v>212</v>
      </c>
      <c r="J52" s="12" t="s">
        <v>179</v>
      </c>
      <c r="K52" s="12" t="s">
        <v>180</v>
      </c>
      <c r="L52" s="12" t="s">
        <v>194</v>
      </c>
      <c r="M52" s="12" t="s">
        <v>195</v>
      </c>
      <c r="N52" s="12" t="s">
        <v>196</v>
      </c>
    </row>
    <row r="53" spans="1:14" s="13" customFormat="1" x14ac:dyDescent="0.3">
      <c r="A53" s="3" t="s">
        <v>8</v>
      </c>
      <c r="B53" s="3" t="s">
        <v>251</v>
      </c>
      <c r="C53" s="3" t="s">
        <v>283</v>
      </c>
      <c r="D53" s="3" t="s">
        <v>291</v>
      </c>
      <c r="E53" s="12" t="s">
        <v>177</v>
      </c>
      <c r="F53" s="14">
        <v>2.86</v>
      </c>
      <c r="G53" s="6">
        <f t="shared" si="2"/>
        <v>0.77359999999999984</v>
      </c>
      <c r="H53" s="6" t="s">
        <v>211</v>
      </c>
      <c r="I53" s="6" t="s">
        <v>212</v>
      </c>
      <c r="J53" s="12" t="s">
        <v>179</v>
      </c>
      <c r="K53" s="12" t="s">
        <v>180</v>
      </c>
      <c r="L53" s="12" t="s">
        <v>194</v>
      </c>
      <c r="M53" s="12" t="s">
        <v>195</v>
      </c>
      <c r="N53" s="12" t="s">
        <v>196</v>
      </c>
    </row>
    <row r="54" spans="1:14" s="13" customFormat="1" x14ac:dyDescent="0.3">
      <c r="A54" s="3" t="s">
        <v>8</v>
      </c>
      <c r="B54" s="3" t="s">
        <v>266</v>
      </c>
      <c r="C54" s="3" t="s">
        <v>283</v>
      </c>
      <c r="D54" s="3" t="s">
        <v>291</v>
      </c>
      <c r="E54" s="12" t="s">
        <v>177</v>
      </c>
      <c r="F54" s="14">
        <v>2.86</v>
      </c>
      <c r="G54" s="6">
        <f t="shared" si="2"/>
        <v>0.77359999999999984</v>
      </c>
      <c r="H54" s="6" t="s">
        <v>211</v>
      </c>
      <c r="I54" s="6" t="s">
        <v>212</v>
      </c>
      <c r="J54" s="12" t="s">
        <v>179</v>
      </c>
      <c r="K54" s="12" t="s">
        <v>180</v>
      </c>
      <c r="L54" s="12" t="s">
        <v>194</v>
      </c>
      <c r="M54" s="12" t="s">
        <v>195</v>
      </c>
      <c r="N54" s="12" t="s">
        <v>196</v>
      </c>
    </row>
    <row r="55" spans="1:14" s="13" customFormat="1" x14ac:dyDescent="0.3">
      <c r="A55" s="3" t="s">
        <v>8</v>
      </c>
      <c r="B55" s="3" t="s">
        <v>252</v>
      </c>
      <c r="C55" s="3" t="s">
        <v>283</v>
      </c>
      <c r="D55" s="3" t="s">
        <v>291</v>
      </c>
      <c r="E55" s="12" t="s">
        <v>177</v>
      </c>
      <c r="F55" s="14">
        <v>2.86</v>
      </c>
      <c r="G55" s="6">
        <f t="shared" si="2"/>
        <v>0.77359999999999984</v>
      </c>
      <c r="H55" s="6" t="s">
        <v>211</v>
      </c>
      <c r="I55" s="6" t="s">
        <v>212</v>
      </c>
      <c r="J55" s="12" t="s">
        <v>179</v>
      </c>
      <c r="K55" s="12" t="s">
        <v>180</v>
      </c>
      <c r="L55" s="12" t="s">
        <v>194</v>
      </c>
      <c r="M55" s="12" t="s">
        <v>195</v>
      </c>
      <c r="N55" s="12" t="s">
        <v>196</v>
      </c>
    </row>
    <row r="56" spans="1:14" s="13" customFormat="1" x14ac:dyDescent="0.3">
      <c r="A56" s="3" t="s">
        <v>8</v>
      </c>
      <c r="B56" s="3" t="s">
        <v>267</v>
      </c>
      <c r="C56" s="3" t="s">
        <v>283</v>
      </c>
      <c r="D56" s="3" t="s">
        <v>291</v>
      </c>
      <c r="E56" s="12" t="s">
        <v>177</v>
      </c>
      <c r="F56" s="14">
        <v>2.86</v>
      </c>
      <c r="G56" s="6">
        <f t="shared" si="2"/>
        <v>0.77359999999999984</v>
      </c>
      <c r="H56" s="6" t="s">
        <v>211</v>
      </c>
      <c r="I56" s="6" t="s">
        <v>212</v>
      </c>
      <c r="J56" s="12" t="s">
        <v>179</v>
      </c>
      <c r="K56" s="12" t="s">
        <v>180</v>
      </c>
      <c r="L56" s="12" t="s">
        <v>194</v>
      </c>
      <c r="M56" s="12" t="s">
        <v>195</v>
      </c>
      <c r="N56" s="12" t="s">
        <v>196</v>
      </c>
    </row>
    <row r="57" spans="1:14" s="13" customFormat="1" x14ac:dyDescent="0.3">
      <c r="A57" s="3" t="s">
        <v>8</v>
      </c>
      <c r="B57" s="3" t="s">
        <v>258</v>
      </c>
      <c r="C57" s="3" t="s">
        <v>283</v>
      </c>
      <c r="D57" s="3" t="s">
        <v>291</v>
      </c>
      <c r="E57" s="12" t="s">
        <v>177</v>
      </c>
      <c r="F57" s="14">
        <v>2.86</v>
      </c>
      <c r="G57" s="6">
        <f t="shared" si="2"/>
        <v>0.77359999999999984</v>
      </c>
      <c r="H57" s="6" t="s">
        <v>211</v>
      </c>
      <c r="I57" s="6" t="s">
        <v>212</v>
      </c>
      <c r="J57" s="12" t="s">
        <v>179</v>
      </c>
      <c r="K57" s="12" t="s">
        <v>180</v>
      </c>
      <c r="L57" s="12" t="s">
        <v>194</v>
      </c>
      <c r="M57" s="12" t="s">
        <v>195</v>
      </c>
      <c r="N57" s="12" t="s">
        <v>196</v>
      </c>
    </row>
    <row r="58" spans="1:14" s="13" customFormat="1" x14ac:dyDescent="0.3">
      <c r="A58" s="3" t="s">
        <v>8</v>
      </c>
      <c r="B58" s="3" t="s">
        <v>268</v>
      </c>
      <c r="C58" s="3" t="s">
        <v>283</v>
      </c>
      <c r="D58" s="3" t="s">
        <v>291</v>
      </c>
      <c r="E58" s="12" t="s">
        <v>177</v>
      </c>
      <c r="F58" s="14">
        <v>2.86</v>
      </c>
      <c r="G58" s="6">
        <f t="shared" si="2"/>
        <v>0.77359999999999984</v>
      </c>
      <c r="H58" s="6" t="s">
        <v>211</v>
      </c>
      <c r="I58" s="6" t="s">
        <v>212</v>
      </c>
      <c r="J58" s="12" t="s">
        <v>179</v>
      </c>
      <c r="K58" s="12" t="s">
        <v>180</v>
      </c>
      <c r="L58" s="12" t="s">
        <v>194</v>
      </c>
      <c r="M58" s="12" t="s">
        <v>195</v>
      </c>
      <c r="N58" s="12" t="s">
        <v>196</v>
      </c>
    </row>
    <row r="59" spans="1:14" x14ac:dyDescent="0.3">
      <c r="A59" s="3" t="s">
        <v>8</v>
      </c>
      <c r="B59" s="3" t="s">
        <v>9</v>
      </c>
      <c r="C59" s="3" t="s">
        <v>284</v>
      </c>
      <c r="D59" s="3" t="s">
        <v>291</v>
      </c>
      <c r="E59" s="2" t="s">
        <v>178</v>
      </c>
      <c r="F59" s="14">
        <v>2.42</v>
      </c>
      <c r="G59" s="6">
        <f>0.265+(F59*0.181)</f>
        <v>0.70301999999999998</v>
      </c>
      <c r="H59" s="6" t="s">
        <v>213</v>
      </c>
      <c r="I59" s="6" t="s">
        <v>214</v>
      </c>
      <c r="J59" s="2" t="s">
        <v>181</v>
      </c>
      <c r="K59" s="2" t="s">
        <v>182</v>
      </c>
      <c r="L59" s="2" t="s">
        <v>194</v>
      </c>
      <c r="M59" s="2" t="s">
        <v>195</v>
      </c>
      <c r="N59" s="2" t="s">
        <v>196</v>
      </c>
    </row>
    <row r="60" spans="1:14" x14ac:dyDescent="0.3">
      <c r="A60" s="3" t="s">
        <v>8</v>
      </c>
      <c r="B60" s="3" t="s">
        <v>248</v>
      </c>
      <c r="C60" s="3" t="s">
        <v>283</v>
      </c>
      <c r="D60" s="3" t="s">
        <v>291</v>
      </c>
      <c r="E60" s="12" t="s">
        <v>177</v>
      </c>
      <c r="F60" s="14">
        <v>2.86</v>
      </c>
      <c r="G60" s="6">
        <f t="shared" ref="G60:G73" si="3">0.173+(F60*0.21)</f>
        <v>0.77359999999999984</v>
      </c>
      <c r="H60" s="6" t="s">
        <v>211</v>
      </c>
      <c r="I60" s="6" t="s">
        <v>212</v>
      </c>
      <c r="J60" s="12" t="s">
        <v>179</v>
      </c>
      <c r="K60" s="12" t="s">
        <v>180</v>
      </c>
      <c r="L60" s="12" t="s">
        <v>194</v>
      </c>
      <c r="M60" s="12" t="s">
        <v>195</v>
      </c>
      <c r="N60" s="12" t="s">
        <v>196</v>
      </c>
    </row>
    <row r="61" spans="1:14" x14ac:dyDescent="0.3">
      <c r="A61" s="3" t="s">
        <v>11</v>
      </c>
      <c r="B61" s="3" t="s">
        <v>269</v>
      </c>
      <c r="C61" s="3" t="s">
        <v>283</v>
      </c>
      <c r="D61" s="3" t="s">
        <v>291</v>
      </c>
      <c r="E61" s="2" t="s">
        <v>177</v>
      </c>
      <c r="F61" s="14">
        <v>2.84</v>
      </c>
      <c r="G61" s="6">
        <f t="shared" si="3"/>
        <v>0.76939999999999986</v>
      </c>
      <c r="H61" s="6" t="s">
        <v>211</v>
      </c>
      <c r="I61" s="6" t="s">
        <v>212</v>
      </c>
      <c r="J61" s="2" t="s">
        <v>179</v>
      </c>
      <c r="K61" s="2" t="s">
        <v>180</v>
      </c>
      <c r="L61" s="2" t="s">
        <v>194</v>
      </c>
      <c r="M61" s="2" t="s">
        <v>195</v>
      </c>
      <c r="N61" s="2" t="s">
        <v>196</v>
      </c>
    </row>
    <row r="62" spans="1:14" s="13" customFormat="1" x14ac:dyDescent="0.3">
      <c r="A62" s="3" t="s">
        <v>11</v>
      </c>
      <c r="B62" s="3" t="s">
        <v>251</v>
      </c>
      <c r="C62" s="3" t="s">
        <v>283</v>
      </c>
      <c r="D62" s="3" t="s">
        <v>291</v>
      </c>
      <c r="E62" s="12" t="s">
        <v>177</v>
      </c>
      <c r="F62" s="14">
        <v>2.84</v>
      </c>
      <c r="G62" s="6">
        <f t="shared" si="3"/>
        <v>0.76939999999999986</v>
      </c>
      <c r="H62" s="6" t="s">
        <v>211</v>
      </c>
      <c r="I62" s="6" t="s">
        <v>212</v>
      </c>
      <c r="J62" s="12" t="s">
        <v>179</v>
      </c>
      <c r="K62" s="12" t="s">
        <v>180</v>
      </c>
      <c r="L62" s="12" t="s">
        <v>194</v>
      </c>
      <c r="M62" s="12" t="s">
        <v>195</v>
      </c>
      <c r="N62" s="12" t="s">
        <v>196</v>
      </c>
    </row>
    <row r="63" spans="1:14" s="13" customFormat="1" x14ac:dyDescent="0.3">
      <c r="A63" s="3" t="s">
        <v>11</v>
      </c>
      <c r="B63" s="3" t="s">
        <v>252</v>
      </c>
      <c r="C63" s="3" t="s">
        <v>283</v>
      </c>
      <c r="D63" s="3" t="s">
        <v>291</v>
      </c>
      <c r="E63" s="12" t="s">
        <v>177</v>
      </c>
      <c r="F63" s="14">
        <v>2.84</v>
      </c>
      <c r="G63" s="6">
        <f t="shared" si="3"/>
        <v>0.76939999999999986</v>
      </c>
      <c r="H63" s="6" t="s">
        <v>211</v>
      </c>
      <c r="I63" s="6" t="s">
        <v>212</v>
      </c>
      <c r="J63" s="12" t="s">
        <v>179</v>
      </c>
      <c r="K63" s="12" t="s">
        <v>180</v>
      </c>
      <c r="L63" s="12" t="s">
        <v>194</v>
      </c>
      <c r="M63" s="12" t="s">
        <v>195</v>
      </c>
      <c r="N63" s="12" t="s">
        <v>196</v>
      </c>
    </row>
    <row r="64" spans="1:14" s="13" customFormat="1" x14ac:dyDescent="0.3">
      <c r="A64" s="3" t="s">
        <v>11</v>
      </c>
      <c r="B64" s="3" t="s">
        <v>255</v>
      </c>
      <c r="C64" s="3" t="s">
        <v>283</v>
      </c>
      <c r="D64" s="3" t="s">
        <v>291</v>
      </c>
      <c r="E64" s="12" t="s">
        <v>177</v>
      </c>
      <c r="F64" s="14">
        <v>2.84</v>
      </c>
      <c r="G64" s="6">
        <f t="shared" si="3"/>
        <v>0.76939999999999986</v>
      </c>
      <c r="H64" s="6" t="s">
        <v>211</v>
      </c>
      <c r="I64" s="6" t="s">
        <v>212</v>
      </c>
      <c r="J64" s="12" t="s">
        <v>179</v>
      </c>
      <c r="K64" s="12" t="s">
        <v>180</v>
      </c>
      <c r="L64" s="12" t="s">
        <v>194</v>
      </c>
      <c r="M64" s="12" t="s">
        <v>195</v>
      </c>
      <c r="N64" s="12" t="s">
        <v>196</v>
      </c>
    </row>
    <row r="65" spans="1:14" s="13" customFormat="1" x14ac:dyDescent="0.3">
      <c r="A65" s="3" t="s">
        <v>11</v>
      </c>
      <c r="B65" s="3" t="s">
        <v>258</v>
      </c>
      <c r="C65" s="3" t="s">
        <v>283</v>
      </c>
      <c r="D65" s="3" t="s">
        <v>291</v>
      </c>
      <c r="E65" s="12" t="s">
        <v>177</v>
      </c>
      <c r="F65" s="14">
        <v>2.84</v>
      </c>
      <c r="G65" s="6">
        <f t="shared" si="3"/>
        <v>0.76939999999999986</v>
      </c>
      <c r="H65" s="6" t="s">
        <v>211</v>
      </c>
      <c r="I65" s="6" t="s">
        <v>212</v>
      </c>
      <c r="J65" s="12" t="s">
        <v>179</v>
      </c>
      <c r="K65" s="12" t="s">
        <v>180</v>
      </c>
      <c r="L65" s="12" t="s">
        <v>194</v>
      </c>
      <c r="M65" s="12" t="s">
        <v>195</v>
      </c>
      <c r="N65" s="12" t="s">
        <v>196</v>
      </c>
    </row>
    <row r="66" spans="1:14" x14ac:dyDescent="0.3">
      <c r="A66" s="3" t="s">
        <v>12</v>
      </c>
      <c r="B66" s="3" t="s">
        <v>270</v>
      </c>
      <c r="C66" s="3" t="s">
        <v>283</v>
      </c>
      <c r="D66" s="3" t="s">
        <v>291</v>
      </c>
      <c r="E66" s="2" t="s">
        <v>177</v>
      </c>
      <c r="F66" s="14">
        <v>2.8</v>
      </c>
      <c r="G66" s="6">
        <f t="shared" si="3"/>
        <v>0.7609999999999999</v>
      </c>
      <c r="H66" s="6" t="s">
        <v>211</v>
      </c>
      <c r="I66" s="6" t="s">
        <v>212</v>
      </c>
      <c r="J66" s="2" t="s">
        <v>179</v>
      </c>
      <c r="K66" s="2" t="s">
        <v>180</v>
      </c>
      <c r="L66" s="2" t="s">
        <v>194</v>
      </c>
      <c r="M66" s="2" t="s">
        <v>195</v>
      </c>
      <c r="N66" s="2" t="s">
        <v>196</v>
      </c>
    </row>
    <row r="67" spans="1:14" s="13" customFormat="1" x14ac:dyDescent="0.3">
      <c r="A67" s="3" t="s">
        <v>12</v>
      </c>
      <c r="B67" s="3" t="s">
        <v>252</v>
      </c>
      <c r="C67" s="3" t="s">
        <v>283</v>
      </c>
      <c r="D67" s="3" t="s">
        <v>291</v>
      </c>
      <c r="E67" s="12" t="s">
        <v>177</v>
      </c>
      <c r="F67" s="14">
        <v>2.8</v>
      </c>
      <c r="G67" s="6">
        <f t="shared" si="3"/>
        <v>0.7609999999999999</v>
      </c>
      <c r="H67" s="6" t="s">
        <v>211</v>
      </c>
      <c r="I67" s="6" t="s">
        <v>212</v>
      </c>
      <c r="J67" s="12" t="s">
        <v>179</v>
      </c>
      <c r="K67" s="12" t="s">
        <v>180</v>
      </c>
      <c r="L67" s="12" t="s">
        <v>194</v>
      </c>
      <c r="M67" s="12" t="s">
        <v>195</v>
      </c>
      <c r="N67" s="12" t="s">
        <v>196</v>
      </c>
    </row>
    <row r="68" spans="1:14" s="13" customFormat="1" x14ac:dyDescent="0.3">
      <c r="A68" s="3" t="s">
        <v>12</v>
      </c>
      <c r="B68" s="3" t="s">
        <v>258</v>
      </c>
      <c r="C68" s="3" t="s">
        <v>283</v>
      </c>
      <c r="D68" s="3" t="s">
        <v>291</v>
      </c>
      <c r="E68" s="12" t="s">
        <v>177</v>
      </c>
      <c r="F68" s="14">
        <v>2.8</v>
      </c>
      <c r="G68" s="6">
        <f t="shared" si="3"/>
        <v>0.7609999999999999</v>
      </c>
      <c r="H68" s="6" t="s">
        <v>211</v>
      </c>
      <c r="I68" s="6" t="s">
        <v>212</v>
      </c>
      <c r="J68" s="12" t="s">
        <v>179</v>
      </c>
      <c r="K68" s="12" t="s">
        <v>180</v>
      </c>
      <c r="L68" s="12" t="s">
        <v>194</v>
      </c>
      <c r="M68" s="12" t="s">
        <v>195</v>
      </c>
      <c r="N68" s="12" t="s">
        <v>196</v>
      </c>
    </row>
    <row r="69" spans="1:14" s="13" customFormat="1" x14ac:dyDescent="0.3">
      <c r="A69" s="3" t="s">
        <v>12</v>
      </c>
      <c r="B69" s="3" t="s">
        <v>271</v>
      </c>
      <c r="C69" s="3" t="s">
        <v>283</v>
      </c>
      <c r="D69" s="3" t="s">
        <v>291</v>
      </c>
      <c r="E69" s="12" t="s">
        <v>177</v>
      </c>
      <c r="F69" s="14">
        <v>2.8</v>
      </c>
      <c r="G69" s="6">
        <f t="shared" si="3"/>
        <v>0.7609999999999999</v>
      </c>
      <c r="H69" s="6" t="s">
        <v>211</v>
      </c>
      <c r="I69" s="6" t="s">
        <v>212</v>
      </c>
      <c r="J69" s="12" t="s">
        <v>179</v>
      </c>
      <c r="K69" s="12" t="s">
        <v>180</v>
      </c>
      <c r="L69" s="12" t="s">
        <v>194</v>
      </c>
      <c r="M69" s="12" t="s">
        <v>195</v>
      </c>
      <c r="N69" s="12" t="s">
        <v>196</v>
      </c>
    </row>
    <row r="70" spans="1:14" s="13" customFormat="1" x14ac:dyDescent="0.3">
      <c r="A70" s="3" t="s">
        <v>12</v>
      </c>
      <c r="B70" s="3" t="s">
        <v>248</v>
      </c>
      <c r="C70" s="3" t="s">
        <v>283</v>
      </c>
      <c r="D70" s="3" t="s">
        <v>291</v>
      </c>
      <c r="E70" s="12" t="s">
        <v>177</v>
      </c>
      <c r="F70" s="14">
        <v>2.8</v>
      </c>
      <c r="G70" s="6">
        <f t="shared" si="3"/>
        <v>0.7609999999999999</v>
      </c>
      <c r="H70" s="6" t="s">
        <v>211</v>
      </c>
      <c r="I70" s="6" t="s">
        <v>212</v>
      </c>
      <c r="J70" s="12" t="s">
        <v>179</v>
      </c>
      <c r="K70" s="12" t="s">
        <v>180</v>
      </c>
      <c r="L70" s="12" t="s">
        <v>194</v>
      </c>
      <c r="M70" s="12" t="s">
        <v>195</v>
      </c>
      <c r="N70" s="12" t="s">
        <v>196</v>
      </c>
    </row>
    <row r="71" spans="1:14" x14ac:dyDescent="0.3">
      <c r="A71" s="3" t="s">
        <v>13</v>
      </c>
      <c r="B71" s="3" t="s">
        <v>251</v>
      </c>
      <c r="C71" s="3" t="s">
        <v>283</v>
      </c>
      <c r="D71" s="3" t="s">
        <v>291</v>
      </c>
      <c r="E71" s="2" t="s">
        <v>177</v>
      </c>
      <c r="F71" s="14">
        <v>2.86</v>
      </c>
      <c r="G71" s="6">
        <f t="shared" si="3"/>
        <v>0.77359999999999984</v>
      </c>
      <c r="H71" s="6" t="s">
        <v>211</v>
      </c>
      <c r="I71" s="6" t="s">
        <v>212</v>
      </c>
      <c r="J71" s="2" t="s">
        <v>179</v>
      </c>
      <c r="K71" s="2" t="s">
        <v>180</v>
      </c>
      <c r="L71" s="2" t="s">
        <v>194</v>
      </c>
      <c r="M71" s="2" t="s">
        <v>195</v>
      </c>
      <c r="N71" s="2" t="s">
        <v>196</v>
      </c>
    </row>
    <row r="72" spans="1:14" s="13" customFormat="1" x14ac:dyDescent="0.3">
      <c r="A72" s="3" t="s">
        <v>13</v>
      </c>
      <c r="B72" s="3" t="s">
        <v>252</v>
      </c>
      <c r="C72" s="3" t="s">
        <v>283</v>
      </c>
      <c r="D72" s="3" t="s">
        <v>291</v>
      </c>
      <c r="E72" s="12" t="s">
        <v>177</v>
      </c>
      <c r="F72" s="14">
        <v>2.86</v>
      </c>
      <c r="G72" s="6">
        <f t="shared" si="3"/>
        <v>0.77359999999999984</v>
      </c>
      <c r="H72" s="6" t="s">
        <v>211</v>
      </c>
      <c r="I72" s="6" t="s">
        <v>212</v>
      </c>
      <c r="J72" s="12" t="s">
        <v>179</v>
      </c>
      <c r="K72" s="12" t="s">
        <v>180</v>
      </c>
      <c r="L72" s="12" t="s">
        <v>194</v>
      </c>
      <c r="M72" s="12" t="s">
        <v>195</v>
      </c>
      <c r="N72" s="12" t="s">
        <v>196</v>
      </c>
    </row>
    <row r="73" spans="1:14" s="13" customFormat="1" x14ac:dyDescent="0.3">
      <c r="A73" s="3" t="s">
        <v>13</v>
      </c>
      <c r="B73" s="3" t="s">
        <v>255</v>
      </c>
      <c r="C73" s="3" t="s">
        <v>283</v>
      </c>
      <c r="D73" s="3" t="s">
        <v>291</v>
      </c>
      <c r="E73" s="12" t="s">
        <v>177</v>
      </c>
      <c r="F73" s="14">
        <v>2.86</v>
      </c>
      <c r="G73" s="6">
        <f t="shared" si="3"/>
        <v>0.77359999999999984</v>
      </c>
      <c r="H73" s="6" t="s">
        <v>211</v>
      </c>
      <c r="I73" s="6" t="s">
        <v>212</v>
      </c>
      <c r="J73" s="12" t="s">
        <v>179</v>
      </c>
      <c r="K73" s="12" t="s">
        <v>180</v>
      </c>
      <c r="L73" s="12" t="s">
        <v>194</v>
      </c>
      <c r="M73" s="12" t="s">
        <v>195</v>
      </c>
      <c r="N73" s="12" t="s">
        <v>196</v>
      </c>
    </row>
    <row r="74" spans="1:14" x14ac:dyDescent="0.3">
      <c r="A74" s="3" t="s">
        <v>13</v>
      </c>
      <c r="B74" s="3" t="s">
        <v>14</v>
      </c>
      <c r="C74" s="3" t="s">
        <v>284</v>
      </c>
      <c r="D74" s="3" t="s">
        <v>291</v>
      </c>
      <c r="E74" s="2" t="s">
        <v>178</v>
      </c>
      <c r="F74" s="14">
        <v>2.89</v>
      </c>
      <c r="G74" s="6">
        <f>0.265+(F74*0.181)</f>
        <v>0.78809000000000007</v>
      </c>
      <c r="H74" s="6" t="s">
        <v>213</v>
      </c>
      <c r="I74" s="6" t="s">
        <v>214</v>
      </c>
      <c r="J74" s="2" t="s">
        <v>181</v>
      </c>
      <c r="K74" s="2" t="s">
        <v>182</v>
      </c>
      <c r="L74" s="2" t="s">
        <v>194</v>
      </c>
      <c r="M74" s="2" t="s">
        <v>195</v>
      </c>
      <c r="N74" s="2" t="s">
        <v>196</v>
      </c>
    </row>
    <row r="75" spans="1:14" s="13" customFormat="1" x14ac:dyDescent="0.3">
      <c r="A75" s="3" t="s">
        <v>13</v>
      </c>
      <c r="B75" s="3" t="s">
        <v>248</v>
      </c>
      <c r="C75" s="3" t="s">
        <v>283</v>
      </c>
      <c r="D75" s="3" t="s">
        <v>291</v>
      </c>
      <c r="E75" s="12" t="s">
        <v>177</v>
      </c>
      <c r="F75" s="14">
        <v>2.86</v>
      </c>
      <c r="G75" s="6">
        <f>0.173+(F75*0.21)</f>
        <v>0.77359999999999984</v>
      </c>
      <c r="H75" s="6" t="s">
        <v>211</v>
      </c>
      <c r="I75" s="6" t="s">
        <v>212</v>
      </c>
      <c r="J75" s="12" t="s">
        <v>179</v>
      </c>
      <c r="K75" s="12" t="s">
        <v>180</v>
      </c>
      <c r="L75" s="12" t="s">
        <v>194</v>
      </c>
      <c r="M75" s="12" t="s">
        <v>195</v>
      </c>
      <c r="N75" s="12" t="s">
        <v>196</v>
      </c>
    </row>
    <row r="76" spans="1:14" x14ac:dyDescent="0.3">
      <c r="A76" s="4" t="s">
        <v>15</v>
      </c>
      <c r="B76" s="4" t="s">
        <v>16</v>
      </c>
      <c r="C76" s="4" t="s">
        <v>284</v>
      </c>
      <c r="D76" s="4" t="s">
        <v>291</v>
      </c>
      <c r="E76" s="1" t="s">
        <v>178</v>
      </c>
      <c r="F76" s="1">
        <v>2.79</v>
      </c>
      <c r="G76" s="6">
        <f>0.265+(F76*0.181)</f>
        <v>0.76998999999999995</v>
      </c>
      <c r="H76" s="6" t="s">
        <v>213</v>
      </c>
      <c r="I76" s="6" t="s">
        <v>214</v>
      </c>
      <c r="J76" s="1" t="s">
        <v>181</v>
      </c>
      <c r="K76" s="1" t="s">
        <v>182</v>
      </c>
      <c r="L76" s="1" t="s">
        <v>194</v>
      </c>
      <c r="M76" s="1" t="s">
        <v>195</v>
      </c>
      <c r="N76" s="1" t="s">
        <v>196</v>
      </c>
    </row>
    <row r="77" spans="1:14" x14ac:dyDescent="0.3">
      <c r="A77" s="4" t="s">
        <v>15</v>
      </c>
      <c r="B77" s="4" t="s">
        <v>17</v>
      </c>
      <c r="C77" s="4" t="s">
        <v>283</v>
      </c>
      <c r="D77" s="4" t="s">
        <v>291</v>
      </c>
      <c r="E77" s="1" t="s">
        <v>177</v>
      </c>
      <c r="F77" s="1">
        <v>2.95</v>
      </c>
      <c r="G77" s="6">
        <f t="shared" ref="G77:G93" si="4">0.173+(F77*0.21)</f>
        <v>0.79249999999999998</v>
      </c>
      <c r="H77" s="6" t="s">
        <v>211</v>
      </c>
      <c r="I77" s="6" t="s">
        <v>212</v>
      </c>
      <c r="J77" s="1" t="s">
        <v>179</v>
      </c>
      <c r="K77" s="1" t="s">
        <v>180</v>
      </c>
      <c r="L77" s="1" t="s">
        <v>194</v>
      </c>
      <c r="M77" s="1" t="s">
        <v>195</v>
      </c>
      <c r="N77" s="1" t="s">
        <v>196</v>
      </c>
    </row>
    <row r="78" spans="1:14" x14ac:dyDescent="0.3">
      <c r="A78" s="4" t="s">
        <v>15</v>
      </c>
      <c r="B78" s="4" t="s">
        <v>18</v>
      </c>
      <c r="C78" s="4" t="s">
        <v>283</v>
      </c>
      <c r="D78" s="4" t="s">
        <v>291</v>
      </c>
      <c r="E78" s="1" t="s">
        <v>177</v>
      </c>
      <c r="F78" s="1">
        <v>3.06</v>
      </c>
      <c r="G78" s="6">
        <f t="shared" si="4"/>
        <v>0.81559999999999988</v>
      </c>
      <c r="H78" s="6" t="s">
        <v>211</v>
      </c>
      <c r="I78" s="6" t="s">
        <v>212</v>
      </c>
      <c r="J78" s="1" t="s">
        <v>179</v>
      </c>
      <c r="K78" s="1" t="s">
        <v>180</v>
      </c>
      <c r="L78" s="1" t="s">
        <v>194</v>
      </c>
      <c r="M78" s="1" t="s">
        <v>195</v>
      </c>
      <c r="N78" s="1" t="s">
        <v>196</v>
      </c>
    </row>
    <row r="79" spans="1:14" x14ac:dyDescent="0.3">
      <c r="A79" s="4" t="s">
        <v>15</v>
      </c>
      <c r="B79" s="4" t="s">
        <v>19</v>
      </c>
      <c r="C79" s="4" t="s">
        <v>283</v>
      </c>
      <c r="D79" s="4" t="s">
        <v>291</v>
      </c>
      <c r="E79" s="1" t="s">
        <v>177</v>
      </c>
      <c r="F79" s="1">
        <v>2.95</v>
      </c>
      <c r="G79" s="6">
        <f t="shared" si="4"/>
        <v>0.79249999999999998</v>
      </c>
      <c r="H79" s="6" t="s">
        <v>211</v>
      </c>
      <c r="I79" s="6" t="s">
        <v>212</v>
      </c>
      <c r="J79" s="1" t="s">
        <v>179</v>
      </c>
      <c r="K79" s="1" t="s">
        <v>180</v>
      </c>
      <c r="L79" s="1" t="s">
        <v>194</v>
      </c>
      <c r="M79" s="1" t="s">
        <v>195</v>
      </c>
      <c r="N79" s="1" t="s">
        <v>196</v>
      </c>
    </row>
    <row r="80" spans="1:14" x14ac:dyDescent="0.3">
      <c r="A80" s="4" t="s">
        <v>15</v>
      </c>
      <c r="B80" s="4" t="s">
        <v>20</v>
      </c>
      <c r="C80" s="4" t="s">
        <v>285</v>
      </c>
      <c r="D80" s="4" t="s">
        <v>291</v>
      </c>
      <c r="E80" s="1" t="s">
        <v>177</v>
      </c>
      <c r="F80" s="1">
        <v>3.07</v>
      </c>
      <c r="G80" s="6">
        <f t="shared" si="4"/>
        <v>0.81769999999999987</v>
      </c>
      <c r="H80" s="6" t="s">
        <v>211</v>
      </c>
      <c r="I80" s="6" t="s">
        <v>212</v>
      </c>
      <c r="J80" s="1" t="s">
        <v>179</v>
      </c>
      <c r="K80" s="1" t="s">
        <v>183</v>
      </c>
      <c r="L80" s="1" t="s">
        <v>194</v>
      </c>
      <c r="M80" s="1" t="s">
        <v>195</v>
      </c>
      <c r="N80" s="1" t="s">
        <v>196</v>
      </c>
    </row>
    <row r="81" spans="1:14" x14ac:dyDescent="0.3">
      <c r="A81" s="4" t="s">
        <v>15</v>
      </c>
      <c r="B81" s="4" t="s">
        <v>21</v>
      </c>
      <c r="C81" s="4" t="s">
        <v>283</v>
      </c>
      <c r="D81" s="4" t="s">
        <v>291</v>
      </c>
      <c r="E81" s="1" t="s">
        <v>177</v>
      </c>
      <c r="F81" s="1">
        <v>2.98</v>
      </c>
      <c r="G81" s="6">
        <f t="shared" si="4"/>
        <v>0.79879999999999995</v>
      </c>
      <c r="H81" s="6" t="s">
        <v>211</v>
      </c>
      <c r="I81" s="6" t="s">
        <v>212</v>
      </c>
      <c r="J81" s="1" t="s">
        <v>179</v>
      </c>
      <c r="K81" s="1" t="s">
        <v>180</v>
      </c>
      <c r="L81" s="1" t="s">
        <v>194</v>
      </c>
      <c r="M81" s="1" t="s">
        <v>195</v>
      </c>
      <c r="N81" s="1" t="s">
        <v>196</v>
      </c>
    </row>
    <row r="82" spans="1:14" x14ac:dyDescent="0.3">
      <c r="A82" s="4" t="s">
        <v>15</v>
      </c>
      <c r="B82" s="4" t="s">
        <v>22</v>
      </c>
      <c r="C82" s="4" t="s">
        <v>283</v>
      </c>
      <c r="D82" s="4" t="s">
        <v>291</v>
      </c>
      <c r="E82" s="1" t="s">
        <v>177</v>
      </c>
      <c r="F82" s="1">
        <v>2.95</v>
      </c>
      <c r="G82" s="6">
        <f t="shared" si="4"/>
        <v>0.79249999999999998</v>
      </c>
      <c r="H82" s="6" t="s">
        <v>211</v>
      </c>
      <c r="I82" s="6" t="s">
        <v>212</v>
      </c>
      <c r="J82" s="1" t="s">
        <v>179</v>
      </c>
      <c r="K82" s="1" t="s">
        <v>180</v>
      </c>
      <c r="L82" s="1" t="s">
        <v>194</v>
      </c>
      <c r="M82" s="1" t="s">
        <v>195</v>
      </c>
      <c r="N82" s="1" t="s">
        <v>196</v>
      </c>
    </row>
    <row r="83" spans="1:14" x14ac:dyDescent="0.3">
      <c r="A83" s="4" t="s">
        <v>15</v>
      </c>
      <c r="B83" s="4" t="s">
        <v>23</v>
      </c>
      <c r="C83" s="4" t="s">
        <v>285</v>
      </c>
      <c r="D83" s="4" t="s">
        <v>291</v>
      </c>
      <c r="E83" s="1" t="s">
        <v>177</v>
      </c>
      <c r="F83" s="1">
        <v>3.02</v>
      </c>
      <c r="G83" s="6">
        <f t="shared" si="4"/>
        <v>0.80719999999999992</v>
      </c>
      <c r="H83" s="6" t="s">
        <v>211</v>
      </c>
      <c r="I83" s="6" t="s">
        <v>212</v>
      </c>
      <c r="J83" s="1" t="s">
        <v>179</v>
      </c>
      <c r="K83" s="1" t="s">
        <v>183</v>
      </c>
      <c r="L83" s="1" t="s">
        <v>194</v>
      </c>
      <c r="M83" s="1" t="s">
        <v>195</v>
      </c>
      <c r="N83" s="1" t="s">
        <v>196</v>
      </c>
    </row>
    <row r="84" spans="1:14" x14ac:dyDescent="0.3">
      <c r="A84" s="4" t="s">
        <v>15</v>
      </c>
      <c r="B84" s="4" t="s">
        <v>24</v>
      </c>
      <c r="C84" s="4" t="s">
        <v>285</v>
      </c>
      <c r="D84" s="4" t="s">
        <v>291</v>
      </c>
      <c r="E84" s="1" t="s">
        <v>177</v>
      </c>
      <c r="F84" s="1">
        <v>3.08</v>
      </c>
      <c r="G84" s="6">
        <f t="shared" si="4"/>
        <v>0.81980000000000008</v>
      </c>
      <c r="H84" s="6" t="s">
        <v>211</v>
      </c>
      <c r="I84" s="6" t="s">
        <v>212</v>
      </c>
      <c r="J84" s="1" t="s">
        <v>179</v>
      </c>
      <c r="K84" s="1" t="s">
        <v>183</v>
      </c>
      <c r="L84" s="1" t="s">
        <v>194</v>
      </c>
      <c r="M84" s="1" t="s">
        <v>195</v>
      </c>
      <c r="N84" s="1" t="s">
        <v>196</v>
      </c>
    </row>
    <row r="85" spans="1:14" x14ac:dyDescent="0.3">
      <c r="A85" s="4" t="s">
        <v>15</v>
      </c>
      <c r="B85" s="4" t="s">
        <v>25</v>
      </c>
      <c r="C85" s="4" t="s">
        <v>283</v>
      </c>
      <c r="D85" s="4" t="s">
        <v>291</v>
      </c>
      <c r="E85" s="1" t="s">
        <v>177</v>
      </c>
      <c r="F85" s="1">
        <v>2.79</v>
      </c>
      <c r="G85" s="6">
        <f t="shared" si="4"/>
        <v>0.75889999999999991</v>
      </c>
      <c r="H85" s="6" t="s">
        <v>211</v>
      </c>
      <c r="I85" s="6" t="s">
        <v>212</v>
      </c>
      <c r="J85" s="1" t="s">
        <v>179</v>
      </c>
      <c r="K85" s="1" t="s">
        <v>180</v>
      </c>
      <c r="L85" s="1" t="s">
        <v>194</v>
      </c>
      <c r="M85" s="1" t="s">
        <v>195</v>
      </c>
      <c r="N85" s="1" t="s">
        <v>196</v>
      </c>
    </row>
    <row r="86" spans="1:14" x14ac:dyDescent="0.3">
      <c r="A86" s="4" t="s">
        <v>15</v>
      </c>
      <c r="B86" s="4" t="s">
        <v>26</v>
      </c>
      <c r="C86" s="4" t="s">
        <v>283</v>
      </c>
      <c r="D86" s="4" t="s">
        <v>291</v>
      </c>
      <c r="E86" s="4" t="s">
        <v>27</v>
      </c>
      <c r="F86" s="1">
        <v>2.88</v>
      </c>
      <c r="G86" s="6">
        <f t="shared" si="4"/>
        <v>0.77780000000000005</v>
      </c>
      <c r="H86" s="6" t="s">
        <v>211</v>
      </c>
      <c r="I86" s="6" t="s">
        <v>212</v>
      </c>
      <c r="J86" s="1" t="s">
        <v>179</v>
      </c>
      <c r="K86" s="1" t="s">
        <v>180</v>
      </c>
      <c r="L86" s="1" t="s">
        <v>194</v>
      </c>
      <c r="M86" s="1" t="s">
        <v>195</v>
      </c>
      <c r="N86" s="1" t="s">
        <v>196</v>
      </c>
    </row>
    <row r="87" spans="1:14" x14ac:dyDescent="0.3">
      <c r="A87" s="4" t="s">
        <v>15</v>
      </c>
      <c r="B87" s="4" t="s">
        <v>28</v>
      </c>
      <c r="C87" s="4" t="s">
        <v>283</v>
      </c>
      <c r="D87" s="4" t="s">
        <v>291</v>
      </c>
      <c r="E87" s="4" t="s">
        <v>27</v>
      </c>
      <c r="F87" s="1">
        <v>2.78</v>
      </c>
      <c r="G87" s="6">
        <f t="shared" si="4"/>
        <v>0.75679999999999992</v>
      </c>
      <c r="H87" s="6" t="s">
        <v>211</v>
      </c>
      <c r="I87" s="6" t="s">
        <v>212</v>
      </c>
      <c r="J87" s="1" t="s">
        <v>179</v>
      </c>
      <c r="K87" s="1" t="s">
        <v>180</v>
      </c>
      <c r="L87" s="1" t="s">
        <v>194</v>
      </c>
      <c r="M87" s="1" t="s">
        <v>195</v>
      </c>
      <c r="N87" s="1" t="s">
        <v>196</v>
      </c>
    </row>
    <row r="88" spans="1:14" x14ac:dyDescent="0.3">
      <c r="A88" s="4" t="s">
        <v>15</v>
      </c>
      <c r="B88" s="4" t="s">
        <v>29</v>
      </c>
      <c r="C88" s="4" t="s">
        <v>283</v>
      </c>
      <c r="D88" s="4" t="s">
        <v>291</v>
      </c>
      <c r="E88" s="4" t="s">
        <v>27</v>
      </c>
      <c r="F88" s="1">
        <v>2.8</v>
      </c>
      <c r="G88" s="6">
        <f t="shared" si="4"/>
        <v>0.7609999999999999</v>
      </c>
      <c r="H88" s="6" t="s">
        <v>211</v>
      </c>
      <c r="I88" s="6" t="s">
        <v>212</v>
      </c>
      <c r="J88" s="1" t="s">
        <v>179</v>
      </c>
      <c r="K88" s="1" t="s">
        <v>180</v>
      </c>
      <c r="L88" s="1" t="s">
        <v>194</v>
      </c>
      <c r="M88" s="1" t="s">
        <v>195</v>
      </c>
      <c r="N88" s="1" t="s">
        <v>196</v>
      </c>
    </row>
    <row r="89" spans="1:14" x14ac:dyDescent="0.3">
      <c r="A89" s="4" t="s">
        <v>15</v>
      </c>
      <c r="B89" s="4" t="s">
        <v>30</v>
      </c>
      <c r="C89" s="4" t="s">
        <v>283</v>
      </c>
      <c r="D89" s="4" t="s">
        <v>291</v>
      </c>
      <c r="E89" s="4" t="s">
        <v>27</v>
      </c>
      <c r="F89" s="1">
        <v>2.77</v>
      </c>
      <c r="G89" s="6">
        <f t="shared" si="4"/>
        <v>0.75469999999999993</v>
      </c>
      <c r="H89" s="6" t="s">
        <v>211</v>
      </c>
      <c r="I89" s="6" t="s">
        <v>212</v>
      </c>
      <c r="J89" s="1" t="s">
        <v>179</v>
      </c>
      <c r="K89" s="1" t="s">
        <v>180</v>
      </c>
      <c r="L89" s="1" t="s">
        <v>194</v>
      </c>
      <c r="M89" s="1" t="s">
        <v>195</v>
      </c>
      <c r="N89" s="1" t="s">
        <v>196</v>
      </c>
    </row>
    <row r="90" spans="1:14" x14ac:dyDescent="0.3">
      <c r="A90" s="4" t="s">
        <v>15</v>
      </c>
      <c r="B90" s="4" t="s">
        <v>31</v>
      </c>
      <c r="C90" s="4" t="s">
        <v>283</v>
      </c>
      <c r="D90" s="4" t="s">
        <v>291</v>
      </c>
      <c r="E90" s="4" t="s">
        <v>27</v>
      </c>
      <c r="F90" s="1">
        <v>2.75</v>
      </c>
      <c r="G90" s="6">
        <f t="shared" si="4"/>
        <v>0.75049999999999994</v>
      </c>
      <c r="H90" s="6" t="s">
        <v>211</v>
      </c>
      <c r="I90" s="6" t="s">
        <v>212</v>
      </c>
      <c r="J90" s="1" t="s">
        <v>179</v>
      </c>
      <c r="K90" s="1" t="s">
        <v>180</v>
      </c>
      <c r="L90" s="1" t="s">
        <v>194</v>
      </c>
      <c r="M90" s="1" t="s">
        <v>195</v>
      </c>
      <c r="N90" s="1" t="s">
        <v>196</v>
      </c>
    </row>
    <row r="91" spans="1:14" x14ac:dyDescent="0.3">
      <c r="A91" s="4" t="s">
        <v>15</v>
      </c>
      <c r="B91" s="4" t="s">
        <v>32</v>
      </c>
      <c r="C91" s="4" t="s">
        <v>285</v>
      </c>
      <c r="D91" s="4" t="s">
        <v>291</v>
      </c>
      <c r="E91" s="4" t="s">
        <v>27</v>
      </c>
      <c r="F91" s="1">
        <v>2.69</v>
      </c>
      <c r="G91" s="6">
        <f t="shared" si="4"/>
        <v>0.7379</v>
      </c>
      <c r="H91" s="6" t="s">
        <v>211</v>
      </c>
      <c r="I91" s="6" t="s">
        <v>212</v>
      </c>
      <c r="J91" s="1" t="s">
        <v>179</v>
      </c>
      <c r="K91" s="1" t="s">
        <v>183</v>
      </c>
      <c r="L91" s="1" t="s">
        <v>194</v>
      </c>
      <c r="M91" s="1" t="s">
        <v>195</v>
      </c>
      <c r="N91" s="1" t="s">
        <v>196</v>
      </c>
    </row>
    <row r="92" spans="1:14" x14ac:dyDescent="0.3">
      <c r="A92" s="4" t="s">
        <v>15</v>
      </c>
      <c r="B92" s="4" t="s">
        <v>33</v>
      </c>
      <c r="C92" s="4" t="s">
        <v>283</v>
      </c>
      <c r="D92" s="4" t="s">
        <v>291</v>
      </c>
      <c r="E92" s="1" t="s">
        <v>177</v>
      </c>
      <c r="F92" s="1">
        <v>2.98</v>
      </c>
      <c r="G92" s="6">
        <f t="shared" si="4"/>
        <v>0.79879999999999995</v>
      </c>
      <c r="H92" s="6" t="s">
        <v>27</v>
      </c>
      <c r="I92" s="6" t="s">
        <v>211</v>
      </c>
      <c r="J92" s="1" t="s">
        <v>179</v>
      </c>
      <c r="K92" s="1" t="s">
        <v>180</v>
      </c>
      <c r="L92" s="1" t="s">
        <v>194</v>
      </c>
      <c r="M92" s="1" t="s">
        <v>195</v>
      </c>
      <c r="N92" s="1" t="s">
        <v>196</v>
      </c>
    </row>
    <row r="93" spans="1:14" x14ac:dyDescent="0.3">
      <c r="A93" s="4" t="s">
        <v>15</v>
      </c>
      <c r="B93" s="4" t="s">
        <v>34</v>
      </c>
      <c r="C93" s="4" t="s">
        <v>285</v>
      </c>
      <c r="D93" s="4" t="s">
        <v>291</v>
      </c>
      <c r="E93" s="1" t="s">
        <v>177</v>
      </c>
      <c r="F93" s="1">
        <v>3.01</v>
      </c>
      <c r="G93" s="6">
        <f t="shared" si="4"/>
        <v>0.80509999999999993</v>
      </c>
      <c r="H93" s="6" t="s">
        <v>27</v>
      </c>
      <c r="I93" s="6" t="s">
        <v>211</v>
      </c>
      <c r="J93" s="1" t="s">
        <v>179</v>
      </c>
      <c r="K93" s="1" t="s">
        <v>183</v>
      </c>
      <c r="L93" s="1" t="s">
        <v>194</v>
      </c>
      <c r="M93" s="1" t="s">
        <v>195</v>
      </c>
      <c r="N93" s="1" t="s">
        <v>196</v>
      </c>
    </row>
    <row r="94" spans="1:14" x14ac:dyDescent="0.3">
      <c r="A94" s="4" t="s">
        <v>15</v>
      </c>
      <c r="B94" s="4" t="s">
        <v>35</v>
      </c>
      <c r="C94" s="4" t="s">
        <v>284</v>
      </c>
      <c r="D94" s="4" t="s">
        <v>291</v>
      </c>
      <c r="E94" s="1" t="s">
        <v>178</v>
      </c>
      <c r="F94" s="1">
        <v>2.72</v>
      </c>
      <c r="G94" s="6">
        <f>0.265+(F94*0.181)</f>
        <v>0.75731999999999999</v>
      </c>
      <c r="H94" s="6" t="s">
        <v>215</v>
      </c>
      <c r="I94" s="6" t="s">
        <v>213</v>
      </c>
      <c r="J94" s="1" t="s">
        <v>181</v>
      </c>
      <c r="K94" s="1" t="s">
        <v>182</v>
      </c>
      <c r="L94" s="1" t="s">
        <v>194</v>
      </c>
      <c r="M94" s="1" t="s">
        <v>195</v>
      </c>
      <c r="N94" s="1" t="s">
        <v>196</v>
      </c>
    </row>
    <row r="95" spans="1:14" x14ac:dyDescent="0.3">
      <c r="A95" s="4" t="s">
        <v>15</v>
      </c>
      <c r="B95" s="4" t="s">
        <v>36</v>
      </c>
      <c r="C95" s="4" t="s">
        <v>284</v>
      </c>
      <c r="D95" s="4" t="s">
        <v>291</v>
      </c>
      <c r="E95" s="1" t="s">
        <v>178</v>
      </c>
      <c r="F95" s="1">
        <v>2.82</v>
      </c>
      <c r="G95" s="6">
        <f>0.265+(F95*0.181)</f>
        <v>0.77542</v>
      </c>
      <c r="H95" s="6" t="s">
        <v>215</v>
      </c>
      <c r="I95" s="6" t="s">
        <v>213</v>
      </c>
      <c r="J95" s="1" t="s">
        <v>181</v>
      </c>
      <c r="K95" s="1" t="s">
        <v>182</v>
      </c>
      <c r="L95" s="1" t="s">
        <v>194</v>
      </c>
      <c r="M95" s="1" t="s">
        <v>195</v>
      </c>
      <c r="N95" s="1" t="s">
        <v>196</v>
      </c>
    </row>
    <row r="96" spans="1:14" x14ac:dyDescent="0.3">
      <c r="A96" s="4" t="s">
        <v>15</v>
      </c>
      <c r="B96" s="4" t="s">
        <v>37</v>
      </c>
      <c r="C96" s="4" t="s">
        <v>284</v>
      </c>
      <c r="D96" s="4" t="s">
        <v>291</v>
      </c>
      <c r="E96" s="1" t="s">
        <v>178</v>
      </c>
      <c r="F96" s="1">
        <v>2.68</v>
      </c>
      <c r="G96" s="6">
        <f>0.265+(F96*0.181)</f>
        <v>0.75008000000000008</v>
      </c>
      <c r="H96" s="6" t="s">
        <v>213</v>
      </c>
      <c r="I96" s="6" t="s">
        <v>214</v>
      </c>
      <c r="J96" s="1" t="s">
        <v>181</v>
      </c>
      <c r="K96" s="1" t="s">
        <v>182</v>
      </c>
      <c r="L96" s="1" t="s">
        <v>194</v>
      </c>
      <c r="M96" s="1" t="s">
        <v>195</v>
      </c>
      <c r="N96" s="1" t="s">
        <v>196</v>
      </c>
    </row>
    <row r="97" spans="1:14" x14ac:dyDescent="0.3">
      <c r="A97" s="4" t="s">
        <v>15</v>
      </c>
      <c r="B97" s="4" t="s">
        <v>38</v>
      </c>
      <c r="C97" s="4" t="s">
        <v>283</v>
      </c>
      <c r="D97" s="4" t="s">
        <v>291</v>
      </c>
      <c r="E97" s="1" t="s">
        <v>177</v>
      </c>
      <c r="F97" s="1">
        <v>2.72</v>
      </c>
      <c r="G97" s="6">
        <f t="shared" ref="G97:G107" si="5">0.173+(F97*0.21)</f>
        <v>0.74419999999999997</v>
      </c>
      <c r="H97" s="6" t="s">
        <v>211</v>
      </c>
      <c r="I97" s="6" t="s">
        <v>212</v>
      </c>
      <c r="J97" s="1" t="s">
        <v>179</v>
      </c>
      <c r="K97" s="1" t="s">
        <v>180</v>
      </c>
      <c r="L97" s="1" t="s">
        <v>194</v>
      </c>
      <c r="M97" s="1" t="s">
        <v>195</v>
      </c>
      <c r="N97" s="1" t="s">
        <v>196</v>
      </c>
    </row>
    <row r="98" spans="1:14" x14ac:dyDescent="0.3">
      <c r="A98" s="4" t="s">
        <v>15</v>
      </c>
      <c r="B98" s="4" t="s">
        <v>39</v>
      </c>
      <c r="C98" s="4" t="s">
        <v>285</v>
      </c>
      <c r="D98" s="4" t="s">
        <v>291</v>
      </c>
      <c r="E98" s="1" t="s">
        <v>177</v>
      </c>
      <c r="F98" s="1">
        <v>3.14</v>
      </c>
      <c r="G98" s="6">
        <f t="shared" si="5"/>
        <v>0.83240000000000003</v>
      </c>
      <c r="H98" s="6" t="s">
        <v>211</v>
      </c>
      <c r="I98" s="6" t="s">
        <v>212</v>
      </c>
      <c r="J98" s="1" t="s">
        <v>179</v>
      </c>
      <c r="K98" s="1" t="s">
        <v>183</v>
      </c>
      <c r="L98" s="1" t="s">
        <v>194</v>
      </c>
      <c r="M98" s="1" t="s">
        <v>195</v>
      </c>
      <c r="N98" s="1" t="s">
        <v>196</v>
      </c>
    </row>
    <row r="99" spans="1:14" x14ac:dyDescent="0.3">
      <c r="A99" s="4" t="s">
        <v>15</v>
      </c>
      <c r="B99" s="4" t="s">
        <v>40</v>
      </c>
      <c r="C99" s="4" t="s">
        <v>283</v>
      </c>
      <c r="D99" s="4" t="s">
        <v>291</v>
      </c>
      <c r="E99" s="1" t="s">
        <v>177</v>
      </c>
      <c r="F99" s="1">
        <v>3.09</v>
      </c>
      <c r="G99" s="6">
        <f t="shared" si="5"/>
        <v>0.82189999999999985</v>
      </c>
      <c r="H99" s="6" t="s">
        <v>211</v>
      </c>
      <c r="I99" s="6" t="s">
        <v>212</v>
      </c>
      <c r="J99" s="1" t="s">
        <v>179</v>
      </c>
      <c r="K99" s="1" t="s">
        <v>180</v>
      </c>
      <c r="L99" s="5" t="s">
        <v>199</v>
      </c>
      <c r="M99" s="5" t="s">
        <v>200</v>
      </c>
      <c r="N99" s="5" t="s">
        <v>201</v>
      </c>
    </row>
    <row r="100" spans="1:14" x14ac:dyDescent="0.3">
      <c r="A100" s="4" t="s">
        <v>15</v>
      </c>
      <c r="B100" s="4" t="s">
        <v>41</v>
      </c>
      <c r="C100" s="4" t="s">
        <v>283</v>
      </c>
      <c r="D100" s="4" t="s">
        <v>291</v>
      </c>
      <c r="E100" s="1" t="s">
        <v>177</v>
      </c>
      <c r="F100" s="1">
        <v>2.92</v>
      </c>
      <c r="G100" s="6">
        <f t="shared" si="5"/>
        <v>0.78620000000000001</v>
      </c>
      <c r="H100" s="6" t="s">
        <v>211</v>
      </c>
      <c r="I100" s="6" t="s">
        <v>212</v>
      </c>
      <c r="J100" s="1" t="s">
        <v>179</v>
      </c>
      <c r="K100" s="1" t="s">
        <v>180</v>
      </c>
      <c r="L100" s="5" t="s">
        <v>199</v>
      </c>
      <c r="M100" s="5" t="s">
        <v>200</v>
      </c>
      <c r="N100" s="5" t="s">
        <v>201</v>
      </c>
    </row>
    <row r="101" spans="1:14" x14ac:dyDescent="0.3">
      <c r="A101" s="4" t="s">
        <v>15</v>
      </c>
      <c r="B101" s="4" t="s">
        <v>42</v>
      </c>
      <c r="C101" s="4" t="s">
        <v>285</v>
      </c>
      <c r="D101" s="4" t="s">
        <v>291</v>
      </c>
      <c r="E101" s="1" t="s">
        <v>177</v>
      </c>
      <c r="F101" s="1">
        <v>3</v>
      </c>
      <c r="G101" s="6">
        <f t="shared" si="5"/>
        <v>0.80299999999999994</v>
      </c>
      <c r="H101" s="6" t="s">
        <v>211</v>
      </c>
      <c r="I101" s="6" t="s">
        <v>212</v>
      </c>
      <c r="J101" s="1" t="s">
        <v>179</v>
      </c>
      <c r="K101" s="1" t="s">
        <v>183</v>
      </c>
      <c r="L101" s="5" t="s">
        <v>199</v>
      </c>
      <c r="M101" s="5" t="s">
        <v>200</v>
      </c>
      <c r="N101" s="5" t="s">
        <v>201</v>
      </c>
    </row>
    <row r="102" spans="1:14" x14ac:dyDescent="0.3">
      <c r="A102" s="4" t="s">
        <v>15</v>
      </c>
      <c r="B102" s="4" t="s">
        <v>43</v>
      </c>
      <c r="C102" s="4" t="s">
        <v>285</v>
      </c>
      <c r="D102" s="4" t="s">
        <v>291</v>
      </c>
      <c r="E102" s="1" t="s">
        <v>177</v>
      </c>
      <c r="F102" s="1">
        <v>3.09</v>
      </c>
      <c r="G102" s="6">
        <f t="shared" si="5"/>
        <v>0.82189999999999985</v>
      </c>
      <c r="H102" s="6" t="s">
        <v>211</v>
      </c>
      <c r="I102" s="6" t="s">
        <v>212</v>
      </c>
      <c r="J102" s="1" t="s">
        <v>179</v>
      </c>
      <c r="K102" s="1" t="s">
        <v>183</v>
      </c>
      <c r="L102" s="5" t="s">
        <v>199</v>
      </c>
      <c r="M102" s="5" t="s">
        <v>200</v>
      </c>
      <c r="N102" s="5" t="s">
        <v>201</v>
      </c>
    </row>
    <row r="103" spans="1:14" x14ac:dyDescent="0.3">
      <c r="A103" s="4" t="s">
        <v>15</v>
      </c>
      <c r="B103" s="4" t="s">
        <v>44</v>
      </c>
      <c r="C103" s="4" t="s">
        <v>285</v>
      </c>
      <c r="D103" s="4" t="s">
        <v>291</v>
      </c>
      <c r="E103" s="1" t="s">
        <v>177</v>
      </c>
      <c r="F103" s="1">
        <v>2.9</v>
      </c>
      <c r="G103" s="6">
        <f t="shared" si="5"/>
        <v>0.78200000000000003</v>
      </c>
      <c r="H103" s="6" t="s">
        <v>211</v>
      </c>
      <c r="I103" s="6" t="s">
        <v>212</v>
      </c>
      <c r="J103" s="1" t="s">
        <v>179</v>
      </c>
      <c r="K103" s="1" t="s">
        <v>183</v>
      </c>
      <c r="L103" s="5" t="s">
        <v>199</v>
      </c>
      <c r="M103" s="5" t="s">
        <v>200</v>
      </c>
      <c r="N103" s="5" t="s">
        <v>201</v>
      </c>
    </row>
    <row r="104" spans="1:14" x14ac:dyDescent="0.3">
      <c r="A104" s="4" t="s">
        <v>15</v>
      </c>
      <c r="B104" s="4" t="s">
        <v>45</v>
      </c>
      <c r="C104" s="4" t="s">
        <v>285</v>
      </c>
      <c r="D104" s="4" t="s">
        <v>291</v>
      </c>
      <c r="E104" s="1" t="s">
        <v>177</v>
      </c>
      <c r="F104" s="1">
        <v>2.9</v>
      </c>
      <c r="G104" s="6">
        <f t="shared" si="5"/>
        <v>0.78200000000000003</v>
      </c>
      <c r="H104" s="6" t="s">
        <v>211</v>
      </c>
      <c r="I104" s="6" t="s">
        <v>212</v>
      </c>
      <c r="J104" s="1" t="s">
        <v>179</v>
      </c>
      <c r="K104" s="1" t="s">
        <v>183</v>
      </c>
      <c r="L104" s="5" t="s">
        <v>199</v>
      </c>
      <c r="M104" s="5" t="s">
        <v>200</v>
      </c>
      <c r="N104" s="5" t="s">
        <v>201</v>
      </c>
    </row>
    <row r="105" spans="1:14" x14ac:dyDescent="0.3">
      <c r="A105" s="4" t="s">
        <v>15</v>
      </c>
      <c r="B105" s="4" t="s">
        <v>46</v>
      </c>
      <c r="C105" s="4" t="s">
        <v>283</v>
      </c>
      <c r="D105" s="4" t="s">
        <v>291</v>
      </c>
      <c r="E105" s="1" t="s">
        <v>177</v>
      </c>
      <c r="F105" s="1">
        <v>2.98</v>
      </c>
      <c r="G105" s="6">
        <f t="shared" si="5"/>
        <v>0.79879999999999995</v>
      </c>
      <c r="H105" s="6" t="s">
        <v>211</v>
      </c>
      <c r="I105" s="6" t="s">
        <v>212</v>
      </c>
      <c r="J105" s="1" t="s">
        <v>179</v>
      </c>
      <c r="K105" s="1" t="s">
        <v>180</v>
      </c>
      <c r="L105" s="5" t="s">
        <v>199</v>
      </c>
      <c r="M105" s="5" t="s">
        <v>200</v>
      </c>
      <c r="N105" s="5" t="s">
        <v>201</v>
      </c>
    </row>
    <row r="106" spans="1:14" x14ac:dyDescent="0.3">
      <c r="A106" s="4" t="s">
        <v>15</v>
      </c>
      <c r="B106" s="4" t="s">
        <v>47</v>
      </c>
      <c r="C106" s="4" t="s">
        <v>285</v>
      </c>
      <c r="D106" s="4" t="s">
        <v>291</v>
      </c>
      <c r="E106" s="1" t="s">
        <v>177</v>
      </c>
      <c r="F106" s="1">
        <v>3</v>
      </c>
      <c r="G106" s="6">
        <f t="shared" si="5"/>
        <v>0.80299999999999994</v>
      </c>
      <c r="H106" s="6" t="s">
        <v>211</v>
      </c>
      <c r="I106" s="6" t="s">
        <v>212</v>
      </c>
      <c r="J106" s="1" t="s">
        <v>179</v>
      </c>
      <c r="K106" s="1" t="s">
        <v>183</v>
      </c>
      <c r="L106" s="5" t="s">
        <v>199</v>
      </c>
      <c r="M106" s="5" t="s">
        <v>200</v>
      </c>
      <c r="N106" s="5" t="s">
        <v>201</v>
      </c>
    </row>
    <row r="107" spans="1:14" x14ac:dyDescent="0.3">
      <c r="A107" s="3" t="s">
        <v>48</v>
      </c>
      <c r="B107" s="3" t="s">
        <v>49</v>
      </c>
      <c r="C107" s="3" t="s">
        <v>285</v>
      </c>
      <c r="D107" s="3" t="s">
        <v>290</v>
      </c>
      <c r="E107" s="2" t="s">
        <v>177</v>
      </c>
      <c r="F107" s="2">
        <v>2.59</v>
      </c>
      <c r="G107" s="6">
        <f t="shared" si="5"/>
        <v>0.71689999999999987</v>
      </c>
      <c r="H107" s="6" t="s">
        <v>211</v>
      </c>
      <c r="I107" s="6" t="s">
        <v>212</v>
      </c>
      <c r="J107" s="2" t="s">
        <v>179</v>
      </c>
      <c r="K107" s="2" t="s">
        <v>183</v>
      </c>
      <c r="L107" s="5" t="s">
        <v>202</v>
      </c>
      <c r="M107" s="5" t="s">
        <v>203</v>
      </c>
      <c r="N107" s="5" t="s">
        <v>201</v>
      </c>
    </row>
    <row r="108" spans="1:14" x14ac:dyDescent="0.3">
      <c r="A108" s="3" t="s">
        <v>48</v>
      </c>
      <c r="B108" s="3" t="s">
        <v>50</v>
      </c>
      <c r="C108" s="3" t="s">
        <v>284</v>
      </c>
      <c r="D108" s="3" t="s">
        <v>291</v>
      </c>
      <c r="E108" s="2" t="s">
        <v>178</v>
      </c>
      <c r="F108" s="2">
        <v>2.62</v>
      </c>
      <c r="G108" s="6">
        <f>0.265+(F108*0.181)</f>
        <v>0.73921999999999999</v>
      </c>
      <c r="H108" s="6" t="s">
        <v>213</v>
      </c>
      <c r="I108" s="6" t="s">
        <v>214</v>
      </c>
      <c r="J108" s="2" t="s">
        <v>181</v>
      </c>
      <c r="K108" s="2" t="s">
        <v>182</v>
      </c>
      <c r="L108" s="5" t="s">
        <v>199</v>
      </c>
      <c r="M108" s="5" t="s">
        <v>200</v>
      </c>
      <c r="N108" s="5" t="s">
        <v>201</v>
      </c>
    </row>
    <row r="109" spans="1:14" x14ac:dyDescent="0.3">
      <c r="A109" s="3" t="s">
        <v>48</v>
      </c>
      <c r="B109" s="3" t="s">
        <v>51</v>
      </c>
      <c r="C109" s="3" t="s">
        <v>283</v>
      </c>
      <c r="D109" s="3" t="s">
        <v>290</v>
      </c>
      <c r="E109" s="2" t="s">
        <v>177</v>
      </c>
      <c r="F109" s="2">
        <v>2.65</v>
      </c>
      <c r="G109" s="6">
        <f>0.173+(F109*0.21)</f>
        <v>0.72950000000000004</v>
      </c>
      <c r="H109" s="6" t="s">
        <v>211</v>
      </c>
      <c r="I109" s="6" t="s">
        <v>212</v>
      </c>
      <c r="J109" s="2" t="s">
        <v>179</v>
      </c>
      <c r="K109" s="2" t="s">
        <v>180</v>
      </c>
      <c r="L109" s="5" t="s">
        <v>202</v>
      </c>
      <c r="M109" s="5" t="s">
        <v>203</v>
      </c>
      <c r="N109" s="5" t="s">
        <v>201</v>
      </c>
    </row>
    <row r="110" spans="1:14" x14ac:dyDescent="0.3">
      <c r="A110" s="3" t="s">
        <v>48</v>
      </c>
      <c r="B110" s="3" t="s">
        <v>52</v>
      </c>
      <c r="C110" s="3" t="s">
        <v>285</v>
      </c>
      <c r="D110" s="3" t="s">
        <v>291</v>
      </c>
      <c r="E110" s="2" t="s">
        <v>177</v>
      </c>
      <c r="F110" s="2">
        <v>2.46</v>
      </c>
      <c r="G110" s="6">
        <f>0.173+(F110*0.21)</f>
        <v>0.68959999999999999</v>
      </c>
      <c r="H110" s="6" t="s">
        <v>211</v>
      </c>
      <c r="I110" s="6" t="s">
        <v>212</v>
      </c>
      <c r="J110" s="2" t="s">
        <v>179</v>
      </c>
      <c r="K110" s="2" t="s">
        <v>183</v>
      </c>
      <c r="L110" s="5" t="s">
        <v>199</v>
      </c>
      <c r="M110" s="5" t="s">
        <v>200</v>
      </c>
      <c r="N110" s="5" t="s">
        <v>201</v>
      </c>
    </row>
    <row r="111" spans="1:14" x14ac:dyDescent="0.3">
      <c r="A111" s="3" t="s">
        <v>48</v>
      </c>
      <c r="B111" s="3" t="s">
        <v>53</v>
      </c>
      <c r="C111" s="3" t="s">
        <v>283</v>
      </c>
      <c r="D111" s="3" t="s">
        <v>291</v>
      </c>
      <c r="E111" s="2" t="s">
        <v>177</v>
      </c>
      <c r="F111" s="2">
        <v>2.57</v>
      </c>
      <c r="G111" s="6">
        <f>0.173+(F111*0.21)</f>
        <v>0.71269999999999989</v>
      </c>
      <c r="H111" s="6" t="s">
        <v>211</v>
      </c>
      <c r="I111" s="6" t="s">
        <v>212</v>
      </c>
      <c r="J111" s="2" t="s">
        <v>179</v>
      </c>
      <c r="K111" s="2" t="s">
        <v>180</v>
      </c>
      <c r="L111" s="5" t="s">
        <v>199</v>
      </c>
      <c r="M111" s="5" t="s">
        <v>200</v>
      </c>
      <c r="N111" s="5" t="s">
        <v>201</v>
      </c>
    </row>
    <row r="112" spans="1:14" x14ac:dyDescent="0.3">
      <c r="A112" s="3" t="s">
        <v>48</v>
      </c>
      <c r="B112" s="3" t="s">
        <v>54</v>
      </c>
      <c r="C112" s="3" t="s">
        <v>284</v>
      </c>
      <c r="D112" s="3" t="s">
        <v>291</v>
      </c>
      <c r="E112" s="2" t="s">
        <v>178</v>
      </c>
      <c r="F112" s="2">
        <v>2.79</v>
      </c>
      <c r="G112" s="6">
        <f>0.265+(F112*0.181)</f>
        <v>0.76998999999999995</v>
      </c>
      <c r="H112" s="6" t="s">
        <v>213</v>
      </c>
      <c r="I112" s="6" t="s">
        <v>214</v>
      </c>
      <c r="J112" s="2" t="s">
        <v>181</v>
      </c>
      <c r="K112" s="2" t="s">
        <v>182</v>
      </c>
      <c r="L112" s="5" t="s">
        <v>199</v>
      </c>
      <c r="M112" s="5" t="s">
        <v>200</v>
      </c>
      <c r="N112" s="5" t="s">
        <v>201</v>
      </c>
    </row>
    <row r="113" spans="1:14" x14ac:dyDescent="0.3">
      <c r="A113" s="3" t="s">
        <v>48</v>
      </c>
      <c r="B113" s="3" t="s">
        <v>55</v>
      </c>
      <c r="C113" s="3" t="s">
        <v>284</v>
      </c>
      <c r="D113" s="3" t="s">
        <v>290</v>
      </c>
      <c r="E113" s="2" t="s">
        <v>178</v>
      </c>
      <c r="F113" s="2">
        <v>2.4500000000000002</v>
      </c>
      <c r="G113" s="6">
        <f>0.265+(F113*0.181)</f>
        <v>0.70845000000000002</v>
      </c>
      <c r="H113" s="6" t="s">
        <v>213</v>
      </c>
      <c r="I113" s="6" t="s">
        <v>214</v>
      </c>
      <c r="J113" s="2" t="s">
        <v>181</v>
      </c>
      <c r="K113" s="2" t="s">
        <v>182</v>
      </c>
      <c r="L113" s="5" t="s">
        <v>202</v>
      </c>
      <c r="M113" s="5" t="s">
        <v>203</v>
      </c>
      <c r="N113" s="5" t="s">
        <v>201</v>
      </c>
    </row>
    <row r="114" spans="1:14" x14ac:dyDescent="0.3">
      <c r="A114" s="3" t="s">
        <v>48</v>
      </c>
      <c r="B114" s="3" t="s">
        <v>56</v>
      </c>
      <c r="C114" s="3" t="s">
        <v>284</v>
      </c>
      <c r="D114" s="3" t="s">
        <v>291</v>
      </c>
      <c r="E114" s="2" t="s">
        <v>178</v>
      </c>
      <c r="F114" s="2">
        <v>2.39</v>
      </c>
      <c r="G114" s="6">
        <f>0.265+(F114*0.181)</f>
        <v>0.69759000000000004</v>
      </c>
      <c r="H114" s="6" t="s">
        <v>213</v>
      </c>
      <c r="I114" s="6" t="s">
        <v>214</v>
      </c>
      <c r="J114" s="2" t="s">
        <v>181</v>
      </c>
      <c r="K114" s="2" t="s">
        <v>182</v>
      </c>
      <c r="L114" s="5" t="s">
        <v>199</v>
      </c>
      <c r="M114" s="5" t="s">
        <v>200</v>
      </c>
      <c r="N114" s="5" t="s">
        <v>201</v>
      </c>
    </row>
    <row r="115" spans="1:14" x14ac:dyDescent="0.3">
      <c r="A115" s="3" t="s">
        <v>48</v>
      </c>
      <c r="B115" s="3" t="s">
        <v>57</v>
      </c>
      <c r="C115" s="3" t="s">
        <v>285</v>
      </c>
      <c r="D115" s="3" t="s">
        <v>291</v>
      </c>
      <c r="E115" s="2" t="s">
        <v>177</v>
      </c>
      <c r="F115" s="2">
        <v>2.71</v>
      </c>
      <c r="G115" s="6">
        <f>0.173+(F115*0.21)</f>
        <v>0.74209999999999998</v>
      </c>
      <c r="H115" s="6" t="s">
        <v>211</v>
      </c>
      <c r="I115" s="6" t="s">
        <v>212</v>
      </c>
      <c r="J115" s="2" t="s">
        <v>179</v>
      </c>
      <c r="K115" s="2" t="s">
        <v>183</v>
      </c>
      <c r="L115" s="5" t="s">
        <v>199</v>
      </c>
      <c r="M115" s="5" t="s">
        <v>200</v>
      </c>
      <c r="N115" s="5" t="s">
        <v>201</v>
      </c>
    </row>
    <row r="116" spans="1:14" x14ac:dyDescent="0.3">
      <c r="A116" s="3" t="s">
        <v>48</v>
      </c>
      <c r="B116" s="3" t="s">
        <v>58</v>
      </c>
      <c r="C116" s="3" t="s">
        <v>284</v>
      </c>
      <c r="D116" s="3" t="s">
        <v>291</v>
      </c>
      <c r="E116" s="2" t="s">
        <v>178</v>
      </c>
      <c r="F116" s="2">
        <v>2.74</v>
      </c>
      <c r="G116" s="6">
        <f>0.265+(F116*0.181)</f>
        <v>0.76094000000000006</v>
      </c>
      <c r="H116" s="6" t="s">
        <v>213</v>
      </c>
      <c r="I116" s="6" t="s">
        <v>214</v>
      </c>
      <c r="J116" s="2" t="s">
        <v>181</v>
      </c>
      <c r="K116" s="2" t="s">
        <v>182</v>
      </c>
      <c r="L116" s="5" t="s">
        <v>199</v>
      </c>
      <c r="M116" s="5" t="s">
        <v>200</v>
      </c>
      <c r="N116" s="5" t="s">
        <v>201</v>
      </c>
    </row>
    <row r="117" spans="1:14" x14ac:dyDescent="0.3">
      <c r="A117" s="3" t="s">
        <v>48</v>
      </c>
      <c r="B117" s="3" t="s">
        <v>59</v>
      </c>
      <c r="C117" s="3" t="s">
        <v>284</v>
      </c>
      <c r="D117" s="3" t="s">
        <v>291</v>
      </c>
      <c r="E117" s="2" t="s">
        <v>178</v>
      </c>
      <c r="F117" s="2">
        <v>2.4300000000000002</v>
      </c>
      <c r="G117" s="6">
        <f>0.265+(F117*0.181)</f>
        <v>0.70483000000000007</v>
      </c>
      <c r="H117" s="6" t="s">
        <v>213</v>
      </c>
      <c r="I117" s="6" t="s">
        <v>214</v>
      </c>
      <c r="J117" s="2" t="s">
        <v>181</v>
      </c>
      <c r="K117" s="2" t="s">
        <v>182</v>
      </c>
      <c r="L117" s="5" t="s">
        <v>199</v>
      </c>
      <c r="M117" s="5" t="s">
        <v>200</v>
      </c>
      <c r="N117" s="5" t="s">
        <v>201</v>
      </c>
    </row>
    <row r="118" spans="1:14" x14ac:dyDescent="0.3">
      <c r="A118" s="3" t="s">
        <v>48</v>
      </c>
      <c r="B118" s="3" t="s">
        <v>60</v>
      </c>
      <c r="C118" s="3" t="s">
        <v>284</v>
      </c>
      <c r="D118" s="3" t="s">
        <v>291</v>
      </c>
      <c r="E118" s="2" t="s">
        <v>178</v>
      </c>
      <c r="F118" s="2">
        <v>2.79</v>
      </c>
      <c r="G118" s="6">
        <f>0.265+(F118*0.181)</f>
        <v>0.76998999999999995</v>
      </c>
      <c r="H118" s="6" t="s">
        <v>213</v>
      </c>
      <c r="I118" s="6" t="s">
        <v>214</v>
      </c>
      <c r="J118" s="2" t="s">
        <v>181</v>
      </c>
      <c r="K118" s="2" t="s">
        <v>182</v>
      </c>
      <c r="L118" s="5" t="s">
        <v>199</v>
      </c>
      <c r="M118" s="5" t="s">
        <v>200</v>
      </c>
      <c r="N118" s="5" t="s">
        <v>201</v>
      </c>
    </row>
    <row r="119" spans="1:14" x14ac:dyDescent="0.3">
      <c r="A119" s="3" t="s">
        <v>48</v>
      </c>
      <c r="B119" s="3" t="s">
        <v>61</v>
      </c>
      <c r="C119" s="3" t="s">
        <v>285</v>
      </c>
      <c r="D119" s="3" t="s">
        <v>291</v>
      </c>
      <c r="E119" s="2" t="s">
        <v>177</v>
      </c>
      <c r="F119" s="2">
        <v>2.66</v>
      </c>
      <c r="G119" s="6">
        <f>0.173+(F119*0.21)</f>
        <v>0.73160000000000003</v>
      </c>
      <c r="H119" s="6" t="s">
        <v>211</v>
      </c>
      <c r="I119" s="6" t="s">
        <v>212</v>
      </c>
      <c r="J119" s="2" t="s">
        <v>179</v>
      </c>
      <c r="K119" s="2" t="s">
        <v>183</v>
      </c>
      <c r="L119" s="5" t="s">
        <v>199</v>
      </c>
      <c r="M119" s="5" t="s">
        <v>200</v>
      </c>
      <c r="N119" s="5" t="s">
        <v>201</v>
      </c>
    </row>
    <row r="120" spans="1:14" x14ac:dyDescent="0.3">
      <c r="A120" s="3" t="s">
        <v>48</v>
      </c>
      <c r="B120" s="3" t="s">
        <v>62</v>
      </c>
      <c r="C120" s="3" t="s">
        <v>283</v>
      </c>
      <c r="D120" s="3" t="s">
        <v>291</v>
      </c>
      <c r="E120" s="2" t="s">
        <v>177</v>
      </c>
      <c r="F120" s="2">
        <v>2.56</v>
      </c>
      <c r="G120" s="6">
        <f>0.173+(F120*0.21)</f>
        <v>0.7105999999999999</v>
      </c>
      <c r="H120" s="6" t="s">
        <v>211</v>
      </c>
      <c r="I120" s="6" t="s">
        <v>212</v>
      </c>
      <c r="J120" s="2" t="s">
        <v>179</v>
      </c>
      <c r="K120" s="2" t="s">
        <v>180</v>
      </c>
      <c r="L120" s="5" t="s">
        <v>199</v>
      </c>
      <c r="M120" s="5" t="s">
        <v>200</v>
      </c>
      <c r="N120" s="5" t="s">
        <v>201</v>
      </c>
    </row>
    <row r="121" spans="1:14" x14ac:dyDescent="0.3">
      <c r="A121" s="3" t="s">
        <v>48</v>
      </c>
      <c r="B121" s="3" t="s">
        <v>63</v>
      </c>
      <c r="C121" s="3" t="s">
        <v>284</v>
      </c>
      <c r="D121" s="3" t="s">
        <v>290</v>
      </c>
      <c r="E121" s="2" t="s">
        <v>178</v>
      </c>
      <c r="F121" s="2">
        <v>2.44</v>
      </c>
      <c r="G121" s="6">
        <f>0.265+(F121*0.181)</f>
        <v>0.70663999999999993</v>
      </c>
      <c r="H121" s="6" t="s">
        <v>213</v>
      </c>
      <c r="I121" s="6" t="s">
        <v>214</v>
      </c>
      <c r="J121" s="2" t="s">
        <v>181</v>
      </c>
      <c r="K121" s="2" t="s">
        <v>182</v>
      </c>
      <c r="L121" s="5" t="s">
        <v>202</v>
      </c>
      <c r="M121" s="5" t="s">
        <v>203</v>
      </c>
      <c r="N121" s="5" t="s">
        <v>201</v>
      </c>
    </row>
    <row r="122" spans="1:14" x14ac:dyDescent="0.3">
      <c r="A122" s="3" t="s">
        <v>48</v>
      </c>
      <c r="B122" s="3" t="s">
        <v>64</v>
      </c>
      <c r="C122" s="3" t="s">
        <v>284</v>
      </c>
      <c r="D122" s="3" t="s">
        <v>291</v>
      </c>
      <c r="E122" s="2" t="s">
        <v>178</v>
      </c>
      <c r="F122" s="2">
        <v>2.63</v>
      </c>
      <c r="G122" s="6">
        <f>0.265+(F122*0.181)</f>
        <v>0.74102999999999997</v>
      </c>
      <c r="H122" s="6" t="s">
        <v>213</v>
      </c>
      <c r="I122" s="6" t="s">
        <v>214</v>
      </c>
      <c r="J122" s="2" t="s">
        <v>181</v>
      </c>
      <c r="K122" s="2" t="s">
        <v>182</v>
      </c>
      <c r="L122" s="5" t="s">
        <v>199</v>
      </c>
      <c r="M122" s="5" t="s">
        <v>200</v>
      </c>
      <c r="N122" s="5" t="s">
        <v>201</v>
      </c>
    </row>
    <row r="123" spans="1:14" x14ac:dyDescent="0.3">
      <c r="A123" s="3" t="s">
        <v>48</v>
      </c>
      <c r="B123" s="3" t="s">
        <v>65</v>
      </c>
      <c r="C123" s="3" t="s">
        <v>284</v>
      </c>
      <c r="D123" s="3" t="s">
        <v>291</v>
      </c>
      <c r="E123" s="2" t="s">
        <v>178</v>
      </c>
      <c r="F123" s="2">
        <v>2.99</v>
      </c>
      <c r="G123" s="6">
        <f t="shared" ref="G123:G134" si="6">0.265+(F123*0.181)</f>
        <v>0.80619000000000007</v>
      </c>
      <c r="H123" s="6" t="s">
        <v>213</v>
      </c>
      <c r="I123" s="6" t="s">
        <v>214</v>
      </c>
      <c r="J123" s="2" t="s">
        <v>181</v>
      </c>
      <c r="K123" s="2" t="s">
        <v>182</v>
      </c>
      <c r="L123" s="5" t="s">
        <v>199</v>
      </c>
      <c r="M123" s="5" t="s">
        <v>200</v>
      </c>
      <c r="N123" s="5" t="s">
        <v>201</v>
      </c>
    </row>
    <row r="124" spans="1:14" x14ac:dyDescent="0.3">
      <c r="A124" s="3" t="s">
        <v>48</v>
      </c>
      <c r="B124" s="3" t="s">
        <v>66</v>
      </c>
      <c r="C124" s="3" t="s">
        <v>284</v>
      </c>
      <c r="D124" s="3" t="s">
        <v>291</v>
      </c>
      <c r="E124" s="2" t="s">
        <v>178</v>
      </c>
      <c r="F124" s="2">
        <v>2.61</v>
      </c>
      <c r="G124" s="6">
        <f t="shared" si="6"/>
        <v>0.7374099999999999</v>
      </c>
      <c r="H124" s="6" t="s">
        <v>213</v>
      </c>
      <c r="I124" s="6" t="s">
        <v>214</v>
      </c>
      <c r="J124" s="2" t="s">
        <v>181</v>
      </c>
      <c r="K124" s="2" t="s">
        <v>182</v>
      </c>
      <c r="L124" s="5" t="s">
        <v>199</v>
      </c>
      <c r="M124" s="5" t="s">
        <v>200</v>
      </c>
      <c r="N124" s="5" t="s">
        <v>201</v>
      </c>
    </row>
    <row r="125" spans="1:14" x14ac:dyDescent="0.3">
      <c r="A125" s="4" t="s">
        <v>67</v>
      </c>
      <c r="B125" s="4" t="s">
        <v>68</v>
      </c>
      <c r="C125" s="4" t="s">
        <v>284</v>
      </c>
      <c r="D125" s="4" t="s">
        <v>289</v>
      </c>
      <c r="E125" s="1" t="s">
        <v>178</v>
      </c>
      <c r="F125" s="1">
        <v>2.34</v>
      </c>
      <c r="G125" s="6">
        <f t="shared" si="6"/>
        <v>0.68853999999999993</v>
      </c>
      <c r="H125" s="6" t="s">
        <v>215</v>
      </c>
      <c r="I125" s="6" t="s">
        <v>213</v>
      </c>
      <c r="J125" s="1" t="s">
        <v>181</v>
      </c>
      <c r="K125" s="1" t="s">
        <v>182</v>
      </c>
      <c r="L125" s="5" t="s">
        <v>204</v>
      </c>
      <c r="M125" s="5" t="s">
        <v>205</v>
      </c>
      <c r="N125" s="5" t="s">
        <v>201</v>
      </c>
    </row>
    <row r="126" spans="1:14" x14ac:dyDescent="0.3">
      <c r="A126" s="4" t="s">
        <v>67</v>
      </c>
      <c r="B126" s="4" t="s">
        <v>69</v>
      </c>
      <c r="C126" s="4" t="s">
        <v>284</v>
      </c>
      <c r="D126" s="4" t="s">
        <v>291</v>
      </c>
      <c r="E126" s="1" t="s">
        <v>178</v>
      </c>
      <c r="F126" s="1">
        <v>2.42</v>
      </c>
      <c r="G126" s="6">
        <f t="shared" si="6"/>
        <v>0.70301999999999998</v>
      </c>
      <c r="H126" s="6" t="s">
        <v>215</v>
      </c>
      <c r="I126" s="6" t="s">
        <v>213</v>
      </c>
      <c r="J126" s="1" t="s">
        <v>181</v>
      </c>
      <c r="K126" s="1" t="s">
        <v>182</v>
      </c>
      <c r="L126" s="5" t="s">
        <v>199</v>
      </c>
      <c r="M126" s="5" t="s">
        <v>200</v>
      </c>
      <c r="N126" s="5" t="s">
        <v>201</v>
      </c>
    </row>
    <row r="127" spans="1:14" x14ac:dyDescent="0.3">
      <c r="A127" s="4" t="s">
        <v>67</v>
      </c>
      <c r="B127" s="4" t="s">
        <v>70</v>
      </c>
      <c r="C127" s="4" t="s">
        <v>284</v>
      </c>
      <c r="D127" s="4" t="s">
        <v>291</v>
      </c>
      <c r="E127" s="1" t="s">
        <v>178</v>
      </c>
      <c r="F127" s="1">
        <v>2.35</v>
      </c>
      <c r="G127" s="6">
        <f t="shared" si="6"/>
        <v>0.69035000000000002</v>
      </c>
      <c r="H127" s="6" t="s">
        <v>215</v>
      </c>
      <c r="I127" s="6" t="s">
        <v>213</v>
      </c>
      <c r="J127" s="1" t="s">
        <v>181</v>
      </c>
      <c r="K127" s="1" t="s">
        <v>182</v>
      </c>
      <c r="L127" s="5" t="s">
        <v>199</v>
      </c>
      <c r="M127" s="5" t="s">
        <v>200</v>
      </c>
      <c r="N127" s="5" t="s">
        <v>201</v>
      </c>
    </row>
    <row r="128" spans="1:14" x14ac:dyDescent="0.3">
      <c r="A128" s="4" t="s">
        <v>67</v>
      </c>
      <c r="B128" s="4" t="s">
        <v>71</v>
      </c>
      <c r="C128" s="4" t="s">
        <v>284</v>
      </c>
      <c r="D128" s="4" t="s">
        <v>289</v>
      </c>
      <c r="E128" s="1" t="s">
        <v>178</v>
      </c>
      <c r="F128" s="1">
        <v>2.42</v>
      </c>
      <c r="G128" s="6">
        <f t="shared" si="6"/>
        <v>0.70301999999999998</v>
      </c>
      <c r="H128" s="6" t="s">
        <v>215</v>
      </c>
      <c r="I128" s="6" t="s">
        <v>213</v>
      </c>
      <c r="J128" s="1" t="s">
        <v>181</v>
      </c>
      <c r="K128" s="1" t="s">
        <v>182</v>
      </c>
      <c r="L128" s="5" t="s">
        <v>204</v>
      </c>
      <c r="M128" s="5" t="s">
        <v>205</v>
      </c>
      <c r="N128" s="5" t="s">
        <v>201</v>
      </c>
    </row>
    <row r="129" spans="1:14" x14ac:dyDescent="0.3">
      <c r="A129" s="4" t="s">
        <v>67</v>
      </c>
      <c r="B129" s="4" t="s">
        <v>72</v>
      </c>
      <c r="C129" s="4" t="s">
        <v>284</v>
      </c>
      <c r="D129" s="4" t="s">
        <v>291</v>
      </c>
      <c r="E129" s="1" t="s">
        <v>178</v>
      </c>
      <c r="F129" s="1">
        <v>2.62</v>
      </c>
      <c r="G129" s="6">
        <f t="shared" si="6"/>
        <v>0.73921999999999999</v>
      </c>
      <c r="H129" s="6" t="s">
        <v>215</v>
      </c>
      <c r="I129" s="6" t="s">
        <v>213</v>
      </c>
      <c r="J129" s="7" t="s">
        <v>186</v>
      </c>
      <c r="K129" s="7" t="s">
        <v>187</v>
      </c>
      <c r="L129" s="5" t="s">
        <v>199</v>
      </c>
      <c r="M129" s="5" t="s">
        <v>200</v>
      </c>
      <c r="N129" s="5" t="s">
        <v>201</v>
      </c>
    </row>
    <row r="130" spans="1:14" x14ac:dyDescent="0.3">
      <c r="A130" s="4" t="s">
        <v>67</v>
      </c>
      <c r="B130" s="4" t="s">
        <v>73</v>
      </c>
      <c r="C130" s="4" t="s">
        <v>284</v>
      </c>
      <c r="D130" s="4" t="s">
        <v>291</v>
      </c>
      <c r="E130" s="1" t="s">
        <v>178</v>
      </c>
      <c r="F130" s="1">
        <v>2.73</v>
      </c>
      <c r="G130" s="6">
        <f t="shared" si="6"/>
        <v>0.75912999999999997</v>
      </c>
      <c r="H130" s="6" t="s">
        <v>215</v>
      </c>
      <c r="I130" s="6" t="s">
        <v>213</v>
      </c>
      <c r="J130" s="7" t="s">
        <v>186</v>
      </c>
      <c r="K130" s="7" t="s">
        <v>187</v>
      </c>
      <c r="L130" s="5" t="s">
        <v>199</v>
      </c>
      <c r="M130" s="5" t="s">
        <v>200</v>
      </c>
      <c r="N130" s="5" t="s">
        <v>201</v>
      </c>
    </row>
    <row r="131" spans="1:14" x14ac:dyDescent="0.3">
      <c r="A131" s="4" t="s">
        <v>67</v>
      </c>
      <c r="B131" s="4" t="s">
        <v>74</v>
      </c>
      <c r="C131" s="4" t="s">
        <v>285</v>
      </c>
      <c r="D131" s="4" t="s">
        <v>291</v>
      </c>
      <c r="E131" s="1" t="s">
        <v>177</v>
      </c>
      <c r="F131" s="1">
        <v>2.63</v>
      </c>
      <c r="G131" s="6">
        <f>0.173+(F131*0.21)</f>
        <v>0.72529999999999983</v>
      </c>
      <c r="H131" s="6" t="s">
        <v>27</v>
      </c>
      <c r="I131" s="6" t="s">
        <v>211</v>
      </c>
      <c r="J131" s="7" t="s">
        <v>188</v>
      </c>
      <c r="K131" s="7" t="s">
        <v>189</v>
      </c>
      <c r="L131" s="5" t="s">
        <v>199</v>
      </c>
      <c r="M131" s="5" t="s">
        <v>200</v>
      </c>
      <c r="N131" s="5" t="s">
        <v>201</v>
      </c>
    </row>
    <row r="132" spans="1:14" x14ac:dyDescent="0.3">
      <c r="A132" s="4" t="s">
        <v>67</v>
      </c>
      <c r="B132" s="4" t="s">
        <v>75</v>
      </c>
      <c r="C132" s="4" t="s">
        <v>284</v>
      </c>
      <c r="D132" s="4" t="s">
        <v>289</v>
      </c>
      <c r="E132" s="1" t="s">
        <v>178</v>
      </c>
      <c r="F132" s="1">
        <v>2.7</v>
      </c>
      <c r="G132" s="6">
        <f t="shared" si="6"/>
        <v>0.75370000000000004</v>
      </c>
      <c r="H132" s="6" t="s">
        <v>215</v>
      </c>
      <c r="I132" s="6" t="s">
        <v>213</v>
      </c>
      <c r="J132" s="7" t="s">
        <v>186</v>
      </c>
      <c r="K132" s="7" t="s">
        <v>187</v>
      </c>
      <c r="L132" s="5" t="s">
        <v>204</v>
      </c>
      <c r="M132" s="5" t="s">
        <v>205</v>
      </c>
      <c r="N132" s="5" t="s">
        <v>201</v>
      </c>
    </row>
    <row r="133" spans="1:14" x14ac:dyDescent="0.3">
      <c r="A133" s="4" t="s">
        <v>67</v>
      </c>
      <c r="B133" s="4" t="s">
        <v>76</v>
      </c>
      <c r="C133" s="4" t="s">
        <v>284</v>
      </c>
      <c r="D133" s="4" t="s">
        <v>291</v>
      </c>
      <c r="E133" s="1" t="s">
        <v>178</v>
      </c>
      <c r="F133" s="1">
        <v>2.65</v>
      </c>
      <c r="G133" s="6">
        <f t="shared" si="6"/>
        <v>0.74465000000000003</v>
      </c>
      <c r="H133" s="6" t="s">
        <v>215</v>
      </c>
      <c r="I133" s="6" t="s">
        <v>213</v>
      </c>
      <c r="J133" s="7" t="s">
        <v>186</v>
      </c>
      <c r="K133" s="7" t="s">
        <v>187</v>
      </c>
      <c r="L133" s="5" t="s">
        <v>199</v>
      </c>
      <c r="M133" s="5" t="s">
        <v>200</v>
      </c>
      <c r="N133" s="5" t="s">
        <v>201</v>
      </c>
    </row>
    <row r="134" spans="1:14" x14ac:dyDescent="0.3">
      <c r="A134" s="4" t="s">
        <v>67</v>
      </c>
      <c r="B134" s="4" t="s">
        <v>77</v>
      </c>
      <c r="C134" s="4" t="s">
        <v>284</v>
      </c>
      <c r="D134" s="4" t="s">
        <v>291</v>
      </c>
      <c r="E134" s="1" t="s">
        <v>178</v>
      </c>
      <c r="F134" s="1">
        <v>2.73</v>
      </c>
      <c r="G134" s="6">
        <f t="shared" si="6"/>
        <v>0.75912999999999997</v>
      </c>
      <c r="H134" s="6" t="s">
        <v>215</v>
      </c>
      <c r="I134" s="6" t="s">
        <v>213</v>
      </c>
      <c r="J134" s="7" t="s">
        <v>186</v>
      </c>
      <c r="K134" s="7" t="s">
        <v>187</v>
      </c>
      <c r="L134" s="5" t="s">
        <v>199</v>
      </c>
      <c r="M134" s="5" t="s">
        <v>200</v>
      </c>
      <c r="N134" s="5" t="s">
        <v>201</v>
      </c>
    </row>
    <row r="135" spans="1:14" x14ac:dyDescent="0.3">
      <c r="A135" s="4" t="s">
        <v>67</v>
      </c>
      <c r="B135" s="4" t="s">
        <v>78</v>
      </c>
      <c r="C135" s="4" t="s">
        <v>283</v>
      </c>
      <c r="D135" s="4" t="s">
        <v>289</v>
      </c>
      <c r="E135" s="1" t="s">
        <v>177</v>
      </c>
      <c r="F135" s="1">
        <v>2.77</v>
      </c>
      <c r="G135" s="6">
        <f>0.173+(F135*0.21)</f>
        <v>0.75469999999999993</v>
      </c>
      <c r="H135" s="6" t="s">
        <v>27</v>
      </c>
      <c r="I135" s="6" t="s">
        <v>211</v>
      </c>
      <c r="J135" s="7" t="s">
        <v>188</v>
      </c>
      <c r="K135" s="7" t="s">
        <v>190</v>
      </c>
      <c r="L135" s="5" t="s">
        <v>204</v>
      </c>
      <c r="M135" s="5" t="s">
        <v>205</v>
      </c>
      <c r="N135" s="5" t="s">
        <v>201</v>
      </c>
    </row>
    <row r="136" spans="1:14" x14ac:dyDescent="0.3">
      <c r="A136" s="4" t="s">
        <v>67</v>
      </c>
      <c r="B136" s="4" t="s">
        <v>79</v>
      </c>
      <c r="C136" s="4" t="s">
        <v>285</v>
      </c>
      <c r="D136" s="4" t="s">
        <v>291</v>
      </c>
      <c r="E136" s="1" t="s">
        <v>177</v>
      </c>
      <c r="F136" s="1">
        <v>2.62</v>
      </c>
      <c r="G136" s="6">
        <f>0.173+(F136*0.21)</f>
        <v>0.72320000000000007</v>
      </c>
      <c r="H136" s="6" t="s">
        <v>27</v>
      </c>
      <c r="I136" s="6" t="s">
        <v>211</v>
      </c>
      <c r="J136" s="7" t="s">
        <v>188</v>
      </c>
      <c r="K136" s="7" t="s">
        <v>189</v>
      </c>
      <c r="L136" s="5" t="s">
        <v>199</v>
      </c>
      <c r="M136" s="5" t="s">
        <v>200</v>
      </c>
      <c r="N136" s="5" t="s">
        <v>201</v>
      </c>
    </row>
    <row r="137" spans="1:14" x14ac:dyDescent="0.3">
      <c r="A137" s="3" t="s">
        <v>80</v>
      </c>
      <c r="B137" s="3" t="s">
        <v>81</v>
      </c>
      <c r="C137" s="3" t="s">
        <v>285</v>
      </c>
      <c r="D137" s="3" t="s">
        <v>291</v>
      </c>
      <c r="E137" s="2" t="s">
        <v>177</v>
      </c>
      <c r="F137" s="2">
        <v>3.13</v>
      </c>
      <c r="G137" s="6">
        <f>0.173+(F137*0.21)</f>
        <v>0.83030000000000004</v>
      </c>
      <c r="H137" s="6" t="s">
        <v>27</v>
      </c>
      <c r="I137" s="6" t="s">
        <v>211</v>
      </c>
      <c r="J137" s="7" t="s">
        <v>188</v>
      </c>
      <c r="K137" s="7" t="s">
        <v>189</v>
      </c>
      <c r="L137" s="5" t="s">
        <v>199</v>
      </c>
      <c r="M137" s="5" t="s">
        <v>200</v>
      </c>
      <c r="N137" s="5" t="s">
        <v>201</v>
      </c>
    </row>
    <row r="138" spans="1:14" x14ac:dyDescent="0.3">
      <c r="A138" s="3" t="s">
        <v>80</v>
      </c>
      <c r="B138" s="3" t="s">
        <v>82</v>
      </c>
      <c r="C138" s="3" t="s">
        <v>285</v>
      </c>
      <c r="D138" s="3" t="s">
        <v>291</v>
      </c>
      <c r="E138" s="2" t="s">
        <v>177</v>
      </c>
      <c r="F138" s="2">
        <v>2.73</v>
      </c>
      <c r="G138" s="6">
        <f>0.173+(F138*0.21)</f>
        <v>0.74629999999999996</v>
      </c>
      <c r="H138" s="6" t="s">
        <v>27</v>
      </c>
      <c r="I138" s="6" t="s">
        <v>211</v>
      </c>
      <c r="J138" s="7" t="s">
        <v>188</v>
      </c>
      <c r="K138" s="7" t="s">
        <v>189</v>
      </c>
      <c r="L138" s="5" t="s">
        <v>199</v>
      </c>
      <c r="M138" s="5" t="s">
        <v>200</v>
      </c>
      <c r="N138" s="5" t="s">
        <v>201</v>
      </c>
    </row>
    <row r="139" spans="1:14" x14ac:dyDescent="0.3">
      <c r="A139" s="3" t="s">
        <v>80</v>
      </c>
      <c r="B139" s="3" t="s">
        <v>83</v>
      </c>
      <c r="C139" s="3" t="s">
        <v>284</v>
      </c>
      <c r="D139" s="3" t="s">
        <v>291</v>
      </c>
      <c r="E139" s="2" t="s">
        <v>178</v>
      </c>
      <c r="F139" s="2">
        <v>2.52</v>
      </c>
      <c r="G139" s="6">
        <f>0.265+(F139*0.181)</f>
        <v>0.72111999999999998</v>
      </c>
      <c r="H139" s="6" t="s">
        <v>215</v>
      </c>
      <c r="I139" s="6" t="s">
        <v>213</v>
      </c>
      <c r="J139" s="7" t="s">
        <v>186</v>
      </c>
      <c r="K139" s="7" t="s">
        <v>187</v>
      </c>
      <c r="L139" s="5" t="s">
        <v>199</v>
      </c>
      <c r="M139" s="5" t="s">
        <v>200</v>
      </c>
      <c r="N139" s="5" t="s">
        <v>201</v>
      </c>
    </row>
    <row r="140" spans="1:14" x14ac:dyDescent="0.3">
      <c r="A140" s="3" t="s">
        <v>80</v>
      </c>
      <c r="B140" s="3" t="s">
        <v>84</v>
      </c>
      <c r="C140" s="3" t="s">
        <v>285</v>
      </c>
      <c r="D140" s="3" t="s">
        <v>291</v>
      </c>
      <c r="E140" s="2" t="s">
        <v>177</v>
      </c>
      <c r="F140" s="2">
        <v>2.63</v>
      </c>
      <c r="G140" s="6">
        <f>0.173+(F140*0.21)</f>
        <v>0.72529999999999983</v>
      </c>
      <c r="H140" s="6" t="s">
        <v>27</v>
      </c>
      <c r="I140" s="6" t="s">
        <v>211</v>
      </c>
      <c r="J140" s="7" t="s">
        <v>188</v>
      </c>
      <c r="K140" s="7" t="s">
        <v>189</v>
      </c>
      <c r="L140" s="5" t="s">
        <v>199</v>
      </c>
      <c r="M140" s="5" t="s">
        <v>200</v>
      </c>
      <c r="N140" s="5" t="s">
        <v>201</v>
      </c>
    </row>
    <row r="141" spans="1:14" x14ac:dyDescent="0.3">
      <c r="A141" s="3" t="s">
        <v>80</v>
      </c>
      <c r="B141" s="3" t="s">
        <v>85</v>
      </c>
      <c r="C141" s="3" t="s">
        <v>285</v>
      </c>
      <c r="D141" s="3" t="s">
        <v>289</v>
      </c>
      <c r="E141" s="2" t="s">
        <v>177</v>
      </c>
      <c r="F141" s="2">
        <v>2.59</v>
      </c>
      <c r="G141" s="6">
        <f>0.173+(F141*0.21)</f>
        <v>0.71689999999999987</v>
      </c>
      <c r="H141" s="6" t="s">
        <v>27</v>
      </c>
      <c r="I141" s="6" t="s">
        <v>211</v>
      </c>
      <c r="J141" s="7" t="s">
        <v>188</v>
      </c>
      <c r="K141" s="7" t="s">
        <v>189</v>
      </c>
      <c r="L141" s="5" t="s">
        <v>204</v>
      </c>
      <c r="M141" s="5" t="s">
        <v>205</v>
      </c>
      <c r="N141" s="5" t="s">
        <v>201</v>
      </c>
    </row>
    <row r="142" spans="1:14" x14ac:dyDescent="0.3">
      <c r="A142" s="3" t="s">
        <v>80</v>
      </c>
      <c r="B142" s="3" t="s">
        <v>86</v>
      </c>
      <c r="C142" s="3" t="s">
        <v>285</v>
      </c>
      <c r="D142" s="3" t="s">
        <v>289</v>
      </c>
      <c r="E142" s="2" t="s">
        <v>177</v>
      </c>
      <c r="F142" s="2">
        <v>2.52</v>
      </c>
      <c r="G142" s="6">
        <f>0.173+(F142*0.21)</f>
        <v>0.70219999999999994</v>
      </c>
      <c r="H142" s="6" t="s">
        <v>27</v>
      </c>
      <c r="I142" s="6" t="s">
        <v>211</v>
      </c>
      <c r="J142" s="7" t="s">
        <v>188</v>
      </c>
      <c r="K142" s="7" t="s">
        <v>189</v>
      </c>
      <c r="L142" s="5" t="s">
        <v>204</v>
      </c>
      <c r="M142" s="5" t="s">
        <v>205</v>
      </c>
      <c r="N142" s="5" t="s">
        <v>201</v>
      </c>
    </row>
    <row r="143" spans="1:14" x14ac:dyDescent="0.3">
      <c r="A143" s="3" t="s">
        <v>80</v>
      </c>
      <c r="B143" s="3" t="s">
        <v>87</v>
      </c>
      <c r="C143" s="3" t="s">
        <v>284</v>
      </c>
      <c r="D143" s="3" t="s">
        <v>291</v>
      </c>
      <c r="E143" s="2" t="s">
        <v>178</v>
      </c>
      <c r="F143" s="2">
        <v>2.48</v>
      </c>
      <c r="G143" s="6">
        <f>0.265+(F143*0.181)</f>
        <v>0.71388000000000007</v>
      </c>
      <c r="H143" s="6" t="s">
        <v>215</v>
      </c>
      <c r="I143" s="6" t="s">
        <v>213</v>
      </c>
      <c r="J143" s="7" t="s">
        <v>186</v>
      </c>
      <c r="K143" s="7" t="s">
        <v>187</v>
      </c>
      <c r="L143" s="5" t="s">
        <v>199</v>
      </c>
      <c r="M143" s="5" t="s">
        <v>200</v>
      </c>
      <c r="N143" s="5" t="s">
        <v>201</v>
      </c>
    </row>
    <row r="144" spans="1:14" x14ac:dyDescent="0.3">
      <c r="A144" s="3" t="s">
        <v>80</v>
      </c>
      <c r="B144" s="3" t="s">
        <v>88</v>
      </c>
      <c r="C144" s="3" t="s">
        <v>285</v>
      </c>
      <c r="D144" s="3" t="s">
        <v>289</v>
      </c>
      <c r="E144" s="2" t="s">
        <v>177</v>
      </c>
      <c r="F144" s="2">
        <v>2.66</v>
      </c>
      <c r="G144" s="6">
        <f>0.173+(F144*0.21)</f>
        <v>0.73160000000000003</v>
      </c>
      <c r="H144" s="6" t="s">
        <v>27</v>
      </c>
      <c r="I144" s="6" t="s">
        <v>211</v>
      </c>
      <c r="J144" s="7" t="s">
        <v>188</v>
      </c>
      <c r="K144" s="7" t="s">
        <v>189</v>
      </c>
      <c r="L144" s="5" t="s">
        <v>204</v>
      </c>
      <c r="M144" s="5" t="s">
        <v>205</v>
      </c>
      <c r="N144" s="5" t="s">
        <v>201</v>
      </c>
    </row>
    <row r="145" spans="1:14" x14ac:dyDescent="0.3">
      <c r="A145" s="3" t="s">
        <v>80</v>
      </c>
      <c r="B145" s="3" t="s">
        <v>89</v>
      </c>
      <c r="C145" s="3" t="s">
        <v>284</v>
      </c>
      <c r="D145" s="3" t="s">
        <v>289</v>
      </c>
      <c r="E145" s="2" t="s">
        <v>178</v>
      </c>
      <c r="F145" s="2">
        <v>2.37</v>
      </c>
      <c r="G145" s="6">
        <f>0.265+(F145*0.181)</f>
        <v>0.69396999999999998</v>
      </c>
      <c r="H145" s="6" t="s">
        <v>215</v>
      </c>
      <c r="I145" s="6" t="s">
        <v>213</v>
      </c>
      <c r="J145" s="7" t="s">
        <v>186</v>
      </c>
      <c r="K145" s="7" t="s">
        <v>187</v>
      </c>
      <c r="L145" s="5" t="s">
        <v>204</v>
      </c>
      <c r="M145" s="5" t="s">
        <v>205</v>
      </c>
      <c r="N145" s="5" t="s">
        <v>201</v>
      </c>
    </row>
    <row r="146" spans="1:14" x14ac:dyDescent="0.3">
      <c r="A146" s="3" t="s">
        <v>80</v>
      </c>
      <c r="B146" s="3" t="s">
        <v>90</v>
      </c>
      <c r="C146" s="3" t="s">
        <v>285</v>
      </c>
      <c r="D146" s="3" t="s">
        <v>289</v>
      </c>
      <c r="E146" s="2" t="s">
        <v>177</v>
      </c>
      <c r="F146" s="2">
        <v>2.89</v>
      </c>
      <c r="G146" s="6">
        <f>0.173+(F146*0.21)</f>
        <v>0.77990000000000004</v>
      </c>
      <c r="H146" s="6" t="s">
        <v>27</v>
      </c>
      <c r="I146" s="6" t="s">
        <v>211</v>
      </c>
      <c r="J146" s="7" t="s">
        <v>188</v>
      </c>
      <c r="K146" s="7" t="s">
        <v>189</v>
      </c>
      <c r="L146" s="5" t="s">
        <v>204</v>
      </c>
      <c r="M146" s="5" t="s">
        <v>205</v>
      </c>
      <c r="N146" s="5" t="s">
        <v>201</v>
      </c>
    </row>
    <row r="147" spans="1:14" x14ac:dyDescent="0.3">
      <c r="A147" s="3" t="s">
        <v>80</v>
      </c>
      <c r="B147" s="3" t="s">
        <v>91</v>
      </c>
      <c r="C147" s="3" t="s">
        <v>284</v>
      </c>
      <c r="D147" s="3" t="s">
        <v>291</v>
      </c>
      <c r="E147" s="2" t="s">
        <v>178</v>
      </c>
      <c r="F147" s="2">
        <v>2.75</v>
      </c>
      <c r="G147" s="6">
        <f>0.265+(F147*0.181)</f>
        <v>0.76275000000000004</v>
      </c>
      <c r="H147" s="6" t="s">
        <v>215</v>
      </c>
      <c r="I147" s="6" t="s">
        <v>213</v>
      </c>
      <c r="J147" s="7" t="s">
        <v>186</v>
      </c>
      <c r="K147" s="7" t="s">
        <v>187</v>
      </c>
      <c r="L147" s="5" t="s">
        <v>199</v>
      </c>
      <c r="M147" s="5" t="s">
        <v>200</v>
      </c>
      <c r="N147" s="5" t="s">
        <v>201</v>
      </c>
    </row>
    <row r="148" spans="1:14" x14ac:dyDescent="0.3">
      <c r="A148" s="3" t="s">
        <v>80</v>
      </c>
      <c r="B148" s="3" t="s">
        <v>92</v>
      </c>
      <c r="C148" s="3" t="s">
        <v>284</v>
      </c>
      <c r="D148" s="3" t="s">
        <v>289</v>
      </c>
      <c r="E148" s="2" t="s">
        <v>178</v>
      </c>
      <c r="F148" s="2">
        <v>2.5499999999999998</v>
      </c>
      <c r="G148" s="6">
        <f>0.265+(F148*0.181)</f>
        <v>0.72655000000000003</v>
      </c>
      <c r="H148" s="6" t="s">
        <v>215</v>
      </c>
      <c r="I148" s="6" t="s">
        <v>213</v>
      </c>
      <c r="J148" s="7" t="s">
        <v>186</v>
      </c>
      <c r="K148" s="7" t="s">
        <v>187</v>
      </c>
      <c r="L148" s="5" t="s">
        <v>204</v>
      </c>
      <c r="M148" s="5" t="s">
        <v>205</v>
      </c>
      <c r="N148" s="5" t="s">
        <v>201</v>
      </c>
    </row>
    <row r="149" spans="1:14" x14ac:dyDescent="0.3">
      <c r="A149" s="3" t="s">
        <v>80</v>
      </c>
      <c r="B149" s="3" t="s">
        <v>93</v>
      </c>
      <c r="C149" s="3" t="s">
        <v>285</v>
      </c>
      <c r="D149" s="3" t="s">
        <v>289</v>
      </c>
      <c r="E149" s="2" t="s">
        <v>177</v>
      </c>
      <c r="F149" s="2">
        <v>2.74</v>
      </c>
      <c r="G149" s="6">
        <f>0.173+(F149*0.21)</f>
        <v>0.74839999999999995</v>
      </c>
      <c r="H149" s="6" t="s">
        <v>27</v>
      </c>
      <c r="I149" s="6" t="s">
        <v>211</v>
      </c>
      <c r="J149" s="7" t="s">
        <v>188</v>
      </c>
      <c r="K149" s="7" t="s">
        <v>189</v>
      </c>
      <c r="L149" s="5" t="s">
        <v>204</v>
      </c>
      <c r="M149" s="5" t="s">
        <v>205</v>
      </c>
      <c r="N149" s="5" t="s">
        <v>201</v>
      </c>
    </row>
    <row r="150" spans="1:14" x14ac:dyDescent="0.3">
      <c r="A150" s="3" t="s">
        <v>80</v>
      </c>
      <c r="B150" s="3" t="s">
        <v>94</v>
      </c>
      <c r="C150" s="3" t="s">
        <v>284</v>
      </c>
      <c r="D150" s="3" t="s">
        <v>291</v>
      </c>
      <c r="E150" s="2" t="s">
        <v>178</v>
      </c>
      <c r="F150" s="2">
        <v>2.39</v>
      </c>
      <c r="G150" s="6">
        <f>0.265+(F150*0.181)</f>
        <v>0.69759000000000004</v>
      </c>
      <c r="H150" s="6" t="s">
        <v>215</v>
      </c>
      <c r="I150" s="6" t="s">
        <v>213</v>
      </c>
      <c r="J150" s="7" t="s">
        <v>186</v>
      </c>
      <c r="K150" s="7" t="s">
        <v>187</v>
      </c>
      <c r="L150" s="5" t="s">
        <v>199</v>
      </c>
      <c r="M150" s="5" t="s">
        <v>200</v>
      </c>
      <c r="N150" s="5" t="s">
        <v>201</v>
      </c>
    </row>
    <row r="151" spans="1:14" x14ac:dyDescent="0.3">
      <c r="A151" s="3" t="s">
        <v>80</v>
      </c>
      <c r="B151" s="3" t="s">
        <v>95</v>
      </c>
      <c r="C151" s="3" t="s">
        <v>284</v>
      </c>
      <c r="D151" s="3" t="s">
        <v>289</v>
      </c>
      <c r="E151" s="2" t="s">
        <v>178</v>
      </c>
      <c r="F151" s="2">
        <v>2.44</v>
      </c>
      <c r="G151" s="6">
        <f>0.265+(F151*0.181)</f>
        <v>0.70663999999999993</v>
      </c>
      <c r="H151" s="6" t="s">
        <v>215</v>
      </c>
      <c r="I151" s="6" t="s">
        <v>213</v>
      </c>
      <c r="J151" s="7" t="s">
        <v>186</v>
      </c>
      <c r="K151" s="7" t="s">
        <v>187</v>
      </c>
      <c r="L151" s="5" t="s">
        <v>204</v>
      </c>
      <c r="M151" s="5" t="s">
        <v>205</v>
      </c>
      <c r="N151" s="5" t="s">
        <v>201</v>
      </c>
    </row>
    <row r="152" spans="1:14" x14ac:dyDescent="0.3">
      <c r="A152" s="3" t="s">
        <v>80</v>
      </c>
      <c r="B152" s="3" t="s">
        <v>96</v>
      </c>
      <c r="C152" s="3" t="s">
        <v>284</v>
      </c>
      <c r="D152" s="3" t="s">
        <v>289</v>
      </c>
      <c r="E152" s="2" t="s">
        <v>178</v>
      </c>
      <c r="F152" s="2">
        <v>2.5299999999999998</v>
      </c>
      <c r="G152" s="6">
        <f>0.265+(F152*0.181)</f>
        <v>0.72292999999999996</v>
      </c>
      <c r="H152" s="6" t="s">
        <v>215</v>
      </c>
      <c r="I152" s="6" t="s">
        <v>213</v>
      </c>
      <c r="J152" s="7" t="s">
        <v>186</v>
      </c>
      <c r="K152" s="7" t="s">
        <v>187</v>
      </c>
      <c r="L152" s="5" t="s">
        <v>204</v>
      </c>
      <c r="M152" s="5" t="s">
        <v>205</v>
      </c>
      <c r="N152" s="5" t="s">
        <v>201</v>
      </c>
    </row>
    <row r="153" spans="1:14" x14ac:dyDescent="0.3">
      <c r="A153" s="4" t="s">
        <v>97</v>
      </c>
      <c r="B153" s="4" t="s">
        <v>98</v>
      </c>
      <c r="C153" s="4" t="s">
        <v>284</v>
      </c>
      <c r="D153" s="4" t="s">
        <v>291</v>
      </c>
      <c r="E153" s="1" t="s">
        <v>178</v>
      </c>
      <c r="F153" s="1">
        <v>2.33</v>
      </c>
      <c r="G153" s="6">
        <f>0.265+(F153*0.181)</f>
        <v>0.68673000000000006</v>
      </c>
      <c r="H153" s="6" t="s">
        <v>215</v>
      </c>
      <c r="I153" s="6" t="s">
        <v>213</v>
      </c>
      <c r="J153" s="7" t="s">
        <v>186</v>
      </c>
      <c r="K153" s="7" t="s">
        <v>187</v>
      </c>
      <c r="L153" s="5" t="s">
        <v>199</v>
      </c>
      <c r="M153" s="5" t="s">
        <v>200</v>
      </c>
      <c r="N153" s="5" t="s">
        <v>201</v>
      </c>
    </row>
    <row r="154" spans="1:14" x14ac:dyDescent="0.3">
      <c r="A154" s="4" t="s">
        <v>97</v>
      </c>
      <c r="B154" s="4" t="s">
        <v>100</v>
      </c>
      <c r="C154" s="4" t="s">
        <v>285</v>
      </c>
      <c r="D154" s="4" t="s">
        <v>289</v>
      </c>
      <c r="E154" s="1" t="s">
        <v>177</v>
      </c>
      <c r="F154" s="1">
        <v>2.72</v>
      </c>
      <c r="G154" s="6">
        <f>0.173+(F154*0.21)</f>
        <v>0.74419999999999997</v>
      </c>
      <c r="H154" s="6" t="s">
        <v>27</v>
      </c>
      <c r="I154" s="6" t="s">
        <v>211</v>
      </c>
      <c r="J154" s="7" t="s">
        <v>188</v>
      </c>
      <c r="K154" s="7" t="s">
        <v>189</v>
      </c>
      <c r="L154" s="5" t="s">
        <v>204</v>
      </c>
      <c r="M154" s="5" t="s">
        <v>205</v>
      </c>
      <c r="N154" s="5" t="s">
        <v>201</v>
      </c>
    </row>
    <row r="155" spans="1:14" x14ac:dyDescent="0.3">
      <c r="A155" s="4" t="s">
        <v>97</v>
      </c>
      <c r="B155" s="4" t="s">
        <v>101</v>
      </c>
      <c r="C155" s="4" t="s">
        <v>285</v>
      </c>
      <c r="D155" s="4" t="s">
        <v>291</v>
      </c>
      <c r="E155" s="1" t="s">
        <v>177</v>
      </c>
      <c r="F155" s="1">
        <v>2.4900000000000002</v>
      </c>
      <c r="G155" s="6">
        <f>0.173+(F155*0.21)</f>
        <v>0.69589999999999996</v>
      </c>
      <c r="H155" s="6" t="s">
        <v>27</v>
      </c>
      <c r="I155" s="6" t="s">
        <v>211</v>
      </c>
      <c r="J155" s="7" t="s">
        <v>188</v>
      </c>
      <c r="K155" s="7" t="s">
        <v>189</v>
      </c>
      <c r="L155" s="5" t="s">
        <v>199</v>
      </c>
      <c r="M155" s="5" t="s">
        <v>200</v>
      </c>
      <c r="N155" s="5" t="s">
        <v>201</v>
      </c>
    </row>
    <row r="156" spans="1:14" x14ac:dyDescent="0.3">
      <c r="A156" s="4" t="s">
        <v>97</v>
      </c>
      <c r="B156" s="4" t="s">
        <v>102</v>
      </c>
      <c r="C156" s="4" t="s">
        <v>285</v>
      </c>
      <c r="D156" s="4" t="s">
        <v>291</v>
      </c>
      <c r="E156" s="1" t="s">
        <v>177</v>
      </c>
      <c r="F156" s="1">
        <v>2.5099999999999998</v>
      </c>
      <c r="G156" s="6">
        <f>0.173+(F156*0.21)</f>
        <v>0.70009999999999994</v>
      </c>
      <c r="H156" s="6" t="s">
        <v>27</v>
      </c>
      <c r="I156" s="6" t="s">
        <v>211</v>
      </c>
      <c r="J156" s="7" t="s">
        <v>188</v>
      </c>
      <c r="K156" s="7" t="s">
        <v>189</v>
      </c>
      <c r="L156" s="5" t="s">
        <v>199</v>
      </c>
      <c r="M156" s="5" t="s">
        <v>200</v>
      </c>
      <c r="N156" s="5" t="s">
        <v>201</v>
      </c>
    </row>
    <row r="157" spans="1:14" x14ac:dyDescent="0.3">
      <c r="A157" s="4" t="s">
        <v>97</v>
      </c>
      <c r="B157" s="4" t="s">
        <v>103</v>
      </c>
      <c r="C157" s="4" t="s">
        <v>284</v>
      </c>
      <c r="D157" s="4" t="s">
        <v>291</v>
      </c>
      <c r="E157" s="1" t="s">
        <v>178</v>
      </c>
      <c r="F157" s="1">
        <v>2.2999999999999998</v>
      </c>
      <c r="G157" s="6">
        <f>0.265+(F157*0.181)</f>
        <v>0.68130000000000002</v>
      </c>
      <c r="H157" s="6" t="s">
        <v>215</v>
      </c>
      <c r="I157" s="6" t="s">
        <v>213</v>
      </c>
      <c r="J157" s="7" t="s">
        <v>186</v>
      </c>
      <c r="K157" s="7" t="s">
        <v>187</v>
      </c>
      <c r="L157" s="5" t="s">
        <v>199</v>
      </c>
      <c r="M157" s="5" t="s">
        <v>200</v>
      </c>
      <c r="N157" s="5" t="s">
        <v>201</v>
      </c>
    </row>
    <row r="158" spans="1:14" x14ac:dyDescent="0.3">
      <c r="A158" s="4" t="s">
        <v>97</v>
      </c>
      <c r="B158" s="4" t="s">
        <v>104</v>
      </c>
      <c r="C158" s="4" t="s">
        <v>284</v>
      </c>
      <c r="D158" s="4" t="s">
        <v>291</v>
      </c>
      <c r="E158" s="1" t="s">
        <v>178</v>
      </c>
      <c r="F158" s="1">
        <v>2.35</v>
      </c>
      <c r="G158" s="6">
        <f>0.265+(F158*0.181)</f>
        <v>0.69035000000000002</v>
      </c>
      <c r="H158" s="6" t="s">
        <v>213</v>
      </c>
      <c r="I158" s="6" t="s">
        <v>214</v>
      </c>
      <c r="J158" s="7" t="s">
        <v>186</v>
      </c>
      <c r="K158" s="7" t="s">
        <v>187</v>
      </c>
      <c r="L158" s="5" t="s">
        <v>199</v>
      </c>
      <c r="M158" s="5" t="s">
        <v>200</v>
      </c>
      <c r="N158" s="5" t="s">
        <v>201</v>
      </c>
    </row>
    <row r="159" spans="1:14" x14ac:dyDescent="0.3">
      <c r="A159" s="4" t="s">
        <v>97</v>
      </c>
      <c r="B159" s="4" t="s">
        <v>105</v>
      </c>
      <c r="C159" s="4" t="s">
        <v>284</v>
      </c>
      <c r="D159" s="4" t="s">
        <v>291</v>
      </c>
      <c r="E159" s="1" t="s">
        <v>178</v>
      </c>
      <c r="F159" s="1">
        <v>2.31</v>
      </c>
      <c r="G159" s="6">
        <f>0.265+(F159*0.181)</f>
        <v>0.68310999999999999</v>
      </c>
      <c r="H159" s="6" t="s">
        <v>213</v>
      </c>
      <c r="I159" s="6" t="s">
        <v>214</v>
      </c>
      <c r="J159" s="7" t="s">
        <v>186</v>
      </c>
      <c r="K159" s="7" t="s">
        <v>187</v>
      </c>
      <c r="L159" s="5" t="s">
        <v>199</v>
      </c>
      <c r="M159" s="5" t="s">
        <v>200</v>
      </c>
      <c r="N159" s="5" t="s">
        <v>201</v>
      </c>
    </row>
    <row r="160" spans="1:14" x14ac:dyDescent="0.3">
      <c r="A160" s="4" t="s">
        <v>97</v>
      </c>
      <c r="B160" s="4" t="s">
        <v>106</v>
      </c>
      <c r="C160" s="4" t="s">
        <v>284</v>
      </c>
      <c r="D160" s="4" t="s">
        <v>291</v>
      </c>
      <c r="E160" s="1" t="s">
        <v>178</v>
      </c>
      <c r="F160" s="1">
        <v>2.79</v>
      </c>
      <c r="G160" s="6">
        <f>0.265+(F160*0.181)</f>
        <v>0.76998999999999995</v>
      </c>
      <c r="H160" s="6" t="s">
        <v>213</v>
      </c>
      <c r="I160" s="6" t="s">
        <v>214</v>
      </c>
      <c r="J160" s="7" t="s">
        <v>186</v>
      </c>
      <c r="K160" s="7" t="s">
        <v>187</v>
      </c>
      <c r="L160" s="5" t="s">
        <v>199</v>
      </c>
      <c r="M160" s="5" t="s">
        <v>200</v>
      </c>
      <c r="N160" s="5" t="s">
        <v>201</v>
      </c>
    </row>
    <row r="161" spans="1:14" x14ac:dyDescent="0.3">
      <c r="A161" s="4" t="s">
        <v>97</v>
      </c>
      <c r="B161" s="4" t="s">
        <v>107</v>
      </c>
      <c r="C161" s="4" t="s">
        <v>285</v>
      </c>
      <c r="D161" s="4" t="s">
        <v>291</v>
      </c>
      <c r="E161" s="1" t="s">
        <v>177</v>
      </c>
      <c r="F161" s="1">
        <v>2.69</v>
      </c>
      <c r="G161" s="6">
        <f>0.173+(F161*0.21)</f>
        <v>0.7379</v>
      </c>
      <c r="H161" s="6" t="s">
        <v>211</v>
      </c>
      <c r="I161" s="6" t="s">
        <v>212</v>
      </c>
      <c r="J161" s="7" t="s">
        <v>188</v>
      </c>
      <c r="K161" s="7" t="s">
        <v>189</v>
      </c>
      <c r="L161" s="5" t="s">
        <v>199</v>
      </c>
      <c r="M161" s="5" t="s">
        <v>200</v>
      </c>
      <c r="N161" s="5" t="s">
        <v>201</v>
      </c>
    </row>
    <row r="162" spans="1:14" x14ac:dyDescent="0.3">
      <c r="A162" s="4" t="s">
        <v>97</v>
      </c>
      <c r="B162" s="4" t="s">
        <v>108</v>
      </c>
      <c r="C162" s="4" t="s">
        <v>284</v>
      </c>
      <c r="D162" s="4" t="s">
        <v>291</v>
      </c>
      <c r="E162" s="1" t="s">
        <v>178</v>
      </c>
      <c r="F162" s="1">
        <v>2.21</v>
      </c>
      <c r="G162" s="6">
        <f>0.265+(F162*0.181)</f>
        <v>0.66500999999999999</v>
      </c>
      <c r="H162" s="6" t="s">
        <v>213</v>
      </c>
      <c r="I162" s="6" t="s">
        <v>214</v>
      </c>
      <c r="J162" s="7" t="s">
        <v>186</v>
      </c>
      <c r="K162" s="7" t="s">
        <v>187</v>
      </c>
      <c r="L162" s="5" t="s">
        <v>199</v>
      </c>
      <c r="M162" s="5" t="s">
        <v>200</v>
      </c>
      <c r="N162" s="5" t="s">
        <v>201</v>
      </c>
    </row>
    <row r="163" spans="1:14" x14ac:dyDescent="0.3">
      <c r="A163" s="4" t="s">
        <v>97</v>
      </c>
      <c r="B163" s="4" t="s">
        <v>109</v>
      </c>
      <c r="C163" s="4" t="s">
        <v>284</v>
      </c>
      <c r="D163" s="4" t="s">
        <v>291</v>
      </c>
      <c r="E163" s="1" t="s">
        <v>178</v>
      </c>
      <c r="F163" s="1">
        <v>2.33</v>
      </c>
      <c r="G163" s="6">
        <f>0.265+(F163*0.181)</f>
        <v>0.68673000000000006</v>
      </c>
      <c r="H163" s="6" t="s">
        <v>213</v>
      </c>
      <c r="I163" s="6" t="s">
        <v>214</v>
      </c>
      <c r="J163" s="7" t="s">
        <v>186</v>
      </c>
      <c r="K163" s="7" t="s">
        <v>187</v>
      </c>
      <c r="L163" s="5" t="s">
        <v>199</v>
      </c>
      <c r="M163" s="5" t="s">
        <v>200</v>
      </c>
      <c r="N163" s="5" t="s">
        <v>201</v>
      </c>
    </row>
    <row r="164" spans="1:14" x14ac:dyDescent="0.3">
      <c r="A164" s="4" t="s">
        <v>97</v>
      </c>
      <c r="B164" s="4" t="s">
        <v>110</v>
      </c>
      <c r="C164" s="4" t="s">
        <v>283</v>
      </c>
      <c r="D164" s="4" t="s">
        <v>291</v>
      </c>
      <c r="E164" s="1" t="s">
        <v>177</v>
      </c>
      <c r="F164" s="1">
        <v>2.87</v>
      </c>
      <c r="G164" s="6">
        <f>0.173+(F164*0.21)</f>
        <v>0.77570000000000006</v>
      </c>
      <c r="H164" s="6" t="s">
        <v>211</v>
      </c>
      <c r="I164" s="6" t="s">
        <v>212</v>
      </c>
      <c r="J164" s="7" t="s">
        <v>188</v>
      </c>
      <c r="K164" s="7" t="s">
        <v>190</v>
      </c>
      <c r="L164" s="5" t="s">
        <v>199</v>
      </c>
      <c r="M164" s="5" t="s">
        <v>200</v>
      </c>
      <c r="N164" s="5" t="s">
        <v>201</v>
      </c>
    </row>
    <row r="165" spans="1:14" x14ac:dyDescent="0.3">
      <c r="A165" s="4" t="s">
        <v>97</v>
      </c>
      <c r="B165" s="4" t="s">
        <v>111</v>
      </c>
      <c r="C165" s="4" t="s">
        <v>285</v>
      </c>
      <c r="D165" s="4" t="s">
        <v>291</v>
      </c>
      <c r="E165" s="1" t="s">
        <v>177</v>
      </c>
      <c r="F165" s="1">
        <v>2.5099999999999998</v>
      </c>
      <c r="G165" s="6">
        <f>0.173+(F165*0.21)</f>
        <v>0.70009999999999994</v>
      </c>
      <c r="H165" s="6" t="s">
        <v>211</v>
      </c>
      <c r="I165" s="6" t="s">
        <v>212</v>
      </c>
      <c r="J165" s="7" t="s">
        <v>188</v>
      </c>
      <c r="K165" s="7" t="s">
        <v>189</v>
      </c>
      <c r="L165" s="5" t="s">
        <v>199</v>
      </c>
      <c r="M165" s="5" t="s">
        <v>200</v>
      </c>
      <c r="N165" s="5" t="s">
        <v>201</v>
      </c>
    </row>
    <row r="166" spans="1:14" x14ac:dyDescent="0.3">
      <c r="A166" s="4" t="s">
        <v>97</v>
      </c>
      <c r="B166" s="4" t="s">
        <v>112</v>
      </c>
      <c r="C166" s="4" t="s">
        <v>284</v>
      </c>
      <c r="D166" s="4" t="s">
        <v>291</v>
      </c>
      <c r="E166" s="1" t="s">
        <v>178</v>
      </c>
      <c r="F166" s="1">
        <v>2.23</v>
      </c>
      <c r="G166" s="6">
        <f>0.265+(F166*0.181)</f>
        <v>0.66863000000000006</v>
      </c>
      <c r="H166" s="6" t="s">
        <v>213</v>
      </c>
      <c r="I166" s="6" t="s">
        <v>214</v>
      </c>
      <c r="J166" s="7" t="s">
        <v>186</v>
      </c>
      <c r="K166" s="7" t="s">
        <v>187</v>
      </c>
      <c r="L166" s="5" t="s">
        <v>199</v>
      </c>
      <c r="M166" s="5" t="s">
        <v>200</v>
      </c>
      <c r="N166" s="5" t="s">
        <v>201</v>
      </c>
    </row>
    <row r="167" spans="1:14" x14ac:dyDescent="0.3">
      <c r="A167" s="3" t="s">
        <v>114</v>
      </c>
      <c r="B167" s="3" t="s">
        <v>115</v>
      </c>
      <c r="C167" s="3" t="s">
        <v>284</v>
      </c>
      <c r="D167" s="3" t="s">
        <v>291</v>
      </c>
      <c r="E167" s="2" t="s">
        <v>178</v>
      </c>
      <c r="F167" s="2">
        <v>2.27</v>
      </c>
      <c r="G167" s="6">
        <f>0.265+(F167*0.181)</f>
        <v>0.67586999999999997</v>
      </c>
      <c r="H167" s="6" t="s">
        <v>213</v>
      </c>
      <c r="I167" s="6" t="s">
        <v>214</v>
      </c>
      <c r="J167" s="7" t="s">
        <v>186</v>
      </c>
      <c r="K167" s="7" t="s">
        <v>187</v>
      </c>
      <c r="L167" s="5" t="s">
        <v>199</v>
      </c>
      <c r="M167" s="5" t="s">
        <v>200</v>
      </c>
      <c r="N167" s="5" t="s">
        <v>201</v>
      </c>
    </row>
    <row r="168" spans="1:14" x14ac:dyDescent="0.3">
      <c r="A168" s="3" t="s">
        <v>114</v>
      </c>
      <c r="B168" s="3" t="s">
        <v>116</v>
      </c>
      <c r="C168" s="3" t="s">
        <v>284</v>
      </c>
      <c r="D168" s="3" t="s">
        <v>290</v>
      </c>
      <c r="E168" s="2" t="s">
        <v>178</v>
      </c>
      <c r="F168" s="2">
        <v>2.12</v>
      </c>
      <c r="G168" s="6">
        <f>0.265+(F168*0.181)</f>
        <v>0.64871999999999996</v>
      </c>
      <c r="H168" s="6" t="s">
        <v>213</v>
      </c>
      <c r="I168" s="6" t="s">
        <v>214</v>
      </c>
      <c r="J168" s="7" t="s">
        <v>186</v>
      </c>
      <c r="K168" s="7" t="s">
        <v>187</v>
      </c>
      <c r="L168" s="5" t="s">
        <v>202</v>
      </c>
      <c r="M168" s="5" t="s">
        <v>203</v>
      </c>
      <c r="N168" s="5" t="s">
        <v>201</v>
      </c>
    </row>
    <row r="169" spans="1:14" x14ac:dyDescent="0.3">
      <c r="A169" s="3" t="s">
        <v>114</v>
      </c>
      <c r="B169" s="3" t="s">
        <v>117</v>
      </c>
      <c r="C169" s="3" t="s">
        <v>284</v>
      </c>
      <c r="D169" s="3" t="s">
        <v>291</v>
      </c>
      <c r="E169" s="2" t="s">
        <v>178</v>
      </c>
      <c r="F169" s="2">
        <v>2.3199999999999998</v>
      </c>
      <c r="G169" s="6">
        <f>0.265+(F169*0.181)</f>
        <v>0.68491999999999997</v>
      </c>
      <c r="H169" s="6" t="s">
        <v>213</v>
      </c>
      <c r="I169" s="6" t="s">
        <v>214</v>
      </c>
      <c r="J169" s="7" t="s">
        <v>186</v>
      </c>
      <c r="K169" s="7" t="s">
        <v>187</v>
      </c>
      <c r="L169" s="5" t="s">
        <v>199</v>
      </c>
      <c r="M169" s="5" t="s">
        <v>200</v>
      </c>
      <c r="N169" s="5" t="s">
        <v>201</v>
      </c>
    </row>
    <row r="170" spans="1:14" x14ac:dyDescent="0.3">
      <c r="A170" s="3" t="s">
        <v>114</v>
      </c>
      <c r="B170" s="3" t="s">
        <v>118</v>
      </c>
      <c r="C170" s="3" t="s">
        <v>285</v>
      </c>
      <c r="D170" s="3" t="s">
        <v>290</v>
      </c>
      <c r="E170" s="2" t="s">
        <v>177</v>
      </c>
      <c r="F170" s="2">
        <v>2.78</v>
      </c>
      <c r="G170" s="6">
        <f>0.173+(F170*0.21)</f>
        <v>0.75679999999999992</v>
      </c>
      <c r="H170" s="6" t="s">
        <v>211</v>
      </c>
      <c r="I170" s="6" t="s">
        <v>212</v>
      </c>
      <c r="J170" s="7" t="s">
        <v>188</v>
      </c>
      <c r="K170" s="7" t="s">
        <v>189</v>
      </c>
      <c r="L170" s="5" t="s">
        <v>202</v>
      </c>
      <c r="M170" s="5" t="s">
        <v>203</v>
      </c>
      <c r="N170" s="5" t="s">
        <v>201</v>
      </c>
    </row>
    <row r="171" spans="1:14" s="57" customFormat="1" x14ac:dyDescent="0.3">
      <c r="A171" s="52" t="s">
        <v>322</v>
      </c>
      <c r="B171" s="52" t="s">
        <v>99</v>
      </c>
      <c r="C171" s="52" t="s">
        <v>284</v>
      </c>
      <c r="D171" s="52" t="s">
        <v>291</v>
      </c>
      <c r="E171" s="53" t="s">
        <v>178</v>
      </c>
      <c r="F171" s="53">
        <v>2.29</v>
      </c>
      <c r="G171" s="54">
        <f>0.265+(F171*0.181)</f>
        <v>0.67948999999999993</v>
      </c>
      <c r="H171" s="54" t="s">
        <v>215</v>
      </c>
      <c r="I171" s="54" t="s">
        <v>213</v>
      </c>
      <c r="J171" s="55" t="s">
        <v>186</v>
      </c>
      <c r="K171" s="55" t="s">
        <v>187</v>
      </c>
      <c r="L171" s="56" t="s">
        <v>199</v>
      </c>
      <c r="M171" s="56" t="s">
        <v>200</v>
      </c>
      <c r="N171" s="56" t="s">
        <v>201</v>
      </c>
    </row>
    <row r="172" spans="1:14" x14ac:dyDescent="0.3">
      <c r="A172" s="3" t="s">
        <v>114</v>
      </c>
      <c r="B172" s="3" t="s">
        <v>119</v>
      </c>
      <c r="C172" s="3" t="s">
        <v>285</v>
      </c>
      <c r="D172" s="3" t="s">
        <v>291</v>
      </c>
      <c r="E172" s="2" t="s">
        <v>177</v>
      </c>
      <c r="F172" s="2">
        <v>2.46</v>
      </c>
      <c r="G172" s="6">
        <f>0.173+(F172*0.21)</f>
        <v>0.68959999999999999</v>
      </c>
      <c r="H172" s="6" t="s">
        <v>211</v>
      </c>
      <c r="I172" s="6" t="s">
        <v>212</v>
      </c>
      <c r="J172" s="7" t="s">
        <v>188</v>
      </c>
      <c r="K172" s="7" t="s">
        <v>189</v>
      </c>
      <c r="L172" s="5" t="s">
        <v>199</v>
      </c>
      <c r="M172" s="5" t="s">
        <v>200</v>
      </c>
      <c r="N172" s="5" t="s">
        <v>201</v>
      </c>
    </row>
    <row r="173" spans="1:14" x14ac:dyDescent="0.3">
      <c r="A173" s="3" t="s">
        <v>114</v>
      </c>
      <c r="B173" s="3" t="s">
        <v>120</v>
      </c>
      <c r="C173" s="3" t="s">
        <v>284</v>
      </c>
      <c r="D173" s="3" t="s">
        <v>291</v>
      </c>
      <c r="E173" s="2" t="s">
        <v>178</v>
      </c>
      <c r="F173" s="2">
        <v>2.64</v>
      </c>
      <c r="G173" s="6">
        <f>0.265+(F173*0.181)</f>
        <v>0.74283999999999994</v>
      </c>
      <c r="H173" s="6" t="s">
        <v>213</v>
      </c>
      <c r="I173" s="6" t="s">
        <v>214</v>
      </c>
      <c r="J173" s="7" t="s">
        <v>186</v>
      </c>
      <c r="K173" s="7" t="s">
        <v>187</v>
      </c>
      <c r="L173" s="5" t="s">
        <v>199</v>
      </c>
      <c r="M173" s="5" t="s">
        <v>200</v>
      </c>
      <c r="N173" s="5" t="s">
        <v>201</v>
      </c>
    </row>
    <row r="174" spans="1:14" x14ac:dyDescent="0.3">
      <c r="A174" s="3" t="s">
        <v>114</v>
      </c>
      <c r="B174" s="3" t="s">
        <v>121</v>
      </c>
      <c r="C174" s="3" t="s">
        <v>283</v>
      </c>
      <c r="D174" s="3" t="s">
        <v>289</v>
      </c>
      <c r="E174" s="2" t="s">
        <v>177</v>
      </c>
      <c r="F174" s="2">
        <v>2.71</v>
      </c>
      <c r="G174" s="6">
        <f>0.173+(F174*0.21)</f>
        <v>0.74209999999999998</v>
      </c>
      <c r="H174" s="6" t="s">
        <v>211</v>
      </c>
      <c r="I174" s="6" t="s">
        <v>212</v>
      </c>
      <c r="J174" s="7" t="s">
        <v>188</v>
      </c>
      <c r="K174" s="7" t="s">
        <v>190</v>
      </c>
      <c r="L174" s="5" t="s">
        <v>204</v>
      </c>
      <c r="M174" s="5" t="s">
        <v>205</v>
      </c>
      <c r="N174" s="5" t="s">
        <v>201</v>
      </c>
    </row>
    <row r="175" spans="1:14" x14ac:dyDescent="0.3">
      <c r="A175" s="3" t="s">
        <v>114</v>
      </c>
      <c r="B175" s="3" t="s">
        <v>122</v>
      </c>
      <c r="C175" s="3" t="s">
        <v>284</v>
      </c>
      <c r="D175" s="3" t="s">
        <v>291</v>
      </c>
      <c r="E175" s="2" t="s">
        <v>178</v>
      </c>
      <c r="F175" s="2">
        <v>2.64</v>
      </c>
      <c r="G175" s="6">
        <f>0.265+(F175*0.181)</f>
        <v>0.74283999999999994</v>
      </c>
      <c r="H175" s="6" t="s">
        <v>213</v>
      </c>
      <c r="I175" s="6" t="s">
        <v>214</v>
      </c>
      <c r="J175" s="7" t="s">
        <v>186</v>
      </c>
      <c r="K175" s="7" t="s">
        <v>187</v>
      </c>
      <c r="L175" s="5" t="s">
        <v>199</v>
      </c>
      <c r="M175" s="5" t="s">
        <v>200</v>
      </c>
      <c r="N175" s="5" t="s">
        <v>201</v>
      </c>
    </row>
    <row r="176" spans="1:14" x14ac:dyDescent="0.3">
      <c r="A176" s="3" t="s">
        <v>114</v>
      </c>
      <c r="B176" s="3" t="s">
        <v>123</v>
      </c>
      <c r="C176" s="3" t="s">
        <v>284</v>
      </c>
      <c r="D176" s="3" t="s">
        <v>291</v>
      </c>
      <c r="E176" s="2" t="s">
        <v>178</v>
      </c>
      <c r="F176" s="2">
        <v>2.1800000000000002</v>
      </c>
      <c r="G176" s="6">
        <f>0.265+(F176*0.181)</f>
        <v>0.65958000000000006</v>
      </c>
      <c r="H176" s="6" t="s">
        <v>213</v>
      </c>
      <c r="I176" s="6" t="s">
        <v>214</v>
      </c>
      <c r="J176" s="7" t="s">
        <v>186</v>
      </c>
      <c r="K176" s="7" t="s">
        <v>187</v>
      </c>
      <c r="L176" s="5" t="s">
        <v>199</v>
      </c>
      <c r="M176" s="5" t="s">
        <v>200</v>
      </c>
      <c r="N176" s="5" t="s">
        <v>201</v>
      </c>
    </row>
    <row r="177" spans="1:14" x14ac:dyDescent="0.3">
      <c r="A177" s="3" t="s">
        <v>114</v>
      </c>
      <c r="B177" s="3" t="s">
        <v>124</v>
      </c>
      <c r="C177" s="3" t="s">
        <v>285</v>
      </c>
      <c r="D177" s="3" t="s">
        <v>290</v>
      </c>
      <c r="E177" s="2" t="s">
        <v>177</v>
      </c>
      <c r="F177" s="2">
        <v>2.8</v>
      </c>
      <c r="G177" s="6">
        <f>0.173+(F177*0.21)</f>
        <v>0.7609999999999999</v>
      </c>
      <c r="H177" s="6" t="s">
        <v>211</v>
      </c>
      <c r="I177" s="6" t="s">
        <v>212</v>
      </c>
      <c r="J177" s="7" t="s">
        <v>188</v>
      </c>
      <c r="K177" s="7" t="s">
        <v>189</v>
      </c>
      <c r="L177" s="5" t="s">
        <v>202</v>
      </c>
      <c r="M177" s="5" t="s">
        <v>203</v>
      </c>
      <c r="N177" s="5" t="s">
        <v>201</v>
      </c>
    </row>
    <row r="178" spans="1:14" x14ac:dyDescent="0.3">
      <c r="A178" s="3" t="s">
        <v>114</v>
      </c>
      <c r="B178" s="3" t="s">
        <v>125</v>
      </c>
      <c r="C178" s="3" t="s">
        <v>284</v>
      </c>
      <c r="D178" s="3" t="s">
        <v>291</v>
      </c>
      <c r="E178" s="2" t="s">
        <v>178</v>
      </c>
      <c r="F178" s="2">
        <v>2.06</v>
      </c>
      <c r="G178" s="6">
        <f>0.265+(F178*0.181)</f>
        <v>0.63786000000000009</v>
      </c>
      <c r="H178" s="6" t="s">
        <v>213</v>
      </c>
      <c r="I178" s="6" t="s">
        <v>214</v>
      </c>
      <c r="J178" s="7" t="s">
        <v>186</v>
      </c>
      <c r="K178" s="7" t="s">
        <v>187</v>
      </c>
      <c r="L178" s="5" t="s">
        <v>199</v>
      </c>
      <c r="M178" s="5" t="s">
        <v>200</v>
      </c>
      <c r="N178" s="5" t="s">
        <v>201</v>
      </c>
    </row>
    <row r="179" spans="1:14" x14ac:dyDescent="0.3">
      <c r="A179" s="3" t="s">
        <v>114</v>
      </c>
      <c r="B179" s="3" t="s">
        <v>126</v>
      </c>
      <c r="C179" s="3" t="s">
        <v>285</v>
      </c>
      <c r="D179" s="3" t="s">
        <v>290</v>
      </c>
      <c r="E179" s="2" t="s">
        <v>177</v>
      </c>
      <c r="F179" s="2">
        <v>2.71</v>
      </c>
      <c r="G179" s="6">
        <f>0.173+(F179*0.21)</f>
        <v>0.74209999999999998</v>
      </c>
      <c r="H179" s="6" t="s">
        <v>211</v>
      </c>
      <c r="I179" s="6" t="s">
        <v>212</v>
      </c>
      <c r="J179" s="7" t="s">
        <v>188</v>
      </c>
      <c r="K179" s="7" t="s">
        <v>189</v>
      </c>
      <c r="L179" s="5" t="s">
        <v>202</v>
      </c>
      <c r="M179" s="5" t="s">
        <v>203</v>
      </c>
      <c r="N179" s="5" t="s">
        <v>201</v>
      </c>
    </row>
    <row r="180" spans="1:14" x14ac:dyDescent="0.3">
      <c r="A180" s="3" t="s">
        <v>114</v>
      </c>
      <c r="B180" s="3" t="s">
        <v>127</v>
      </c>
      <c r="C180" s="3" t="s">
        <v>284</v>
      </c>
      <c r="D180" s="3" t="s">
        <v>291</v>
      </c>
      <c r="E180" s="2" t="s">
        <v>178</v>
      </c>
      <c r="F180" s="2">
        <v>2.4</v>
      </c>
      <c r="G180" s="6">
        <f t="shared" ref="G180:G188" si="7">0.265+(F180*0.181)</f>
        <v>0.69940000000000002</v>
      </c>
      <c r="H180" s="6" t="s">
        <v>213</v>
      </c>
      <c r="I180" s="6" t="s">
        <v>214</v>
      </c>
      <c r="J180" s="7" t="s">
        <v>186</v>
      </c>
      <c r="K180" s="7" t="s">
        <v>187</v>
      </c>
      <c r="L180" s="5" t="s">
        <v>199</v>
      </c>
      <c r="M180" s="5" t="s">
        <v>200</v>
      </c>
      <c r="N180" s="5" t="s">
        <v>201</v>
      </c>
    </row>
    <row r="181" spans="1:14" x14ac:dyDescent="0.3">
      <c r="A181" s="3" t="s">
        <v>114</v>
      </c>
      <c r="B181" s="3" t="s">
        <v>128</v>
      </c>
      <c r="C181" s="3" t="s">
        <v>284</v>
      </c>
      <c r="D181" s="3" t="s">
        <v>291</v>
      </c>
      <c r="E181" s="2" t="s">
        <v>178</v>
      </c>
      <c r="F181" s="2">
        <v>2.42</v>
      </c>
      <c r="G181" s="6">
        <f t="shared" si="7"/>
        <v>0.70301999999999998</v>
      </c>
      <c r="H181" s="6" t="s">
        <v>213</v>
      </c>
      <c r="I181" s="6" t="s">
        <v>214</v>
      </c>
      <c r="J181" s="7" t="s">
        <v>186</v>
      </c>
      <c r="K181" s="7" t="s">
        <v>187</v>
      </c>
      <c r="L181" s="5" t="s">
        <v>199</v>
      </c>
      <c r="M181" s="5" t="s">
        <v>200</v>
      </c>
      <c r="N181" s="5" t="s">
        <v>201</v>
      </c>
    </row>
    <row r="182" spans="1:14" x14ac:dyDescent="0.3">
      <c r="A182" s="3" t="s">
        <v>114</v>
      </c>
      <c r="B182" s="3" t="s">
        <v>129</v>
      </c>
      <c r="C182" s="3" t="s">
        <v>284</v>
      </c>
      <c r="D182" s="3" t="s">
        <v>290</v>
      </c>
      <c r="E182" s="2" t="s">
        <v>178</v>
      </c>
      <c r="F182" s="2">
        <v>2.2400000000000002</v>
      </c>
      <c r="G182" s="6">
        <f t="shared" si="7"/>
        <v>0.67044000000000004</v>
      </c>
      <c r="H182" s="6" t="s">
        <v>213</v>
      </c>
      <c r="I182" s="6" t="s">
        <v>214</v>
      </c>
      <c r="J182" s="7" t="s">
        <v>186</v>
      </c>
      <c r="K182" s="7" t="s">
        <v>187</v>
      </c>
      <c r="L182" s="5" t="s">
        <v>202</v>
      </c>
      <c r="M182" s="5" t="s">
        <v>203</v>
      </c>
      <c r="N182" s="5" t="s">
        <v>201</v>
      </c>
    </row>
    <row r="183" spans="1:14" x14ac:dyDescent="0.3">
      <c r="A183" s="3" t="s">
        <v>114</v>
      </c>
      <c r="B183" s="3" t="s">
        <v>130</v>
      </c>
      <c r="C183" s="3" t="s">
        <v>284</v>
      </c>
      <c r="D183" s="3" t="s">
        <v>291</v>
      </c>
      <c r="E183" s="2" t="s">
        <v>178</v>
      </c>
      <c r="F183" s="2">
        <v>2.5299999999999998</v>
      </c>
      <c r="G183" s="6">
        <f t="shared" si="7"/>
        <v>0.72292999999999996</v>
      </c>
      <c r="H183" s="6" t="s">
        <v>213</v>
      </c>
      <c r="I183" s="6" t="s">
        <v>214</v>
      </c>
      <c r="J183" s="7" t="s">
        <v>186</v>
      </c>
      <c r="K183" s="7" t="s">
        <v>187</v>
      </c>
      <c r="L183" s="5" t="s">
        <v>199</v>
      </c>
      <c r="M183" s="5" t="s">
        <v>200</v>
      </c>
      <c r="N183" s="5" t="s">
        <v>201</v>
      </c>
    </row>
    <row r="184" spans="1:14" x14ac:dyDescent="0.3">
      <c r="A184" s="3" t="s">
        <v>114</v>
      </c>
      <c r="B184" s="3" t="s">
        <v>131</v>
      </c>
      <c r="C184" s="3" t="s">
        <v>284</v>
      </c>
      <c r="D184" s="3" t="s">
        <v>291</v>
      </c>
      <c r="E184" s="2" t="s">
        <v>178</v>
      </c>
      <c r="F184" s="2">
        <v>2.23</v>
      </c>
      <c r="G184" s="6">
        <f t="shared" si="7"/>
        <v>0.66863000000000006</v>
      </c>
      <c r="H184" s="6" t="s">
        <v>213</v>
      </c>
      <c r="I184" s="6" t="s">
        <v>214</v>
      </c>
      <c r="J184" s="7" t="s">
        <v>186</v>
      </c>
      <c r="K184" s="7" t="s">
        <v>187</v>
      </c>
      <c r="L184" s="5" t="s">
        <v>199</v>
      </c>
      <c r="M184" s="5" t="s">
        <v>200</v>
      </c>
      <c r="N184" s="5" t="s">
        <v>201</v>
      </c>
    </row>
    <row r="185" spans="1:14" x14ac:dyDescent="0.3">
      <c r="A185" s="3" t="s">
        <v>114</v>
      </c>
      <c r="B185" s="3" t="s">
        <v>132</v>
      </c>
      <c r="C185" s="3" t="s">
        <v>284</v>
      </c>
      <c r="D185" s="3" t="s">
        <v>291</v>
      </c>
      <c r="E185" s="2" t="s">
        <v>178</v>
      </c>
      <c r="F185" s="2">
        <v>2.1800000000000002</v>
      </c>
      <c r="G185" s="6">
        <f t="shared" si="7"/>
        <v>0.65958000000000006</v>
      </c>
      <c r="H185" s="6" t="s">
        <v>213</v>
      </c>
      <c r="I185" s="6" t="s">
        <v>214</v>
      </c>
      <c r="J185" s="7" t="s">
        <v>186</v>
      </c>
      <c r="K185" s="7" t="s">
        <v>187</v>
      </c>
      <c r="L185" s="5" t="s">
        <v>199</v>
      </c>
      <c r="M185" s="5" t="s">
        <v>200</v>
      </c>
      <c r="N185" s="5" t="s">
        <v>201</v>
      </c>
    </row>
    <row r="186" spans="1:14" x14ac:dyDescent="0.3">
      <c r="A186" s="3" t="s">
        <v>114</v>
      </c>
      <c r="B186" s="3" t="s">
        <v>133</v>
      </c>
      <c r="C186" s="3" t="s">
        <v>284</v>
      </c>
      <c r="D186" s="3" t="s">
        <v>291</v>
      </c>
      <c r="E186" s="2" t="s">
        <v>178</v>
      </c>
      <c r="F186" s="2">
        <v>2.31</v>
      </c>
      <c r="G186" s="6">
        <f t="shared" si="7"/>
        <v>0.68310999999999999</v>
      </c>
      <c r="H186" s="6" t="s">
        <v>213</v>
      </c>
      <c r="I186" s="6" t="s">
        <v>214</v>
      </c>
      <c r="J186" s="7" t="s">
        <v>186</v>
      </c>
      <c r="K186" s="7" t="s">
        <v>187</v>
      </c>
      <c r="L186" s="5" t="s">
        <v>199</v>
      </c>
      <c r="M186" s="5" t="s">
        <v>200</v>
      </c>
      <c r="N186" s="5" t="s">
        <v>201</v>
      </c>
    </row>
    <row r="187" spans="1:14" x14ac:dyDescent="0.3">
      <c r="A187" s="3" t="s">
        <v>114</v>
      </c>
      <c r="B187" s="3" t="s">
        <v>134</v>
      </c>
      <c r="C187" s="3" t="s">
        <v>284</v>
      </c>
      <c r="D187" s="3" t="s">
        <v>291</v>
      </c>
      <c r="E187" s="2" t="s">
        <v>178</v>
      </c>
      <c r="F187" s="2">
        <v>2.3199999999999998</v>
      </c>
      <c r="G187" s="6">
        <f t="shared" si="7"/>
        <v>0.68491999999999997</v>
      </c>
      <c r="H187" s="6" t="s">
        <v>213</v>
      </c>
      <c r="I187" s="6" t="s">
        <v>214</v>
      </c>
      <c r="J187" s="7" t="s">
        <v>186</v>
      </c>
      <c r="K187" s="7" t="s">
        <v>187</v>
      </c>
      <c r="L187" s="5" t="s">
        <v>199</v>
      </c>
      <c r="M187" s="5" t="s">
        <v>200</v>
      </c>
      <c r="N187" s="5" t="s">
        <v>201</v>
      </c>
    </row>
    <row r="188" spans="1:14" x14ac:dyDescent="0.3">
      <c r="A188" s="3" t="s">
        <v>114</v>
      </c>
      <c r="B188" s="3" t="s">
        <v>135</v>
      </c>
      <c r="C188" s="3" t="s">
        <v>284</v>
      </c>
      <c r="D188" s="3" t="s">
        <v>291</v>
      </c>
      <c r="E188" s="2" t="s">
        <v>178</v>
      </c>
      <c r="F188" s="2">
        <v>2.4900000000000002</v>
      </c>
      <c r="G188" s="6">
        <f t="shared" si="7"/>
        <v>0.71569000000000005</v>
      </c>
      <c r="H188" s="6" t="s">
        <v>213</v>
      </c>
      <c r="I188" s="6" t="s">
        <v>214</v>
      </c>
      <c r="J188" s="7" t="s">
        <v>186</v>
      </c>
      <c r="K188" s="7" t="s">
        <v>187</v>
      </c>
      <c r="L188" s="5" t="s">
        <v>199</v>
      </c>
      <c r="M188" s="5" t="s">
        <v>200</v>
      </c>
      <c r="N188" s="5" t="s">
        <v>201</v>
      </c>
    </row>
    <row r="189" spans="1:14" x14ac:dyDescent="0.3">
      <c r="A189" s="4" t="s">
        <v>136</v>
      </c>
      <c r="B189" s="4" t="s">
        <v>137</v>
      </c>
      <c r="C189" s="4" t="s">
        <v>285</v>
      </c>
      <c r="D189" s="4" t="s">
        <v>289</v>
      </c>
      <c r="E189" s="1" t="s">
        <v>177</v>
      </c>
      <c r="F189" s="1">
        <v>2.59</v>
      </c>
      <c r="G189" s="6">
        <f>0.173+(F189*0.21)</f>
        <v>0.71689999999999987</v>
      </c>
      <c r="H189" s="6" t="s">
        <v>211</v>
      </c>
      <c r="I189" s="6" t="s">
        <v>212</v>
      </c>
      <c r="J189" s="7" t="s">
        <v>188</v>
      </c>
      <c r="K189" s="7" t="s">
        <v>189</v>
      </c>
      <c r="L189" s="5" t="s">
        <v>204</v>
      </c>
      <c r="M189" s="5" t="s">
        <v>205</v>
      </c>
      <c r="N189" s="5" t="s">
        <v>201</v>
      </c>
    </row>
    <row r="190" spans="1:14" x14ac:dyDescent="0.3">
      <c r="A190" s="4" t="s">
        <v>136</v>
      </c>
      <c r="B190" s="4" t="s">
        <v>138</v>
      </c>
      <c r="C190" s="4" t="s">
        <v>285</v>
      </c>
      <c r="D190" s="4" t="s">
        <v>289</v>
      </c>
      <c r="E190" s="1" t="s">
        <v>177</v>
      </c>
      <c r="F190" s="1">
        <v>2.5499999999999998</v>
      </c>
      <c r="G190" s="6">
        <f>0.173+(F190*0.21)</f>
        <v>0.70849999999999991</v>
      </c>
      <c r="H190" s="6" t="s">
        <v>211</v>
      </c>
      <c r="I190" s="6" t="s">
        <v>212</v>
      </c>
      <c r="J190" s="7" t="s">
        <v>188</v>
      </c>
      <c r="K190" s="7" t="s">
        <v>189</v>
      </c>
      <c r="L190" s="5" t="s">
        <v>204</v>
      </c>
      <c r="M190" s="5" t="s">
        <v>205</v>
      </c>
      <c r="N190" s="5" t="s">
        <v>201</v>
      </c>
    </row>
    <row r="191" spans="1:14" x14ac:dyDescent="0.3">
      <c r="A191" s="4" t="s">
        <v>136</v>
      </c>
      <c r="B191" s="4" t="s">
        <v>139</v>
      </c>
      <c r="C191" s="4" t="s">
        <v>284</v>
      </c>
      <c r="D191" s="4" t="s">
        <v>289</v>
      </c>
      <c r="E191" s="1" t="s">
        <v>178</v>
      </c>
      <c r="F191" s="1">
        <v>2.41</v>
      </c>
      <c r="G191" s="6">
        <f>0.265+(F191*0.181)</f>
        <v>0.70121</v>
      </c>
      <c r="H191" s="6" t="s">
        <v>213</v>
      </c>
      <c r="I191" s="6" t="s">
        <v>214</v>
      </c>
      <c r="J191" s="7" t="s">
        <v>186</v>
      </c>
      <c r="K191" s="7" t="s">
        <v>187</v>
      </c>
      <c r="L191" s="5" t="s">
        <v>204</v>
      </c>
      <c r="M191" s="5" t="s">
        <v>205</v>
      </c>
      <c r="N191" s="5" t="s">
        <v>201</v>
      </c>
    </row>
    <row r="192" spans="1:14" x14ac:dyDescent="0.3">
      <c r="A192" s="4" t="s">
        <v>136</v>
      </c>
      <c r="B192" s="4" t="s">
        <v>140</v>
      </c>
      <c r="C192" s="4" t="s">
        <v>285</v>
      </c>
      <c r="D192" s="4" t="s">
        <v>289</v>
      </c>
      <c r="E192" s="1" t="s">
        <v>177</v>
      </c>
      <c r="F192" s="1">
        <v>2.74</v>
      </c>
      <c r="G192" s="6">
        <f>0.173+(F192*0.21)</f>
        <v>0.74839999999999995</v>
      </c>
      <c r="H192" s="6" t="s">
        <v>211</v>
      </c>
      <c r="I192" s="6" t="s">
        <v>212</v>
      </c>
      <c r="J192" s="7" t="s">
        <v>188</v>
      </c>
      <c r="K192" s="7" t="s">
        <v>189</v>
      </c>
      <c r="L192" s="5" t="s">
        <v>204</v>
      </c>
      <c r="M192" s="5" t="s">
        <v>205</v>
      </c>
      <c r="N192" s="5" t="s">
        <v>201</v>
      </c>
    </row>
    <row r="193" spans="1:14" x14ac:dyDescent="0.3">
      <c r="A193" s="4" t="s">
        <v>136</v>
      </c>
      <c r="B193" s="4" t="s">
        <v>141</v>
      </c>
      <c r="C193" s="4" t="s">
        <v>284</v>
      </c>
      <c r="D193" s="4" t="s">
        <v>289</v>
      </c>
      <c r="E193" s="1" t="s">
        <v>178</v>
      </c>
      <c r="F193" s="1">
        <v>2.13</v>
      </c>
      <c r="G193" s="6">
        <f>0.265+(F193*0.181)</f>
        <v>0.65053000000000005</v>
      </c>
      <c r="H193" s="6" t="s">
        <v>213</v>
      </c>
      <c r="I193" s="6" t="s">
        <v>214</v>
      </c>
      <c r="J193" s="7" t="s">
        <v>186</v>
      </c>
      <c r="K193" s="7" t="s">
        <v>187</v>
      </c>
      <c r="L193" s="5" t="s">
        <v>204</v>
      </c>
      <c r="M193" s="5" t="s">
        <v>205</v>
      </c>
      <c r="N193" s="5" t="s">
        <v>201</v>
      </c>
    </row>
    <row r="194" spans="1:14" x14ac:dyDescent="0.3">
      <c r="A194" s="4" t="s">
        <v>136</v>
      </c>
      <c r="B194" s="4" t="s">
        <v>142</v>
      </c>
      <c r="C194" s="4" t="s">
        <v>285</v>
      </c>
      <c r="D194" s="4" t="s">
        <v>289</v>
      </c>
      <c r="E194" s="1" t="s">
        <v>177</v>
      </c>
      <c r="F194" s="1">
        <v>2.6</v>
      </c>
      <c r="G194" s="6">
        <f>0.173+(F194*0.21)</f>
        <v>0.71900000000000008</v>
      </c>
      <c r="H194" s="6" t="s">
        <v>211</v>
      </c>
      <c r="I194" s="6" t="s">
        <v>212</v>
      </c>
      <c r="J194" s="7" t="s">
        <v>188</v>
      </c>
      <c r="K194" s="7" t="s">
        <v>189</v>
      </c>
      <c r="L194" s="5" t="s">
        <v>204</v>
      </c>
      <c r="M194" s="5" t="s">
        <v>205</v>
      </c>
      <c r="N194" s="5" t="s">
        <v>201</v>
      </c>
    </row>
    <row r="195" spans="1:14" x14ac:dyDescent="0.3">
      <c r="A195" s="4" t="s">
        <v>136</v>
      </c>
      <c r="B195" s="4" t="s">
        <v>143</v>
      </c>
      <c r="C195" s="4" t="s">
        <v>285</v>
      </c>
      <c r="D195" s="4" t="s">
        <v>289</v>
      </c>
      <c r="E195" s="1" t="s">
        <v>177</v>
      </c>
      <c r="F195" s="1">
        <v>2.44</v>
      </c>
      <c r="G195" s="6">
        <f>0.173+(F195*0.21)</f>
        <v>0.68540000000000001</v>
      </c>
      <c r="H195" s="6" t="s">
        <v>211</v>
      </c>
      <c r="I195" s="6" t="s">
        <v>212</v>
      </c>
      <c r="J195" s="7" t="s">
        <v>188</v>
      </c>
      <c r="K195" s="7" t="s">
        <v>189</v>
      </c>
      <c r="L195" s="5" t="s">
        <v>204</v>
      </c>
      <c r="M195" s="5" t="s">
        <v>205</v>
      </c>
      <c r="N195" s="5" t="s">
        <v>201</v>
      </c>
    </row>
    <row r="196" spans="1:14" x14ac:dyDescent="0.3">
      <c r="A196" s="4" t="s">
        <v>136</v>
      </c>
      <c r="B196" s="4" t="s">
        <v>144</v>
      </c>
      <c r="C196" s="4" t="s">
        <v>284</v>
      </c>
      <c r="D196" s="4" t="s">
        <v>289</v>
      </c>
      <c r="E196" s="1" t="s">
        <v>178</v>
      </c>
      <c r="F196" s="1">
        <v>2.27</v>
      </c>
      <c r="G196" s="6">
        <f>0.265+(F196*0.181)</f>
        <v>0.67586999999999997</v>
      </c>
      <c r="H196" s="6" t="s">
        <v>213</v>
      </c>
      <c r="I196" s="6" t="s">
        <v>214</v>
      </c>
      <c r="J196" s="1" t="s">
        <v>181</v>
      </c>
      <c r="K196" s="1" t="s">
        <v>182</v>
      </c>
      <c r="L196" s="5" t="s">
        <v>204</v>
      </c>
      <c r="M196" s="5" t="s">
        <v>205</v>
      </c>
      <c r="N196" s="5" t="s">
        <v>201</v>
      </c>
    </row>
    <row r="197" spans="1:14" x14ac:dyDescent="0.3">
      <c r="A197" s="4" t="s">
        <v>136</v>
      </c>
      <c r="B197" s="4" t="s">
        <v>145</v>
      </c>
      <c r="C197" s="4" t="s">
        <v>285</v>
      </c>
      <c r="D197" s="4" t="s">
        <v>289</v>
      </c>
      <c r="E197" s="1" t="s">
        <v>177</v>
      </c>
      <c r="F197" s="1">
        <v>2.38</v>
      </c>
      <c r="G197" s="6">
        <f>0.173+(F197*0.21)</f>
        <v>0.67279999999999995</v>
      </c>
      <c r="H197" s="6" t="s">
        <v>211</v>
      </c>
      <c r="I197" s="6" t="s">
        <v>212</v>
      </c>
      <c r="J197" s="1" t="s">
        <v>179</v>
      </c>
      <c r="K197" s="1" t="s">
        <v>183</v>
      </c>
      <c r="L197" s="5" t="s">
        <v>204</v>
      </c>
      <c r="M197" s="5" t="s">
        <v>205</v>
      </c>
      <c r="N197" s="5" t="s">
        <v>201</v>
      </c>
    </row>
    <row r="198" spans="1:14" x14ac:dyDescent="0.3">
      <c r="A198" s="4" t="s">
        <v>136</v>
      </c>
      <c r="B198" s="4" t="s">
        <v>146</v>
      </c>
      <c r="C198" s="4" t="s">
        <v>284</v>
      </c>
      <c r="D198" s="4" t="s">
        <v>289</v>
      </c>
      <c r="E198" s="1" t="s">
        <v>178</v>
      </c>
      <c r="F198" s="1">
        <v>2.41</v>
      </c>
      <c r="G198" s="6">
        <f>0.265+(F198*0.181)</f>
        <v>0.70121</v>
      </c>
      <c r="H198" s="6" t="s">
        <v>213</v>
      </c>
      <c r="I198" s="6" t="s">
        <v>214</v>
      </c>
      <c r="J198" s="1" t="s">
        <v>181</v>
      </c>
      <c r="K198" s="1" t="s">
        <v>182</v>
      </c>
      <c r="L198" s="5" t="s">
        <v>204</v>
      </c>
      <c r="M198" s="5" t="s">
        <v>205</v>
      </c>
      <c r="N198" s="5" t="s">
        <v>201</v>
      </c>
    </row>
    <row r="199" spans="1:14" x14ac:dyDescent="0.3">
      <c r="A199" s="4" t="s">
        <v>136</v>
      </c>
      <c r="B199" s="4" t="s">
        <v>147</v>
      </c>
      <c r="C199" s="4" t="s">
        <v>285</v>
      </c>
      <c r="D199" s="4" t="s">
        <v>289</v>
      </c>
      <c r="E199" s="1" t="s">
        <v>177</v>
      </c>
      <c r="F199" s="1">
        <v>2.57</v>
      </c>
      <c r="G199" s="6">
        <f>0.173+(F199*0.21)</f>
        <v>0.71269999999999989</v>
      </c>
      <c r="H199" s="6" t="s">
        <v>211</v>
      </c>
      <c r="I199" s="6" t="s">
        <v>212</v>
      </c>
      <c r="J199" s="1" t="s">
        <v>179</v>
      </c>
      <c r="K199" s="1" t="s">
        <v>183</v>
      </c>
      <c r="L199" s="5" t="s">
        <v>204</v>
      </c>
      <c r="M199" s="5" t="s">
        <v>205</v>
      </c>
      <c r="N199" s="5" t="s">
        <v>201</v>
      </c>
    </row>
    <row r="200" spans="1:14" x14ac:dyDescent="0.3">
      <c r="A200" s="4" t="s">
        <v>136</v>
      </c>
      <c r="B200" s="4" t="s">
        <v>148</v>
      </c>
      <c r="C200" s="4" t="s">
        <v>284</v>
      </c>
      <c r="D200" s="4" t="s">
        <v>289</v>
      </c>
      <c r="E200" s="1" t="s">
        <v>178</v>
      </c>
      <c r="F200" s="1">
        <v>2.14</v>
      </c>
      <c r="G200" s="6">
        <f>0.265+(F200*0.181)</f>
        <v>0.65234000000000003</v>
      </c>
      <c r="H200" s="6" t="s">
        <v>213</v>
      </c>
      <c r="I200" s="6" t="s">
        <v>214</v>
      </c>
      <c r="J200" s="1" t="s">
        <v>181</v>
      </c>
      <c r="K200" s="1" t="s">
        <v>182</v>
      </c>
      <c r="L200" s="5" t="s">
        <v>204</v>
      </c>
      <c r="M200" s="5" t="s">
        <v>205</v>
      </c>
      <c r="N200" s="5" t="s">
        <v>201</v>
      </c>
    </row>
    <row r="201" spans="1:14" x14ac:dyDescent="0.3">
      <c r="A201" s="4" t="s">
        <v>136</v>
      </c>
      <c r="B201" s="4" t="s">
        <v>149</v>
      </c>
      <c r="C201" s="4" t="s">
        <v>284</v>
      </c>
      <c r="D201" s="4" t="s">
        <v>289</v>
      </c>
      <c r="E201" s="1" t="s">
        <v>178</v>
      </c>
      <c r="F201" s="1">
        <v>2.2000000000000002</v>
      </c>
      <c r="G201" s="6">
        <f>0.265+(F201*0.181)</f>
        <v>0.66320000000000001</v>
      </c>
      <c r="H201" s="6" t="s">
        <v>213</v>
      </c>
      <c r="I201" s="6" t="s">
        <v>214</v>
      </c>
      <c r="J201" s="1" t="s">
        <v>181</v>
      </c>
      <c r="K201" s="1" t="s">
        <v>182</v>
      </c>
      <c r="L201" s="5" t="s">
        <v>204</v>
      </c>
      <c r="M201" s="5" t="s">
        <v>205</v>
      </c>
      <c r="N201" s="5" t="s">
        <v>201</v>
      </c>
    </row>
    <row r="202" spans="1:14" x14ac:dyDescent="0.3">
      <c r="A202" s="4" t="s">
        <v>136</v>
      </c>
      <c r="B202" s="4" t="s">
        <v>150</v>
      </c>
      <c r="C202" s="4" t="s">
        <v>285</v>
      </c>
      <c r="D202" s="4" t="s">
        <v>289</v>
      </c>
      <c r="E202" s="1" t="s">
        <v>177</v>
      </c>
      <c r="F202" s="1">
        <v>2.6</v>
      </c>
      <c r="G202" s="6">
        <f>0.173+(F202*0.21)</f>
        <v>0.71900000000000008</v>
      </c>
      <c r="H202" s="6" t="s">
        <v>211</v>
      </c>
      <c r="I202" s="6" t="s">
        <v>212</v>
      </c>
      <c r="J202" s="1" t="s">
        <v>179</v>
      </c>
      <c r="K202" s="1" t="s">
        <v>183</v>
      </c>
      <c r="L202" s="5" t="s">
        <v>204</v>
      </c>
      <c r="M202" s="5" t="s">
        <v>205</v>
      </c>
      <c r="N202" s="5" t="s">
        <v>201</v>
      </c>
    </row>
    <row r="203" spans="1:14" x14ac:dyDescent="0.3">
      <c r="A203" s="4" t="s">
        <v>136</v>
      </c>
      <c r="B203" s="4" t="s">
        <v>151</v>
      </c>
      <c r="C203" s="4" t="s">
        <v>285</v>
      </c>
      <c r="D203" s="4" t="s">
        <v>289</v>
      </c>
      <c r="E203" s="1" t="s">
        <v>177</v>
      </c>
      <c r="F203" s="1">
        <v>2.48</v>
      </c>
      <c r="G203" s="6">
        <f>0.173+(F203*0.21)</f>
        <v>0.69379999999999997</v>
      </c>
      <c r="H203" s="6" t="s">
        <v>211</v>
      </c>
      <c r="I203" s="6" t="s">
        <v>212</v>
      </c>
      <c r="J203" s="1" t="s">
        <v>179</v>
      </c>
      <c r="K203" s="1" t="s">
        <v>183</v>
      </c>
      <c r="L203" s="5" t="s">
        <v>204</v>
      </c>
      <c r="M203" s="5" t="s">
        <v>205</v>
      </c>
      <c r="N203" s="5" t="s">
        <v>201</v>
      </c>
    </row>
    <row r="204" spans="1:14" x14ac:dyDescent="0.3">
      <c r="A204" s="4" t="s">
        <v>136</v>
      </c>
      <c r="B204" s="4" t="s">
        <v>152</v>
      </c>
      <c r="C204" s="4" t="s">
        <v>284</v>
      </c>
      <c r="D204" s="4" t="s">
        <v>291</v>
      </c>
      <c r="E204" s="1" t="s">
        <v>178</v>
      </c>
      <c r="F204" s="1">
        <v>2.23</v>
      </c>
      <c r="G204" s="6">
        <f t="shared" ref="G204:G210" si="8">0.265+(F204*0.181)</f>
        <v>0.66863000000000006</v>
      </c>
      <c r="H204" s="6" t="s">
        <v>213</v>
      </c>
      <c r="I204" s="6" t="s">
        <v>214</v>
      </c>
      <c r="J204" s="1" t="s">
        <v>181</v>
      </c>
      <c r="K204" s="1" t="s">
        <v>182</v>
      </c>
      <c r="L204" s="5" t="s">
        <v>199</v>
      </c>
      <c r="M204" s="5" t="s">
        <v>200</v>
      </c>
      <c r="N204" s="5" t="s">
        <v>201</v>
      </c>
    </row>
    <row r="205" spans="1:14" x14ac:dyDescent="0.3">
      <c r="A205" s="4" t="s">
        <v>136</v>
      </c>
      <c r="B205" s="4" t="s">
        <v>153</v>
      </c>
      <c r="C205" s="4" t="s">
        <v>284</v>
      </c>
      <c r="D205" s="4" t="s">
        <v>291</v>
      </c>
      <c r="E205" s="1" t="s">
        <v>178</v>
      </c>
      <c r="F205" s="1">
        <v>2.21</v>
      </c>
      <c r="G205" s="6">
        <f t="shared" si="8"/>
        <v>0.66500999999999999</v>
      </c>
      <c r="H205" s="6" t="s">
        <v>213</v>
      </c>
      <c r="I205" s="6" t="s">
        <v>214</v>
      </c>
      <c r="J205" s="1" t="s">
        <v>181</v>
      </c>
      <c r="K205" s="1" t="s">
        <v>182</v>
      </c>
      <c r="L205" s="5" t="s">
        <v>199</v>
      </c>
      <c r="M205" s="5" t="s">
        <v>200</v>
      </c>
      <c r="N205" s="5" t="s">
        <v>201</v>
      </c>
    </row>
    <row r="206" spans="1:14" x14ac:dyDescent="0.3">
      <c r="A206" s="4" t="s">
        <v>136</v>
      </c>
      <c r="B206" s="4" t="s">
        <v>154</v>
      </c>
      <c r="C206" s="4" t="s">
        <v>284</v>
      </c>
      <c r="D206" s="4" t="s">
        <v>289</v>
      </c>
      <c r="E206" s="1" t="s">
        <v>178</v>
      </c>
      <c r="F206" s="1">
        <v>2.2599999999999998</v>
      </c>
      <c r="G206" s="6">
        <f t="shared" si="8"/>
        <v>0.67405999999999988</v>
      </c>
      <c r="H206" s="6" t="s">
        <v>213</v>
      </c>
      <c r="I206" s="6" t="s">
        <v>214</v>
      </c>
      <c r="J206" s="1" t="s">
        <v>181</v>
      </c>
      <c r="K206" s="1" t="s">
        <v>182</v>
      </c>
      <c r="L206" s="5" t="s">
        <v>204</v>
      </c>
      <c r="M206" s="5" t="s">
        <v>205</v>
      </c>
      <c r="N206" s="5" t="s">
        <v>201</v>
      </c>
    </row>
    <row r="207" spans="1:14" x14ac:dyDescent="0.3">
      <c r="A207" s="4" t="s">
        <v>136</v>
      </c>
      <c r="B207" s="4" t="s">
        <v>155</v>
      </c>
      <c r="C207" s="4" t="s">
        <v>284</v>
      </c>
      <c r="D207" s="4" t="s">
        <v>289</v>
      </c>
      <c r="E207" s="1" t="s">
        <v>178</v>
      </c>
      <c r="F207" s="1">
        <v>2.11</v>
      </c>
      <c r="G207" s="6">
        <f t="shared" si="8"/>
        <v>0.64690999999999999</v>
      </c>
      <c r="H207" s="6" t="s">
        <v>213</v>
      </c>
      <c r="I207" s="6" t="s">
        <v>214</v>
      </c>
      <c r="J207" s="1" t="s">
        <v>181</v>
      </c>
      <c r="K207" s="1" t="s">
        <v>182</v>
      </c>
      <c r="L207" s="5" t="s">
        <v>204</v>
      </c>
      <c r="M207" s="5" t="s">
        <v>205</v>
      </c>
      <c r="N207" s="5" t="s">
        <v>201</v>
      </c>
    </row>
    <row r="208" spans="1:14" x14ac:dyDescent="0.3">
      <c r="A208" s="4" t="s">
        <v>136</v>
      </c>
      <c r="B208" s="4" t="s">
        <v>156</v>
      </c>
      <c r="C208" s="4" t="s">
        <v>284</v>
      </c>
      <c r="D208" s="4" t="s">
        <v>289</v>
      </c>
      <c r="E208" s="1" t="s">
        <v>178</v>
      </c>
      <c r="F208" s="1">
        <v>2.29</v>
      </c>
      <c r="G208" s="6">
        <f t="shared" si="8"/>
        <v>0.67948999999999993</v>
      </c>
      <c r="H208" s="6" t="s">
        <v>213</v>
      </c>
      <c r="I208" s="6" t="s">
        <v>214</v>
      </c>
      <c r="J208" s="1" t="s">
        <v>181</v>
      </c>
      <c r="K208" s="1" t="s">
        <v>182</v>
      </c>
      <c r="L208" s="5" t="s">
        <v>204</v>
      </c>
      <c r="M208" s="5" t="s">
        <v>205</v>
      </c>
      <c r="N208" s="5" t="s">
        <v>201</v>
      </c>
    </row>
    <row r="209" spans="1:14" x14ac:dyDescent="0.3">
      <c r="A209" s="4" t="s">
        <v>321</v>
      </c>
      <c r="B209" s="4" t="s">
        <v>113</v>
      </c>
      <c r="C209" s="4" t="s">
        <v>284</v>
      </c>
      <c r="D209" s="4" t="s">
        <v>289</v>
      </c>
      <c r="E209" s="1" t="s">
        <v>178</v>
      </c>
      <c r="F209" s="1">
        <v>2.12</v>
      </c>
      <c r="G209" s="6">
        <f>0.265+(F209*0.181)</f>
        <v>0.64871999999999996</v>
      </c>
      <c r="H209" s="6" t="s">
        <v>213</v>
      </c>
      <c r="I209" s="6" t="s">
        <v>214</v>
      </c>
      <c r="J209" s="7" t="s">
        <v>186</v>
      </c>
      <c r="K209" s="7" t="s">
        <v>187</v>
      </c>
      <c r="L209" s="5" t="s">
        <v>204</v>
      </c>
      <c r="M209" s="5" t="s">
        <v>205</v>
      </c>
      <c r="N209" s="5" t="s">
        <v>201</v>
      </c>
    </row>
    <row r="210" spans="1:14" x14ac:dyDescent="0.3">
      <c r="A210" s="4" t="s">
        <v>136</v>
      </c>
      <c r="B210" s="4" t="s">
        <v>157</v>
      </c>
      <c r="C210" s="4" t="s">
        <v>284</v>
      </c>
      <c r="D210" s="4" t="s">
        <v>289</v>
      </c>
      <c r="E210" s="1" t="s">
        <v>178</v>
      </c>
      <c r="F210" s="1">
        <v>2.79</v>
      </c>
      <c r="G210" s="6">
        <f t="shared" si="8"/>
        <v>0.76998999999999995</v>
      </c>
      <c r="H210" s="6" t="s">
        <v>213</v>
      </c>
      <c r="I210" s="6" t="s">
        <v>214</v>
      </c>
      <c r="J210" s="1" t="s">
        <v>181</v>
      </c>
      <c r="K210" s="1" t="s">
        <v>182</v>
      </c>
      <c r="L210" s="5" t="s">
        <v>204</v>
      </c>
      <c r="M210" s="5" t="s">
        <v>205</v>
      </c>
      <c r="N210" s="5" t="s">
        <v>201</v>
      </c>
    </row>
    <row r="211" spans="1:14" x14ac:dyDescent="0.3">
      <c r="A211" s="4" t="s">
        <v>136</v>
      </c>
      <c r="B211" s="4" t="s">
        <v>158</v>
      </c>
      <c r="C211" s="4" t="s">
        <v>285</v>
      </c>
      <c r="D211" s="4" t="s">
        <v>289</v>
      </c>
      <c r="E211" s="1" t="s">
        <v>177</v>
      </c>
      <c r="F211" s="1">
        <v>2.73</v>
      </c>
      <c r="G211" s="6">
        <f>0.173+(F211*0.21)</f>
        <v>0.74629999999999996</v>
      </c>
      <c r="H211" s="6" t="s">
        <v>211</v>
      </c>
      <c r="I211" s="6" t="s">
        <v>212</v>
      </c>
      <c r="J211" s="1" t="s">
        <v>179</v>
      </c>
      <c r="K211" s="1" t="s">
        <v>183</v>
      </c>
      <c r="L211" s="5" t="s">
        <v>204</v>
      </c>
      <c r="M211" s="5" t="s">
        <v>205</v>
      </c>
      <c r="N211" s="5" t="s">
        <v>201</v>
      </c>
    </row>
    <row r="212" spans="1:14" x14ac:dyDescent="0.3">
      <c r="A212" s="3" t="s">
        <v>159</v>
      </c>
      <c r="B212" s="3" t="s">
        <v>160</v>
      </c>
      <c r="C212" s="3" t="s">
        <v>285</v>
      </c>
      <c r="D212" s="3" t="s">
        <v>290</v>
      </c>
      <c r="E212" s="2" t="s">
        <v>177</v>
      </c>
      <c r="F212" s="2">
        <v>2.8</v>
      </c>
      <c r="G212" s="6">
        <f>0.173+(F212*0.21)</f>
        <v>0.7609999999999999</v>
      </c>
      <c r="H212" s="6" t="s">
        <v>211</v>
      </c>
      <c r="I212" s="6" t="s">
        <v>212</v>
      </c>
      <c r="J212" s="2" t="s">
        <v>179</v>
      </c>
      <c r="K212" s="2" t="s">
        <v>183</v>
      </c>
      <c r="L212" s="5" t="s">
        <v>202</v>
      </c>
      <c r="M212" s="5" t="s">
        <v>203</v>
      </c>
      <c r="N212" s="5" t="s">
        <v>201</v>
      </c>
    </row>
    <row r="213" spans="1:14" x14ac:dyDescent="0.3">
      <c r="A213" s="3" t="s">
        <v>159</v>
      </c>
      <c r="B213" s="3" t="s">
        <v>161</v>
      </c>
      <c r="C213" s="3" t="s">
        <v>284</v>
      </c>
      <c r="D213" s="3" t="s">
        <v>291</v>
      </c>
      <c r="E213" s="2" t="s">
        <v>178</v>
      </c>
      <c r="F213" s="2">
        <v>2.44</v>
      </c>
      <c r="G213" s="6">
        <f>0.265+(F213*0.181)</f>
        <v>0.70663999999999993</v>
      </c>
      <c r="H213" s="6" t="s">
        <v>213</v>
      </c>
      <c r="I213" s="6" t="s">
        <v>214</v>
      </c>
      <c r="J213" s="2" t="s">
        <v>181</v>
      </c>
      <c r="K213" s="2" t="s">
        <v>182</v>
      </c>
      <c r="L213" s="5" t="s">
        <v>199</v>
      </c>
      <c r="M213" s="5" t="s">
        <v>200</v>
      </c>
      <c r="N213" s="5" t="s">
        <v>201</v>
      </c>
    </row>
    <row r="214" spans="1:14" x14ac:dyDescent="0.3">
      <c r="A214" s="3" t="s">
        <v>159</v>
      </c>
      <c r="B214" s="3" t="s">
        <v>184</v>
      </c>
      <c r="C214" s="3" t="s">
        <v>284</v>
      </c>
      <c r="D214" s="3" t="s">
        <v>291</v>
      </c>
      <c r="E214" s="2" t="s">
        <v>185</v>
      </c>
      <c r="F214" s="2">
        <v>2.39</v>
      </c>
      <c r="G214" s="6">
        <f>0.265+(F214*0.181)</f>
        <v>0.69759000000000004</v>
      </c>
      <c r="H214" s="6" t="s">
        <v>213</v>
      </c>
      <c r="I214" s="6" t="s">
        <v>214</v>
      </c>
      <c r="J214" s="2" t="s">
        <v>181</v>
      </c>
      <c r="K214" s="2" t="s">
        <v>182</v>
      </c>
      <c r="L214" s="5" t="s">
        <v>206</v>
      </c>
      <c r="M214" s="5" t="s">
        <v>207</v>
      </c>
      <c r="N214" s="5" t="s">
        <v>208</v>
      </c>
    </row>
    <row r="215" spans="1:14" x14ac:dyDescent="0.3">
      <c r="A215" s="3" t="s">
        <v>159</v>
      </c>
      <c r="B215" s="3" t="s">
        <v>162</v>
      </c>
      <c r="C215" s="3" t="s">
        <v>285</v>
      </c>
      <c r="D215" s="3" t="s">
        <v>291</v>
      </c>
      <c r="E215" s="2" t="s">
        <v>177</v>
      </c>
      <c r="F215" s="2">
        <v>2.94</v>
      </c>
      <c r="G215" s="6">
        <f>0.173+(F215*0.21)</f>
        <v>0.79039999999999999</v>
      </c>
      <c r="H215" s="6" t="s">
        <v>211</v>
      </c>
      <c r="I215" s="6" t="s">
        <v>212</v>
      </c>
      <c r="J215" s="2" t="s">
        <v>179</v>
      </c>
      <c r="K215" s="2" t="s">
        <v>183</v>
      </c>
      <c r="L215" s="5" t="s">
        <v>199</v>
      </c>
      <c r="M215" s="5" t="s">
        <v>200</v>
      </c>
      <c r="N215" s="5" t="s">
        <v>201</v>
      </c>
    </row>
    <row r="216" spans="1:14" x14ac:dyDescent="0.3">
      <c r="A216" s="3" t="s">
        <v>159</v>
      </c>
      <c r="B216" s="3" t="s">
        <v>163</v>
      </c>
      <c r="C216" s="3" t="s">
        <v>284</v>
      </c>
      <c r="D216" s="3" t="s">
        <v>290</v>
      </c>
      <c r="E216" s="2" t="s">
        <v>178</v>
      </c>
      <c r="F216" s="2">
        <v>2.2200000000000002</v>
      </c>
      <c r="G216" s="6">
        <f>0.265+(F216*0.181)</f>
        <v>0.66681999999999997</v>
      </c>
      <c r="H216" s="6" t="s">
        <v>213</v>
      </c>
      <c r="I216" s="6" t="s">
        <v>214</v>
      </c>
      <c r="J216" s="2" t="s">
        <v>181</v>
      </c>
      <c r="K216" s="2" t="s">
        <v>182</v>
      </c>
      <c r="L216" s="5" t="s">
        <v>202</v>
      </c>
      <c r="M216" s="5" t="s">
        <v>203</v>
      </c>
      <c r="N216" s="5" t="s">
        <v>201</v>
      </c>
    </row>
    <row r="217" spans="1:14" x14ac:dyDescent="0.3">
      <c r="A217" s="3" t="s">
        <v>159</v>
      </c>
      <c r="B217" s="3" t="s">
        <v>164</v>
      </c>
      <c r="C217" s="3" t="s">
        <v>285</v>
      </c>
      <c r="D217" s="3" t="s">
        <v>291</v>
      </c>
      <c r="E217" s="2" t="s">
        <v>177</v>
      </c>
      <c r="F217" s="2">
        <v>2.4500000000000002</v>
      </c>
      <c r="G217" s="6">
        <f>0.173+(F217*0.21)</f>
        <v>0.6875</v>
      </c>
      <c r="H217" s="6" t="s">
        <v>211</v>
      </c>
      <c r="I217" s="6" t="s">
        <v>212</v>
      </c>
      <c r="J217" s="2" t="s">
        <v>179</v>
      </c>
      <c r="K217" s="2" t="s">
        <v>183</v>
      </c>
      <c r="L217" s="5" t="s">
        <v>199</v>
      </c>
      <c r="M217" s="5" t="s">
        <v>200</v>
      </c>
      <c r="N217" s="5" t="s">
        <v>201</v>
      </c>
    </row>
    <row r="218" spans="1:14" x14ac:dyDescent="0.3">
      <c r="A218" s="3" t="s">
        <v>159</v>
      </c>
      <c r="B218" s="3" t="s">
        <v>165</v>
      </c>
      <c r="C218" s="3" t="s">
        <v>285</v>
      </c>
      <c r="D218" s="3" t="s">
        <v>290</v>
      </c>
      <c r="E218" s="2" t="s">
        <v>177</v>
      </c>
      <c r="F218" s="2">
        <v>2.57</v>
      </c>
      <c r="G218" s="6">
        <f>0.173+(F218*0.21)</f>
        <v>0.71269999999999989</v>
      </c>
      <c r="H218" s="6" t="s">
        <v>211</v>
      </c>
      <c r="I218" s="6" t="s">
        <v>212</v>
      </c>
      <c r="J218" s="2" t="s">
        <v>179</v>
      </c>
      <c r="K218" s="2" t="s">
        <v>183</v>
      </c>
      <c r="L218" s="5" t="s">
        <v>202</v>
      </c>
      <c r="M218" s="5" t="s">
        <v>203</v>
      </c>
      <c r="N218" s="5" t="s">
        <v>201</v>
      </c>
    </row>
    <row r="219" spans="1:14" x14ac:dyDescent="0.3">
      <c r="A219" s="3" t="s">
        <v>159</v>
      </c>
      <c r="B219" s="3" t="s">
        <v>166</v>
      </c>
      <c r="C219" s="3" t="s">
        <v>284</v>
      </c>
      <c r="D219" s="3" t="s">
        <v>290</v>
      </c>
      <c r="E219" s="2" t="s">
        <v>178</v>
      </c>
      <c r="F219" s="2">
        <v>2.36</v>
      </c>
      <c r="G219" s="6">
        <f>0.265+(F219*0.181)</f>
        <v>0.69216</v>
      </c>
      <c r="H219" s="6" t="s">
        <v>213</v>
      </c>
      <c r="I219" s="6" t="s">
        <v>214</v>
      </c>
      <c r="J219" s="2" t="s">
        <v>181</v>
      </c>
      <c r="K219" s="2" t="s">
        <v>182</v>
      </c>
      <c r="L219" s="5" t="s">
        <v>202</v>
      </c>
      <c r="M219" s="5" t="s">
        <v>203</v>
      </c>
      <c r="N219" s="5" t="s">
        <v>201</v>
      </c>
    </row>
    <row r="220" spans="1:14" x14ac:dyDescent="0.3">
      <c r="A220" s="3" t="s">
        <v>159</v>
      </c>
      <c r="B220" s="3" t="s">
        <v>167</v>
      </c>
      <c r="C220" s="3" t="s">
        <v>285</v>
      </c>
      <c r="D220" s="3" t="s">
        <v>291</v>
      </c>
      <c r="E220" s="12" t="s">
        <v>224</v>
      </c>
      <c r="F220" s="2">
        <v>2.85</v>
      </c>
      <c r="G220" s="6">
        <f>0.173+(F220*0.21)</f>
        <v>0.77150000000000007</v>
      </c>
      <c r="H220" s="6" t="s">
        <v>211</v>
      </c>
      <c r="I220" s="6" t="s">
        <v>212</v>
      </c>
      <c r="J220" s="2" t="s">
        <v>179</v>
      </c>
      <c r="K220" s="2" t="s">
        <v>183</v>
      </c>
      <c r="L220" s="5" t="s">
        <v>199</v>
      </c>
      <c r="M220" s="5" t="s">
        <v>200</v>
      </c>
      <c r="N220" s="5" t="s">
        <v>201</v>
      </c>
    </row>
    <row r="221" spans="1:14" x14ac:dyDescent="0.3">
      <c r="A221" s="3" t="s">
        <v>159</v>
      </c>
      <c r="B221" s="3" t="s">
        <v>168</v>
      </c>
      <c r="C221" s="3" t="s">
        <v>284</v>
      </c>
      <c r="D221" s="3" t="s">
        <v>291</v>
      </c>
      <c r="E221" s="2" t="s">
        <v>178</v>
      </c>
      <c r="F221" s="2">
        <v>2.17</v>
      </c>
      <c r="G221" s="6">
        <f>0.265+(F221*0.181)</f>
        <v>0.65776999999999997</v>
      </c>
      <c r="H221" s="6" t="s">
        <v>213</v>
      </c>
      <c r="I221" s="6" t="s">
        <v>214</v>
      </c>
      <c r="J221" s="2" t="s">
        <v>181</v>
      </c>
      <c r="K221" s="2" t="s">
        <v>182</v>
      </c>
      <c r="L221" s="5" t="s">
        <v>199</v>
      </c>
      <c r="M221" s="5" t="s">
        <v>200</v>
      </c>
      <c r="N221" s="5" t="s">
        <v>201</v>
      </c>
    </row>
    <row r="222" spans="1:14" x14ac:dyDescent="0.3">
      <c r="A222" s="3" t="s">
        <v>159</v>
      </c>
      <c r="B222" s="3" t="s">
        <v>169</v>
      </c>
      <c r="C222" s="3" t="s">
        <v>285</v>
      </c>
      <c r="D222" s="3" t="s">
        <v>290</v>
      </c>
      <c r="E222" s="2" t="s">
        <v>177</v>
      </c>
      <c r="F222" s="2">
        <v>2.75</v>
      </c>
      <c r="G222" s="6">
        <f>0.173+(F222*0.21)</f>
        <v>0.75049999999999994</v>
      </c>
      <c r="H222" s="6" t="s">
        <v>211</v>
      </c>
      <c r="I222" s="6" t="s">
        <v>212</v>
      </c>
      <c r="J222" s="2" t="s">
        <v>179</v>
      </c>
      <c r="K222" s="2" t="s">
        <v>183</v>
      </c>
      <c r="L222" s="5" t="s">
        <v>202</v>
      </c>
      <c r="M222" s="5" t="s">
        <v>203</v>
      </c>
      <c r="N222" s="5" t="s">
        <v>201</v>
      </c>
    </row>
    <row r="223" spans="1:14" x14ac:dyDescent="0.3">
      <c r="A223" s="3" t="s">
        <v>159</v>
      </c>
      <c r="B223" s="3" t="s">
        <v>170</v>
      </c>
      <c r="C223" s="3" t="s">
        <v>284</v>
      </c>
      <c r="D223" s="3" t="s">
        <v>291</v>
      </c>
      <c r="E223" s="2" t="s">
        <v>178</v>
      </c>
      <c r="F223" s="2">
        <v>2.2799999999999998</v>
      </c>
      <c r="G223" s="6">
        <f>0.265+(F223*0.181)</f>
        <v>0.67767999999999995</v>
      </c>
      <c r="H223" s="6" t="s">
        <v>213</v>
      </c>
      <c r="I223" s="6" t="s">
        <v>214</v>
      </c>
      <c r="J223" s="2" t="s">
        <v>181</v>
      </c>
      <c r="K223" s="2" t="s">
        <v>182</v>
      </c>
      <c r="L223" s="5" t="s">
        <v>199</v>
      </c>
      <c r="M223" s="5" t="s">
        <v>200</v>
      </c>
      <c r="N223" s="5" t="s">
        <v>201</v>
      </c>
    </row>
    <row r="224" spans="1:14" x14ac:dyDescent="0.3">
      <c r="A224" s="3" t="s">
        <v>159</v>
      </c>
      <c r="B224" s="3" t="s">
        <v>171</v>
      </c>
      <c r="C224" s="3" t="s">
        <v>283</v>
      </c>
      <c r="D224" s="3" t="s">
        <v>290</v>
      </c>
      <c r="E224" s="2" t="s">
        <v>177</v>
      </c>
      <c r="F224" s="2">
        <v>2.81</v>
      </c>
      <c r="G224" s="6">
        <f>0.173+(F224*0.21)</f>
        <v>0.76309999999999989</v>
      </c>
      <c r="H224" s="6" t="s">
        <v>211</v>
      </c>
      <c r="I224" s="6" t="s">
        <v>212</v>
      </c>
      <c r="J224" s="2" t="s">
        <v>179</v>
      </c>
      <c r="K224" s="2" t="s">
        <v>180</v>
      </c>
      <c r="L224" s="5" t="s">
        <v>202</v>
      </c>
      <c r="M224" s="5" t="s">
        <v>203</v>
      </c>
      <c r="N224" s="5" t="s">
        <v>201</v>
      </c>
    </row>
    <row r="225" spans="1:14" x14ac:dyDescent="0.3">
      <c r="A225" s="3" t="s">
        <v>159</v>
      </c>
      <c r="B225" s="3" t="s">
        <v>172</v>
      </c>
      <c r="C225" s="3" t="s">
        <v>285</v>
      </c>
      <c r="D225" s="3" t="s">
        <v>290</v>
      </c>
      <c r="E225" s="2" t="s">
        <v>177</v>
      </c>
      <c r="F225" s="2">
        <v>2.5499999999999998</v>
      </c>
      <c r="G225" s="6">
        <f>0.173+(F225*0.21)</f>
        <v>0.70849999999999991</v>
      </c>
      <c r="H225" s="6" t="s">
        <v>211</v>
      </c>
      <c r="I225" s="6" t="s">
        <v>212</v>
      </c>
      <c r="J225" s="2" t="s">
        <v>179</v>
      </c>
      <c r="K225" s="2" t="s">
        <v>183</v>
      </c>
      <c r="L225" s="5" t="s">
        <v>202</v>
      </c>
      <c r="M225" s="5" t="s">
        <v>203</v>
      </c>
      <c r="N225" s="5" t="s">
        <v>201</v>
      </c>
    </row>
    <row r="226" spans="1:14" x14ac:dyDescent="0.3">
      <c r="A226" s="3" t="s">
        <v>159</v>
      </c>
      <c r="B226" s="3" t="s">
        <v>173</v>
      </c>
      <c r="C226" s="3" t="s">
        <v>284</v>
      </c>
      <c r="D226" s="3" t="s">
        <v>290</v>
      </c>
      <c r="E226" s="2" t="s">
        <v>178</v>
      </c>
      <c r="F226" s="2">
        <v>2.2799999999999998</v>
      </c>
      <c r="G226" s="6">
        <f>0.265+(F226*0.181)</f>
        <v>0.67767999999999995</v>
      </c>
      <c r="H226" s="6" t="s">
        <v>213</v>
      </c>
      <c r="I226" s="6" t="s">
        <v>214</v>
      </c>
      <c r="J226" s="2" t="s">
        <v>181</v>
      </c>
      <c r="K226" s="2" t="s">
        <v>182</v>
      </c>
      <c r="L226" s="5" t="s">
        <v>202</v>
      </c>
      <c r="M226" s="5" t="s">
        <v>203</v>
      </c>
      <c r="N226" s="5" t="s">
        <v>201</v>
      </c>
    </row>
    <row r="227" spans="1:14" x14ac:dyDescent="0.3">
      <c r="A227" s="3" t="s">
        <v>159</v>
      </c>
      <c r="B227" s="3" t="s">
        <v>174</v>
      </c>
      <c r="C227" s="3" t="s">
        <v>284</v>
      </c>
      <c r="D227" s="3" t="s">
        <v>290</v>
      </c>
      <c r="E227" s="2" t="s">
        <v>178</v>
      </c>
      <c r="F227" s="2">
        <v>2.5099999999999998</v>
      </c>
      <c r="G227" s="6">
        <f>0.265+(F227*0.181)</f>
        <v>0.71930999999999989</v>
      </c>
      <c r="H227" s="6" t="s">
        <v>213</v>
      </c>
      <c r="I227" s="6" t="s">
        <v>214</v>
      </c>
      <c r="J227" s="2" t="s">
        <v>181</v>
      </c>
      <c r="K227" s="2" t="s">
        <v>182</v>
      </c>
      <c r="L227" s="5" t="s">
        <v>202</v>
      </c>
      <c r="M227" s="5" t="s">
        <v>203</v>
      </c>
      <c r="N227" s="5" t="s">
        <v>201</v>
      </c>
    </row>
    <row r="228" spans="1:14" x14ac:dyDescent="0.3">
      <c r="A228" s="3" t="s">
        <v>159</v>
      </c>
      <c r="B228" s="3" t="s">
        <v>175</v>
      </c>
      <c r="C228" s="3" t="s">
        <v>284</v>
      </c>
      <c r="D228" s="3" t="s">
        <v>291</v>
      </c>
      <c r="E228" s="2" t="s">
        <v>178</v>
      </c>
      <c r="F228" s="2">
        <v>2.31</v>
      </c>
      <c r="G228" s="6">
        <f>0.265+(F228*0.181)</f>
        <v>0.68310999999999999</v>
      </c>
      <c r="H228" s="6" t="s">
        <v>213</v>
      </c>
      <c r="I228" s="6" t="s">
        <v>214</v>
      </c>
      <c r="J228" s="2" t="s">
        <v>181</v>
      </c>
      <c r="K228" s="2" t="s">
        <v>182</v>
      </c>
      <c r="L228" s="5" t="s">
        <v>199</v>
      </c>
      <c r="M228" s="5" t="s">
        <v>200</v>
      </c>
      <c r="N228" s="5" t="s">
        <v>201</v>
      </c>
    </row>
    <row r="229" spans="1:14" x14ac:dyDescent="0.3">
      <c r="A229" s="3" t="s">
        <v>159</v>
      </c>
      <c r="B229" s="3" t="s">
        <v>176</v>
      </c>
      <c r="C229" s="3" t="s">
        <v>284</v>
      </c>
      <c r="D229" s="3" t="s">
        <v>291</v>
      </c>
      <c r="E229" s="2" t="s">
        <v>178</v>
      </c>
      <c r="F229" s="2">
        <v>2.15</v>
      </c>
      <c r="G229" s="6">
        <f>0.265+(F229*0.181)</f>
        <v>0.65415000000000001</v>
      </c>
      <c r="H229" s="6" t="s">
        <v>213</v>
      </c>
      <c r="I229" s="6" t="s">
        <v>214</v>
      </c>
      <c r="J229" s="2" t="s">
        <v>181</v>
      </c>
      <c r="K229" s="2" t="s">
        <v>182</v>
      </c>
      <c r="L229" s="5" t="s">
        <v>199</v>
      </c>
      <c r="M229" s="5" t="s">
        <v>200</v>
      </c>
      <c r="N229" s="5" t="s">
        <v>201</v>
      </c>
    </row>
  </sheetData>
  <sheetProtection sheet="1" objects="1" scenarios="1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194"/>
  <sheetViews>
    <sheetView topLeftCell="C1" workbookViewId="0">
      <selection activeCell="Q23" sqref="Q23"/>
    </sheetView>
  </sheetViews>
  <sheetFormatPr defaultRowHeight="16.5" x14ac:dyDescent="0.3"/>
  <cols>
    <col min="1" max="2" width="9" style="15"/>
    <col min="3" max="3" width="12.5" style="15" customWidth="1"/>
    <col min="4" max="5" width="9" style="15"/>
    <col min="6" max="6" width="11" style="15" bestFit="1" customWidth="1"/>
    <col min="7" max="16384" width="9" style="15"/>
  </cols>
  <sheetData>
    <row r="1" spans="1:17" x14ac:dyDescent="0.3">
      <c r="A1" s="16" t="s">
        <v>272</v>
      </c>
      <c r="C1" s="16" t="s">
        <v>272</v>
      </c>
      <c r="D1" s="15" t="s">
        <v>4</v>
      </c>
      <c r="E1" s="15" t="s">
        <v>6</v>
      </c>
      <c r="F1" s="15" t="s">
        <v>8</v>
      </c>
      <c r="G1" s="15" t="s">
        <v>11</v>
      </c>
      <c r="H1" s="15" t="s">
        <v>12</v>
      </c>
      <c r="I1" s="15" t="s">
        <v>13</v>
      </c>
      <c r="J1" s="15" t="s">
        <v>15</v>
      </c>
      <c r="K1" s="15" t="s">
        <v>48</v>
      </c>
      <c r="L1" s="15" t="s">
        <v>67</v>
      </c>
      <c r="M1" s="15" t="s">
        <v>80</v>
      </c>
      <c r="N1" s="15" t="s">
        <v>97</v>
      </c>
      <c r="O1" s="15" t="s">
        <v>114</v>
      </c>
      <c r="P1" s="15" t="s">
        <v>136</v>
      </c>
      <c r="Q1" s="15" t="s">
        <v>159</v>
      </c>
    </row>
    <row r="2" spans="1:17" x14ac:dyDescent="0.3">
      <c r="A2" s="15" t="s">
        <v>4</v>
      </c>
      <c r="C2" s="15" t="s">
        <v>225</v>
      </c>
      <c r="D2" s="15" t="s">
        <v>228</v>
      </c>
      <c r="E2" s="15" t="s">
        <v>251</v>
      </c>
      <c r="F2" s="15" t="s">
        <v>10</v>
      </c>
      <c r="G2" s="15" t="s">
        <v>269</v>
      </c>
      <c r="H2" s="15" t="s">
        <v>270</v>
      </c>
      <c r="I2" s="15" t="s">
        <v>251</v>
      </c>
      <c r="J2" s="15" t="s">
        <v>16</v>
      </c>
      <c r="K2" s="15" t="s">
        <v>49</v>
      </c>
      <c r="L2" s="15" t="s">
        <v>68</v>
      </c>
      <c r="M2" s="15" t="s">
        <v>81</v>
      </c>
      <c r="N2" s="15" t="s">
        <v>98</v>
      </c>
      <c r="O2" s="15" t="s">
        <v>115</v>
      </c>
      <c r="P2" s="15" t="s">
        <v>137</v>
      </c>
      <c r="Q2" s="15" t="s">
        <v>160</v>
      </c>
    </row>
    <row r="3" spans="1:17" x14ac:dyDescent="0.3">
      <c r="A3" s="15" t="s">
        <v>6</v>
      </c>
      <c r="C3" s="15" t="s">
        <v>226</v>
      </c>
      <c r="D3" s="15" t="s">
        <v>250</v>
      </c>
      <c r="E3" s="15" t="s">
        <v>263</v>
      </c>
      <c r="F3" s="15" t="s">
        <v>265</v>
      </c>
      <c r="G3" s="15" t="s">
        <v>251</v>
      </c>
      <c r="H3" s="15" t="s">
        <v>252</v>
      </c>
      <c r="I3" s="15" t="s">
        <v>252</v>
      </c>
      <c r="J3" s="15" t="s">
        <v>17</v>
      </c>
      <c r="K3" s="15" t="s">
        <v>50</v>
      </c>
      <c r="L3" s="15" t="s">
        <v>69</v>
      </c>
      <c r="M3" s="15" t="s">
        <v>82</v>
      </c>
      <c r="N3" s="15" t="s">
        <v>100</v>
      </c>
      <c r="O3" s="15" t="s">
        <v>116</v>
      </c>
      <c r="P3" s="15" t="s">
        <v>138</v>
      </c>
      <c r="Q3" s="15" t="s">
        <v>161</v>
      </c>
    </row>
    <row r="4" spans="1:17" x14ac:dyDescent="0.3">
      <c r="A4" s="15" t="s">
        <v>8</v>
      </c>
      <c r="C4" s="15" t="s">
        <v>227</v>
      </c>
      <c r="D4" s="15" t="s">
        <v>5</v>
      </c>
      <c r="E4" s="15" t="s">
        <v>7</v>
      </c>
      <c r="F4" s="15" t="s">
        <v>251</v>
      </c>
      <c r="G4" s="15" t="s">
        <v>252</v>
      </c>
      <c r="H4" s="15" t="s">
        <v>258</v>
      </c>
      <c r="I4" s="15" t="s">
        <v>255</v>
      </c>
      <c r="J4" s="15" t="s">
        <v>18</v>
      </c>
      <c r="K4" s="15" t="s">
        <v>51</v>
      </c>
      <c r="L4" s="15" t="s">
        <v>70</v>
      </c>
      <c r="M4" s="15" t="s">
        <v>83</v>
      </c>
      <c r="N4" s="15" t="s">
        <v>101</v>
      </c>
      <c r="O4" s="15" t="s">
        <v>117</v>
      </c>
      <c r="P4" s="15" t="s">
        <v>139</v>
      </c>
      <c r="Q4" s="15" t="s">
        <v>50</v>
      </c>
    </row>
    <row r="5" spans="1:17" x14ac:dyDescent="0.3">
      <c r="A5" s="15" t="s">
        <v>11</v>
      </c>
      <c r="C5" s="15" t="s">
        <v>228</v>
      </c>
      <c r="D5" s="15" t="s">
        <v>251</v>
      </c>
      <c r="E5" s="15" t="s">
        <v>252</v>
      </c>
      <c r="F5" s="15" t="s">
        <v>266</v>
      </c>
      <c r="G5" s="15" t="s">
        <v>255</v>
      </c>
      <c r="H5" s="15" t="s">
        <v>271</v>
      </c>
      <c r="I5" s="15" t="s">
        <v>14</v>
      </c>
      <c r="J5" s="15" t="s">
        <v>19</v>
      </c>
      <c r="K5" s="15" t="s">
        <v>52</v>
      </c>
      <c r="L5" s="15" t="s">
        <v>71</v>
      </c>
      <c r="M5" s="15" t="s">
        <v>84</v>
      </c>
      <c r="N5" s="15" t="s">
        <v>102</v>
      </c>
      <c r="O5" s="15" t="s">
        <v>118</v>
      </c>
      <c r="P5" s="15" t="s">
        <v>140</v>
      </c>
      <c r="Q5" s="15" t="s">
        <v>162</v>
      </c>
    </row>
    <row r="6" spans="1:17" x14ac:dyDescent="0.3">
      <c r="A6" s="15" t="s">
        <v>12</v>
      </c>
      <c r="C6" s="15" t="s">
        <v>229</v>
      </c>
      <c r="D6" s="15" t="s">
        <v>252</v>
      </c>
      <c r="E6" s="15" t="s">
        <v>255</v>
      </c>
      <c r="F6" s="15" t="s">
        <v>252</v>
      </c>
      <c r="G6" s="15" t="s">
        <v>258</v>
      </c>
      <c r="H6" s="15" t="s">
        <v>248</v>
      </c>
      <c r="I6" s="15" t="s">
        <v>248</v>
      </c>
      <c r="J6" s="15" t="s">
        <v>20</v>
      </c>
      <c r="K6" s="15" t="s">
        <v>53</v>
      </c>
      <c r="L6" s="15" t="s">
        <v>72</v>
      </c>
      <c r="M6" s="15" t="s">
        <v>85</v>
      </c>
      <c r="N6" s="15" t="s">
        <v>103</v>
      </c>
      <c r="O6" s="15" t="s">
        <v>99</v>
      </c>
      <c r="P6" s="15" t="s">
        <v>141</v>
      </c>
      <c r="Q6" s="15" t="s">
        <v>163</v>
      </c>
    </row>
    <row r="7" spans="1:17" x14ac:dyDescent="0.3">
      <c r="A7" s="15" t="s">
        <v>13</v>
      </c>
      <c r="C7" s="15" t="s">
        <v>230</v>
      </c>
      <c r="D7" s="15" t="s">
        <v>253</v>
      </c>
      <c r="E7" s="15" t="s">
        <v>258</v>
      </c>
      <c r="F7" s="15" t="s">
        <v>267</v>
      </c>
      <c r="J7" s="15" t="s">
        <v>21</v>
      </c>
      <c r="K7" s="15" t="s">
        <v>54</v>
      </c>
      <c r="L7" s="15" t="s">
        <v>73</v>
      </c>
      <c r="M7" s="15" t="s">
        <v>86</v>
      </c>
      <c r="N7" s="15" t="s">
        <v>104</v>
      </c>
      <c r="O7" s="15" t="s">
        <v>119</v>
      </c>
      <c r="P7" s="15" t="s">
        <v>142</v>
      </c>
      <c r="Q7" s="15" t="s">
        <v>164</v>
      </c>
    </row>
    <row r="8" spans="1:17" x14ac:dyDescent="0.3">
      <c r="A8" s="15" t="s">
        <v>15</v>
      </c>
      <c r="C8" s="15" t="s">
        <v>231</v>
      </c>
      <c r="D8" s="15" t="s">
        <v>254</v>
      </c>
      <c r="E8" s="15" t="s">
        <v>264</v>
      </c>
      <c r="F8" s="15" t="s">
        <v>258</v>
      </c>
      <c r="J8" s="15" t="s">
        <v>22</v>
      </c>
      <c r="K8" s="15" t="s">
        <v>55</v>
      </c>
      <c r="L8" s="15" t="s">
        <v>74</v>
      </c>
      <c r="M8" s="15" t="s">
        <v>87</v>
      </c>
      <c r="N8" s="15" t="s">
        <v>105</v>
      </c>
      <c r="O8" s="15" t="s">
        <v>120</v>
      </c>
      <c r="P8" s="15" t="s">
        <v>143</v>
      </c>
      <c r="Q8" s="15" t="s">
        <v>165</v>
      </c>
    </row>
    <row r="9" spans="1:17" x14ac:dyDescent="0.3">
      <c r="A9" s="15" t="s">
        <v>48</v>
      </c>
      <c r="C9" s="15" t="s">
        <v>232</v>
      </c>
      <c r="D9" s="15" t="s">
        <v>255</v>
      </c>
      <c r="E9" s="15" t="s">
        <v>248</v>
      </c>
      <c r="F9" s="15" t="s">
        <v>268</v>
      </c>
      <c r="J9" s="15" t="s">
        <v>23</v>
      </c>
      <c r="K9" s="15" t="s">
        <v>56</v>
      </c>
      <c r="L9" s="15" t="s">
        <v>75</v>
      </c>
      <c r="M9" s="15" t="s">
        <v>88</v>
      </c>
      <c r="N9" s="15" t="s">
        <v>106</v>
      </c>
      <c r="O9" s="15" t="s">
        <v>121</v>
      </c>
      <c r="P9" s="15" t="s">
        <v>144</v>
      </c>
      <c r="Q9" s="15" t="s">
        <v>166</v>
      </c>
    </row>
    <row r="10" spans="1:17" x14ac:dyDescent="0.3">
      <c r="A10" s="15" t="s">
        <v>67</v>
      </c>
      <c r="C10" s="15" t="s">
        <v>233</v>
      </c>
      <c r="D10" s="15" t="s">
        <v>256</v>
      </c>
      <c r="F10" s="15" t="s">
        <v>9</v>
      </c>
      <c r="J10" s="15" t="s">
        <v>24</v>
      </c>
      <c r="K10" s="15" t="s">
        <v>57</v>
      </c>
      <c r="L10" s="15" t="s">
        <v>76</v>
      </c>
      <c r="M10" s="15" t="s">
        <v>89</v>
      </c>
      <c r="N10" s="15" t="s">
        <v>107</v>
      </c>
      <c r="O10" s="15" t="s">
        <v>122</v>
      </c>
      <c r="P10" s="15" t="s">
        <v>145</v>
      </c>
      <c r="Q10" s="15" t="s">
        <v>167</v>
      </c>
    </row>
    <row r="11" spans="1:17" x14ac:dyDescent="0.3">
      <c r="A11" s="15" t="s">
        <v>80</v>
      </c>
      <c r="C11" s="15" t="s">
        <v>234</v>
      </c>
      <c r="D11" s="15" t="s">
        <v>257</v>
      </c>
      <c r="F11" s="15" t="s">
        <v>248</v>
      </c>
      <c r="J11" s="15" t="s">
        <v>25</v>
      </c>
      <c r="K11" s="15" t="s">
        <v>58</v>
      </c>
      <c r="L11" s="15" t="s">
        <v>77</v>
      </c>
      <c r="M11" s="15" t="s">
        <v>90</v>
      </c>
      <c r="N11" s="15" t="s">
        <v>108</v>
      </c>
      <c r="O11" s="15" t="s">
        <v>123</v>
      </c>
      <c r="P11" s="15" t="s">
        <v>146</v>
      </c>
      <c r="Q11" s="15" t="s">
        <v>168</v>
      </c>
    </row>
    <row r="12" spans="1:17" x14ac:dyDescent="0.3">
      <c r="A12" s="15" t="s">
        <v>97</v>
      </c>
      <c r="C12" s="15" t="s">
        <v>235</v>
      </c>
      <c r="D12" s="15" t="s">
        <v>258</v>
      </c>
      <c r="J12" s="15" t="s">
        <v>26</v>
      </c>
      <c r="K12" s="15" t="s">
        <v>59</v>
      </c>
      <c r="L12" s="15" t="s">
        <v>78</v>
      </c>
      <c r="M12" s="15" t="s">
        <v>91</v>
      </c>
      <c r="N12" s="15" t="s">
        <v>109</v>
      </c>
      <c r="O12" s="15" t="s">
        <v>124</v>
      </c>
      <c r="P12" s="15" t="s">
        <v>147</v>
      </c>
      <c r="Q12" s="15" t="s">
        <v>169</v>
      </c>
    </row>
    <row r="13" spans="1:17" x14ac:dyDescent="0.3">
      <c r="A13" s="15" t="s">
        <v>114</v>
      </c>
      <c r="C13" s="15" t="s">
        <v>236</v>
      </c>
      <c r="D13" s="15" t="s">
        <v>259</v>
      </c>
      <c r="J13" s="15" t="s">
        <v>28</v>
      </c>
      <c r="K13" s="15" t="s">
        <v>60</v>
      </c>
      <c r="L13" s="15" t="s">
        <v>79</v>
      </c>
      <c r="M13" s="15" t="s">
        <v>92</v>
      </c>
      <c r="N13" s="15" t="s">
        <v>110</v>
      </c>
      <c r="O13" s="15" t="s">
        <v>125</v>
      </c>
      <c r="P13" s="15" t="s">
        <v>148</v>
      </c>
      <c r="Q13" s="15" t="s">
        <v>170</v>
      </c>
    </row>
    <row r="14" spans="1:17" x14ac:dyDescent="0.3">
      <c r="A14" s="15" t="s">
        <v>136</v>
      </c>
      <c r="C14" s="15" t="s">
        <v>237</v>
      </c>
      <c r="D14" s="15" t="s">
        <v>260</v>
      </c>
      <c r="J14" s="15" t="s">
        <v>29</v>
      </c>
      <c r="K14" s="15" t="s">
        <v>61</v>
      </c>
      <c r="M14" s="15" t="s">
        <v>93</v>
      </c>
      <c r="N14" s="15" t="s">
        <v>111</v>
      </c>
      <c r="O14" s="15" t="s">
        <v>126</v>
      </c>
      <c r="P14" s="15" t="s">
        <v>149</v>
      </c>
      <c r="Q14" s="15" t="s">
        <v>171</v>
      </c>
    </row>
    <row r="15" spans="1:17" x14ac:dyDescent="0.3">
      <c r="A15" s="15" t="s">
        <v>159</v>
      </c>
      <c r="C15" s="15" t="s">
        <v>238</v>
      </c>
      <c r="D15" s="15" t="s">
        <v>261</v>
      </c>
      <c r="J15" s="15" t="s">
        <v>30</v>
      </c>
      <c r="K15" s="15" t="s">
        <v>62</v>
      </c>
      <c r="M15" s="15" t="s">
        <v>94</v>
      </c>
      <c r="N15" s="15" t="s">
        <v>112</v>
      </c>
      <c r="O15" s="15" t="s">
        <v>127</v>
      </c>
      <c r="P15" s="15" t="s">
        <v>150</v>
      </c>
      <c r="Q15" s="15" t="s">
        <v>172</v>
      </c>
    </row>
    <row r="16" spans="1:17" x14ac:dyDescent="0.3">
      <c r="C16" s="15" t="s">
        <v>239</v>
      </c>
      <c r="D16" s="15" t="s">
        <v>248</v>
      </c>
      <c r="J16" s="15" t="s">
        <v>31</v>
      </c>
      <c r="K16" s="15" t="s">
        <v>63</v>
      </c>
      <c r="M16" s="15" t="s">
        <v>95</v>
      </c>
      <c r="O16" s="15" t="s">
        <v>128</v>
      </c>
      <c r="P16" s="15" t="s">
        <v>151</v>
      </c>
      <c r="Q16" s="15" t="s">
        <v>173</v>
      </c>
    </row>
    <row r="17" spans="3:17" x14ac:dyDescent="0.3">
      <c r="C17" s="15" t="s">
        <v>240</v>
      </c>
      <c r="D17" s="15" t="s">
        <v>262</v>
      </c>
      <c r="J17" s="15" t="s">
        <v>32</v>
      </c>
      <c r="K17" s="15" t="s">
        <v>64</v>
      </c>
      <c r="M17" s="15" t="s">
        <v>96</v>
      </c>
      <c r="O17" s="15" t="s">
        <v>129</v>
      </c>
      <c r="P17" s="15" t="s">
        <v>152</v>
      </c>
      <c r="Q17" s="15" t="s">
        <v>174</v>
      </c>
    </row>
    <row r="18" spans="3:17" x14ac:dyDescent="0.3">
      <c r="C18" s="15" t="s">
        <v>241</v>
      </c>
      <c r="J18" s="15" t="s">
        <v>33</v>
      </c>
      <c r="K18" s="15" t="s">
        <v>65</v>
      </c>
      <c r="O18" s="15" t="s">
        <v>130</v>
      </c>
      <c r="P18" s="15" t="s">
        <v>153</v>
      </c>
      <c r="Q18" s="15" t="s">
        <v>175</v>
      </c>
    </row>
    <row r="19" spans="3:17" x14ac:dyDescent="0.3">
      <c r="C19" s="15" t="s">
        <v>242</v>
      </c>
      <c r="J19" s="15" t="s">
        <v>34</v>
      </c>
      <c r="K19" s="15" t="s">
        <v>66</v>
      </c>
      <c r="O19" s="15" t="s">
        <v>131</v>
      </c>
      <c r="P19" s="15" t="s">
        <v>154</v>
      </c>
      <c r="Q19" s="15" t="s">
        <v>176</v>
      </c>
    </row>
    <row r="20" spans="3:17" x14ac:dyDescent="0.3">
      <c r="C20" s="15" t="s">
        <v>243</v>
      </c>
      <c r="J20" s="15" t="s">
        <v>35</v>
      </c>
      <c r="O20" s="15" t="s">
        <v>132</v>
      </c>
      <c r="P20" s="15" t="s">
        <v>155</v>
      </c>
    </row>
    <row r="21" spans="3:17" x14ac:dyDescent="0.3">
      <c r="C21" s="15" t="s">
        <v>244</v>
      </c>
      <c r="J21" s="15" t="s">
        <v>36</v>
      </c>
      <c r="O21" s="15" t="s">
        <v>133</v>
      </c>
      <c r="P21" s="15" t="s">
        <v>156</v>
      </c>
    </row>
    <row r="22" spans="3:17" x14ac:dyDescent="0.3">
      <c r="C22" s="15" t="s">
        <v>245</v>
      </c>
      <c r="J22" s="15" t="s">
        <v>37</v>
      </c>
      <c r="O22" s="15" t="s">
        <v>134</v>
      </c>
      <c r="P22" s="15" t="s">
        <v>113</v>
      </c>
    </row>
    <row r="23" spans="3:17" x14ac:dyDescent="0.3">
      <c r="C23" s="15" t="s">
        <v>246</v>
      </c>
      <c r="J23" s="15" t="s">
        <v>38</v>
      </c>
      <c r="O23" s="15" t="s">
        <v>135</v>
      </c>
      <c r="P23" s="15" t="s">
        <v>157</v>
      </c>
    </row>
    <row r="24" spans="3:17" x14ac:dyDescent="0.3">
      <c r="C24" s="15" t="s">
        <v>247</v>
      </c>
      <c r="J24" s="15" t="s">
        <v>39</v>
      </c>
      <c r="P24" s="15" t="s">
        <v>158</v>
      </c>
    </row>
    <row r="25" spans="3:17" x14ac:dyDescent="0.3">
      <c r="C25" s="15" t="s">
        <v>248</v>
      </c>
      <c r="J25" s="15" t="s">
        <v>40</v>
      </c>
    </row>
    <row r="26" spans="3:17" x14ac:dyDescent="0.3">
      <c r="C26" s="15" t="s">
        <v>249</v>
      </c>
      <c r="J26" s="15" t="s">
        <v>41</v>
      </c>
    </row>
    <row r="27" spans="3:17" x14ac:dyDescent="0.3">
      <c r="J27" s="15" t="s">
        <v>42</v>
      </c>
    </row>
    <row r="28" spans="3:17" x14ac:dyDescent="0.3">
      <c r="J28" s="15" t="s">
        <v>43</v>
      </c>
    </row>
    <row r="29" spans="3:17" x14ac:dyDescent="0.3">
      <c r="J29" s="15" t="s">
        <v>44</v>
      </c>
    </row>
    <row r="30" spans="3:17" x14ac:dyDescent="0.3">
      <c r="J30" s="15" t="s">
        <v>45</v>
      </c>
    </row>
    <row r="31" spans="3:17" x14ac:dyDescent="0.3">
      <c r="J31" s="15" t="s">
        <v>46</v>
      </c>
    </row>
    <row r="32" spans="3:17" x14ac:dyDescent="0.3">
      <c r="J32" s="15" t="s">
        <v>47</v>
      </c>
    </row>
    <row r="177" spans="4:4" x14ac:dyDescent="0.3">
      <c r="D177" s="15" t="s">
        <v>160</v>
      </c>
    </row>
    <row r="178" spans="4:4" x14ac:dyDescent="0.3">
      <c r="D178" s="15" t="s">
        <v>161</v>
      </c>
    </row>
    <row r="179" spans="4:4" x14ac:dyDescent="0.3">
      <c r="D179" s="15" t="s">
        <v>50</v>
      </c>
    </row>
    <row r="180" spans="4:4" x14ac:dyDescent="0.3">
      <c r="D180" s="15" t="s">
        <v>162</v>
      </c>
    </row>
    <row r="181" spans="4:4" x14ac:dyDescent="0.3">
      <c r="D181" s="15" t="s">
        <v>163</v>
      </c>
    </row>
    <row r="182" spans="4:4" x14ac:dyDescent="0.3">
      <c r="D182" s="15" t="s">
        <v>164</v>
      </c>
    </row>
    <row r="183" spans="4:4" x14ac:dyDescent="0.3">
      <c r="D183" s="15" t="s">
        <v>165</v>
      </c>
    </row>
    <row r="184" spans="4:4" x14ac:dyDescent="0.3">
      <c r="D184" s="15" t="s">
        <v>166</v>
      </c>
    </row>
    <row r="185" spans="4:4" x14ac:dyDescent="0.3">
      <c r="D185" s="15" t="s">
        <v>167</v>
      </c>
    </row>
    <row r="186" spans="4:4" x14ac:dyDescent="0.3">
      <c r="D186" s="15" t="s">
        <v>168</v>
      </c>
    </row>
    <row r="187" spans="4:4" x14ac:dyDescent="0.3">
      <c r="D187" s="15" t="s">
        <v>169</v>
      </c>
    </row>
    <row r="188" spans="4:4" x14ac:dyDescent="0.3">
      <c r="D188" s="15" t="s">
        <v>170</v>
      </c>
    </row>
    <row r="189" spans="4:4" x14ac:dyDescent="0.3">
      <c r="D189" s="15" t="s">
        <v>171</v>
      </c>
    </row>
    <row r="190" spans="4:4" x14ac:dyDescent="0.3">
      <c r="D190" s="15" t="s">
        <v>172</v>
      </c>
    </row>
    <row r="191" spans="4:4" x14ac:dyDescent="0.3">
      <c r="D191" s="15" t="s">
        <v>173</v>
      </c>
    </row>
    <row r="192" spans="4:4" x14ac:dyDescent="0.3">
      <c r="D192" s="15" t="s">
        <v>174</v>
      </c>
    </row>
    <row r="193" spans="4:4" x14ac:dyDescent="0.3">
      <c r="D193" s="15" t="s">
        <v>175</v>
      </c>
    </row>
    <row r="194" spans="4:4" x14ac:dyDescent="0.3">
      <c r="D194" s="15" t="s">
        <v>176</v>
      </c>
    </row>
  </sheetData>
  <sheetProtection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산정표</vt:lpstr>
      <vt:lpstr>가정용 계산</vt:lpstr>
      <vt:lpstr>학교용 계산</vt:lpstr>
      <vt:lpstr>공동주택용 계산</vt:lpstr>
      <vt:lpstr>축산용 계산</vt:lpstr>
      <vt:lpstr>농생겸용</vt:lpstr>
      <vt:lpstr>산정기준표</vt:lpstr>
      <vt:lpstr>시도데이타</vt:lpstr>
      <vt:lpstr>강원도</vt:lpstr>
      <vt:lpstr>경기도</vt:lpstr>
      <vt:lpstr>경상남도</vt:lpstr>
      <vt:lpstr>경상북도</vt:lpstr>
      <vt:lpstr>광주광역시</vt:lpstr>
      <vt:lpstr>대구광역시</vt:lpstr>
      <vt:lpstr>대전광역시</vt:lpstr>
      <vt:lpstr>부산광역시</vt:lpstr>
      <vt:lpstr>서울특별시</vt:lpstr>
      <vt:lpstr>시도</vt:lpstr>
      <vt:lpstr>울산광역시</vt:lpstr>
      <vt:lpstr>인천광역시</vt:lpstr>
      <vt:lpstr>전라남도</vt:lpstr>
      <vt:lpstr>전라북도</vt:lpstr>
      <vt:lpstr>충청남도</vt:lpstr>
      <vt:lpstr>충청북도</vt:lpstr>
    </vt:vector>
  </TitlesOfParts>
  <Company>geoeng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fossils</dc:creator>
  <cp:lastModifiedBy>minhwasoo</cp:lastModifiedBy>
  <dcterms:created xsi:type="dcterms:W3CDTF">2013-01-20T20:53:01Z</dcterms:created>
  <dcterms:modified xsi:type="dcterms:W3CDTF">2020-05-20T03:36:49Z</dcterms:modified>
</cp:coreProperties>
</file>