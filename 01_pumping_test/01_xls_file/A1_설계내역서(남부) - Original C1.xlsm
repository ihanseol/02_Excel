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A1_소소한 작업들\19_설계내역서 매크로 작업\"/>
    </mc:Choice>
  </mc:AlternateContent>
  <xr:revisionPtr revIDLastSave="0" documentId="13_ncr:1_{EA2DB405-0F64-43B6-BA6F-5E48EAA30E52}" xr6:coauthVersionLast="45" xr6:coauthVersionMax="45" xr10:uidLastSave="{00000000-0000-0000-0000-000000000000}"/>
  <bookViews>
    <workbookView xWindow="6015" yWindow="3465" windowWidth="22275" windowHeight="12480" tabRatio="717" firstSheet="1" activeTab="3" xr2:uid="{00000000-000D-0000-FFFF-FFFF00000000}"/>
  </bookViews>
  <sheets>
    <sheet name="원가계산서" sheetId="3" r:id="rId1"/>
    <sheet name="내역서총괄표" sheetId="4" r:id="rId2"/>
    <sheet name="내역서" sheetId="5" r:id="rId3"/>
    <sheet name="계약원가계산서" sheetId="15" r:id="rId4"/>
    <sheet name="계약내역서총괄표" sheetId="16" r:id="rId5"/>
    <sheet name="계약내역서" sheetId="17" r:id="rId6"/>
    <sheet name="일위대가총괄표" sheetId="6" r:id="rId7"/>
    <sheet name="일위대가" sheetId="7" r:id="rId8"/>
    <sheet name="단가산출총괄표" sheetId="8" r:id="rId9"/>
    <sheet name="단가산출" sheetId="9" r:id="rId10"/>
    <sheet name="기계경비총괄표" sheetId="10" r:id="rId11"/>
    <sheet name="기계경비" sheetId="11" r:id="rId12"/>
    <sheet name="기계경비적용기준" sheetId="12" r:id="rId13"/>
    <sheet name="자재단가" sheetId="13" r:id="rId14"/>
    <sheet name="노임단가" sheetId="14" r:id="rId15"/>
  </sheets>
  <functionGroups builtInGroupCount="19"/>
  <definedNames>
    <definedName name="_xlnm.Print_Area" localSheetId="5">계약내역서!$B$2:$O$77</definedName>
    <definedName name="_xlnm.Print_Area" localSheetId="4">계약내역서총괄표!$B$1:$K$26</definedName>
    <definedName name="_xlnm.Print_Area" localSheetId="3">계약원가계산서!$B$1:$H$33</definedName>
    <definedName name="_xlnm.Print_Area" localSheetId="11">기계경비!$B$1:$AD$47</definedName>
    <definedName name="_xlnm.Print_Area" localSheetId="10">기계경비총괄표!$B$1:$I$10</definedName>
    <definedName name="_xlnm.Print_Area" localSheetId="2">내역서!$B$2:$O$77</definedName>
    <definedName name="_xlnm.Print_Area" localSheetId="1">내역서총괄표!$B$1:$K$26</definedName>
    <definedName name="_xlnm.Print_Area" localSheetId="14">노임단가!$B$1:$O$33</definedName>
    <definedName name="_xlnm.Print_Area" localSheetId="9">단가산출!$B$2:$DA$248</definedName>
    <definedName name="_xlnm.Print_Area" localSheetId="8">단가산출총괄표!$B$1:$J$9</definedName>
    <definedName name="_xlnm.Print_Area" localSheetId="0">원가계산서!$B$1:$H$33</definedName>
    <definedName name="_xlnm.Print_Area" localSheetId="7">일위대가!$B$2:$O$63</definedName>
    <definedName name="_xlnm.Print_Area" localSheetId="6">일위대가총괄표!$B$1:$J$14</definedName>
    <definedName name="_xlnm.Print_Area" localSheetId="13">자재단가!$B$2:$S$41</definedName>
    <definedName name="_xlnm.Print_Titles" localSheetId="5">계약내역서!$1:$4</definedName>
    <definedName name="_xlnm.Print_Titles" localSheetId="4">계약내역서총괄표!$1:$3</definedName>
    <definedName name="_xlnm.Print_Titles" localSheetId="3">계약원가계산서!$1:$3</definedName>
    <definedName name="_xlnm.Print_Titles" localSheetId="11">기계경비!$1:$3</definedName>
    <definedName name="_xlnm.Print_Titles" localSheetId="10">기계경비총괄표!$1:$3</definedName>
    <definedName name="_xlnm.Print_Titles" localSheetId="2">내역서!$1:$4</definedName>
    <definedName name="_xlnm.Print_Titles" localSheetId="1">내역서총괄표!$1:$3</definedName>
    <definedName name="_xlnm.Print_Titles" localSheetId="14">노임단가!$1:$3</definedName>
    <definedName name="_xlnm.Print_Titles" localSheetId="9">단가산출!$1:$3</definedName>
    <definedName name="_xlnm.Print_Titles" localSheetId="8">단가산출총괄표!$1:$3</definedName>
    <definedName name="_xlnm.Print_Titles" localSheetId="0">원가계산서!$1:$3</definedName>
    <definedName name="_xlnm.Print_Titles" localSheetId="7">일위대가!$1:$4</definedName>
    <definedName name="_xlnm.Print_Titles" localSheetId="6">일위대가총괄표!$1:$3</definedName>
    <definedName name="_xlnm.Print_Titles" localSheetId="13">자재단가!$1:$4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9" i="15" l="1"/>
  <c r="J30" i="15" s="1"/>
  <c r="H73" i="17"/>
  <c r="K57" i="17"/>
  <c r="G57" i="17" s="1"/>
  <c r="K56" i="17"/>
  <c r="G56" i="17" s="1"/>
  <c r="K55" i="17"/>
  <c r="G55" i="17" s="1"/>
  <c r="K54" i="17"/>
  <c r="G54" i="17" s="1"/>
  <c r="K53" i="17"/>
  <c r="G53" i="17" s="1"/>
  <c r="K52" i="17"/>
  <c r="G52" i="17" s="1"/>
  <c r="K51" i="17"/>
  <c r="L51" i="17" s="1"/>
  <c r="H51" i="17" s="1"/>
  <c r="K50" i="17"/>
  <c r="G50" i="17" s="1"/>
  <c r="K49" i="17"/>
  <c r="G49" i="17" s="1"/>
  <c r="K48" i="17"/>
  <c r="G48" i="17" s="1"/>
  <c r="K47" i="17"/>
  <c r="G47" i="17" s="1"/>
  <c r="K46" i="17"/>
  <c r="G46" i="17" s="1"/>
  <c r="K45" i="17"/>
  <c r="G45" i="17" s="1"/>
  <c r="K44" i="17"/>
  <c r="G44" i="17" s="1"/>
  <c r="K43" i="17"/>
  <c r="L43" i="17" s="1"/>
  <c r="H43" i="17" s="1"/>
  <c r="K42" i="17"/>
  <c r="G42" i="17" s="1"/>
  <c r="K41" i="17"/>
  <c r="G41" i="17" s="1"/>
  <c r="K40" i="17"/>
  <c r="G40" i="17" s="1"/>
  <c r="K39" i="17"/>
  <c r="G39" i="17" s="1"/>
  <c r="K38" i="17"/>
  <c r="G38" i="17" s="1"/>
  <c r="K37" i="17"/>
  <c r="G37" i="17" s="1"/>
  <c r="K36" i="17"/>
  <c r="G36" i="17" s="1"/>
  <c r="K35" i="17"/>
  <c r="L35" i="17" s="1"/>
  <c r="H35" i="17" s="1"/>
  <c r="K34" i="17"/>
  <c r="G34" i="17" s="1"/>
  <c r="L33" i="17"/>
  <c r="H33" i="17" s="1"/>
  <c r="K33" i="17"/>
  <c r="G33" i="17" s="1"/>
  <c r="K32" i="17"/>
  <c r="G32" i="17" s="1"/>
  <c r="K31" i="17"/>
  <c r="G31" i="17" s="1"/>
  <c r="K30" i="17"/>
  <c r="G30" i="17" s="1"/>
  <c r="K29" i="17"/>
  <c r="K28" i="17"/>
  <c r="M27" i="17"/>
  <c r="N27" i="17" s="1"/>
  <c r="K27" i="17"/>
  <c r="L27" i="17" s="1"/>
  <c r="L22" i="17" s="1"/>
  <c r="I6" i="16" s="1"/>
  <c r="I27" i="17"/>
  <c r="M26" i="17"/>
  <c r="N26" i="17" s="1"/>
  <c r="K26" i="17"/>
  <c r="I26" i="17"/>
  <c r="M25" i="17"/>
  <c r="N25" i="17" s="1"/>
  <c r="K25" i="17"/>
  <c r="G25" i="17"/>
  <c r="I25" i="17"/>
  <c r="J25" i="17"/>
  <c r="M24" i="17"/>
  <c r="K24" i="17"/>
  <c r="J24" i="17"/>
  <c r="H24" i="17" s="1"/>
  <c r="I24" i="17"/>
  <c r="G24" i="17" s="1"/>
  <c r="M23" i="17"/>
  <c r="K23" i="17"/>
  <c r="I23" i="17"/>
  <c r="J23" i="17"/>
  <c r="M22" i="17"/>
  <c r="K22" i="17"/>
  <c r="I22" i="17"/>
  <c r="M21" i="17"/>
  <c r="K21" i="17"/>
  <c r="I21" i="17"/>
  <c r="M20" i="17"/>
  <c r="K20" i="17"/>
  <c r="I20" i="17"/>
  <c r="M19" i="17"/>
  <c r="N19" i="17"/>
  <c r="H19" i="17" s="1"/>
  <c r="K19" i="17"/>
  <c r="G19" i="17" s="1"/>
  <c r="I19" i="17"/>
  <c r="M18" i="17"/>
  <c r="N18" i="17" s="1"/>
  <c r="K18" i="17"/>
  <c r="L18" i="17" s="1"/>
  <c r="I18" i="17"/>
  <c r="G18" i="17" s="1"/>
  <c r="M17" i="17"/>
  <c r="N17" i="17" s="1"/>
  <c r="K17" i="17"/>
  <c r="L17" i="17"/>
  <c r="I17" i="17"/>
  <c r="J17" i="17" s="1"/>
  <c r="M16" i="17"/>
  <c r="N16" i="17"/>
  <c r="K16" i="17"/>
  <c r="L16" i="17"/>
  <c r="I16" i="17"/>
  <c r="J16" i="17"/>
  <c r="H16" i="17" s="1"/>
  <c r="M15" i="17"/>
  <c r="N15" i="17" s="1"/>
  <c r="K15" i="17"/>
  <c r="L15" i="17" s="1"/>
  <c r="I15" i="17"/>
  <c r="J15" i="17" s="1"/>
  <c r="M14" i="17"/>
  <c r="N14" i="17" s="1"/>
  <c r="K14" i="17"/>
  <c r="L14" i="17" s="1"/>
  <c r="I14" i="17"/>
  <c r="J14" i="17" s="1"/>
  <c r="M13" i="17"/>
  <c r="N13" i="17" s="1"/>
  <c r="K13" i="17"/>
  <c r="L13" i="17" s="1"/>
  <c r="J13" i="17"/>
  <c r="I13" i="17"/>
  <c r="M12" i="17"/>
  <c r="K12" i="17"/>
  <c r="I12" i="17"/>
  <c r="J12" i="17" s="1"/>
  <c r="H12" i="17" s="1"/>
  <c r="M11" i="17"/>
  <c r="N11" i="17" s="1"/>
  <c r="K11" i="17"/>
  <c r="L11" i="17" s="1"/>
  <c r="I11" i="17"/>
  <c r="J11" i="17" s="1"/>
  <c r="M10" i="17"/>
  <c r="K10" i="17"/>
  <c r="I10" i="17"/>
  <c r="G10" i="17" s="1"/>
  <c r="M9" i="17"/>
  <c r="G9" i="17"/>
  <c r="K9" i="17"/>
  <c r="L9" i="17" s="1"/>
  <c r="I9" i="17"/>
  <c r="J9" i="17" s="1"/>
  <c r="H9" i="17" s="1"/>
  <c r="M8" i="17"/>
  <c r="N8" i="17"/>
  <c r="K8" i="17"/>
  <c r="L8" i="17"/>
  <c r="I8" i="17"/>
  <c r="J8" i="17" s="1"/>
  <c r="M7" i="17"/>
  <c r="N7" i="17"/>
  <c r="K7" i="17"/>
  <c r="L7" i="17"/>
  <c r="I7" i="17"/>
  <c r="J7" i="17" s="1"/>
  <c r="H7" i="17" s="1"/>
  <c r="G22" i="16"/>
  <c r="L11" i="5"/>
  <c r="G31" i="5"/>
  <c r="L35" i="5"/>
  <c r="H35" i="5" s="1"/>
  <c r="G43" i="5"/>
  <c r="L47" i="5"/>
  <c r="H47" i="5" s="1"/>
  <c r="G55" i="5"/>
  <c r="L27" i="5"/>
  <c r="L22" i="5" s="1"/>
  <c r="I6" i="4" s="1"/>
  <c r="AC5" i="11"/>
  <c r="Z5" i="11" s="1"/>
  <c r="I8" i="11"/>
  <c r="AC11" i="11"/>
  <c r="AC10" i="11" s="1"/>
  <c r="I5" i="10" s="1"/>
  <c r="I14" i="11"/>
  <c r="K17" i="11"/>
  <c r="AC17" i="11" s="1"/>
  <c r="I20" i="11"/>
  <c r="AC23" i="11"/>
  <c r="Z23" i="11" s="1"/>
  <c r="AC24" i="11"/>
  <c r="Z24" i="11" s="1"/>
  <c r="I27" i="11"/>
  <c r="AC30" i="11"/>
  <c r="AC29" i="11"/>
  <c r="I8" i="10" s="1"/>
  <c r="P133" i="9" s="1"/>
  <c r="I33" i="11"/>
  <c r="AA33" i="11"/>
  <c r="AC36" i="11"/>
  <c r="Z36" i="11"/>
  <c r="AC37" i="11"/>
  <c r="I40" i="11"/>
  <c r="AC43" i="11"/>
  <c r="AC42" i="11"/>
  <c r="I10" i="10" s="1"/>
  <c r="P239" i="9" s="1"/>
  <c r="I46" i="11"/>
  <c r="AA46" i="11"/>
  <c r="E21" i="12"/>
  <c r="AA27" i="11"/>
  <c r="Z27" i="11" s="1"/>
  <c r="AA14" i="11"/>
  <c r="E22" i="12"/>
  <c r="E23" i="12"/>
  <c r="E24" i="12"/>
  <c r="E25" i="12"/>
  <c r="H73" i="5"/>
  <c r="G22" i="4"/>
  <c r="K10" i="9"/>
  <c r="AP14" i="9" s="1"/>
  <c r="Z10" i="9"/>
  <c r="AK10" i="9" s="1"/>
  <c r="AZ14" i="9" s="1"/>
  <c r="AD10" i="9"/>
  <c r="AZ10" i="9"/>
  <c r="AU14" i="9" s="1"/>
  <c r="L12" i="9"/>
  <c r="P12" i="9"/>
  <c r="U12" i="9"/>
  <c r="W12" i="9"/>
  <c r="AS12" i="9"/>
  <c r="AU16" i="9" s="1"/>
  <c r="L14" i="9"/>
  <c r="AI14" i="9" s="1"/>
  <c r="AK18" i="9"/>
  <c r="AK19" i="9"/>
  <c r="AK20" i="9"/>
  <c r="T25" i="9"/>
  <c r="AG25" i="9"/>
  <c r="AK25" i="9"/>
  <c r="AP25" i="9"/>
  <c r="AV25" i="9"/>
  <c r="BC25" i="9"/>
  <c r="K40" i="9"/>
  <c r="Z40" i="9"/>
  <c r="AG40" i="9"/>
  <c r="BC40" i="9"/>
  <c r="AU44" i="9" s="1"/>
  <c r="L42" i="9"/>
  <c r="Q42" i="9"/>
  <c r="W42" i="9"/>
  <c r="AP42" i="9"/>
  <c r="AU46" i="9" s="1"/>
  <c r="L44" i="9"/>
  <c r="AI44" i="9" s="1"/>
  <c r="AL48" i="9"/>
  <c r="AL49" i="9"/>
  <c r="AL50" i="9"/>
  <c r="T55" i="9"/>
  <c r="AV55" i="9" s="1"/>
  <c r="CY55" i="9" s="1"/>
  <c r="AG55" i="9"/>
  <c r="AP55" i="9"/>
  <c r="K59" i="9"/>
  <c r="AB59" i="9"/>
  <c r="AV63" i="9" s="1"/>
  <c r="AQ59" i="9"/>
  <c r="BG63" i="9" s="1"/>
  <c r="K61" i="9"/>
  <c r="AY65" i="9" s="1"/>
  <c r="AB61" i="9"/>
  <c r="BB63" i="9" s="1"/>
  <c r="AQ61" i="9"/>
  <c r="BL63" i="9" s="1"/>
  <c r="L63" i="9"/>
  <c r="AL63" i="9" s="1"/>
  <c r="L85" i="9"/>
  <c r="R85" i="9"/>
  <c r="Z85" i="9"/>
  <c r="T94" i="9"/>
  <c r="AG94" i="9"/>
  <c r="AO94" i="9"/>
  <c r="AH98" i="9"/>
  <c r="AJ109" i="9"/>
  <c r="AQ111" i="9"/>
  <c r="T115" i="9"/>
  <c r="AG115" i="9"/>
  <c r="AP115" i="9" s="1"/>
  <c r="U117" i="9"/>
  <c r="AH117" i="9"/>
  <c r="K123" i="9"/>
  <c r="AP127" i="9" s="1"/>
  <c r="Y123" i="9"/>
  <c r="AB123" i="9"/>
  <c r="AH123" i="9" s="1"/>
  <c r="BA127" i="9" s="1"/>
  <c r="AX123" i="9"/>
  <c r="AU127" i="9"/>
  <c r="K125" i="9"/>
  <c r="BG127" i="9" s="1"/>
  <c r="Y125" i="9"/>
  <c r="L127" i="9"/>
  <c r="AI127" i="9"/>
  <c r="AV129" i="9"/>
  <c r="K147" i="9"/>
  <c r="AR160" i="9" s="1"/>
  <c r="AB150" i="9"/>
  <c r="T156" i="9"/>
  <c r="AG156" i="9"/>
  <c r="AO156" i="9"/>
  <c r="AG160" i="9"/>
  <c r="K164" i="9"/>
  <c r="X164" i="9"/>
  <c r="AH164" i="9"/>
  <c r="BA168" i="9" s="1"/>
  <c r="AB164" i="9"/>
  <c r="AW164" i="9"/>
  <c r="AU168" i="9"/>
  <c r="K166" i="9"/>
  <c r="BG168" i="9" s="1"/>
  <c r="Y166" i="9"/>
  <c r="AV170" i="9"/>
  <c r="L168" i="9"/>
  <c r="AI168" i="9" s="1"/>
  <c r="AP168" i="9"/>
  <c r="K188" i="9"/>
  <c r="AB191" i="9" s="1"/>
  <c r="T197" i="9"/>
  <c r="AG197" i="9"/>
  <c r="AO197" i="9"/>
  <c r="AG201" i="9"/>
  <c r="K205" i="9"/>
  <c r="X205" i="9"/>
  <c r="AH205" i="9"/>
  <c r="BA209" i="9" s="1"/>
  <c r="AB205" i="9"/>
  <c r="AW205" i="9"/>
  <c r="AU209" i="9"/>
  <c r="K207" i="9"/>
  <c r="BG209" i="9" s="1"/>
  <c r="Y207" i="9"/>
  <c r="AV211" i="9" s="1"/>
  <c r="L209" i="9"/>
  <c r="AI209" i="9" s="1"/>
  <c r="K229" i="9"/>
  <c r="AP233" i="9" s="1"/>
  <c r="X229" i="9"/>
  <c r="AH229" i="9" s="1"/>
  <c r="BA233" i="9" s="1"/>
  <c r="AB229" i="9"/>
  <c r="AW229" i="9"/>
  <c r="AU233" i="9" s="1"/>
  <c r="K231" i="9"/>
  <c r="BG233" i="9" s="1"/>
  <c r="Y231" i="9"/>
  <c r="AV235" i="9" s="1"/>
  <c r="L233" i="9"/>
  <c r="AI233" i="9" s="1"/>
  <c r="I6" i="7"/>
  <c r="J6" i="7" s="1"/>
  <c r="H6" i="7" s="1"/>
  <c r="I7" i="7"/>
  <c r="I11" i="7"/>
  <c r="G11" i="7"/>
  <c r="I12" i="7"/>
  <c r="G12" i="7" s="1"/>
  <c r="I16" i="7"/>
  <c r="I17" i="7"/>
  <c r="J17" i="7" s="1"/>
  <c r="H17" i="7" s="1"/>
  <c r="I21" i="7"/>
  <c r="I22" i="7"/>
  <c r="G25" i="7"/>
  <c r="I25" i="7"/>
  <c r="J25" i="7" s="1"/>
  <c r="H25" i="7" s="1"/>
  <c r="I26" i="7"/>
  <c r="G26" i="7" s="1"/>
  <c r="I27" i="7"/>
  <c r="I28" i="7"/>
  <c r="J28" i="7" s="1"/>
  <c r="H28" i="7" s="1"/>
  <c r="G28" i="7"/>
  <c r="I29" i="7"/>
  <c r="G29" i="7" s="1"/>
  <c r="I33" i="7"/>
  <c r="J33" i="7" s="1"/>
  <c r="H33" i="7"/>
  <c r="I34" i="7"/>
  <c r="J34" i="7" s="1"/>
  <c r="I35" i="7"/>
  <c r="J35" i="7" s="1"/>
  <c r="H35" i="7" s="1"/>
  <c r="I36" i="7"/>
  <c r="J36" i="7" s="1"/>
  <c r="H36" i="7" s="1"/>
  <c r="I39" i="7"/>
  <c r="G39" i="7" s="1"/>
  <c r="J39" i="7"/>
  <c r="H39" i="7" s="1"/>
  <c r="I40" i="7"/>
  <c r="G40" i="7" s="1"/>
  <c r="I43" i="7"/>
  <c r="G44" i="7"/>
  <c r="I44" i="7"/>
  <c r="J44" i="7" s="1"/>
  <c r="H44" i="7" s="1"/>
  <c r="I47" i="7"/>
  <c r="G47" i="7" s="1"/>
  <c r="I48" i="7"/>
  <c r="I49" i="7"/>
  <c r="I50" i="7"/>
  <c r="J50" i="7" s="1"/>
  <c r="H50" i="7" s="1"/>
  <c r="G51" i="7"/>
  <c r="N51" i="7"/>
  <c r="N46" i="7"/>
  <c r="I12" i="6"/>
  <c r="N25" i="5"/>
  <c r="I54" i="7"/>
  <c r="I55" i="7"/>
  <c r="G55" i="7"/>
  <c r="J55" i="7"/>
  <c r="H55" i="7" s="1"/>
  <c r="I56" i="7"/>
  <c r="G56" i="7"/>
  <c r="J56" i="7"/>
  <c r="H56" i="7" s="1"/>
  <c r="I57" i="7"/>
  <c r="G58" i="7"/>
  <c r="N58" i="7"/>
  <c r="H58" i="7" s="1"/>
  <c r="I61" i="7"/>
  <c r="N27" i="5"/>
  <c r="G63" i="7"/>
  <c r="N63" i="7"/>
  <c r="H63" i="7" s="1"/>
  <c r="R5" i="13"/>
  <c r="J6" i="11"/>
  <c r="AB6" i="11" s="1"/>
  <c r="R6" i="13"/>
  <c r="R7" i="13"/>
  <c r="U98" i="9" s="1"/>
  <c r="R8" i="13"/>
  <c r="AA109" i="9" s="1"/>
  <c r="AR109" i="9" s="1"/>
  <c r="R9" i="13"/>
  <c r="AF111" i="9" s="1"/>
  <c r="BA111" i="9" s="1"/>
  <c r="R10" i="13"/>
  <c r="U160" i="9" s="1"/>
  <c r="BA160" i="9" s="1"/>
  <c r="CZ160" i="9" s="1"/>
  <c r="AA180" i="9" s="1"/>
  <c r="R11" i="13"/>
  <c r="R12" i="13"/>
  <c r="N20" i="5"/>
  <c r="H20" i="5" s="1"/>
  <c r="R13" i="13"/>
  <c r="K62" i="7" s="1"/>
  <c r="G62" i="7" s="1"/>
  <c r="R14" i="13"/>
  <c r="G30" i="5"/>
  <c r="R15" i="13"/>
  <c r="R16" i="13"/>
  <c r="R17" i="13"/>
  <c r="L33" i="5"/>
  <c r="H33" i="5" s="1"/>
  <c r="R18" i="13"/>
  <c r="G34" i="5"/>
  <c r="L34" i="5"/>
  <c r="H34" i="5" s="1"/>
  <c r="R19" i="13"/>
  <c r="R20" i="13"/>
  <c r="R21" i="13"/>
  <c r="G37" i="5"/>
  <c r="R22" i="13"/>
  <c r="L38" i="5"/>
  <c r="H38" i="5" s="1"/>
  <c r="R23" i="13"/>
  <c r="G39" i="5"/>
  <c r="R24" i="13"/>
  <c r="R25" i="13"/>
  <c r="G41" i="5"/>
  <c r="L41" i="5"/>
  <c r="H41" i="5" s="1"/>
  <c r="R26" i="13"/>
  <c r="G42" i="5"/>
  <c r="R27" i="13"/>
  <c r="R28" i="13"/>
  <c r="R29" i="13"/>
  <c r="R30" i="13"/>
  <c r="G46" i="5"/>
  <c r="R31" i="13"/>
  <c r="R32" i="13"/>
  <c r="R33" i="13"/>
  <c r="L49" i="5"/>
  <c r="H49" i="5"/>
  <c r="R34" i="13"/>
  <c r="L50" i="5"/>
  <c r="H50" i="5" s="1"/>
  <c r="R35" i="13"/>
  <c r="R36" i="13"/>
  <c r="G52" i="5"/>
  <c r="R37" i="13"/>
  <c r="G53" i="5"/>
  <c r="R38" i="13"/>
  <c r="R39" i="13"/>
  <c r="R40" i="13"/>
  <c r="L56" i="5"/>
  <c r="H56" i="5" s="1"/>
  <c r="R41" i="13"/>
  <c r="G50" i="5"/>
  <c r="L42" i="5"/>
  <c r="H42" i="5" s="1"/>
  <c r="J29" i="7"/>
  <c r="H29" i="7" s="1"/>
  <c r="AB151" i="9"/>
  <c r="AA22" i="11"/>
  <c r="G7" i="10" s="1"/>
  <c r="P87" i="9" s="1"/>
  <c r="AB190" i="9"/>
  <c r="J11" i="7"/>
  <c r="H11" i="7" s="1"/>
  <c r="G20" i="5"/>
  <c r="G38" i="5"/>
  <c r="AB149" i="9"/>
  <c r="AV156" i="9"/>
  <c r="N19" i="5"/>
  <c r="H19" i="5" s="1"/>
  <c r="G47" i="5"/>
  <c r="L46" i="5"/>
  <c r="H46" i="5" s="1"/>
  <c r="L53" i="5"/>
  <c r="H53" i="5" s="1"/>
  <c r="L37" i="5"/>
  <c r="H37" i="5"/>
  <c r="J44" i="11"/>
  <c r="AB44" i="11" s="1"/>
  <c r="Z44" i="11" s="1"/>
  <c r="G33" i="7"/>
  <c r="L52" i="5"/>
  <c r="H52" i="5" s="1"/>
  <c r="AS63" i="9"/>
  <c r="Z43" i="11"/>
  <c r="Z30" i="11"/>
  <c r="Z11" i="11"/>
  <c r="AA29" i="11"/>
  <c r="G8" i="10" s="1"/>
  <c r="P131" i="9" s="1"/>
  <c r="Z33" i="11"/>
  <c r="L57" i="5"/>
  <c r="H57" i="5" s="1"/>
  <c r="G57" i="5"/>
  <c r="G33" i="5"/>
  <c r="AA10" i="11"/>
  <c r="Z14" i="11"/>
  <c r="P215" i="9"/>
  <c r="P20" i="9"/>
  <c r="N9" i="5"/>
  <c r="L31" i="5"/>
  <c r="H31" i="5" s="1"/>
  <c r="G49" i="5"/>
  <c r="Z46" i="11"/>
  <c r="AA42" i="11"/>
  <c r="G10" i="10" s="1"/>
  <c r="L39" i="5"/>
  <c r="H39" i="5" s="1"/>
  <c r="AP44" i="9"/>
  <c r="AC22" i="11"/>
  <c r="I7" i="10" s="1"/>
  <c r="P89" i="9" s="1"/>
  <c r="AC4" i="11"/>
  <c r="I4" i="10"/>
  <c r="H51" i="7"/>
  <c r="AA8" i="11"/>
  <c r="AA40" i="11"/>
  <c r="AA35" i="11"/>
  <c r="G9" i="10" s="1"/>
  <c r="P149" i="9" s="1"/>
  <c r="AK149" i="9" s="1"/>
  <c r="AA20" i="11"/>
  <c r="AA16" i="11" s="1"/>
  <c r="G6" i="10" s="1"/>
  <c r="P67" i="9" s="1"/>
  <c r="L8" i="5"/>
  <c r="Z40" i="11"/>
  <c r="N7" i="5"/>
  <c r="M13" i="7"/>
  <c r="N13" i="7" s="1"/>
  <c r="N10" i="7" s="1"/>
  <c r="I5" i="6" s="1"/>
  <c r="N8" i="5"/>
  <c r="N11" i="5"/>
  <c r="G5" i="10"/>
  <c r="H13" i="17"/>
  <c r="G14" i="17"/>
  <c r="G16" i="17"/>
  <c r="N9" i="17"/>
  <c r="J18" i="17"/>
  <c r="N20" i="17"/>
  <c r="H20" i="17" s="1"/>
  <c r="G26" i="17"/>
  <c r="J26" i="17"/>
  <c r="H26" i="17"/>
  <c r="G27" i="17"/>
  <c r="G7" i="17"/>
  <c r="G8" i="17"/>
  <c r="G15" i="17"/>
  <c r="G17" i="17"/>
  <c r="J27" i="17"/>
  <c r="J22" i="17" s="1"/>
  <c r="L30" i="17"/>
  <c r="L32" i="17"/>
  <c r="H32" i="17" s="1"/>
  <c r="L34" i="17"/>
  <c r="H34" i="17" s="1"/>
  <c r="L36" i="17"/>
  <c r="H36" i="17" s="1"/>
  <c r="L38" i="17"/>
  <c r="H38" i="17" s="1"/>
  <c r="L42" i="17"/>
  <c r="H42" i="17" s="1"/>
  <c r="L44" i="17"/>
  <c r="H44" i="17"/>
  <c r="L46" i="17"/>
  <c r="H46" i="17" s="1"/>
  <c r="L48" i="17"/>
  <c r="H48" i="17"/>
  <c r="L50" i="17"/>
  <c r="H50" i="17" s="1"/>
  <c r="L52" i="17"/>
  <c r="H52" i="17" s="1"/>
  <c r="L54" i="17"/>
  <c r="H54" i="17" s="1"/>
  <c r="L56" i="17"/>
  <c r="H56" i="17"/>
  <c r="H23" i="17"/>
  <c r="L55" i="5"/>
  <c r="H55" i="5" s="1"/>
  <c r="L43" i="5"/>
  <c r="H43" i="5"/>
  <c r="G35" i="5"/>
  <c r="G19" i="5"/>
  <c r="L7" i="5"/>
  <c r="L18" i="5"/>
  <c r="J9" i="5"/>
  <c r="N15" i="5"/>
  <c r="G34" i="7"/>
  <c r="G56" i="5"/>
  <c r="L45" i="5"/>
  <c r="H45" i="5" s="1"/>
  <c r="G45" i="5"/>
  <c r="N18" i="5"/>
  <c r="L54" i="5"/>
  <c r="H54" i="5" s="1"/>
  <c r="G54" i="5"/>
  <c r="G44" i="5"/>
  <c r="L44" i="5"/>
  <c r="H44" i="5" s="1"/>
  <c r="L32" i="5"/>
  <c r="H32" i="5" s="1"/>
  <c r="G32" i="5"/>
  <c r="L30" i="5"/>
  <c r="L51" i="5"/>
  <c r="H51" i="5" s="1"/>
  <c r="G51" i="5"/>
  <c r="L48" i="5"/>
  <c r="H48" i="5" s="1"/>
  <c r="G48" i="5"/>
  <c r="G40" i="5"/>
  <c r="L40" i="5"/>
  <c r="H40" i="5" s="1"/>
  <c r="J40" i="7"/>
  <c r="J38" i="7" s="1"/>
  <c r="Z37" i="11"/>
  <c r="AC35" i="11"/>
  <c r="I9" i="10"/>
  <c r="P151" i="9" s="1"/>
  <c r="AL151" i="9" s="1"/>
  <c r="DA152" i="9" s="1"/>
  <c r="Q181" i="9" s="1"/>
  <c r="N26" i="5"/>
  <c r="N22" i="5" s="1"/>
  <c r="J6" i="4" s="1"/>
  <c r="G7" i="7"/>
  <c r="J7" i="7"/>
  <c r="H7" i="7" s="1"/>
  <c r="G36" i="5"/>
  <c r="L36" i="5"/>
  <c r="H36" i="5" s="1"/>
  <c r="J12" i="7"/>
  <c r="J38" i="11"/>
  <c r="AB38" i="11" s="1"/>
  <c r="Z38" i="11" s="1"/>
  <c r="J12" i="11"/>
  <c r="AB12" i="11" s="1"/>
  <c r="J31" i="11"/>
  <c r="AB31" i="11" s="1"/>
  <c r="J32" i="11" s="1"/>
  <c r="AB32" i="11" s="1"/>
  <c r="J25" i="11"/>
  <c r="AB25" i="11"/>
  <c r="K7" i="12"/>
  <c r="G57" i="7"/>
  <c r="J57" i="7"/>
  <c r="H57" i="7" s="1"/>
  <c r="G21" i="7"/>
  <c r="J21" i="7"/>
  <c r="BF156" i="9"/>
  <c r="CY156" i="9" s="1"/>
  <c r="AD12" i="9"/>
  <c r="BF14" i="9" s="1"/>
  <c r="H30" i="17"/>
  <c r="H21" i="7"/>
  <c r="Z31" i="11"/>
  <c r="H40" i="7"/>
  <c r="J39" i="11"/>
  <c r="AB39" i="11" s="1"/>
  <c r="Z39" i="11" s="1"/>
  <c r="H12" i="7"/>
  <c r="P192" i="9"/>
  <c r="AL192" i="9" s="1"/>
  <c r="DA193" i="9" s="1"/>
  <c r="Q222" i="9" s="1"/>
  <c r="J13" i="11"/>
  <c r="AB13" i="11" s="1"/>
  <c r="Z13" i="11" s="1"/>
  <c r="H34" i="7"/>
  <c r="N16" i="5"/>
  <c r="N14" i="5"/>
  <c r="G18" i="5"/>
  <c r="J18" i="5"/>
  <c r="H18" i="5" s="1"/>
  <c r="N17" i="5"/>
  <c r="N13" i="5"/>
  <c r="J27" i="5"/>
  <c r="H27" i="5" s="1"/>
  <c r="G27" i="5"/>
  <c r="J24" i="5"/>
  <c r="H24" i="5" s="1"/>
  <c r="G24" i="5"/>
  <c r="J15" i="5"/>
  <c r="L13" i="5"/>
  <c r="H13" i="5" s="1"/>
  <c r="G7" i="5"/>
  <c r="J7" i="5"/>
  <c r="H7" i="5" s="1"/>
  <c r="J26" i="5"/>
  <c r="H26" i="5" s="1"/>
  <c r="G26" i="5"/>
  <c r="J10" i="5"/>
  <c r="H10" i="5" s="1"/>
  <c r="G10" i="5"/>
  <c r="J23" i="5"/>
  <c r="H23" i="5" s="1"/>
  <c r="G23" i="5"/>
  <c r="J12" i="5"/>
  <c r="H12" i="5" s="1"/>
  <c r="G12" i="5"/>
  <c r="G25" i="5"/>
  <c r="J25" i="5"/>
  <c r="H25" i="5"/>
  <c r="G8" i="5"/>
  <c r="J8" i="5"/>
  <c r="H8" i="5"/>
  <c r="G11" i="5"/>
  <c r="J11" i="5"/>
  <c r="H11" i="5" s="1"/>
  <c r="G12" i="16"/>
  <c r="H63" i="17"/>
  <c r="H64" i="17"/>
  <c r="G13" i="16"/>
  <c r="J17" i="5"/>
  <c r="G16" i="16"/>
  <c r="H67" i="17"/>
  <c r="H65" i="17"/>
  <c r="G14" i="16"/>
  <c r="J16" i="5"/>
  <c r="J14" i="5"/>
  <c r="L9" i="5"/>
  <c r="H9" i="5" s="1"/>
  <c r="G9" i="5"/>
  <c r="G13" i="5"/>
  <c r="J13" i="5"/>
  <c r="L14" i="5"/>
  <c r="L6" i="5" s="1"/>
  <c r="G14" i="5"/>
  <c r="L16" i="5"/>
  <c r="G16" i="5"/>
  <c r="L17" i="5"/>
  <c r="H17" i="5" s="1"/>
  <c r="G17" i="5"/>
  <c r="L15" i="5"/>
  <c r="H15" i="5" s="1"/>
  <c r="G15" i="5"/>
  <c r="H38" i="7" l="1"/>
  <c r="G10" i="6"/>
  <c r="F10" i="6" s="1"/>
  <c r="AB179" i="9"/>
  <c r="CX156" i="9"/>
  <c r="H17" i="17"/>
  <c r="CX55" i="9"/>
  <c r="AA74" i="9"/>
  <c r="R119" i="9"/>
  <c r="CY119" i="9" s="1"/>
  <c r="AB138" i="9" s="1"/>
  <c r="L6" i="17"/>
  <c r="I5" i="16" s="1"/>
  <c r="G50" i="7"/>
  <c r="L40" i="17"/>
  <c r="H40" i="17" s="1"/>
  <c r="J26" i="7"/>
  <c r="H26" i="7" s="1"/>
  <c r="AA42" i="9"/>
  <c r="BF44" i="9" s="1"/>
  <c r="N6" i="17"/>
  <c r="G23" i="17"/>
  <c r="N22" i="17"/>
  <c r="J6" i="16" s="1"/>
  <c r="L53" i="17"/>
  <c r="H53" i="17" s="1"/>
  <c r="AD85" i="9"/>
  <c r="AB89" i="9" s="1"/>
  <c r="L41" i="17"/>
  <c r="H41" i="17" s="1"/>
  <c r="G6" i="7"/>
  <c r="G35" i="7"/>
  <c r="N53" i="7"/>
  <c r="I13" i="6" s="1"/>
  <c r="G13" i="17"/>
  <c r="N6" i="5"/>
  <c r="N5" i="5" s="1"/>
  <c r="J47" i="7"/>
  <c r="J10" i="17"/>
  <c r="H10" i="17" s="1"/>
  <c r="L29" i="5"/>
  <c r="G11" i="17"/>
  <c r="L49" i="17"/>
  <c r="H49" i="17" s="1"/>
  <c r="L62" i="7"/>
  <c r="BL15" i="9"/>
  <c r="G36" i="7"/>
  <c r="R113" i="9"/>
  <c r="CZ113" i="9" s="1"/>
  <c r="AA139" i="9" s="1"/>
  <c r="G12" i="17"/>
  <c r="G20" i="17"/>
  <c r="L37" i="17"/>
  <c r="H37" i="17" s="1"/>
  <c r="BQ64" i="9"/>
  <c r="AB67" i="9" s="1"/>
  <c r="H18" i="17"/>
  <c r="J45" i="11"/>
  <c r="AB45" i="11" s="1"/>
  <c r="Z45" i="11" s="1"/>
  <c r="J6" i="5"/>
  <c r="H6" i="5" s="1"/>
  <c r="BO169" i="9"/>
  <c r="Z20" i="11"/>
  <c r="N60" i="7"/>
  <c r="I14" i="6" s="1"/>
  <c r="AQ117" i="9"/>
  <c r="H25" i="17"/>
  <c r="L57" i="17"/>
  <c r="H57" i="17" s="1"/>
  <c r="AK89" i="9"/>
  <c r="DA90" i="9" s="1"/>
  <c r="R104" i="9" s="1"/>
  <c r="DA105" i="9" s="1"/>
  <c r="Q140" i="9" s="1"/>
  <c r="H8" i="17"/>
  <c r="L45" i="17"/>
  <c r="H45" i="17" s="1"/>
  <c r="J5" i="16"/>
  <c r="L5" i="5"/>
  <c r="I5" i="4"/>
  <c r="AB69" i="9"/>
  <c r="Z32" i="11"/>
  <c r="AB29" i="11"/>
  <c r="J26" i="11"/>
  <c r="AB26" i="11" s="1"/>
  <c r="Z26" i="11" s="1"/>
  <c r="AB22" i="11"/>
  <c r="Z25" i="11"/>
  <c r="H6" i="16"/>
  <c r="H22" i="17"/>
  <c r="H47" i="7"/>
  <c r="H62" i="7"/>
  <c r="L60" i="7"/>
  <c r="H14" i="6" s="1"/>
  <c r="F4" i="3"/>
  <c r="H29" i="5"/>
  <c r="H14" i="5"/>
  <c r="H30" i="5"/>
  <c r="AB10" i="11"/>
  <c r="Z12" i="11"/>
  <c r="I7" i="4"/>
  <c r="G7" i="4" s="1"/>
  <c r="P237" i="9"/>
  <c r="AB87" i="9"/>
  <c r="AK87" i="9"/>
  <c r="AR98" i="9"/>
  <c r="BA98" i="9"/>
  <c r="CZ98" i="9" s="1"/>
  <c r="BI25" i="9"/>
  <c r="CY25" i="9" s="1"/>
  <c r="AC16" i="11"/>
  <c r="I6" i="10" s="1"/>
  <c r="S69" i="9" s="1"/>
  <c r="AK69" i="9" s="1"/>
  <c r="DA70" i="9" s="1"/>
  <c r="W76" i="9" s="1"/>
  <c r="Z17" i="11"/>
  <c r="H14" i="17"/>
  <c r="J32" i="7"/>
  <c r="G22" i="7"/>
  <c r="J22" i="7"/>
  <c r="H22" i="7" s="1"/>
  <c r="AB35" i="11"/>
  <c r="J20" i="7"/>
  <c r="G27" i="7"/>
  <c r="J27" i="7"/>
  <c r="G17" i="7"/>
  <c r="P48" i="9"/>
  <c r="P213" i="9"/>
  <c r="P172" i="9"/>
  <c r="I18" i="7"/>
  <c r="H16" i="5"/>
  <c r="CX160" i="9"/>
  <c r="P190" i="9"/>
  <c r="AK190" i="9" s="1"/>
  <c r="AA4" i="11"/>
  <c r="Z8" i="11"/>
  <c r="J22" i="5"/>
  <c r="H27" i="17"/>
  <c r="CY152" i="9"/>
  <c r="J49" i="7"/>
  <c r="H49" i="7" s="1"/>
  <c r="G49" i="7"/>
  <c r="G43" i="7"/>
  <c r="J43" i="7"/>
  <c r="P18" i="9"/>
  <c r="AQ18" i="9" s="1"/>
  <c r="U201" i="9"/>
  <c r="BA201" i="9" s="1"/>
  <c r="CZ201" i="9" s="1"/>
  <c r="G54" i="7"/>
  <c r="J54" i="7"/>
  <c r="G48" i="7"/>
  <c r="J48" i="7"/>
  <c r="H48" i="7" s="1"/>
  <c r="AB42" i="11"/>
  <c r="H10" i="10" s="1"/>
  <c r="P238" i="9" s="1"/>
  <c r="J7" i="11"/>
  <c r="AB7" i="11" s="1"/>
  <c r="Z7" i="11" s="1"/>
  <c r="Z6" i="11"/>
  <c r="J61" i="7"/>
  <c r="G61" i="7"/>
  <c r="BN234" i="9"/>
  <c r="J16" i="7"/>
  <c r="G16" i="7"/>
  <c r="BO128" i="9"/>
  <c r="AL131" i="9" s="1"/>
  <c r="AN40" i="9"/>
  <c r="P174" i="9"/>
  <c r="AK174" i="9" s="1"/>
  <c r="DA175" i="9" s="1"/>
  <c r="Y181" i="9" s="1"/>
  <c r="M18" i="7"/>
  <c r="N18" i="7" s="1"/>
  <c r="N15" i="7" s="1"/>
  <c r="I6" i="6" s="1"/>
  <c r="P50" i="9"/>
  <c r="M8" i="7"/>
  <c r="N8" i="7" s="1"/>
  <c r="N5" i="7" s="1"/>
  <c r="I4" i="6" s="1"/>
  <c r="M30" i="7"/>
  <c r="N30" i="7" s="1"/>
  <c r="N24" i="7" s="1"/>
  <c r="I8" i="6" s="1"/>
  <c r="BF197" i="9"/>
  <c r="CY197" i="9" s="1"/>
  <c r="AB192" i="9"/>
  <c r="AR201" i="9"/>
  <c r="AV197" i="9"/>
  <c r="H11" i="17"/>
  <c r="H15" i="17"/>
  <c r="J18" i="11"/>
  <c r="AB18" i="11" s="1"/>
  <c r="K8" i="12"/>
  <c r="BO210" i="9"/>
  <c r="AP209" i="9"/>
  <c r="L31" i="17"/>
  <c r="L39" i="17"/>
  <c r="H39" i="17" s="1"/>
  <c r="L47" i="17"/>
  <c r="H47" i="17" s="1"/>
  <c r="L55" i="17"/>
  <c r="H55" i="17" s="1"/>
  <c r="G35" i="17"/>
  <c r="G43" i="17"/>
  <c r="G51" i="17"/>
  <c r="AB18" i="9" l="1"/>
  <c r="AS20" i="9"/>
  <c r="DA21" i="9" s="1"/>
  <c r="Q31" i="9" s="1"/>
  <c r="DA32" i="9" s="1"/>
  <c r="DA4" i="9" s="1"/>
  <c r="I4" i="8" s="1"/>
  <c r="AB19" i="9"/>
  <c r="AB20" i="9"/>
  <c r="J5" i="4"/>
  <c r="G6" i="16"/>
  <c r="AB68" i="9"/>
  <c r="AK172" i="9"/>
  <c r="BF94" i="9"/>
  <c r="CY94" i="9" s="1"/>
  <c r="H5" i="4"/>
  <c r="G5" i="4" s="1"/>
  <c r="J5" i="5"/>
  <c r="H4" i="4" s="1"/>
  <c r="AH67" i="9"/>
  <c r="J6" i="17"/>
  <c r="N5" i="17"/>
  <c r="AV94" i="9"/>
  <c r="AB88" i="9"/>
  <c r="AB174" i="9"/>
  <c r="AB173" i="9"/>
  <c r="AB172" i="9"/>
  <c r="CY134" i="9"/>
  <c r="J59" i="5"/>
  <c r="AB214" i="9"/>
  <c r="AB215" i="9"/>
  <c r="AB213" i="9"/>
  <c r="AN238" i="9"/>
  <c r="CZ240" i="9" s="1"/>
  <c r="Q245" i="9" s="1"/>
  <c r="CZ247" i="9" s="1"/>
  <c r="CZ225" i="9" s="1"/>
  <c r="H9" i="8" s="1"/>
  <c r="CY193" i="9"/>
  <c r="H32" i="7"/>
  <c r="G9" i="6"/>
  <c r="F9" i="6" s="1"/>
  <c r="AB220" i="9"/>
  <c r="CX197" i="9"/>
  <c r="H61" i="7"/>
  <c r="J60" i="7"/>
  <c r="AB16" i="11"/>
  <c r="Z18" i="11"/>
  <c r="J19" i="11"/>
  <c r="AB19" i="11" s="1"/>
  <c r="Z19" i="11" s="1"/>
  <c r="AK215" i="9"/>
  <c r="DA216" i="9" s="1"/>
  <c r="J42" i="7"/>
  <c r="H43" i="7"/>
  <c r="G4" i="10"/>
  <c r="AB4" i="11"/>
  <c r="H4" i="10" s="1"/>
  <c r="H27" i="7"/>
  <c r="AB132" i="9"/>
  <c r="AB133" i="9"/>
  <c r="AB131" i="9"/>
  <c r="AN133" i="9"/>
  <c r="DA134" i="9" s="1"/>
  <c r="H5" i="16"/>
  <c r="G5" i="16" s="1"/>
  <c r="J5" i="17"/>
  <c r="H6" i="17"/>
  <c r="H16" i="7"/>
  <c r="Z42" i="11"/>
  <c r="CY90" i="9"/>
  <c r="H5" i="10"/>
  <c r="Z10" i="11"/>
  <c r="AB239" i="9"/>
  <c r="AB238" i="9"/>
  <c r="AL239" i="9"/>
  <c r="DA240" i="9" s="1"/>
  <c r="Q246" i="9" s="1"/>
  <c r="DA247" i="9" s="1"/>
  <c r="DA225" i="9" s="1"/>
  <c r="I9" i="8" s="1"/>
  <c r="AB237" i="9"/>
  <c r="H54" i="7"/>
  <c r="J53" i="7"/>
  <c r="Q179" i="9"/>
  <c r="H20" i="7"/>
  <c r="G7" i="6"/>
  <c r="F7" i="6" s="1"/>
  <c r="CY70" i="9"/>
  <c r="H7" i="10"/>
  <c r="Z22" i="11"/>
  <c r="AJ181" i="9"/>
  <c r="DA182" i="9" s="1"/>
  <c r="DA143" i="9" s="1"/>
  <c r="I7" i="8" s="1"/>
  <c r="J18" i="7"/>
  <c r="H9" i="10"/>
  <c r="Z35" i="11"/>
  <c r="AL237" i="9"/>
  <c r="CX201" i="9"/>
  <c r="AA221" i="9"/>
  <c r="H6" i="4"/>
  <c r="G6" i="4" s="1"/>
  <c r="H22" i="5"/>
  <c r="CY175" i="9"/>
  <c r="CX25" i="9"/>
  <c r="AA29" i="9"/>
  <c r="F10" i="10"/>
  <c r="H8" i="10"/>
  <c r="Z29" i="11"/>
  <c r="I4" i="4"/>
  <c r="L59" i="5"/>
  <c r="H31" i="17"/>
  <c r="L29" i="17"/>
  <c r="CY21" i="9"/>
  <c r="AK213" i="9"/>
  <c r="AC102" i="9"/>
  <c r="CX94" i="9"/>
  <c r="J46" i="7"/>
  <c r="AZ44" i="9"/>
  <c r="BL45" i="9"/>
  <c r="CX98" i="9"/>
  <c r="Z103" i="9"/>
  <c r="N59" i="5"/>
  <c r="J4" i="4"/>
  <c r="N59" i="17"/>
  <c r="J4" i="16"/>
  <c r="H5" i="5" l="1"/>
  <c r="CY240" i="9"/>
  <c r="AH240" i="9"/>
  <c r="F7" i="10"/>
  <c r="P88" i="9"/>
  <c r="AL88" i="9" s="1"/>
  <c r="G13" i="6"/>
  <c r="F13" i="6" s="1"/>
  <c r="H53" i="7"/>
  <c r="AN102" i="9"/>
  <c r="R102" i="9"/>
  <c r="AB140" i="9"/>
  <c r="AM140" i="9"/>
  <c r="DA141" i="9" s="1"/>
  <c r="DA79" i="9" s="1"/>
  <c r="I6" i="8" s="1"/>
  <c r="Z4" i="11"/>
  <c r="L5" i="17"/>
  <c r="H29" i="17"/>
  <c r="F4" i="15"/>
  <c r="I7" i="16"/>
  <c r="G7" i="16" s="1"/>
  <c r="AK74" i="9"/>
  <c r="J8" i="16"/>
  <c r="F11" i="15"/>
  <c r="G11" i="6"/>
  <c r="F11" i="6" s="1"/>
  <c r="H42" i="7"/>
  <c r="AB48" i="9"/>
  <c r="AB49" i="9"/>
  <c r="AB50" i="9"/>
  <c r="Y222" i="9"/>
  <c r="AJ222" i="9"/>
  <c r="DA223" i="9" s="1"/>
  <c r="DA184" i="9" s="1"/>
  <c r="I8" i="8" s="1"/>
  <c r="H8" i="4"/>
  <c r="F8" i="3"/>
  <c r="H59" i="5"/>
  <c r="I8" i="4"/>
  <c r="F5" i="3"/>
  <c r="F7" i="3" s="1"/>
  <c r="F11" i="3"/>
  <c r="J8" i="4"/>
  <c r="J15" i="7"/>
  <c r="AJ179" i="9"/>
  <c r="Q150" i="9"/>
  <c r="AL150" i="9" s="1"/>
  <c r="Q191" i="9"/>
  <c r="AL191" i="9" s="1"/>
  <c r="F9" i="10"/>
  <c r="AS50" i="9"/>
  <c r="DA51" i="9" s="1"/>
  <c r="AU179" i="9"/>
  <c r="Q220" i="9"/>
  <c r="G4" i="4"/>
  <c r="AL29" i="9"/>
  <c r="Q29" i="9"/>
  <c r="G12" i="6"/>
  <c r="F12" i="6" s="1"/>
  <c r="H46" i="7"/>
  <c r="J59" i="17"/>
  <c r="H4" i="16"/>
  <c r="H5" i="17"/>
  <c r="K13" i="7"/>
  <c r="L13" i="7" s="1"/>
  <c r="L10" i="7" s="1"/>
  <c r="H5" i="6" s="1"/>
  <c r="K8" i="7"/>
  <c r="L8" i="7" s="1"/>
  <c r="L5" i="7" s="1"/>
  <c r="H4" i="6" s="1"/>
  <c r="K30" i="7"/>
  <c r="L30" i="7" s="1"/>
  <c r="L24" i="7" s="1"/>
  <c r="H8" i="6" s="1"/>
  <c r="Z16" i="11"/>
  <c r="H6" i="10"/>
  <c r="AM138" i="9"/>
  <c r="CY216" i="9"/>
  <c r="P132" i="9"/>
  <c r="AN132" i="9" s="1"/>
  <c r="F8" i="10"/>
  <c r="AS48" i="9"/>
  <c r="Q173" i="9"/>
  <c r="AM173" i="9" s="1"/>
  <c r="K18" i="7"/>
  <c r="Q214" i="9"/>
  <c r="AM214" i="9" s="1"/>
  <c r="CZ216" i="9" s="1"/>
  <c r="AG221" i="9" s="1"/>
  <c r="F5" i="10"/>
  <c r="Q49" i="9"/>
  <c r="AS49" i="9" s="1"/>
  <c r="CZ51" i="9" s="1"/>
  <c r="Q19" i="9"/>
  <c r="AS19" i="9" s="1"/>
  <c r="I13" i="7"/>
  <c r="I8" i="7"/>
  <c r="I30" i="7"/>
  <c r="F4" i="10"/>
  <c r="H60" i="7"/>
  <c r="G14" i="6"/>
  <c r="F14" i="6" s="1"/>
  <c r="CZ21" i="9" l="1"/>
  <c r="AM21" i="9"/>
  <c r="CY32" i="9"/>
  <c r="F18" i="3"/>
  <c r="H70" i="5"/>
  <c r="F19" i="3"/>
  <c r="F20" i="3"/>
  <c r="G19" i="4"/>
  <c r="CZ193" i="9"/>
  <c r="AG193" i="9"/>
  <c r="AG216" i="9"/>
  <c r="CY105" i="9"/>
  <c r="CX216" i="9"/>
  <c r="AJ220" i="9"/>
  <c r="CZ152" i="9"/>
  <c r="AG152" i="9"/>
  <c r="L18" i="7"/>
  <c r="G18" i="7"/>
  <c r="F8" i="15"/>
  <c r="H8" i="16"/>
  <c r="AU220" i="9"/>
  <c r="F9" i="3"/>
  <c r="F10" i="3" s="1"/>
  <c r="F15" i="3"/>
  <c r="F14" i="3"/>
  <c r="I4" i="16"/>
  <c r="G4" i="16" s="1"/>
  <c r="L59" i="17"/>
  <c r="Q75" i="9"/>
  <c r="G30" i="7"/>
  <c r="J30" i="7"/>
  <c r="CZ175" i="9"/>
  <c r="AG175" i="9"/>
  <c r="Q68" i="9"/>
  <c r="AJ68" i="9" s="1"/>
  <c r="F6" i="10"/>
  <c r="G6" i="6"/>
  <c r="G8" i="4"/>
  <c r="CZ90" i="9"/>
  <c r="AG90" i="9"/>
  <c r="J8" i="7"/>
  <c r="G8" i="7"/>
  <c r="CY51" i="9"/>
  <c r="AM51" i="9"/>
  <c r="CY182" i="9"/>
  <c r="G13" i="7"/>
  <c r="J13" i="7"/>
  <c r="AE76" i="9"/>
  <c r="DA77" i="9" s="1"/>
  <c r="DA34" i="9" s="1"/>
  <c r="I5" i="8" s="1"/>
  <c r="Q76" i="9"/>
  <c r="CZ134" i="9"/>
  <c r="AH134" i="9"/>
  <c r="Q244" i="9"/>
  <c r="CX240" i="9"/>
  <c r="F12" i="3" l="1"/>
  <c r="F13" i="3"/>
  <c r="F23" i="3"/>
  <c r="AK103" i="9"/>
  <c r="R103" i="9"/>
  <c r="CX90" i="9"/>
  <c r="H63" i="5"/>
  <c r="G12" i="4"/>
  <c r="F16" i="3"/>
  <c r="G16" i="4"/>
  <c r="H67" i="5"/>
  <c r="H13" i="7"/>
  <c r="J10" i="7"/>
  <c r="H68" i="5"/>
  <c r="G17" i="4"/>
  <c r="AG180" i="9"/>
  <c r="CX175" i="9"/>
  <c r="L15" i="7"/>
  <c r="H18" i="7"/>
  <c r="CY143" i="9"/>
  <c r="G7" i="8" s="1"/>
  <c r="H30" i="7"/>
  <c r="J24" i="7"/>
  <c r="G13" i="4"/>
  <c r="H64" i="5"/>
  <c r="G9" i="4"/>
  <c r="H60" i="5"/>
  <c r="Q180" i="9"/>
  <c r="AP180" i="9"/>
  <c r="CX152" i="9"/>
  <c r="G15" i="4"/>
  <c r="H66" i="5"/>
  <c r="CY223" i="9"/>
  <c r="Q221" i="9"/>
  <c r="AP221" i="9"/>
  <c r="CZ223" i="9" s="1"/>
  <c r="CZ184" i="9" s="1"/>
  <c r="H8" i="8" s="1"/>
  <c r="CX193" i="9"/>
  <c r="AI139" i="9"/>
  <c r="CX134" i="9"/>
  <c r="AV74" i="9"/>
  <c r="Q74" i="9"/>
  <c r="CX51" i="9"/>
  <c r="CY4" i="9"/>
  <c r="G4" i="8" s="1"/>
  <c r="CY247" i="9"/>
  <c r="R247" i="9"/>
  <c r="F5" i="15"/>
  <c r="F7" i="15" s="1"/>
  <c r="I8" i="16"/>
  <c r="G8" i="16" s="1"/>
  <c r="H59" i="17"/>
  <c r="H8" i="7"/>
  <c r="J5" i="7"/>
  <c r="CZ70" i="9"/>
  <c r="AD70" i="9"/>
  <c r="F9" i="15"/>
  <c r="F10" i="15" s="1"/>
  <c r="AX138" i="9"/>
  <c r="Q138" i="9"/>
  <c r="Q30" i="9"/>
  <c r="CX21" i="9"/>
  <c r="F13" i="15" l="1"/>
  <c r="F12" i="15"/>
  <c r="CZ32" i="9"/>
  <c r="R32" i="9"/>
  <c r="H5" i="7"/>
  <c r="G4" i="6"/>
  <c r="F4" i="6" s="1"/>
  <c r="CZ182" i="9"/>
  <c r="R182" i="9"/>
  <c r="H10" i="7"/>
  <c r="G5" i="6"/>
  <c r="F5" i="6" s="1"/>
  <c r="CZ105" i="9"/>
  <c r="S105" i="9"/>
  <c r="CY141" i="9"/>
  <c r="CX223" i="9"/>
  <c r="CX184" i="9" s="1"/>
  <c r="CY184" i="9"/>
  <c r="G8" i="8" s="1"/>
  <c r="F8" i="8" s="1"/>
  <c r="H6" i="6"/>
  <c r="F6" i="6" s="1"/>
  <c r="H15" i="7"/>
  <c r="F23" i="15"/>
  <c r="G19" i="16"/>
  <c r="H70" i="17"/>
  <c r="F20" i="15"/>
  <c r="F18" i="15"/>
  <c r="R223" i="9"/>
  <c r="H65" i="5"/>
  <c r="G14" i="4"/>
  <c r="G18" i="4"/>
  <c r="H69" i="5"/>
  <c r="CY77" i="9"/>
  <c r="G11" i="4"/>
  <c r="H62" i="5"/>
  <c r="CX247" i="9"/>
  <c r="CX225" i="9" s="1"/>
  <c r="CY225" i="9"/>
  <c r="G9" i="8" s="1"/>
  <c r="F9" i="8" s="1"/>
  <c r="H24" i="7"/>
  <c r="G8" i="6"/>
  <c r="F8" i="6" s="1"/>
  <c r="H61" i="5"/>
  <c r="G10" i="4"/>
  <c r="F24" i="3"/>
  <c r="G9" i="16"/>
  <c r="H60" i="17"/>
  <c r="Y75" i="9"/>
  <c r="CX70" i="9"/>
  <c r="AH75" i="9"/>
  <c r="CZ77" i="9" s="1"/>
  <c r="CZ34" i="9" s="1"/>
  <c r="H5" i="8" s="1"/>
  <c r="I14" i="3"/>
  <c r="CY79" i="9" l="1"/>
  <c r="G6" i="8" s="1"/>
  <c r="AR139" i="9"/>
  <c r="Q139" i="9"/>
  <c r="CX105" i="9"/>
  <c r="H69" i="17"/>
  <c r="G18" i="16"/>
  <c r="CZ4" i="9"/>
  <c r="H4" i="8" s="1"/>
  <c r="F4" i="8" s="1"/>
  <c r="CX32" i="9"/>
  <c r="CX4" i="9" s="1"/>
  <c r="F25" i="3"/>
  <c r="G10" i="16"/>
  <c r="H61" i="17"/>
  <c r="F24" i="15"/>
  <c r="R77" i="9"/>
  <c r="H66" i="17"/>
  <c r="G15" i="16"/>
  <c r="H62" i="17"/>
  <c r="G11" i="16"/>
  <c r="CY34" i="9"/>
  <c r="G5" i="8" s="1"/>
  <c r="F5" i="8" s="1"/>
  <c r="CX77" i="9"/>
  <c r="CX34" i="9" s="1"/>
  <c r="H68" i="17"/>
  <c r="G17" i="16"/>
  <c r="CZ143" i="9"/>
  <c r="H7" i="8" s="1"/>
  <c r="F7" i="8" s="1"/>
  <c r="CX182" i="9"/>
  <c r="CX143" i="9" s="1"/>
  <c r="F25" i="15" l="1"/>
  <c r="CZ141" i="9"/>
  <c r="R141" i="9"/>
  <c r="F26" i="3"/>
  <c r="F29" i="3" s="1"/>
  <c r="H71" i="5"/>
  <c r="G20" i="4"/>
  <c r="H74" i="5" l="1"/>
  <c r="B52" i="3"/>
  <c r="F30" i="3" s="1"/>
  <c r="G23" i="4"/>
  <c r="G21" i="4"/>
  <c r="H72" i="5"/>
  <c r="I27" i="3"/>
  <c r="CZ79" i="9"/>
  <c r="H6" i="8" s="1"/>
  <c r="F6" i="8" s="1"/>
  <c r="CX141" i="9"/>
  <c r="CX79" i="9" s="1"/>
  <c r="F26" i="15"/>
  <c r="F29" i="15" s="1"/>
  <c r="J27" i="15"/>
  <c r="G20" i="16"/>
  <c r="H71" i="17"/>
  <c r="H74" i="17" l="1"/>
  <c r="G23" i="16"/>
  <c r="B52" i="15"/>
  <c r="F30" i="15" s="1"/>
  <c r="F31" i="15" s="1"/>
  <c r="G24" i="4"/>
  <c r="H75" i="5"/>
  <c r="H72" i="17"/>
  <c r="G21" i="16"/>
  <c r="L27" i="15"/>
  <c r="F31" i="3"/>
  <c r="F33" i="15" l="1"/>
  <c r="H76" i="17"/>
  <c r="G25" i="16"/>
  <c r="H75" i="17"/>
  <c r="G24" i="16"/>
  <c r="F33" i="3"/>
  <c r="H76" i="5"/>
  <c r="G25" i="4"/>
  <c r="G26" i="4" l="1"/>
  <c r="H77" i="5"/>
  <c r="H77" i="17"/>
  <c r="G26" i="16"/>
</calcChain>
</file>

<file path=xl/sharedStrings.xml><?xml version="1.0" encoding="utf-8"?>
<sst xmlns="http://schemas.openxmlformats.org/spreadsheetml/2006/main" count="3681" uniqueCount="536">
  <si>
    <t>규  격</t>
  </si>
  <si>
    <t>단  가</t>
  </si>
  <si>
    <t>치즐(0.2㎥)</t>
  </si>
  <si>
    <t>휘발유</t>
  </si>
  <si>
    <t>0.4*0.3(스텐판부식)</t>
  </si>
  <si>
    <t>도급액</t>
  </si>
  <si>
    <t>비     고</t>
  </si>
  <si>
    <t>수도관접합및부설(지중매설)</t>
  </si>
  <si>
    <t>PE전선관,28mm</t>
  </si>
  <si>
    <t>T=30cm이상</t>
  </si>
  <si>
    <t>-</t>
  </si>
  <si>
    <t>잡  품</t>
  </si>
  <si>
    <t>14</t>
  </si>
  <si>
    <t>수 량</t>
  </si>
  <si>
    <t>(J + K)</t>
  </si>
  <si>
    <t>31</t>
  </si>
  <si>
    <t>16mm</t>
  </si>
  <si>
    <t>4 × 0.0323</t>
  </si>
  <si>
    <t>짐</t>
  </si>
  <si>
    <t>2019.2</t>
  </si>
  <si>
    <t>재료비 소수 1 미만 절하</t>
  </si>
  <si>
    <t>제11호표</t>
  </si>
  <si>
    <t>특별인부</t>
  </si>
  <si>
    <t>4.5%</t>
  </si>
  <si>
    <t>0.7㎥</t>
  </si>
  <si>
    <t>(0.7㎥(발파)</t>
  </si>
  <si>
    <t>Q</t>
  </si>
  <si>
    <t>경유</t>
  </si>
  <si>
    <t>보통인부</t>
  </si>
  <si>
    <t>경    비</t>
  </si>
  <si>
    <t>본</t>
  </si>
  <si>
    <t>STS, 50mm*2.5t</t>
  </si>
  <si>
    <t>중급기능사</t>
  </si>
  <si>
    <t>1.터파기 (백호(0.2㎥)90%+인력10%) [㎥]</t>
  </si>
  <si>
    <t>35</t>
  </si>
  <si>
    <t>화물차운전사</t>
  </si>
  <si>
    <t>잡    품</t>
  </si>
  <si>
    <t>제어케이블</t>
  </si>
  <si>
    <t>하151(19.2)</t>
  </si>
  <si>
    <t>부가가치세</t>
  </si>
  <si>
    <t>구분</t>
  </si>
  <si>
    <t>90</t>
  </si>
  <si>
    <t>하52(19.2)</t>
  </si>
  <si>
    <t>98% (용접용)</t>
  </si>
  <si>
    <t>4 × 0.045</t>
  </si>
  <si>
    <t>중급기술자</t>
  </si>
  <si>
    <t>이                  윤</t>
  </si>
  <si>
    <t>일위11참조</t>
  </si>
  <si>
    <t>기계설비공</t>
  </si>
  <si>
    <t>3.철근콘크리트깨기(T=30cm이상)[㎥]</t>
  </si>
  <si>
    <t>5.0hp</t>
  </si>
  <si>
    <t>일위대가</t>
  </si>
  <si>
    <t>기</t>
  </si>
  <si>
    <t>D=50mm</t>
  </si>
  <si>
    <t>수중모터펌프 설치</t>
  </si>
  <si>
    <t>)</t>
  </si>
  <si>
    <t>트럭탑재형크레인</t>
  </si>
  <si>
    <t>10</t>
  </si>
  <si>
    <t>내역서</t>
  </si>
  <si>
    <t>지하수이용시설 보수</t>
  </si>
  <si>
    <t>f</t>
  </si>
  <si>
    <t>1/8*16/12*25/20*12/10</t>
  </si>
  <si>
    <t>제9호표</t>
  </si>
  <si>
    <t>5.5kw 이하</t>
  </si>
  <si>
    <t>2. 굴삭기(무한궤도)</t>
  </si>
  <si>
    <t>물가정보</t>
  </si>
  <si>
    <t>4 × 0.128</t>
  </si>
  <si>
    <t>Cm</t>
  </si>
  <si>
    <t>90(19.2)</t>
  </si>
  <si>
    <t>1권114(19.2)</t>
  </si>
  <si>
    <t>최저단가</t>
  </si>
  <si>
    <t>기계경비</t>
  </si>
  <si>
    <t>W</t>
  </si>
  <si>
    <t>STS 니플 (나사식)</t>
  </si>
  <si>
    <t>865(19.2)</t>
  </si>
  <si>
    <t>8.51%</t>
  </si>
  <si>
    <t>단산3참조</t>
  </si>
  <si>
    <t>철근</t>
  </si>
  <si>
    <t>기본재료비</t>
  </si>
  <si>
    <t>33</t>
  </si>
  <si>
    <t>화   폐</t>
  </si>
  <si>
    <t>용 접 공</t>
  </si>
  <si>
    <t>B × 0.0087</t>
  </si>
  <si>
    <t>치즐소모비</t>
  </si>
  <si>
    <t>유로(E)</t>
  </si>
  <si>
    <t>폐기물운반비(상차제외)</t>
  </si>
  <si>
    <t>비            목</t>
  </si>
  <si>
    <t>퇴 직  공 제  부 금 비</t>
  </si>
  <si>
    <t>STS 엘보 (나사식)</t>
  </si>
  <si>
    <t>경    유</t>
  </si>
  <si>
    <t>/</t>
  </si>
  <si>
    <t>5Ton</t>
  </si>
  <si>
    <t>환  율</t>
  </si>
  <si>
    <t>3.0hp, 3상</t>
  </si>
  <si>
    <t>16</t>
  </si>
  <si>
    <t>2.0hp, 단상</t>
  </si>
  <si>
    <t>18</t>
  </si>
  <si>
    <t>단산1참조</t>
  </si>
  <si>
    <t>1권611(19.2)</t>
  </si>
  <si>
    <t>엔(100￥)</t>
  </si>
  <si>
    <t>2019.2.1. 매매기준율</t>
  </si>
  <si>
    <t>3.23%</t>
  </si>
  <si>
    <t>PE 청동밸브소켓</t>
  </si>
  <si>
    <t>6%</t>
  </si>
  <si>
    <t>0.87%</t>
  </si>
  <si>
    <t>+</t>
  </si>
  <si>
    <t>￦×</t>
  </si>
  <si>
    <t>노임계수</t>
  </si>
  <si>
    <t>12</t>
  </si>
  <si>
    <t>장애물제거</t>
  </si>
  <si>
    <t>부   가   가   치   세</t>
  </si>
  <si>
    <t>0.7㎥(발파)</t>
  </si>
  <si>
    <t>단가4</t>
  </si>
  <si>
    <t>%</t>
  </si>
  <si>
    <t>(A + B + C)</t>
  </si>
  <si>
    <t>연속 대수성시험</t>
  </si>
  <si>
    <t>경</t>
  </si>
  <si>
    <t>대</t>
  </si>
  <si>
    <t>4.</t>
  </si>
  <si>
    <t>수중모터펌프 인양</t>
  </si>
  <si>
    <t>PE 소켓</t>
  </si>
  <si>
    <t>공</t>
  </si>
  <si>
    <t>단산5참조</t>
  </si>
  <si>
    <t>61(19.2)</t>
  </si>
  <si>
    <t>건설기계운전사</t>
  </si>
  <si>
    <t>비    고</t>
  </si>
  <si>
    <t>1권583(19.2)</t>
  </si>
  <si>
    <t>CMW40(교체)</t>
  </si>
  <si>
    <t>총     공    사     비</t>
  </si>
  <si>
    <t>0.2㎥</t>
  </si>
  <si>
    <t>,경질토</t>
  </si>
  <si>
    <t>757(19.2)</t>
  </si>
  <si>
    <t>일위8참조</t>
  </si>
  <si>
    <t>37</t>
  </si>
  <si>
    <t>폐콘크리트</t>
  </si>
  <si>
    <t>기존자료수집 및 현지답사</t>
  </si>
  <si>
    <t>황동볼밸브</t>
  </si>
  <si>
    <t>G</t>
  </si>
  <si>
    <t>자재소계</t>
  </si>
  <si>
    <t>보통토</t>
  </si>
  <si>
    <t>No</t>
  </si>
  <si>
    <t>일위4참조</t>
  </si>
  <si>
    <t>제3호표</t>
  </si>
  <si>
    <t>I</t>
  </si>
  <si>
    <t>EA</t>
  </si>
  <si>
    <t>견적가1</t>
  </si>
  <si>
    <t>산     출     경    비</t>
  </si>
  <si>
    <t>,자갈토</t>
  </si>
  <si>
    <t>─</t>
  </si>
  <si>
    <t>노무비 소수 1 미만 절하</t>
  </si>
  <si>
    <t>다</t>
  </si>
  <si>
    <t>1</t>
  </si>
  <si>
    <t>케이싱 인발</t>
  </si>
  <si>
    <t>휘 발 유</t>
  </si>
  <si>
    <t>복사용지(A4)</t>
  </si>
  <si>
    <t>21</t>
  </si>
  <si>
    <t>대형브레이카</t>
  </si>
  <si>
    <t>T=30cm미만(대형브레이커+0.2㎥)</t>
  </si>
  <si>
    <t>4. 대형브레이카</t>
  </si>
  <si>
    <t>손    료</t>
  </si>
  <si>
    <t>일위6참조</t>
  </si>
  <si>
    <t>제1호표</t>
  </si>
  <si>
    <t>의</t>
  </si>
  <si>
    <t>굴삭기(무한궤도)</t>
  </si>
  <si>
    <t>592(19.2)</t>
  </si>
  <si>
    <t>5</t>
  </si>
  <si>
    <t>적용일자</t>
  </si>
  <si>
    <t>거래가격</t>
  </si>
  <si>
    <t>B × 0.0375</t>
  </si>
  <si>
    <t>제7호표</t>
  </si>
  <si>
    <t>$×</t>
  </si>
  <si>
    <t>1권115(19.2)</t>
  </si>
  <si>
    <t>25</t>
  </si>
  <si>
    <t>D × 0.06</t>
  </si>
  <si>
    <t>5.무근콘크리트깨기(T=30cm이상(대형브레이커+0.2㎥))[㎥]</t>
  </si>
  <si>
    <t>CMW50(교체)</t>
  </si>
  <si>
    <t>40A</t>
  </si>
  <si>
    <t>피피로프</t>
  </si>
  <si>
    <t>( 4 + 5 )</t>
  </si>
  <si>
    <t>&lt;품셈9-18&gt;</t>
  </si>
  <si>
    <t>5. 굴삭기(무한궤도)</t>
  </si>
  <si>
    <t>사</t>
  </si>
  <si>
    <t>자재단가</t>
  </si>
  <si>
    <t>12.79%</t>
  </si>
  <si>
    <t>4.무근콘크리트깨기(T=30cm미만(대형브레이커+0.2㎥))[㎥]</t>
  </si>
  <si>
    <t>C</t>
  </si>
  <si>
    <t>이윤</t>
  </si>
  <si>
    <t>잡재료</t>
  </si>
  <si>
    <t>산소</t>
  </si>
  <si>
    <t>0.5%</t>
  </si>
  <si>
    <t>일위2참조</t>
  </si>
  <si>
    <t>제5호표</t>
  </si>
  <si>
    <t>백호0.7㎥</t>
  </si>
  <si>
    <t>(98%(용접용)</t>
  </si>
  <si>
    <t>력</t>
  </si>
  <si>
    <t>135</t>
  </si>
  <si>
    <t>4 × 0.0</t>
  </si>
  <si>
    <t>7. 굴삭기(무한궤도)</t>
  </si>
  <si>
    <t>1권610(19.2)</t>
  </si>
  <si>
    <t>2권308(19.2)</t>
  </si>
  <si>
    <t>요율</t>
  </si>
  <si>
    <t>0.39%</t>
  </si>
  <si>
    <t>3.75%</t>
  </si>
  <si>
    <t>고용보험료</t>
  </si>
  <si>
    <t>단위</t>
  </si>
  <si>
    <t>9 × 0.0851</t>
  </si>
  <si>
    <t>6.폐기물상차 (백호0.7㎥) [㎥]</t>
  </si>
  <si>
    <t>3. 플레이트 콤팩터</t>
  </si>
  <si>
    <t>M</t>
  </si>
  <si>
    <t>규    격</t>
  </si>
  <si>
    <t>수도미터기</t>
  </si>
  <si>
    <t>2.93%</t>
  </si>
  <si>
    <t>(6000ℓ/병)</t>
  </si>
  <si>
    <t>소</t>
  </si>
  <si>
    <t>=</t>
  </si>
  <si>
    <t>1/8*16/12*25/20*24/5</t>
  </si>
  <si>
    <t>50A</t>
  </si>
  <si>
    <t>치  즐(0.2㎥)</t>
  </si>
  <si>
    <t>단가산출총괄표</t>
  </si>
  <si>
    <t>106(19.2)</t>
  </si>
  <si>
    <t>3</t>
  </si>
  <si>
    <t>합  계</t>
  </si>
  <si>
    <t>23</t>
  </si>
  <si>
    <t>기     타     경    비</t>
  </si>
  <si>
    <t>K</t>
  </si>
  <si>
    <t>석유공사</t>
  </si>
  <si>
    <t>심정용 양수파이프(플랜지)</t>
  </si>
  <si>
    <t>6000ℓ/병</t>
  </si>
  <si>
    <t>수중케이블</t>
  </si>
  <si>
    <t>(A + 4) × 0.0293</t>
  </si>
  <si>
    <t>작업설.부산물등(△)</t>
  </si>
  <si>
    <t>총공사비</t>
  </si>
  <si>
    <t>E</t>
  </si>
  <si>
    <t>청동체크밸브</t>
  </si>
  <si>
    <t>PE 정티</t>
  </si>
  <si>
    <t>플레이트콤팩터</t>
  </si>
  <si>
    <t>단가1</t>
  </si>
  <si>
    <t>H × 0.1</t>
  </si>
  <si>
    <t>굴삭기손료</t>
  </si>
  <si>
    <t>A</t>
  </si>
  <si>
    <t>산재보험료</t>
  </si>
  <si>
    <t>플레이트 콤팩터</t>
  </si>
  <si>
    <t>단가5</t>
  </si>
  <si>
    <t>가격정보</t>
  </si>
  <si>
    <t>관   급   자   재   대</t>
  </si>
  <si>
    <t>30km이하,덤프15톤</t>
  </si>
  <si>
    <t>금    액</t>
  </si>
  <si>
    <t>경  비</t>
  </si>
  <si>
    <t>산    출    근    거</t>
  </si>
  <si>
    <t>하도급대금지급보증수수료</t>
  </si>
  <si>
    <t>5.</t>
  </si>
  <si>
    <t>(0.2㎥)</t>
  </si>
  <si>
    <t>29</t>
  </si>
  <si>
    <t>÷</t>
  </si>
  <si>
    <t>2권561(19.2)</t>
  </si>
  <si>
    <t>9</t>
  </si>
  <si>
    <t>기계경비총괄표</t>
  </si>
  <si>
    <t>1.</t>
  </si>
  <si>
    <t>대기압</t>
  </si>
  <si>
    <t>7</t>
  </si>
  <si>
    <t>27</t>
  </si>
  <si>
    <t>(H + I)</t>
  </si>
  <si>
    <t>건설기계대여금지급보증서발급액</t>
  </si>
  <si>
    <t>일반기계운전사</t>
  </si>
  <si>
    <t>적용방법</t>
  </si>
  <si>
    <t>환   경   보   전   비</t>
  </si>
  <si>
    <t>단산2참조</t>
  </si>
  <si>
    <t>하33(19.2)</t>
  </si>
  <si>
    <t>금   액</t>
  </si>
  <si>
    <t>정천현황 및 오염원조사</t>
  </si>
  <si>
    <t>34</t>
  </si>
  <si>
    <t>1권680(19.2)</t>
  </si>
  <si>
    <t>연   금   보   험   료</t>
  </si>
  <si>
    <t>계산결과값 자리수</t>
  </si>
  <si>
    <t>제8호표</t>
  </si>
  <si>
    <t>(</t>
  </si>
  <si>
    <t>11</t>
  </si>
  <si>
    <t>&lt;품셈 9-18&gt;</t>
  </si>
  <si>
    <t>km</t>
  </si>
  <si>
    <t>계</t>
  </si>
  <si>
    <t>총        원        가</t>
  </si>
  <si>
    <t>비</t>
  </si>
  <si>
    <t>품   명</t>
  </si>
  <si>
    <t>1435(19.2)</t>
  </si>
  <si>
    <t>원가계산서</t>
  </si>
  <si>
    <t>건강보험료</t>
  </si>
  <si>
    <t>자료분석 및 보고서작성</t>
  </si>
  <si>
    <t>수위측정관</t>
  </si>
  <si>
    <t>일   반   관   리   비</t>
  </si>
  <si>
    <t>(1.5Ton)</t>
  </si>
  <si>
    <t>포</t>
  </si>
  <si>
    <t>CMW32(교체)</t>
  </si>
  <si>
    <t>7.5hp</t>
  </si>
  <si>
    <t>15</t>
  </si>
  <si>
    <t>건   강   보   험   료</t>
  </si>
  <si>
    <t>노인장기요양  보 험 료</t>
  </si>
  <si>
    <t>주연료의</t>
  </si>
  <si>
    <t>단산6참조</t>
  </si>
  <si>
    <t>40kg入(포장품)</t>
  </si>
  <si>
    <t>VCT,3C,1.5SQ</t>
  </si>
  <si>
    <t>되메우기및다짐(콤팩터)</t>
  </si>
  <si>
    <t>91(19.2)</t>
  </si>
  <si>
    <t>m</t>
  </si>
  <si>
    <t>kg</t>
  </si>
  <si>
    <t>2019년(상)</t>
  </si>
  <si>
    <t>노무비 의</t>
  </si>
  <si>
    <t>원</t>
  </si>
  <si>
    <t>직   접   재   료   비</t>
  </si>
  <si>
    <t>일위9참조</t>
  </si>
  <si>
    <t>산  출  근  거</t>
  </si>
  <si>
    <t>1권872(19.2)</t>
  </si>
  <si>
    <t>30</t>
  </si>
  <si>
    <t>단가산출</t>
  </si>
  <si>
    <t>(A + 4 + 6) ×0.005</t>
  </si>
  <si>
    <t>소계</t>
  </si>
  <si>
    <t>직접재료비</t>
  </si>
  <si>
    <t>단산4참조</t>
  </si>
  <si>
    <t>나</t>
  </si>
  <si>
    <t>개</t>
  </si>
  <si>
    <t>재료비</t>
  </si>
  <si>
    <t>철근콘크리트깨기</t>
  </si>
  <si>
    <t>CVF,3C,6SQ</t>
  </si>
  <si>
    <t>2.되메우기및다짐(콤팩터) (백호(0.2㎥)90%+인력10%) [㎥]</t>
  </si>
  <si>
    <t>순   공  사    원   가</t>
  </si>
  <si>
    <t>산 업 안 전 보건관리비</t>
  </si>
  <si>
    <t>소                  계</t>
  </si>
  <si>
    <t>개소</t>
  </si>
  <si>
    <t>부130(17.9)</t>
  </si>
  <si>
    <t>(A + B) × 0.079</t>
  </si>
  <si>
    <t>1/8*16/12*25/20*24/15</t>
  </si>
  <si>
    <t>아세틸렌</t>
  </si>
  <si>
    <t>당초합계</t>
  </si>
  <si>
    <t>계산값</t>
  </si>
  <si>
    <t>1권154(19.2)</t>
  </si>
  <si>
    <t>13</t>
  </si>
  <si>
    <t>일위대가총괄표</t>
  </si>
  <si>
    <t>품    명</t>
  </si>
  <si>
    <t>회</t>
  </si>
  <si>
    <t>62(19.2)</t>
  </si>
  <si>
    <t>12.8%</t>
  </si>
  <si>
    <t>제10호표</t>
  </si>
  <si>
    <t>기계경비적용기준</t>
  </si>
  <si>
    <t>36</t>
  </si>
  <si>
    <t>STS 티 (나사식)</t>
  </si>
  <si>
    <t>32</t>
  </si>
  <si>
    <t>당초경비</t>
  </si>
  <si>
    <t>치즐(0.7㎥)</t>
  </si>
  <si>
    <t>단가2</t>
  </si>
  <si>
    <t>폐기물상차</t>
  </si>
  <si>
    <t>V</t>
  </si>
  <si>
    <t>달러($)</t>
  </si>
  <si>
    <t>폐기물처리비</t>
  </si>
  <si>
    <t>명    칭</t>
  </si>
  <si>
    <t>합</t>
  </si>
  <si>
    <t>1. 트럭탑재형크레인</t>
  </si>
  <si>
    <t>2권281(19.2)</t>
  </si>
  <si>
    <t>직   접   노   무   비</t>
  </si>
  <si>
    <t>인부소계</t>
  </si>
  <si>
    <t>Ton</t>
  </si>
  <si>
    <t>단가6</t>
  </si>
  <si>
    <t>⊙</t>
  </si>
  <si>
    <t>T=30cm이상(대형브레이커+0.2㎥)</t>
  </si>
  <si>
    <t>들어내기</t>
  </si>
  <si>
    <t>1/8*16/12*25/20</t>
  </si>
  <si>
    <t>,파이프등</t>
  </si>
  <si>
    <t>˚</t>
  </si>
  <si>
    <t xml:space="preserve"> </t>
  </si>
  <si>
    <t>'19年 개정</t>
  </si>
  <si>
    <t>㎥</t>
  </si>
  <si>
    <t>19</t>
  </si>
  <si>
    <t>당초노무비</t>
  </si>
  <si>
    <t>호  표</t>
  </si>
  <si>
    <t>일위10참조</t>
  </si>
  <si>
    <t>.</t>
  </si>
  <si>
    <t>마르크(M)</t>
  </si>
  <si>
    <t>PE 엘보</t>
  </si>
  <si>
    <t>17</t>
  </si>
  <si>
    <t>2.</t>
  </si>
  <si>
    <t>1권550(19.2)</t>
  </si>
  <si>
    <t>평균</t>
  </si>
  <si>
    <t>hr</t>
  </si>
  <si>
    <t>수중모터펌프</t>
  </si>
  <si>
    <t>매</t>
  </si>
  <si>
    <t>:</t>
  </si>
  <si>
    <t>산   재   보   험   료</t>
  </si>
  <si>
    <t>순</t>
  </si>
  <si>
    <t>1238(19.2)</t>
  </si>
  <si>
    <t>유통물가</t>
  </si>
  <si>
    <t>순직접공사비</t>
  </si>
  <si>
    <t>가</t>
  </si>
  <si>
    <t>103(19.2)</t>
  </si>
  <si>
    <t>무근콘크리트깨기</t>
  </si>
  <si>
    <t>24</t>
  </si>
  <si>
    <t>보 링 공</t>
  </si>
  <si>
    <t>배 관 공(수도)</t>
  </si>
  <si>
    <t>564(19.2)</t>
  </si>
  <si>
    <t>4</t>
  </si>
  <si>
    <t>브레이카손료</t>
  </si>
  <si>
    <t>노임단가</t>
  </si>
  <si>
    <t>규   격</t>
  </si>
  <si>
    <t>L</t>
  </si>
  <si>
    <t>손   료</t>
  </si>
  <si>
    <t>(0.7㎥)</t>
  </si>
  <si>
    <t>2.0hp, 3상</t>
  </si>
  <si>
    <t>지하수안내판</t>
  </si>
  <si>
    <t>내역서총괄표</t>
  </si>
  <si>
    <t>(B + C + E)  ×0.1279</t>
  </si>
  <si>
    <t>지하수영향조사</t>
  </si>
  <si>
    <t>ℓ</t>
  </si>
  <si>
    <t>보 통 인 부</t>
  </si>
  <si>
    <t>설치품의 50%</t>
  </si>
  <si>
    <t>6. 대형브레이카</t>
  </si>
  <si>
    <t>3.0hp, 단상</t>
  </si>
  <si>
    <t>B</t>
  </si>
  <si>
    <t>식</t>
  </si>
  <si>
    <t>도        급        액</t>
  </si>
  <si>
    <t>하152(19.2)</t>
  </si>
  <si>
    <t>H</t>
  </si>
  <si>
    <t>치  즐(0.7㎥)</t>
  </si>
  <si>
    <t>나사관접합</t>
  </si>
  <si>
    <t>1/8*16/12*25/20*14/12</t>
  </si>
  <si>
    <t>폐공되메움</t>
  </si>
  <si>
    <t>공 사 이 행 보증수수료</t>
  </si>
  <si>
    <t>고   용   보   험   료</t>
  </si>
  <si>
    <t>(1 + 2 + 3 )</t>
  </si>
  <si>
    <t>적용단가</t>
  </si>
  <si>
    <t>(6:18)</t>
  </si>
  <si>
    <t>지구</t>
  </si>
  <si>
    <t>주연료</t>
  </si>
  <si>
    <t>환경보전비</t>
  </si>
  <si>
    <t>터파기</t>
  </si>
  <si>
    <t>라</t>
  </si>
  <si>
    <t>폐  기  물  처  리  비</t>
  </si>
  <si>
    <t>F</t>
  </si>
  <si>
    <t>간접노무비</t>
  </si>
  <si>
    <t>백호(0.2㎥)90%+인력10%</t>
  </si>
  <si>
    <t>q</t>
  </si>
  <si>
    <t>×</t>
  </si>
  <si>
    <t>노무비</t>
  </si>
  <si>
    <t>연금보험료</t>
  </si>
  <si>
    <t>총원가</t>
  </si>
  <si>
    <t>일반관리비</t>
  </si>
  <si>
    <t>간   접   노   무   비</t>
  </si>
  <si>
    <t>20</t>
  </si>
  <si>
    <t>경  비 소수 1 미만 절하</t>
  </si>
  <si>
    <t>수위 회복시험</t>
  </si>
  <si>
    <t>page</t>
  </si>
  <si>
    <t>(D + E + F + G)</t>
  </si>
  <si>
    <t>일위5참조</t>
  </si>
  <si>
    <t>제2호표</t>
  </si>
  <si>
    <t>(A + 4 + 6) × 0.0039</t>
  </si>
  <si>
    <t>노</t>
  </si>
  <si>
    <t>sec</t>
  </si>
  <si>
    <t>산업안전보건관리비</t>
  </si>
  <si>
    <t>보조인부</t>
  </si>
  <si>
    <t>N</t>
  </si>
  <si>
    <t>+굴삭기(0.7㎥)</t>
  </si>
  <si>
    <t>환 율 (/￦)</t>
  </si>
  <si>
    <t>#57, 25mm</t>
  </si>
  <si>
    <t>품셈(2016)</t>
  </si>
  <si>
    <t>10(-7)</t>
  </si>
  <si>
    <t>26</t>
  </si>
  <si>
    <t>일위7참조</t>
  </si>
  <si>
    <t>산    소</t>
  </si>
  <si>
    <t>6</t>
  </si>
  <si>
    <t>7.9%</t>
  </si>
  <si>
    <t>&lt;건축품셈 18-3&gt;</t>
  </si>
  <si>
    <t>8</t>
  </si>
  <si>
    <t>2019-01-01</t>
  </si>
  <si>
    <t>인</t>
  </si>
  <si>
    <t>50mm</t>
  </si>
  <si>
    <t>1권547(19.2)</t>
  </si>
  <si>
    <t>28</t>
  </si>
  <si>
    <t>노인장기요양보험료</t>
  </si>
  <si>
    <t>간   접   재   료   비</t>
  </si>
  <si>
    <t>22</t>
  </si>
  <si>
    <t>2</t>
  </si>
  <si>
    <t>무</t>
  </si>
  <si>
    <t>순공사원가</t>
  </si>
  <si>
    <t>단가3</t>
  </si>
  <si>
    <t>물가자료</t>
  </si>
  <si>
    <t>PE관(수도용)</t>
  </si>
  <si>
    <t>재</t>
  </si>
  <si>
    <t>품     명</t>
  </si>
  <si>
    <t>일위1참조</t>
  </si>
  <si>
    <t>제6호표</t>
  </si>
  <si>
    <t>쇄석골재, 대전, 도착도</t>
  </si>
  <si>
    <t>합    계</t>
  </si>
  <si>
    <t>(+굴삭기(0.2㎥)</t>
  </si>
  <si>
    <t>구조물깨기</t>
  </si>
  <si>
    <t>1.5Ton</t>
  </si>
  <si>
    <t>시멘트, 대전</t>
  </si>
  <si>
    <t>D</t>
  </si>
  <si>
    <t>J</t>
  </si>
  <si>
    <t>료</t>
  </si>
  <si>
    <t>기타경비</t>
  </si>
  <si>
    <t>일위3참조</t>
  </si>
  <si>
    <t>제4호표</t>
  </si>
  <si>
    <t>1권584(19.2)</t>
  </si>
  <si>
    <t>부144(19.2)</t>
  </si>
  <si>
    <t>산   출   근   거</t>
  </si>
  <si>
    <t>(A + 4 + 6) ×0.0</t>
  </si>
  <si>
    <t>당초재료비</t>
  </si>
  <si>
    <t>10%</t>
  </si>
  <si>
    <t>공종</t>
  </si>
  <si>
    <t>순 공 사 비</t>
  </si>
  <si>
    <t>3.</t>
  </si>
  <si>
    <t>파운드(L)</t>
  </si>
  <si>
    <t>2019년(건설)</t>
  </si>
  <si>
    <t/>
  </si>
  <si>
    <t>굴삭기(0.7㎥)</t>
    <phoneticPr fontId="6" type="noConversion"/>
  </si>
  <si>
    <t>굴삭기(0.2㎥)</t>
    <phoneticPr fontId="6" type="noConversion"/>
  </si>
  <si>
    <t>비고</t>
    <phoneticPr fontId="6" type="noConversion"/>
  </si>
  <si>
    <t>5,265</t>
  </si>
  <si>
    <t>351</t>
  </si>
  <si>
    <t>641</t>
  </si>
  <si>
    <t>5,549</t>
  </si>
  <si>
    <t>415</t>
  </si>
  <si>
    <t>521</t>
  </si>
  <si>
    <t>42,532</t>
  </si>
  <si>
    <t>10,203</t>
  </si>
  <si>
    <t>16,044</t>
  </si>
  <si>
    <t>37,106</t>
  </si>
  <si>
    <t>5,133</t>
  </si>
  <si>
    <t>10,447</t>
  </si>
  <si>
    <t>1,865</t>
  </si>
  <si>
    <t>765</t>
  </si>
  <si>
    <t>1,171</t>
  </si>
  <si>
    <t>3,472,642</t>
  </si>
  <si>
    <t>3,600</t>
  </si>
  <si>
    <t>20,384,583</t>
  </si>
  <si>
    <t>설계가적용</t>
    <phoneticPr fontId="6" type="noConversion"/>
  </si>
  <si>
    <t>11.67%</t>
    <phoneticPr fontId="6" type="noConversion"/>
  </si>
  <si>
    <t>(B + C + E)  ×0.1167</t>
    <phoneticPr fontId="6" type="noConversion"/>
  </si>
  <si>
    <t>설계가</t>
  </si>
  <si>
    <t>설계가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</si>
</sst>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.00_);_(* \(#,##0.00\);_(* &quot;-&quot;??_);_(@_)"/>
    <numFmt numFmtId="177" formatCode="#,##0.0########"/>
    <numFmt numFmtId="178" formatCode="#,##0.##"/>
    <numFmt numFmtId="179" formatCode="#,##0.#######"/>
    <numFmt numFmtId="180" formatCode="#,###.0########"/>
    <numFmt numFmtId="181" formatCode="#,##0.#########"/>
    <numFmt numFmtId="182" formatCode="_(* #,##0_);_(* \(#,##0\);_(* &quot;-&quot;??_);_(@_)"/>
  </numFmts>
  <fonts count="12" x14ac:knownFonts="1">
    <font>
      <sz val="10"/>
      <color indexed="8"/>
      <name val="Arial"/>
      <family val="2"/>
    </font>
    <font>
      <b/>
      <sz val="20"/>
      <color indexed="8"/>
      <name val="Arial"/>
      <family val="2"/>
    </font>
    <font>
      <b/>
      <sz val="9"/>
      <color indexed="8"/>
      <name val="굴림체"/>
      <family val="3"/>
    </font>
    <font>
      <sz val="9"/>
      <color indexed="8"/>
      <name val="굴림체"/>
      <family val="3"/>
    </font>
    <font>
      <b/>
      <sz val="13"/>
      <color indexed="8"/>
      <name val="Arial"/>
      <family val="2"/>
    </font>
    <font>
      <sz val="10"/>
      <color indexed="8"/>
      <name val="Arial"/>
      <family val="2"/>
    </font>
    <font>
      <sz val="8"/>
      <name val="돋움"/>
      <family val="3"/>
      <charset val="129"/>
    </font>
    <font>
      <sz val="8"/>
      <color indexed="8"/>
      <name val="굴림체"/>
      <family val="3"/>
    </font>
    <font>
      <sz val="8"/>
      <color indexed="8"/>
      <name val="굴림체"/>
      <family val="3"/>
    </font>
    <font>
      <sz val="6"/>
      <color indexed="8"/>
      <name val="굴림체"/>
      <family val="3"/>
    </font>
    <font>
      <sz val="6"/>
      <color indexed="8"/>
      <name val="굴림체"/>
      <family val="3"/>
    </font>
    <font>
      <sz val="8"/>
      <color indexed="8"/>
      <name val="굴림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0"/>
      </bottom>
      <diagonal/>
    </border>
    <border>
      <left style="hair">
        <color indexed="64"/>
      </left>
      <right style="hair">
        <color indexed="64"/>
      </right>
      <top/>
      <bottom style="thin">
        <color indexed="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0"/>
      </bottom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76" fontId="5" fillId="0" borderId="0"/>
  </cellStyleXfs>
  <cellXfs count="14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3" fontId="2" fillId="0" borderId="6" xfId="0" applyNumberFormat="1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3" fontId="3" fillId="0" borderId="9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3" fontId="3" fillId="0" borderId="10" xfId="0" applyNumberFormat="1" applyFont="1" applyBorder="1" applyAlignment="1">
      <alignment vertical="center"/>
    </xf>
    <xf numFmtId="3" fontId="3" fillId="0" borderId="11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3" fontId="2" fillId="0" borderId="12" xfId="0" applyNumberFormat="1" applyFont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3" fontId="0" fillId="0" borderId="0" xfId="0" applyNumberFormat="1"/>
    <xf numFmtId="3" fontId="3" fillId="0" borderId="15" xfId="0" applyNumberFormat="1" applyFont="1" applyBorder="1" applyAlignment="1">
      <alignment horizontal="center" vertical="center"/>
    </xf>
    <xf numFmtId="3" fontId="3" fillId="0" borderId="16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horizontal="center" vertical="center"/>
    </xf>
    <xf numFmtId="3" fontId="3" fillId="0" borderId="16" xfId="0" applyNumberFormat="1" applyFont="1" applyBorder="1" applyAlignment="1">
      <alignment vertical="center"/>
    </xf>
    <xf numFmtId="3" fontId="3" fillId="0" borderId="17" xfId="0" applyNumberFormat="1" applyFont="1" applyBorder="1" applyAlignment="1">
      <alignment horizontal="left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1" xfId="0" applyNumberFormat="1" applyFont="1" applyBorder="1" applyAlignment="1">
      <alignment horizontal="left" vertical="center"/>
    </xf>
    <xf numFmtId="3" fontId="3" fillId="0" borderId="11" xfId="0" applyNumberFormat="1" applyFont="1" applyBorder="1" applyAlignment="1">
      <alignment horizontal="center" vertical="center"/>
    </xf>
    <xf numFmtId="3" fontId="3" fillId="0" borderId="3" xfId="0" applyNumberFormat="1" applyFont="1" applyBorder="1" applyAlignment="1">
      <alignment horizontal="left" vertical="center"/>
    </xf>
    <xf numFmtId="3" fontId="3" fillId="0" borderId="19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1" xfId="0" applyBorder="1"/>
    <xf numFmtId="177" fontId="0" fillId="0" borderId="21" xfId="0" applyNumberFormat="1" applyBorder="1"/>
    <xf numFmtId="0" fontId="0" fillId="0" borderId="22" xfId="0" applyBorder="1"/>
    <xf numFmtId="0" fontId="0" fillId="0" borderId="21" xfId="0" applyBorder="1" applyAlignment="1">
      <alignment horizontal="center"/>
    </xf>
    <xf numFmtId="3" fontId="0" fillId="0" borderId="21" xfId="0" applyNumberFormat="1" applyBorder="1" applyAlignment="1">
      <alignment horizontal="right"/>
    </xf>
    <xf numFmtId="3" fontId="0" fillId="0" borderId="21" xfId="0" applyNumberFormat="1" applyBorder="1"/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3" fontId="2" fillId="0" borderId="15" xfId="0" applyNumberFormat="1" applyFont="1" applyBorder="1" applyAlignment="1">
      <alignment horizontal="left" vertical="center"/>
    </xf>
    <xf numFmtId="3" fontId="2" fillId="0" borderId="16" xfId="0" applyNumberFormat="1" applyFont="1" applyBorder="1" applyAlignment="1">
      <alignment horizontal="left" vertical="center"/>
    </xf>
    <xf numFmtId="3" fontId="3" fillId="0" borderId="25" xfId="0" applyNumberFormat="1" applyFont="1" applyBorder="1" applyAlignment="1">
      <alignment vertical="center"/>
    </xf>
    <xf numFmtId="3" fontId="3" fillId="0" borderId="19" xfId="0" applyNumberFormat="1" applyFont="1" applyBorder="1" applyAlignment="1">
      <alignment horizontal="right" vertical="center"/>
    </xf>
    <xf numFmtId="3" fontId="3" fillId="0" borderId="16" xfId="0" applyNumberFormat="1" applyFont="1" applyBorder="1" applyAlignment="1">
      <alignment horizontal="right" vertical="center"/>
    </xf>
    <xf numFmtId="3" fontId="3" fillId="0" borderId="17" xfId="0" applyNumberFormat="1" applyFont="1" applyBorder="1" applyAlignment="1">
      <alignment vertical="center"/>
    </xf>
    <xf numFmtId="3" fontId="3" fillId="0" borderId="15" xfId="0" applyNumberFormat="1" applyFont="1" applyBorder="1" applyAlignment="1">
      <alignment horizontal="left" vertical="center"/>
    </xf>
    <xf numFmtId="178" fontId="3" fillId="0" borderId="16" xfId="0" applyNumberFormat="1" applyFont="1" applyBorder="1" applyAlignment="1">
      <alignment vertical="center"/>
    </xf>
    <xf numFmtId="3" fontId="3" fillId="0" borderId="18" xfId="0" applyNumberFormat="1" applyFont="1" applyBorder="1" applyAlignment="1">
      <alignment horizontal="left" vertical="center"/>
    </xf>
    <xf numFmtId="3" fontId="3" fillId="0" borderId="10" xfId="0" applyNumberFormat="1" applyFont="1" applyBorder="1" applyAlignment="1">
      <alignment horizontal="right" vertical="center"/>
    </xf>
    <xf numFmtId="178" fontId="3" fillId="0" borderId="11" xfId="0" applyNumberFormat="1" applyFont="1" applyBorder="1" applyAlignment="1">
      <alignment vertical="center"/>
    </xf>
    <xf numFmtId="3" fontId="3" fillId="0" borderId="17" xfId="0" applyNumberFormat="1" applyFont="1" applyBorder="1" applyAlignment="1">
      <alignment horizontal="right" vertical="center"/>
    </xf>
    <xf numFmtId="3" fontId="3" fillId="0" borderId="11" xfId="0" applyNumberFormat="1" applyFont="1" applyBorder="1" applyAlignment="1">
      <alignment horizontal="right" vertical="center"/>
    </xf>
    <xf numFmtId="3" fontId="3" fillId="0" borderId="3" xfId="0" applyNumberFormat="1" applyFont="1" applyBorder="1" applyAlignment="1">
      <alignment horizontal="right" vertical="center"/>
    </xf>
    <xf numFmtId="179" fontId="2" fillId="0" borderId="6" xfId="0" applyNumberFormat="1" applyFont="1" applyBorder="1" applyAlignment="1">
      <alignment horizontal="center" vertical="center"/>
    </xf>
    <xf numFmtId="179" fontId="2" fillId="0" borderId="31" xfId="0" applyNumberFormat="1" applyFont="1" applyBorder="1" applyAlignment="1">
      <alignment horizontal="center" vertical="center"/>
    </xf>
    <xf numFmtId="179" fontId="3" fillId="0" borderId="4" xfId="0" applyNumberFormat="1" applyFont="1" applyBorder="1" applyAlignment="1">
      <alignment vertical="center"/>
    </xf>
    <xf numFmtId="179" fontId="3" fillId="0" borderId="0" xfId="0" applyNumberFormat="1" applyFont="1" applyAlignment="1">
      <alignment vertical="center"/>
    </xf>
    <xf numFmtId="179" fontId="3" fillId="0" borderId="5" xfId="0" applyNumberFormat="1" applyFont="1" applyBorder="1" applyAlignment="1">
      <alignment vertical="center"/>
    </xf>
    <xf numFmtId="179" fontId="3" fillId="0" borderId="1" xfId="0" applyNumberFormat="1" applyFont="1" applyBorder="1" applyAlignment="1">
      <alignment vertical="center"/>
    </xf>
    <xf numFmtId="179" fontId="2" fillId="0" borderId="4" xfId="0" applyNumberFormat="1" applyFont="1" applyBorder="1" applyAlignment="1">
      <alignment horizontal="left" vertical="center"/>
    </xf>
    <xf numFmtId="3" fontId="2" fillId="0" borderId="32" xfId="0" applyNumberFormat="1" applyFont="1" applyBorder="1" applyAlignment="1">
      <alignment horizontal="right" vertical="center"/>
    </xf>
    <xf numFmtId="3" fontId="2" fillId="0" borderId="29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9" fontId="3" fillId="0" borderId="32" xfId="0" applyNumberFormat="1" applyFont="1" applyBorder="1" applyAlignment="1">
      <alignment horizontal="right" vertical="center"/>
    </xf>
    <xf numFmtId="179" fontId="3" fillId="0" borderId="29" xfId="0" applyNumberFormat="1" applyFont="1" applyBorder="1" applyAlignment="1">
      <alignment horizontal="right" vertical="center"/>
    </xf>
    <xf numFmtId="3" fontId="3" fillId="0" borderId="32" xfId="0" applyNumberFormat="1" applyFont="1" applyBorder="1" applyAlignment="1">
      <alignment horizontal="right" vertical="center"/>
    </xf>
    <xf numFmtId="179" fontId="3" fillId="0" borderId="10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3" fontId="2" fillId="0" borderId="15" xfId="0" applyNumberFormat="1" applyFont="1" applyBorder="1" applyAlignment="1">
      <alignment horizontal="center" vertical="center"/>
    </xf>
    <xf numFmtId="3" fontId="2" fillId="0" borderId="16" xfId="0" applyNumberFormat="1" applyFont="1" applyBorder="1" applyAlignment="1">
      <alignment vertical="center"/>
    </xf>
    <xf numFmtId="3" fontId="2" fillId="0" borderId="16" xfId="0" applyNumberFormat="1" applyFont="1" applyBorder="1" applyAlignment="1">
      <alignment horizontal="center" vertical="center"/>
    </xf>
    <xf numFmtId="3" fontId="2" fillId="0" borderId="16" xfId="0" applyNumberFormat="1" applyFont="1" applyBorder="1" applyAlignment="1">
      <alignment horizontal="right" vertical="center"/>
    </xf>
    <xf numFmtId="3" fontId="2" fillId="0" borderId="17" xfId="0" applyNumberFormat="1" applyFont="1" applyBorder="1" applyAlignment="1">
      <alignment horizontal="left" vertical="center"/>
    </xf>
    <xf numFmtId="181" fontId="3" fillId="0" borderId="16" xfId="0" applyNumberFormat="1" applyFont="1" applyBorder="1" applyAlignment="1">
      <alignment horizontal="right" vertical="center"/>
    </xf>
    <xf numFmtId="177" fontId="3" fillId="0" borderId="16" xfId="0" applyNumberFormat="1" applyFont="1" applyBorder="1" applyAlignment="1">
      <alignment vertical="center"/>
    </xf>
    <xf numFmtId="177" fontId="3" fillId="0" borderId="11" xfId="0" applyNumberFormat="1" applyFont="1" applyBorder="1" applyAlignment="1">
      <alignment vertical="center"/>
    </xf>
    <xf numFmtId="181" fontId="3" fillId="0" borderId="11" xfId="0" applyNumberFormat="1" applyFont="1" applyBorder="1" applyAlignment="1">
      <alignment horizontal="right" vertical="center"/>
    </xf>
    <xf numFmtId="3" fontId="3" fillId="0" borderId="34" xfId="0" applyNumberFormat="1" applyFont="1" applyBorder="1" applyAlignment="1">
      <alignment horizontal="left" vertical="center"/>
    </xf>
    <xf numFmtId="3" fontId="3" fillId="0" borderId="9" xfId="0" applyNumberFormat="1" applyFont="1" applyBorder="1" applyAlignment="1">
      <alignment horizontal="left" vertical="center"/>
    </xf>
    <xf numFmtId="3" fontId="3" fillId="0" borderId="9" xfId="0" applyNumberFormat="1" applyFont="1" applyBorder="1" applyAlignment="1">
      <alignment horizontal="right" vertical="center"/>
    </xf>
    <xf numFmtId="3" fontId="3" fillId="0" borderId="2" xfId="0" applyNumberFormat="1" applyFont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3" fillId="0" borderId="32" xfId="0" applyNumberFormat="1" applyFont="1" applyBorder="1" applyAlignment="1">
      <alignment horizontal="left" vertical="center"/>
    </xf>
    <xf numFmtId="3" fontId="3" fillId="0" borderId="25" xfId="0" applyNumberFormat="1" applyFont="1" applyBorder="1" applyAlignment="1">
      <alignment horizontal="left" vertical="center"/>
    </xf>
    <xf numFmtId="3" fontId="3" fillId="0" borderId="19" xfId="0" applyNumberFormat="1" applyFont="1" applyBorder="1" applyAlignment="1">
      <alignment horizontal="left" vertical="center"/>
    </xf>
    <xf numFmtId="3" fontId="3" fillId="0" borderId="35" xfId="0" applyNumberFormat="1" applyFont="1" applyBorder="1" applyAlignment="1">
      <alignment horizontal="left" vertical="center"/>
    </xf>
    <xf numFmtId="3" fontId="3" fillId="0" borderId="5" xfId="0" applyNumberFormat="1" applyFont="1" applyBorder="1" applyAlignment="1">
      <alignment horizontal="left" vertical="center"/>
    </xf>
    <xf numFmtId="3" fontId="3" fillId="0" borderId="1" xfId="0" applyNumberFormat="1" applyFont="1" applyBorder="1" applyAlignment="1">
      <alignment horizontal="left" vertical="center"/>
    </xf>
    <xf numFmtId="3" fontId="3" fillId="0" borderId="10" xfId="0" applyNumberFormat="1" applyFont="1" applyBorder="1" applyAlignment="1">
      <alignment horizontal="left" vertical="center"/>
    </xf>
    <xf numFmtId="3" fontId="7" fillId="0" borderId="16" xfId="0" applyNumberFormat="1" applyFont="1" applyBorder="1" applyAlignment="1">
      <alignment horizontal="left" vertical="center"/>
    </xf>
    <xf numFmtId="3" fontId="8" fillId="0" borderId="16" xfId="0" applyNumberFormat="1" applyFont="1" applyBorder="1" applyAlignment="1">
      <alignment horizontal="left" vertical="center"/>
    </xf>
    <xf numFmtId="3" fontId="9" fillId="0" borderId="16" xfId="0" applyNumberFormat="1" applyFont="1" applyBorder="1" applyAlignment="1">
      <alignment horizontal="left" vertical="center"/>
    </xf>
    <xf numFmtId="3" fontId="10" fillId="0" borderId="16" xfId="0" applyNumberFormat="1" applyFont="1" applyBorder="1" applyAlignment="1">
      <alignment horizontal="left" vertical="center"/>
    </xf>
    <xf numFmtId="3" fontId="3" fillId="0" borderId="36" xfId="0" applyNumberFormat="1" applyFont="1" applyBorder="1" applyAlignment="1">
      <alignment vertical="center"/>
    </xf>
    <xf numFmtId="3" fontId="3" fillId="0" borderId="37" xfId="0" applyNumberFormat="1" applyFont="1" applyBorder="1" applyAlignment="1">
      <alignment horizontal="left" vertical="center"/>
    </xf>
    <xf numFmtId="3" fontId="3" fillId="0" borderId="36" xfId="0" applyNumberFormat="1" applyFont="1" applyBorder="1" applyAlignment="1">
      <alignment horizontal="left" vertical="center"/>
    </xf>
    <xf numFmtId="3" fontId="3" fillId="0" borderId="36" xfId="0" applyNumberFormat="1" applyFont="1" applyBorder="1" applyAlignment="1">
      <alignment horizontal="center" vertical="center"/>
    </xf>
    <xf numFmtId="3" fontId="3" fillId="0" borderId="36" xfId="0" applyNumberFormat="1" applyFont="1" applyBorder="1" applyAlignment="1">
      <alignment horizontal="right" vertical="center"/>
    </xf>
    <xf numFmtId="3" fontId="3" fillId="0" borderId="38" xfId="0" applyNumberFormat="1" applyFont="1" applyBorder="1" applyAlignment="1">
      <alignment horizontal="left" vertical="center"/>
    </xf>
    <xf numFmtId="3" fontId="11" fillId="0" borderId="16" xfId="0" applyNumberFormat="1" applyFont="1" applyBorder="1" applyAlignment="1">
      <alignment horizontal="left" vertical="center"/>
    </xf>
    <xf numFmtId="10" fontId="0" fillId="0" borderId="0" xfId="0" applyNumberFormat="1"/>
    <xf numFmtId="182" fontId="5" fillId="0" borderId="0" xfId="1" applyNumberFormat="1"/>
    <xf numFmtId="1" fontId="0" fillId="0" borderId="0" xfId="0" applyNumberFormat="1"/>
    <xf numFmtId="3" fontId="3" fillId="0" borderId="16" xfId="0" quotePrefix="1" applyNumberFormat="1" applyFont="1" applyBorder="1" applyAlignment="1">
      <alignment horizontal="right" vertical="center"/>
    </xf>
    <xf numFmtId="3" fontId="2" fillId="0" borderId="39" xfId="0" applyNumberFormat="1" applyFont="1" applyBorder="1" applyAlignment="1">
      <alignment horizontal="center" vertical="center"/>
    </xf>
    <xf numFmtId="3" fontId="2" fillId="0" borderId="4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3" fontId="2" fillId="0" borderId="41" xfId="0" applyNumberFormat="1" applyFont="1" applyBorder="1" applyAlignment="1">
      <alignment horizontal="center" vertical="center"/>
    </xf>
    <xf numFmtId="3" fontId="2" fillId="0" borderId="42" xfId="0" applyNumberFormat="1" applyFont="1" applyBorder="1" applyAlignment="1">
      <alignment horizontal="center" vertical="center"/>
    </xf>
    <xf numFmtId="3" fontId="2" fillId="0" borderId="28" xfId="0" applyNumberFormat="1" applyFont="1" applyBorder="1" applyAlignment="1">
      <alignment horizontal="center" vertical="center"/>
    </xf>
    <xf numFmtId="3" fontId="2" fillId="0" borderId="43" xfId="0" applyNumberFormat="1" applyFont="1" applyBorder="1" applyAlignment="1">
      <alignment horizontal="center" vertical="center"/>
    </xf>
    <xf numFmtId="3" fontId="2" fillId="0" borderId="44" xfId="0" applyNumberFormat="1" applyFont="1" applyBorder="1" applyAlignment="1">
      <alignment horizontal="center" vertical="center"/>
    </xf>
    <xf numFmtId="3" fontId="2" fillId="0" borderId="45" xfId="0" applyNumberFormat="1" applyFont="1" applyBorder="1" applyAlignment="1">
      <alignment horizontal="center" vertical="center"/>
    </xf>
    <xf numFmtId="3" fontId="2" fillId="0" borderId="46" xfId="0" applyNumberFormat="1" applyFont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179" fontId="2" fillId="0" borderId="39" xfId="0" applyNumberFormat="1" applyFont="1" applyBorder="1" applyAlignment="1">
      <alignment horizontal="center" vertical="center"/>
    </xf>
    <xf numFmtId="179" fontId="2" fillId="0" borderId="40" xfId="0" applyNumberFormat="1" applyFont="1" applyBorder="1" applyAlignment="1">
      <alignment horizontal="center" vertical="center"/>
    </xf>
    <xf numFmtId="3" fontId="3" fillId="0" borderId="25" xfId="0" applyNumberFormat="1" applyFont="1" applyBorder="1" applyAlignment="1">
      <alignment vertical="center"/>
    </xf>
    <xf numFmtId="179" fontId="3" fillId="0" borderId="25" xfId="0" applyNumberFormat="1" applyFont="1" applyBorder="1" applyAlignment="1">
      <alignment vertical="center"/>
    </xf>
    <xf numFmtId="178" fontId="3" fillId="0" borderId="25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180" fontId="3" fillId="0" borderId="25" xfId="0" applyNumberFormat="1" applyFont="1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Alignment="1">
      <alignment vertical="center"/>
    </xf>
    <xf numFmtId="3" fontId="3" fillId="2" borderId="9" xfId="0" applyNumberFormat="1" applyFont="1" applyFill="1" applyBorder="1" applyAlignment="1">
      <alignment vertical="center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13</xdr:col>
          <xdr:colOff>228600</xdr:colOff>
          <xdr:row>5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200025</xdr:rowOff>
        </xdr:from>
        <xdr:to>
          <xdr:col>13</xdr:col>
          <xdr:colOff>228600</xdr:colOff>
          <xdr:row>7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52"/>
  <sheetViews>
    <sheetView zoomScaleNormal="100" zoomScaleSheetLayoutView="115" workbookViewId="0">
      <pane ySplit="3" topLeftCell="A7" activePane="bottomLeft" state="frozen"/>
      <selection activeCell="K16" sqref="K16"/>
      <selection pane="bottomLeft" activeCell="L11" sqref="L11"/>
    </sheetView>
  </sheetViews>
  <sheetFormatPr defaultRowHeight="12.75" x14ac:dyDescent="0.2"/>
  <cols>
    <col min="1" max="1" width="0.7109375" customWidth="1"/>
    <col min="2" max="3" width="2.7109375" customWidth="1"/>
    <col min="4" max="4" width="19.28515625" customWidth="1"/>
    <col min="5" max="5" width="4.7109375" customWidth="1"/>
    <col min="6" max="6" width="15.42578125" customWidth="1"/>
    <col min="7" max="7" width="5.42578125" customWidth="1"/>
    <col min="8" max="8" width="35.5703125" customWidth="1"/>
    <col min="9" max="9" width="9.85546875" bestFit="1" customWidth="1"/>
  </cols>
  <sheetData>
    <row r="1" spans="2:9" ht="24.95" customHeight="1" x14ac:dyDescent="0.2">
      <c r="B1" s="118" t="s">
        <v>284</v>
      </c>
      <c r="C1" s="118"/>
      <c r="D1" s="118"/>
      <c r="E1" s="118"/>
      <c r="F1" s="118"/>
      <c r="G1" s="118"/>
      <c r="H1" s="118"/>
    </row>
    <row r="2" spans="2:9" ht="9.9499999999999993" customHeight="1" x14ac:dyDescent="0.2">
      <c r="B2" s="119"/>
      <c r="C2" s="119"/>
      <c r="D2" s="119"/>
      <c r="E2" s="119"/>
      <c r="F2" s="119"/>
      <c r="G2" s="119"/>
      <c r="H2" s="119"/>
    </row>
    <row r="3" spans="2:9" ht="33.6" customHeight="1" x14ac:dyDescent="0.2">
      <c r="B3" s="116" t="s">
        <v>86</v>
      </c>
      <c r="C3" s="117"/>
      <c r="D3" s="117"/>
      <c r="E3" s="6" t="s">
        <v>40</v>
      </c>
      <c r="F3" s="7" t="s">
        <v>246</v>
      </c>
      <c r="G3" s="7" t="s">
        <v>200</v>
      </c>
      <c r="H3" s="8" t="s">
        <v>500</v>
      </c>
    </row>
    <row r="4" spans="2:9" ht="22.35" customHeight="1" x14ac:dyDescent="0.2">
      <c r="B4" s="89" t="s">
        <v>509</v>
      </c>
      <c r="C4" s="90" t="s">
        <v>482</v>
      </c>
      <c r="D4" s="93" t="s">
        <v>307</v>
      </c>
      <c r="E4" s="94" t="s">
        <v>151</v>
      </c>
      <c r="F4" s="91" t="str">
        <f>내역서!L29</f>
        <v>20,384,583</v>
      </c>
      <c r="G4" s="91" t="s">
        <v>509</v>
      </c>
      <c r="H4" s="92" t="s">
        <v>509</v>
      </c>
    </row>
    <row r="5" spans="2:9" ht="22.35" customHeight="1" x14ac:dyDescent="0.2">
      <c r="B5" s="89" t="s">
        <v>509</v>
      </c>
      <c r="C5" s="90" t="s">
        <v>494</v>
      </c>
      <c r="D5" s="93" t="s">
        <v>474</v>
      </c>
      <c r="E5" s="94" t="s">
        <v>476</v>
      </c>
      <c r="F5" s="91">
        <f>내역서!L59-내역서!L29</f>
        <v>670359</v>
      </c>
      <c r="G5" s="91" t="s">
        <v>509</v>
      </c>
      <c r="H5" s="92" t="s">
        <v>509</v>
      </c>
    </row>
    <row r="6" spans="2:9" ht="22.35" customHeight="1" x14ac:dyDescent="0.2">
      <c r="B6" s="89" t="s">
        <v>509</v>
      </c>
      <c r="C6" s="90" t="s">
        <v>281</v>
      </c>
      <c r="D6" s="95" t="s">
        <v>230</v>
      </c>
      <c r="E6" s="96" t="s">
        <v>220</v>
      </c>
      <c r="F6" s="21"/>
      <c r="G6" s="55" t="s">
        <v>509</v>
      </c>
      <c r="H6" s="22" t="s">
        <v>509</v>
      </c>
    </row>
    <row r="7" spans="2:9" ht="22.35" customHeight="1" x14ac:dyDescent="0.2">
      <c r="B7" s="89" t="s">
        <v>509</v>
      </c>
      <c r="C7" s="19" t="s">
        <v>509</v>
      </c>
      <c r="D7" s="95" t="s">
        <v>325</v>
      </c>
      <c r="E7" s="96" t="s">
        <v>239</v>
      </c>
      <c r="F7" s="21">
        <f>TRUNC((F4+F5+F6),0)</f>
        <v>21054942</v>
      </c>
      <c r="G7" s="55" t="s">
        <v>509</v>
      </c>
      <c r="H7" s="22" t="s">
        <v>424</v>
      </c>
    </row>
    <row r="8" spans="2:9" ht="22.35" customHeight="1" x14ac:dyDescent="0.2">
      <c r="B8" s="89" t="s">
        <v>366</v>
      </c>
      <c r="C8" s="90" t="s">
        <v>451</v>
      </c>
      <c r="D8" s="93" t="s">
        <v>356</v>
      </c>
      <c r="E8" s="94" t="s">
        <v>396</v>
      </c>
      <c r="F8" s="91" t="str">
        <f>내역서!J59</f>
        <v>27,582,689</v>
      </c>
      <c r="G8" s="91" t="s">
        <v>509</v>
      </c>
      <c r="H8" s="92" t="s">
        <v>509</v>
      </c>
    </row>
    <row r="9" spans="2:9" ht="22.35" customHeight="1" x14ac:dyDescent="0.2">
      <c r="B9" s="89" t="s">
        <v>385</v>
      </c>
      <c r="C9" s="90" t="s">
        <v>477</v>
      </c>
      <c r="D9" s="95" t="s">
        <v>442</v>
      </c>
      <c r="E9" s="96" t="s">
        <v>165</v>
      </c>
      <c r="F9" s="21">
        <f>TRUNC(F8*0.128,0)</f>
        <v>3530584</v>
      </c>
      <c r="G9" s="55" t="s">
        <v>339</v>
      </c>
      <c r="H9" s="22" t="s">
        <v>66</v>
      </c>
    </row>
    <row r="10" spans="2:9" ht="22.35" customHeight="1" x14ac:dyDescent="0.2">
      <c r="B10" s="89" t="s">
        <v>366</v>
      </c>
      <c r="C10" s="19" t="s">
        <v>281</v>
      </c>
      <c r="D10" s="95" t="s">
        <v>325</v>
      </c>
      <c r="E10" s="96" t="s">
        <v>413</v>
      </c>
      <c r="F10" s="21">
        <f>TRUNC((F8+F9),0)</f>
        <v>31113273</v>
      </c>
      <c r="G10" s="55" t="s">
        <v>509</v>
      </c>
      <c r="H10" s="22" t="s">
        <v>178</v>
      </c>
    </row>
    <row r="11" spans="2:9" ht="22.35" customHeight="1" x14ac:dyDescent="0.2">
      <c r="B11" s="89" t="s">
        <v>121</v>
      </c>
      <c r="C11" s="90" t="s">
        <v>509</v>
      </c>
      <c r="D11" s="93" t="s">
        <v>146</v>
      </c>
      <c r="E11" s="94" t="s">
        <v>464</v>
      </c>
      <c r="F11" s="91" t="str">
        <f>내역서!N59</f>
        <v>1,280,945</v>
      </c>
      <c r="G11" s="91" t="s">
        <v>509</v>
      </c>
      <c r="H11" s="92" t="s">
        <v>509</v>
      </c>
    </row>
    <row r="12" spans="2:9" ht="22.35" customHeight="1" x14ac:dyDescent="0.2">
      <c r="B12" s="89" t="s">
        <v>366</v>
      </c>
      <c r="C12" s="90" t="s">
        <v>509</v>
      </c>
      <c r="D12" s="93" t="s">
        <v>384</v>
      </c>
      <c r="E12" s="94" t="s">
        <v>259</v>
      </c>
      <c r="F12" s="9">
        <f>TRUNC(F10*0.0375,0)</f>
        <v>1166747</v>
      </c>
      <c r="G12" s="91" t="s">
        <v>202</v>
      </c>
      <c r="H12" s="92" t="s">
        <v>168</v>
      </c>
    </row>
    <row r="13" spans="2:9" ht="22.35" customHeight="1" x14ac:dyDescent="0.2">
      <c r="B13" s="89" t="s">
        <v>181</v>
      </c>
      <c r="C13" s="90" t="s">
        <v>509</v>
      </c>
      <c r="D13" s="93" t="s">
        <v>423</v>
      </c>
      <c r="E13" s="94" t="s">
        <v>467</v>
      </c>
      <c r="F13" s="9">
        <f>TRUNC(F10*0.0087,0)</f>
        <v>270685</v>
      </c>
      <c r="G13" s="91" t="s">
        <v>104</v>
      </c>
      <c r="H13" s="92" t="s">
        <v>82</v>
      </c>
    </row>
    <row r="14" spans="2:9" ht="22.35" customHeight="1" x14ac:dyDescent="0.2">
      <c r="B14" s="89" t="s">
        <v>366</v>
      </c>
      <c r="C14" s="90" t="s">
        <v>116</v>
      </c>
      <c r="D14" s="93" t="s">
        <v>294</v>
      </c>
      <c r="E14" s="94" t="s">
        <v>255</v>
      </c>
      <c r="F14" s="9">
        <f>TRUNC(F8*0.0323,0)</f>
        <v>890920</v>
      </c>
      <c r="G14" s="91" t="s">
        <v>101</v>
      </c>
      <c r="H14" s="92" t="s">
        <v>17</v>
      </c>
      <c r="I14" s="17">
        <f>F14+F15+F16</f>
        <v>2207958</v>
      </c>
    </row>
    <row r="15" spans="2:9" ht="22.35" customHeight="1" x14ac:dyDescent="0.2">
      <c r="B15" s="89" t="s">
        <v>306</v>
      </c>
      <c r="C15" s="90" t="s">
        <v>509</v>
      </c>
      <c r="D15" s="93" t="s">
        <v>272</v>
      </c>
      <c r="E15" s="94" t="s">
        <v>57</v>
      </c>
      <c r="F15" s="9">
        <f>TRUNC(F8*0.045,0)</f>
        <v>1241221</v>
      </c>
      <c r="G15" s="91" t="s">
        <v>23</v>
      </c>
      <c r="H15" s="92" t="s">
        <v>44</v>
      </c>
    </row>
    <row r="16" spans="2:9" ht="22.35" customHeight="1" x14ac:dyDescent="0.2">
      <c r="B16" s="89" t="s">
        <v>509</v>
      </c>
      <c r="C16" s="90" t="s">
        <v>509</v>
      </c>
      <c r="D16" s="93" t="s">
        <v>295</v>
      </c>
      <c r="E16" s="94" t="s">
        <v>276</v>
      </c>
      <c r="F16" s="9">
        <f>TRUNC(F14*0.0851,0)</f>
        <v>75817</v>
      </c>
      <c r="G16" s="91" t="s">
        <v>75</v>
      </c>
      <c r="H16" s="92" t="s">
        <v>205</v>
      </c>
    </row>
    <row r="17" spans="2:9" ht="22.35" customHeight="1" x14ac:dyDescent="0.2">
      <c r="B17" s="89" t="s">
        <v>389</v>
      </c>
      <c r="C17" s="90" t="s">
        <v>509</v>
      </c>
      <c r="D17" s="93" t="s">
        <v>87</v>
      </c>
      <c r="E17" s="94" t="s">
        <v>108</v>
      </c>
      <c r="F17" s="9"/>
      <c r="G17" s="91"/>
      <c r="H17" s="92" t="s">
        <v>196</v>
      </c>
    </row>
    <row r="18" spans="2:9" ht="22.35" customHeight="1" x14ac:dyDescent="0.2">
      <c r="B18" s="89" t="s">
        <v>509</v>
      </c>
      <c r="C18" s="90" t="s">
        <v>509</v>
      </c>
      <c r="D18" s="93" t="s">
        <v>262</v>
      </c>
      <c r="E18" s="94" t="s">
        <v>334</v>
      </c>
      <c r="F18" s="9">
        <f>TRUNC((F7+F8+F11)*0.0039,0)</f>
        <v>194682</v>
      </c>
      <c r="G18" s="91" t="s">
        <v>201</v>
      </c>
      <c r="H18" s="92" t="s">
        <v>450</v>
      </c>
    </row>
    <row r="19" spans="2:9" ht="22.35" customHeight="1" x14ac:dyDescent="0.2">
      <c r="B19" s="89" t="s">
        <v>366</v>
      </c>
      <c r="C19" s="90" t="s">
        <v>509</v>
      </c>
      <c r="D19" s="93" t="s">
        <v>324</v>
      </c>
      <c r="E19" s="94" t="s">
        <v>12</v>
      </c>
      <c r="F19" s="9">
        <f>TRUNC((F7+F8)*0.0293,0)</f>
        <v>1425082</v>
      </c>
      <c r="G19" s="91" t="s">
        <v>211</v>
      </c>
      <c r="H19" s="92" t="s">
        <v>229</v>
      </c>
    </row>
    <row r="20" spans="2:9" ht="22.35" customHeight="1" x14ac:dyDescent="0.2">
      <c r="B20" s="89" t="s">
        <v>509</v>
      </c>
      <c r="C20" s="90" t="s">
        <v>509</v>
      </c>
      <c r="D20" s="93" t="s">
        <v>265</v>
      </c>
      <c r="E20" s="94" t="s">
        <v>293</v>
      </c>
      <c r="F20" s="9">
        <f>TRUNC((F7+F8+F11)*0.005,0)</f>
        <v>249592</v>
      </c>
      <c r="G20" s="91" t="s">
        <v>189</v>
      </c>
      <c r="H20" s="92" t="s">
        <v>313</v>
      </c>
    </row>
    <row r="21" spans="2:9" ht="22.35" customHeight="1" x14ac:dyDescent="0.2">
      <c r="B21" s="89" t="s">
        <v>509</v>
      </c>
      <c r="C21" s="90" t="s">
        <v>509</v>
      </c>
      <c r="D21" s="93" t="s">
        <v>422</v>
      </c>
      <c r="E21" s="94" t="s">
        <v>94</v>
      </c>
      <c r="F21" s="9"/>
      <c r="G21" s="91" t="s">
        <v>509</v>
      </c>
      <c r="H21" s="92" t="s">
        <v>509</v>
      </c>
    </row>
    <row r="22" spans="2:9" ht="22.35" customHeight="1" x14ac:dyDescent="0.2">
      <c r="B22" s="89" t="s">
        <v>509</v>
      </c>
      <c r="C22" s="90" t="s">
        <v>281</v>
      </c>
      <c r="D22" s="93" t="s">
        <v>249</v>
      </c>
      <c r="E22" s="94" t="s">
        <v>376</v>
      </c>
      <c r="F22" s="9"/>
      <c r="G22" s="91"/>
      <c r="H22" s="92" t="s">
        <v>501</v>
      </c>
    </row>
    <row r="23" spans="2:9" ht="22.35" customHeight="1" x14ac:dyDescent="0.2">
      <c r="B23" s="89" t="s">
        <v>509</v>
      </c>
      <c r="C23" s="90" t="s">
        <v>509</v>
      </c>
      <c r="D23" s="95" t="s">
        <v>223</v>
      </c>
      <c r="E23" s="96" t="s">
        <v>96</v>
      </c>
      <c r="F23" s="21">
        <f>TRUNC((F7+F10)*0.079,0)</f>
        <v>4121288</v>
      </c>
      <c r="G23" s="55" t="s">
        <v>465</v>
      </c>
      <c r="H23" s="22" t="s">
        <v>328</v>
      </c>
    </row>
    <row r="24" spans="2:9" ht="22.35" customHeight="1" x14ac:dyDescent="0.2">
      <c r="B24" s="57" t="s">
        <v>509</v>
      </c>
      <c r="C24" s="19" t="s">
        <v>509</v>
      </c>
      <c r="D24" s="95" t="s">
        <v>325</v>
      </c>
      <c r="E24" s="96" t="s">
        <v>185</v>
      </c>
      <c r="F24" s="21">
        <f>TRUNC((F11+F12+F13+F14+F15+F16+F17+F18+F19+F20+F21+F22+F23),0)</f>
        <v>10916979</v>
      </c>
      <c r="G24" s="55" t="s">
        <v>509</v>
      </c>
      <c r="H24" s="22" t="s">
        <v>426</v>
      </c>
    </row>
    <row r="25" spans="2:9" ht="22.35" customHeight="1" x14ac:dyDescent="0.2">
      <c r="B25" s="97" t="s">
        <v>509</v>
      </c>
      <c r="C25" s="95" t="s">
        <v>509</v>
      </c>
      <c r="D25" s="95" t="s">
        <v>323</v>
      </c>
      <c r="E25" s="96" t="s">
        <v>492</v>
      </c>
      <c r="F25" s="21">
        <f>TRUNC((F7+F10+F24),0)</f>
        <v>63085194</v>
      </c>
      <c r="G25" s="55" t="s">
        <v>509</v>
      </c>
      <c r="H25" s="22" t="s">
        <v>114</v>
      </c>
    </row>
    <row r="26" spans="2:9" ht="22.35" customHeight="1" x14ac:dyDescent="0.2">
      <c r="B26" s="97" t="s">
        <v>509</v>
      </c>
      <c r="C26" s="95" t="s">
        <v>509</v>
      </c>
      <c r="D26" s="95" t="s">
        <v>288</v>
      </c>
      <c r="E26" s="96" t="s">
        <v>232</v>
      </c>
      <c r="F26" s="21">
        <f>TRUNC(F25*0.06,0)</f>
        <v>3785111</v>
      </c>
      <c r="G26" s="55" t="s">
        <v>103</v>
      </c>
      <c r="H26" s="22" t="s">
        <v>173</v>
      </c>
    </row>
    <row r="27" spans="2:9" ht="22.35" customHeight="1" x14ac:dyDescent="0.2">
      <c r="B27" s="97" t="s">
        <v>509</v>
      </c>
      <c r="C27" s="95" t="s">
        <v>509</v>
      </c>
      <c r="D27" s="95" t="s">
        <v>46</v>
      </c>
      <c r="E27" s="96" t="s">
        <v>433</v>
      </c>
      <c r="F27" s="21">
        <v>5856968</v>
      </c>
      <c r="G27" s="55" t="s">
        <v>183</v>
      </c>
      <c r="H27" s="22" t="s">
        <v>406</v>
      </c>
      <c r="I27">
        <f>(F10+F24+F26)*0.1279</f>
        <v>5859784.9277000008</v>
      </c>
    </row>
    <row r="28" spans="2:9" ht="22.35" customHeight="1" x14ac:dyDescent="0.2">
      <c r="B28" s="97" t="s">
        <v>509</v>
      </c>
      <c r="C28" s="95" t="s">
        <v>509</v>
      </c>
      <c r="D28" s="95" t="s">
        <v>432</v>
      </c>
      <c r="E28" s="96" t="s">
        <v>137</v>
      </c>
      <c r="F28" s="21"/>
      <c r="G28" s="55" t="s">
        <v>509</v>
      </c>
      <c r="H28" s="22" t="s">
        <v>509</v>
      </c>
    </row>
    <row r="29" spans="2:9" ht="22.35" customHeight="1" x14ac:dyDescent="0.2">
      <c r="B29" s="97" t="s">
        <v>509</v>
      </c>
      <c r="C29" s="95" t="s">
        <v>509</v>
      </c>
      <c r="D29" s="95" t="s">
        <v>280</v>
      </c>
      <c r="E29" s="96" t="s">
        <v>417</v>
      </c>
      <c r="F29" s="21">
        <f>TRUNC((F25+F26+F27+F28),0)</f>
        <v>72727273</v>
      </c>
      <c r="G29" s="55" t="s">
        <v>509</v>
      </c>
      <c r="H29" s="22" t="s">
        <v>447</v>
      </c>
    </row>
    <row r="30" spans="2:9" ht="22.35" customHeight="1" x14ac:dyDescent="0.2">
      <c r="B30" s="97" t="s">
        <v>509</v>
      </c>
      <c r="C30" s="95" t="s">
        <v>509</v>
      </c>
      <c r="D30" s="95" t="s">
        <v>110</v>
      </c>
      <c r="E30" s="96" t="s">
        <v>143</v>
      </c>
      <c r="F30" s="21">
        <f>IF(B52&lt;&gt; "0.9",TRUNC(F29*0.1,0),TRUNC(F29*0.1,0)+1)</f>
        <v>7272727</v>
      </c>
      <c r="G30" s="55" t="s">
        <v>503</v>
      </c>
      <c r="H30" s="22" t="s">
        <v>237</v>
      </c>
    </row>
    <row r="31" spans="2:9" ht="22.35" customHeight="1" x14ac:dyDescent="0.2">
      <c r="B31" s="97" t="s">
        <v>509</v>
      </c>
      <c r="C31" s="95" t="s">
        <v>509</v>
      </c>
      <c r="D31" s="95" t="s">
        <v>415</v>
      </c>
      <c r="E31" s="96" t="s">
        <v>493</v>
      </c>
      <c r="F31" s="21">
        <f>TRUNC((F29+F30),0)</f>
        <v>80000000</v>
      </c>
      <c r="G31" s="55" t="s">
        <v>509</v>
      </c>
      <c r="H31" s="22" t="s">
        <v>261</v>
      </c>
    </row>
    <row r="32" spans="2:9" ht="22.35" customHeight="1" x14ac:dyDescent="0.2">
      <c r="B32" s="97" t="s">
        <v>509</v>
      </c>
      <c r="C32" s="95" t="s">
        <v>509</v>
      </c>
      <c r="D32" s="95" t="s">
        <v>244</v>
      </c>
      <c r="E32" s="96" t="s">
        <v>224</v>
      </c>
      <c r="F32" s="21"/>
      <c r="G32" s="55" t="s">
        <v>509</v>
      </c>
      <c r="H32" s="22" t="s">
        <v>509</v>
      </c>
    </row>
    <row r="33" spans="2:8" ht="22.35" customHeight="1" x14ac:dyDescent="0.2">
      <c r="B33" s="98" t="s">
        <v>509</v>
      </c>
      <c r="C33" s="99" t="s">
        <v>509</v>
      </c>
      <c r="D33" s="99" t="s">
        <v>128</v>
      </c>
      <c r="E33" s="100" t="s">
        <v>400</v>
      </c>
      <c r="F33" s="12">
        <f>TRUNC((F31+F32),0)</f>
        <v>80000000</v>
      </c>
      <c r="G33" s="63" t="s">
        <v>509</v>
      </c>
      <c r="H33" s="26" t="s">
        <v>14</v>
      </c>
    </row>
    <row r="34" spans="2:8" x14ac:dyDescent="0.2">
      <c r="B34" s="13"/>
      <c r="C34" s="13"/>
      <c r="D34" s="13"/>
      <c r="E34" s="13"/>
      <c r="F34" s="13"/>
      <c r="G34" s="13"/>
      <c r="H34" s="13"/>
    </row>
    <row r="52" spans="2:2" x14ac:dyDescent="0.2">
      <c r="B52" t="str">
        <f>RIGHT(F29*0.1,3)</f>
        <v>7.3</v>
      </c>
    </row>
  </sheetData>
  <mergeCells count="2">
    <mergeCell ref="B3:D3"/>
    <mergeCell ref="B1:H2"/>
  </mergeCells>
  <phoneticPr fontId="6" type="noConversion"/>
  <pageMargins left="0.78740157480314965" right="7.874015748031496E-2" top="0.94488188976377963" bottom="0.59055118110236215" header="0.5" footer="0.5"/>
  <pageSetup paperSize="9" orientation="portrait" r:id="rId1"/>
  <headerFooter alignWithMargins="0"/>
  <ignoredErrors>
    <ignoredError sqref="E4:E6 E8:E9 G9 E11:E23 G12:G16 G18:G20 G23 G26:G27 G30" numberStoredAsText="1"/>
    <ignoredError sqref="F7 F24 F29 F33" emptyCellReferenc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27"/>
  <sheetViews>
    <sheetView zoomScaleNormal="100" zoomScaleSheetLayoutView="145" workbookViewId="0">
      <pane ySplit="3" topLeftCell="A4" activePane="bottomLeft" state="frozen"/>
      <selection activeCell="K16" sqref="K16"/>
      <selection pane="bottomLeft" activeCell="M3" sqref="M3"/>
    </sheetView>
  </sheetViews>
  <sheetFormatPr defaultRowHeight="12.75" x14ac:dyDescent="0.2"/>
  <cols>
    <col min="1" max="1" width="0.7109375" customWidth="1"/>
    <col min="2" max="2" width="7.7109375" customWidth="1"/>
    <col min="3" max="3" width="23.28515625" customWidth="1"/>
    <col min="4" max="4" width="21.42578125" customWidth="1"/>
    <col min="5" max="5" width="13.5703125" customWidth="1"/>
    <col min="6" max="6" width="7.7109375" customWidth="1"/>
    <col min="7" max="7" width="18.42578125" customWidth="1"/>
    <col min="8" max="8" width="16.140625" customWidth="1"/>
    <col min="9" max="9" width="15.5703125" customWidth="1"/>
    <col min="10" max="10" width="16.28515625" customWidth="1"/>
    <col min="11" max="11" width="13.5703125" customWidth="1"/>
  </cols>
  <sheetData>
    <row r="1" spans="2:11" ht="24.95" customHeight="1" x14ac:dyDescent="0.2">
      <c r="B1" s="118" t="s">
        <v>405</v>
      </c>
      <c r="C1" s="118"/>
      <c r="D1" s="118"/>
      <c r="E1" s="118"/>
      <c r="F1" s="118"/>
      <c r="G1" s="118"/>
      <c r="H1" s="118"/>
      <c r="I1" s="118"/>
      <c r="J1" s="118"/>
      <c r="K1" s="118"/>
    </row>
    <row r="2" spans="2:11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</row>
    <row r="3" spans="2:11" ht="30.75" customHeight="1" x14ac:dyDescent="0.2">
      <c r="B3" s="14" t="s">
        <v>504</v>
      </c>
      <c r="C3" s="7" t="s">
        <v>336</v>
      </c>
      <c r="D3" s="7" t="s">
        <v>399</v>
      </c>
      <c r="E3" s="7" t="s">
        <v>13</v>
      </c>
      <c r="F3" s="7" t="s">
        <v>204</v>
      </c>
      <c r="G3" s="7" t="s">
        <v>487</v>
      </c>
      <c r="H3" s="7" t="s">
        <v>438</v>
      </c>
      <c r="I3" s="7" t="s">
        <v>319</v>
      </c>
      <c r="J3" s="7" t="s">
        <v>29</v>
      </c>
      <c r="K3" s="8" t="s">
        <v>125</v>
      </c>
    </row>
    <row r="4" spans="2:11" ht="19.7" customHeight="1" x14ac:dyDescent="0.2">
      <c r="B4" s="57" t="s">
        <v>360</v>
      </c>
      <c r="C4" s="19" t="s">
        <v>388</v>
      </c>
      <c r="D4" s="19" t="s">
        <v>509</v>
      </c>
      <c r="E4" s="21"/>
      <c r="F4" s="20" t="s">
        <v>509</v>
      </c>
      <c r="G4" s="55">
        <f>H4+I4+J4</f>
        <v>49918576</v>
      </c>
      <c r="H4" s="55" t="str">
        <f>내역서!J5</f>
        <v>27,582,689</v>
      </c>
      <c r="I4" s="55" t="str">
        <f>내역서!L5</f>
        <v>21,054,942</v>
      </c>
      <c r="J4" s="55" t="str">
        <f>내역서!N5</f>
        <v>1,280,945</v>
      </c>
      <c r="K4" s="22" t="s">
        <v>509</v>
      </c>
    </row>
    <row r="5" spans="2:11" ht="19.7" customHeight="1" x14ac:dyDescent="0.2">
      <c r="B5" s="57" t="s">
        <v>151</v>
      </c>
      <c r="C5" s="19" t="s">
        <v>59</v>
      </c>
      <c r="D5" s="19" t="s">
        <v>509</v>
      </c>
      <c r="E5" s="21"/>
      <c r="F5" s="20" t="s">
        <v>509</v>
      </c>
      <c r="G5" s="55">
        <f>H5+I5+J5</f>
        <v>25677560</v>
      </c>
      <c r="H5" s="55" t="str">
        <f>내역서!J6</f>
        <v>24,110,047</v>
      </c>
      <c r="I5" s="55" t="str">
        <f>내역서!L6</f>
        <v>666,759</v>
      </c>
      <c r="J5" s="55" t="str">
        <f>내역서!N6</f>
        <v>900,754</v>
      </c>
      <c r="K5" s="22" t="s">
        <v>509</v>
      </c>
    </row>
    <row r="6" spans="2:11" ht="19.7" customHeight="1" x14ac:dyDescent="0.2">
      <c r="B6" s="57" t="s">
        <v>476</v>
      </c>
      <c r="C6" s="19" t="s">
        <v>407</v>
      </c>
      <c r="D6" s="19" t="s">
        <v>509</v>
      </c>
      <c r="E6" s="21"/>
      <c r="F6" s="20" t="s">
        <v>509</v>
      </c>
      <c r="G6" s="55">
        <f>H6+I6+J6</f>
        <v>3856433</v>
      </c>
      <c r="H6" s="55" t="str">
        <f>내역서!J22</f>
        <v>3,472,642</v>
      </c>
      <c r="I6" s="55" t="str">
        <f>내역서!L22</f>
        <v>3,600</v>
      </c>
      <c r="J6" s="55" t="str">
        <f>내역서!N22</f>
        <v>380,191</v>
      </c>
      <c r="K6" s="22" t="s">
        <v>509</v>
      </c>
    </row>
    <row r="7" spans="2:11" ht="19.7" customHeight="1" x14ac:dyDescent="0.2">
      <c r="B7" s="57" t="s">
        <v>220</v>
      </c>
      <c r="C7" s="19" t="s">
        <v>315</v>
      </c>
      <c r="D7" s="19" t="s">
        <v>509</v>
      </c>
      <c r="E7" s="21"/>
      <c r="F7" s="20" t="s">
        <v>509</v>
      </c>
      <c r="G7" s="55">
        <f>H7+I7+J7</f>
        <v>20384583</v>
      </c>
      <c r="H7" s="55"/>
      <c r="I7" s="55" t="str">
        <f>내역서!L29</f>
        <v>20,384,583</v>
      </c>
      <c r="J7" s="55"/>
      <c r="K7" s="22" t="s">
        <v>509</v>
      </c>
    </row>
    <row r="8" spans="2:11" ht="19.7" customHeight="1" x14ac:dyDescent="0.2">
      <c r="B8" s="57" t="s">
        <v>509</v>
      </c>
      <c r="C8" s="19" t="s">
        <v>505</v>
      </c>
      <c r="D8" s="19" t="s">
        <v>509</v>
      </c>
      <c r="E8" s="21"/>
      <c r="F8" s="20" t="s">
        <v>509</v>
      </c>
      <c r="G8" s="55">
        <f>H8+I8+J8</f>
        <v>49918576</v>
      </c>
      <c r="H8" s="55" t="str">
        <f>내역서!J59</f>
        <v>27,582,689</v>
      </c>
      <c r="I8" s="55" t="str">
        <f>내역서!L59</f>
        <v>21,054,942</v>
      </c>
      <c r="J8" s="55" t="str">
        <f>내역서!N59</f>
        <v>1,280,945</v>
      </c>
      <c r="K8" s="22" t="s">
        <v>509</v>
      </c>
    </row>
    <row r="9" spans="2:11" ht="19.7" customHeight="1" x14ac:dyDescent="0.2">
      <c r="B9" s="57" t="s">
        <v>509</v>
      </c>
      <c r="C9" s="19" t="s">
        <v>434</v>
      </c>
      <c r="D9" s="19" t="s">
        <v>509</v>
      </c>
      <c r="E9" s="86">
        <v>12.8</v>
      </c>
      <c r="F9" s="20" t="s">
        <v>113</v>
      </c>
      <c r="G9" s="55">
        <f>원가계산서!F9</f>
        <v>3530584</v>
      </c>
      <c r="H9" s="21"/>
      <c r="I9" s="21"/>
      <c r="J9" s="21"/>
      <c r="K9" s="22" t="s">
        <v>509</v>
      </c>
    </row>
    <row r="10" spans="2:11" ht="19.7" customHeight="1" x14ac:dyDescent="0.2">
      <c r="B10" s="57" t="s">
        <v>509</v>
      </c>
      <c r="C10" s="19" t="s">
        <v>240</v>
      </c>
      <c r="D10" s="19" t="s">
        <v>509</v>
      </c>
      <c r="E10" s="86">
        <v>3.75</v>
      </c>
      <c r="F10" s="20" t="s">
        <v>113</v>
      </c>
      <c r="G10" s="55">
        <f>원가계산서!F12</f>
        <v>1166747</v>
      </c>
      <c r="H10" s="21"/>
      <c r="I10" s="21"/>
      <c r="J10" s="21"/>
      <c r="K10" s="22" t="s">
        <v>509</v>
      </c>
    </row>
    <row r="11" spans="2:11" ht="19.7" customHeight="1" x14ac:dyDescent="0.2">
      <c r="B11" s="57" t="s">
        <v>509</v>
      </c>
      <c r="C11" s="19" t="s">
        <v>203</v>
      </c>
      <c r="D11" s="19" t="s">
        <v>509</v>
      </c>
      <c r="E11" s="86">
        <v>0.87</v>
      </c>
      <c r="F11" s="20" t="s">
        <v>113</v>
      </c>
      <c r="G11" s="55">
        <f>원가계산서!F13</f>
        <v>270685</v>
      </c>
      <c r="H11" s="21"/>
      <c r="I11" s="21"/>
      <c r="J11" s="21"/>
      <c r="K11" s="22" t="s">
        <v>509</v>
      </c>
    </row>
    <row r="12" spans="2:11" ht="19.7" customHeight="1" x14ac:dyDescent="0.2">
      <c r="B12" s="57" t="s">
        <v>509</v>
      </c>
      <c r="C12" s="19" t="s">
        <v>285</v>
      </c>
      <c r="D12" s="19" t="s">
        <v>509</v>
      </c>
      <c r="E12" s="86">
        <v>3.23</v>
      </c>
      <c r="F12" s="20" t="s">
        <v>113</v>
      </c>
      <c r="G12" s="55">
        <f>원가계산서!F14</f>
        <v>890920</v>
      </c>
      <c r="H12" s="21"/>
      <c r="I12" s="21"/>
      <c r="J12" s="21"/>
      <c r="K12" s="22" t="s">
        <v>509</v>
      </c>
    </row>
    <row r="13" spans="2:11" ht="19.7" customHeight="1" x14ac:dyDescent="0.2">
      <c r="B13" s="57" t="s">
        <v>509</v>
      </c>
      <c r="C13" s="19" t="s">
        <v>439</v>
      </c>
      <c r="D13" s="19" t="s">
        <v>509</v>
      </c>
      <c r="E13" s="86">
        <v>4.5</v>
      </c>
      <c r="F13" s="20" t="s">
        <v>113</v>
      </c>
      <c r="G13" s="55">
        <f>원가계산서!F15</f>
        <v>1241221</v>
      </c>
      <c r="H13" s="21"/>
      <c r="I13" s="21"/>
      <c r="J13" s="21"/>
      <c r="K13" s="22" t="s">
        <v>509</v>
      </c>
    </row>
    <row r="14" spans="2:11" ht="19.7" customHeight="1" x14ac:dyDescent="0.2">
      <c r="B14" s="57" t="s">
        <v>509</v>
      </c>
      <c r="C14" s="19" t="s">
        <v>473</v>
      </c>
      <c r="D14" s="19" t="s">
        <v>509</v>
      </c>
      <c r="E14" s="86">
        <v>8.51</v>
      </c>
      <c r="F14" s="20" t="s">
        <v>113</v>
      </c>
      <c r="G14" s="55">
        <f>원가계산서!F16</f>
        <v>75817</v>
      </c>
      <c r="H14" s="21"/>
      <c r="I14" s="21"/>
      <c r="J14" s="21"/>
      <c r="K14" s="22" t="s">
        <v>509</v>
      </c>
    </row>
    <row r="15" spans="2:11" ht="19.7" customHeight="1" x14ac:dyDescent="0.2">
      <c r="B15" s="57" t="s">
        <v>509</v>
      </c>
      <c r="C15" s="19" t="s">
        <v>262</v>
      </c>
      <c r="D15" s="19" t="s">
        <v>509</v>
      </c>
      <c r="E15" s="86">
        <v>0.39</v>
      </c>
      <c r="F15" s="20" t="s">
        <v>113</v>
      </c>
      <c r="G15" s="55">
        <f>원가계산서!F18</f>
        <v>194682</v>
      </c>
      <c r="H15" s="21"/>
      <c r="I15" s="21"/>
      <c r="J15" s="21"/>
      <c r="K15" s="22" t="s">
        <v>509</v>
      </c>
    </row>
    <row r="16" spans="2:11" ht="19.7" customHeight="1" x14ac:dyDescent="0.2">
      <c r="B16" s="57" t="s">
        <v>509</v>
      </c>
      <c r="C16" s="19" t="s">
        <v>453</v>
      </c>
      <c r="D16" s="19" t="s">
        <v>509</v>
      </c>
      <c r="E16" s="86">
        <v>2.93</v>
      </c>
      <c r="F16" s="20" t="s">
        <v>113</v>
      </c>
      <c r="G16" s="55">
        <f>원가계산서!F19</f>
        <v>1425082</v>
      </c>
      <c r="H16" s="21"/>
      <c r="I16" s="21"/>
      <c r="J16" s="21"/>
      <c r="K16" s="22" t="s">
        <v>509</v>
      </c>
    </row>
    <row r="17" spans="2:11" ht="19.7" customHeight="1" x14ac:dyDescent="0.2">
      <c r="B17" s="57" t="s">
        <v>509</v>
      </c>
      <c r="C17" s="19" t="s">
        <v>429</v>
      </c>
      <c r="D17" s="19" t="s">
        <v>509</v>
      </c>
      <c r="E17" s="86">
        <v>0.5</v>
      </c>
      <c r="F17" s="20" t="s">
        <v>113</v>
      </c>
      <c r="G17" s="55">
        <f>원가계산서!F20</f>
        <v>249592</v>
      </c>
      <c r="H17" s="21"/>
      <c r="I17" s="21"/>
      <c r="J17" s="21"/>
      <c r="K17" s="22" t="s">
        <v>509</v>
      </c>
    </row>
    <row r="18" spans="2:11" ht="19.7" customHeight="1" x14ac:dyDescent="0.2">
      <c r="B18" s="57" t="s">
        <v>509</v>
      </c>
      <c r="C18" s="19" t="s">
        <v>495</v>
      </c>
      <c r="D18" s="19" t="s">
        <v>509</v>
      </c>
      <c r="E18" s="86">
        <v>7.9</v>
      </c>
      <c r="F18" s="20" t="s">
        <v>113</v>
      </c>
      <c r="G18" s="55">
        <f>원가계산서!F23</f>
        <v>4121288</v>
      </c>
      <c r="H18" s="21"/>
      <c r="I18" s="21"/>
      <c r="J18" s="21"/>
      <c r="K18" s="22" t="s">
        <v>509</v>
      </c>
    </row>
    <row r="19" spans="2:11" ht="19.7" customHeight="1" x14ac:dyDescent="0.2">
      <c r="B19" s="57" t="s">
        <v>509</v>
      </c>
      <c r="C19" s="19" t="s">
        <v>314</v>
      </c>
      <c r="D19" s="19" t="s">
        <v>509</v>
      </c>
      <c r="E19" s="21"/>
      <c r="F19" s="20" t="s">
        <v>509</v>
      </c>
      <c r="G19" s="55">
        <f>원가계산서!F7</f>
        <v>21054942</v>
      </c>
      <c r="H19" s="21"/>
      <c r="I19" s="21"/>
      <c r="J19" s="21"/>
      <c r="K19" s="22" t="s">
        <v>509</v>
      </c>
    </row>
    <row r="20" spans="2:11" ht="19.7" customHeight="1" x14ac:dyDescent="0.2">
      <c r="B20" s="57" t="s">
        <v>509</v>
      </c>
      <c r="C20" s="19" t="s">
        <v>478</v>
      </c>
      <c r="D20" s="19" t="s">
        <v>509</v>
      </c>
      <c r="E20" s="21"/>
      <c r="F20" s="20" t="s">
        <v>509</v>
      </c>
      <c r="G20" s="55">
        <f>원가계산서!F25</f>
        <v>63085194</v>
      </c>
      <c r="H20" s="21"/>
      <c r="I20" s="21"/>
      <c r="J20" s="21"/>
      <c r="K20" s="22" t="s">
        <v>509</v>
      </c>
    </row>
    <row r="21" spans="2:11" ht="19.7" customHeight="1" x14ac:dyDescent="0.2">
      <c r="B21" s="57" t="s">
        <v>509</v>
      </c>
      <c r="C21" s="19" t="s">
        <v>441</v>
      </c>
      <c r="D21" s="19" t="s">
        <v>509</v>
      </c>
      <c r="E21" s="21">
        <v>6</v>
      </c>
      <c r="F21" s="20" t="s">
        <v>113</v>
      </c>
      <c r="G21" s="55">
        <f>원가계산서!F26</f>
        <v>3785111</v>
      </c>
      <c r="H21" s="21"/>
      <c r="I21" s="21"/>
      <c r="J21" s="21"/>
      <c r="K21" s="22" t="s">
        <v>509</v>
      </c>
    </row>
    <row r="22" spans="2:11" ht="19.7" customHeight="1" x14ac:dyDescent="0.2">
      <c r="B22" s="57" t="s">
        <v>509</v>
      </c>
      <c r="C22" s="19" t="s">
        <v>186</v>
      </c>
      <c r="D22" s="19" t="s">
        <v>509</v>
      </c>
      <c r="E22" s="86">
        <v>12.79</v>
      </c>
      <c r="F22" s="20" t="s">
        <v>113</v>
      </c>
      <c r="G22" s="55">
        <f>원가계산서!F27</f>
        <v>5856968</v>
      </c>
      <c r="H22" s="21"/>
      <c r="I22" s="21"/>
      <c r="J22" s="21"/>
      <c r="K22" s="22" t="s">
        <v>509</v>
      </c>
    </row>
    <row r="23" spans="2:11" ht="19.7" customHeight="1" x14ac:dyDescent="0.2">
      <c r="B23" s="57" t="s">
        <v>509</v>
      </c>
      <c r="C23" s="19" t="s">
        <v>440</v>
      </c>
      <c r="D23" s="19" t="s">
        <v>509</v>
      </c>
      <c r="E23" s="21"/>
      <c r="F23" s="20" t="s">
        <v>509</v>
      </c>
      <c r="G23" s="55">
        <f>원가계산서!F29</f>
        <v>72727273</v>
      </c>
      <c r="H23" s="21"/>
      <c r="I23" s="21"/>
      <c r="J23" s="21"/>
      <c r="K23" s="22" t="s">
        <v>509</v>
      </c>
    </row>
    <row r="24" spans="2:11" ht="19.7" customHeight="1" x14ac:dyDescent="0.2">
      <c r="B24" s="57" t="s">
        <v>509</v>
      </c>
      <c r="C24" s="19" t="s">
        <v>39</v>
      </c>
      <c r="D24" s="19" t="s">
        <v>509</v>
      </c>
      <c r="E24" s="21">
        <v>10</v>
      </c>
      <c r="F24" s="20" t="s">
        <v>113</v>
      </c>
      <c r="G24" s="55">
        <f>원가계산서!F30</f>
        <v>7272727</v>
      </c>
      <c r="H24" s="21"/>
      <c r="I24" s="21"/>
      <c r="J24" s="21"/>
      <c r="K24" s="22" t="s">
        <v>509</v>
      </c>
    </row>
    <row r="25" spans="2:11" ht="19.7" customHeight="1" x14ac:dyDescent="0.2">
      <c r="B25" s="57" t="s">
        <v>509</v>
      </c>
      <c r="C25" s="19" t="s">
        <v>5</v>
      </c>
      <c r="D25" s="19" t="s">
        <v>509</v>
      </c>
      <c r="E25" s="21"/>
      <c r="F25" s="20" t="s">
        <v>509</v>
      </c>
      <c r="G25" s="55">
        <f>원가계산서!F31</f>
        <v>80000000</v>
      </c>
      <c r="H25" s="21"/>
      <c r="I25" s="21"/>
      <c r="J25" s="21"/>
      <c r="K25" s="22" t="s">
        <v>509</v>
      </c>
    </row>
    <row r="26" spans="2:11" ht="19.7" customHeight="1" x14ac:dyDescent="0.2">
      <c r="B26" s="106" t="s">
        <v>509</v>
      </c>
      <c r="C26" s="107" t="s">
        <v>231</v>
      </c>
      <c r="D26" s="107" t="s">
        <v>509</v>
      </c>
      <c r="E26" s="105"/>
      <c r="F26" s="108" t="s">
        <v>509</v>
      </c>
      <c r="G26" s="109">
        <f>원가계산서!F33</f>
        <v>80000000</v>
      </c>
      <c r="H26" s="105"/>
      <c r="I26" s="105"/>
      <c r="J26" s="105"/>
      <c r="K26" s="110" t="s">
        <v>509</v>
      </c>
    </row>
    <row r="27" spans="2:11" x14ac:dyDescent="0.2">
      <c r="B27" s="13"/>
      <c r="C27" s="13"/>
      <c r="D27" s="13"/>
      <c r="E27" s="13"/>
      <c r="F27" s="13"/>
      <c r="G27" s="13"/>
      <c r="H27" s="13"/>
      <c r="I27" s="13"/>
      <c r="J27" s="13"/>
      <c r="K27" s="13"/>
    </row>
  </sheetData>
  <mergeCells count="1">
    <mergeCell ref="B1:K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ignoredErrors>
    <ignoredError sqref="B5:B7" numberStoredAsText="1"/>
    <ignoredError sqref="G7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U78"/>
  <sheetViews>
    <sheetView zoomScaleNormal="100" zoomScaleSheetLayoutView="100" workbookViewId="0">
      <pane ySplit="4" topLeftCell="A5" activePane="bottomLeft" state="frozen"/>
      <selection activeCell="K16" sqref="K16"/>
      <selection pane="bottomLeft" activeCell="K7" sqref="K7"/>
    </sheetView>
  </sheetViews>
  <sheetFormatPr defaultRowHeight="12.75" x14ac:dyDescent="0.2"/>
  <cols>
    <col min="1" max="1" width="0.7109375" customWidth="1"/>
    <col min="2" max="2" width="4.28515625" customWidth="1"/>
    <col min="3" max="3" width="23.28515625" customWidth="1"/>
    <col min="4" max="4" width="20" customWidth="1"/>
    <col min="5" max="5" width="6.85546875" customWidth="1"/>
    <col min="6" max="6" width="4.5703125" customWidth="1"/>
    <col min="7" max="7" width="10.85546875" customWidth="1"/>
    <col min="8" max="8" width="11.7109375" customWidth="1"/>
    <col min="9" max="9" width="10.42578125" customWidth="1"/>
    <col min="10" max="10" width="11.5703125" customWidth="1"/>
    <col min="11" max="11" width="10.28515625" customWidth="1"/>
    <col min="12" max="12" width="11.42578125" customWidth="1"/>
    <col min="13" max="13" width="10.5703125" customWidth="1"/>
    <col min="14" max="14" width="11.42578125" customWidth="1"/>
    <col min="15" max="15" width="9.5703125" customWidth="1"/>
  </cols>
  <sheetData>
    <row r="1" spans="2:21" ht="24.95" customHeight="1" x14ac:dyDescent="0.2">
      <c r="B1" s="118" t="s">
        <v>58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1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</row>
    <row r="3" spans="2:21" ht="15.4" customHeight="1" x14ac:dyDescent="0.2">
      <c r="B3" s="124" t="s">
        <v>504</v>
      </c>
      <c r="C3" s="126" t="s">
        <v>336</v>
      </c>
      <c r="D3" s="126" t="s">
        <v>399</v>
      </c>
      <c r="E3" s="126" t="s">
        <v>13</v>
      </c>
      <c r="F3" s="126" t="s">
        <v>204</v>
      </c>
      <c r="G3" s="120" t="s">
        <v>487</v>
      </c>
      <c r="H3" s="121"/>
      <c r="I3" s="120" t="s">
        <v>438</v>
      </c>
      <c r="J3" s="121"/>
      <c r="K3" s="120" t="s">
        <v>319</v>
      </c>
      <c r="L3" s="121"/>
      <c r="M3" s="120" t="s">
        <v>29</v>
      </c>
      <c r="N3" s="121"/>
      <c r="O3" s="122" t="s">
        <v>125</v>
      </c>
    </row>
    <row r="4" spans="2:21" ht="19.7" customHeight="1" x14ac:dyDescent="0.2">
      <c r="B4" s="125"/>
      <c r="C4" s="127"/>
      <c r="D4" s="127"/>
      <c r="E4" s="127"/>
      <c r="F4" s="127"/>
      <c r="G4" s="16" t="s">
        <v>1</v>
      </c>
      <c r="H4" s="15" t="s">
        <v>268</v>
      </c>
      <c r="I4" s="16" t="s">
        <v>1</v>
      </c>
      <c r="J4" s="15" t="s">
        <v>268</v>
      </c>
      <c r="K4" s="16" t="s">
        <v>1</v>
      </c>
      <c r="L4" s="15" t="s">
        <v>268</v>
      </c>
      <c r="M4" s="16" t="s">
        <v>1</v>
      </c>
      <c r="N4" s="15" t="s">
        <v>268</v>
      </c>
      <c r="O4" s="123"/>
    </row>
    <row r="5" spans="2:21" ht="19.7" customHeight="1" x14ac:dyDescent="0.2">
      <c r="B5" s="51" t="s">
        <v>360</v>
      </c>
      <c r="C5" s="52" t="s">
        <v>388</v>
      </c>
      <c r="D5" s="52" t="s">
        <v>509</v>
      </c>
      <c r="E5" s="21"/>
      <c r="F5" s="82" t="s">
        <v>509</v>
      </c>
      <c r="G5" s="27"/>
      <c r="H5" s="83">
        <f t="shared" ref="H5:H36" si="0">J5+L5+N5</f>
        <v>49918576</v>
      </c>
      <c r="I5" s="27"/>
      <c r="J5" s="83" t="str">
        <f>TEXT(J6+J22+J29,"#,##0")</f>
        <v>27,582,689</v>
      </c>
      <c r="K5" s="27"/>
      <c r="L5" s="83" t="str">
        <f>TEXT(L6+L22+L29,"#,##0")</f>
        <v>21,054,942</v>
      </c>
      <c r="M5" s="27"/>
      <c r="N5" s="83" t="str">
        <f>TEXT(N6+N22+N29,"#,##0")</f>
        <v>1,280,945</v>
      </c>
      <c r="O5" s="84" t="s">
        <v>509</v>
      </c>
    </row>
    <row r="6" spans="2:21" ht="19.7" customHeight="1" x14ac:dyDescent="0.2">
      <c r="B6" s="51" t="s">
        <v>151</v>
      </c>
      <c r="C6" s="52" t="s">
        <v>59</v>
      </c>
      <c r="D6" s="52" t="s">
        <v>509</v>
      </c>
      <c r="E6" s="21"/>
      <c r="F6" s="82" t="s">
        <v>509</v>
      </c>
      <c r="G6" s="27"/>
      <c r="H6" s="83">
        <f t="shared" si="0"/>
        <v>25677560</v>
      </c>
      <c r="I6" s="27"/>
      <c r="J6" s="83" t="str">
        <f>TEXT(J7+J8+J9+J10+J11+J12+J13+J14+J15+J16+J17+J18+J19+J20+J21,"#,##0")</f>
        <v>24,110,047</v>
      </c>
      <c r="K6" s="27"/>
      <c r="L6" s="83" t="str">
        <f>TEXT(L7+L8+L9+L10+L11+L12+L13+L14+L15+L16+L17+L18+L19+L20+L21,"#,##0")</f>
        <v>666,759</v>
      </c>
      <c r="M6" s="27"/>
      <c r="N6" s="83" t="str">
        <f>TEXT(N7+N8+N9+N10+N11+N12+N13+N14+N15+N16+N17+N18+N19+N20+N21,"#,##0")</f>
        <v>900,754</v>
      </c>
      <c r="O6" s="84" t="s">
        <v>509</v>
      </c>
      <c r="P6" s="112">
        <v>0.89376199999999995</v>
      </c>
    </row>
    <row r="7" spans="2:21" ht="19.7" customHeight="1" x14ac:dyDescent="0.2">
      <c r="B7" s="57" t="s">
        <v>509</v>
      </c>
      <c r="C7" s="19" t="s">
        <v>54</v>
      </c>
      <c r="D7" s="19" t="s">
        <v>63</v>
      </c>
      <c r="E7" s="21">
        <v>10</v>
      </c>
      <c r="F7" s="20" t="s">
        <v>414</v>
      </c>
      <c r="G7" s="27">
        <f t="shared" ref="G7:G36" si="1">I7+K7+M7</f>
        <v>1668477</v>
      </c>
      <c r="H7" s="55">
        <f t="shared" si="0"/>
        <v>16684770</v>
      </c>
      <c r="I7" s="113">
        <v>1574661</v>
      </c>
      <c r="J7" s="113">
        <f t="shared" ref="J7:J18" si="2">TRUNC(E7*I7,0)</f>
        <v>15746610</v>
      </c>
      <c r="K7" s="113">
        <v>41490</v>
      </c>
      <c r="L7" s="113">
        <f t="shared" ref="L7:L18" si="3">TRUNC(E7*K7,0)</f>
        <v>414900</v>
      </c>
      <c r="M7" s="113">
        <v>52326</v>
      </c>
      <c r="N7" s="55">
        <f t="shared" ref="N7:N20" si="4">TRUNC(E7*M7,0)</f>
        <v>523260</v>
      </c>
      <c r="O7" s="22" t="s">
        <v>484</v>
      </c>
      <c r="Q7">
        <v>1574661</v>
      </c>
      <c r="R7">
        <v>15746610</v>
      </c>
      <c r="S7">
        <v>41490</v>
      </c>
      <c r="T7">
        <v>414900</v>
      </c>
      <c r="U7">
        <v>52326</v>
      </c>
    </row>
    <row r="8" spans="2:21" ht="19.7" customHeight="1" x14ac:dyDescent="0.2">
      <c r="B8" s="57" t="s">
        <v>509</v>
      </c>
      <c r="C8" s="19" t="s">
        <v>119</v>
      </c>
      <c r="D8" s="19" t="s">
        <v>410</v>
      </c>
      <c r="E8" s="21">
        <v>10</v>
      </c>
      <c r="F8" s="20" t="s">
        <v>414</v>
      </c>
      <c r="G8" s="27">
        <f t="shared" si="1"/>
        <v>834238</v>
      </c>
      <c r="H8" s="55">
        <f t="shared" si="0"/>
        <v>8342380</v>
      </c>
      <c r="I8" s="113">
        <v>787330</v>
      </c>
      <c r="J8" s="113">
        <f t="shared" si="2"/>
        <v>7873300</v>
      </c>
      <c r="K8" s="113">
        <v>20745</v>
      </c>
      <c r="L8" s="113">
        <f t="shared" si="3"/>
        <v>207450</v>
      </c>
      <c r="M8" s="113">
        <v>26163</v>
      </c>
      <c r="N8" s="55">
        <f t="shared" si="4"/>
        <v>261630</v>
      </c>
      <c r="O8" s="22" t="s">
        <v>190</v>
      </c>
      <c r="Q8">
        <v>787330</v>
      </c>
      <c r="R8">
        <v>7873300</v>
      </c>
      <c r="S8">
        <v>20745</v>
      </c>
      <c r="T8">
        <v>207450</v>
      </c>
      <c r="U8">
        <v>26163</v>
      </c>
    </row>
    <row r="9" spans="2:21" ht="19.7" customHeight="1" x14ac:dyDescent="0.2">
      <c r="B9" s="57" t="s">
        <v>509</v>
      </c>
      <c r="C9" s="19" t="s">
        <v>7</v>
      </c>
      <c r="D9" s="19" t="s">
        <v>53</v>
      </c>
      <c r="E9" s="21">
        <v>1</v>
      </c>
      <c r="F9" s="20" t="s">
        <v>326</v>
      </c>
      <c r="G9" s="27">
        <f t="shared" si="1"/>
        <v>324329</v>
      </c>
      <c r="H9" s="55">
        <f t="shared" si="0"/>
        <v>324329</v>
      </c>
      <c r="I9" s="113">
        <v>266429</v>
      </c>
      <c r="J9" s="113">
        <f t="shared" si="2"/>
        <v>266429</v>
      </c>
      <c r="K9" s="113">
        <v>20508</v>
      </c>
      <c r="L9" s="113">
        <f t="shared" si="3"/>
        <v>20508</v>
      </c>
      <c r="M9" s="113">
        <v>37392</v>
      </c>
      <c r="N9" s="55">
        <f t="shared" si="4"/>
        <v>37392</v>
      </c>
      <c r="O9" s="22" t="s">
        <v>496</v>
      </c>
      <c r="Q9">
        <v>266429</v>
      </c>
      <c r="R9">
        <v>266429</v>
      </c>
      <c r="S9">
        <v>20508</v>
      </c>
      <c r="T9">
        <v>20508</v>
      </c>
      <c r="U9">
        <v>37392</v>
      </c>
    </row>
    <row r="10" spans="2:21" ht="19.7" customHeight="1" x14ac:dyDescent="0.2">
      <c r="B10" s="57" t="s">
        <v>509</v>
      </c>
      <c r="C10" s="19" t="s">
        <v>419</v>
      </c>
      <c r="D10" s="19" t="s">
        <v>53</v>
      </c>
      <c r="E10" s="21">
        <v>1</v>
      </c>
      <c r="F10" s="20" t="s">
        <v>326</v>
      </c>
      <c r="G10" s="27">
        <f t="shared" si="1"/>
        <v>27103</v>
      </c>
      <c r="H10" s="55">
        <f t="shared" si="0"/>
        <v>27103</v>
      </c>
      <c r="I10" s="113">
        <v>27103</v>
      </c>
      <c r="J10" s="113">
        <f t="shared" si="2"/>
        <v>27103</v>
      </c>
      <c r="K10" s="113"/>
      <c r="L10" s="113"/>
      <c r="M10" s="113"/>
      <c r="N10" s="55"/>
      <c r="O10" s="22" t="s">
        <v>141</v>
      </c>
      <c r="Q10">
        <v>27103</v>
      </c>
      <c r="R10">
        <v>27103</v>
      </c>
    </row>
    <row r="11" spans="2:21" ht="19.7" customHeight="1" x14ac:dyDescent="0.2">
      <c r="B11" s="57" t="s">
        <v>509</v>
      </c>
      <c r="C11" s="19" t="s">
        <v>152</v>
      </c>
      <c r="D11" s="19" t="s">
        <v>509</v>
      </c>
      <c r="E11" s="21">
        <v>1</v>
      </c>
      <c r="F11" s="20" t="s">
        <v>208</v>
      </c>
      <c r="G11" s="27">
        <f t="shared" si="1"/>
        <v>60432</v>
      </c>
      <c r="H11" s="55">
        <f t="shared" si="0"/>
        <v>60432</v>
      </c>
      <c r="I11" s="113">
        <v>56133</v>
      </c>
      <c r="J11" s="113">
        <f t="shared" si="2"/>
        <v>56133</v>
      </c>
      <c r="K11" s="113">
        <v>1901</v>
      </c>
      <c r="L11" s="113">
        <f t="shared" si="3"/>
        <v>1901</v>
      </c>
      <c r="M11" s="113">
        <v>2398</v>
      </c>
      <c r="N11" s="55">
        <f t="shared" si="4"/>
        <v>2398</v>
      </c>
      <c r="O11" s="22" t="s">
        <v>448</v>
      </c>
      <c r="Q11">
        <v>56133</v>
      </c>
      <c r="R11">
        <v>56133</v>
      </c>
      <c r="S11">
        <v>1901</v>
      </c>
      <c r="T11">
        <v>1901</v>
      </c>
      <c r="U11">
        <v>2398</v>
      </c>
    </row>
    <row r="12" spans="2:21" ht="19.7" customHeight="1" x14ac:dyDescent="0.2">
      <c r="B12" s="57" t="s">
        <v>509</v>
      </c>
      <c r="C12" s="19" t="s">
        <v>421</v>
      </c>
      <c r="D12" s="19" t="s">
        <v>509</v>
      </c>
      <c r="E12" s="21">
        <v>1</v>
      </c>
      <c r="F12" s="20" t="s">
        <v>208</v>
      </c>
      <c r="G12" s="27">
        <f t="shared" si="1"/>
        <v>11049</v>
      </c>
      <c r="H12" s="55">
        <f t="shared" si="0"/>
        <v>11049</v>
      </c>
      <c r="I12" s="113">
        <v>11049</v>
      </c>
      <c r="J12" s="113">
        <f t="shared" si="2"/>
        <v>11049</v>
      </c>
      <c r="K12" s="113"/>
      <c r="L12" s="113"/>
      <c r="M12" s="113"/>
      <c r="N12" s="55"/>
      <c r="O12" s="22" t="s">
        <v>160</v>
      </c>
      <c r="Q12">
        <v>11049</v>
      </c>
      <c r="R12">
        <v>11049</v>
      </c>
    </row>
    <row r="13" spans="2:21" ht="19.7" customHeight="1" x14ac:dyDescent="0.2">
      <c r="B13" s="57" t="s">
        <v>509</v>
      </c>
      <c r="C13" s="19" t="s">
        <v>430</v>
      </c>
      <c r="D13" s="19" t="s">
        <v>435</v>
      </c>
      <c r="E13" s="21">
        <v>1</v>
      </c>
      <c r="F13" s="20" t="s">
        <v>368</v>
      </c>
      <c r="G13" s="27">
        <f t="shared" si="1"/>
        <v>6257</v>
      </c>
      <c r="H13" s="55">
        <f t="shared" si="0"/>
        <v>6257</v>
      </c>
      <c r="I13" s="113" t="s">
        <v>513</v>
      </c>
      <c r="J13" s="113">
        <f t="shared" si="2"/>
        <v>5265</v>
      </c>
      <c r="K13" s="113" t="s">
        <v>514</v>
      </c>
      <c r="L13" s="113">
        <f t="shared" si="3"/>
        <v>351</v>
      </c>
      <c r="M13" s="113" t="s">
        <v>515</v>
      </c>
      <c r="N13" s="55">
        <f t="shared" si="4"/>
        <v>641</v>
      </c>
      <c r="O13" s="22" t="s">
        <v>97</v>
      </c>
      <c r="Q13" t="s">
        <v>513</v>
      </c>
      <c r="R13">
        <v>5265</v>
      </c>
      <c r="S13" t="s">
        <v>514</v>
      </c>
      <c r="T13">
        <v>351</v>
      </c>
      <c r="U13" t="s">
        <v>515</v>
      </c>
    </row>
    <row r="14" spans="2:21" ht="19.7" customHeight="1" x14ac:dyDescent="0.2">
      <c r="B14" s="57" t="s">
        <v>509</v>
      </c>
      <c r="C14" s="19" t="s">
        <v>300</v>
      </c>
      <c r="D14" s="19" t="s">
        <v>435</v>
      </c>
      <c r="E14" s="21">
        <v>1</v>
      </c>
      <c r="F14" s="20" t="s">
        <v>368</v>
      </c>
      <c r="G14" s="27">
        <f t="shared" si="1"/>
        <v>6485</v>
      </c>
      <c r="H14" s="55">
        <f t="shared" si="0"/>
        <v>6485</v>
      </c>
      <c r="I14" s="113" t="s">
        <v>516</v>
      </c>
      <c r="J14" s="113">
        <f t="shared" si="2"/>
        <v>5549</v>
      </c>
      <c r="K14" s="113" t="s">
        <v>517</v>
      </c>
      <c r="L14" s="113">
        <f t="shared" si="3"/>
        <v>415</v>
      </c>
      <c r="M14" s="113" t="s">
        <v>518</v>
      </c>
      <c r="N14" s="55">
        <f t="shared" si="4"/>
        <v>521</v>
      </c>
      <c r="O14" s="22" t="s">
        <v>266</v>
      </c>
      <c r="Q14" t="s">
        <v>516</v>
      </c>
      <c r="R14">
        <v>5549</v>
      </c>
      <c r="S14" t="s">
        <v>517</v>
      </c>
      <c r="T14">
        <v>415</v>
      </c>
      <c r="U14" t="s">
        <v>518</v>
      </c>
    </row>
    <row r="15" spans="2:21" ht="19.7" customHeight="1" x14ac:dyDescent="0.2">
      <c r="B15" s="57" t="s">
        <v>509</v>
      </c>
      <c r="C15" s="19" t="s">
        <v>320</v>
      </c>
      <c r="D15" s="19" t="s">
        <v>9</v>
      </c>
      <c r="E15" s="21">
        <v>1</v>
      </c>
      <c r="F15" s="20" t="s">
        <v>368</v>
      </c>
      <c r="G15" s="27">
        <f t="shared" si="1"/>
        <v>68779</v>
      </c>
      <c r="H15" s="55">
        <f t="shared" si="0"/>
        <v>68779</v>
      </c>
      <c r="I15" s="113" t="s">
        <v>519</v>
      </c>
      <c r="J15" s="113">
        <f t="shared" si="2"/>
        <v>42532</v>
      </c>
      <c r="K15" s="113" t="s">
        <v>520</v>
      </c>
      <c r="L15" s="113">
        <f t="shared" si="3"/>
        <v>10203</v>
      </c>
      <c r="M15" s="113" t="s">
        <v>521</v>
      </c>
      <c r="N15" s="55">
        <f t="shared" si="4"/>
        <v>16044</v>
      </c>
      <c r="O15" s="22" t="s">
        <v>76</v>
      </c>
      <c r="Q15" t="s">
        <v>519</v>
      </c>
      <c r="R15">
        <v>42532</v>
      </c>
      <c r="S15" t="s">
        <v>520</v>
      </c>
      <c r="T15">
        <v>10203</v>
      </c>
      <c r="U15" t="s">
        <v>521</v>
      </c>
    </row>
    <row r="16" spans="2:21" ht="19.7" customHeight="1" x14ac:dyDescent="0.2">
      <c r="B16" s="57" t="s">
        <v>509</v>
      </c>
      <c r="C16" s="19" t="s">
        <v>391</v>
      </c>
      <c r="D16" s="103" t="s">
        <v>157</v>
      </c>
      <c r="E16" s="21">
        <v>1</v>
      </c>
      <c r="F16" s="20" t="s">
        <v>368</v>
      </c>
      <c r="G16" s="27">
        <f t="shared" si="1"/>
        <v>52686</v>
      </c>
      <c r="H16" s="55">
        <f t="shared" si="0"/>
        <v>52686</v>
      </c>
      <c r="I16" s="113" t="s">
        <v>522</v>
      </c>
      <c r="J16" s="113">
        <f t="shared" si="2"/>
        <v>37106</v>
      </c>
      <c r="K16" s="113" t="s">
        <v>523</v>
      </c>
      <c r="L16" s="113">
        <f t="shared" si="3"/>
        <v>5133</v>
      </c>
      <c r="M16" s="113" t="s">
        <v>524</v>
      </c>
      <c r="N16" s="55">
        <f t="shared" si="4"/>
        <v>10447</v>
      </c>
      <c r="O16" s="22" t="s">
        <v>316</v>
      </c>
      <c r="Q16" t="s">
        <v>522</v>
      </c>
      <c r="R16">
        <v>37106</v>
      </c>
      <c r="S16" t="s">
        <v>523</v>
      </c>
      <c r="T16">
        <v>5133</v>
      </c>
      <c r="U16" t="s">
        <v>524</v>
      </c>
    </row>
    <row r="17" spans="2:21" ht="19.7" customHeight="1" x14ac:dyDescent="0.2">
      <c r="B17" s="57" t="s">
        <v>509</v>
      </c>
      <c r="C17" s="19" t="s">
        <v>391</v>
      </c>
      <c r="D17" s="104" t="s">
        <v>361</v>
      </c>
      <c r="E17" s="21">
        <v>1</v>
      </c>
      <c r="F17" s="20" t="s">
        <v>368</v>
      </c>
      <c r="G17" s="27">
        <f t="shared" si="1"/>
        <v>52686</v>
      </c>
      <c r="H17" s="55">
        <f t="shared" si="0"/>
        <v>52686</v>
      </c>
      <c r="I17" s="113" t="s">
        <v>522</v>
      </c>
      <c r="J17" s="113">
        <f t="shared" si="2"/>
        <v>37106</v>
      </c>
      <c r="K17" s="113" t="s">
        <v>523</v>
      </c>
      <c r="L17" s="113">
        <f t="shared" si="3"/>
        <v>5133</v>
      </c>
      <c r="M17" s="113" t="s">
        <v>524</v>
      </c>
      <c r="N17" s="55">
        <f t="shared" si="4"/>
        <v>10447</v>
      </c>
      <c r="O17" s="22" t="s">
        <v>122</v>
      </c>
      <c r="Q17" t="s">
        <v>522</v>
      </c>
      <c r="R17">
        <v>37106</v>
      </c>
      <c r="S17" t="s">
        <v>523</v>
      </c>
      <c r="T17">
        <v>5133</v>
      </c>
      <c r="U17" t="s">
        <v>524</v>
      </c>
    </row>
    <row r="18" spans="2:21" ht="19.7" customHeight="1" x14ac:dyDescent="0.2">
      <c r="B18" s="57" t="s">
        <v>509</v>
      </c>
      <c r="C18" s="19" t="s">
        <v>348</v>
      </c>
      <c r="D18" s="19" t="s">
        <v>192</v>
      </c>
      <c r="E18" s="21">
        <v>1</v>
      </c>
      <c r="F18" s="20" t="s">
        <v>368</v>
      </c>
      <c r="G18" s="27">
        <f t="shared" si="1"/>
        <v>3801</v>
      </c>
      <c r="H18" s="55">
        <f t="shared" si="0"/>
        <v>3801</v>
      </c>
      <c r="I18" s="113" t="s">
        <v>525</v>
      </c>
      <c r="J18" s="113">
        <f t="shared" si="2"/>
        <v>1865</v>
      </c>
      <c r="K18" s="113" t="s">
        <v>526</v>
      </c>
      <c r="L18" s="113">
        <f t="shared" si="3"/>
        <v>765</v>
      </c>
      <c r="M18" s="113" t="s">
        <v>527</v>
      </c>
      <c r="N18" s="55">
        <f t="shared" si="4"/>
        <v>1171</v>
      </c>
      <c r="O18" s="22" t="s">
        <v>297</v>
      </c>
      <c r="Q18" t="s">
        <v>525</v>
      </c>
      <c r="R18">
        <v>1865</v>
      </c>
      <c r="S18" t="s">
        <v>526</v>
      </c>
      <c r="T18">
        <v>765</v>
      </c>
      <c r="U18" t="s">
        <v>527</v>
      </c>
    </row>
    <row r="19" spans="2:21" ht="19.7" customHeight="1" x14ac:dyDescent="0.2">
      <c r="B19" s="57" t="s">
        <v>509</v>
      </c>
      <c r="C19" s="19" t="s">
        <v>351</v>
      </c>
      <c r="D19" s="19" t="s">
        <v>134</v>
      </c>
      <c r="E19" s="21">
        <v>1</v>
      </c>
      <c r="F19" s="20" t="s">
        <v>358</v>
      </c>
      <c r="G19" s="27">
        <f t="shared" si="1"/>
        <v>23593</v>
      </c>
      <c r="H19" s="55">
        <f t="shared" si="0"/>
        <v>23593</v>
      </c>
      <c r="I19" s="113"/>
      <c r="J19" s="113"/>
      <c r="K19" s="113"/>
      <c r="L19" s="113"/>
      <c r="M19" s="113">
        <v>23593</v>
      </c>
      <c r="N19" s="55">
        <f t="shared" si="4"/>
        <v>23593</v>
      </c>
      <c r="O19" s="22" t="s">
        <v>509</v>
      </c>
      <c r="U19">
        <v>23593</v>
      </c>
    </row>
    <row r="20" spans="2:21" ht="19.7" customHeight="1" x14ac:dyDescent="0.2">
      <c r="B20" s="57" t="s">
        <v>509</v>
      </c>
      <c r="C20" s="19" t="s">
        <v>85</v>
      </c>
      <c r="D20" s="19" t="s">
        <v>245</v>
      </c>
      <c r="E20" s="21">
        <v>1</v>
      </c>
      <c r="F20" s="20" t="s">
        <v>358</v>
      </c>
      <c r="G20" s="27">
        <f t="shared" si="1"/>
        <v>13210</v>
      </c>
      <c r="H20" s="55">
        <f t="shared" si="0"/>
        <v>13210</v>
      </c>
      <c r="I20" s="113"/>
      <c r="J20" s="113"/>
      <c r="K20" s="113"/>
      <c r="L20" s="113"/>
      <c r="M20" s="113">
        <v>13210</v>
      </c>
      <c r="N20" s="55">
        <f t="shared" si="4"/>
        <v>13210</v>
      </c>
      <c r="O20" s="22" t="s">
        <v>509</v>
      </c>
      <c r="U20">
        <v>13210</v>
      </c>
    </row>
    <row r="21" spans="2:21" ht="19.7" customHeight="1" x14ac:dyDescent="0.2">
      <c r="B21" s="57" t="s">
        <v>509</v>
      </c>
      <c r="C21" s="19" t="s">
        <v>509</v>
      </c>
      <c r="D21" s="19" t="s">
        <v>509</v>
      </c>
      <c r="E21" s="21"/>
      <c r="F21" s="20" t="s">
        <v>509</v>
      </c>
      <c r="G21" s="27"/>
      <c r="H21" s="55"/>
      <c r="I21" s="113"/>
      <c r="J21" s="113"/>
      <c r="K21" s="113"/>
      <c r="L21" s="113"/>
      <c r="M21" s="113"/>
      <c r="N21" s="21"/>
      <c r="O21" s="22" t="s">
        <v>509</v>
      </c>
    </row>
    <row r="22" spans="2:21" ht="19.7" customHeight="1" x14ac:dyDescent="0.2">
      <c r="B22" s="51" t="s">
        <v>476</v>
      </c>
      <c r="C22" s="52" t="s">
        <v>407</v>
      </c>
      <c r="D22" s="52" t="s">
        <v>509</v>
      </c>
      <c r="E22" s="21"/>
      <c r="F22" s="82" t="s">
        <v>509</v>
      </c>
      <c r="G22" s="27"/>
      <c r="H22" s="83">
        <f t="shared" si="0"/>
        <v>3856433</v>
      </c>
      <c r="I22" s="113"/>
      <c r="J22" s="113" t="str">
        <f>TEXT(J23+J24+J25+J26+J27+J28,"#,##0")</f>
        <v>3,472,642</v>
      </c>
      <c r="K22" s="113"/>
      <c r="L22" s="113" t="str">
        <f>TEXT(L23+L24+L25+L26+L27+L28,"#,##0")</f>
        <v>3,600</v>
      </c>
      <c r="M22" s="113"/>
      <c r="N22" s="83" t="str">
        <f>TEXT(N23+N24+N25+N26+N27+N28,"#,##0")</f>
        <v>380,191</v>
      </c>
      <c r="O22" s="84" t="s">
        <v>509</v>
      </c>
      <c r="R22" t="s">
        <v>528</v>
      </c>
      <c r="T22" t="s">
        <v>529</v>
      </c>
    </row>
    <row r="23" spans="2:21" ht="19.7" customHeight="1" x14ac:dyDescent="0.2">
      <c r="B23" s="57" t="s">
        <v>509</v>
      </c>
      <c r="C23" s="19" t="s">
        <v>135</v>
      </c>
      <c r="D23" s="19" t="s">
        <v>509</v>
      </c>
      <c r="E23" s="21">
        <v>1</v>
      </c>
      <c r="F23" s="20" t="s">
        <v>427</v>
      </c>
      <c r="G23" s="27">
        <f t="shared" si="1"/>
        <v>625113</v>
      </c>
      <c r="H23" s="55">
        <f t="shared" si="0"/>
        <v>625113</v>
      </c>
      <c r="I23" s="113">
        <v>625113</v>
      </c>
      <c r="J23" s="113">
        <f>TRUNC(E23*I23,0)</f>
        <v>625113</v>
      </c>
      <c r="K23" s="113"/>
      <c r="L23" s="113"/>
      <c r="M23" s="113"/>
      <c r="N23" s="55"/>
      <c r="O23" s="22" t="s">
        <v>462</v>
      </c>
      <c r="Q23">
        <v>625113</v>
      </c>
      <c r="R23">
        <v>625113</v>
      </c>
    </row>
    <row r="24" spans="2:21" ht="19.7" customHeight="1" x14ac:dyDescent="0.2">
      <c r="B24" s="57" t="s">
        <v>509</v>
      </c>
      <c r="C24" s="19" t="s">
        <v>269</v>
      </c>
      <c r="D24" s="19" t="s">
        <v>509</v>
      </c>
      <c r="E24" s="21">
        <v>1</v>
      </c>
      <c r="F24" s="20" t="s">
        <v>427</v>
      </c>
      <c r="G24" s="27">
        <f t="shared" si="1"/>
        <v>522035</v>
      </c>
      <c r="H24" s="55">
        <f t="shared" si="0"/>
        <v>522035</v>
      </c>
      <c r="I24" s="113">
        <v>522035</v>
      </c>
      <c r="J24" s="113">
        <f>TRUNC(E24*I24,0)</f>
        <v>522035</v>
      </c>
      <c r="K24" s="113"/>
      <c r="L24" s="113"/>
      <c r="M24" s="113"/>
      <c r="N24" s="55"/>
      <c r="O24" s="22" t="s">
        <v>132</v>
      </c>
      <c r="Q24">
        <v>522035</v>
      </c>
      <c r="R24">
        <v>522035</v>
      </c>
    </row>
    <row r="25" spans="2:21" ht="19.7" customHeight="1" x14ac:dyDescent="0.2">
      <c r="B25" s="57" t="s">
        <v>509</v>
      </c>
      <c r="C25" s="19" t="s">
        <v>115</v>
      </c>
      <c r="D25" s="19" t="s">
        <v>509</v>
      </c>
      <c r="E25" s="21">
        <v>1</v>
      </c>
      <c r="F25" s="20" t="s">
        <v>337</v>
      </c>
      <c r="G25" s="27">
        <f t="shared" si="1"/>
        <v>1314914</v>
      </c>
      <c r="H25" s="55">
        <f t="shared" si="0"/>
        <v>1314914</v>
      </c>
      <c r="I25" s="113">
        <v>1119798</v>
      </c>
      <c r="J25" s="113">
        <f>TRUNC(E25*I25,0)</f>
        <v>1119798</v>
      </c>
      <c r="K25" s="113"/>
      <c r="L25" s="113"/>
      <c r="M25" s="113">
        <v>195116</v>
      </c>
      <c r="N25" s="55">
        <f>TRUNC(E25*M25,0)</f>
        <v>195116</v>
      </c>
      <c r="O25" s="22" t="s">
        <v>308</v>
      </c>
      <c r="Q25">
        <v>1119798</v>
      </c>
      <c r="R25">
        <v>1119798</v>
      </c>
      <c r="U25">
        <v>195116</v>
      </c>
    </row>
    <row r="26" spans="2:21" ht="19.7" customHeight="1" x14ac:dyDescent="0.2">
      <c r="B26" s="57" t="s">
        <v>509</v>
      </c>
      <c r="C26" s="19" t="s">
        <v>445</v>
      </c>
      <c r="D26" s="19" t="s">
        <v>509</v>
      </c>
      <c r="E26" s="21">
        <v>1</v>
      </c>
      <c r="F26" s="20" t="s">
        <v>337</v>
      </c>
      <c r="G26" s="27">
        <f t="shared" si="1"/>
        <v>199622</v>
      </c>
      <c r="H26" s="55">
        <f t="shared" si="0"/>
        <v>199622</v>
      </c>
      <c r="I26" s="113">
        <v>170296</v>
      </c>
      <c r="J26" s="113">
        <f>TRUNC(E26*I26,0)</f>
        <v>170296</v>
      </c>
      <c r="K26" s="113"/>
      <c r="L26" s="113"/>
      <c r="M26" s="113">
        <v>29326</v>
      </c>
      <c r="N26" s="55">
        <f>TRUNC(E26*M26,0)</f>
        <v>29326</v>
      </c>
      <c r="O26" s="22" t="s">
        <v>372</v>
      </c>
      <c r="Q26">
        <v>170296</v>
      </c>
      <c r="R26">
        <v>170296</v>
      </c>
      <c r="U26">
        <v>29326</v>
      </c>
    </row>
    <row r="27" spans="2:21" ht="19.7" customHeight="1" x14ac:dyDescent="0.2">
      <c r="B27" s="57" t="s">
        <v>509</v>
      </c>
      <c r="C27" s="19" t="s">
        <v>286</v>
      </c>
      <c r="D27" s="19" t="s">
        <v>509</v>
      </c>
      <c r="E27" s="21">
        <v>1</v>
      </c>
      <c r="F27" s="20" t="s">
        <v>337</v>
      </c>
      <c r="G27" s="27">
        <f t="shared" si="1"/>
        <v>1194749</v>
      </c>
      <c r="H27" s="55">
        <f t="shared" si="0"/>
        <v>1194749</v>
      </c>
      <c r="I27" s="113">
        <v>1035400</v>
      </c>
      <c r="J27" s="113">
        <f>TRUNC(E27*I27,0)</f>
        <v>1035400</v>
      </c>
      <c r="K27" s="113">
        <v>3600</v>
      </c>
      <c r="L27" s="113">
        <f>TRUNC(E27*K27,0)</f>
        <v>3600</v>
      </c>
      <c r="M27" s="113">
        <v>155749</v>
      </c>
      <c r="N27" s="55">
        <f>TRUNC(E27*M27,0)</f>
        <v>155749</v>
      </c>
      <c r="O27" s="22" t="s">
        <v>47</v>
      </c>
      <c r="Q27">
        <v>1035400</v>
      </c>
      <c r="R27">
        <v>1035400</v>
      </c>
      <c r="S27">
        <v>3600</v>
      </c>
      <c r="T27">
        <v>3600</v>
      </c>
      <c r="U27">
        <v>155749</v>
      </c>
    </row>
    <row r="28" spans="2:21" ht="19.7" customHeight="1" x14ac:dyDescent="0.2">
      <c r="B28" s="57" t="s">
        <v>509</v>
      </c>
      <c r="C28" s="19" t="s">
        <v>509</v>
      </c>
      <c r="D28" s="19" t="s">
        <v>509</v>
      </c>
      <c r="E28" s="21"/>
      <c r="F28" s="20" t="s">
        <v>509</v>
      </c>
      <c r="G28" s="27"/>
      <c r="H28" s="55"/>
      <c r="I28" s="113"/>
      <c r="J28" s="113"/>
      <c r="K28" s="113"/>
      <c r="L28" s="113"/>
      <c r="M28" s="113"/>
      <c r="N28" s="21"/>
      <c r="O28" s="22" t="s">
        <v>509</v>
      </c>
    </row>
    <row r="29" spans="2:21" ht="19.7" customHeight="1" x14ac:dyDescent="0.2">
      <c r="B29" s="51" t="s">
        <v>220</v>
      </c>
      <c r="C29" s="52" t="s">
        <v>315</v>
      </c>
      <c r="D29" s="52" t="s">
        <v>509</v>
      </c>
      <c r="E29" s="21"/>
      <c r="F29" s="82" t="s">
        <v>509</v>
      </c>
      <c r="G29" s="27"/>
      <c r="H29" s="83">
        <f t="shared" si="0"/>
        <v>20384583</v>
      </c>
      <c r="I29" s="113"/>
      <c r="J29" s="113"/>
      <c r="K29" s="113"/>
      <c r="L29" s="113" t="str">
        <f>TEXT(L30+L31+L32+L33+L34+L35+L36+L37+L38+L39+L40+L41+L42+L43+L44+L45+L46+L47+L48+L49+L50+L51+L52+L53+L54+L55+L56+L57+L58,"#,##0")</f>
        <v>20,384,583</v>
      </c>
      <c r="M29" s="113"/>
      <c r="N29" s="55"/>
      <c r="O29" s="84" t="s">
        <v>509</v>
      </c>
      <c r="T29" t="s">
        <v>530</v>
      </c>
    </row>
    <row r="30" spans="2:21" ht="19.7" customHeight="1" x14ac:dyDescent="0.2">
      <c r="B30" s="59" t="s">
        <v>509</v>
      </c>
      <c r="C30" s="24" t="s">
        <v>381</v>
      </c>
      <c r="D30" s="24" t="s">
        <v>292</v>
      </c>
      <c r="E30" s="12">
        <v>2</v>
      </c>
      <c r="F30" s="25" t="s">
        <v>117</v>
      </c>
      <c r="G30" s="11">
        <f t="shared" si="1"/>
        <v>2507500</v>
      </c>
      <c r="H30" s="63">
        <f t="shared" si="0"/>
        <v>5015000</v>
      </c>
      <c r="I30" s="113"/>
      <c r="J30" s="113"/>
      <c r="K30" s="113">
        <v>2507500</v>
      </c>
      <c r="L30" s="113">
        <f t="shared" ref="L30:L57" si="5">TRUNC(E30*K30,0)</f>
        <v>5015000</v>
      </c>
      <c r="M30" s="113"/>
      <c r="N30" s="63"/>
      <c r="O30" s="26" t="s">
        <v>509</v>
      </c>
      <c r="S30">
        <v>2507500</v>
      </c>
      <c r="T30">
        <v>5015000</v>
      </c>
    </row>
    <row r="31" spans="2:21" ht="19.7" customHeight="1" x14ac:dyDescent="0.2">
      <c r="B31" s="57" t="s">
        <v>509</v>
      </c>
      <c r="C31" s="19" t="s">
        <v>381</v>
      </c>
      <c r="D31" s="19" t="s">
        <v>50</v>
      </c>
      <c r="E31" s="21">
        <v>3</v>
      </c>
      <c r="F31" s="20" t="s">
        <v>117</v>
      </c>
      <c r="G31" s="27">
        <f t="shared" si="1"/>
        <v>2102500</v>
      </c>
      <c r="H31" s="55">
        <f t="shared" si="0"/>
        <v>6307500</v>
      </c>
      <c r="I31" s="113"/>
      <c r="J31" s="113"/>
      <c r="K31" s="113">
        <v>2102500</v>
      </c>
      <c r="L31" s="113">
        <f t="shared" si="5"/>
        <v>6307500</v>
      </c>
      <c r="M31" s="113"/>
      <c r="N31" s="55"/>
      <c r="O31" s="22" t="s">
        <v>509</v>
      </c>
      <c r="S31">
        <v>2102500</v>
      </c>
      <c r="T31">
        <v>6307500</v>
      </c>
    </row>
    <row r="32" spans="2:21" ht="19.7" customHeight="1" x14ac:dyDescent="0.2">
      <c r="B32" s="57" t="s">
        <v>509</v>
      </c>
      <c r="C32" s="19" t="s">
        <v>381</v>
      </c>
      <c r="D32" s="19" t="s">
        <v>412</v>
      </c>
      <c r="E32" s="21">
        <v>3</v>
      </c>
      <c r="F32" s="20" t="s">
        <v>117</v>
      </c>
      <c r="G32" s="27">
        <f t="shared" si="1"/>
        <v>1540000</v>
      </c>
      <c r="H32" s="55">
        <f t="shared" si="0"/>
        <v>4620000</v>
      </c>
      <c r="I32" s="113"/>
      <c r="J32" s="113"/>
      <c r="K32" s="113">
        <v>1540000</v>
      </c>
      <c r="L32" s="113">
        <f t="shared" si="5"/>
        <v>4620000</v>
      </c>
      <c r="M32" s="113"/>
      <c r="N32" s="55"/>
      <c r="O32" s="22" t="s">
        <v>509</v>
      </c>
      <c r="S32">
        <v>1540000</v>
      </c>
      <c r="T32">
        <v>4620000</v>
      </c>
    </row>
    <row r="33" spans="2:20" ht="19.7" customHeight="1" x14ac:dyDescent="0.2">
      <c r="B33" s="57" t="s">
        <v>509</v>
      </c>
      <c r="C33" s="19" t="s">
        <v>381</v>
      </c>
      <c r="D33" s="19" t="s">
        <v>93</v>
      </c>
      <c r="E33" s="21">
        <v>1</v>
      </c>
      <c r="F33" s="20" t="s">
        <v>117</v>
      </c>
      <c r="G33" s="27">
        <f t="shared" si="1"/>
        <v>1307500</v>
      </c>
      <c r="H33" s="55">
        <f t="shared" si="0"/>
        <v>1307500</v>
      </c>
      <c r="I33" s="113"/>
      <c r="J33" s="113"/>
      <c r="K33" s="113">
        <v>1307500</v>
      </c>
      <c r="L33" s="113">
        <f t="shared" si="5"/>
        <v>1307500</v>
      </c>
      <c r="M33" s="113"/>
      <c r="N33" s="55"/>
      <c r="O33" s="22" t="s">
        <v>509</v>
      </c>
      <c r="S33">
        <v>1307500</v>
      </c>
      <c r="T33">
        <v>1307500</v>
      </c>
    </row>
    <row r="34" spans="2:20" ht="19.7" customHeight="1" x14ac:dyDescent="0.2">
      <c r="B34" s="57" t="s">
        <v>509</v>
      </c>
      <c r="C34" s="19" t="s">
        <v>381</v>
      </c>
      <c r="D34" s="19" t="s">
        <v>95</v>
      </c>
      <c r="E34" s="21">
        <v>1</v>
      </c>
      <c r="F34" s="20" t="s">
        <v>117</v>
      </c>
      <c r="G34" s="27">
        <f t="shared" si="1"/>
        <v>1110000</v>
      </c>
      <c r="H34" s="55">
        <f t="shared" si="0"/>
        <v>1110000</v>
      </c>
      <c r="I34" s="113"/>
      <c r="J34" s="113"/>
      <c r="K34" s="113">
        <v>1110000</v>
      </c>
      <c r="L34" s="113">
        <f t="shared" si="5"/>
        <v>1110000</v>
      </c>
      <c r="M34" s="113"/>
      <c r="N34" s="55"/>
      <c r="O34" s="22" t="s">
        <v>509</v>
      </c>
      <c r="S34">
        <v>1110000</v>
      </c>
      <c r="T34">
        <v>1110000</v>
      </c>
    </row>
    <row r="35" spans="2:20" ht="19.7" customHeight="1" x14ac:dyDescent="0.2">
      <c r="B35" s="57" t="s">
        <v>509</v>
      </c>
      <c r="C35" s="19" t="s">
        <v>381</v>
      </c>
      <c r="D35" s="19" t="s">
        <v>403</v>
      </c>
      <c r="E35" s="21">
        <v>1</v>
      </c>
      <c r="F35" s="20" t="s">
        <v>117</v>
      </c>
      <c r="G35" s="27">
        <f t="shared" si="1"/>
        <v>997500</v>
      </c>
      <c r="H35" s="55">
        <f t="shared" si="0"/>
        <v>997500</v>
      </c>
      <c r="I35" s="113"/>
      <c r="J35" s="113"/>
      <c r="K35" s="113">
        <v>997500</v>
      </c>
      <c r="L35" s="113">
        <f t="shared" si="5"/>
        <v>997500</v>
      </c>
      <c r="M35" s="113"/>
      <c r="N35" s="55"/>
      <c r="O35" s="22" t="s">
        <v>509</v>
      </c>
      <c r="S35">
        <v>997500</v>
      </c>
      <c r="T35">
        <v>997500</v>
      </c>
    </row>
    <row r="36" spans="2:20" ht="19.7" customHeight="1" x14ac:dyDescent="0.2">
      <c r="B36" s="57" t="s">
        <v>509</v>
      </c>
      <c r="C36" s="19" t="s">
        <v>228</v>
      </c>
      <c r="D36" s="19" t="s">
        <v>321</v>
      </c>
      <c r="E36" s="21">
        <v>1</v>
      </c>
      <c r="F36" s="20" t="s">
        <v>302</v>
      </c>
      <c r="G36" s="27">
        <f t="shared" si="1"/>
        <v>3244</v>
      </c>
      <c r="H36" s="55">
        <f t="shared" si="0"/>
        <v>3244</v>
      </c>
      <c r="I36" s="113"/>
      <c r="J36" s="113"/>
      <c r="K36" s="113">
        <v>3244</v>
      </c>
      <c r="L36" s="113">
        <f t="shared" si="5"/>
        <v>3244</v>
      </c>
      <c r="M36" s="113"/>
      <c r="N36" s="55"/>
      <c r="O36" s="22" t="s">
        <v>509</v>
      </c>
      <c r="S36">
        <v>3244</v>
      </c>
      <c r="T36">
        <v>3244</v>
      </c>
    </row>
    <row r="37" spans="2:20" ht="19.7" customHeight="1" x14ac:dyDescent="0.2">
      <c r="B37" s="57" t="s">
        <v>509</v>
      </c>
      <c r="C37" s="19" t="s">
        <v>37</v>
      </c>
      <c r="D37" s="19" t="s">
        <v>299</v>
      </c>
      <c r="E37" s="21">
        <v>1</v>
      </c>
      <c r="F37" s="20" t="s">
        <v>302</v>
      </c>
      <c r="G37" s="27">
        <f t="shared" ref="G37:G57" si="6">I37+K37+M37</f>
        <v>862</v>
      </c>
      <c r="H37" s="55">
        <f t="shared" ref="H37:H59" si="7">J37+L37+N37</f>
        <v>862</v>
      </c>
      <c r="I37" s="113"/>
      <c r="J37" s="113"/>
      <c r="K37" s="113">
        <v>862</v>
      </c>
      <c r="L37" s="113">
        <f t="shared" si="5"/>
        <v>862</v>
      </c>
      <c r="M37" s="113"/>
      <c r="N37" s="55"/>
      <c r="O37" s="22" t="s">
        <v>509</v>
      </c>
      <c r="S37">
        <v>862</v>
      </c>
      <c r="T37">
        <v>862</v>
      </c>
    </row>
    <row r="38" spans="2:20" ht="19.7" customHeight="1" x14ac:dyDescent="0.2">
      <c r="B38" s="57" t="s">
        <v>509</v>
      </c>
      <c r="C38" s="19" t="s">
        <v>287</v>
      </c>
      <c r="D38" s="19" t="s">
        <v>8</v>
      </c>
      <c r="E38" s="21">
        <v>1</v>
      </c>
      <c r="F38" s="20" t="s">
        <v>302</v>
      </c>
      <c r="G38" s="27">
        <f t="shared" si="6"/>
        <v>549</v>
      </c>
      <c r="H38" s="55">
        <f t="shared" si="7"/>
        <v>549</v>
      </c>
      <c r="I38" s="113"/>
      <c r="J38" s="113"/>
      <c r="K38" s="113">
        <v>549</v>
      </c>
      <c r="L38" s="113">
        <f t="shared" si="5"/>
        <v>549</v>
      </c>
      <c r="M38" s="113"/>
      <c r="N38" s="55"/>
      <c r="O38" s="22" t="s">
        <v>509</v>
      </c>
      <c r="S38">
        <v>549</v>
      </c>
      <c r="T38">
        <v>549</v>
      </c>
    </row>
    <row r="39" spans="2:20" ht="19.7" customHeight="1" x14ac:dyDescent="0.2">
      <c r="B39" s="57" t="s">
        <v>509</v>
      </c>
      <c r="C39" s="19" t="s">
        <v>177</v>
      </c>
      <c r="D39" s="19" t="s">
        <v>16</v>
      </c>
      <c r="E39" s="21">
        <v>1</v>
      </c>
      <c r="F39" s="20" t="s">
        <v>302</v>
      </c>
      <c r="G39" s="27">
        <f t="shared" si="6"/>
        <v>1306</v>
      </c>
      <c r="H39" s="55">
        <f t="shared" si="7"/>
        <v>1306</v>
      </c>
      <c r="I39" s="113"/>
      <c r="J39" s="113"/>
      <c r="K39" s="113">
        <v>1306</v>
      </c>
      <c r="L39" s="113">
        <f t="shared" si="5"/>
        <v>1306</v>
      </c>
      <c r="M39" s="113"/>
      <c r="N39" s="55"/>
      <c r="O39" s="22" t="s">
        <v>509</v>
      </c>
      <c r="S39">
        <v>1306</v>
      </c>
      <c r="T39">
        <v>1306</v>
      </c>
    </row>
    <row r="40" spans="2:20" ht="19.7" customHeight="1" x14ac:dyDescent="0.2">
      <c r="B40" s="57" t="s">
        <v>509</v>
      </c>
      <c r="C40" s="19" t="s">
        <v>226</v>
      </c>
      <c r="D40" s="19" t="s">
        <v>31</v>
      </c>
      <c r="E40" s="21">
        <v>1</v>
      </c>
      <c r="F40" s="20" t="s">
        <v>30</v>
      </c>
      <c r="G40" s="27">
        <f t="shared" si="6"/>
        <v>210000</v>
      </c>
      <c r="H40" s="55">
        <f t="shared" si="7"/>
        <v>210000</v>
      </c>
      <c r="I40" s="113"/>
      <c r="J40" s="113"/>
      <c r="K40" s="113">
        <v>210000</v>
      </c>
      <c r="L40" s="113">
        <f t="shared" si="5"/>
        <v>210000</v>
      </c>
      <c r="M40" s="113"/>
      <c r="N40" s="55"/>
      <c r="O40" s="22" t="s">
        <v>509</v>
      </c>
      <c r="S40">
        <v>210000</v>
      </c>
      <c r="T40">
        <v>210000</v>
      </c>
    </row>
    <row r="41" spans="2:20" ht="19.7" customHeight="1" x14ac:dyDescent="0.2">
      <c r="B41" s="57" t="s">
        <v>509</v>
      </c>
      <c r="C41" s="19" t="s">
        <v>404</v>
      </c>
      <c r="D41" s="19" t="s">
        <v>4</v>
      </c>
      <c r="E41" s="21">
        <v>1</v>
      </c>
      <c r="F41" s="20" t="s">
        <v>318</v>
      </c>
      <c r="G41" s="27">
        <f t="shared" si="6"/>
        <v>120000</v>
      </c>
      <c r="H41" s="55">
        <f t="shared" si="7"/>
        <v>120000</v>
      </c>
      <c r="I41" s="113"/>
      <c r="J41" s="113"/>
      <c r="K41" s="113">
        <v>120000</v>
      </c>
      <c r="L41" s="113">
        <f t="shared" si="5"/>
        <v>120000</v>
      </c>
      <c r="M41" s="113"/>
      <c r="N41" s="55"/>
      <c r="O41" s="22" t="s">
        <v>509</v>
      </c>
      <c r="S41">
        <v>120000</v>
      </c>
      <c r="T41">
        <v>120000</v>
      </c>
    </row>
    <row r="42" spans="2:20" ht="19.7" customHeight="1" x14ac:dyDescent="0.2">
      <c r="B42" s="57" t="s">
        <v>509</v>
      </c>
      <c r="C42" s="19" t="s">
        <v>210</v>
      </c>
      <c r="D42" s="19" t="s">
        <v>175</v>
      </c>
      <c r="E42" s="21">
        <v>1</v>
      </c>
      <c r="F42" s="20" t="s">
        <v>318</v>
      </c>
      <c r="G42" s="27">
        <f t="shared" si="6"/>
        <v>213200</v>
      </c>
      <c r="H42" s="55">
        <f t="shared" si="7"/>
        <v>213200</v>
      </c>
      <c r="I42" s="113"/>
      <c r="J42" s="113"/>
      <c r="K42" s="113">
        <v>213200</v>
      </c>
      <c r="L42" s="113">
        <f t="shared" si="5"/>
        <v>213200</v>
      </c>
      <c r="M42" s="113"/>
      <c r="N42" s="55"/>
      <c r="O42" s="22" t="s">
        <v>509</v>
      </c>
      <c r="S42">
        <v>213200</v>
      </c>
      <c r="T42">
        <v>213200</v>
      </c>
    </row>
    <row r="43" spans="2:20" ht="19.7" customHeight="1" x14ac:dyDescent="0.2">
      <c r="B43" s="57" t="s">
        <v>509</v>
      </c>
      <c r="C43" s="19" t="s">
        <v>210</v>
      </c>
      <c r="D43" s="19" t="s">
        <v>127</v>
      </c>
      <c r="E43" s="21">
        <v>1</v>
      </c>
      <c r="F43" s="20" t="s">
        <v>318</v>
      </c>
      <c r="G43" s="27">
        <f t="shared" si="6"/>
        <v>124800</v>
      </c>
      <c r="H43" s="55">
        <f t="shared" si="7"/>
        <v>124800</v>
      </c>
      <c r="I43" s="113"/>
      <c r="J43" s="113"/>
      <c r="K43" s="113">
        <v>124800</v>
      </c>
      <c r="L43" s="113">
        <f t="shared" si="5"/>
        <v>124800</v>
      </c>
      <c r="M43" s="113"/>
      <c r="N43" s="55"/>
      <c r="O43" s="22" t="s">
        <v>509</v>
      </c>
      <c r="S43">
        <v>124800</v>
      </c>
      <c r="T43">
        <v>124800</v>
      </c>
    </row>
    <row r="44" spans="2:20" ht="19.7" customHeight="1" x14ac:dyDescent="0.2">
      <c r="B44" s="57" t="s">
        <v>509</v>
      </c>
      <c r="C44" s="19" t="s">
        <v>210</v>
      </c>
      <c r="D44" s="19" t="s">
        <v>291</v>
      </c>
      <c r="E44" s="21">
        <v>1</v>
      </c>
      <c r="F44" s="20" t="s">
        <v>318</v>
      </c>
      <c r="G44" s="27">
        <f t="shared" si="6"/>
        <v>114400</v>
      </c>
      <c r="H44" s="55">
        <f t="shared" si="7"/>
        <v>114400</v>
      </c>
      <c r="I44" s="113"/>
      <c r="J44" s="113"/>
      <c r="K44" s="113">
        <v>114400</v>
      </c>
      <c r="L44" s="113">
        <f t="shared" si="5"/>
        <v>114400</v>
      </c>
      <c r="M44" s="113"/>
      <c r="N44" s="55"/>
      <c r="O44" s="22" t="s">
        <v>509</v>
      </c>
      <c r="S44">
        <v>114400</v>
      </c>
      <c r="T44">
        <v>114400</v>
      </c>
    </row>
    <row r="45" spans="2:20" ht="19.7" customHeight="1" x14ac:dyDescent="0.2">
      <c r="B45" s="57" t="s">
        <v>509</v>
      </c>
      <c r="C45" s="19" t="s">
        <v>343</v>
      </c>
      <c r="D45" s="19" t="s">
        <v>216</v>
      </c>
      <c r="E45" s="21">
        <v>1</v>
      </c>
      <c r="F45" s="20" t="s">
        <v>318</v>
      </c>
      <c r="G45" s="27">
        <f t="shared" si="6"/>
        <v>14040</v>
      </c>
      <c r="H45" s="55">
        <f t="shared" si="7"/>
        <v>14040</v>
      </c>
      <c r="I45" s="113"/>
      <c r="J45" s="113"/>
      <c r="K45" s="113">
        <v>14040</v>
      </c>
      <c r="L45" s="113">
        <f t="shared" si="5"/>
        <v>14040</v>
      </c>
      <c r="M45" s="113"/>
      <c r="N45" s="55"/>
      <c r="O45" s="22" t="s">
        <v>509</v>
      </c>
      <c r="S45">
        <v>14040</v>
      </c>
      <c r="T45">
        <v>14040</v>
      </c>
    </row>
    <row r="46" spans="2:20" ht="19.7" customHeight="1" x14ac:dyDescent="0.2">
      <c r="B46" s="57" t="s">
        <v>509</v>
      </c>
      <c r="C46" s="19" t="s">
        <v>73</v>
      </c>
      <c r="D46" s="19" t="s">
        <v>216</v>
      </c>
      <c r="E46" s="21">
        <v>1</v>
      </c>
      <c r="F46" s="20" t="s">
        <v>318</v>
      </c>
      <c r="G46" s="27">
        <f t="shared" si="6"/>
        <v>10920</v>
      </c>
      <c r="H46" s="55">
        <f t="shared" si="7"/>
        <v>10920</v>
      </c>
      <c r="I46" s="113"/>
      <c r="J46" s="113"/>
      <c r="K46" s="113">
        <v>10920</v>
      </c>
      <c r="L46" s="113">
        <f t="shared" si="5"/>
        <v>10920</v>
      </c>
      <c r="M46" s="113"/>
      <c r="N46" s="55"/>
      <c r="O46" s="22" t="s">
        <v>509</v>
      </c>
      <c r="S46">
        <v>10920</v>
      </c>
      <c r="T46">
        <v>10920</v>
      </c>
    </row>
    <row r="47" spans="2:20" ht="19.7" customHeight="1" x14ac:dyDescent="0.2">
      <c r="B47" s="57" t="s">
        <v>509</v>
      </c>
      <c r="C47" s="19" t="s">
        <v>88</v>
      </c>
      <c r="D47" s="19" t="s">
        <v>216</v>
      </c>
      <c r="E47" s="21">
        <v>1</v>
      </c>
      <c r="F47" s="20" t="s">
        <v>318</v>
      </c>
      <c r="G47" s="27">
        <f t="shared" si="6"/>
        <v>9980</v>
      </c>
      <c r="H47" s="55">
        <f t="shared" si="7"/>
        <v>9980</v>
      </c>
      <c r="I47" s="113"/>
      <c r="J47" s="113"/>
      <c r="K47" s="113">
        <v>9980</v>
      </c>
      <c r="L47" s="113">
        <f t="shared" si="5"/>
        <v>9980</v>
      </c>
      <c r="M47" s="113"/>
      <c r="N47" s="55"/>
      <c r="O47" s="22" t="s">
        <v>509</v>
      </c>
      <c r="S47">
        <v>9980</v>
      </c>
      <c r="T47">
        <v>9980</v>
      </c>
    </row>
    <row r="48" spans="2:20" ht="19.7" customHeight="1" x14ac:dyDescent="0.2">
      <c r="B48" s="57" t="s">
        <v>509</v>
      </c>
      <c r="C48" s="19" t="s">
        <v>481</v>
      </c>
      <c r="D48" s="19" t="s">
        <v>216</v>
      </c>
      <c r="E48" s="21">
        <v>1</v>
      </c>
      <c r="F48" s="20" t="s">
        <v>302</v>
      </c>
      <c r="G48" s="27">
        <f t="shared" si="6"/>
        <v>4340</v>
      </c>
      <c r="H48" s="55">
        <f t="shared" si="7"/>
        <v>4340</v>
      </c>
      <c r="I48" s="113"/>
      <c r="J48" s="113"/>
      <c r="K48" s="113">
        <v>4340</v>
      </c>
      <c r="L48" s="113">
        <f t="shared" si="5"/>
        <v>4340</v>
      </c>
      <c r="M48" s="113"/>
      <c r="N48" s="55"/>
      <c r="O48" s="22" t="s">
        <v>509</v>
      </c>
      <c r="S48">
        <v>4340</v>
      </c>
      <c r="T48">
        <v>4340</v>
      </c>
    </row>
    <row r="49" spans="2:20" ht="19.7" customHeight="1" x14ac:dyDescent="0.2">
      <c r="B49" s="57" t="s">
        <v>509</v>
      </c>
      <c r="C49" s="19" t="s">
        <v>481</v>
      </c>
      <c r="D49" s="19" t="s">
        <v>176</v>
      </c>
      <c r="E49" s="21">
        <v>1</v>
      </c>
      <c r="F49" s="20" t="s">
        <v>302</v>
      </c>
      <c r="G49" s="27">
        <f t="shared" si="6"/>
        <v>2860</v>
      </c>
      <c r="H49" s="55">
        <f t="shared" si="7"/>
        <v>2860</v>
      </c>
      <c r="I49" s="113"/>
      <c r="J49" s="113"/>
      <c r="K49" s="113">
        <v>2860</v>
      </c>
      <c r="L49" s="113">
        <f t="shared" si="5"/>
        <v>2860</v>
      </c>
      <c r="M49" s="113"/>
      <c r="N49" s="55"/>
      <c r="O49" s="22" t="s">
        <v>509</v>
      </c>
      <c r="S49">
        <v>2860</v>
      </c>
      <c r="T49">
        <v>2860</v>
      </c>
    </row>
    <row r="50" spans="2:20" ht="19.7" customHeight="1" x14ac:dyDescent="0.2">
      <c r="B50" s="57" t="s">
        <v>509</v>
      </c>
      <c r="C50" s="19" t="s">
        <v>234</v>
      </c>
      <c r="D50" s="19" t="s">
        <v>216</v>
      </c>
      <c r="E50" s="21">
        <v>1</v>
      </c>
      <c r="F50" s="20" t="s">
        <v>318</v>
      </c>
      <c r="G50" s="27">
        <f t="shared" si="6"/>
        <v>20320</v>
      </c>
      <c r="H50" s="55">
        <f t="shared" si="7"/>
        <v>20320</v>
      </c>
      <c r="I50" s="113"/>
      <c r="J50" s="113"/>
      <c r="K50" s="113">
        <v>20320</v>
      </c>
      <c r="L50" s="113">
        <f t="shared" si="5"/>
        <v>20320</v>
      </c>
      <c r="M50" s="113"/>
      <c r="N50" s="55"/>
      <c r="O50" s="22" t="s">
        <v>509</v>
      </c>
      <c r="S50">
        <v>20320</v>
      </c>
      <c r="T50">
        <v>20320</v>
      </c>
    </row>
    <row r="51" spans="2:20" ht="19.7" customHeight="1" x14ac:dyDescent="0.2">
      <c r="B51" s="57" t="s">
        <v>509</v>
      </c>
      <c r="C51" s="19" t="s">
        <v>120</v>
      </c>
      <c r="D51" s="19" t="s">
        <v>216</v>
      </c>
      <c r="E51" s="21">
        <v>1</v>
      </c>
      <c r="F51" s="20" t="s">
        <v>318</v>
      </c>
      <c r="G51" s="27">
        <f t="shared" si="6"/>
        <v>17040</v>
      </c>
      <c r="H51" s="55">
        <f t="shared" si="7"/>
        <v>17040</v>
      </c>
      <c r="I51" s="113"/>
      <c r="J51" s="113"/>
      <c r="K51" s="113">
        <v>17040</v>
      </c>
      <c r="L51" s="113">
        <f t="shared" si="5"/>
        <v>17040</v>
      </c>
      <c r="M51" s="113"/>
      <c r="N51" s="55"/>
      <c r="O51" s="22" t="s">
        <v>509</v>
      </c>
      <c r="S51">
        <v>17040</v>
      </c>
      <c r="T51">
        <v>17040</v>
      </c>
    </row>
    <row r="52" spans="2:20" ht="19.7" customHeight="1" x14ac:dyDescent="0.2">
      <c r="B52" s="57" t="s">
        <v>509</v>
      </c>
      <c r="C52" s="19" t="s">
        <v>375</v>
      </c>
      <c r="D52" s="19" t="s">
        <v>216</v>
      </c>
      <c r="E52" s="21">
        <v>1</v>
      </c>
      <c r="F52" s="20" t="s">
        <v>302</v>
      </c>
      <c r="G52" s="27">
        <f t="shared" si="6"/>
        <v>19560</v>
      </c>
      <c r="H52" s="55">
        <f t="shared" si="7"/>
        <v>19560</v>
      </c>
      <c r="I52" s="113"/>
      <c r="J52" s="113"/>
      <c r="K52" s="113">
        <v>19560</v>
      </c>
      <c r="L52" s="113">
        <f t="shared" si="5"/>
        <v>19560</v>
      </c>
      <c r="M52" s="113"/>
      <c r="N52" s="55"/>
      <c r="O52" s="22" t="s">
        <v>509</v>
      </c>
      <c r="S52">
        <v>19560</v>
      </c>
      <c r="T52">
        <v>19560</v>
      </c>
    </row>
    <row r="53" spans="2:20" ht="19.7" customHeight="1" x14ac:dyDescent="0.2">
      <c r="B53" s="57" t="s">
        <v>509</v>
      </c>
      <c r="C53" s="19" t="s">
        <v>102</v>
      </c>
      <c r="D53" s="19" t="s">
        <v>216</v>
      </c>
      <c r="E53" s="21">
        <v>1</v>
      </c>
      <c r="F53" s="20" t="s">
        <v>318</v>
      </c>
      <c r="G53" s="27">
        <f t="shared" si="6"/>
        <v>24220</v>
      </c>
      <c r="H53" s="55">
        <f t="shared" si="7"/>
        <v>24220</v>
      </c>
      <c r="I53" s="113"/>
      <c r="J53" s="113"/>
      <c r="K53" s="113">
        <v>24220</v>
      </c>
      <c r="L53" s="113">
        <f t="shared" si="5"/>
        <v>24220</v>
      </c>
      <c r="M53" s="113"/>
      <c r="N53" s="55"/>
      <c r="O53" s="22" t="s">
        <v>509</v>
      </c>
      <c r="S53">
        <v>24220</v>
      </c>
      <c r="T53">
        <v>24220</v>
      </c>
    </row>
    <row r="54" spans="2:20" ht="19.7" customHeight="1" x14ac:dyDescent="0.2">
      <c r="B54" s="57" t="s">
        <v>509</v>
      </c>
      <c r="C54" s="19" t="s">
        <v>136</v>
      </c>
      <c r="D54" s="19" t="s">
        <v>470</v>
      </c>
      <c r="E54" s="21">
        <v>1</v>
      </c>
      <c r="F54" s="20" t="s">
        <v>318</v>
      </c>
      <c r="G54" s="27">
        <f t="shared" si="6"/>
        <v>38860</v>
      </c>
      <c r="H54" s="55">
        <f t="shared" si="7"/>
        <v>38860</v>
      </c>
      <c r="I54" s="113"/>
      <c r="J54" s="113"/>
      <c r="K54" s="113">
        <v>38860</v>
      </c>
      <c r="L54" s="113">
        <f t="shared" si="5"/>
        <v>38860</v>
      </c>
      <c r="M54" s="113"/>
      <c r="N54" s="55"/>
      <c r="O54" s="22" t="s">
        <v>509</v>
      </c>
      <c r="S54">
        <v>38860</v>
      </c>
      <c r="T54">
        <v>38860</v>
      </c>
    </row>
    <row r="55" spans="2:20" ht="19.7" customHeight="1" x14ac:dyDescent="0.2">
      <c r="B55" s="57" t="s">
        <v>509</v>
      </c>
      <c r="C55" s="19" t="s">
        <v>233</v>
      </c>
      <c r="D55" s="19" t="s">
        <v>470</v>
      </c>
      <c r="E55" s="21">
        <v>1</v>
      </c>
      <c r="F55" s="20" t="s">
        <v>318</v>
      </c>
      <c r="G55" s="27">
        <f t="shared" si="6"/>
        <v>53310</v>
      </c>
      <c r="H55" s="55">
        <f t="shared" si="7"/>
        <v>53310</v>
      </c>
      <c r="I55" s="113"/>
      <c r="J55" s="113"/>
      <c r="K55" s="113">
        <v>53310</v>
      </c>
      <c r="L55" s="113">
        <f t="shared" si="5"/>
        <v>53310</v>
      </c>
      <c r="M55" s="113"/>
      <c r="N55" s="55"/>
      <c r="O55" s="22" t="s">
        <v>509</v>
      </c>
      <c r="S55">
        <v>53310</v>
      </c>
      <c r="T55">
        <v>53310</v>
      </c>
    </row>
    <row r="56" spans="2:20" ht="19.7" customHeight="1" x14ac:dyDescent="0.2">
      <c r="B56" s="59" t="s">
        <v>509</v>
      </c>
      <c r="C56" s="24" t="s">
        <v>486</v>
      </c>
      <c r="D56" s="24" t="s">
        <v>458</v>
      </c>
      <c r="E56" s="12">
        <v>1</v>
      </c>
      <c r="F56" s="25" t="s">
        <v>368</v>
      </c>
      <c r="G56" s="11">
        <f t="shared" si="6"/>
        <v>19000</v>
      </c>
      <c r="H56" s="63">
        <f t="shared" si="7"/>
        <v>19000</v>
      </c>
      <c r="I56" s="113"/>
      <c r="J56" s="113"/>
      <c r="K56" s="113">
        <v>19000</v>
      </c>
      <c r="L56" s="113">
        <f t="shared" si="5"/>
        <v>19000</v>
      </c>
      <c r="M56" s="113"/>
      <c r="N56" s="63"/>
      <c r="O56" s="26" t="s">
        <v>509</v>
      </c>
      <c r="S56">
        <v>19000</v>
      </c>
      <c r="T56">
        <v>19000</v>
      </c>
    </row>
    <row r="57" spans="2:20" ht="19.7" customHeight="1" x14ac:dyDescent="0.2">
      <c r="B57" s="57" t="s">
        <v>509</v>
      </c>
      <c r="C57" s="19" t="s">
        <v>491</v>
      </c>
      <c r="D57" s="19" t="s">
        <v>298</v>
      </c>
      <c r="E57" s="21">
        <v>1</v>
      </c>
      <c r="F57" s="20" t="s">
        <v>290</v>
      </c>
      <c r="G57" s="27">
        <f t="shared" si="6"/>
        <v>4272</v>
      </c>
      <c r="H57" s="55">
        <f t="shared" si="7"/>
        <v>4272</v>
      </c>
      <c r="I57" s="113"/>
      <c r="J57" s="113"/>
      <c r="K57" s="113">
        <v>4272</v>
      </c>
      <c r="L57" s="113">
        <f t="shared" si="5"/>
        <v>4272</v>
      </c>
      <c r="M57" s="113"/>
      <c r="N57" s="55"/>
      <c r="O57" s="22" t="s">
        <v>509</v>
      </c>
      <c r="S57">
        <v>4272</v>
      </c>
      <c r="T57">
        <v>4272</v>
      </c>
    </row>
    <row r="58" spans="2:20" ht="19.7" customHeight="1" x14ac:dyDescent="0.2">
      <c r="B58" s="57" t="s">
        <v>509</v>
      </c>
      <c r="C58" s="19" t="s">
        <v>509</v>
      </c>
      <c r="D58" s="19" t="s">
        <v>509</v>
      </c>
      <c r="E58" s="21"/>
      <c r="F58" s="20" t="s">
        <v>509</v>
      </c>
      <c r="G58" s="27"/>
      <c r="H58" s="55"/>
      <c r="I58" s="27"/>
      <c r="J58" s="21"/>
      <c r="K58" s="27"/>
      <c r="L58" s="21"/>
      <c r="M58" s="27"/>
      <c r="N58" s="21"/>
      <c r="O58" s="22" t="s">
        <v>509</v>
      </c>
    </row>
    <row r="59" spans="2:20" ht="19.7" customHeight="1" x14ac:dyDescent="0.2">
      <c r="B59" s="51" t="s">
        <v>509</v>
      </c>
      <c r="C59" s="52" t="s">
        <v>505</v>
      </c>
      <c r="D59" s="52" t="s">
        <v>509</v>
      </c>
      <c r="E59" s="21"/>
      <c r="F59" s="82" t="s">
        <v>509</v>
      </c>
      <c r="G59" s="27"/>
      <c r="H59" s="83">
        <f t="shared" si="7"/>
        <v>49918576</v>
      </c>
      <c r="I59" s="27"/>
      <c r="J59" s="83" t="str">
        <f>TEXT(J5,"#,##0")</f>
        <v>27,582,689</v>
      </c>
      <c r="K59" s="27"/>
      <c r="L59" s="83" t="str">
        <f>TEXT(L5,"#,##0")</f>
        <v>21,054,942</v>
      </c>
      <c r="M59" s="27"/>
      <c r="N59" s="83" t="str">
        <f>TEXT(N5,"#,##0")</f>
        <v>1,280,945</v>
      </c>
      <c r="O59" s="84" t="s">
        <v>509</v>
      </c>
    </row>
    <row r="60" spans="2:20" ht="19.7" customHeight="1" x14ac:dyDescent="0.2">
      <c r="B60" s="57" t="s">
        <v>509</v>
      </c>
      <c r="C60" s="19" t="s">
        <v>434</v>
      </c>
      <c r="D60" s="19" t="s">
        <v>509</v>
      </c>
      <c r="E60" s="86">
        <v>12.8</v>
      </c>
      <c r="F60" s="20" t="s">
        <v>113</v>
      </c>
      <c r="G60" s="27"/>
      <c r="H60" s="55">
        <f>원가계산서!F9</f>
        <v>3530584</v>
      </c>
      <c r="I60" s="27"/>
      <c r="J60" s="21"/>
      <c r="K60" s="27"/>
      <c r="L60" s="21"/>
      <c r="M60" s="27"/>
      <c r="N60" s="21"/>
      <c r="O60" s="22" t="s">
        <v>509</v>
      </c>
    </row>
    <row r="61" spans="2:20" ht="19.7" customHeight="1" x14ac:dyDescent="0.2">
      <c r="B61" s="57" t="s">
        <v>509</v>
      </c>
      <c r="C61" s="19" t="s">
        <v>240</v>
      </c>
      <c r="D61" s="19" t="s">
        <v>509</v>
      </c>
      <c r="E61" s="86">
        <v>3.75</v>
      </c>
      <c r="F61" s="20" t="s">
        <v>113</v>
      </c>
      <c r="G61" s="27"/>
      <c r="H61" s="55">
        <f>원가계산서!F12</f>
        <v>1166747</v>
      </c>
      <c r="I61" s="27"/>
      <c r="J61" s="21"/>
      <c r="K61" s="27"/>
      <c r="L61" s="21"/>
      <c r="M61" s="27"/>
      <c r="N61" s="21"/>
      <c r="O61" s="22" t="s">
        <v>509</v>
      </c>
    </row>
    <row r="62" spans="2:20" ht="19.7" customHeight="1" x14ac:dyDescent="0.2">
      <c r="B62" s="57" t="s">
        <v>509</v>
      </c>
      <c r="C62" s="19" t="s">
        <v>203</v>
      </c>
      <c r="D62" s="19" t="s">
        <v>509</v>
      </c>
      <c r="E62" s="86">
        <v>0.87</v>
      </c>
      <c r="F62" s="20" t="s">
        <v>113</v>
      </c>
      <c r="G62" s="27"/>
      <c r="H62" s="55">
        <f>원가계산서!F13</f>
        <v>270685</v>
      </c>
      <c r="I62" s="27"/>
      <c r="J62" s="21"/>
      <c r="K62" s="27"/>
      <c r="L62" s="21"/>
      <c r="M62" s="27"/>
      <c r="N62" s="21"/>
      <c r="O62" s="22" t="s">
        <v>509</v>
      </c>
    </row>
    <row r="63" spans="2:20" ht="19.7" customHeight="1" x14ac:dyDescent="0.2">
      <c r="B63" s="57" t="s">
        <v>509</v>
      </c>
      <c r="C63" s="19" t="s">
        <v>285</v>
      </c>
      <c r="D63" s="19" t="s">
        <v>509</v>
      </c>
      <c r="E63" s="86">
        <v>3.23</v>
      </c>
      <c r="F63" s="20" t="s">
        <v>113</v>
      </c>
      <c r="G63" s="27"/>
      <c r="H63" s="55">
        <f>원가계산서!F14</f>
        <v>890920</v>
      </c>
      <c r="I63" s="27"/>
      <c r="J63" s="21"/>
      <c r="K63" s="27"/>
      <c r="L63" s="21"/>
      <c r="M63" s="27"/>
      <c r="N63" s="21"/>
      <c r="O63" s="22" t="s">
        <v>509</v>
      </c>
    </row>
    <row r="64" spans="2:20" ht="19.7" customHeight="1" x14ac:dyDescent="0.2">
      <c r="B64" s="57" t="s">
        <v>509</v>
      </c>
      <c r="C64" s="19" t="s">
        <v>439</v>
      </c>
      <c r="D64" s="19" t="s">
        <v>509</v>
      </c>
      <c r="E64" s="86">
        <v>4.5</v>
      </c>
      <c r="F64" s="20" t="s">
        <v>113</v>
      </c>
      <c r="G64" s="27"/>
      <c r="H64" s="55">
        <f>원가계산서!F15</f>
        <v>1241221</v>
      </c>
      <c r="I64" s="27"/>
      <c r="J64" s="21"/>
      <c r="K64" s="27"/>
      <c r="L64" s="21"/>
      <c r="M64" s="27"/>
      <c r="N64" s="21"/>
      <c r="O64" s="22" t="s">
        <v>509</v>
      </c>
    </row>
    <row r="65" spans="2:15" ht="19.7" customHeight="1" x14ac:dyDescent="0.2">
      <c r="B65" s="57" t="s">
        <v>509</v>
      </c>
      <c r="C65" s="19" t="s">
        <v>473</v>
      </c>
      <c r="D65" s="19" t="s">
        <v>509</v>
      </c>
      <c r="E65" s="86">
        <v>8.51</v>
      </c>
      <c r="F65" s="20" t="s">
        <v>113</v>
      </c>
      <c r="G65" s="27"/>
      <c r="H65" s="55">
        <f>원가계산서!F16</f>
        <v>75817</v>
      </c>
      <c r="I65" s="27"/>
      <c r="J65" s="21"/>
      <c r="K65" s="27"/>
      <c r="L65" s="21"/>
      <c r="M65" s="27"/>
      <c r="N65" s="21"/>
      <c r="O65" s="22" t="s">
        <v>509</v>
      </c>
    </row>
    <row r="66" spans="2:15" ht="19.7" customHeight="1" x14ac:dyDescent="0.2">
      <c r="B66" s="57" t="s">
        <v>509</v>
      </c>
      <c r="C66" s="19" t="s">
        <v>262</v>
      </c>
      <c r="D66" s="19" t="s">
        <v>509</v>
      </c>
      <c r="E66" s="86">
        <v>0.39</v>
      </c>
      <c r="F66" s="20" t="s">
        <v>113</v>
      </c>
      <c r="G66" s="27"/>
      <c r="H66" s="55">
        <f>원가계산서!F18</f>
        <v>194682</v>
      </c>
      <c r="I66" s="27"/>
      <c r="J66" s="21"/>
      <c r="K66" s="27"/>
      <c r="L66" s="21"/>
      <c r="M66" s="27"/>
      <c r="N66" s="21"/>
      <c r="O66" s="22" t="s">
        <v>509</v>
      </c>
    </row>
    <row r="67" spans="2:15" ht="19.7" customHeight="1" x14ac:dyDescent="0.2">
      <c r="B67" s="57" t="s">
        <v>509</v>
      </c>
      <c r="C67" s="19" t="s">
        <v>453</v>
      </c>
      <c r="D67" s="19" t="s">
        <v>509</v>
      </c>
      <c r="E67" s="86">
        <v>2.93</v>
      </c>
      <c r="F67" s="20" t="s">
        <v>113</v>
      </c>
      <c r="G67" s="27"/>
      <c r="H67" s="55">
        <f>원가계산서!F19</f>
        <v>1425082</v>
      </c>
      <c r="I67" s="27"/>
      <c r="J67" s="21"/>
      <c r="K67" s="27"/>
      <c r="L67" s="21"/>
      <c r="M67" s="27"/>
      <c r="N67" s="21"/>
      <c r="O67" s="22" t="s">
        <v>509</v>
      </c>
    </row>
    <row r="68" spans="2:15" ht="19.7" customHeight="1" x14ac:dyDescent="0.2">
      <c r="B68" s="57" t="s">
        <v>509</v>
      </c>
      <c r="C68" s="19" t="s">
        <v>429</v>
      </c>
      <c r="D68" s="19" t="s">
        <v>509</v>
      </c>
      <c r="E68" s="86">
        <v>0.5</v>
      </c>
      <c r="F68" s="20" t="s">
        <v>113</v>
      </c>
      <c r="G68" s="27"/>
      <c r="H68" s="55">
        <f>원가계산서!F20</f>
        <v>249592</v>
      </c>
      <c r="I68" s="27"/>
      <c r="J68" s="21"/>
      <c r="K68" s="27"/>
      <c r="L68" s="21"/>
      <c r="M68" s="27"/>
      <c r="N68" s="21"/>
      <c r="O68" s="22" t="s">
        <v>509</v>
      </c>
    </row>
    <row r="69" spans="2:15" ht="19.7" customHeight="1" x14ac:dyDescent="0.2">
      <c r="B69" s="57" t="s">
        <v>509</v>
      </c>
      <c r="C69" s="19" t="s">
        <v>495</v>
      </c>
      <c r="D69" s="19" t="s">
        <v>509</v>
      </c>
      <c r="E69" s="86">
        <v>7.9</v>
      </c>
      <c r="F69" s="20" t="s">
        <v>113</v>
      </c>
      <c r="G69" s="27"/>
      <c r="H69" s="55">
        <f>원가계산서!F23</f>
        <v>4121288</v>
      </c>
      <c r="I69" s="27"/>
      <c r="J69" s="21"/>
      <c r="K69" s="27"/>
      <c r="L69" s="21"/>
      <c r="M69" s="27"/>
      <c r="N69" s="21"/>
      <c r="O69" s="22" t="s">
        <v>509</v>
      </c>
    </row>
    <row r="70" spans="2:15" ht="19.7" customHeight="1" x14ac:dyDescent="0.2">
      <c r="B70" s="57" t="s">
        <v>509</v>
      </c>
      <c r="C70" s="19" t="s">
        <v>314</v>
      </c>
      <c r="D70" s="19" t="s">
        <v>509</v>
      </c>
      <c r="E70" s="21"/>
      <c r="F70" s="20" t="s">
        <v>509</v>
      </c>
      <c r="G70" s="27"/>
      <c r="H70" s="55">
        <f>원가계산서!F7</f>
        <v>21054942</v>
      </c>
      <c r="I70" s="27"/>
      <c r="J70" s="21"/>
      <c r="K70" s="27"/>
      <c r="L70" s="21"/>
      <c r="M70" s="27"/>
      <c r="N70" s="21"/>
      <c r="O70" s="22" t="s">
        <v>509</v>
      </c>
    </row>
    <row r="71" spans="2:15" ht="19.7" customHeight="1" x14ac:dyDescent="0.2">
      <c r="B71" s="57" t="s">
        <v>509</v>
      </c>
      <c r="C71" s="19" t="s">
        <v>478</v>
      </c>
      <c r="D71" s="19" t="s">
        <v>509</v>
      </c>
      <c r="E71" s="21"/>
      <c r="F71" s="20" t="s">
        <v>509</v>
      </c>
      <c r="G71" s="27"/>
      <c r="H71" s="55">
        <f>원가계산서!F25</f>
        <v>63085194</v>
      </c>
      <c r="I71" s="27"/>
      <c r="J71" s="21"/>
      <c r="K71" s="27"/>
      <c r="L71" s="21"/>
      <c r="M71" s="27"/>
      <c r="N71" s="21"/>
      <c r="O71" s="22" t="s">
        <v>509</v>
      </c>
    </row>
    <row r="72" spans="2:15" ht="19.7" customHeight="1" x14ac:dyDescent="0.2">
      <c r="B72" s="57" t="s">
        <v>509</v>
      </c>
      <c r="C72" s="19" t="s">
        <v>441</v>
      </c>
      <c r="D72" s="19" t="s">
        <v>509</v>
      </c>
      <c r="E72" s="21">
        <v>6</v>
      </c>
      <c r="F72" s="20" t="s">
        <v>113</v>
      </c>
      <c r="G72" s="27"/>
      <c r="H72" s="55">
        <f>원가계산서!F26</f>
        <v>3785111</v>
      </c>
      <c r="I72" s="27"/>
      <c r="J72" s="21"/>
      <c r="K72" s="27"/>
      <c r="L72" s="21"/>
      <c r="M72" s="27"/>
      <c r="N72" s="21"/>
      <c r="O72" s="22" t="s">
        <v>509</v>
      </c>
    </row>
    <row r="73" spans="2:15" ht="19.7" customHeight="1" x14ac:dyDescent="0.2">
      <c r="B73" s="57" t="s">
        <v>509</v>
      </c>
      <c r="C73" s="19" t="s">
        <v>186</v>
      </c>
      <c r="D73" s="19" t="s">
        <v>509</v>
      </c>
      <c r="E73" s="86">
        <v>12.79</v>
      </c>
      <c r="F73" s="20" t="s">
        <v>113</v>
      </c>
      <c r="G73" s="27"/>
      <c r="H73" s="55">
        <f>원가계산서!F27</f>
        <v>5856968</v>
      </c>
      <c r="I73" s="27"/>
      <c r="J73" s="21"/>
      <c r="K73" s="27"/>
      <c r="L73" s="21"/>
      <c r="M73" s="27"/>
      <c r="N73" s="21"/>
      <c r="O73" s="22" t="s">
        <v>509</v>
      </c>
    </row>
    <row r="74" spans="2:15" ht="19.7" customHeight="1" x14ac:dyDescent="0.2">
      <c r="B74" s="57" t="s">
        <v>509</v>
      </c>
      <c r="C74" s="19" t="s">
        <v>440</v>
      </c>
      <c r="D74" s="19" t="s">
        <v>509</v>
      </c>
      <c r="E74" s="21"/>
      <c r="F74" s="20" t="s">
        <v>509</v>
      </c>
      <c r="G74" s="27"/>
      <c r="H74" s="55">
        <f>원가계산서!F29</f>
        <v>72727273</v>
      </c>
      <c r="I74" s="27"/>
      <c r="J74" s="21"/>
      <c r="K74" s="27"/>
      <c r="L74" s="21"/>
      <c r="M74" s="27"/>
      <c r="N74" s="21"/>
      <c r="O74" s="22" t="s">
        <v>509</v>
      </c>
    </row>
    <row r="75" spans="2:15" ht="19.7" customHeight="1" x14ac:dyDescent="0.2">
      <c r="B75" s="57" t="s">
        <v>509</v>
      </c>
      <c r="C75" s="19" t="s">
        <v>39</v>
      </c>
      <c r="D75" s="19" t="s">
        <v>509</v>
      </c>
      <c r="E75" s="21">
        <v>10</v>
      </c>
      <c r="F75" s="20" t="s">
        <v>113</v>
      </c>
      <c r="G75" s="27"/>
      <c r="H75" s="55">
        <f>원가계산서!F30</f>
        <v>7272727</v>
      </c>
      <c r="I75" s="27"/>
      <c r="J75" s="21"/>
      <c r="K75" s="27"/>
      <c r="L75" s="21"/>
      <c r="M75" s="27"/>
      <c r="N75" s="21"/>
      <c r="O75" s="22" t="s">
        <v>509</v>
      </c>
    </row>
    <row r="76" spans="2:15" ht="19.7" customHeight="1" x14ac:dyDescent="0.2">
      <c r="B76" s="57" t="s">
        <v>509</v>
      </c>
      <c r="C76" s="19" t="s">
        <v>5</v>
      </c>
      <c r="D76" s="19" t="s">
        <v>509</v>
      </c>
      <c r="E76" s="21"/>
      <c r="F76" s="20" t="s">
        <v>509</v>
      </c>
      <c r="G76" s="27"/>
      <c r="H76" s="55">
        <f>원가계산서!F31</f>
        <v>80000000</v>
      </c>
      <c r="I76" s="27"/>
      <c r="J76" s="21"/>
      <c r="K76" s="27"/>
      <c r="L76" s="21"/>
      <c r="M76" s="27"/>
      <c r="N76" s="21"/>
      <c r="O76" s="22" t="s">
        <v>509</v>
      </c>
    </row>
    <row r="77" spans="2:15" ht="18" customHeight="1" x14ac:dyDescent="0.2">
      <c r="B77" s="59" t="s">
        <v>509</v>
      </c>
      <c r="C77" s="24" t="s">
        <v>231</v>
      </c>
      <c r="D77" s="24" t="s">
        <v>509</v>
      </c>
      <c r="E77" s="12"/>
      <c r="F77" s="25" t="s">
        <v>509</v>
      </c>
      <c r="G77" s="11"/>
      <c r="H77" s="63">
        <f>원가계산서!F33</f>
        <v>80000000</v>
      </c>
      <c r="I77" s="11"/>
      <c r="J77" s="12"/>
      <c r="K77" s="11"/>
      <c r="L77" s="12"/>
      <c r="M77" s="11"/>
      <c r="N77" s="12"/>
      <c r="O77" s="26" t="s">
        <v>509</v>
      </c>
    </row>
    <row r="78" spans="2:15" x14ac:dyDescent="0.2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</sheetData>
  <mergeCells count="11">
    <mergeCell ref="I3:J3"/>
    <mergeCell ref="K3:L3"/>
    <mergeCell ref="M3:N3"/>
    <mergeCell ref="O3:O4"/>
    <mergeCell ref="B1:O2"/>
    <mergeCell ref="B3:B4"/>
    <mergeCell ref="C3:C4"/>
    <mergeCell ref="D3:D4"/>
    <mergeCell ref="E3:E4"/>
    <mergeCell ref="F3:F4"/>
    <mergeCell ref="G3:H3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2" manualBreakCount="2">
    <brk id="30" min="2" max="15" man="1"/>
    <brk id="56" min="2" max="15" man="1"/>
  </rowBreaks>
  <ignoredErrors>
    <ignoredError sqref="J5:J6 N5:N6 L6 G10:H10 G12:H12 G19:H20 J22 L22 N22 G23:H26 H29:H57 L29 G30:G57" emptyCellReference="1"/>
    <ignoredError sqref="B6 I13:I18 K13:K18 M13:M18 Q13:Q18 S13:S18 U13:U18 B22 R22 T22 B29 T29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B1:L52"/>
  <sheetViews>
    <sheetView tabSelected="1" zoomScaleNormal="100" zoomScaleSheetLayoutView="100" workbookViewId="0">
      <pane ySplit="3" topLeftCell="A10" activePane="bottomLeft" state="frozen"/>
      <selection activeCell="Q11" sqref="Q11"/>
      <selection pane="bottomLeft" activeCell="F27" sqref="F27"/>
    </sheetView>
  </sheetViews>
  <sheetFormatPr defaultRowHeight="12.75" x14ac:dyDescent="0.2"/>
  <cols>
    <col min="1" max="1" width="0.7109375" customWidth="1"/>
    <col min="2" max="3" width="2.7109375" customWidth="1"/>
    <col min="4" max="4" width="19.28515625" customWidth="1"/>
    <col min="5" max="5" width="4.7109375" customWidth="1"/>
    <col min="6" max="6" width="15.42578125" customWidth="1"/>
    <col min="7" max="7" width="5.42578125" customWidth="1"/>
    <col min="8" max="8" width="35.5703125" customWidth="1"/>
    <col min="10" max="10" width="9.7109375" bestFit="1" customWidth="1"/>
  </cols>
  <sheetData>
    <row r="1" spans="2:8" ht="24.95" customHeight="1" x14ac:dyDescent="0.2">
      <c r="B1" s="118" t="s">
        <v>284</v>
      </c>
      <c r="C1" s="118"/>
      <c r="D1" s="118"/>
      <c r="E1" s="118"/>
      <c r="F1" s="118"/>
      <c r="G1" s="118"/>
      <c r="H1" s="118"/>
    </row>
    <row r="2" spans="2:8" ht="9.9499999999999993" customHeight="1" x14ac:dyDescent="0.2">
      <c r="B2" s="119"/>
      <c r="C2" s="119"/>
      <c r="D2" s="119"/>
      <c r="E2" s="119"/>
      <c r="F2" s="119"/>
      <c r="G2" s="119"/>
      <c r="H2" s="119"/>
    </row>
    <row r="3" spans="2:8" ht="33.6" customHeight="1" x14ac:dyDescent="0.2">
      <c r="B3" s="116" t="s">
        <v>86</v>
      </c>
      <c r="C3" s="117"/>
      <c r="D3" s="117"/>
      <c r="E3" s="6" t="s">
        <v>40</v>
      </c>
      <c r="F3" s="7" t="s">
        <v>246</v>
      </c>
      <c r="G3" s="7" t="s">
        <v>200</v>
      </c>
      <c r="H3" s="8" t="s">
        <v>500</v>
      </c>
    </row>
    <row r="4" spans="2:8" ht="22.35" customHeight="1" x14ac:dyDescent="0.2">
      <c r="B4" s="89" t="s">
        <v>509</v>
      </c>
      <c r="C4" s="90" t="s">
        <v>482</v>
      </c>
      <c r="D4" s="93" t="s">
        <v>307</v>
      </c>
      <c r="E4" s="94" t="s">
        <v>151</v>
      </c>
      <c r="F4" s="91" t="str">
        <f>계약내역서!L29</f>
        <v>18,218,949</v>
      </c>
      <c r="G4" s="91" t="s">
        <v>509</v>
      </c>
      <c r="H4" s="92" t="s">
        <v>509</v>
      </c>
    </row>
    <row r="5" spans="2:8" ht="22.35" customHeight="1" x14ac:dyDescent="0.2">
      <c r="B5" s="89" t="s">
        <v>509</v>
      </c>
      <c r="C5" s="90" t="s">
        <v>494</v>
      </c>
      <c r="D5" s="93" t="s">
        <v>474</v>
      </c>
      <c r="E5" s="94" t="s">
        <v>476</v>
      </c>
      <c r="F5" s="91">
        <f>계약내역서!L59-계약내역서!L29</f>
        <v>599134</v>
      </c>
      <c r="G5" s="91" t="s">
        <v>509</v>
      </c>
      <c r="H5" s="92" t="s">
        <v>509</v>
      </c>
    </row>
    <row r="6" spans="2:8" ht="22.35" customHeight="1" x14ac:dyDescent="0.2">
      <c r="B6" s="89" t="s">
        <v>509</v>
      </c>
      <c r="C6" s="90" t="s">
        <v>281</v>
      </c>
      <c r="D6" s="95" t="s">
        <v>230</v>
      </c>
      <c r="E6" s="96" t="s">
        <v>220</v>
      </c>
      <c r="F6" s="21"/>
      <c r="G6" s="55" t="s">
        <v>509</v>
      </c>
      <c r="H6" s="22" t="s">
        <v>509</v>
      </c>
    </row>
    <row r="7" spans="2:8" ht="22.35" customHeight="1" x14ac:dyDescent="0.2">
      <c r="B7" s="89" t="s">
        <v>509</v>
      </c>
      <c r="C7" s="19" t="s">
        <v>509</v>
      </c>
      <c r="D7" s="95" t="s">
        <v>325</v>
      </c>
      <c r="E7" s="96" t="s">
        <v>239</v>
      </c>
      <c r="F7" s="21">
        <f>TRUNC((F4+F5+F6),0)</f>
        <v>18818083</v>
      </c>
      <c r="G7" s="55" t="s">
        <v>509</v>
      </c>
      <c r="H7" s="22" t="s">
        <v>424</v>
      </c>
    </row>
    <row r="8" spans="2:8" ht="22.35" customHeight="1" x14ac:dyDescent="0.2">
      <c r="B8" s="89" t="s">
        <v>366</v>
      </c>
      <c r="C8" s="90" t="s">
        <v>451</v>
      </c>
      <c r="D8" s="93" t="s">
        <v>356</v>
      </c>
      <c r="E8" s="94" t="s">
        <v>396</v>
      </c>
      <c r="F8" s="91" t="str">
        <f>계약내역서!J59</f>
        <v>24,652,344</v>
      </c>
      <c r="G8" s="91" t="s">
        <v>509</v>
      </c>
      <c r="H8" s="92" t="s">
        <v>509</v>
      </c>
    </row>
    <row r="9" spans="2:8" ht="22.35" customHeight="1" x14ac:dyDescent="0.2">
      <c r="B9" s="89" t="s">
        <v>385</v>
      </c>
      <c r="C9" s="90" t="s">
        <v>477</v>
      </c>
      <c r="D9" s="95" t="s">
        <v>442</v>
      </c>
      <c r="E9" s="96" t="s">
        <v>165</v>
      </c>
      <c r="F9" s="21">
        <f>TRUNC(F8*0.128,0)</f>
        <v>3155500</v>
      </c>
      <c r="G9" s="55" t="s">
        <v>339</v>
      </c>
      <c r="H9" s="22" t="s">
        <v>66</v>
      </c>
    </row>
    <row r="10" spans="2:8" ht="22.35" customHeight="1" x14ac:dyDescent="0.2">
      <c r="B10" s="89" t="s">
        <v>366</v>
      </c>
      <c r="C10" s="19" t="s">
        <v>281</v>
      </c>
      <c r="D10" s="95" t="s">
        <v>325</v>
      </c>
      <c r="E10" s="96" t="s">
        <v>413</v>
      </c>
      <c r="F10" s="21">
        <f>TRUNC((F8+F9),0)</f>
        <v>27807844</v>
      </c>
      <c r="G10" s="55" t="s">
        <v>509</v>
      </c>
      <c r="H10" s="22" t="s">
        <v>178</v>
      </c>
    </row>
    <row r="11" spans="2:8" ht="22.35" customHeight="1" x14ac:dyDescent="0.2">
      <c r="B11" s="89" t="s">
        <v>121</v>
      </c>
      <c r="C11" s="90" t="s">
        <v>509</v>
      </c>
      <c r="D11" s="93" t="s">
        <v>146</v>
      </c>
      <c r="E11" s="94" t="s">
        <v>464</v>
      </c>
      <c r="F11" s="91" t="str">
        <f>계약내역서!N59</f>
        <v>1,144,839</v>
      </c>
      <c r="G11" s="91" t="s">
        <v>509</v>
      </c>
      <c r="H11" s="92" t="s">
        <v>509</v>
      </c>
    </row>
    <row r="12" spans="2:8" ht="22.35" customHeight="1" x14ac:dyDescent="0.2">
      <c r="B12" s="89" t="s">
        <v>366</v>
      </c>
      <c r="C12" s="90" t="s">
        <v>509</v>
      </c>
      <c r="D12" s="93" t="s">
        <v>384</v>
      </c>
      <c r="E12" s="94" t="s">
        <v>259</v>
      </c>
      <c r="F12" s="9">
        <f>TRUNC(F10*0.0375,0)</f>
        <v>1042794</v>
      </c>
      <c r="G12" s="91" t="s">
        <v>202</v>
      </c>
      <c r="H12" s="92" t="s">
        <v>168</v>
      </c>
    </row>
    <row r="13" spans="2:8" ht="22.35" customHeight="1" x14ac:dyDescent="0.2">
      <c r="B13" s="89" t="s">
        <v>181</v>
      </c>
      <c r="C13" s="90" t="s">
        <v>509</v>
      </c>
      <c r="D13" s="93" t="s">
        <v>423</v>
      </c>
      <c r="E13" s="94" t="s">
        <v>467</v>
      </c>
      <c r="F13" s="9">
        <f>TRUNC(F10*0.0087,0)</f>
        <v>241928</v>
      </c>
      <c r="G13" s="91" t="s">
        <v>104</v>
      </c>
      <c r="H13" s="92" t="s">
        <v>82</v>
      </c>
    </row>
    <row r="14" spans="2:8" ht="22.35" customHeight="1" x14ac:dyDescent="0.2">
      <c r="B14" s="89" t="s">
        <v>366</v>
      </c>
      <c r="C14" s="90" t="s">
        <v>116</v>
      </c>
      <c r="D14" s="93" t="s">
        <v>294</v>
      </c>
      <c r="E14" s="94" t="s">
        <v>255</v>
      </c>
      <c r="F14" s="139">
        <v>890920</v>
      </c>
      <c r="G14" s="91" t="s">
        <v>101</v>
      </c>
      <c r="H14" s="92" t="s">
        <v>531</v>
      </c>
    </row>
    <row r="15" spans="2:8" ht="22.35" customHeight="1" x14ac:dyDescent="0.2">
      <c r="B15" s="89" t="s">
        <v>306</v>
      </c>
      <c r="C15" s="90" t="s">
        <v>509</v>
      </c>
      <c r="D15" s="93" t="s">
        <v>272</v>
      </c>
      <c r="E15" s="94" t="s">
        <v>57</v>
      </c>
      <c r="F15" s="139">
        <v>1241221</v>
      </c>
      <c r="G15" s="91" t="s">
        <v>23</v>
      </c>
      <c r="H15" s="92" t="s">
        <v>531</v>
      </c>
    </row>
    <row r="16" spans="2:8" ht="22.35" customHeight="1" x14ac:dyDescent="0.2">
      <c r="B16" s="89" t="s">
        <v>509</v>
      </c>
      <c r="C16" s="90" t="s">
        <v>509</v>
      </c>
      <c r="D16" s="93" t="s">
        <v>295</v>
      </c>
      <c r="E16" s="94" t="s">
        <v>276</v>
      </c>
      <c r="F16" s="139">
        <v>75817</v>
      </c>
      <c r="G16" s="91" t="s">
        <v>75</v>
      </c>
      <c r="H16" s="92" t="s">
        <v>531</v>
      </c>
    </row>
    <row r="17" spans="2:12" ht="22.35" customHeight="1" x14ac:dyDescent="0.2">
      <c r="B17" s="89" t="s">
        <v>389</v>
      </c>
      <c r="C17" s="90" t="s">
        <v>509</v>
      </c>
      <c r="D17" s="93" t="s">
        <v>87</v>
      </c>
      <c r="E17" s="94" t="s">
        <v>108</v>
      </c>
      <c r="F17" s="9"/>
      <c r="G17" s="91"/>
      <c r="H17" s="92" t="s">
        <v>196</v>
      </c>
    </row>
    <row r="18" spans="2:12" ht="22.35" customHeight="1" x14ac:dyDescent="0.2">
      <c r="B18" s="89" t="s">
        <v>509</v>
      </c>
      <c r="C18" s="90" t="s">
        <v>509</v>
      </c>
      <c r="D18" s="93" t="s">
        <v>262</v>
      </c>
      <c r="E18" s="94" t="s">
        <v>334</v>
      </c>
      <c r="F18" s="9">
        <f>TRUNC((F7+F8+F11)*0.0039,0)</f>
        <v>173999</v>
      </c>
      <c r="G18" s="91" t="s">
        <v>201</v>
      </c>
      <c r="H18" s="92" t="s">
        <v>450</v>
      </c>
    </row>
    <row r="19" spans="2:12" ht="22.35" customHeight="1" x14ac:dyDescent="0.2">
      <c r="B19" s="89" t="s">
        <v>366</v>
      </c>
      <c r="C19" s="90" t="s">
        <v>509</v>
      </c>
      <c r="D19" s="93" t="s">
        <v>324</v>
      </c>
      <c r="E19" s="94" t="s">
        <v>12</v>
      </c>
      <c r="F19" s="139">
        <v>1425082</v>
      </c>
      <c r="G19" s="91" t="s">
        <v>211</v>
      </c>
      <c r="H19" s="92" t="s">
        <v>531</v>
      </c>
    </row>
    <row r="20" spans="2:12" ht="22.35" customHeight="1" x14ac:dyDescent="0.2">
      <c r="B20" s="89" t="s">
        <v>509</v>
      </c>
      <c r="C20" s="90" t="s">
        <v>509</v>
      </c>
      <c r="D20" s="93" t="s">
        <v>265</v>
      </c>
      <c r="E20" s="94" t="s">
        <v>293</v>
      </c>
      <c r="F20" s="9">
        <f>TRUNC((F7+F8+F11)*0.005,0)</f>
        <v>223076</v>
      </c>
      <c r="G20" s="91" t="s">
        <v>189</v>
      </c>
      <c r="H20" s="92" t="s">
        <v>313</v>
      </c>
    </row>
    <row r="21" spans="2:12" ht="22.35" customHeight="1" x14ac:dyDescent="0.2">
      <c r="B21" s="89" t="s">
        <v>509</v>
      </c>
      <c r="C21" s="90" t="s">
        <v>509</v>
      </c>
      <c r="D21" s="93" t="s">
        <v>422</v>
      </c>
      <c r="E21" s="94" t="s">
        <v>94</v>
      </c>
      <c r="F21" s="9"/>
      <c r="G21" s="91" t="s">
        <v>509</v>
      </c>
      <c r="H21" s="92" t="s">
        <v>509</v>
      </c>
    </row>
    <row r="22" spans="2:12" ht="22.35" customHeight="1" x14ac:dyDescent="0.2">
      <c r="B22" s="89" t="s">
        <v>509</v>
      </c>
      <c r="C22" s="90" t="s">
        <v>281</v>
      </c>
      <c r="D22" s="93" t="s">
        <v>249</v>
      </c>
      <c r="E22" s="94" t="s">
        <v>376</v>
      </c>
      <c r="F22" s="9"/>
      <c r="G22" s="91"/>
      <c r="H22" s="92" t="s">
        <v>501</v>
      </c>
    </row>
    <row r="23" spans="2:12" ht="22.35" customHeight="1" x14ac:dyDescent="0.2">
      <c r="B23" s="89" t="s">
        <v>509</v>
      </c>
      <c r="C23" s="90" t="s">
        <v>509</v>
      </c>
      <c r="D23" s="95" t="s">
        <v>223</v>
      </c>
      <c r="E23" s="96" t="s">
        <v>96</v>
      </c>
      <c r="F23" s="21">
        <f>TRUNC((F7+F10)*0.079,0)</f>
        <v>3683448</v>
      </c>
      <c r="G23" s="55" t="s">
        <v>465</v>
      </c>
      <c r="H23" s="22" t="s">
        <v>328</v>
      </c>
    </row>
    <row r="24" spans="2:12" ht="22.35" customHeight="1" x14ac:dyDescent="0.2">
      <c r="B24" s="57" t="s">
        <v>509</v>
      </c>
      <c r="C24" s="19" t="s">
        <v>509</v>
      </c>
      <c r="D24" s="95" t="s">
        <v>325</v>
      </c>
      <c r="E24" s="96" t="s">
        <v>185</v>
      </c>
      <c r="F24" s="21">
        <f>TRUNC((F11+F12+F13+F14+F15+F16+F17+F18+F19+F20+F21+F22+F23),0)</f>
        <v>10143124</v>
      </c>
      <c r="G24" s="55" t="s">
        <v>509</v>
      </c>
      <c r="H24" s="22" t="s">
        <v>426</v>
      </c>
    </row>
    <row r="25" spans="2:12" ht="22.35" customHeight="1" x14ac:dyDescent="0.2">
      <c r="B25" s="97" t="s">
        <v>509</v>
      </c>
      <c r="C25" s="95" t="s">
        <v>509</v>
      </c>
      <c r="D25" s="95" t="s">
        <v>323</v>
      </c>
      <c r="E25" s="96" t="s">
        <v>492</v>
      </c>
      <c r="F25" s="21">
        <f>TRUNC((F7+F10+F24),0)</f>
        <v>56769051</v>
      </c>
      <c r="G25" s="55" t="s">
        <v>509</v>
      </c>
      <c r="H25" s="22" t="s">
        <v>114</v>
      </c>
    </row>
    <row r="26" spans="2:12" ht="22.35" customHeight="1" x14ac:dyDescent="0.2">
      <c r="B26" s="97" t="s">
        <v>509</v>
      </c>
      <c r="C26" s="95" t="s">
        <v>509</v>
      </c>
      <c r="D26" s="95" t="s">
        <v>288</v>
      </c>
      <c r="E26" s="96" t="s">
        <v>232</v>
      </c>
      <c r="F26" s="21">
        <f>TRUNC(F25*0.06,0)</f>
        <v>3406143</v>
      </c>
      <c r="G26" s="55" t="s">
        <v>103</v>
      </c>
      <c r="H26" s="22" t="s">
        <v>173</v>
      </c>
    </row>
    <row r="27" spans="2:12" ht="22.35" customHeight="1" x14ac:dyDescent="0.2">
      <c r="B27" s="97" t="s">
        <v>509</v>
      </c>
      <c r="C27" s="95" t="s">
        <v>509</v>
      </c>
      <c r="D27" s="95" t="s">
        <v>46</v>
      </c>
      <c r="E27" s="96" t="s">
        <v>433</v>
      </c>
      <c r="F27" s="21">
        <v>4825715</v>
      </c>
      <c r="G27" s="115" t="s">
        <v>532</v>
      </c>
      <c r="H27" s="22" t="s">
        <v>533</v>
      </c>
      <c r="J27" s="17">
        <f>J29-F25-F26-F28</f>
        <v>4825715.0909090862</v>
      </c>
      <c r="L27">
        <f>F27/(F10+F24+F26)</f>
        <v>0.11668404497596556</v>
      </c>
    </row>
    <row r="28" spans="2:12" ht="22.35" customHeight="1" x14ac:dyDescent="0.2">
      <c r="B28" s="97" t="s">
        <v>509</v>
      </c>
      <c r="C28" s="95" t="s">
        <v>509</v>
      </c>
      <c r="D28" s="95" t="s">
        <v>432</v>
      </c>
      <c r="E28" s="96" t="s">
        <v>137</v>
      </c>
      <c r="F28" s="21"/>
      <c r="G28" s="55" t="s">
        <v>509</v>
      </c>
      <c r="H28" s="22" t="s">
        <v>509</v>
      </c>
    </row>
    <row r="29" spans="2:12" ht="22.35" customHeight="1" x14ac:dyDescent="0.2">
      <c r="B29" s="97" t="s">
        <v>509</v>
      </c>
      <c r="C29" s="95" t="s">
        <v>509</v>
      </c>
      <c r="D29" s="95" t="s">
        <v>280</v>
      </c>
      <c r="E29" s="96" t="s">
        <v>417</v>
      </c>
      <c r="F29" s="21">
        <f>TRUNC((F25+F26+F27+F28),0)</f>
        <v>65000909</v>
      </c>
      <c r="G29" s="55" t="s">
        <v>509</v>
      </c>
      <c r="H29" s="22" t="s">
        <v>447</v>
      </c>
      <c r="J29">
        <f>J31/1.1</f>
        <v>65000909.090909086</v>
      </c>
    </row>
    <row r="30" spans="2:12" ht="22.35" customHeight="1" x14ac:dyDescent="0.2">
      <c r="B30" s="97" t="s">
        <v>509</v>
      </c>
      <c r="C30" s="95" t="s">
        <v>509</v>
      </c>
      <c r="D30" s="95" t="s">
        <v>110</v>
      </c>
      <c r="E30" s="96" t="s">
        <v>143</v>
      </c>
      <c r="F30" s="21">
        <f>IF(B52&lt;&gt; "0.9",TRUNC(F29*0.1,0),TRUNC(F29*0.1,0)+1)</f>
        <v>6500091</v>
      </c>
      <c r="G30" s="55" t="s">
        <v>503</v>
      </c>
      <c r="H30" s="22" t="s">
        <v>237</v>
      </c>
      <c r="J30" s="114">
        <f>J29*0.1</f>
        <v>6500090.9090909092</v>
      </c>
    </row>
    <row r="31" spans="2:12" ht="22.35" customHeight="1" x14ac:dyDescent="0.2">
      <c r="B31" s="97" t="s">
        <v>509</v>
      </c>
      <c r="C31" s="95" t="s">
        <v>509</v>
      </c>
      <c r="D31" s="95" t="s">
        <v>415</v>
      </c>
      <c r="E31" s="96" t="s">
        <v>493</v>
      </c>
      <c r="F31" s="21">
        <f>TRUNC((F29+F30),0)</f>
        <v>71501000</v>
      </c>
      <c r="G31" s="55" t="s">
        <v>509</v>
      </c>
      <c r="H31" s="22" t="s">
        <v>261</v>
      </c>
      <c r="J31">
        <v>71501000</v>
      </c>
    </row>
    <row r="32" spans="2:12" ht="22.35" customHeight="1" x14ac:dyDescent="0.2">
      <c r="B32" s="97" t="s">
        <v>509</v>
      </c>
      <c r="C32" s="95" t="s">
        <v>509</v>
      </c>
      <c r="D32" s="95" t="s">
        <v>244</v>
      </c>
      <c r="E32" s="96" t="s">
        <v>224</v>
      </c>
      <c r="F32" s="21"/>
      <c r="G32" s="55" t="s">
        <v>509</v>
      </c>
      <c r="H32" s="22" t="s">
        <v>509</v>
      </c>
    </row>
    <row r="33" spans="2:8" ht="22.35" customHeight="1" x14ac:dyDescent="0.2">
      <c r="B33" s="98" t="s">
        <v>509</v>
      </c>
      <c r="C33" s="99" t="s">
        <v>509</v>
      </c>
      <c r="D33" s="99" t="s">
        <v>128</v>
      </c>
      <c r="E33" s="100" t="s">
        <v>400</v>
      </c>
      <c r="F33" s="12">
        <f>TRUNC((F31+F32),0)</f>
        <v>71501000</v>
      </c>
      <c r="G33" s="63" t="s">
        <v>509</v>
      </c>
      <c r="H33" s="26" t="s">
        <v>14</v>
      </c>
    </row>
    <row r="34" spans="2:8" x14ac:dyDescent="0.2">
      <c r="B34" s="13"/>
      <c r="C34" s="13"/>
      <c r="D34" s="13"/>
      <c r="E34" s="13"/>
      <c r="F34" s="13"/>
      <c r="G34" s="13"/>
      <c r="H34" s="13"/>
    </row>
    <row r="52" spans="2:2" x14ac:dyDescent="0.2">
      <c r="B52" t="str">
        <f>RIGHT(F29*0.1,3)</f>
        <v>0.9</v>
      </c>
    </row>
  </sheetData>
  <mergeCells count="2">
    <mergeCell ref="B1:H2"/>
    <mergeCell ref="B3:D3"/>
  </mergeCells>
  <phoneticPr fontId="6" type="noConversion"/>
  <pageMargins left="0.78740157480314965" right="7.874015748031496E-2" top="0.94488188976377963" bottom="0.59055118110236215" header="0.5" footer="0.5"/>
  <pageSetup paperSize="9" orientation="portrait" r:id="rId1"/>
  <headerFooter alignWithMargins="0"/>
  <ignoredErrors>
    <ignoredError sqref="E4:E6 E8:E9 G9 E11:E23 G12:G16 G18:G20 G23 G26:G27 G30" numberStoredAsText="1"/>
    <ignoredError sqref="F7 F24 F29 F33" emptyCellReference="1"/>
  </ignoredErrors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10</xdr:col>
                <xdr:colOff>0</xdr:colOff>
                <xdr:row>5</xdr:row>
                <xdr:rowOff>200025</xdr:rowOff>
              </from>
              <to>
                <xdr:col>13</xdr:col>
                <xdr:colOff>228600</xdr:colOff>
                <xdr:row>7</xdr:row>
                <xdr:rowOff>142875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10</xdr:col>
                <xdr:colOff>0</xdr:colOff>
                <xdr:row>3</xdr:row>
                <xdr:rowOff>152400</xdr:rowOff>
              </from>
              <to>
                <xdr:col>13</xdr:col>
                <xdr:colOff>228600</xdr:colOff>
                <xdr:row>5</xdr:row>
                <xdr:rowOff>95250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1:K27"/>
  <sheetViews>
    <sheetView zoomScaleNormal="100" zoomScaleSheetLayoutView="100" workbookViewId="0">
      <pane ySplit="3" topLeftCell="A4" activePane="bottomLeft" state="frozen"/>
      <selection activeCell="Q11" sqref="Q11"/>
      <selection pane="bottomLeft" activeCell="E29" sqref="E29"/>
    </sheetView>
  </sheetViews>
  <sheetFormatPr defaultRowHeight="12.75" x14ac:dyDescent="0.2"/>
  <cols>
    <col min="1" max="1" width="0.7109375" customWidth="1"/>
    <col min="2" max="2" width="7.7109375" customWidth="1"/>
    <col min="3" max="3" width="23.28515625" customWidth="1"/>
    <col min="4" max="4" width="21.42578125" customWidth="1"/>
    <col min="5" max="5" width="13.5703125" customWidth="1"/>
    <col min="6" max="6" width="7.7109375" customWidth="1"/>
    <col min="7" max="7" width="18.42578125" customWidth="1"/>
    <col min="8" max="8" width="16.140625" customWidth="1"/>
    <col min="9" max="9" width="15.5703125" customWidth="1"/>
    <col min="10" max="10" width="16.28515625" customWidth="1"/>
    <col min="11" max="11" width="13.5703125" customWidth="1"/>
  </cols>
  <sheetData>
    <row r="1" spans="2:11" ht="24.95" customHeight="1" x14ac:dyDescent="0.2">
      <c r="B1" s="118" t="s">
        <v>405</v>
      </c>
      <c r="C1" s="118"/>
      <c r="D1" s="118"/>
      <c r="E1" s="118"/>
      <c r="F1" s="118"/>
      <c r="G1" s="118"/>
      <c r="H1" s="118"/>
      <c r="I1" s="118"/>
      <c r="J1" s="118"/>
      <c r="K1" s="118"/>
    </row>
    <row r="2" spans="2:11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</row>
    <row r="3" spans="2:11" ht="30.75" customHeight="1" x14ac:dyDescent="0.2">
      <c r="B3" s="14" t="s">
        <v>504</v>
      </c>
      <c r="C3" s="7" t="s">
        <v>336</v>
      </c>
      <c r="D3" s="7" t="s">
        <v>399</v>
      </c>
      <c r="E3" s="7" t="s">
        <v>13</v>
      </c>
      <c r="F3" s="7" t="s">
        <v>204</v>
      </c>
      <c r="G3" s="7" t="s">
        <v>487</v>
      </c>
      <c r="H3" s="7" t="s">
        <v>438</v>
      </c>
      <c r="I3" s="7" t="s">
        <v>319</v>
      </c>
      <c r="J3" s="7" t="s">
        <v>29</v>
      </c>
      <c r="K3" s="8" t="s">
        <v>125</v>
      </c>
    </row>
    <row r="4" spans="2:11" ht="19.7" customHeight="1" x14ac:dyDescent="0.2">
      <c r="B4" s="57" t="s">
        <v>360</v>
      </c>
      <c r="C4" s="19" t="s">
        <v>388</v>
      </c>
      <c r="D4" s="19" t="s">
        <v>509</v>
      </c>
      <c r="E4" s="21"/>
      <c r="F4" s="20" t="s">
        <v>509</v>
      </c>
      <c r="G4" s="55">
        <f>H4+I4+J4</f>
        <v>44615266</v>
      </c>
      <c r="H4" s="55" t="str">
        <f>계약내역서!J5</f>
        <v>24,652,344</v>
      </c>
      <c r="I4" s="55" t="str">
        <f>계약내역서!L5</f>
        <v>18,818,083</v>
      </c>
      <c r="J4" s="55" t="str">
        <f>계약내역서!N5</f>
        <v>1,144,839</v>
      </c>
      <c r="K4" s="22" t="s">
        <v>509</v>
      </c>
    </row>
    <row r="5" spans="2:11" ht="19.7" customHeight="1" x14ac:dyDescent="0.2">
      <c r="B5" s="57" t="s">
        <v>151</v>
      </c>
      <c r="C5" s="19" t="s">
        <v>59</v>
      </c>
      <c r="D5" s="19" t="s">
        <v>509</v>
      </c>
      <c r="E5" s="21"/>
      <c r="F5" s="20" t="s">
        <v>509</v>
      </c>
      <c r="G5" s="55">
        <f>H5+I5+J5</f>
        <v>22949587</v>
      </c>
      <c r="H5" s="55" t="str">
        <f>계약내역서!J6</f>
        <v>21,548,630</v>
      </c>
      <c r="I5" s="55" t="str">
        <f>계약내역서!L6</f>
        <v>595,917</v>
      </c>
      <c r="J5" s="55" t="str">
        <f>계약내역서!N6</f>
        <v>805,040</v>
      </c>
      <c r="K5" s="22" t="s">
        <v>509</v>
      </c>
    </row>
    <row r="6" spans="2:11" ht="19.7" customHeight="1" x14ac:dyDescent="0.2">
      <c r="B6" s="57" t="s">
        <v>476</v>
      </c>
      <c r="C6" s="19" t="s">
        <v>407</v>
      </c>
      <c r="D6" s="19" t="s">
        <v>509</v>
      </c>
      <c r="E6" s="21"/>
      <c r="F6" s="20" t="s">
        <v>509</v>
      </c>
      <c r="G6" s="55">
        <f>H6+I6+J6</f>
        <v>3446730</v>
      </c>
      <c r="H6" s="55" t="str">
        <f>계약내역서!J22</f>
        <v>3,103,714</v>
      </c>
      <c r="I6" s="55" t="str">
        <f>계약내역서!L22</f>
        <v>3,217</v>
      </c>
      <c r="J6" s="55" t="str">
        <f>계약내역서!N22</f>
        <v>339,799</v>
      </c>
      <c r="K6" s="22" t="s">
        <v>509</v>
      </c>
    </row>
    <row r="7" spans="2:11" ht="19.7" customHeight="1" x14ac:dyDescent="0.2">
      <c r="B7" s="57" t="s">
        <v>220</v>
      </c>
      <c r="C7" s="19" t="s">
        <v>315</v>
      </c>
      <c r="D7" s="19" t="s">
        <v>509</v>
      </c>
      <c r="E7" s="21"/>
      <c r="F7" s="20" t="s">
        <v>509</v>
      </c>
      <c r="G7" s="55">
        <f>H7+I7+J7</f>
        <v>18218949</v>
      </c>
      <c r="H7" s="55"/>
      <c r="I7" s="55" t="str">
        <f>계약내역서!L29</f>
        <v>18,218,949</v>
      </c>
      <c r="J7" s="55"/>
      <c r="K7" s="22" t="s">
        <v>509</v>
      </c>
    </row>
    <row r="8" spans="2:11" ht="19.7" customHeight="1" x14ac:dyDescent="0.2">
      <c r="B8" s="57" t="s">
        <v>509</v>
      </c>
      <c r="C8" s="19" t="s">
        <v>505</v>
      </c>
      <c r="D8" s="19" t="s">
        <v>509</v>
      </c>
      <c r="E8" s="21"/>
      <c r="F8" s="20" t="s">
        <v>509</v>
      </c>
      <c r="G8" s="55">
        <f>H8+I8+J8</f>
        <v>44615266</v>
      </c>
      <c r="H8" s="55" t="str">
        <f>계약내역서!J59</f>
        <v>24,652,344</v>
      </c>
      <c r="I8" s="55" t="str">
        <f>계약내역서!L59</f>
        <v>18,818,083</v>
      </c>
      <c r="J8" s="55" t="str">
        <f>계약내역서!N59</f>
        <v>1,144,839</v>
      </c>
      <c r="K8" s="22" t="s">
        <v>509</v>
      </c>
    </row>
    <row r="9" spans="2:11" ht="19.7" customHeight="1" x14ac:dyDescent="0.2">
      <c r="B9" s="57" t="s">
        <v>509</v>
      </c>
      <c r="C9" s="19" t="s">
        <v>434</v>
      </c>
      <c r="D9" s="19" t="s">
        <v>509</v>
      </c>
      <c r="E9" s="86">
        <v>12.8</v>
      </c>
      <c r="F9" s="20" t="s">
        <v>113</v>
      </c>
      <c r="G9" s="55">
        <f>계약원가계산서!F9</f>
        <v>3155500</v>
      </c>
      <c r="H9" s="21"/>
      <c r="I9" s="21"/>
      <c r="J9" s="21"/>
      <c r="K9" s="22" t="s">
        <v>509</v>
      </c>
    </row>
    <row r="10" spans="2:11" ht="19.7" customHeight="1" x14ac:dyDescent="0.2">
      <c r="B10" s="57" t="s">
        <v>509</v>
      </c>
      <c r="C10" s="19" t="s">
        <v>240</v>
      </c>
      <c r="D10" s="19" t="s">
        <v>509</v>
      </c>
      <c r="E10" s="86">
        <v>3.75</v>
      </c>
      <c r="F10" s="20" t="s">
        <v>113</v>
      </c>
      <c r="G10" s="55">
        <f>계약원가계산서!F12</f>
        <v>1042794</v>
      </c>
      <c r="H10" s="21"/>
      <c r="I10" s="21"/>
      <c r="J10" s="21"/>
      <c r="K10" s="22" t="s">
        <v>509</v>
      </c>
    </row>
    <row r="11" spans="2:11" ht="19.7" customHeight="1" x14ac:dyDescent="0.2">
      <c r="B11" s="57" t="s">
        <v>509</v>
      </c>
      <c r="C11" s="19" t="s">
        <v>203</v>
      </c>
      <c r="D11" s="19" t="s">
        <v>509</v>
      </c>
      <c r="E11" s="86">
        <v>0.87</v>
      </c>
      <c r="F11" s="20" t="s">
        <v>113</v>
      </c>
      <c r="G11" s="55">
        <f>계약원가계산서!F13</f>
        <v>241928</v>
      </c>
      <c r="H11" s="21"/>
      <c r="I11" s="21"/>
      <c r="J11" s="21"/>
      <c r="K11" s="22" t="s">
        <v>509</v>
      </c>
    </row>
    <row r="12" spans="2:11" ht="19.7" customHeight="1" x14ac:dyDescent="0.2">
      <c r="B12" s="57" t="s">
        <v>509</v>
      </c>
      <c r="C12" s="19" t="s">
        <v>285</v>
      </c>
      <c r="D12" s="19" t="s">
        <v>509</v>
      </c>
      <c r="E12" s="86" t="s">
        <v>531</v>
      </c>
      <c r="F12" s="20" t="s">
        <v>113</v>
      </c>
      <c r="G12" s="55">
        <f>계약원가계산서!F14</f>
        <v>890920</v>
      </c>
      <c r="H12" s="21"/>
      <c r="I12" s="21"/>
      <c r="J12" s="21"/>
      <c r="K12" s="22" t="s">
        <v>509</v>
      </c>
    </row>
    <row r="13" spans="2:11" ht="19.7" customHeight="1" x14ac:dyDescent="0.2">
      <c r="B13" s="57" t="s">
        <v>509</v>
      </c>
      <c r="C13" s="19" t="s">
        <v>439</v>
      </c>
      <c r="D13" s="19" t="s">
        <v>509</v>
      </c>
      <c r="E13" s="86" t="s">
        <v>531</v>
      </c>
      <c r="F13" s="20" t="s">
        <v>113</v>
      </c>
      <c r="G13" s="55">
        <f>계약원가계산서!F15</f>
        <v>1241221</v>
      </c>
      <c r="H13" s="21"/>
      <c r="I13" s="21"/>
      <c r="J13" s="21"/>
      <c r="K13" s="22" t="s">
        <v>509</v>
      </c>
    </row>
    <row r="14" spans="2:11" ht="19.7" customHeight="1" x14ac:dyDescent="0.2">
      <c r="B14" s="57" t="s">
        <v>509</v>
      </c>
      <c r="C14" s="19" t="s">
        <v>473</v>
      </c>
      <c r="D14" s="19" t="s">
        <v>509</v>
      </c>
      <c r="E14" s="86" t="s">
        <v>531</v>
      </c>
      <c r="F14" s="20" t="s">
        <v>113</v>
      </c>
      <c r="G14" s="55">
        <f>계약원가계산서!F16</f>
        <v>75817</v>
      </c>
      <c r="H14" s="21"/>
      <c r="I14" s="21"/>
      <c r="J14" s="21"/>
      <c r="K14" s="22" t="s">
        <v>509</v>
      </c>
    </row>
    <row r="15" spans="2:11" ht="19.7" customHeight="1" x14ac:dyDescent="0.2">
      <c r="B15" s="57" t="s">
        <v>509</v>
      </c>
      <c r="C15" s="19" t="s">
        <v>262</v>
      </c>
      <c r="D15" s="19" t="s">
        <v>509</v>
      </c>
      <c r="E15" s="86">
        <v>0.39</v>
      </c>
      <c r="F15" s="20" t="s">
        <v>113</v>
      </c>
      <c r="G15" s="55">
        <f>계약원가계산서!F18</f>
        <v>173999</v>
      </c>
      <c r="H15" s="21"/>
      <c r="I15" s="21"/>
      <c r="J15" s="21"/>
      <c r="K15" s="22" t="s">
        <v>509</v>
      </c>
    </row>
    <row r="16" spans="2:11" ht="19.7" customHeight="1" x14ac:dyDescent="0.2">
      <c r="B16" s="57" t="s">
        <v>509</v>
      </c>
      <c r="C16" s="19" t="s">
        <v>453</v>
      </c>
      <c r="D16" s="19" t="s">
        <v>509</v>
      </c>
      <c r="E16" s="86" t="s">
        <v>531</v>
      </c>
      <c r="F16" s="20" t="s">
        <v>113</v>
      </c>
      <c r="G16" s="55">
        <f>계약원가계산서!F19</f>
        <v>1425082</v>
      </c>
      <c r="H16" s="21"/>
      <c r="I16" s="21"/>
      <c r="J16" s="21"/>
      <c r="K16" s="22" t="s">
        <v>509</v>
      </c>
    </row>
    <row r="17" spans="2:11" ht="19.7" customHeight="1" x14ac:dyDescent="0.2">
      <c r="B17" s="57" t="s">
        <v>509</v>
      </c>
      <c r="C17" s="19" t="s">
        <v>429</v>
      </c>
      <c r="D17" s="19" t="s">
        <v>509</v>
      </c>
      <c r="E17" s="86">
        <v>0.5</v>
      </c>
      <c r="F17" s="20" t="s">
        <v>113</v>
      </c>
      <c r="G17" s="55">
        <f>계약원가계산서!F20</f>
        <v>223076</v>
      </c>
      <c r="H17" s="21"/>
      <c r="I17" s="21"/>
      <c r="J17" s="21"/>
      <c r="K17" s="22" t="s">
        <v>509</v>
      </c>
    </row>
    <row r="18" spans="2:11" ht="19.7" customHeight="1" x14ac:dyDescent="0.2">
      <c r="B18" s="57" t="s">
        <v>509</v>
      </c>
      <c r="C18" s="19" t="s">
        <v>495</v>
      </c>
      <c r="D18" s="19" t="s">
        <v>509</v>
      </c>
      <c r="E18" s="86">
        <v>7.9</v>
      </c>
      <c r="F18" s="20" t="s">
        <v>113</v>
      </c>
      <c r="G18" s="55">
        <f>계약원가계산서!F23</f>
        <v>3683448</v>
      </c>
      <c r="H18" s="21"/>
      <c r="I18" s="21"/>
      <c r="J18" s="21"/>
      <c r="K18" s="22" t="s">
        <v>509</v>
      </c>
    </row>
    <row r="19" spans="2:11" ht="19.7" customHeight="1" x14ac:dyDescent="0.2">
      <c r="B19" s="57" t="s">
        <v>509</v>
      </c>
      <c r="C19" s="19" t="s">
        <v>314</v>
      </c>
      <c r="D19" s="19" t="s">
        <v>509</v>
      </c>
      <c r="E19" s="21"/>
      <c r="F19" s="20" t="s">
        <v>509</v>
      </c>
      <c r="G19" s="55">
        <f>계약원가계산서!F7</f>
        <v>18818083</v>
      </c>
      <c r="H19" s="21"/>
      <c r="I19" s="21"/>
      <c r="J19" s="21"/>
      <c r="K19" s="22" t="s">
        <v>509</v>
      </c>
    </row>
    <row r="20" spans="2:11" ht="19.7" customHeight="1" x14ac:dyDescent="0.2">
      <c r="B20" s="57" t="s">
        <v>509</v>
      </c>
      <c r="C20" s="19" t="s">
        <v>478</v>
      </c>
      <c r="D20" s="19" t="s">
        <v>509</v>
      </c>
      <c r="E20" s="21"/>
      <c r="F20" s="20" t="s">
        <v>509</v>
      </c>
      <c r="G20" s="55">
        <f>계약원가계산서!F25</f>
        <v>56769051</v>
      </c>
      <c r="H20" s="21"/>
      <c r="I20" s="21"/>
      <c r="J20" s="21"/>
      <c r="K20" s="22" t="s">
        <v>509</v>
      </c>
    </row>
    <row r="21" spans="2:11" ht="19.7" customHeight="1" x14ac:dyDescent="0.2">
      <c r="B21" s="57" t="s">
        <v>509</v>
      </c>
      <c r="C21" s="19" t="s">
        <v>441</v>
      </c>
      <c r="D21" s="19" t="s">
        <v>509</v>
      </c>
      <c r="E21" s="21">
        <v>6</v>
      </c>
      <c r="F21" s="20" t="s">
        <v>113</v>
      </c>
      <c r="G21" s="55">
        <f>계약원가계산서!F26</f>
        <v>3406143</v>
      </c>
      <c r="H21" s="21"/>
      <c r="I21" s="21"/>
      <c r="J21" s="21"/>
      <c r="K21" s="22" t="s">
        <v>509</v>
      </c>
    </row>
    <row r="22" spans="2:11" ht="19.7" customHeight="1" x14ac:dyDescent="0.2">
      <c r="B22" s="57" t="s">
        <v>509</v>
      </c>
      <c r="C22" s="19" t="s">
        <v>186</v>
      </c>
      <c r="D22" s="19" t="s">
        <v>509</v>
      </c>
      <c r="E22" s="86">
        <v>11.67</v>
      </c>
      <c r="F22" s="20" t="s">
        <v>113</v>
      </c>
      <c r="G22" s="55">
        <f>계약원가계산서!F27</f>
        <v>4825715</v>
      </c>
      <c r="H22" s="21"/>
      <c r="I22" s="21"/>
      <c r="J22" s="21"/>
      <c r="K22" s="22" t="s">
        <v>509</v>
      </c>
    </row>
    <row r="23" spans="2:11" ht="19.7" customHeight="1" x14ac:dyDescent="0.2">
      <c r="B23" s="57" t="s">
        <v>509</v>
      </c>
      <c r="C23" s="19" t="s">
        <v>440</v>
      </c>
      <c r="D23" s="19" t="s">
        <v>509</v>
      </c>
      <c r="E23" s="21"/>
      <c r="F23" s="20" t="s">
        <v>509</v>
      </c>
      <c r="G23" s="55">
        <f>계약원가계산서!F29</f>
        <v>65000909</v>
      </c>
      <c r="H23" s="21"/>
      <c r="I23" s="21"/>
      <c r="J23" s="21"/>
      <c r="K23" s="22" t="s">
        <v>509</v>
      </c>
    </row>
    <row r="24" spans="2:11" ht="19.7" customHeight="1" x14ac:dyDescent="0.2">
      <c r="B24" s="57" t="s">
        <v>509</v>
      </c>
      <c r="C24" s="19" t="s">
        <v>39</v>
      </c>
      <c r="D24" s="19" t="s">
        <v>509</v>
      </c>
      <c r="E24" s="21">
        <v>10</v>
      </c>
      <c r="F24" s="20" t="s">
        <v>113</v>
      </c>
      <c r="G24" s="55">
        <f>계약원가계산서!F30</f>
        <v>6500091</v>
      </c>
      <c r="H24" s="21"/>
      <c r="I24" s="21"/>
      <c r="J24" s="21"/>
      <c r="K24" s="22" t="s">
        <v>509</v>
      </c>
    </row>
    <row r="25" spans="2:11" ht="19.7" customHeight="1" x14ac:dyDescent="0.2">
      <c r="B25" s="57" t="s">
        <v>509</v>
      </c>
      <c r="C25" s="19" t="s">
        <v>5</v>
      </c>
      <c r="D25" s="19" t="s">
        <v>509</v>
      </c>
      <c r="E25" s="21"/>
      <c r="F25" s="20" t="s">
        <v>509</v>
      </c>
      <c r="G25" s="55">
        <f>계약원가계산서!F31</f>
        <v>71501000</v>
      </c>
      <c r="H25" s="21"/>
      <c r="I25" s="21"/>
      <c r="J25" s="21"/>
      <c r="K25" s="22" t="s">
        <v>509</v>
      </c>
    </row>
    <row r="26" spans="2:11" ht="19.7" customHeight="1" x14ac:dyDescent="0.2">
      <c r="B26" s="106" t="s">
        <v>509</v>
      </c>
      <c r="C26" s="107" t="s">
        <v>231</v>
      </c>
      <c r="D26" s="107" t="s">
        <v>509</v>
      </c>
      <c r="E26" s="105"/>
      <c r="F26" s="108" t="s">
        <v>509</v>
      </c>
      <c r="G26" s="109">
        <f>계약원가계산서!F33</f>
        <v>71501000</v>
      </c>
      <c r="H26" s="105"/>
      <c r="I26" s="105"/>
      <c r="J26" s="105"/>
      <c r="K26" s="110" t="s">
        <v>509</v>
      </c>
    </row>
    <row r="27" spans="2:11" x14ac:dyDescent="0.2">
      <c r="B27" s="13"/>
      <c r="C27" s="13"/>
      <c r="D27" s="13"/>
      <c r="E27" s="13"/>
      <c r="F27" s="13"/>
      <c r="G27" s="13"/>
      <c r="H27" s="13"/>
      <c r="I27" s="13"/>
      <c r="J27" s="13"/>
      <c r="K27" s="13"/>
    </row>
  </sheetData>
  <mergeCells count="1">
    <mergeCell ref="B1:K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ignoredErrors>
    <ignoredError sqref="B5:B7" numberStoredAsText="1"/>
    <ignoredError sqref="G7" emptyCellReferenc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B1:U78"/>
  <sheetViews>
    <sheetView zoomScaleNormal="100" zoomScaleSheetLayoutView="100" workbookViewId="0">
      <pane ySplit="4" topLeftCell="A56" activePane="bottomLeft" state="frozen"/>
      <selection activeCell="Q11" sqref="Q11"/>
      <selection pane="bottomLeft" activeCell="H60" sqref="H60"/>
    </sheetView>
  </sheetViews>
  <sheetFormatPr defaultRowHeight="12.75" x14ac:dyDescent="0.2"/>
  <cols>
    <col min="1" max="1" width="0.7109375" customWidth="1"/>
    <col min="2" max="2" width="4.28515625" customWidth="1"/>
    <col min="3" max="3" width="23.28515625" customWidth="1"/>
    <col min="4" max="4" width="20" customWidth="1"/>
    <col min="5" max="5" width="6.85546875" customWidth="1"/>
    <col min="6" max="6" width="4.5703125" customWidth="1"/>
    <col min="7" max="7" width="10.85546875" customWidth="1"/>
    <col min="8" max="8" width="11.7109375" customWidth="1"/>
    <col min="9" max="9" width="10.42578125" customWidth="1"/>
    <col min="10" max="10" width="11.5703125" customWidth="1"/>
    <col min="11" max="11" width="10.28515625" customWidth="1"/>
    <col min="12" max="12" width="11.42578125" customWidth="1"/>
    <col min="13" max="13" width="10.5703125" customWidth="1"/>
    <col min="14" max="14" width="11.42578125" customWidth="1"/>
    <col min="15" max="15" width="9.5703125" customWidth="1"/>
  </cols>
  <sheetData>
    <row r="1" spans="2:21" ht="24.95" customHeight="1" x14ac:dyDescent="0.2">
      <c r="B1" s="118" t="s">
        <v>58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1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</row>
    <row r="3" spans="2:21" ht="15.4" customHeight="1" x14ac:dyDescent="0.2">
      <c r="B3" s="124" t="s">
        <v>504</v>
      </c>
      <c r="C3" s="126" t="s">
        <v>336</v>
      </c>
      <c r="D3" s="126" t="s">
        <v>399</v>
      </c>
      <c r="E3" s="126" t="s">
        <v>13</v>
      </c>
      <c r="F3" s="126" t="s">
        <v>204</v>
      </c>
      <c r="G3" s="120" t="s">
        <v>487</v>
      </c>
      <c r="H3" s="121"/>
      <c r="I3" s="120" t="s">
        <v>438</v>
      </c>
      <c r="J3" s="121"/>
      <c r="K3" s="120" t="s">
        <v>319</v>
      </c>
      <c r="L3" s="121"/>
      <c r="M3" s="120" t="s">
        <v>29</v>
      </c>
      <c r="N3" s="121"/>
      <c r="O3" s="122" t="s">
        <v>125</v>
      </c>
    </row>
    <row r="4" spans="2:21" ht="19.7" customHeight="1" x14ac:dyDescent="0.2">
      <c r="B4" s="125"/>
      <c r="C4" s="127"/>
      <c r="D4" s="127"/>
      <c r="E4" s="127"/>
      <c r="F4" s="127"/>
      <c r="G4" s="16" t="s">
        <v>1</v>
      </c>
      <c r="H4" s="15" t="s">
        <v>268</v>
      </c>
      <c r="I4" s="16" t="s">
        <v>1</v>
      </c>
      <c r="J4" s="15" t="s">
        <v>268</v>
      </c>
      <c r="K4" s="16" t="s">
        <v>1</v>
      </c>
      <c r="L4" s="15" t="s">
        <v>268</v>
      </c>
      <c r="M4" s="16" t="s">
        <v>1</v>
      </c>
      <c r="N4" s="15" t="s">
        <v>268</v>
      </c>
      <c r="O4" s="123"/>
    </row>
    <row r="5" spans="2:21" ht="19.7" customHeight="1" x14ac:dyDescent="0.2">
      <c r="B5" s="51" t="s">
        <v>360</v>
      </c>
      <c r="C5" s="52" t="s">
        <v>388</v>
      </c>
      <c r="D5" s="52" t="s">
        <v>509</v>
      </c>
      <c r="E5" s="21"/>
      <c r="F5" s="82" t="s">
        <v>509</v>
      </c>
      <c r="G5" s="27"/>
      <c r="H5" s="83">
        <f t="shared" ref="H5:H59" si="0">J5+L5+N5</f>
        <v>44615266</v>
      </c>
      <c r="I5" s="27"/>
      <c r="J5" s="83" t="str">
        <f>TEXT(J6+J22+J29,"#,##0")</f>
        <v>24,652,344</v>
      </c>
      <c r="K5" s="27"/>
      <c r="L5" s="83" t="str">
        <f>TEXT(L6+L22+L29,"#,##0")</f>
        <v>18,818,083</v>
      </c>
      <c r="M5" s="27"/>
      <c r="N5" s="83" t="str">
        <f>TEXT(N6+N22+N29,"#,##0")</f>
        <v>1,144,839</v>
      </c>
      <c r="O5" s="84" t="s">
        <v>509</v>
      </c>
    </row>
    <row r="6" spans="2:21" ht="19.7" customHeight="1" x14ac:dyDescent="0.2">
      <c r="B6" s="51" t="s">
        <v>151</v>
      </c>
      <c r="C6" s="52" t="s">
        <v>59</v>
      </c>
      <c r="D6" s="52" t="s">
        <v>509</v>
      </c>
      <c r="E6" s="21"/>
      <c r="F6" s="82" t="s">
        <v>509</v>
      </c>
      <c r="G6" s="27"/>
      <c r="H6" s="83">
        <f t="shared" si="0"/>
        <v>22949587</v>
      </c>
      <c r="I6" s="27"/>
      <c r="J6" s="83" t="str">
        <f>TEXT(J7+J8+J9+J10+J11+J12+J13+J14+J15+J16+J17+J18+J19+J20+J21,"#,##0")</f>
        <v>21,548,630</v>
      </c>
      <c r="K6" s="27"/>
      <c r="L6" s="83" t="str">
        <f>TEXT(L7+L8+L9+L10+L11+L12+L13+L14+L15+L16+L17+L18+L19+L20+L21,"#,##0")</f>
        <v>595,917</v>
      </c>
      <c r="M6" s="27"/>
      <c r="N6" s="83" t="str">
        <f>TEXT(N7+N8+N9+N10+N11+N12+N13+N14+N15+N16+N17+N18+N19+N20+N21,"#,##0")</f>
        <v>805,040</v>
      </c>
      <c r="O6" s="84" t="s">
        <v>509</v>
      </c>
      <c r="P6" s="112">
        <v>0.89376199999999995</v>
      </c>
    </row>
    <row r="7" spans="2:21" ht="19.7" customHeight="1" x14ac:dyDescent="0.2">
      <c r="B7" s="57" t="s">
        <v>509</v>
      </c>
      <c r="C7" s="19" t="s">
        <v>54</v>
      </c>
      <c r="D7" s="19" t="s">
        <v>63</v>
      </c>
      <c r="E7" s="21">
        <v>10</v>
      </c>
      <c r="F7" s="20" t="s">
        <v>414</v>
      </c>
      <c r="G7" s="27">
        <f t="shared" ref="G7:G57" si="1">I7+K7+M7</f>
        <v>1491220</v>
      </c>
      <c r="H7" s="55">
        <f t="shared" si="0"/>
        <v>14912200</v>
      </c>
      <c r="I7" s="54">
        <f>ROUNDDOWN(Q7*$P$6,0)</f>
        <v>1407372</v>
      </c>
      <c r="J7" s="55">
        <f t="shared" ref="J7:J18" si="2">TRUNC(E7*I7,0)</f>
        <v>14073720</v>
      </c>
      <c r="K7" s="54">
        <f t="shared" ref="K7:K38" si="3">ROUNDDOWN(S7*$P$6,0)</f>
        <v>37082</v>
      </c>
      <c r="L7" s="55">
        <f t="shared" ref="L7:L18" si="4">TRUNC(E7*K7,0)</f>
        <v>370820</v>
      </c>
      <c r="M7" s="54">
        <f t="shared" ref="M7:M27" si="5">ROUNDDOWN(U7*$P$6,0)</f>
        <v>46766</v>
      </c>
      <c r="N7" s="55">
        <f t="shared" ref="N7:N20" si="6">TRUNC(E7*M7,0)</f>
        <v>467660</v>
      </c>
      <c r="O7" s="22" t="s">
        <v>484</v>
      </c>
      <c r="Q7">
        <v>1574661</v>
      </c>
      <c r="R7">
        <v>15746610</v>
      </c>
      <c r="S7">
        <v>41490</v>
      </c>
      <c r="T7">
        <v>414900</v>
      </c>
      <c r="U7">
        <v>52326</v>
      </c>
    </row>
    <row r="8" spans="2:21" ht="19.7" customHeight="1" x14ac:dyDescent="0.2">
      <c r="B8" s="57" t="s">
        <v>509</v>
      </c>
      <c r="C8" s="19" t="s">
        <v>119</v>
      </c>
      <c r="D8" s="19" t="s">
        <v>410</v>
      </c>
      <c r="E8" s="21">
        <v>10</v>
      </c>
      <c r="F8" s="20" t="s">
        <v>414</v>
      </c>
      <c r="G8" s="27">
        <f t="shared" si="1"/>
        <v>745609</v>
      </c>
      <c r="H8" s="55">
        <f t="shared" si="0"/>
        <v>7456090</v>
      </c>
      <c r="I8" s="54">
        <f t="shared" ref="I8:I27" si="7">ROUNDDOWN(Q8*$P$6,0)</f>
        <v>703685</v>
      </c>
      <c r="J8" s="55">
        <f t="shared" si="2"/>
        <v>7036850</v>
      </c>
      <c r="K8" s="54">
        <f t="shared" si="3"/>
        <v>18541</v>
      </c>
      <c r="L8" s="55">
        <f t="shared" si="4"/>
        <v>185410</v>
      </c>
      <c r="M8" s="54">
        <f t="shared" si="5"/>
        <v>23383</v>
      </c>
      <c r="N8" s="55">
        <f t="shared" si="6"/>
        <v>233830</v>
      </c>
      <c r="O8" s="22" t="s">
        <v>190</v>
      </c>
      <c r="Q8">
        <v>787330</v>
      </c>
      <c r="R8">
        <v>7873300</v>
      </c>
      <c r="S8">
        <v>20745</v>
      </c>
      <c r="T8">
        <v>207450</v>
      </c>
      <c r="U8">
        <v>26163</v>
      </c>
    </row>
    <row r="9" spans="2:21" ht="19.7" customHeight="1" x14ac:dyDescent="0.2">
      <c r="B9" s="57" t="s">
        <v>509</v>
      </c>
      <c r="C9" s="19" t="s">
        <v>7</v>
      </c>
      <c r="D9" s="19" t="s">
        <v>53</v>
      </c>
      <c r="E9" s="21">
        <v>1</v>
      </c>
      <c r="F9" s="20" t="s">
        <v>326</v>
      </c>
      <c r="G9" s="27">
        <f t="shared" si="1"/>
        <v>289872</v>
      </c>
      <c r="H9" s="55">
        <f t="shared" si="0"/>
        <v>289872</v>
      </c>
      <c r="I9" s="54">
        <f t="shared" si="7"/>
        <v>238124</v>
      </c>
      <c r="J9" s="55">
        <f t="shared" si="2"/>
        <v>238124</v>
      </c>
      <c r="K9" s="54">
        <f t="shared" si="3"/>
        <v>18329</v>
      </c>
      <c r="L9" s="55">
        <f t="shared" si="4"/>
        <v>18329</v>
      </c>
      <c r="M9" s="54">
        <f t="shared" si="5"/>
        <v>33419</v>
      </c>
      <c r="N9" s="55">
        <f t="shared" si="6"/>
        <v>33419</v>
      </c>
      <c r="O9" s="22" t="s">
        <v>496</v>
      </c>
      <c r="Q9">
        <v>266429</v>
      </c>
      <c r="R9">
        <v>266429</v>
      </c>
      <c r="S9">
        <v>20508</v>
      </c>
      <c r="T9">
        <v>20508</v>
      </c>
      <c r="U9">
        <v>37392</v>
      </c>
    </row>
    <row r="10" spans="2:21" ht="19.7" customHeight="1" x14ac:dyDescent="0.2">
      <c r="B10" s="57" t="s">
        <v>509</v>
      </c>
      <c r="C10" s="19" t="s">
        <v>419</v>
      </c>
      <c r="D10" s="19" t="s">
        <v>53</v>
      </c>
      <c r="E10" s="21">
        <v>1</v>
      </c>
      <c r="F10" s="20" t="s">
        <v>326</v>
      </c>
      <c r="G10" s="27">
        <f t="shared" si="1"/>
        <v>24223</v>
      </c>
      <c r="H10" s="55">
        <f t="shared" si="0"/>
        <v>24223</v>
      </c>
      <c r="I10" s="54">
        <f t="shared" si="7"/>
        <v>24223</v>
      </c>
      <c r="J10" s="55">
        <f t="shared" si="2"/>
        <v>24223</v>
      </c>
      <c r="K10" s="54">
        <f t="shared" si="3"/>
        <v>0</v>
      </c>
      <c r="L10" s="55"/>
      <c r="M10" s="54">
        <f t="shared" si="5"/>
        <v>0</v>
      </c>
      <c r="N10" s="55"/>
      <c r="O10" s="22" t="s">
        <v>141</v>
      </c>
      <c r="Q10">
        <v>27103</v>
      </c>
      <c r="R10">
        <v>27103</v>
      </c>
    </row>
    <row r="11" spans="2:21" ht="19.7" customHeight="1" x14ac:dyDescent="0.2">
      <c r="B11" s="57" t="s">
        <v>509</v>
      </c>
      <c r="C11" s="19" t="s">
        <v>152</v>
      </c>
      <c r="D11" s="19" t="s">
        <v>509</v>
      </c>
      <c r="E11" s="21">
        <v>1</v>
      </c>
      <c r="F11" s="20" t="s">
        <v>208</v>
      </c>
      <c r="G11" s="27">
        <f t="shared" si="1"/>
        <v>54011</v>
      </c>
      <c r="H11" s="55">
        <f t="shared" si="0"/>
        <v>54011</v>
      </c>
      <c r="I11" s="54">
        <f t="shared" si="7"/>
        <v>50169</v>
      </c>
      <c r="J11" s="55">
        <f t="shared" si="2"/>
        <v>50169</v>
      </c>
      <c r="K11" s="54">
        <f t="shared" si="3"/>
        <v>1699</v>
      </c>
      <c r="L11" s="55">
        <f t="shared" si="4"/>
        <v>1699</v>
      </c>
      <c r="M11" s="54">
        <f t="shared" si="5"/>
        <v>2143</v>
      </c>
      <c r="N11" s="55">
        <f t="shared" si="6"/>
        <v>2143</v>
      </c>
      <c r="O11" s="22" t="s">
        <v>448</v>
      </c>
      <c r="Q11">
        <v>56133</v>
      </c>
      <c r="R11">
        <v>56133</v>
      </c>
      <c r="S11">
        <v>1901</v>
      </c>
      <c r="T11">
        <v>1901</v>
      </c>
      <c r="U11">
        <v>2398</v>
      </c>
    </row>
    <row r="12" spans="2:21" ht="19.7" customHeight="1" x14ac:dyDescent="0.2">
      <c r="B12" s="57" t="s">
        <v>509</v>
      </c>
      <c r="C12" s="19" t="s">
        <v>421</v>
      </c>
      <c r="D12" s="19" t="s">
        <v>509</v>
      </c>
      <c r="E12" s="21">
        <v>1</v>
      </c>
      <c r="F12" s="20" t="s">
        <v>208</v>
      </c>
      <c r="G12" s="27">
        <f t="shared" si="1"/>
        <v>9875</v>
      </c>
      <c r="H12" s="55">
        <f t="shared" si="0"/>
        <v>9875</v>
      </c>
      <c r="I12" s="54">
        <f t="shared" si="7"/>
        <v>9875</v>
      </c>
      <c r="J12" s="55">
        <f t="shared" si="2"/>
        <v>9875</v>
      </c>
      <c r="K12" s="54">
        <f t="shared" si="3"/>
        <v>0</v>
      </c>
      <c r="L12" s="55"/>
      <c r="M12" s="54">
        <f t="shared" si="5"/>
        <v>0</v>
      </c>
      <c r="N12" s="55"/>
      <c r="O12" s="22" t="s">
        <v>160</v>
      </c>
      <c r="Q12">
        <v>11049</v>
      </c>
      <c r="R12">
        <v>11049</v>
      </c>
    </row>
    <row r="13" spans="2:21" ht="19.7" customHeight="1" x14ac:dyDescent="0.2">
      <c r="B13" s="57" t="s">
        <v>509</v>
      </c>
      <c r="C13" s="19" t="s">
        <v>430</v>
      </c>
      <c r="D13" s="19" t="s">
        <v>435</v>
      </c>
      <c r="E13" s="21">
        <v>1</v>
      </c>
      <c r="F13" s="20" t="s">
        <v>368</v>
      </c>
      <c r="G13" s="27">
        <f t="shared" si="1"/>
        <v>5590</v>
      </c>
      <c r="H13" s="55">
        <f t="shared" si="0"/>
        <v>5590</v>
      </c>
      <c r="I13" s="54">
        <f t="shared" si="7"/>
        <v>4705</v>
      </c>
      <c r="J13" s="55">
        <f t="shared" si="2"/>
        <v>4705</v>
      </c>
      <c r="K13" s="54">
        <f t="shared" si="3"/>
        <v>313</v>
      </c>
      <c r="L13" s="55">
        <f t="shared" si="4"/>
        <v>313</v>
      </c>
      <c r="M13" s="54">
        <f t="shared" si="5"/>
        <v>572</v>
      </c>
      <c r="N13" s="55">
        <f t="shared" si="6"/>
        <v>572</v>
      </c>
      <c r="O13" s="22" t="s">
        <v>97</v>
      </c>
      <c r="Q13" t="s">
        <v>513</v>
      </c>
      <c r="R13">
        <v>5265</v>
      </c>
      <c r="S13" t="s">
        <v>514</v>
      </c>
      <c r="T13">
        <v>351</v>
      </c>
      <c r="U13" t="s">
        <v>515</v>
      </c>
    </row>
    <row r="14" spans="2:21" ht="19.7" customHeight="1" x14ac:dyDescent="0.2">
      <c r="B14" s="57" t="s">
        <v>509</v>
      </c>
      <c r="C14" s="19" t="s">
        <v>300</v>
      </c>
      <c r="D14" s="19" t="s">
        <v>435</v>
      </c>
      <c r="E14" s="21">
        <v>1</v>
      </c>
      <c r="F14" s="20" t="s">
        <v>368</v>
      </c>
      <c r="G14" s="27">
        <f t="shared" si="1"/>
        <v>5794</v>
      </c>
      <c r="H14" s="55">
        <f t="shared" si="0"/>
        <v>5794</v>
      </c>
      <c r="I14" s="54">
        <f t="shared" si="7"/>
        <v>4959</v>
      </c>
      <c r="J14" s="55">
        <f t="shared" si="2"/>
        <v>4959</v>
      </c>
      <c r="K14" s="54">
        <f t="shared" si="3"/>
        <v>370</v>
      </c>
      <c r="L14" s="55">
        <f t="shared" si="4"/>
        <v>370</v>
      </c>
      <c r="M14" s="54">
        <f t="shared" si="5"/>
        <v>465</v>
      </c>
      <c r="N14" s="55">
        <f t="shared" si="6"/>
        <v>465</v>
      </c>
      <c r="O14" s="22" t="s">
        <v>266</v>
      </c>
      <c r="Q14" t="s">
        <v>516</v>
      </c>
      <c r="R14">
        <v>5549</v>
      </c>
      <c r="S14" t="s">
        <v>517</v>
      </c>
      <c r="T14">
        <v>415</v>
      </c>
      <c r="U14" t="s">
        <v>518</v>
      </c>
    </row>
    <row r="15" spans="2:21" ht="19.7" customHeight="1" x14ac:dyDescent="0.2">
      <c r="B15" s="57" t="s">
        <v>509</v>
      </c>
      <c r="C15" s="19" t="s">
        <v>320</v>
      </c>
      <c r="D15" s="19" t="s">
        <v>9</v>
      </c>
      <c r="E15" s="21">
        <v>1</v>
      </c>
      <c r="F15" s="20" t="s">
        <v>368</v>
      </c>
      <c r="G15" s="27">
        <f t="shared" si="1"/>
        <v>61471</v>
      </c>
      <c r="H15" s="55">
        <f t="shared" si="0"/>
        <v>61471</v>
      </c>
      <c r="I15" s="54">
        <f t="shared" si="7"/>
        <v>38013</v>
      </c>
      <c r="J15" s="55">
        <f t="shared" si="2"/>
        <v>38013</v>
      </c>
      <c r="K15" s="54">
        <f t="shared" si="3"/>
        <v>9119</v>
      </c>
      <c r="L15" s="55">
        <f t="shared" si="4"/>
        <v>9119</v>
      </c>
      <c r="M15" s="54">
        <f t="shared" si="5"/>
        <v>14339</v>
      </c>
      <c r="N15" s="55">
        <f t="shared" si="6"/>
        <v>14339</v>
      </c>
      <c r="O15" s="22" t="s">
        <v>76</v>
      </c>
      <c r="Q15" t="s">
        <v>519</v>
      </c>
      <c r="R15">
        <v>42532</v>
      </c>
      <c r="S15" t="s">
        <v>520</v>
      </c>
      <c r="T15">
        <v>10203</v>
      </c>
      <c r="U15" t="s">
        <v>521</v>
      </c>
    </row>
    <row r="16" spans="2:21" ht="19.7" customHeight="1" x14ac:dyDescent="0.2">
      <c r="B16" s="57" t="s">
        <v>509</v>
      </c>
      <c r="C16" s="19" t="s">
        <v>391</v>
      </c>
      <c r="D16" s="103" t="s">
        <v>157</v>
      </c>
      <c r="E16" s="21">
        <v>1</v>
      </c>
      <c r="F16" s="20" t="s">
        <v>368</v>
      </c>
      <c r="G16" s="27">
        <f t="shared" si="1"/>
        <v>47087</v>
      </c>
      <c r="H16" s="55">
        <f t="shared" si="0"/>
        <v>47087</v>
      </c>
      <c r="I16" s="54">
        <f t="shared" si="7"/>
        <v>33163</v>
      </c>
      <c r="J16" s="55">
        <f t="shared" si="2"/>
        <v>33163</v>
      </c>
      <c r="K16" s="54">
        <f t="shared" si="3"/>
        <v>4587</v>
      </c>
      <c r="L16" s="55">
        <f t="shared" si="4"/>
        <v>4587</v>
      </c>
      <c r="M16" s="54">
        <f t="shared" si="5"/>
        <v>9337</v>
      </c>
      <c r="N16" s="55">
        <f t="shared" si="6"/>
        <v>9337</v>
      </c>
      <c r="O16" s="22" t="s">
        <v>316</v>
      </c>
      <c r="Q16" t="s">
        <v>522</v>
      </c>
      <c r="R16">
        <v>37106</v>
      </c>
      <c r="S16" t="s">
        <v>523</v>
      </c>
      <c r="T16">
        <v>5133</v>
      </c>
      <c r="U16" t="s">
        <v>524</v>
      </c>
    </row>
    <row r="17" spans="2:21" ht="19.7" customHeight="1" x14ac:dyDescent="0.2">
      <c r="B17" s="57" t="s">
        <v>509</v>
      </c>
      <c r="C17" s="19" t="s">
        <v>391</v>
      </c>
      <c r="D17" s="104" t="s">
        <v>361</v>
      </c>
      <c r="E17" s="21">
        <v>1</v>
      </c>
      <c r="F17" s="20" t="s">
        <v>368</v>
      </c>
      <c r="G17" s="27">
        <f t="shared" si="1"/>
        <v>47087</v>
      </c>
      <c r="H17" s="55">
        <f t="shared" si="0"/>
        <v>47087</v>
      </c>
      <c r="I17" s="54">
        <f t="shared" si="7"/>
        <v>33163</v>
      </c>
      <c r="J17" s="55">
        <f t="shared" si="2"/>
        <v>33163</v>
      </c>
      <c r="K17" s="54">
        <f t="shared" si="3"/>
        <v>4587</v>
      </c>
      <c r="L17" s="55">
        <f t="shared" si="4"/>
        <v>4587</v>
      </c>
      <c r="M17" s="54">
        <f t="shared" si="5"/>
        <v>9337</v>
      </c>
      <c r="N17" s="55">
        <f t="shared" si="6"/>
        <v>9337</v>
      </c>
      <c r="O17" s="22" t="s">
        <v>122</v>
      </c>
      <c r="Q17" t="s">
        <v>522</v>
      </c>
      <c r="R17">
        <v>37106</v>
      </c>
      <c r="S17" t="s">
        <v>523</v>
      </c>
      <c r="T17">
        <v>5133</v>
      </c>
      <c r="U17" t="s">
        <v>524</v>
      </c>
    </row>
    <row r="18" spans="2:21" ht="19.7" customHeight="1" x14ac:dyDescent="0.2">
      <c r="B18" s="57" t="s">
        <v>509</v>
      </c>
      <c r="C18" s="19" t="s">
        <v>348</v>
      </c>
      <c r="D18" s="19" t="s">
        <v>192</v>
      </c>
      <c r="E18" s="21">
        <v>1</v>
      </c>
      <c r="F18" s="20" t="s">
        <v>368</v>
      </c>
      <c r="G18" s="27">
        <f t="shared" si="1"/>
        <v>3395</v>
      </c>
      <c r="H18" s="55">
        <f t="shared" si="0"/>
        <v>3395</v>
      </c>
      <c r="I18" s="54">
        <f t="shared" si="7"/>
        <v>1666</v>
      </c>
      <c r="J18" s="55">
        <f t="shared" si="2"/>
        <v>1666</v>
      </c>
      <c r="K18" s="54">
        <f t="shared" si="3"/>
        <v>683</v>
      </c>
      <c r="L18" s="55">
        <f t="shared" si="4"/>
        <v>683</v>
      </c>
      <c r="M18" s="54">
        <f t="shared" si="5"/>
        <v>1046</v>
      </c>
      <c r="N18" s="55">
        <f t="shared" si="6"/>
        <v>1046</v>
      </c>
      <c r="O18" s="22" t="s">
        <v>297</v>
      </c>
      <c r="Q18" t="s">
        <v>525</v>
      </c>
      <c r="R18">
        <v>1865</v>
      </c>
      <c r="S18" t="s">
        <v>526</v>
      </c>
      <c r="T18">
        <v>765</v>
      </c>
      <c r="U18" t="s">
        <v>527</v>
      </c>
    </row>
    <row r="19" spans="2:21" ht="19.7" customHeight="1" x14ac:dyDescent="0.2">
      <c r="B19" s="57" t="s">
        <v>509</v>
      </c>
      <c r="C19" s="19" t="s">
        <v>351</v>
      </c>
      <c r="D19" s="19" t="s">
        <v>134</v>
      </c>
      <c r="E19" s="21">
        <v>1</v>
      </c>
      <c r="F19" s="20" t="s">
        <v>358</v>
      </c>
      <c r="G19" s="27">
        <f t="shared" si="1"/>
        <v>21086</v>
      </c>
      <c r="H19" s="55">
        <f t="shared" si="0"/>
        <v>21086</v>
      </c>
      <c r="I19" s="54">
        <f t="shared" si="7"/>
        <v>0</v>
      </c>
      <c r="J19" s="55"/>
      <c r="K19" s="54">
        <f t="shared" si="3"/>
        <v>0</v>
      </c>
      <c r="L19" s="55"/>
      <c r="M19" s="54">
        <f t="shared" si="5"/>
        <v>21086</v>
      </c>
      <c r="N19" s="55">
        <f t="shared" si="6"/>
        <v>21086</v>
      </c>
      <c r="O19" s="22" t="s">
        <v>509</v>
      </c>
      <c r="U19">
        <v>23593</v>
      </c>
    </row>
    <row r="20" spans="2:21" ht="19.7" customHeight="1" x14ac:dyDescent="0.2">
      <c r="B20" s="57" t="s">
        <v>509</v>
      </c>
      <c r="C20" s="19" t="s">
        <v>85</v>
      </c>
      <c r="D20" s="19" t="s">
        <v>245</v>
      </c>
      <c r="E20" s="21">
        <v>1</v>
      </c>
      <c r="F20" s="20" t="s">
        <v>358</v>
      </c>
      <c r="G20" s="27">
        <f t="shared" si="1"/>
        <v>11806</v>
      </c>
      <c r="H20" s="55">
        <f t="shared" si="0"/>
        <v>11806</v>
      </c>
      <c r="I20" s="54">
        <f t="shared" si="7"/>
        <v>0</v>
      </c>
      <c r="J20" s="55"/>
      <c r="K20" s="54">
        <f t="shared" si="3"/>
        <v>0</v>
      </c>
      <c r="L20" s="55"/>
      <c r="M20" s="54">
        <f t="shared" si="5"/>
        <v>11806</v>
      </c>
      <c r="N20" s="55">
        <f t="shared" si="6"/>
        <v>11806</v>
      </c>
      <c r="O20" s="22" t="s">
        <v>509</v>
      </c>
      <c r="U20">
        <v>13210</v>
      </c>
    </row>
    <row r="21" spans="2:21" ht="19.7" customHeight="1" x14ac:dyDescent="0.2">
      <c r="B21" s="57" t="s">
        <v>509</v>
      </c>
      <c r="C21" s="19" t="s">
        <v>509</v>
      </c>
      <c r="D21" s="19" t="s">
        <v>509</v>
      </c>
      <c r="E21" s="21"/>
      <c r="F21" s="20" t="s">
        <v>509</v>
      </c>
      <c r="G21" s="27"/>
      <c r="H21" s="55"/>
      <c r="I21" s="54">
        <f t="shared" si="7"/>
        <v>0</v>
      </c>
      <c r="J21" s="21"/>
      <c r="K21" s="54">
        <f t="shared" si="3"/>
        <v>0</v>
      </c>
      <c r="L21" s="21"/>
      <c r="M21" s="54">
        <f t="shared" si="5"/>
        <v>0</v>
      </c>
      <c r="N21" s="21"/>
      <c r="O21" s="22" t="s">
        <v>509</v>
      </c>
    </row>
    <row r="22" spans="2:21" ht="19.7" customHeight="1" x14ac:dyDescent="0.2">
      <c r="B22" s="51" t="s">
        <v>476</v>
      </c>
      <c r="C22" s="52" t="s">
        <v>407</v>
      </c>
      <c r="D22" s="52" t="s">
        <v>509</v>
      </c>
      <c r="E22" s="21"/>
      <c r="F22" s="82" t="s">
        <v>509</v>
      </c>
      <c r="G22" s="27"/>
      <c r="H22" s="83">
        <f t="shared" si="0"/>
        <v>3446730</v>
      </c>
      <c r="I22" s="54">
        <f t="shared" si="7"/>
        <v>0</v>
      </c>
      <c r="J22" s="83" t="str">
        <f>TEXT(J23+J24+J25+J26+J27+J28,"#,##0")</f>
        <v>3,103,714</v>
      </c>
      <c r="K22" s="54">
        <f t="shared" si="3"/>
        <v>0</v>
      </c>
      <c r="L22" s="83" t="str">
        <f>TEXT(L23+L24+L25+L26+L27+L28,"#,##0")</f>
        <v>3,217</v>
      </c>
      <c r="M22" s="54">
        <f t="shared" si="5"/>
        <v>0</v>
      </c>
      <c r="N22" s="83" t="str">
        <f>TEXT(N23+N24+N25+N26+N27+N28,"#,##0")</f>
        <v>339,799</v>
      </c>
      <c r="O22" s="84" t="s">
        <v>509</v>
      </c>
      <c r="R22" t="s">
        <v>528</v>
      </c>
      <c r="T22" t="s">
        <v>529</v>
      </c>
    </row>
    <row r="23" spans="2:21" ht="19.7" customHeight="1" x14ac:dyDescent="0.2">
      <c r="B23" s="57" t="s">
        <v>509</v>
      </c>
      <c r="C23" s="19" t="s">
        <v>135</v>
      </c>
      <c r="D23" s="19" t="s">
        <v>509</v>
      </c>
      <c r="E23" s="21">
        <v>1</v>
      </c>
      <c r="F23" s="20" t="s">
        <v>427</v>
      </c>
      <c r="G23" s="27">
        <f t="shared" si="1"/>
        <v>558702</v>
      </c>
      <c r="H23" s="55">
        <f t="shared" si="0"/>
        <v>558702</v>
      </c>
      <c r="I23" s="54">
        <f t="shared" si="7"/>
        <v>558702</v>
      </c>
      <c r="J23" s="55">
        <f>TRUNC(E23*I23,0)</f>
        <v>558702</v>
      </c>
      <c r="K23" s="54">
        <f t="shared" si="3"/>
        <v>0</v>
      </c>
      <c r="L23" s="55"/>
      <c r="M23" s="54">
        <f t="shared" si="5"/>
        <v>0</v>
      </c>
      <c r="N23" s="55"/>
      <c r="O23" s="22" t="s">
        <v>462</v>
      </c>
      <c r="Q23">
        <v>625113</v>
      </c>
      <c r="R23">
        <v>625113</v>
      </c>
    </row>
    <row r="24" spans="2:21" ht="19.7" customHeight="1" x14ac:dyDescent="0.2">
      <c r="B24" s="57" t="s">
        <v>509</v>
      </c>
      <c r="C24" s="19" t="s">
        <v>269</v>
      </c>
      <c r="D24" s="19" t="s">
        <v>509</v>
      </c>
      <c r="E24" s="21">
        <v>1</v>
      </c>
      <c r="F24" s="20" t="s">
        <v>427</v>
      </c>
      <c r="G24" s="27">
        <f t="shared" si="1"/>
        <v>466575</v>
      </c>
      <c r="H24" s="55">
        <f t="shared" si="0"/>
        <v>466575</v>
      </c>
      <c r="I24" s="54">
        <f t="shared" si="7"/>
        <v>466575</v>
      </c>
      <c r="J24" s="55">
        <f>TRUNC(E24*I24,0)</f>
        <v>466575</v>
      </c>
      <c r="K24" s="54">
        <f t="shared" si="3"/>
        <v>0</v>
      </c>
      <c r="L24" s="55"/>
      <c r="M24" s="54">
        <f t="shared" si="5"/>
        <v>0</v>
      </c>
      <c r="N24" s="55"/>
      <c r="O24" s="22" t="s">
        <v>132</v>
      </c>
      <c r="Q24">
        <v>522035</v>
      </c>
      <c r="R24">
        <v>522035</v>
      </c>
    </row>
    <row r="25" spans="2:21" ht="19.7" customHeight="1" x14ac:dyDescent="0.2">
      <c r="B25" s="57" t="s">
        <v>509</v>
      </c>
      <c r="C25" s="19" t="s">
        <v>115</v>
      </c>
      <c r="D25" s="19" t="s">
        <v>509</v>
      </c>
      <c r="E25" s="21">
        <v>1</v>
      </c>
      <c r="F25" s="20" t="s">
        <v>337</v>
      </c>
      <c r="G25" s="27">
        <f t="shared" si="1"/>
        <v>1175219</v>
      </c>
      <c r="H25" s="55">
        <f t="shared" si="0"/>
        <v>1175219</v>
      </c>
      <c r="I25" s="54">
        <f t="shared" si="7"/>
        <v>1000832</v>
      </c>
      <c r="J25" s="55">
        <f>TRUNC(E25*I25,0)</f>
        <v>1000832</v>
      </c>
      <c r="K25" s="54">
        <f t="shared" si="3"/>
        <v>0</v>
      </c>
      <c r="L25" s="55"/>
      <c r="M25" s="54">
        <f t="shared" si="5"/>
        <v>174387</v>
      </c>
      <c r="N25" s="55">
        <f>TRUNC(E25*M25,0)</f>
        <v>174387</v>
      </c>
      <c r="O25" s="22" t="s">
        <v>308</v>
      </c>
      <c r="Q25">
        <v>1119798</v>
      </c>
      <c r="R25">
        <v>1119798</v>
      </c>
      <c r="U25">
        <v>195116</v>
      </c>
    </row>
    <row r="26" spans="2:21" ht="19.7" customHeight="1" x14ac:dyDescent="0.2">
      <c r="B26" s="57" t="s">
        <v>509</v>
      </c>
      <c r="C26" s="19" t="s">
        <v>445</v>
      </c>
      <c r="D26" s="19" t="s">
        <v>509</v>
      </c>
      <c r="E26" s="21">
        <v>1</v>
      </c>
      <c r="F26" s="20" t="s">
        <v>337</v>
      </c>
      <c r="G26" s="27">
        <f t="shared" si="1"/>
        <v>178414</v>
      </c>
      <c r="H26" s="55">
        <f t="shared" si="0"/>
        <v>178414</v>
      </c>
      <c r="I26" s="54">
        <f t="shared" si="7"/>
        <v>152204</v>
      </c>
      <c r="J26" s="55">
        <f>TRUNC(E26*I26,0)</f>
        <v>152204</v>
      </c>
      <c r="K26" s="54">
        <f t="shared" si="3"/>
        <v>0</v>
      </c>
      <c r="L26" s="55"/>
      <c r="M26" s="54">
        <f t="shared" si="5"/>
        <v>26210</v>
      </c>
      <c r="N26" s="55">
        <f>TRUNC(E26*M26,0)</f>
        <v>26210</v>
      </c>
      <c r="O26" s="22" t="s">
        <v>372</v>
      </c>
      <c r="Q26">
        <v>170296</v>
      </c>
      <c r="R26">
        <v>170296</v>
      </c>
      <c r="U26">
        <v>29326</v>
      </c>
    </row>
    <row r="27" spans="2:21" ht="19.7" customHeight="1" x14ac:dyDescent="0.2">
      <c r="B27" s="57" t="s">
        <v>509</v>
      </c>
      <c r="C27" s="19" t="s">
        <v>286</v>
      </c>
      <c r="D27" s="19" t="s">
        <v>509</v>
      </c>
      <c r="E27" s="21">
        <v>1</v>
      </c>
      <c r="F27" s="20" t="s">
        <v>337</v>
      </c>
      <c r="G27" s="27">
        <f t="shared" si="1"/>
        <v>1067820</v>
      </c>
      <c r="H27" s="55">
        <f t="shared" si="0"/>
        <v>1067820</v>
      </c>
      <c r="I27" s="54">
        <f t="shared" si="7"/>
        <v>925401</v>
      </c>
      <c r="J27" s="55">
        <f>TRUNC(E27*I27,0)</f>
        <v>925401</v>
      </c>
      <c r="K27" s="54">
        <f t="shared" si="3"/>
        <v>3217</v>
      </c>
      <c r="L27" s="55">
        <f>TRUNC(E27*K27,0)</f>
        <v>3217</v>
      </c>
      <c r="M27" s="54">
        <f t="shared" si="5"/>
        <v>139202</v>
      </c>
      <c r="N27" s="55">
        <f>TRUNC(E27*M27,0)</f>
        <v>139202</v>
      </c>
      <c r="O27" s="22" t="s">
        <v>47</v>
      </c>
      <c r="Q27">
        <v>1035400</v>
      </c>
      <c r="R27">
        <v>1035400</v>
      </c>
      <c r="S27">
        <v>3600</v>
      </c>
      <c r="T27">
        <v>3600</v>
      </c>
      <c r="U27">
        <v>155749</v>
      </c>
    </row>
    <row r="28" spans="2:21" ht="19.7" customHeight="1" x14ac:dyDescent="0.2">
      <c r="B28" s="57" t="s">
        <v>509</v>
      </c>
      <c r="C28" s="19" t="s">
        <v>509</v>
      </c>
      <c r="D28" s="19" t="s">
        <v>509</v>
      </c>
      <c r="E28" s="21"/>
      <c r="F28" s="20" t="s">
        <v>509</v>
      </c>
      <c r="G28" s="27"/>
      <c r="H28" s="55"/>
      <c r="I28" s="27"/>
      <c r="J28" s="21"/>
      <c r="K28" s="54">
        <f t="shared" si="3"/>
        <v>0</v>
      </c>
      <c r="L28" s="21"/>
      <c r="M28" s="27"/>
      <c r="N28" s="21"/>
      <c r="O28" s="22" t="s">
        <v>509</v>
      </c>
    </row>
    <row r="29" spans="2:21" ht="19.7" customHeight="1" x14ac:dyDescent="0.2">
      <c r="B29" s="51" t="s">
        <v>220</v>
      </c>
      <c r="C29" s="52" t="s">
        <v>315</v>
      </c>
      <c r="D29" s="52" t="s">
        <v>509</v>
      </c>
      <c r="E29" s="21"/>
      <c r="F29" s="82" t="s">
        <v>509</v>
      </c>
      <c r="G29" s="27"/>
      <c r="H29" s="83">
        <f t="shared" si="0"/>
        <v>18218949</v>
      </c>
      <c r="I29" s="27"/>
      <c r="J29" s="55"/>
      <c r="K29" s="54">
        <f t="shared" si="3"/>
        <v>0</v>
      </c>
      <c r="L29" s="83" t="str">
        <f>TEXT(L30+L31+L32+L33+L34+L35+L36+L37+L38+L39+L40+L41+L42+L43+L44+L45+L46+L47+L48+L49+L50+L51+L52+L53+L54+L55+L56+L57+L58,"#,##0")</f>
        <v>18,218,949</v>
      </c>
      <c r="M29" s="27"/>
      <c r="N29" s="55"/>
      <c r="O29" s="84" t="s">
        <v>509</v>
      </c>
      <c r="T29" t="s">
        <v>530</v>
      </c>
    </row>
    <row r="30" spans="2:21" ht="19.7" customHeight="1" x14ac:dyDescent="0.2">
      <c r="B30" s="59" t="s">
        <v>509</v>
      </c>
      <c r="C30" s="24" t="s">
        <v>381</v>
      </c>
      <c r="D30" s="24" t="s">
        <v>292</v>
      </c>
      <c r="E30" s="12">
        <v>2</v>
      </c>
      <c r="F30" s="25" t="s">
        <v>117</v>
      </c>
      <c r="G30" s="11">
        <f t="shared" si="1"/>
        <v>2241108</v>
      </c>
      <c r="H30" s="63">
        <f t="shared" si="0"/>
        <v>4482216</v>
      </c>
      <c r="I30" s="60"/>
      <c r="J30" s="63"/>
      <c r="K30" s="54">
        <f t="shared" si="3"/>
        <v>2241108</v>
      </c>
      <c r="L30" s="63">
        <f t="shared" ref="L30:L57" si="8">TRUNC(E30*K30,0)</f>
        <v>4482216</v>
      </c>
      <c r="M30" s="60"/>
      <c r="N30" s="63"/>
      <c r="O30" s="26" t="s">
        <v>509</v>
      </c>
      <c r="S30">
        <v>2507500</v>
      </c>
      <c r="T30">
        <v>5015000</v>
      </c>
    </row>
    <row r="31" spans="2:21" ht="19.7" customHeight="1" x14ac:dyDescent="0.2">
      <c r="B31" s="57" t="s">
        <v>509</v>
      </c>
      <c r="C31" s="19" t="s">
        <v>381</v>
      </c>
      <c r="D31" s="19" t="s">
        <v>50</v>
      </c>
      <c r="E31" s="21">
        <v>3</v>
      </c>
      <c r="F31" s="20" t="s">
        <v>117</v>
      </c>
      <c r="G31" s="27">
        <f t="shared" si="1"/>
        <v>1879134</v>
      </c>
      <c r="H31" s="55">
        <f t="shared" si="0"/>
        <v>5637402</v>
      </c>
      <c r="I31" s="54"/>
      <c r="J31" s="55"/>
      <c r="K31" s="54">
        <f t="shared" si="3"/>
        <v>1879134</v>
      </c>
      <c r="L31" s="55">
        <f t="shared" si="8"/>
        <v>5637402</v>
      </c>
      <c r="M31" s="54"/>
      <c r="N31" s="55"/>
      <c r="O31" s="22" t="s">
        <v>509</v>
      </c>
      <c r="S31">
        <v>2102500</v>
      </c>
      <c r="T31">
        <v>6307500</v>
      </c>
    </row>
    <row r="32" spans="2:21" ht="19.7" customHeight="1" x14ac:dyDescent="0.2">
      <c r="B32" s="57" t="s">
        <v>509</v>
      </c>
      <c r="C32" s="19" t="s">
        <v>381</v>
      </c>
      <c r="D32" s="19" t="s">
        <v>412</v>
      </c>
      <c r="E32" s="21">
        <v>3</v>
      </c>
      <c r="F32" s="20" t="s">
        <v>117</v>
      </c>
      <c r="G32" s="27">
        <f t="shared" si="1"/>
        <v>1376393</v>
      </c>
      <c r="H32" s="55">
        <f t="shared" si="0"/>
        <v>4129179</v>
      </c>
      <c r="I32" s="54"/>
      <c r="J32" s="55"/>
      <c r="K32" s="54">
        <f t="shared" si="3"/>
        <v>1376393</v>
      </c>
      <c r="L32" s="55">
        <f t="shared" si="8"/>
        <v>4129179</v>
      </c>
      <c r="M32" s="54"/>
      <c r="N32" s="55"/>
      <c r="O32" s="22" t="s">
        <v>509</v>
      </c>
      <c r="S32">
        <v>1540000</v>
      </c>
      <c r="T32">
        <v>4620000</v>
      </c>
    </row>
    <row r="33" spans="2:20" ht="19.7" customHeight="1" x14ac:dyDescent="0.2">
      <c r="B33" s="57" t="s">
        <v>509</v>
      </c>
      <c r="C33" s="19" t="s">
        <v>381</v>
      </c>
      <c r="D33" s="19" t="s">
        <v>93</v>
      </c>
      <c r="E33" s="21">
        <v>1</v>
      </c>
      <c r="F33" s="20" t="s">
        <v>117</v>
      </c>
      <c r="G33" s="27">
        <f t="shared" si="1"/>
        <v>1168593</v>
      </c>
      <c r="H33" s="55">
        <f t="shared" si="0"/>
        <v>1168593</v>
      </c>
      <c r="I33" s="54"/>
      <c r="J33" s="55"/>
      <c r="K33" s="54">
        <f t="shared" si="3"/>
        <v>1168593</v>
      </c>
      <c r="L33" s="55">
        <f t="shared" si="8"/>
        <v>1168593</v>
      </c>
      <c r="M33" s="54"/>
      <c r="N33" s="55"/>
      <c r="O33" s="22" t="s">
        <v>509</v>
      </c>
      <c r="S33">
        <v>1307500</v>
      </c>
      <c r="T33">
        <v>1307500</v>
      </c>
    </row>
    <row r="34" spans="2:20" ht="19.7" customHeight="1" x14ac:dyDescent="0.2">
      <c r="B34" s="57" t="s">
        <v>509</v>
      </c>
      <c r="C34" s="19" t="s">
        <v>381</v>
      </c>
      <c r="D34" s="19" t="s">
        <v>95</v>
      </c>
      <c r="E34" s="21">
        <v>1</v>
      </c>
      <c r="F34" s="20" t="s">
        <v>117</v>
      </c>
      <c r="G34" s="27">
        <f t="shared" si="1"/>
        <v>992075</v>
      </c>
      <c r="H34" s="55">
        <f t="shared" si="0"/>
        <v>992075</v>
      </c>
      <c r="I34" s="54"/>
      <c r="J34" s="55"/>
      <c r="K34" s="54">
        <f t="shared" si="3"/>
        <v>992075</v>
      </c>
      <c r="L34" s="55">
        <f t="shared" si="8"/>
        <v>992075</v>
      </c>
      <c r="M34" s="54"/>
      <c r="N34" s="55"/>
      <c r="O34" s="22" t="s">
        <v>509</v>
      </c>
      <c r="S34">
        <v>1110000</v>
      </c>
      <c r="T34">
        <v>1110000</v>
      </c>
    </row>
    <row r="35" spans="2:20" ht="19.7" customHeight="1" x14ac:dyDescent="0.2">
      <c r="B35" s="57" t="s">
        <v>509</v>
      </c>
      <c r="C35" s="19" t="s">
        <v>381</v>
      </c>
      <c r="D35" s="19" t="s">
        <v>403</v>
      </c>
      <c r="E35" s="21">
        <v>1</v>
      </c>
      <c r="F35" s="20" t="s">
        <v>117</v>
      </c>
      <c r="G35" s="27">
        <f t="shared" si="1"/>
        <v>891527</v>
      </c>
      <c r="H35" s="55">
        <f t="shared" si="0"/>
        <v>891527</v>
      </c>
      <c r="I35" s="54"/>
      <c r="J35" s="55"/>
      <c r="K35" s="54">
        <f t="shared" si="3"/>
        <v>891527</v>
      </c>
      <c r="L35" s="55">
        <f t="shared" si="8"/>
        <v>891527</v>
      </c>
      <c r="M35" s="54"/>
      <c r="N35" s="55"/>
      <c r="O35" s="22" t="s">
        <v>509</v>
      </c>
      <c r="S35">
        <v>997500</v>
      </c>
      <c r="T35">
        <v>997500</v>
      </c>
    </row>
    <row r="36" spans="2:20" ht="19.7" customHeight="1" x14ac:dyDescent="0.2">
      <c r="B36" s="57" t="s">
        <v>509</v>
      </c>
      <c r="C36" s="19" t="s">
        <v>228</v>
      </c>
      <c r="D36" s="19" t="s">
        <v>321</v>
      </c>
      <c r="E36" s="21">
        <v>1</v>
      </c>
      <c r="F36" s="20" t="s">
        <v>302</v>
      </c>
      <c r="G36" s="27">
        <f t="shared" si="1"/>
        <v>2899</v>
      </c>
      <c r="H36" s="55">
        <f t="shared" si="0"/>
        <v>2899</v>
      </c>
      <c r="I36" s="54"/>
      <c r="J36" s="55"/>
      <c r="K36" s="54">
        <f t="shared" si="3"/>
        <v>2899</v>
      </c>
      <c r="L36" s="55">
        <f t="shared" si="8"/>
        <v>2899</v>
      </c>
      <c r="M36" s="54"/>
      <c r="N36" s="55"/>
      <c r="O36" s="22" t="s">
        <v>509</v>
      </c>
      <c r="S36">
        <v>3244</v>
      </c>
      <c r="T36">
        <v>3244</v>
      </c>
    </row>
    <row r="37" spans="2:20" ht="19.7" customHeight="1" x14ac:dyDescent="0.2">
      <c r="B37" s="57" t="s">
        <v>509</v>
      </c>
      <c r="C37" s="19" t="s">
        <v>37</v>
      </c>
      <c r="D37" s="19" t="s">
        <v>299</v>
      </c>
      <c r="E37" s="21">
        <v>1</v>
      </c>
      <c r="F37" s="20" t="s">
        <v>302</v>
      </c>
      <c r="G37" s="27">
        <f t="shared" si="1"/>
        <v>770</v>
      </c>
      <c r="H37" s="55">
        <f t="shared" si="0"/>
        <v>770</v>
      </c>
      <c r="I37" s="54"/>
      <c r="J37" s="55"/>
      <c r="K37" s="54">
        <f t="shared" si="3"/>
        <v>770</v>
      </c>
      <c r="L37" s="55">
        <f t="shared" si="8"/>
        <v>770</v>
      </c>
      <c r="M37" s="54"/>
      <c r="N37" s="55"/>
      <c r="O37" s="22" t="s">
        <v>509</v>
      </c>
      <c r="S37">
        <v>862</v>
      </c>
      <c r="T37">
        <v>862</v>
      </c>
    </row>
    <row r="38" spans="2:20" ht="19.7" customHeight="1" x14ac:dyDescent="0.2">
      <c r="B38" s="57" t="s">
        <v>509</v>
      </c>
      <c r="C38" s="19" t="s">
        <v>287</v>
      </c>
      <c r="D38" s="19" t="s">
        <v>8</v>
      </c>
      <c r="E38" s="21">
        <v>1</v>
      </c>
      <c r="F38" s="20" t="s">
        <v>302</v>
      </c>
      <c r="G38" s="27">
        <f t="shared" si="1"/>
        <v>490</v>
      </c>
      <c r="H38" s="55">
        <f t="shared" si="0"/>
        <v>490</v>
      </c>
      <c r="I38" s="54"/>
      <c r="J38" s="55"/>
      <c r="K38" s="54">
        <f t="shared" si="3"/>
        <v>490</v>
      </c>
      <c r="L38" s="55">
        <f t="shared" si="8"/>
        <v>490</v>
      </c>
      <c r="M38" s="54"/>
      <c r="N38" s="55"/>
      <c r="O38" s="22" t="s">
        <v>509</v>
      </c>
      <c r="S38">
        <v>549</v>
      </c>
      <c r="T38">
        <v>549</v>
      </c>
    </row>
    <row r="39" spans="2:20" ht="19.7" customHeight="1" x14ac:dyDescent="0.2">
      <c r="B39" s="57" t="s">
        <v>509</v>
      </c>
      <c r="C39" s="19" t="s">
        <v>177</v>
      </c>
      <c r="D39" s="19" t="s">
        <v>16</v>
      </c>
      <c r="E39" s="21">
        <v>1</v>
      </c>
      <c r="F39" s="20" t="s">
        <v>302</v>
      </c>
      <c r="G39" s="27">
        <f t="shared" si="1"/>
        <v>1167</v>
      </c>
      <c r="H39" s="55">
        <f t="shared" si="0"/>
        <v>1167</v>
      </c>
      <c r="I39" s="54"/>
      <c r="J39" s="55"/>
      <c r="K39" s="54">
        <f t="shared" ref="K39:K57" si="9">ROUNDDOWN(S39*$P$6,0)</f>
        <v>1167</v>
      </c>
      <c r="L39" s="55">
        <f t="shared" si="8"/>
        <v>1167</v>
      </c>
      <c r="M39" s="54"/>
      <c r="N39" s="55"/>
      <c r="O39" s="22" t="s">
        <v>509</v>
      </c>
      <c r="S39">
        <v>1306</v>
      </c>
      <c r="T39">
        <v>1306</v>
      </c>
    </row>
    <row r="40" spans="2:20" ht="19.7" customHeight="1" x14ac:dyDescent="0.2">
      <c r="B40" s="57" t="s">
        <v>509</v>
      </c>
      <c r="C40" s="19" t="s">
        <v>226</v>
      </c>
      <c r="D40" s="19" t="s">
        <v>31</v>
      </c>
      <c r="E40" s="21">
        <v>1</v>
      </c>
      <c r="F40" s="20" t="s">
        <v>30</v>
      </c>
      <c r="G40" s="27">
        <f t="shared" si="1"/>
        <v>187690</v>
      </c>
      <c r="H40" s="55">
        <f t="shared" si="0"/>
        <v>187690</v>
      </c>
      <c r="I40" s="54"/>
      <c r="J40" s="55"/>
      <c r="K40" s="54">
        <f t="shared" si="9"/>
        <v>187690</v>
      </c>
      <c r="L40" s="55">
        <f t="shared" si="8"/>
        <v>187690</v>
      </c>
      <c r="M40" s="54"/>
      <c r="N40" s="55"/>
      <c r="O40" s="22" t="s">
        <v>509</v>
      </c>
      <c r="S40">
        <v>210000</v>
      </c>
      <c r="T40">
        <v>210000</v>
      </c>
    </row>
    <row r="41" spans="2:20" ht="19.7" customHeight="1" x14ac:dyDescent="0.2">
      <c r="B41" s="57" t="s">
        <v>509</v>
      </c>
      <c r="C41" s="19" t="s">
        <v>404</v>
      </c>
      <c r="D41" s="19" t="s">
        <v>4</v>
      </c>
      <c r="E41" s="21">
        <v>1</v>
      </c>
      <c r="F41" s="20" t="s">
        <v>318</v>
      </c>
      <c r="G41" s="27">
        <f t="shared" si="1"/>
        <v>107251</v>
      </c>
      <c r="H41" s="55">
        <f t="shared" si="0"/>
        <v>107251</v>
      </c>
      <c r="I41" s="54"/>
      <c r="J41" s="55"/>
      <c r="K41" s="54">
        <f t="shared" si="9"/>
        <v>107251</v>
      </c>
      <c r="L41" s="55">
        <f t="shared" si="8"/>
        <v>107251</v>
      </c>
      <c r="M41" s="54"/>
      <c r="N41" s="55"/>
      <c r="O41" s="22" t="s">
        <v>509</v>
      </c>
      <c r="S41">
        <v>120000</v>
      </c>
      <c r="T41">
        <v>120000</v>
      </c>
    </row>
    <row r="42" spans="2:20" ht="19.7" customHeight="1" x14ac:dyDescent="0.2">
      <c r="B42" s="57" t="s">
        <v>509</v>
      </c>
      <c r="C42" s="19" t="s">
        <v>210</v>
      </c>
      <c r="D42" s="19" t="s">
        <v>175</v>
      </c>
      <c r="E42" s="21">
        <v>1</v>
      </c>
      <c r="F42" s="20" t="s">
        <v>318</v>
      </c>
      <c r="G42" s="27">
        <f t="shared" si="1"/>
        <v>190550</v>
      </c>
      <c r="H42" s="55">
        <f t="shared" si="0"/>
        <v>190550</v>
      </c>
      <c r="I42" s="54"/>
      <c r="J42" s="55"/>
      <c r="K42" s="54">
        <f t="shared" si="9"/>
        <v>190550</v>
      </c>
      <c r="L42" s="55">
        <f t="shared" si="8"/>
        <v>190550</v>
      </c>
      <c r="M42" s="54"/>
      <c r="N42" s="55"/>
      <c r="O42" s="22" t="s">
        <v>509</v>
      </c>
      <c r="S42">
        <v>213200</v>
      </c>
      <c r="T42">
        <v>213200</v>
      </c>
    </row>
    <row r="43" spans="2:20" ht="19.7" customHeight="1" x14ac:dyDescent="0.2">
      <c r="B43" s="57" t="s">
        <v>509</v>
      </c>
      <c r="C43" s="19" t="s">
        <v>210</v>
      </c>
      <c r="D43" s="19" t="s">
        <v>127</v>
      </c>
      <c r="E43" s="21">
        <v>1</v>
      </c>
      <c r="F43" s="20" t="s">
        <v>318</v>
      </c>
      <c r="G43" s="27">
        <f t="shared" si="1"/>
        <v>111541</v>
      </c>
      <c r="H43" s="55">
        <f t="shared" si="0"/>
        <v>111541</v>
      </c>
      <c r="I43" s="54"/>
      <c r="J43" s="55"/>
      <c r="K43" s="54">
        <f t="shared" si="9"/>
        <v>111541</v>
      </c>
      <c r="L43" s="55">
        <f t="shared" si="8"/>
        <v>111541</v>
      </c>
      <c r="M43" s="54"/>
      <c r="N43" s="55"/>
      <c r="O43" s="22" t="s">
        <v>509</v>
      </c>
      <c r="S43">
        <v>124800</v>
      </c>
      <c r="T43">
        <v>124800</v>
      </c>
    </row>
    <row r="44" spans="2:20" ht="19.7" customHeight="1" x14ac:dyDescent="0.2">
      <c r="B44" s="57" t="s">
        <v>509</v>
      </c>
      <c r="C44" s="19" t="s">
        <v>210</v>
      </c>
      <c r="D44" s="19" t="s">
        <v>291</v>
      </c>
      <c r="E44" s="21">
        <v>1</v>
      </c>
      <c r="F44" s="20" t="s">
        <v>318</v>
      </c>
      <c r="G44" s="27">
        <f t="shared" si="1"/>
        <v>102246</v>
      </c>
      <c r="H44" s="55">
        <f t="shared" si="0"/>
        <v>102246</v>
      </c>
      <c r="I44" s="54"/>
      <c r="J44" s="55"/>
      <c r="K44" s="54">
        <f t="shared" si="9"/>
        <v>102246</v>
      </c>
      <c r="L44" s="55">
        <f t="shared" si="8"/>
        <v>102246</v>
      </c>
      <c r="M44" s="54"/>
      <c r="N44" s="55"/>
      <c r="O44" s="22" t="s">
        <v>509</v>
      </c>
      <c r="S44">
        <v>114400</v>
      </c>
      <c r="T44">
        <v>114400</v>
      </c>
    </row>
    <row r="45" spans="2:20" ht="19.7" customHeight="1" x14ac:dyDescent="0.2">
      <c r="B45" s="57" t="s">
        <v>509</v>
      </c>
      <c r="C45" s="19" t="s">
        <v>343</v>
      </c>
      <c r="D45" s="19" t="s">
        <v>216</v>
      </c>
      <c r="E45" s="21">
        <v>1</v>
      </c>
      <c r="F45" s="20" t="s">
        <v>318</v>
      </c>
      <c r="G45" s="27">
        <f t="shared" si="1"/>
        <v>12548</v>
      </c>
      <c r="H45" s="55">
        <f t="shared" si="0"/>
        <v>12548</v>
      </c>
      <c r="I45" s="54"/>
      <c r="J45" s="55"/>
      <c r="K45" s="54">
        <f t="shared" si="9"/>
        <v>12548</v>
      </c>
      <c r="L45" s="55">
        <f t="shared" si="8"/>
        <v>12548</v>
      </c>
      <c r="M45" s="54"/>
      <c r="N45" s="55"/>
      <c r="O45" s="22" t="s">
        <v>509</v>
      </c>
      <c r="S45">
        <v>14040</v>
      </c>
      <c r="T45">
        <v>14040</v>
      </c>
    </row>
    <row r="46" spans="2:20" ht="19.7" customHeight="1" x14ac:dyDescent="0.2">
      <c r="B46" s="57" t="s">
        <v>509</v>
      </c>
      <c r="C46" s="19" t="s">
        <v>73</v>
      </c>
      <c r="D46" s="19" t="s">
        <v>216</v>
      </c>
      <c r="E46" s="21">
        <v>1</v>
      </c>
      <c r="F46" s="20" t="s">
        <v>318</v>
      </c>
      <c r="G46" s="27">
        <f t="shared" si="1"/>
        <v>9759</v>
      </c>
      <c r="H46" s="55">
        <f t="shared" si="0"/>
        <v>9759</v>
      </c>
      <c r="I46" s="54"/>
      <c r="J46" s="55"/>
      <c r="K46" s="54">
        <f t="shared" si="9"/>
        <v>9759</v>
      </c>
      <c r="L46" s="55">
        <f t="shared" si="8"/>
        <v>9759</v>
      </c>
      <c r="M46" s="54"/>
      <c r="N46" s="55"/>
      <c r="O46" s="22" t="s">
        <v>509</v>
      </c>
      <c r="S46">
        <v>10920</v>
      </c>
      <c r="T46">
        <v>10920</v>
      </c>
    </row>
    <row r="47" spans="2:20" ht="19.7" customHeight="1" x14ac:dyDescent="0.2">
      <c r="B47" s="57" t="s">
        <v>509</v>
      </c>
      <c r="C47" s="19" t="s">
        <v>88</v>
      </c>
      <c r="D47" s="19" t="s">
        <v>216</v>
      </c>
      <c r="E47" s="21">
        <v>1</v>
      </c>
      <c r="F47" s="20" t="s">
        <v>318</v>
      </c>
      <c r="G47" s="27">
        <f t="shared" si="1"/>
        <v>8919</v>
      </c>
      <c r="H47" s="55">
        <f t="shared" si="0"/>
        <v>8919</v>
      </c>
      <c r="I47" s="54"/>
      <c r="J47" s="55"/>
      <c r="K47" s="54">
        <f t="shared" si="9"/>
        <v>8919</v>
      </c>
      <c r="L47" s="55">
        <f t="shared" si="8"/>
        <v>8919</v>
      </c>
      <c r="M47" s="54"/>
      <c r="N47" s="55"/>
      <c r="O47" s="22" t="s">
        <v>509</v>
      </c>
      <c r="S47">
        <v>9980</v>
      </c>
      <c r="T47">
        <v>9980</v>
      </c>
    </row>
    <row r="48" spans="2:20" ht="19.7" customHeight="1" x14ac:dyDescent="0.2">
      <c r="B48" s="57" t="s">
        <v>509</v>
      </c>
      <c r="C48" s="19" t="s">
        <v>481</v>
      </c>
      <c r="D48" s="19" t="s">
        <v>216</v>
      </c>
      <c r="E48" s="21">
        <v>1</v>
      </c>
      <c r="F48" s="20" t="s">
        <v>302</v>
      </c>
      <c r="G48" s="27">
        <f t="shared" si="1"/>
        <v>3878</v>
      </c>
      <c r="H48" s="55">
        <f t="shared" si="0"/>
        <v>3878</v>
      </c>
      <c r="I48" s="54"/>
      <c r="J48" s="55"/>
      <c r="K48" s="54">
        <f t="shared" si="9"/>
        <v>3878</v>
      </c>
      <c r="L48" s="55">
        <f t="shared" si="8"/>
        <v>3878</v>
      </c>
      <c r="M48" s="54"/>
      <c r="N48" s="55"/>
      <c r="O48" s="22" t="s">
        <v>509</v>
      </c>
      <c r="S48">
        <v>4340</v>
      </c>
      <c r="T48">
        <v>4340</v>
      </c>
    </row>
    <row r="49" spans="2:20" ht="19.7" customHeight="1" x14ac:dyDescent="0.2">
      <c r="B49" s="57" t="s">
        <v>509</v>
      </c>
      <c r="C49" s="19" t="s">
        <v>481</v>
      </c>
      <c r="D49" s="19" t="s">
        <v>176</v>
      </c>
      <c r="E49" s="21">
        <v>1</v>
      </c>
      <c r="F49" s="20" t="s">
        <v>302</v>
      </c>
      <c r="G49" s="27">
        <f t="shared" si="1"/>
        <v>2556</v>
      </c>
      <c r="H49" s="55">
        <f t="shared" si="0"/>
        <v>2556</v>
      </c>
      <c r="I49" s="54"/>
      <c r="J49" s="55"/>
      <c r="K49" s="54">
        <f t="shared" si="9"/>
        <v>2556</v>
      </c>
      <c r="L49" s="55">
        <f t="shared" si="8"/>
        <v>2556</v>
      </c>
      <c r="M49" s="54"/>
      <c r="N49" s="55"/>
      <c r="O49" s="22" t="s">
        <v>509</v>
      </c>
      <c r="S49">
        <v>2860</v>
      </c>
      <c r="T49">
        <v>2860</v>
      </c>
    </row>
    <row r="50" spans="2:20" ht="19.7" customHeight="1" x14ac:dyDescent="0.2">
      <c r="B50" s="57" t="s">
        <v>509</v>
      </c>
      <c r="C50" s="19" t="s">
        <v>234</v>
      </c>
      <c r="D50" s="19" t="s">
        <v>216</v>
      </c>
      <c r="E50" s="21">
        <v>1</v>
      </c>
      <c r="F50" s="20" t="s">
        <v>318</v>
      </c>
      <c r="G50" s="27">
        <f t="shared" si="1"/>
        <v>18161</v>
      </c>
      <c r="H50" s="55">
        <f t="shared" si="0"/>
        <v>18161</v>
      </c>
      <c r="I50" s="54"/>
      <c r="J50" s="55"/>
      <c r="K50" s="54">
        <f t="shared" si="9"/>
        <v>18161</v>
      </c>
      <c r="L50" s="55">
        <f t="shared" si="8"/>
        <v>18161</v>
      </c>
      <c r="M50" s="54"/>
      <c r="N50" s="55"/>
      <c r="O50" s="22" t="s">
        <v>509</v>
      </c>
      <c r="S50">
        <v>20320</v>
      </c>
      <c r="T50">
        <v>20320</v>
      </c>
    </row>
    <row r="51" spans="2:20" ht="19.7" customHeight="1" x14ac:dyDescent="0.2">
      <c r="B51" s="57" t="s">
        <v>509</v>
      </c>
      <c r="C51" s="19" t="s">
        <v>120</v>
      </c>
      <c r="D51" s="19" t="s">
        <v>216</v>
      </c>
      <c r="E51" s="21">
        <v>1</v>
      </c>
      <c r="F51" s="20" t="s">
        <v>318</v>
      </c>
      <c r="G51" s="27">
        <f t="shared" si="1"/>
        <v>15229</v>
      </c>
      <c r="H51" s="55">
        <f t="shared" si="0"/>
        <v>15229</v>
      </c>
      <c r="I51" s="54"/>
      <c r="J51" s="55"/>
      <c r="K51" s="54">
        <f t="shared" si="9"/>
        <v>15229</v>
      </c>
      <c r="L51" s="55">
        <f t="shared" si="8"/>
        <v>15229</v>
      </c>
      <c r="M51" s="54"/>
      <c r="N51" s="55"/>
      <c r="O51" s="22" t="s">
        <v>509</v>
      </c>
      <c r="S51">
        <v>17040</v>
      </c>
      <c r="T51">
        <v>17040</v>
      </c>
    </row>
    <row r="52" spans="2:20" ht="19.7" customHeight="1" x14ac:dyDescent="0.2">
      <c r="B52" s="57" t="s">
        <v>509</v>
      </c>
      <c r="C52" s="19" t="s">
        <v>375</v>
      </c>
      <c r="D52" s="19" t="s">
        <v>216</v>
      </c>
      <c r="E52" s="21">
        <v>1</v>
      </c>
      <c r="F52" s="20" t="s">
        <v>302</v>
      </c>
      <c r="G52" s="27">
        <f t="shared" si="1"/>
        <v>17481</v>
      </c>
      <c r="H52" s="55">
        <f t="shared" si="0"/>
        <v>17481</v>
      </c>
      <c r="I52" s="54"/>
      <c r="J52" s="55"/>
      <c r="K52" s="54">
        <f t="shared" si="9"/>
        <v>17481</v>
      </c>
      <c r="L52" s="55">
        <f t="shared" si="8"/>
        <v>17481</v>
      </c>
      <c r="M52" s="54"/>
      <c r="N52" s="55"/>
      <c r="O52" s="22" t="s">
        <v>509</v>
      </c>
      <c r="S52">
        <v>19560</v>
      </c>
      <c r="T52">
        <v>19560</v>
      </c>
    </row>
    <row r="53" spans="2:20" ht="19.7" customHeight="1" x14ac:dyDescent="0.2">
      <c r="B53" s="57" t="s">
        <v>509</v>
      </c>
      <c r="C53" s="19" t="s">
        <v>102</v>
      </c>
      <c r="D53" s="19" t="s">
        <v>216</v>
      </c>
      <c r="E53" s="21">
        <v>1</v>
      </c>
      <c r="F53" s="20" t="s">
        <v>318</v>
      </c>
      <c r="G53" s="27">
        <f t="shared" si="1"/>
        <v>21646</v>
      </c>
      <c r="H53" s="55">
        <f t="shared" si="0"/>
        <v>21646</v>
      </c>
      <c r="I53" s="54"/>
      <c r="J53" s="55"/>
      <c r="K53" s="54">
        <f t="shared" si="9"/>
        <v>21646</v>
      </c>
      <c r="L53" s="55">
        <f t="shared" si="8"/>
        <v>21646</v>
      </c>
      <c r="M53" s="54"/>
      <c r="N53" s="55"/>
      <c r="O53" s="22" t="s">
        <v>509</v>
      </c>
      <c r="S53">
        <v>24220</v>
      </c>
      <c r="T53">
        <v>24220</v>
      </c>
    </row>
    <row r="54" spans="2:20" ht="19.7" customHeight="1" x14ac:dyDescent="0.2">
      <c r="B54" s="57" t="s">
        <v>509</v>
      </c>
      <c r="C54" s="19" t="s">
        <v>136</v>
      </c>
      <c r="D54" s="19" t="s">
        <v>470</v>
      </c>
      <c r="E54" s="21">
        <v>1</v>
      </c>
      <c r="F54" s="20" t="s">
        <v>318</v>
      </c>
      <c r="G54" s="27">
        <f t="shared" si="1"/>
        <v>34731</v>
      </c>
      <c r="H54" s="55">
        <f t="shared" si="0"/>
        <v>34731</v>
      </c>
      <c r="I54" s="54"/>
      <c r="J54" s="55"/>
      <c r="K54" s="54">
        <f t="shared" si="9"/>
        <v>34731</v>
      </c>
      <c r="L54" s="55">
        <f t="shared" si="8"/>
        <v>34731</v>
      </c>
      <c r="M54" s="54"/>
      <c r="N54" s="55"/>
      <c r="O54" s="22" t="s">
        <v>509</v>
      </c>
      <c r="S54">
        <v>38860</v>
      </c>
      <c r="T54">
        <v>38860</v>
      </c>
    </row>
    <row r="55" spans="2:20" ht="19.7" customHeight="1" x14ac:dyDescent="0.2">
      <c r="B55" s="57" t="s">
        <v>509</v>
      </c>
      <c r="C55" s="19" t="s">
        <v>233</v>
      </c>
      <c r="D55" s="19" t="s">
        <v>470</v>
      </c>
      <c r="E55" s="21">
        <v>1</v>
      </c>
      <c r="F55" s="20" t="s">
        <v>318</v>
      </c>
      <c r="G55" s="27">
        <f t="shared" si="1"/>
        <v>47646</v>
      </c>
      <c r="H55" s="55">
        <f t="shared" si="0"/>
        <v>47646</v>
      </c>
      <c r="I55" s="54"/>
      <c r="J55" s="55"/>
      <c r="K55" s="54">
        <f t="shared" si="9"/>
        <v>47646</v>
      </c>
      <c r="L55" s="55">
        <f t="shared" si="8"/>
        <v>47646</v>
      </c>
      <c r="M55" s="54"/>
      <c r="N55" s="55"/>
      <c r="O55" s="22" t="s">
        <v>509</v>
      </c>
      <c r="S55">
        <v>53310</v>
      </c>
      <c r="T55">
        <v>53310</v>
      </c>
    </row>
    <row r="56" spans="2:20" ht="19.7" customHeight="1" x14ac:dyDescent="0.2">
      <c r="B56" s="59" t="s">
        <v>509</v>
      </c>
      <c r="C56" s="24" t="s">
        <v>486</v>
      </c>
      <c r="D56" s="24" t="s">
        <v>458</v>
      </c>
      <c r="E56" s="12">
        <v>1</v>
      </c>
      <c r="F56" s="25" t="s">
        <v>368</v>
      </c>
      <c r="G56" s="11">
        <f t="shared" si="1"/>
        <v>16981</v>
      </c>
      <c r="H56" s="63">
        <f t="shared" si="0"/>
        <v>16981</v>
      </c>
      <c r="I56" s="60"/>
      <c r="J56" s="63"/>
      <c r="K56" s="54">
        <f t="shared" si="9"/>
        <v>16981</v>
      </c>
      <c r="L56" s="63">
        <f t="shared" si="8"/>
        <v>16981</v>
      </c>
      <c r="M56" s="60"/>
      <c r="N56" s="63"/>
      <c r="O56" s="26" t="s">
        <v>509</v>
      </c>
      <c r="S56">
        <v>19000</v>
      </c>
      <c r="T56">
        <v>19000</v>
      </c>
    </row>
    <row r="57" spans="2:20" ht="19.7" customHeight="1" x14ac:dyDescent="0.2">
      <c r="B57" s="57" t="s">
        <v>509</v>
      </c>
      <c r="C57" s="19" t="s">
        <v>491</v>
      </c>
      <c r="D57" s="19" t="s">
        <v>298</v>
      </c>
      <c r="E57" s="21">
        <v>1</v>
      </c>
      <c r="F57" s="20" t="s">
        <v>290</v>
      </c>
      <c r="G57" s="27">
        <f t="shared" si="1"/>
        <v>3818</v>
      </c>
      <c r="H57" s="55">
        <f t="shared" si="0"/>
        <v>3818</v>
      </c>
      <c r="I57" s="54"/>
      <c r="J57" s="55"/>
      <c r="K57" s="54">
        <f t="shared" si="9"/>
        <v>3818</v>
      </c>
      <c r="L57" s="55">
        <f t="shared" si="8"/>
        <v>3818</v>
      </c>
      <c r="M57" s="54"/>
      <c r="N57" s="55"/>
      <c r="O57" s="22" t="s">
        <v>509</v>
      </c>
      <c r="S57">
        <v>4272</v>
      </c>
      <c r="T57">
        <v>4272</v>
      </c>
    </row>
    <row r="58" spans="2:20" ht="19.7" customHeight="1" x14ac:dyDescent="0.2">
      <c r="B58" s="57" t="s">
        <v>509</v>
      </c>
      <c r="C58" s="19" t="s">
        <v>509</v>
      </c>
      <c r="D58" s="19" t="s">
        <v>509</v>
      </c>
      <c r="E58" s="21"/>
      <c r="F58" s="20" t="s">
        <v>509</v>
      </c>
      <c r="G58" s="27"/>
      <c r="H58" s="55"/>
      <c r="I58" s="27"/>
      <c r="J58" s="21"/>
      <c r="K58" s="27"/>
      <c r="L58" s="21"/>
      <c r="M58" s="27"/>
      <c r="N58" s="21"/>
      <c r="O58" s="22" t="s">
        <v>509</v>
      </c>
    </row>
    <row r="59" spans="2:20" ht="19.7" customHeight="1" x14ac:dyDescent="0.2">
      <c r="B59" s="51" t="s">
        <v>509</v>
      </c>
      <c r="C59" s="52" t="s">
        <v>505</v>
      </c>
      <c r="D59" s="52" t="s">
        <v>509</v>
      </c>
      <c r="E59" s="21"/>
      <c r="F59" s="82" t="s">
        <v>509</v>
      </c>
      <c r="G59" s="27"/>
      <c r="H59" s="83">
        <f t="shared" si="0"/>
        <v>44615266</v>
      </c>
      <c r="I59" s="27"/>
      <c r="J59" s="83" t="str">
        <f>TEXT(J5,"#,##0")</f>
        <v>24,652,344</v>
      </c>
      <c r="K59" s="27"/>
      <c r="L59" s="83" t="str">
        <f>TEXT(L5,"#,##0")</f>
        <v>18,818,083</v>
      </c>
      <c r="M59" s="27"/>
      <c r="N59" s="83" t="str">
        <f>TEXT(N5,"#,##0")</f>
        <v>1,144,839</v>
      </c>
      <c r="O59" s="84" t="s">
        <v>509</v>
      </c>
    </row>
    <row r="60" spans="2:20" ht="19.7" customHeight="1" x14ac:dyDescent="0.2">
      <c r="B60" s="57" t="s">
        <v>509</v>
      </c>
      <c r="C60" s="19" t="s">
        <v>434</v>
      </c>
      <c r="D60" s="19" t="s">
        <v>509</v>
      </c>
      <c r="E60" s="86">
        <v>12.8</v>
      </c>
      <c r="F60" s="20" t="s">
        <v>113</v>
      </c>
      <c r="G60" s="27"/>
      <c r="H60" s="55">
        <f>계약원가계산서!F9</f>
        <v>3155500</v>
      </c>
      <c r="I60" s="27"/>
      <c r="J60" s="21"/>
      <c r="K60" s="27"/>
      <c r="L60" s="21"/>
      <c r="M60" s="27"/>
      <c r="N60" s="21"/>
      <c r="O60" s="22" t="s">
        <v>509</v>
      </c>
    </row>
    <row r="61" spans="2:20" ht="19.7" customHeight="1" x14ac:dyDescent="0.2">
      <c r="B61" s="57" t="s">
        <v>509</v>
      </c>
      <c r="C61" s="19" t="s">
        <v>240</v>
      </c>
      <c r="D61" s="19" t="s">
        <v>509</v>
      </c>
      <c r="E61" s="86">
        <v>3.75</v>
      </c>
      <c r="F61" s="20" t="s">
        <v>113</v>
      </c>
      <c r="G61" s="27"/>
      <c r="H61" s="55">
        <f>계약원가계산서!F12</f>
        <v>1042794</v>
      </c>
      <c r="I61" s="27"/>
      <c r="J61" s="21"/>
      <c r="K61" s="27"/>
      <c r="L61" s="21"/>
      <c r="M61" s="27"/>
      <c r="N61" s="21"/>
      <c r="O61" s="22" t="s">
        <v>509</v>
      </c>
    </row>
    <row r="62" spans="2:20" ht="19.7" customHeight="1" x14ac:dyDescent="0.2">
      <c r="B62" s="57" t="s">
        <v>509</v>
      </c>
      <c r="C62" s="19" t="s">
        <v>203</v>
      </c>
      <c r="D62" s="19" t="s">
        <v>509</v>
      </c>
      <c r="E62" s="86">
        <v>0.87</v>
      </c>
      <c r="F62" s="20" t="s">
        <v>113</v>
      </c>
      <c r="G62" s="27"/>
      <c r="H62" s="55">
        <f>계약원가계산서!F13</f>
        <v>241928</v>
      </c>
      <c r="I62" s="27"/>
      <c r="J62" s="21"/>
      <c r="K62" s="27"/>
      <c r="L62" s="21"/>
      <c r="M62" s="27"/>
      <c r="N62" s="21"/>
      <c r="O62" s="22" t="s">
        <v>509</v>
      </c>
    </row>
    <row r="63" spans="2:20" ht="19.7" customHeight="1" x14ac:dyDescent="0.2">
      <c r="B63" s="57" t="s">
        <v>509</v>
      </c>
      <c r="C63" s="19" t="s">
        <v>285</v>
      </c>
      <c r="D63" s="19" t="s">
        <v>509</v>
      </c>
      <c r="E63" s="86" t="s">
        <v>535</v>
      </c>
      <c r="F63" s="20" t="s">
        <v>113</v>
      </c>
      <c r="G63" s="27"/>
      <c r="H63" s="55">
        <f>계약원가계산서!F14</f>
        <v>890920</v>
      </c>
      <c r="I63" s="27"/>
      <c r="J63" s="21"/>
      <c r="K63" s="27"/>
      <c r="L63" s="21"/>
      <c r="M63" s="27"/>
      <c r="N63" s="21"/>
      <c r="O63" s="22" t="s">
        <v>509</v>
      </c>
    </row>
    <row r="64" spans="2:20" ht="19.7" customHeight="1" x14ac:dyDescent="0.2">
      <c r="B64" s="57" t="s">
        <v>509</v>
      </c>
      <c r="C64" s="19" t="s">
        <v>439</v>
      </c>
      <c r="D64" s="19" t="s">
        <v>509</v>
      </c>
      <c r="E64" s="86" t="s">
        <v>535</v>
      </c>
      <c r="F64" s="20" t="s">
        <v>113</v>
      </c>
      <c r="G64" s="27"/>
      <c r="H64" s="55">
        <f>계약원가계산서!F15</f>
        <v>1241221</v>
      </c>
      <c r="I64" s="27"/>
      <c r="J64" s="21"/>
      <c r="K64" s="27"/>
      <c r="L64" s="21"/>
      <c r="M64" s="27"/>
      <c r="N64" s="21"/>
      <c r="O64" s="22" t="s">
        <v>509</v>
      </c>
    </row>
    <row r="65" spans="2:15" ht="19.7" customHeight="1" x14ac:dyDescent="0.2">
      <c r="B65" s="57" t="s">
        <v>509</v>
      </c>
      <c r="C65" s="19" t="s">
        <v>473</v>
      </c>
      <c r="D65" s="19" t="s">
        <v>509</v>
      </c>
      <c r="E65" s="86" t="s">
        <v>535</v>
      </c>
      <c r="F65" s="20" t="s">
        <v>113</v>
      </c>
      <c r="G65" s="27"/>
      <c r="H65" s="55">
        <f>계약원가계산서!F16</f>
        <v>75817</v>
      </c>
      <c r="I65" s="27"/>
      <c r="J65" s="21"/>
      <c r="K65" s="27"/>
      <c r="L65" s="21"/>
      <c r="M65" s="27"/>
      <c r="N65" s="21"/>
      <c r="O65" s="22" t="s">
        <v>509</v>
      </c>
    </row>
    <row r="66" spans="2:15" ht="19.7" customHeight="1" x14ac:dyDescent="0.2">
      <c r="B66" s="57" t="s">
        <v>509</v>
      </c>
      <c r="C66" s="19" t="s">
        <v>262</v>
      </c>
      <c r="D66" s="19" t="s">
        <v>509</v>
      </c>
      <c r="E66" s="86">
        <v>0.39</v>
      </c>
      <c r="F66" s="20" t="s">
        <v>113</v>
      </c>
      <c r="G66" s="27"/>
      <c r="H66" s="55">
        <f>계약원가계산서!F18</f>
        <v>173999</v>
      </c>
      <c r="I66" s="27"/>
      <c r="J66" s="21"/>
      <c r="K66" s="27"/>
      <c r="L66" s="21"/>
      <c r="M66" s="27"/>
      <c r="N66" s="21"/>
      <c r="O66" s="22" t="s">
        <v>509</v>
      </c>
    </row>
    <row r="67" spans="2:15" ht="19.7" customHeight="1" x14ac:dyDescent="0.2">
      <c r="B67" s="57" t="s">
        <v>509</v>
      </c>
      <c r="C67" s="19" t="s">
        <v>453</v>
      </c>
      <c r="D67" s="19" t="s">
        <v>509</v>
      </c>
      <c r="E67" s="86" t="s">
        <v>534</v>
      </c>
      <c r="F67" s="20" t="s">
        <v>113</v>
      </c>
      <c r="G67" s="27"/>
      <c r="H67" s="55">
        <f>계약원가계산서!F19</f>
        <v>1425082</v>
      </c>
      <c r="I67" s="27"/>
      <c r="J67" s="21"/>
      <c r="K67" s="27"/>
      <c r="L67" s="21"/>
      <c r="M67" s="27"/>
      <c r="N67" s="21"/>
      <c r="O67" s="22" t="s">
        <v>509</v>
      </c>
    </row>
    <row r="68" spans="2:15" ht="19.7" customHeight="1" x14ac:dyDescent="0.2">
      <c r="B68" s="57" t="s">
        <v>509</v>
      </c>
      <c r="C68" s="19" t="s">
        <v>429</v>
      </c>
      <c r="D68" s="19" t="s">
        <v>509</v>
      </c>
      <c r="E68" s="86">
        <v>0.5</v>
      </c>
      <c r="F68" s="20" t="s">
        <v>113</v>
      </c>
      <c r="G68" s="27"/>
      <c r="H68" s="55">
        <f>계약원가계산서!F20</f>
        <v>223076</v>
      </c>
      <c r="I68" s="27"/>
      <c r="J68" s="21"/>
      <c r="K68" s="27"/>
      <c r="L68" s="21"/>
      <c r="M68" s="27"/>
      <c r="N68" s="21"/>
      <c r="O68" s="22" t="s">
        <v>509</v>
      </c>
    </row>
    <row r="69" spans="2:15" ht="19.7" customHeight="1" x14ac:dyDescent="0.2">
      <c r="B69" s="57" t="s">
        <v>509</v>
      </c>
      <c r="C69" s="19" t="s">
        <v>495</v>
      </c>
      <c r="D69" s="19" t="s">
        <v>509</v>
      </c>
      <c r="E69" s="86">
        <v>7.9</v>
      </c>
      <c r="F69" s="20" t="s">
        <v>113</v>
      </c>
      <c r="G69" s="27"/>
      <c r="H69" s="55">
        <f>계약원가계산서!F23</f>
        <v>3683448</v>
      </c>
      <c r="I69" s="27"/>
      <c r="J69" s="21"/>
      <c r="K69" s="27"/>
      <c r="L69" s="21"/>
      <c r="M69" s="27"/>
      <c r="N69" s="21"/>
      <c r="O69" s="22" t="s">
        <v>509</v>
      </c>
    </row>
    <row r="70" spans="2:15" ht="19.7" customHeight="1" x14ac:dyDescent="0.2">
      <c r="B70" s="57" t="s">
        <v>509</v>
      </c>
      <c r="C70" s="19" t="s">
        <v>314</v>
      </c>
      <c r="D70" s="19" t="s">
        <v>509</v>
      </c>
      <c r="E70" s="21"/>
      <c r="F70" s="20" t="s">
        <v>509</v>
      </c>
      <c r="G70" s="27"/>
      <c r="H70" s="55">
        <f>계약원가계산서!F7</f>
        <v>18818083</v>
      </c>
      <c r="I70" s="27"/>
      <c r="J70" s="21"/>
      <c r="K70" s="27"/>
      <c r="L70" s="21"/>
      <c r="M70" s="27"/>
      <c r="N70" s="21"/>
      <c r="O70" s="22" t="s">
        <v>509</v>
      </c>
    </row>
    <row r="71" spans="2:15" ht="19.7" customHeight="1" x14ac:dyDescent="0.2">
      <c r="B71" s="57" t="s">
        <v>509</v>
      </c>
      <c r="C71" s="19" t="s">
        <v>478</v>
      </c>
      <c r="D71" s="19" t="s">
        <v>509</v>
      </c>
      <c r="E71" s="21"/>
      <c r="F71" s="20" t="s">
        <v>509</v>
      </c>
      <c r="G71" s="27"/>
      <c r="H71" s="55">
        <f>계약원가계산서!F25</f>
        <v>56769051</v>
      </c>
      <c r="I71" s="27"/>
      <c r="J71" s="21"/>
      <c r="K71" s="27"/>
      <c r="L71" s="21"/>
      <c r="M71" s="27"/>
      <c r="N71" s="21"/>
      <c r="O71" s="22" t="s">
        <v>509</v>
      </c>
    </row>
    <row r="72" spans="2:15" ht="19.7" customHeight="1" x14ac:dyDescent="0.2">
      <c r="B72" s="57" t="s">
        <v>509</v>
      </c>
      <c r="C72" s="19" t="s">
        <v>441</v>
      </c>
      <c r="D72" s="19" t="s">
        <v>509</v>
      </c>
      <c r="E72" s="21">
        <v>6</v>
      </c>
      <c r="F72" s="20" t="s">
        <v>113</v>
      </c>
      <c r="G72" s="27"/>
      <c r="H72" s="55">
        <f>계약원가계산서!F26</f>
        <v>3406143</v>
      </c>
      <c r="I72" s="27"/>
      <c r="J72" s="21"/>
      <c r="K72" s="27"/>
      <c r="L72" s="21"/>
      <c r="M72" s="27"/>
      <c r="N72" s="21"/>
      <c r="O72" s="22" t="s">
        <v>509</v>
      </c>
    </row>
    <row r="73" spans="2:15" ht="19.7" customHeight="1" x14ac:dyDescent="0.2">
      <c r="B73" s="57" t="s">
        <v>509</v>
      </c>
      <c r="C73" s="19" t="s">
        <v>186</v>
      </c>
      <c r="D73" s="19" t="s">
        <v>509</v>
      </c>
      <c r="E73" s="86">
        <v>11.67</v>
      </c>
      <c r="F73" s="20" t="s">
        <v>113</v>
      </c>
      <c r="G73" s="27"/>
      <c r="H73" s="55">
        <f>계약원가계산서!F27</f>
        <v>4825715</v>
      </c>
      <c r="I73" s="27"/>
      <c r="J73" s="21"/>
      <c r="K73" s="27"/>
      <c r="L73" s="21"/>
      <c r="M73" s="27"/>
      <c r="N73" s="21"/>
      <c r="O73" s="22" t="s">
        <v>509</v>
      </c>
    </row>
    <row r="74" spans="2:15" ht="19.7" customHeight="1" x14ac:dyDescent="0.2">
      <c r="B74" s="57" t="s">
        <v>509</v>
      </c>
      <c r="C74" s="19" t="s">
        <v>440</v>
      </c>
      <c r="D74" s="19" t="s">
        <v>509</v>
      </c>
      <c r="E74" s="21"/>
      <c r="F74" s="20" t="s">
        <v>509</v>
      </c>
      <c r="G74" s="27"/>
      <c r="H74" s="55">
        <f>계약원가계산서!F29</f>
        <v>65000909</v>
      </c>
      <c r="I74" s="27"/>
      <c r="J74" s="21"/>
      <c r="K74" s="27"/>
      <c r="L74" s="21"/>
      <c r="M74" s="27"/>
      <c r="N74" s="21"/>
      <c r="O74" s="22" t="s">
        <v>509</v>
      </c>
    </row>
    <row r="75" spans="2:15" ht="19.7" customHeight="1" x14ac:dyDescent="0.2">
      <c r="B75" s="57" t="s">
        <v>509</v>
      </c>
      <c r="C75" s="19" t="s">
        <v>39</v>
      </c>
      <c r="D75" s="19" t="s">
        <v>509</v>
      </c>
      <c r="E75" s="21">
        <v>10</v>
      </c>
      <c r="F75" s="20" t="s">
        <v>113</v>
      </c>
      <c r="G75" s="27"/>
      <c r="H75" s="55">
        <f>계약원가계산서!F30</f>
        <v>6500091</v>
      </c>
      <c r="I75" s="27"/>
      <c r="J75" s="21"/>
      <c r="K75" s="27"/>
      <c r="L75" s="21"/>
      <c r="M75" s="27"/>
      <c r="N75" s="21"/>
      <c r="O75" s="22" t="s">
        <v>509</v>
      </c>
    </row>
    <row r="76" spans="2:15" ht="19.7" customHeight="1" x14ac:dyDescent="0.2">
      <c r="B76" s="57" t="s">
        <v>509</v>
      </c>
      <c r="C76" s="19" t="s">
        <v>5</v>
      </c>
      <c r="D76" s="19" t="s">
        <v>509</v>
      </c>
      <c r="E76" s="21"/>
      <c r="F76" s="20" t="s">
        <v>509</v>
      </c>
      <c r="G76" s="27"/>
      <c r="H76" s="55">
        <f>계약원가계산서!F31</f>
        <v>71501000</v>
      </c>
      <c r="I76" s="27"/>
      <c r="J76" s="21"/>
      <c r="K76" s="27"/>
      <c r="L76" s="21"/>
      <c r="M76" s="27"/>
      <c r="N76" s="21"/>
      <c r="O76" s="22" t="s">
        <v>509</v>
      </c>
    </row>
    <row r="77" spans="2:15" ht="18" customHeight="1" x14ac:dyDescent="0.2">
      <c r="B77" s="59" t="s">
        <v>509</v>
      </c>
      <c r="C77" s="24" t="s">
        <v>231</v>
      </c>
      <c r="D77" s="24" t="s">
        <v>509</v>
      </c>
      <c r="E77" s="12"/>
      <c r="F77" s="25" t="s">
        <v>509</v>
      </c>
      <c r="G77" s="11"/>
      <c r="H77" s="63">
        <f>계약원가계산서!F33</f>
        <v>71501000</v>
      </c>
      <c r="I77" s="11"/>
      <c r="J77" s="12"/>
      <c r="K77" s="11"/>
      <c r="L77" s="12"/>
      <c r="M77" s="11"/>
      <c r="N77" s="12"/>
      <c r="O77" s="26" t="s">
        <v>509</v>
      </c>
    </row>
    <row r="78" spans="2:15" x14ac:dyDescent="0.2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</sheetData>
  <mergeCells count="11">
    <mergeCell ref="B1:O2"/>
    <mergeCell ref="B3:B4"/>
    <mergeCell ref="C3:C4"/>
    <mergeCell ref="D3:D4"/>
    <mergeCell ref="E3:E4"/>
    <mergeCell ref="F3:F4"/>
    <mergeCell ref="G3:H3"/>
    <mergeCell ref="I3:J3"/>
    <mergeCell ref="K3:L3"/>
    <mergeCell ref="M3:N3"/>
    <mergeCell ref="O3:O4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2" manualBreakCount="2">
    <brk id="30" min="2" max="15" man="1"/>
    <brk id="56" min="2" max="15" man="1"/>
  </rowBreaks>
  <ignoredErrors>
    <ignoredError sqref="J5:J6 N5:N6 L6 H10 K10 M10 H12 K12 M12 H19:I19 K19:K21 H20:I20 I21:I22 M21 N22 H23:H26 K28:K29 H29:H57 L29 G30:G57 K23:K26 M23:M24" emptyCellReference="1"/>
    <ignoredError sqref="B6 Q13:Q18 S13:S18 U13:U18 B22 R22 T22 B29 T29" numberStoredAsText="1"/>
    <ignoredError sqref="J7:J18 L7:L9 L11 L13:L18 J23:J27 L27" formula="1"/>
    <ignoredError sqref="J22:K22 L22:M22" formula="1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AC15"/>
  <sheetViews>
    <sheetView zoomScaleNormal="100" zoomScaleSheetLayoutView="160" workbookViewId="0">
      <pane ySplit="3" topLeftCell="A4" activePane="bottomLeft" state="frozen"/>
      <selection pane="bottomLeft" activeCell="M3" sqref="M3"/>
    </sheetView>
  </sheetViews>
  <sheetFormatPr defaultRowHeight="12.75" x14ac:dyDescent="0.2"/>
  <cols>
    <col min="1" max="1" width="0.7109375" customWidth="1"/>
    <col min="2" max="2" width="13.140625" customWidth="1"/>
    <col min="3" max="3" width="26.42578125" customWidth="1"/>
    <col min="4" max="4" width="24.140625" customWidth="1"/>
    <col min="5" max="5" width="8.85546875" customWidth="1"/>
    <col min="6" max="9" width="16.42578125" customWidth="1"/>
    <col min="10" max="10" width="15.42578125" customWidth="1"/>
  </cols>
  <sheetData>
    <row r="1" spans="2:29" ht="24.95" customHeight="1" x14ac:dyDescent="0.2">
      <c r="B1" s="118" t="s">
        <v>335</v>
      </c>
      <c r="C1" s="118"/>
      <c r="D1" s="118"/>
      <c r="E1" s="118"/>
      <c r="F1" s="118"/>
      <c r="G1" s="118"/>
      <c r="H1" s="118"/>
      <c r="I1" s="118"/>
      <c r="J1" s="118"/>
    </row>
    <row r="2" spans="2:29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</row>
    <row r="3" spans="2:29" ht="30.75" customHeight="1" x14ac:dyDescent="0.2">
      <c r="B3" s="14" t="s">
        <v>371</v>
      </c>
      <c r="C3" s="7" t="s">
        <v>336</v>
      </c>
      <c r="D3" s="7" t="s">
        <v>399</v>
      </c>
      <c r="E3" s="7" t="s">
        <v>204</v>
      </c>
      <c r="F3" s="7" t="s">
        <v>487</v>
      </c>
      <c r="G3" s="7" t="s">
        <v>438</v>
      </c>
      <c r="H3" s="7" t="s">
        <v>319</v>
      </c>
      <c r="I3" s="7" t="s">
        <v>29</v>
      </c>
      <c r="J3" s="8" t="s">
        <v>125</v>
      </c>
      <c r="Z3" t="s">
        <v>331</v>
      </c>
      <c r="AA3" t="s">
        <v>370</v>
      </c>
      <c r="AB3" t="s">
        <v>502</v>
      </c>
      <c r="AC3" t="s">
        <v>345</v>
      </c>
    </row>
    <row r="4" spans="2:29" ht="19.7" customHeight="1" x14ac:dyDescent="0.2">
      <c r="B4" s="18" t="s">
        <v>161</v>
      </c>
      <c r="C4" s="19" t="s">
        <v>54</v>
      </c>
      <c r="D4" s="19" t="s">
        <v>63</v>
      </c>
      <c r="E4" s="20" t="s">
        <v>414</v>
      </c>
      <c r="F4" s="55">
        <f t="shared" ref="F4:F14" si="0">G4+H4+I4</f>
        <v>1668477</v>
      </c>
      <c r="G4" s="55">
        <f>일위대가!J5</f>
        <v>1574661</v>
      </c>
      <c r="H4" s="55">
        <f>일위대가!L5</f>
        <v>41490</v>
      </c>
      <c r="I4" s="55">
        <f>일위대가!N5</f>
        <v>52326</v>
      </c>
      <c r="J4" s="22" t="s">
        <v>509</v>
      </c>
      <c r="Z4" s="17">
        <v>1668477</v>
      </c>
      <c r="AA4" s="17">
        <v>1574661</v>
      </c>
      <c r="AB4" s="17">
        <v>41490</v>
      </c>
      <c r="AC4" s="17">
        <v>52326</v>
      </c>
    </row>
    <row r="5" spans="2:29" ht="19.7" customHeight="1" x14ac:dyDescent="0.2">
      <c r="B5" s="18" t="s">
        <v>449</v>
      </c>
      <c r="C5" s="19" t="s">
        <v>119</v>
      </c>
      <c r="D5" s="19" t="s">
        <v>410</v>
      </c>
      <c r="E5" s="20" t="s">
        <v>414</v>
      </c>
      <c r="F5" s="55">
        <f t="shared" si="0"/>
        <v>834238</v>
      </c>
      <c r="G5" s="55">
        <f>일위대가!J10</f>
        <v>787330</v>
      </c>
      <c r="H5" s="55">
        <f>일위대가!L10</f>
        <v>20745</v>
      </c>
      <c r="I5" s="55">
        <f>일위대가!N10</f>
        <v>26163</v>
      </c>
      <c r="J5" s="22" t="s">
        <v>509</v>
      </c>
      <c r="Z5" s="17">
        <v>834238</v>
      </c>
      <c r="AA5" s="17">
        <v>787330</v>
      </c>
      <c r="AB5" s="17">
        <v>20745</v>
      </c>
      <c r="AC5" s="17">
        <v>26163</v>
      </c>
    </row>
    <row r="6" spans="2:29" ht="19.7" customHeight="1" x14ac:dyDescent="0.2">
      <c r="B6" s="18" t="s">
        <v>142</v>
      </c>
      <c r="C6" s="19" t="s">
        <v>7</v>
      </c>
      <c r="D6" s="19" t="s">
        <v>53</v>
      </c>
      <c r="E6" s="20" t="s">
        <v>326</v>
      </c>
      <c r="F6" s="55">
        <f t="shared" si="0"/>
        <v>324329</v>
      </c>
      <c r="G6" s="55">
        <f>일위대가!J15</f>
        <v>266429</v>
      </c>
      <c r="H6" s="55">
        <f>일위대가!L15</f>
        <v>20508</v>
      </c>
      <c r="I6" s="55">
        <f>일위대가!N15</f>
        <v>37392</v>
      </c>
      <c r="J6" s="22" t="s">
        <v>509</v>
      </c>
      <c r="Z6" s="17">
        <v>324329</v>
      </c>
      <c r="AA6" s="17">
        <v>266429</v>
      </c>
      <c r="AB6" s="17">
        <v>20508</v>
      </c>
      <c r="AC6" s="17">
        <v>37392</v>
      </c>
    </row>
    <row r="7" spans="2:29" ht="19.7" customHeight="1" x14ac:dyDescent="0.2">
      <c r="B7" s="18" t="s">
        <v>497</v>
      </c>
      <c r="C7" s="19" t="s">
        <v>419</v>
      </c>
      <c r="D7" s="19" t="s">
        <v>53</v>
      </c>
      <c r="E7" s="20" t="s">
        <v>326</v>
      </c>
      <c r="F7" s="55">
        <f t="shared" si="0"/>
        <v>27103</v>
      </c>
      <c r="G7" s="55">
        <f>일위대가!J20</f>
        <v>27103</v>
      </c>
      <c r="H7" s="55"/>
      <c r="I7" s="55"/>
      <c r="J7" s="22" t="s">
        <v>509</v>
      </c>
      <c r="Z7" s="17">
        <v>27103</v>
      </c>
      <c r="AA7" s="17">
        <v>27103</v>
      </c>
    </row>
    <row r="8" spans="2:29" ht="19.7" customHeight="1" x14ac:dyDescent="0.2">
      <c r="B8" s="18" t="s">
        <v>191</v>
      </c>
      <c r="C8" s="19" t="s">
        <v>152</v>
      </c>
      <c r="D8" s="19" t="s">
        <v>509</v>
      </c>
      <c r="E8" s="20" t="s">
        <v>208</v>
      </c>
      <c r="F8" s="55">
        <f t="shared" si="0"/>
        <v>60432</v>
      </c>
      <c r="G8" s="55">
        <f>일위대가!J24</f>
        <v>56133</v>
      </c>
      <c r="H8" s="55">
        <f>일위대가!L24</f>
        <v>1901</v>
      </c>
      <c r="I8" s="55">
        <f>일위대가!N24</f>
        <v>2398</v>
      </c>
      <c r="J8" s="22" t="s">
        <v>509</v>
      </c>
      <c r="Z8" s="17">
        <v>60432</v>
      </c>
      <c r="AA8" s="17">
        <v>56133</v>
      </c>
      <c r="AB8" s="17">
        <v>1901</v>
      </c>
      <c r="AC8" s="17">
        <v>2398</v>
      </c>
    </row>
    <row r="9" spans="2:29" ht="19.7" customHeight="1" x14ac:dyDescent="0.2">
      <c r="B9" s="18" t="s">
        <v>485</v>
      </c>
      <c r="C9" s="19" t="s">
        <v>421</v>
      </c>
      <c r="D9" s="19" t="s">
        <v>509</v>
      </c>
      <c r="E9" s="20" t="s">
        <v>208</v>
      </c>
      <c r="F9" s="55">
        <f t="shared" si="0"/>
        <v>11049</v>
      </c>
      <c r="G9" s="55">
        <f>일위대가!J32</f>
        <v>11049</v>
      </c>
      <c r="H9" s="55"/>
      <c r="I9" s="55"/>
      <c r="J9" s="22" t="s">
        <v>509</v>
      </c>
      <c r="Z9" s="17">
        <v>11049</v>
      </c>
      <c r="AA9" s="17">
        <v>11049</v>
      </c>
    </row>
    <row r="10" spans="2:29" ht="19.7" customHeight="1" x14ac:dyDescent="0.2">
      <c r="B10" s="18" t="s">
        <v>169</v>
      </c>
      <c r="C10" s="19" t="s">
        <v>135</v>
      </c>
      <c r="D10" s="19" t="s">
        <v>509</v>
      </c>
      <c r="E10" s="20" t="s">
        <v>427</v>
      </c>
      <c r="F10" s="55">
        <f t="shared" si="0"/>
        <v>625113</v>
      </c>
      <c r="G10" s="55">
        <f>일위대가!J38</f>
        <v>625113</v>
      </c>
      <c r="H10" s="55"/>
      <c r="I10" s="55"/>
      <c r="J10" s="22" t="s">
        <v>509</v>
      </c>
      <c r="Z10" s="17">
        <v>625113</v>
      </c>
      <c r="AA10" s="17">
        <v>625113</v>
      </c>
    </row>
    <row r="11" spans="2:29" ht="19.7" customHeight="1" x14ac:dyDescent="0.2">
      <c r="B11" s="18" t="s">
        <v>274</v>
      </c>
      <c r="C11" s="19" t="s">
        <v>269</v>
      </c>
      <c r="D11" s="19" t="s">
        <v>509</v>
      </c>
      <c r="E11" s="20" t="s">
        <v>427</v>
      </c>
      <c r="F11" s="55">
        <f t="shared" si="0"/>
        <v>522035</v>
      </c>
      <c r="G11" s="55">
        <f>일위대가!J42</f>
        <v>522035</v>
      </c>
      <c r="H11" s="55"/>
      <c r="I11" s="55"/>
      <c r="J11" s="22" t="s">
        <v>509</v>
      </c>
      <c r="Z11" s="17">
        <v>522035</v>
      </c>
      <c r="AA11" s="17">
        <v>522035</v>
      </c>
    </row>
    <row r="12" spans="2:29" ht="19.7" customHeight="1" x14ac:dyDescent="0.2">
      <c r="B12" s="18" t="s">
        <v>62</v>
      </c>
      <c r="C12" s="19" t="s">
        <v>115</v>
      </c>
      <c r="D12" s="19" t="s">
        <v>509</v>
      </c>
      <c r="E12" s="20" t="s">
        <v>337</v>
      </c>
      <c r="F12" s="55">
        <f t="shared" si="0"/>
        <v>1314914</v>
      </c>
      <c r="G12" s="55">
        <f>일위대가!J46</f>
        <v>1119798</v>
      </c>
      <c r="H12" s="55"/>
      <c r="I12" s="55">
        <f>일위대가!N46</f>
        <v>195116</v>
      </c>
      <c r="J12" s="22" t="s">
        <v>509</v>
      </c>
      <c r="Z12" s="17">
        <v>1314914</v>
      </c>
      <c r="AA12" s="17">
        <v>1119798</v>
      </c>
      <c r="AC12" s="17">
        <v>195116</v>
      </c>
    </row>
    <row r="13" spans="2:29" ht="19.7" customHeight="1" x14ac:dyDescent="0.2">
      <c r="B13" s="18" t="s">
        <v>340</v>
      </c>
      <c r="C13" s="19" t="s">
        <v>445</v>
      </c>
      <c r="D13" s="19" t="s">
        <v>509</v>
      </c>
      <c r="E13" s="20" t="s">
        <v>337</v>
      </c>
      <c r="F13" s="55">
        <f t="shared" si="0"/>
        <v>199622</v>
      </c>
      <c r="G13" s="55">
        <f>일위대가!J53</f>
        <v>170296</v>
      </c>
      <c r="H13" s="55"/>
      <c r="I13" s="55">
        <f>일위대가!N53</f>
        <v>29326</v>
      </c>
      <c r="J13" s="22" t="s">
        <v>509</v>
      </c>
      <c r="Z13" s="17">
        <v>199622</v>
      </c>
      <c r="AA13" s="17">
        <v>170296</v>
      </c>
      <c r="AC13" s="17">
        <v>29326</v>
      </c>
    </row>
    <row r="14" spans="2:29" ht="19.7" customHeight="1" x14ac:dyDescent="0.2">
      <c r="B14" s="23" t="s">
        <v>21</v>
      </c>
      <c r="C14" s="24" t="s">
        <v>286</v>
      </c>
      <c r="D14" s="24" t="s">
        <v>509</v>
      </c>
      <c r="E14" s="25" t="s">
        <v>337</v>
      </c>
      <c r="F14" s="63">
        <f t="shared" si="0"/>
        <v>1194749</v>
      </c>
      <c r="G14" s="63">
        <f>일위대가!J60</f>
        <v>1035400</v>
      </c>
      <c r="H14" s="63">
        <f>일위대가!L60</f>
        <v>3600</v>
      </c>
      <c r="I14" s="63">
        <f>일위대가!N60</f>
        <v>155749</v>
      </c>
      <c r="J14" s="26" t="s">
        <v>509</v>
      </c>
      <c r="Z14" s="17">
        <v>1194749</v>
      </c>
      <c r="AA14" s="17">
        <v>1035400</v>
      </c>
      <c r="AB14" s="17">
        <v>3600</v>
      </c>
      <c r="AC14" s="17">
        <v>155749</v>
      </c>
    </row>
    <row r="15" spans="2:29" x14ac:dyDescent="0.2">
      <c r="B15" s="13"/>
      <c r="C15" s="13"/>
      <c r="D15" s="13"/>
      <c r="E15" s="13"/>
      <c r="F15" s="13"/>
      <c r="G15" s="13"/>
      <c r="H15" s="13"/>
      <c r="I15" s="13"/>
      <c r="J15" s="13"/>
    </row>
  </sheetData>
  <sheetProtection selectLockedCells="1" selectUnlockedCells="1"/>
  <mergeCells count="1">
    <mergeCell ref="B1:J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ignoredErrors>
    <ignoredError sqref="F7 F9:F13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O64"/>
  <sheetViews>
    <sheetView zoomScaleNormal="100" zoomScaleSheetLayoutView="115" workbookViewId="0">
      <pane ySplit="4" topLeftCell="A5" activePane="bottomLeft" state="frozen"/>
      <selection pane="bottomLeft" activeCell="M3" sqref="M3:N3"/>
    </sheetView>
  </sheetViews>
  <sheetFormatPr defaultRowHeight="12.75" x14ac:dyDescent="0.2"/>
  <cols>
    <col min="1" max="1" width="0.7109375" customWidth="1"/>
    <col min="2" max="2" width="7.5703125" customWidth="1"/>
    <col min="3" max="3" width="24.7109375" customWidth="1"/>
    <col min="4" max="4" width="21.85546875" customWidth="1"/>
    <col min="5" max="5" width="6.7109375" customWidth="1"/>
    <col min="6" max="6" width="3.85546875" customWidth="1"/>
    <col min="7" max="7" width="9.42578125" customWidth="1"/>
    <col min="8" max="8" width="11" customWidth="1"/>
    <col min="9" max="9" width="9.42578125" customWidth="1"/>
    <col min="10" max="10" width="11" customWidth="1"/>
    <col min="11" max="11" width="9.140625" customWidth="1"/>
    <col min="12" max="12" width="10.5703125" customWidth="1"/>
    <col min="13" max="13" width="9.140625" customWidth="1"/>
    <col min="14" max="14" width="10.5703125" customWidth="1"/>
    <col min="15" max="15" width="9" customWidth="1"/>
  </cols>
  <sheetData>
    <row r="1" spans="2:15" ht="24.95" customHeight="1" x14ac:dyDescent="0.2">
      <c r="B1" s="118" t="s">
        <v>51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15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</row>
    <row r="3" spans="2:15" ht="15.4" customHeight="1" x14ac:dyDescent="0.2">
      <c r="B3" s="124" t="s">
        <v>371</v>
      </c>
      <c r="C3" s="126" t="s">
        <v>336</v>
      </c>
      <c r="D3" s="126" t="s">
        <v>399</v>
      </c>
      <c r="E3" s="126" t="s">
        <v>13</v>
      </c>
      <c r="F3" s="126" t="s">
        <v>204</v>
      </c>
      <c r="G3" s="120" t="s">
        <v>487</v>
      </c>
      <c r="H3" s="121"/>
      <c r="I3" s="120" t="s">
        <v>438</v>
      </c>
      <c r="J3" s="121"/>
      <c r="K3" s="120" t="s">
        <v>319</v>
      </c>
      <c r="L3" s="121"/>
      <c r="M3" s="120" t="s">
        <v>29</v>
      </c>
      <c r="N3" s="121"/>
      <c r="O3" s="122" t="s">
        <v>125</v>
      </c>
    </row>
    <row r="4" spans="2:15" ht="19.7" customHeight="1" x14ac:dyDescent="0.2">
      <c r="B4" s="125"/>
      <c r="C4" s="127"/>
      <c r="D4" s="127"/>
      <c r="E4" s="127"/>
      <c r="F4" s="127"/>
      <c r="G4" s="16" t="s">
        <v>1</v>
      </c>
      <c r="H4" s="15" t="s">
        <v>268</v>
      </c>
      <c r="I4" s="16" t="s">
        <v>1</v>
      </c>
      <c r="J4" s="15" t="s">
        <v>268</v>
      </c>
      <c r="K4" s="16" t="s">
        <v>1</v>
      </c>
      <c r="L4" s="15" t="s">
        <v>268</v>
      </c>
      <c r="M4" s="16" t="s">
        <v>1</v>
      </c>
      <c r="N4" s="15" t="s">
        <v>268</v>
      </c>
      <c r="O4" s="123"/>
    </row>
    <row r="5" spans="2:15" ht="19.7" customHeight="1" x14ac:dyDescent="0.2">
      <c r="B5" s="80" t="s">
        <v>161</v>
      </c>
      <c r="C5" s="52" t="s">
        <v>54</v>
      </c>
      <c r="D5" s="52" t="s">
        <v>63</v>
      </c>
      <c r="E5" s="81">
        <v>1</v>
      </c>
      <c r="F5" s="82" t="s">
        <v>414</v>
      </c>
      <c r="G5" s="27"/>
      <c r="H5" s="83">
        <f>J5+L5+N5</f>
        <v>1668477</v>
      </c>
      <c r="I5" s="27"/>
      <c r="J5" s="83">
        <f>TRUNC(J6+J7+J8)</f>
        <v>1574661</v>
      </c>
      <c r="K5" s="27"/>
      <c r="L5" s="83">
        <f>TRUNC(L6+L7+L8)</f>
        <v>41490</v>
      </c>
      <c r="M5" s="27"/>
      <c r="N5" s="83">
        <f>TRUNC(N6+N7+N8)</f>
        <v>52326</v>
      </c>
      <c r="O5" s="84" t="s">
        <v>509</v>
      </c>
    </row>
    <row r="6" spans="2:15" ht="19.7" customHeight="1" x14ac:dyDescent="0.2">
      <c r="B6" s="18" t="s">
        <v>509</v>
      </c>
      <c r="C6" s="19" t="s">
        <v>48</v>
      </c>
      <c r="D6" s="19" t="s">
        <v>509</v>
      </c>
      <c r="E6" s="21">
        <v>6</v>
      </c>
      <c r="F6" s="20" t="s">
        <v>469</v>
      </c>
      <c r="G6" s="27">
        <f>I6+K6+M6</f>
        <v>166666</v>
      </c>
      <c r="H6" s="85">
        <f>J6+L6+N6</f>
        <v>999996</v>
      </c>
      <c r="I6" s="54">
        <f>노임단가!L4</f>
        <v>166666</v>
      </c>
      <c r="J6" s="85">
        <f>TRUNC(E6*I6,1)</f>
        <v>999996</v>
      </c>
      <c r="K6" s="54"/>
      <c r="L6" s="85"/>
      <c r="M6" s="54"/>
      <c r="N6" s="85"/>
      <c r="O6" s="22" t="s">
        <v>509</v>
      </c>
    </row>
    <row r="7" spans="2:15" ht="19.7" customHeight="1" x14ac:dyDescent="0.2">
      <c r="B7" s="18" t="s">
        <v>509</v>
      </c>
      <c r="C7" s="19" t="s">
        <v>28</v>
      </c>
      <c r="D7" s="19" t="s">
        <v>509</v>
      </c>
      <c r="E7" s="21">
        <v>3</v>
      </c>
      <c r="F7" s="20" t="s">
        <v>469</v>
      </c>
      <c r="G7" s="27">
        <f>I7+K7+M7</f>
        <v>125427</v>
      </c>
      <c r="H7" s="85">
        <f>J7+L7+N7</f>
        <v>376281</v>
      </c>
      <c r="I7" s="54">
        <f>노임단가!L5</f>
        <v>125427</v>
      </c>
      <c r="J7" s="85">
        <f>TRUNC(E7*I7,1)</f>
        <v>376281</v>
      </c>
      <c r="K7" s="54"/>
      <c r="L7" s="85"/>
      <c r="M7" s="54"/>
      <c r="N7" s="85"/>
      <c r="O7" s="22" t="s">
        <v>509</v>
      </c>
    </row>
    <row r="8" spans="2:15" ht="19.7" customHeight="1" x14ac:dyDescent="0.2">
      <c r="B8" s="18" t="s">
        <v>509</v>
      </c>
      <c r="C8" s="19" t="s">
        <v>56</v>
      </c>
      <c r="D8" s="19" t="s">
        <v>91</v>
      </c>
      <c r="E8" s="21">
        <v>6</v>
      </c>
      <c r="F8" s="20" t="s">
        <v>380</v>
      </c>
      <c r="G8" s="27">
        <f>I8+K8+M8</f>
        <v>48700</v>
      </c>
      <c r="H8" s="85">
        <f>J8+L8+N8</f>
        <v>292200</v>
      </c>
      <c r="I8" s="54">
        <f>기계경비총괄표!G4</f>
        <v>33064</v>
      </c>
      <c r="J8" s="85">
        <f>TRUNC(E8*I8,1)</f>
        <v>198384</v>
      </c>
      <c r="K8" s="54">
        <f>기계경비총괄표!H4</f>
        <v>6915</v>
      </c>
      <c r="L8" s="85">
        <f>TRUNC(E8*K8,1)</f>
        <v>41490</v>
      </c>
      <c r="M8" s="54">
        <f>기계경비총괄표!I4</f>
        <v>8721</v>
      </c>
      <c r="N8" s="85">
        <f>TRUNC(E8*M8,1)</f>
        <v>52326</v>
      </c>
      <c r="O8" s="22" t="s">
        <v>509</v>
      </c>
    </row>
    <row r="9" spans="2:15" ht="19.7" customHeight="1" x14ac:dyDescent="0.2">
      <c r="B9" s="18" t="s">
        <v>509</v>
      </c>
      <c r="C9" s="19" t="s">
        <v>509</v>
      </c>
      <c r="D9" s="19" t="s">
        <v>509</v>
      </c>
      <c r="E9" s="21"/>
      <c r="F9" s="20" t="s">
        <v>509</v>
      </c>
      <c r="G9" s="27"/>
      <c r="H9" s="21"/>
      <c r="I9" s="27"/>
      <c r="J9" s="55"/>
      <c r="K9" s="27"/>
      <c r="L9" s="55"/>
      <c r="M9" s="27"/>
      <c r="N9" s="55"/>
      <c r="O9" s="22" t="s">
        <v>509</v>
      </c>
    </row>
    <row r="10" spans="2:15" ht="19.7" customHeight="1" x14ac:dyDescent="0.2">
      <c r="B10" s="80" t="s">
        <v>449</v>
      </c>
      <c r="C10" s="52" t="s">
        <v>119</v>
      </c>
      <c r="D10" s="52" t="s">
        <v>410</v>
      </c>
      <c r="E10" s="81">
        <v>1</v>
      </c>
      <c r="F10" s="82" t="s">
        <v>414</v>
      </c>
      <c r="G10" s="27"/>
      <c r="H10" s="83">
        <f>J10+L10+N10</f>
        <v>834238</v>
      </c>
      <c r="I10" s="27"/>
      <c r="J10" s="83">
        <f>TRUNC(J11+J12+J13)</f>
        <v>787330</v>
      </c>
      <c r="K10" s="27"/>
      <c r="L10" s="83">
        <f>TRUNC(L11+L12+L13)</f>
        <v>20745</v>
      </c>
      <c r="M10" s="27"/>
      <c r="N10" s="83">
        <f>TRUNC(N11+N12+N13)</f>
        <v>26163</v>
      </c>
      <c r="O10" s="84" t="s">
        <v>509</v>
      </c>
    </row>
    <row r="11" spans="2:15" ht="19.7" customHeight="1" x14ac:dyDescent="0.2">
      <c r="B11" s="18" t="s">
        <v>509</v>
      </c>
      <c r="C11" s="19" t="s">
        <v>48</v>
      </c>
      <c r="D11" s="19" t="s">
        <v>509</v>
      </c>
      <c r="E11" s="21">
        <v>3</v>
      </c>
      <c r="F11" s="20" t="s">
        <v>469</v>
      </c>
      <c r="G11" s="27">
        <f>I11+K11+M11</f>
        <v>166666</v>
      </c>
      <c r="H11" s="85">
        <f>J11+L11+N11</f>
        <v>499998</v>
      </c>
      <c r="I11" s="54">
        <f>노임단가!L4</f>
        <v>166666</v>
      </c>
      <c r="J11" s="85">
        <f>TRUNC(E11*I11,1)</f>
        <v>499998</v>
      </c>
      <c r="K11" s="54"/>
      <c r="L11" s="85"/>
      <c r="M11" s="54"/>
      <c r="N11" s="85"/>
      <c r="O11" s="22" t="s">
        <v>509</v>
      </c>
    </row>
    <row r="12" spans="2:15" ht="19.7" customHeight="1" x14ac:dyDescent="0.2">
      <c r="B12" s="18" t="s">
        <v>509</v>
      </c>
      <c r="C12" s="19" t="s">
        <v>28</v>
      </c>
      <c r="D12" s="19" t="s">
        <v>509</v>
      </c>
      <c r="E12" s="86">
        <v>1.5</v>
      </c>
      <c r="F12" s="20" t="s">
        <v>469</v>
      </c>
      <c r="G12" s="27">
        <f>I12+K12+M12</f>
        <v>125427</v>
      </c>
      <c r="H12" s="85">
        <f>J12+L12+N12</f>
        <v>188140.5</v>
      </c>
      <c r="I12" s="54">
        <f>노임단가!L5</f>
        <v>125427</v>
      </c>
      <c r="J12" s="85">
        <f>TRUNC(E12*I12,1)</f>
        <v>188140.5</v>
      </c>
      <c r="K12" s="54"/>
      <c r="L12" s="85"/>
      <c r="M12" s="54"/>
      <c r="N12" s="85"/>
      <c r="O12" s="22" t="s">
        <v>509</v>
      </c>
    </row>
    <row r="13" spans="2:15" ht="19.7" customHeight="1" x14ac:dyDescent="0.2">
      <c r="B13" s="18" t="s">
        <v>509</v>
      </c>
      <c r="C13" s="19" t="s">
        <v>56</v>
      </c>
      <c r="D13" s="19" t="s">
        <v>91</v>
      </c>
      <c r="E13" s="21">
        <v>3</v>
      </c>
      <c r="F13" s="20" t="s">
        <v>380</v>
      </c>
      <c r="G13" s="27">
        <f>I13+K13+M13</f>
        <v>48700</v>
      </c>
      <c r="H13" s="85">
        <f>J13+L13+N13</f>
        <v>146100</v>
      </c>
      <c r="I13" s="54">
        <f>기계경비총괄표!G4</f>
        <v>33064</v>
      </c>
      <c r="J13" s="85">
        <f>TRUNC(E13*I13,1)</f>
        <v>99192</v>
      </c>
      <c r="K13" s="54">
        <f>기계경비총괄표!H4</f>
        <v>6915</v>
      </c>
      <c r="L13" s="85">
        <f>TRUNC(E13*K13,1)</f>
        <v>20745</v>
      </c>
      <c r="M13" s="54">
        <f>기계경비총괄표!I4</f>
        <v>8721</v>
      </c>
      <c r="N13" s="85">
        <f>TRUNC(E13*M13,1)</f>
        <v>26163</v>
      </c>
      <c r="O13" s="22" t="s">
        <v>509</v>
      </c>
    </row>
    <row r="14" spans="2:15" ht="19.7" customHeight="1" x14ac:dyDescent="0.2">
      <c r="B14" s="18" t="s">
        <v>509</v>
      </c>
      <c r="C14" s="19" t="s">
        <v>509</v>
      </c>
      <c r="D14" s="19" t="s">
        <v>509</v>
      </c>
      <c r="E14" s="21"/>
      <c r="F14" s="20" t="s">
        <v>509</v>
      </c>
      <c r="G14" s="27"/>
      <c r="H14" s="21"/>
      <c r="I14" s="27"/>
      <c r="J14" s="55"/>
      <c r="K14" s="27"/>
      <c r="L14" s="55"/>
      <c r="M14" s="27"/>
      <c r="N14" s="55"/>
      <c r="O14" s="22" t="s">
        <v>509</v>
      </c>
    </row>
    <row r="15" spans="2:15" ht="19.7" customHeight="1" x14ac:dyDescent="0.2">
      <c r="B15" s="80" t="s">
        <v>142</v>
      </c>
      <c r="C15" s="52" t="s">
        <v>7</v>
      </c>
      <c r="D15" s="52" t="s">
        <v>53</v>
      </c>
      <c r="E15" s="21"/>
      <c r="F15" s="82" t="s">
        <v>326</v>
      </c>
      <c r="G15" s="27"/>
      <c r="H15" s="83">
        <f>J15+L15+N15</f>
        <v>324329</v>
      </c>
      <c r="I15" s="27"/>
      <c r="J15" s="83">
        <f>TRUNC(J16+J17+J18)</f>
        <v>266429</v>
      </c>
      <c r="K15" s="27"/>
      <c r="L15" s="83">
        <f>TRUNC(L16+L17+L18)</f>
        <v>20508</v>
      </c>
      <c r="M15" s="27"/>
      <c r="N15" s="83">
        <f>TRUNC(N16+N17+N18)</f>
        <v>37392</v>
      </c>
      <c r="O15" s="84" t="s">
        <v>509</v>
      </c>
    </row>
    <row r="16" spans="2:15" ht="19.7" customHeight="1" x14ac:dyDescent="0.2">
      <c r="B16" s="18" t="s">
        <v>509</v>
      </c>
      <c r="C16" s="19" t="s">
        <v>394</v>
      </c>
      <c r="D16" s="19" t="s">
        <v>509</v>
      </c>
      <c r="E16" s="86">
        <v>0.5</v>
      </c>
      <c r="F16" s="20" t="s">
        <v>469</v>
      </c>
      <c r="G16" s="27">
        <f>I16+K16+M16</f>
        <v>173600</v>
      </c>
      <c r="H16" s="85">
        <f>J16+L16+N16</f>
        <v>86800</v>
      </c>
      <c r="I16" s="54">
        <f>노임단가!L7</f>
        <v>173600</v>
      </c>
      <c r="J16" s="85">
        <f>TRUNC(E16*I16,1)</f>
        <v>86800</v>
      </c>
      <c r="K16" s="54"/>
      <c r="L16" s="85"/>
      <c r="M16" s="54"/>
      <c r="N16" s="85"/>
      <c r="O16" s="22" t="s">
        <v>509</v>
      </c>
    </row>
    <row r="17" spans="2:15" ht="19.7" customHeight="1" x14ac:dyDescent="0.2">
      <c r="B17" s="18" t="s">
        <v>509</v>
      </c>
      <c r="C17" s="19" t="s">
        <v>28</v>
      </c>
      <c r="D17" s="19" t="s">
        <v>509</v>
      </c>
      <c r="E17" s="86">
        <v>0.5</v>
      </c>
      <c r="F17" s="20" t="s">
        <v>469</v>
      </c>
      <c r="G17" s="27">
        <f>I17+K17+M17</f>
        <v>125427</v>
      </c>
      <c r="H17" s="85">
        <f>J17+L17+N17</f>
        <v>62713.5</v>
      </c>
      <c r="I17" s="54">
        <f>노임단가!L5</f>
        <v>125427</v>
      </c>
      <c r="J17" s="85">
        <f>TRUNC(E17*I17,1)</f>
        <v>62713.5</v>
      </c>
      <c r="K17" s="54"/>
      <c r="L17" s="85"/>
      <c r="M17" s="54"/>
      <c r="N17" s="85"/>
      <c r="O17" s="22" t="s">
        <v>509</v>
      </c>
    </row>
    <row r="18" spans="2:15" ht="19.7" customHeight="1" x14ac:dyDescent="0.2">
      <c r="B18" s="18" t="s">
        <v>509</v>
      </c>
      <c r="C18" s="19" t="s">
        <v>163</v>
      </c>
      <c r="D18" s="19" t="s">
        <v>129</v>
      </c>
      <c r="E18" s="21">
        <v>3</v>
      </c>
      <c r="F18" s="20" t="s">
        <v>380</v>
      </c>
      <c r="G18" s="27">
        <f>I18+K18+M18</f>
        <v>58272</v>
      </c>
      <c r="H18" s="85">
        <f>J18+L18+N18</f>
        <v>174816</v>
      </c>
      <c r="I18" s="54">
        <f>기계경비총괄표!G5</f>
        <v>38972</v>
      </c>
      <c r="J18" s="85">
        <f>TRUNC(E18*I18,1)</f>
        <v>116916</v>
      </c>
      <c r="K18" s="54">
        <f>기계경비총괄표!H5</f>
        <v>6836</v>
      </c>
      <c r="L18" s="85">
        <f>TRUNC(E18*K18,1)</f>
        <v>20508</v>
      </c>
      <c r="M18" s="54">
        <f>기계경비총괄표!I5</f>
        <v>12464</v>
      </c>
      <c r="N18" s="85">
        <f>TRUNC(E18*M18,1)</f>
        <v>37392</v>
      </c>
      <c r="O18" s="22" t="s">
        <v>509</v>
      </c>
    </row>
    <row r="19" spans="2:15" ht="19.7" customHeight="1" x14ac:dyDescent="0.2">
      <c r="B19" s="18" t="s">
        <v>509</v>
      </c>
      <c r="C19" s="19" t="s">
        <v>509</v>
      </c>
      <c r="D19" s="19" t="s">
        <v>509</v>
      </c>
      <c r="E19" s="21"/>
      <c r="F19" s="20" t="s">
        <v>509</v>
      </c>
      <c r="G19" s="27"/>
      <c r="H19" s="21"/>
      <c r="I19" s="27"/>
      <c r="J19" s="55"/>
      <c r="K19" s="27"/>
      <c r="L19" s="55"/>
      <c r="M19" s="27"/>
      <c r="N19" s="55"/>
      <c r="O19" s="22" t="s">
        <v>509</v>
      </c>
    </row>
    <row r="20" spans="2:15" ht="19.7" customHeight="1" x14ac:dyDescent="0.2">
      <c r="B20" s="80" t="s">
        <v>497</v>
      </c>
      <c r="C20" s="52" t="s">
        <v>419</v>
      </c>
      <c r="D20" s="52" t="s">
        <v>53</v>
      </c>
      <c r="E20" s="21"/>
      <c r="F20" s="82" t="s">
        <v>326</v>
      </c>
      <c r="G20" s="27"/>
      <c r="H20" s="83">
        <f>J20+L20+N20</f>
        <v>27103</v>
      </c>
      <c r="I20" s="27"/>
      <c r="J20" s="83">
        <f>TRUNC(J21+J22)</f>
        <v>27103</v>
      </c>
      <c r="K20" s="27"/>
      <c r="L20" s="55"/>
      <c r="M20" s="27"/>
      <c r="N20" s="55"/>
      <c r="O20" s="84" t="s">
        <v>509</v>
      </c>
    </row>
    <row r="21" spans="2:15" ht="19.7" customHeight="1" x14ac:dyDescent="0.2">
      <c r="B21" s="18" t="s">
        <v>509</v>
      </c>
      <c r="C21" s="19" t="s">
        <v>394</v>
      </c>
      <c r="D21" s="19" t="s">
        <v>509</v>
      </c>
      <c r="E21" s="86">
        <v>0.12</v>
      </c>
      <c r="F21" s="20" t="s">
        <v>469</v>
      </c>
      <c r="G21" s="27">
        <f>I21+K21+M21</f>
        <v>173600</v>
      </c>
      <c r="H21" s="85">
        <f>J21+L21+N21</f>
        <v>20832</v>
      </c>
      <c r="I21" s="54">
        <f>노임단가!L7</f>
        <v>173600</v>
      </c>
      <c r="J21" s="85">
        <f>TRUNC(E21*I21,1)</f>
        <v>20832</v>
      </c>
      <c r="K21" s="54"/>
      <c r="L21" s="85"/>
      <c r="M21" s="54"/>
      <c r="N21" s="85"/>
      <c r="O21" s="22" t="s">
        <v>509</v>
      </c>
    </row>
    <row r="22" spans="2:15" ht="19.7" customHeight="1" x14ac:dyDescent="0.2">
      <c r="B22" s="18" t="s">
        <v>509</v>
      </c>
      <c r="C22" s="19" t="s">
        <v>409</v>
      </c>
      <c r="D22" s="19" t="s">
        <v>509</v>
      </c>
      <c r="E22" s="86">
        <v>0.05</v>
      </c>
      <c r="F22" s="20" t="s">
        <v>469</v>
      </c>
      <c r="G22" s="27">
        <f>I22+K22+M22</f>
        <v>125427</v>
      </c>
      <c r="H22" s="85">
        <f>J22+L22+N22</f>
        <v>6271.3</v>
      </c>
      <c r="I22" s="54">
        <f>노임단가!L5</f>
        <v>125427</v>
      </c>
      <c r="J22" s="85">
        <f>TRUNC(E22*I22,1)</f>
        <v>6271.3</v>
      </c>
      <c r="K22" s="54"/>
      <c r="L22" s="85"/>
      <c r="M22" s="54"/>
      <c r="N22" s="85"/>
      <c r="O22" s="22" t="s">
        <v>509</v>
      </c>
    </row>
    <row r="23" spans="2:15" ht="19.7" customHeight="1" x14ac:dyDescent="0.2">
      <c r="B23" s="18" t="s">
        <v>509</v>
      </c>
      <c r="C23" s="19" t="s">
        <v>509</v>
      </c>
      <c r="D23" s="19" t="s">
        <v>509</v>
      </c>
      <c r="E23" s="21"/>
      <c r="F23" s="20" t="s">
        <v>509</v>
      </c>
      <c r="G23" s="27"/>
      <c r="H23" s="21"/>
      <c r="I23" s="27"/>
      <c r="J23" s="55"/>
      <c r="K23" s="27"/>
      <c r="L23" s="55"/>
      <c r="M23" s="27"/>
      <c r="N23" s="55"/>
      <c r="O23" s="22" t="s">
        <v>509</v>
      </c>
    </row>
    <row r="24" spans="2:15" ht="19.7" customHeight="1" x14ac:dyDescent="0.2">
      <c r="B24" s="80" t="s">
        <v>191</v>
      </c>
      <c r="C24" s="52" t="s">
        <v>152</v>
      </c>
      <c r="D24" s="52" t="s">
        <v>509</v>
      </c>
      <c r="E24" s="81">
        <v>1</v>
      </c>
      <c r="F24" s="82" t="s">
        <v>208</v>
      </c>
      <c r="G24" s="27"/>
      <c r="H24" s="83">
        <f t="shared" ref="H24:H30" si="0">J24+L24+N24</f>
        <v>60432</v>
      </c>
      <c r="I24" s="27"/>
      <c r="J24" s="83">
        <f>TRUNC(J25+J26+J27+J28+J29+J30)</f>
        <v>56133</v>
      </c>
      <c r="K24" s="27"/>
      <c r="L24" s="83">
        <f>TRUNC(L25+L26+L27+L28+L29+L30)</f>
        <v>1901</v>
      </c>
      <c r="M24" s="27"/>
      <c r="N24" s="83">
        <f>TRUNC(N25+N26+N27+N28+N29+N30)</f>
        <v>2398</v>
      </c>
      <c r="O24" s="84" t="s">
        <v>509</v>
      </c>
    </row>
    <row r="25" spans="2:15" ht="19.7" customHeight="1" x14ac:dyDescent="0.2">
      <c r="B25" s="18" t="s">
        <v>509</v>
      </c>
      <c r="C25" s="19" t="s">
        <v>45</v>
      </c>
      <c r="D25" s="19" t="s">
        <v>509</v>
      </c>
      <c r="E25" s="86">
        <v>1.4999999999999999E-2</v>
      </c>
      <c r="F25" s="20" t="s">
        <v>469</v>
      </c>
      <c r="G25" s="27">
        <f t="shared" ref="G25:G30" si="1">I25+K25+M25</f>
        <v>207080</v>
      </c>
      <c r="H25" s="85">
        <f t="shared" si="0"/>
        <v>3106.2</v>
      </c>
      <c r="I25" s="54">
        <f>노임단가!L9</f>
        <v>207080</v>
      </c>
      <c r="J25" s="85">
        <f t="shared" ref="J25:J30" si="2">TRUNC(E25*I25,1)</f>
        <v>3106.2</v>
      </c>
      <c r="K25" s="54"/>
      <c r="L25" s="85"/>
      <c r="M25" s="54"/>
      <c r="N25" s="85"/>
      <c r="O25" s="22" t="s">
        <v>509</v>
      </c>
    </row>
    <row r="26" spans="2:15" ht="19.7" customHeight="1" x14ac:dyDescent="0.2">
      <c r="B26" s="18" t="s">
        <v>509</v>
      </c>
      <c r="C26" s="19" t="s">
        <v>32</v>
      </c>
      <c r="D26" s="19" t="s">
        <v>509</v>
      </c>
      <c r="E26" s="86">
        <v>6.5000000000000002E-2</v>
      </c>
      <c r="F26" s="20" t="s">
        <v>469</v>
      </c>
      <c r="G26" s="27">
        <f t="shared" si="1"/>
        <v>169477</v>
      </c>
      <c r="H26" s="85">
        <f t="shared" si="0"/>
        <v>11016</v>
      </c>
      <c r="I26" s="54">
        <f>노임단가!L10</f>
        <v>169477</v>
      </c>
      <c r="J26" s="85">
        <f t="shared" si="2"/>
        <v>11016</v>
      </c>
      <c r="K26" s="54"/>
      <c r="L26" s="85"/>
      <c r="M26" s="54"/>
      <c r="N26" s="85"/>
      <c r="O26" s="22" t="s">
        <v>509</v>
      </c>
    </row>
    <row r="27" spans="2:15" ht="19.7" customHeight="1" x14ac:dyDescent="0.2">
      <c r="B27" s="18" t="s">
        <v>509</v>
      </c>
      <c r="C27" s="19" t="s">
        <v>393</v>
      </c>
      <c r="D27" s="19" t="s">
        <v>509</v>
      </c>
      <c r="E27" s="86">
        <v>6.5000000000000002E-2</v>
      </c>
      <c r="F27" s="20" t="s">
        <v>469</v>
      </c>
      <c r="G27" s="27">
        <f t="shared" si="1"/>
        <v>161455</v>
      </c>
      <c r="H27" s="85">
        <f t="shared" si="0"/>
        <v>10494.5</v>
      </c>
      <c r="I27" s="54">
        <f>노임단가!L11</f>
        <v>161455</v>
      </c>
      <c r="J27" s="85">
        <f t="shared" si="2"/>
        <v>10494.5</v>
      </c>
      <c r="K27" s="54"/>
      <c r="L27" s="85"/>
      <c r="M27" s="54"/>
      <c r="N27" s="85"/>
      <c r="O27" s="22" t="s">
        <v>509</v>
      </c>
    </row>
    <row r="28" spans="2:15" ht="19.7" customHeight="1" x14ac:dyDescent="0.2">
      <c r="B28" s="18" t="s">
        <v>509</v>
      </c>
      <c r="C28" s="19" t="s">
        <v>22</v>
      </c>
      <c r="D28" s="19" t="s">
        <v>509</v>
      </c>
      <c r="E28" s="86">
        <v>6.5000000000000002E-2</v>
      </c>
      <c r="F28" s="20" t="s">
        <v>469</v>
      </c>
      <c r="G28" s="27">
        <f t="shared" si="1"/>
        <v>152019</v>
      </c>
      <c r="H28" s="85">
        <f t="shared" si="0"/>
        <v>9881.2000000000007</v>
      </c>
      <c r="I28" s="54">
        <f>노임단가!L12</f>
        <v>152019</v>
      </c>
      <c r="J28" s="85">
        <f t="shared" si="2"/>
        <v>9881.2000000000007</v>
      </c>
      <c r="K28" s="54"/>
      <c r="L28" s="85"/>
      <c r="M28" s="54"/>
      <c r="N28" s="85"/>
      <c r="O28" s="22" t="s">
        <v>509</v>
      </c>
    </row>
    <row r="29" spans="2:15" ht="19.7" customHeight="1" x14ac:dyDescent="0.2">
      <c r="B29" s="18" t="s">
        <v>509</v>
      </c>
      <c r="C29" s="19" t="s">
        <v>28</v>
      </c>
      <c r="D29" s="19" t="s">
        <v>509</v>
      </c>
      <c r="E29" s="86">
        <v>0.1</v>
      </c>
      <c r="F29" s="20" t="s">
        <v>469</v>
      </c>
      <c r="G29" s="27">
        <f t="shared" si="1"/>
        <v>125427</v>
      </c>
      <c r="H29" s="85">
        <f t="shared" si="0"/>
        <v>12542.7</v>
      </c>
      <c r="I29" s="54">
        <f>노임단가!L5</f>
        <v>125427</v>
      </c>
      <c r="J29" s="85">
        <f t="shared" si="2"/>
        <v>12542.7</v>
      </c>
      <c r="K29" s="54"/>
      <c r="L29" s="85"/>
      <c r="M29" s="54"/>
      <c r="N29" s="85"/>
      <c r="O29" s="22" t="s">
        <v>509</v>
      </c>
    </row>
    <row r="30" spans="2:15" ht="19.7" customHeight="1" x14ac:dyDescent="0.2">
      <c r="B30" s="23" t="s">
        <v>509</v>
      </c>
      <c r="C30" s="24" t="s">
        <v>56</v>
      </c>
      <c r="D30" s="24" t="s">
        <v>91</v>
      </c>
      <c r="E30" s="87">
        <v>0.27500000000000002</v>
      </c>
      <c r="F30" s="25" t="s">
        <v>380</v>
      </c>
      <c r="G30" s="11">
        <f t="shared" si="1"/>
        <v>48700</v>
      </c>
      <c r="H30" s="88">
        <f t="shared" si="0"/>
        <v>13392.400000000001</v>
      </c>
      <c r="I30" s="60">
        <f>기계경비총괄표!G4</f>
        <v>33064</v>
      </c>
      <c r="J30" s="88">
        <f t="shared" si="2"/>
        <v>9092.6</v>
      </c>
      <c r="K30" s="60">
        <f>기계경비총괄표!H4</f>
        <v>6915</v>
      </c>
      <c r="L30" s="88">
        <f>TRUNC(E30*K30,1)</f>
        <v>1901.6</v>
      </c>
      <c r="M30" s="60">
        <f>기계경비총괄표!I4</f>
        <v>8721</v>
      </c>
      <c r="N30" s="88">
        <f>TRUNC(E30*M30,1)</f>
        <v>2398.1999999999998</v>
      </c>
      <c r="O30" s="26" t="s">
        <v>509</v>
      </c>
    </row>
    <row r="31" spans="2:15" ht="19.7" customHeight="1" x14ac:dyDescent="0.2">
      <c r="B31" s="18" t="s">
        <v>509</v>
      </c>
      <c r="C31" s="19" t="s">
        <v>509</v>
      </c>
      <c r="D31" s="19" t="s">
        <v>509</v>
      </c>
      <c r="E31" s="21"/>
      <c r="F31" s="20" t="s">
        <v>509</v>
      </c>
      <c r="G31" s="27"/>
      <c r="H31" s="21"/>
      <c r="I31" s="27"/>
      <c r="J31" s="55"/>
      <c r="K31" s="27"/>
      <c r="L31" s="55"/>
      <c r="M31" s="27"/>
      <c r="N31" s="55"/>
      <c r="O31" s="22" t="s">
        <v>509</v>
      </c>
    </row>
    <row r="32" spans="2:15" ht="19.7" customHeight="1" x14ac:dyDescent="0.2">
      <c r="B32" s="80" t="s">
        <v>485</v>
      </c>
      <c r="C32" s="52" t="s">
        <v>421</v>
      </c>
      <c r="D32" s="52" t="s">
        <v>509</v>
      </c>
      <c r="E32" s="81">
        <v>1</v>
      </c>
      <c r="F32" s="82" t="s">
        <v>208</v>
      </c>
      <c r="G32" s="27"/>
      <c r="H32" s="83">
        <f>J32+L32+N32</f>
        <v>11049</v>
      </c>
      <c r="I32" s="27"/>
      <c r="J32" s="83">
        <f>TRUNC(J33+J34+J35+J36)</f>
        <v>11049</v>
      </c>
      <c r="K32" s="27"/>
      <c r="L32" s="55"/>
      <c r="M32" s="27"/>
      <c r="N32" s="55"/>
      <c r="O32" s="84" t="s">
        <v>509</v>
      </c>
    </row>
    <row r="33" spans="2:15" ht="19.7" customHeight="1" x14ac:dyDescent="0.2">
      <c r="B33" s="18" t="s">
        <v>509</v>
      </c>
      <c r="C33" s="19" t="s">
        <v>45</v>
      </c>
      <c r="D33" s="19" t="s">
        <v>509</v>
      </c>
      <c r="E33" s="86">
        <v>6.7000000000000002E-3</v>
      </c>
      <c r="F33" s="20" t="s">
        <v>469</v>
      </c>
      <c r="G33" s="27">
        <f>I33+K33+M33</f>
        <v>207080</v>
      </c>
      <c r="H33" s="85">
        <f>J33+L33+N33</f>
        <v>1387.4</v>
      </c>
      <c r="I33" s="54">
        <f>노임단가!L9</f>
        <v>207080</v>
      </c>
      <c r="J33" s="85">
        <f>TRUNC(E33*I33,1)</f>
        <v>1387.4</v>
      </c>
      <c r="K33" s="54"/>
      <c r="L33" s="85"/>
      <c r="M33" s="54"/>
      <c r="N33" s="85"/>
      <c r="O33" s="22" t="s">
        <v>509</v>
      </c>
    </row>
    <row r="34" spans="2:15" ht="19.7" customHeight="1" x14ac:dyDescent="0.2">
      <c r="B34" s="18" t="s">
        <v>509</v>
      </c>
      <c r="C34" s="19" t="s">
        <v>32</v>
      </c>
      <c r="D34" s="19" t="s">
        <v>509</v>
      </c>
      <c r="E34" s="86">
        <v>1.3299999999999999E-2</v>
      </c>
      <c r="F34" s="20" t="s">
        <v>469</v>
      </c>
      <c r="G34" s="27">
        <f>I34+K34+M34</f>
        <v>169477</v>
      </c>
      <c r="H34" s="85">
        <f>J34+L34+N34</f>
        <v>2254</v>
      </c>
      <c r="I34" s="54">
        <f>노임단가!L10</f>
        <v>169477</v>
      </c>
      <c r="J34" s="85">
        <f>TRUNC(E34*I34,1)</f>
        <v>2254</v>
      </c>
      <c r="K34" s="54"/>
      <c r="L34" s="85"/>
      <c r="M34" s="54"/>
      <c r="N34" s="85"/>
      <c r="O34" s="22" t="s">
        <v>509</v>
      </c>
    </row>
    <row r="35" spans="2:15" ht="19.7" customHeight="1" x14ac:dyDescent="0.2">
      <c r="B35" s="18" t="s">
        <v>509</v>
      </c>
      <c r="C35" s="19" t="s">
        <v>22</v>
      </c>
      <c r="D35" s="19" t="s">
        <v>509</v>
      </c>
      <c r="E35" s="86">
        <v>2.6700000000000002E-2</v>
      </c>
      <c r="F35" s="20" t="s">
        <v>469</v>
      </c>
      <c r="G35" s="27">
        <f>I35+K35+M35</f>
        <v>152019</v>
      </c>
      <c r="H35" s="85">
        <f>J35+L35+N35</f>
        <v>4058.9</v>
      </c>
      <c r="I35" s="54">
        <f>노임단가!L12</f>
        <v>152019</v>
      </c>
      <c r="J35" s="85">
        <f>TRUNC(E35*I35,1)</f>
        <v>4058.9</v>
      </c>
      <c r="K35" s="54"/>
      <c r="L35" s="85"/>
      <c r="M35" s="54"/>
      <c r="N35" s="85"/>
      <c r="O35" s="22" t="s">
        <v>509</v>
      </c>
    </row>
    <row r="36" spans="2:15" ht="19.7" customHeight="1" x14ac:dyDescent="0.2">
      <c r="B36" s="18" t="s">
        <v>509</v>
      </c>
      <c r="C36" s="19" t="s">
        <v>28</v>
      </c>
      <c r="D36" s="19" t="s">
        <v>509</v>
      </c>
      <c r="E36" s="86">
        <v>2.6700000000000002E-2</v>
      </c>
      <c r="F36" s="20" t="s">
        <v>469</v>
      </c>
      <c r="G36" s="27">
        <f>I36+K36+M36</f>
        <v>125427</v>
      </c>
      <c r="H36" s="85">
        <f>J36+L36+N36</f>
        <v>3348.9</v>
      </c>
      <c r="I36" s="54">
        <f>노임단가!L5</f>
        <v>125427</v>
      </c>
      <c r="J36" s="85">
        <f>TRUNC(E36*I36,1)</f>
        <v>3348.9</v>
      </c>
      <c r="K36" s="54"/>
      <c r="L36" s="85"/>
      <c r="M36" s="54"/>
      <c r="N36" s="85"/>
      <c r="O36" s="22" t="s">
        <v>509</v>
      </c>
    </row>
    <row r="37" spans="2:15" ht="19.7" customHeight="1" x14ac:dyDescent="0.2">
      <c r="B37" s="18" t="s">
        <v>509</v>
      </c>
      <c r="C37" s="19" t="s">
        <v>509</v>
      </c>
      <c r="D37" s="19" t="s">
        <v>509</v>
      </c>
      <c r="E37" s="21"/>
      <c r="F37" s="20" t="s">
        <v>509</v>
      </c>
      <c r="G37" s="27"/>
      <c r="H37" s="21"/>
      <c r="I37" s="27"/>
      <c r="J37" s="55"/>
      <c r="K37" s="27"/>
      <c r="L37" s="55"/>
      <c r="M37" s="27"/>
      <c r="N37" s="55"/>
      <c r="O37" s="22" t="s">
        <v>509</v>
      </c>
    </row>
    <row r="38" spans="2:15" ht="19.7" customHeight="1" x14ac:dyDescent="0.2">
      <c r="B38" s="80" t="s">
        <v>169</v>
      </c>
      <c r="C38" s="52" t="s">
        <v>135</v>
      </c>
      <c r="D38" s="52" t="s">
        <v>509</v>
      </c>
      <c r="E38" s="81">
        <v>1</v>
      </c>
      <c r="F38" s="82" t="s">
        <v>427</v>
      </c>
      <c r="G38" s="27"/>
      <c r="H38" s="83">
        <f>J38+L38+N38</f>
        <v>625113</v>
      </c>
      <c r="I38" s="27"/>
      <c r="J38" s="83">
        <f>TRUNC(J39+J40)</f>
        <v>625113</v>
      </c>
      <c r="K38" s="27"/>
      <c r="L38" s="55"/>
      <c r="M38" s="27"/>
      <c r="N38" s="55"/>
      <c r="O38" s="84" t="s">
        <v>509</v>
      </c>
    </row>
    <row r="39" spans="2:15" ht="19.7" customHeight="1" x14ac:dyDescent="0.2">
      <c r="B39" s="18" t="s">
        <v>509</v>
      </c>
      <c r="C39" s="19" t="s">
        <v>45</v>
      </c>
      <c r="D39" s="19" t="s">
        <v>509</v>
      </c>
      <c r="E39" s="86">
        <v>1.88</v>
      </c>
      <c r="F39" s="20" t="s">
        <v>469</v>
      </c>
      <c r="G39" s="27">
        <f>I39+K39+M39</f>
        <v>207080</v>
      </c>
      <c r="H39" s="85">
        <f>J39+L39+N39</f>
        <v>389310.4</v>
      </c>
      <c r="I39" s="54">
        <f>노임단가!L9</f>
        <v>207080</v>
      </c>
      <c r="J39" s="85">
        <f>TRUNC(E39*I39,1)</f>
        <v>389310.4</v>
      </c>
      <c r="K39" s="54"/>
      <c r="L39" s="85"/>
      <c r="M39" s="54"/>
      <c r="N39" s="85"/>
      <c r="O39" s="22" t="s">
        <v>509</v>
      </c>
    </row>
    <row r="40" spans="2:15" ht="19.7" customHeight="1" x14ac:dyDescent="0.2">
      <c r="B40" s="18" t="s">
        <v>509</v>
      </c>
      <c r="C40" s="19" t="s">
        <v>28</v>
      </c>
      <c r="D40" s="19" t="s">
        <v>509</v>
      </c>
      <c r="E40" s="86">
        <v>1.88</v>
      </c>
      <c r="F40" s="20" t="s">
        <v>469</v>
      </c>
      <c r="G40" s="27">
        <f>I40+K40+M40</f>
        <v>125427</v>
      </c>
      <c r="H40" s="85">
        <f>J40+L40+N40</f>
        <v>235802.7</v>
      </c>
      <c r="I40" s="54">
        <f>노임단가!L5</f>
        <v>125427</v>
      </c>
      <c r="J40" s="85">
        <f>TRUNC(E40*I40,1)</f>
        <v>235802.7</v>
      </c>
      <c r="K40" s="54"/>
      <c r="L40" s="85"/>
      <c r="M40" s="54"/>
      <c r="N40" s="85"/>
      <c r="O40" s="22" t="s">
        <v>509</v>
      </c>
    </row>
    <row r="41" spans="2:15" ht="19.7" customHeight="1" x14ac:dyDescent="0.2">
      <c r="B41" s="18" t="s">
        <v>509</v>
      </c>
      <c r="C41" s="19" t="s">
        <v>509</v>
      </c>
      <c r="D41" s="19" t="s">
        <v>509</v>
      </c>
      <c r="E41" s="21"/>
      <c r="F41" s="20" t="s">
        <v>509</v>
      </c>
      <c r="G41" s="27"/>
      <c r="H41" s="21"/>
      <c r="I41" s="27"/>
      <c r="J41" s="55"/>
      <c r="K41" s="27"/>
      <c r="L41" s="55"/>
      <c r="M41" s="27"/>
      <c r="N41" s="55"/>
      <c r="O41" s="22" t="s">
        <v>509</v>
      </c>
    </row>
    <row r="42" spans="2:15" ht="19.7" customHeight="1" x14ac:dyDescent="0.2">
      <c r="B42" s="80" t="s">
        <v>274</v>
      </c>
      <c r="C42" s="52" t="s">
        <v>269</v>
      </c>
      <c r="D42" s="52" t="s">
        <v>509</v>
      </c>
      <c r="E42" s="81">
        <v>1</v>
      </c>
      <c r="F42" s="82" t="s">
        <v>427</v>
      </c>
      <c r="G42" s="27"/>
      <c r="H42" s="83">
        <f>J42+L42+N42</f>
        <v>522035</v>
      </c>
      <c r="I42" s="27"/>
      <c r="J42" s="83">
        <f>TRUNC(J43+J44)</f>
        <v>522035</v>
      </c>
      <c r="K42" s="27"/>
      <c r="L42" s="55"/>
      <c r="M42" s="27"/>
      <c r="N42" s="55"/>
      <c r="O42" s="84" t="s">
        <v>509</v>
      </c>
    </row>
    <row r="43" spans="2:15" ht="19.7" customHeight="1" x14ac:dyDescent="0.2">
      <c r="B43" s="18" t="s">
        <v>509</v>
      </c>
      <c r="C43" s="19" t="s">
        <v>45</v>
      </c>
      <c r="D43" s="19" t="s">
        <v>509</v>
      </c>
      <c r="E43" s="86">
        <v>1.57</v>
      </c>
      <c r="F43" s="20" t="s">
        <v>469</v>
      </c>
      <c r="G43" s="27">
        <f>I43+K43+M43</f>
        <v>207080</v>
      </c>
      <c r="H43" s="85">
        <f>J43+L43+N43</f>
        <v>325115.59999999998</v>
      </c>
      <c r="I43" s="54">
        <f>노임단가!L9</f>
        <v>207080</v>
      </c>
      <c r="J43" s="85">
        <f>TRUNC(E43*I43,1)</f>
        <v>325115.59999999998</v>
      </c>
      <c r="K43" s="54"/>
      <c r="L43" s="85"/>
      <c r="M43" s="54"/>
      <c r="N43" s="85"/>
      <c r="O43" s="22" t="s">
        <v>509</v>
      </c>
    </row>
    <row r="44" spans="2:15" ht="19.7" customHeight="1" x14ac:dyDescent="0.2">
      <c r="B44" s="18" t="s">
        <v>509</v>
      </c>
      <c r="C44" s="19" t="s">
        <v>28</v>
      </c>
      <c r="D44" s="19" t="s">
        <v>509</v>
      </c>
      <c r="E44" s="86">
        <v>1.57</v>
      </c>
      <c r="F44" s="20" t="s">
        <v>469</v>
      </c>
      <c r="G44" s="27">
        <f>I44+K44+M44</f>
        <v>125427</v>
      </c>
      <c r="H44" s="85">
        <f>J44+L44+N44</f>
        <v>196920.3</v>
      </c>
      <c r="I44" s="54">
        <f>노임단가!L5</f>
        <v>125427</v>
      </c>
      <c r="J44" s="85">
        <f>TRUNC(E44*I44,1)</f>
        <v>196920.3</v>
      </c>
      <c r="K44" s="54"/>
      <c r="L44" s="85"/>
      <c r="M44" s="54"/>
      <c r="N44" s="85"/>
      <c r="O44" s="22" t="s">
        <v>509</v>
      </c>
    </row>
    <row r="45" spans="2:15" ht="19.7" customHeight="1" x14ac:dyDescent="0.2">
      <c r="B45" s="18" t="s">
        <v>509</v>
      </c>
      <c r="C45" s="19" t="s">
        <v>509</v>
      </c>
      <c r="D45" s="19" t="s">
        <v>509</v>
      </c>
      <c r="E45" s="21"/>
      <c r="F45" s="20" t="s">
        <v>509</v>
      </c>
      <c r="G45" s="27"/>
      <c r="H45" s="21"/>
      <c r="I45" s="27"/>
      <c r="J45" s="55"/>
      <c r="K45" s="27"/>
      <c r="L45" s="55"/>
      <c r="M45" s="27"/>
      <c r="N45" s="55"/>
      <c r="O45" s="22" t="s">
        <v>509</v>
      </c>
    </row>
    <row r="46" spans="2:15" ht="19.7" customHeight="1" x14ac:dyDescent="0.2">
      <c r="B46" s="80" t="s">
        <v>62</v>
      </c>
      <c r="C46" s="52" t="s">
        <v>115</v>
      </c>
      <c r="D46" s="52" t="s">
        <v>509</v>
      </c>
      <c r="E46" s="81">
        <v>1</v>
      </c>
      <c r="F46" s="82" t="s">
        <v>337</v>
      </c>
      <c r="G46" s="27"/>
      <c r="H46" s="83">
        <f t="shared" ref="H46:H51" si="3">J46+L46+N46</f>
        <v>1314914</v>
      </c>
      <c r="I46" s="27"/>
      <c r="J46" s="83">
        <f>TRUNC(J47+J48+J49+J50+J51)</f>
        <v>1119798</v>
      </c>
      <c r="K46" s="27"/>
      <c r="L46" s="55"/>
      <c r="M46" s="27"/>
      <c r="N46" s="83">
        <f>TRUNC(N47+N48+N49+N50+N51)</f>
        <v>195116</v>
      </c>
      <c r="O46" s="84" t="s">
        <v>509</v>
      </c>
    </row>
    <row r="47" spans="2:15" ht="19.7" customHeight="1" x14ac:dyDescent="0.2">
      <c r="B47" s="18" t="s">
        <v>509</v>
      </c>
      <c r="C47" s="19" t="s">
        <v>45</v>
      </c>
      <c r="D47" s="19" t="s">
        <v>509</v>
      </c>
      <c r="E47" s="21">
        <v>1</v>
      </c>
      <c r="F47" s="20" t="s">
        <v>469</v>
      </c>
      <c r="G47" s="27">
        <f>I47+K47+M47</f>
        <v>207080</v>
      </c>
      <c r="H47" s="85">
        <f t="shared" si="3"/>
        <v>207080</v>
      </c>
      <c r="I47" s="54">
        <f>노임단가!L9</f>
        <v>207080</v>
      </c>
      <c r="J47" s="85">
        <f>TRUNC(E47*I47,1)</f>
        <v>207080</v>
      </c>
      <c r="K47" s="54"/>
      <c r="L47" s="85"/>
      <c r="M47" s="54"/>
      <c r="N47" s="85"/>
      <c r="O47" s="22" t="s">
        <v>509</v>
      </c>
    </row>
    <row r="48" spans="2:15" ht="19.7" customHeight="1" x14ac:dyDescent="0.2">
      <c r="B48" s="18" t="s">
        <v>509</v>
      </c>
      <c r="C48" s="19" t="s">
        <v>32</v>
      </c>
      <c r="D48" s="19" t="s">
        <v>509</v>
      </c>
      <c r="E48" s="21">
        <v>2</v>
      </c>
      <c r="F48" s="20" t="s">
        <v>469</v>
      </c>
      <c r="G48" s="27">
        <f>I48+K48+M48</f>
        <v>169477</v>
      </c>
      <c r="H48" s="85">
        <f t="shared" si="3"/>
        <v>338954</v>
      </c>
      <c r="I48" s="54">
        <f>노임단가!L10</f>
        <v>169477</v>
      </c>
      <c r="J48" s="85">
        <f>TRUNC(E48*I48,1)</f>
        <v>338954</v>
      </c>
      <c r="K48" s="54"/>
      <c r="L48" s="85"/>
      <c r="M48" s="54"/>
      <c r="N48" s="85"/>
      <c r="O48" s="22" t="s">
        <v>509</v>
      </c>
    </row>
    <row r="49" spans="2:15" ht="19.7" customHeight="1" x14ac:dyDescent="0.2">
      <c r="B49" s="18" t="s">
        <v>509</v>
      </c>
      <c r="C49" s="19" t="s">
        <v>393</v>
      </c>
      <c r="D49" s="19" t="s">
        <v>509</v>
      </c>
      <c r="E49" s="21">
        <v>2</v>
      </c>
      <c r="F49" s="20" t="s">
        <v>469</v>
      </c>
      <c r="G49" s="27">
        <f>I49+K49+M49</f>
        <v>161455</v>
      </c>
      <c r="H49" s="85">
        <f t="shared" si="3"/>
        <v>322910</v>
      </c>
      <c r="I49" s="54">
        <f>노임단가!L11</f>
        <v>161455</v>
      </c>
      <c r="J49" s="85">
        <f>TRUNC(E49*I49,1)</f>
        <v>322910</v>
      </c>
      <c r="K49" s="54"/>
      <c r="L49" s="85"/>
      <c r="M49" s="54"/>
      <c r="N49" s="85"/>
      <c r="O49" s="22" t="s">
        <v>509</v>
      </c>
    </row>
    <row r="50" spans="2:15" ht="19.7" customHeight="1" x14ac:dyDescent="0.2">
      <c r="B50" s="18" t="s">
        <v>509</v>
      </c>
      <c r="C50" s="19" t="s">
        <v>28</v>
      </c>
      <c r="D50" s="19" t="s">
        <v>509</v>
      </c>
      <c r="E50" s="21">
        <v>2</v>
      </c>
      <c r="F50" s="20" t="s">
        <v>469</v>
      </c>
      <c r="G50" s="27">
        <f>I50+K50+M50</f>
        <v>125427</v>
      </c>
      <c r="H50" s="85">
        <f t="shared" si="3"/>
        <v>250854</v>
      </c>
      <c r="I50" s="54">
        <f>노임단가!L5</f>
        <v>125427</v>
      </c>
      <c r="J50" s="85">
        <f>TRUNC(E50*I50,1)</f>
        <v>250854</v>
      </c>
      <c r="K50" s="54"/>
      <c r="L50" s="85"/>
      <c r="M50" s="54"/>
      <c r="N50" s="85"/>
      <c r="O50" s="22" t="s">
        <v>509</v>
      </c>
    </row>
    <row r="51" spans="2:15" ht="19.7" customHeight="1" x14ac:dyDescent="0.2">
      <c r="B51" s="18" t="s">
        <v>509</v>
      </c>
      <c r="C51" s="19" t="s">
        <v>187</v>
      </c>
      <c r="D51" s="19" t="s">
        <v>305</v>
      </c>
      <c r="E51" s="21">
        <v>20</v>
      </c>
      <c r="F51" s="20" t="s">
        <v>113</v>
      </c>
      <c r="G51" s="27">
        <f>I51+K51+M51</f>
        <v>975583</v>
      </c>
      <c r="H51" s="85">
        <f t="shared" si="3"/>
        <v>195116.6</v>
      </c>
      <c r="I51" s="27"/>
      <c r="J51" s="85"/>
      <c r="K51" s="27"/>
      <c r="L51" s="85"/>
      <c r="M51" s="27">
        <v>975583</v>
      </c>
      <c r="N51" s="85">
        <f>TRUNC(E51*1/100*M51,1)</f>
        <v>195116.6</v>
      </c>
      <c r="O51" s="22" t="s">
        <v>509</v>
      </c>
    </row>
    <row r="52" spans="2:15" ht="19.7" customHeight="1" x14ac:dyDescent="0.2">
      <c r="B52" s="18" t="s">
        <v>509</v>
      </c>
      <c r="C52" s="19" t="s">
        <v>509</v>
      </c>
      <c r="D52" s="19" t="s">
        <v>509</v>
      </c>
      <c r="E52" s="21"/>
      <c r="F52" s="20" t="s">
        <v>509</v>
      </c>
      <c r="G52" s="27"/>
      <c r="H52" s="21"/>
      <c r="I52" s="27"/>
      <c r="J52" s="55"/>
      <c r="K52" s="27"/>
      <c r="L52" s="55"/>
      <c r="M52" s="27"/>
      <c r="N52" s="55"/>
      <c r="O52" s="22" t="s">
        <v>509</v>
      </c>
    </row>
    <row r="53" spans="2:15" ht="19.7" customHeight="1" x14ac:dyDescent="0.2">
      <c r="B53" s="80" t="s">
        <v>340</v>
      </c>
      <c r="C53" s="52" t="s">
        <v>445</v>
      </c>
      <c r="D53" s="52" t="s">
        <v>509</v>
      </c>
      <c r="E53" s="81">
        <v>1</v>
      </c>
      <c r="F53" s="82" t="s">
        <v>337</v>
      </c>
      <c r="G53" s="27"/>
      <c r="H53" s="83">
        <f t="shared" ref="H53:H58" si="4">J53+L53+N53</f>
        <v>199622</v>
      </c>
      <c r="I53" s="27"/>
      <c r="J53" s="83">
        <f>TRUNC(J54+J55+J56+J57+J58)</f>
        <v>170296</v>
      </c>
      <c r="K53" s="27"/>
      <c r="L53" s="55"/>
      <c r="M53" s="27"/>
      <c r="N53" s="83">
        <f>TRUNC(N54+N55+N56+N57+N58)</f>
        <v>29326</v>
      </c>
      <c r="O53" s="84" t="s">
        <v>509</v>
      </c>
    </row>
    <row r="54" spans="2:15" ht="19.7" customHeight="1" x14ac:dyDescent="0.2">
      <c r="B54" s="18" t="s">
        <v>509</v>
      </c>
      <c r="C54" s="19" t="s">
        <v>45</v>
      </c>
      <c r="D54" s="19" t="s">
        <v>509</v>
      </c>
      <c r="E54" s="86">
        <v>0.12</v>
      </c>
      <c r="F54" s="20" t="s">
        <v>469</v>
      </c>
      <c r="G54" s="27">
        <f>I54+K54+M54</f>
        <v>207080</v>
      </c>
      <c r="H54" s="85">
        <f t="shared" si="4"/>
        <v>24849.599999999999</v>
      </c>
      <c r="I54" s="54">
        <f>노임단가!L9</f>
        <v>207080</v>
      </c>
      <c r="J54" s="85">
        <f>TRUNC(E54*I54,1)</f>
        <v>24849.599999999999</v>
      </c>
      <c r="K54" s="54"/>
      <c r="L54" s="85"/>
      <c r="M54" s="54"/>
      <c r="N54" s="85"/>
      <c r="O54" s="22" t="s">
        <v>509</v>
      </c>
    </row>
    <row r="55" spans="2:15" ht="19.7" customHeight="1" x14ac:dyDescent="0.2">
      <c r="B55" s="18" t="s">
        <v>509</v>
      </c>
      <c r="C55" s="19" t="s">
        <v>32</v>
      </c>
      <c r="D55" s="19" t="s">
        <v>509</v>
      </c>
      <c r="E55" s="86">
        <v>0.25</v>
      </c>
      <c r="F55" s="20" t="s">
        <v>469</v>
      </c>
      <c r="G55" s="27">
        <f>I55+K55+M55</f>
        <v>169477</v>
      </c>
      <c r="H55" s="85">
        <f t="shared" si="4"/>
        <v>42369.2</v>
      </c>
      <c r="I55" s="54">
        <f>노임단가!L10</f>
        <v>169477</v>
      </c>
      <c r="J55" s="85">
        <f>TRUNC(E55*I55,1)</f>
        <v>42369.2</v>
      </c>
      <c r="K55" s="54"/>
      <c r="L55" s="85"/>
      <c r="M55" s="54"/>
      <c r="N55" s="85"/>
      <c r="O55" s="22" t="s">
        <v>509</v>
      </c>
    </row>
    <row r="56" spans="2:15" ht="19.7" customHeight="1" x14ac:dyDescent="0.2">
      <c r="B56" s="23" t="s">
        <v>509</v>
      </c>
      <c r="C56" s="24" t="s">
        <v>393</v>
      </c>
      <c r="D56" s="24" t="s">
        <v>509</v>
      </c>
      <c r="E56" s="87">
        <v>0.25</v>
      </c>
      <c r="F56" s="25" t="s">
        <v>469</v>
      </c>
      <c r="G56" s="11">
        <f>I56+K56+M56</f>
        <v>161455</v>
      </c>
      <c r="H56" s="88">
        <f t="shared" si="4"/>
        <v>40363.699999999997</v>
      </c>
      <c r="I56" s="60">
        <f>노임단가!L11</f>
        <v>161455</v>
      </c>
      <c r="J56" s="88">
        <f>TRUNC(E56*I56,1)</f>
        <v>40363.699999999997</v>
      </c>
      <c r="K56" s="60"/>
      <c r="L56" s="88"/>
      <c r="M56" s="60"/>
      <c r="N56" s="88"/>
      <c r="O56" s="26" t="s">
        <v>509</v>
      </c>
    </row>
    <row r="57" spans="2:15" ht="19.7" customHeight="1" x14ac:dyDescent="0.2">
      <c r="B57" s="18" t="s">
        <v>509</v>
      </c>
      <c r="C57" s="19" t="s">
        <v>28</v>
      </c>
      <c r="D57" s="19" t="s">
        <v>509</v>
      </c>
      <c r="E57" s="86">
        <v>0.5</v>
      </c>
      <c r="F57" s="20" t="s">
        <v>469</v>
      </c>
      <c r="G57" s="27">
        <f>I57+K57+M57</f>
        <v>125427</v>
      </c>
      <c r="H57" s="85">
        <f t="shared" si="4"/>
        <v>62713.5</v>
      </c>
      <c r="I57" s="54">
        <f>노임단가!L5</f>
        <v>125427</v>
      </c>
      <c r="J57" s="85">
        <f>TRUNC(E57*I57,1)</f>
        <v>62713.5</v>
      </c>
      <c r="K57" s="54"/>
      <c r="L57" s="85"/>
      <c r="M57" s="54"/>
      <c r="N57" s="85"/>
      <c r="O57" s="22" t="s">
        <v>509</v>
      </c>
    </row>
    <row r="58" spans="2:15" ht="19.7" customHeight="1" x14ac:dyDescent="0.2">
      <c r="B58" s="18" t="s">
        <v>509</v>
      </c>
      <c r="C58" s="19" t="s">
        <v>187</v>
      </c>
      <c r="D58" s="19" t="s">
        <v>305</v>
      </c>
      <c r="E58" s="21">
        <v>20</v>
      </c>
      <c r="F58" s="20" t="s">
        <v>113</v>
      </c>
      <c r="G58" s="27">
        <f>I58+K58+M58</f>
        <v>146631</v>
      </c>
      <c r="H58" s="85">
        <f t="shared" si="4"/>
        <v>29326.2</v>
      </c>
      <c r="I58" s="27"/>
      <c r="J58" s="85"/>
      <c r="K58" s="27"/>
      <c r="L58" s="85"/>
      <c r="M58" s="27">
        <v>146631</v>
      </c>
      <c r="N58" s="85">
        <f>TRUNC(E58*1/100*M58,1)</f>
        <v>29326.2</v>
      </c>
      <c r="O58" s="22" t="s">
        <v>509</v>
      </c>
    </row>
    <row r="59" spans="2:15" ht="19.7" customHeight="1" x14ac:dyDescent="0.2">
      <c r="B59" s="18" t="s">
        <v>509</v>
      </c>
      <c r="C59" s="19" t="s">
        <v>509</v>
      </c>
      <c r="D59" s="19" t="s">
        <v>509</v>
      </c>
      <c r="E59" s="21"/>
      <c r="F59" s="20" t="s">
        <v>509</v>
      </c>
      <c r="G59" s="27"/>
      <c r="H59" s="21"/>
      <c r="I59" s="27"/>
      <c r="J59" s="55"/>
      <c r="K59" s="27"/>
      <c r="L59" s="55"/>
      <c r="M59" s="27"/>
      <c r="N59" s="55"/>
      <c r="O59" s="22" t="s">
        <v>509</v>
      </c>
    </row>
    <row r="60" spans="2:15" ht="19.7" customHeight="1" x14ac:dyDescent="0.2">
      <c r="B60" s="80" t="s">
        <v>21</v>
      </c>
      <c r="C60" s="52" t="s">
        <v>286</v>
      </c>
      <c r="D60" s="52" t="s">
        <v>509</v>
      </c>
      <c r="E60" s="81">
        <v>1</v>
      </c>
      <c r="F60" s="82" t="s">
        <v>337</v>
      </c>
      <c r="G60" s="27"/>
      <c r="H60" s="83">
        <f>J60+L60+N60</f>
        <v>1194749</v>
      </c>
      <c r="I60" s="27"/>
      <c r="J60" s="83">
        <f>TRUNC(J61+J62+J63)</f>
        <v>1035400</v>
      </c>
      <c r="K60" s="27"/>
      <c r="L60" s="83">
        <f>TRUNC(L61+L62+L63)</f>
        <v>3600</v>
      </c>
      <c r="M60" s="27"/>
      <c r="N60" s="83">
        <f>TRUNC(N61+N62+N63)</f>
        <v>155749</v>
      </c>
      <c r="O60" s="84" t="s">
        <v>509</v>
      </c>
    </row>
    <row r="61" spans="2:15" ht="19.7" customHeight="1" x14ac:dyDescent="0.2">
      <c r="B61" s="18" t="s">
        <v>509</v>
      </c>
      <c r="C61" s="19" t="s">
        <v>45</v>
      </c>
      <c r="D61" s="19" t="s">
        <v>509</v>
      </c>
      <c r="E61" s="21">
        <v>5</v>
      </c>
      <c r="F61" s="20" t="s">
        <v>469</v>
      </c>
      <c r="G61" s="27">
        <f>I61+K61+M61</f>
        <v>207080</v>
      </c>
      <c r="H61" s="85">
        <f>J61+L61+N61</f>
        <v>1035400</v>
      </c>
      <c r="I61" s="54">
        <f>노임단가!L9</f>
        <v>207080</v>
      </c>
      <c r="J61" s="85">
        <f>TRUNC(E61*I61,1)</f>
        <v>1035400</v>
      </c>
      <c r="K61" s="54"/>
      <c r="L61" s="85"/>
      <c r="M61" s="54"/>
      <c r="N61" s="85"/>
      <c r="O61" s="22" t="s">
        <v>509</v>
      </c>
    </row>
    <row r="62" spans="2:15" ht="19.7" customHeight="1" x14ac:dyDescent="0.2">
      <c r="B62" s="18" t="s">
        <v>509</v>
      </c>
      <c r="C62" s="19" t="s">
        <v>154</v>
      </c>
      <c r="D62" s="19" t="s">
        <v>509</v>
      </c>
      <c r="E62" s="21">
        <v>400</v>
      </c>
      <c r="F62" s="20" t="s">
        <v>382</v>
      </c>
      <c r="G62" s="27">
        <f>I62+K62+M62</f>
        <v>9</v>
      </c>
      <c r="H62" s="85">
        <f>J62+L62+N62</f>
        <v>3600</v>
      </c>
      <c r="I62" s="54"/>
      <c r="J62" s="85"/>
      <c r="K62" s="54">
        <f>자재단가!R13</f>
        <v>9</v>
      </c>
      <c r="L62" s="85">
        <f>TRUNC(E62*K62,1)</f>
        <v>3600</v>
      </c>
      <c r="M62" s="54"/>
      <c r="N62" s="85"/>
      <c r="O62" s="22" t="s">
        <v>509</v>
      </c>
    </row>
    <row r="63" spans="2:15" ht="17.25" customHeight="1" x14ac:dyDescent="0.2">
      <c r="B63" s="23" t="s">
        <v>509</v>
      </c>
      <c r="C63" s="24" t="s">
        <v>187</v>
      </c>
      <c r="D63" s="24" t="s">
        <v>305</v>
      </c>
      <c r="E63" s="12">
        <v>20</v>
      </c>
      <c r="F63" s="25" t="s">
        <v>113</v>
      </c>
      <c r="G63" s="11">
        <f>I63+K63+M63</f>
        <v>778748</v>
      </c>
      <c r="H63" s="88">
        <f>J63+L63+N63</f>
        <v>155749.6</v>
      </c>
      <c r="I63" s="11"/>
      <c r="J63" s="88"/>
      <c r="K63" s="11"/>
      <c r="L63" s="88"/>
      <c r="M63" s="11">
        <v>778748</v>
      </c>
      <c r="N63" s="88">
        <f>TRUNC(E63*1/100*M63,1)</f>
        <v>155749.6</v>
      </c>
      <c r="O63" s="26" t="s">
        <v>509</v>
      </c>
    </row>
    <row r="64" spans="2:15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</sheetData>
  <mergeCells count="11">
    <mergeCell ref="I3:J3"/>
    <mergeCell ref="K3:L3"/>
    <mergeCell ref="M3:N3"/>
    <mergeCell ref="O3:O4"/>
    <mergeCell ref="B1:O2"/>
    <mergeCell ref="B3:B4"/>
    <mergeCell ref="C3:C4"/>
    <mergeCell ref="D3:D4"/>
    <mergeCell ref="E3:E4"/>
    <mergeCell ref="F3:F4"/>
    <mergeCell ref="G3:H3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2" manualBreakCount="2">
    <brk id="30" min="2" max="15" man="1"/>
    <brk id="56" min="2" max="15" man="1"/>
  </rowBreaks>
  <ignoredErrors>
    <ignoredError sqref="L5 N5 G6:H7 L10 N10 G11:H12 L15 N15 G16:H17 H20:H22 G21:G22 L24 N24 G25:H29 H32:H36 G33:G36 H38:H40 G39:G40 H42:H44 G43:G44 H46:H51 J46 N46 G47:G51 H53:H58 J53 N53 G54:G58 J60 L60 N60 G61:H63" emptyCellReferenc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AC10"/>
  <sheetViews>
    <sheetView zoomScaleNormal="100" zoomScaleSheetLayoutView="175" workbookViewId="0">
      <pane ySplit="3" topLeftCell="A4" activePane="bottomLeft" state="frozen"/>
      <selection pane="bottomLeft" activeCell="G37" sqref="G37"/>
    </sheetView>
  </sheetViews>
  <sheetFormatPr defaultRowHeight="12.75" x14ac:dyDescent="0.2"/>
  <cols>
    <col min="1" max="1" width="0.7109375" customWidth="1"/>
    <col min="2" max="2" width="4.28515625" customWidth="1"/>
    <col min="3" max="3" width="18.140625" customWidth="1"/>
    <col min="4" max="4" width="26.42578125" customWidth="1"/>
    <col min="5" max="5" width="6" customWidth="1"/>
    <col min="6" max="9" width="11.28515625" customWidth="1"/>
    <col min="10" max="10" width="9.28515625" customWidth="1"/>
  </cols>
  <sheetData>
    <row r="1" spans="2:29" ht="24.95" customHeight="1" x14ac:dyDescent="0.2">
      <c r="B1" s="118" t="s">
        <v>218</v>
      </c>
      <c r="C1" s="118"/>
      <c r="D1" s="118"/>
      <c r="E1" s="118"/>
      <c r="F1" s="118"/>
      <c r="G1" s="118"/>
      <c r="H1" s="118"/>
      <c r="I1" s="118"/>
      <c r="J1" s="118"/>
    </row>
    <row r="2" spans="2:29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</row>
    <row r="3" spans="2:29" ht="27.95" customHeight="1" x14ac:dyDescent="0.2">
      <c r="B3" s="14" t="s">
        <v>140</v>
      </c>
      <c r="C3" s="7" t="s">
        <v>336</v>
      </c>
      <c r="D3" s="7" t="s">
        <v>399</v>
      </c>
      <c r="E3" s="7" t="s">
        <v>204</v>
      </c>
      <c r="F3" s="7" t="s">
        <v>487</v>
      </c>
      <c r="G3" s="7" t="s">
        <v>438</v>
      </c>
      <c r="H3" s="7" t="s">
        <v>319</v>
      </c>
      <c r="I3" s="7" t="s">
        <v>29</v>
      </c>
      <c r="J3" s="8" t="s">
        <v>125</v>
      </c>
      <c r="Z3" t="s">
        <v>331</v>
      </c>
      <c r="AA3" t="s">
        <v>370</v>
      </c>
      <c r="AB3" t="s">
        <v>502</v>
      </c>
      <c r="AC3" t="s">
        <v>345</v>
      </c>
    </row>
    <row r="4" spans="2:29" ht="22.35" customHeight="1" x14ac:dyDescent="0.2">
      <c r="B4" s="18" t="s">
        <v>151</v>
      </c>
      <c r="C4" s="19" t="s">
        <v>430</v>
      </c>
      <c r="D4" s="19" t="s">
        <v>435</v>
      </c>
      <c r="E4" s="20" t="s">
        <v>368</v>
      </c>
      <c r="F4" s="55">
        <f t="shared" ref="F4:F9" si="0">G4+H4+I4</f>
        <v>6257</v>
      </c>
      <c r="G4" s="55" t="str">
        <f>단가산출!CY4</f>
        <v>5,265</v>
      </c>
      <c r="H4" s="55" t="str">
        <f>단가산출!CZ4</f>
        <v>351</v>
      </c>
      <c r="I4" s="55" t="str">
        <f>단가산출!DA4</f>
        <v>641</v>
      </c>
      <c r="J4" s="22" t="s">
        <v>509</v>
      </c>
      <c r="Z4" s="17">
        <v>6257</v>
      </c>
      <c r="AA4" s="17">
        <v>5265</v>
      </c>
      <c r="AB4" s="17">
        <v>351</v>
      </c>
      <c r="AC4" s="17">
        <v>641</v>
      </c>
    </row>
    <row r="5" spans="2:29" ht="22.35" customHeight="1" x14ac:dyDescent="0.2">
      <c r="B5" s="18" t="s">
        <v>476</v>
      </c>
      <c r="C5" s="19" t="s">
        <v>300</v>
      </c>
      <c r="D5" s="19" t="s">
        <v>435</v>
      </c>
      <c r="E5" s="20" t="s">
        <v>368</v>
      </c>
      <c r="F5" s="55">
        <f t="shared" si="0"/>
        <v>6485</v>
      </c>
      <c r="G5" s="55" t="str">
        <f>단가산출!CY34</f>
        <v>5,549</v>
      </c>
      <c r="H5" s="55" t="str">
        <f>단가산출!CZ34</f>
        <v>415</v>
      </c>
      <c r="I5" s="55" t="str">
        <f>단가산출!DA34</f>
        <v>521</v>
      </c>
      <c r="J5" s="22" t="s">
        <v>509</v>
      </c>
      <c r="Z5" s="17">
        <v>6485</v>
      </c>
      <c r="AA5" s="17">
        <v>5549</v>
      </c>
      <c r="AB5" s="17">
        <v>415</v>
      </c>
      <c r="AC5" s="17">
        <v>521</v>
      </c>
    </row>
    <row r="6" spans="2:29" ht="22.35" customHeight="1" x14ac:dyDescent="0.2">
      <c r="B6" s="18" t="s">
        <v>220</v>
      </c>
      <c r="C6" s="19" t="s">
        <v>320</v>
      </c>
      <c r="D6" s="19" t="s">
        <v>9</v>
      </c>
      <c r="E6" s="20" t="s">
        <v>368</v>
      </c>
      <c r="F6" s="55">
        <f t="shared" si="0"/>
        <v>68779</v>
      </c>
      <c r="G6" s="55" t="str">
        <f>단가산출!CY79</f>
        <v>42,532</v>
      </c>
      <c r="H6" s="55" t="str">
        <f>단가산출!CZ79</f>
        <v>10,203</v>
      </c>
      <c r="I6" s="55" t="str">
        <f>단가산출!DA79</f>
        <v>16,044</v>
      </c>
      <c r="J6" s="22" t="s">
        <v>509</v>
      </c>
      <c r="Z6" s="17">
        <v>68779</v>
      </c>
      <c r="AA6" s="17">
        <v>42532</v>
      </c>
      <c r="AB6" s="17">
        <v>10203</v>
      </c>
      <c r="AC6" s="17">
        <v>16044</v>
      </c>
    </row>
    <row r="7" spans="2:29" ht="22.35" customHeight="1" x14ac:dyDescent="0.2">
      <c r="B7" s="18" t="s">
        <v>396</v>
      </c>
      <c r="C7" s="19" t="s">
        <v>391</v>
      </c>
      <c r="D7" s="101" t="s">
        <v>157</v>
      </c>
      <c r="E7" s="20" t="s">
        <v>368</v>
      </c>
      <c r="F7" s="55">
        <f t="shared" si="0"/>
        <v>52686</v>
      </c>
      <c r="G7" s="55" t="str">
        <f>단가산출!CY143</f>
        <v>37,106</v>
      </c>
      <c r="H7" s="55" t="str">
        <f>단가산출!CZ143</f>
        <v>5,133</v>
      </c>
      <c r="I7" s="55" t="str">
        <f>단가산출!DA143</f>
        <v>10,447</v>
      </c>
      <c r="J7" s="22" t="s">
        <v>509</v>
      </c>
      <c r="Z7" s="17">
        <v>52686</v>
      </c>
      <c r="AA7" s="17">
        <v>37106</v>
      </c>
      <c r="AB7" s="17">
        <v>5133</v>
      </c>
      <c r="AC7" s="17">
        <v>10447</v>
      </c>
    </row>
    <row r="8" spans="2:29" ht="22.35" customHeight="1" x14ac:dyDescent="0.2">
      <c r="B8" s="18" t="s">
        <v>165</v>
      </c>
      <c r="C8" s="19" t="s">
        <v>391</v>
      </c>
      <c r="D8" s="102" t="s">
        <v>361</v>
      </c>
      <c r="E8" s="20" t="s">
        <v>368</v>
      </c>
      <c r="F8" s="55">
        <f t="shared" si="0"/>
        <v>52686</v>
      </c>
      <c r="G8" s="55" t="str">
        <f>단가산출!CY184</f>
        <v>37,106</v>
      </c>
      <c r="H8" s="55" t="str">
        <f>단가산출!CZ184</f>
        <v>5,133</v>
      </c>
      <c r="I8" s="55" t="str">
        <f>단가산출!DA184</f>
        <v>10,447</v>
      </c>
      <c r="J8" s="22" t="s">
        <v>509</v>
      </c>
      <c r="Z8" s="17">
        <v>52686</v>
      </c>
      <c r="AA8" s="17">
        <v>37106</v>
      </c>
      <c r="AB8" s="17">
        <v>5133</v>
      </c>
      <c r="AC8" s="17">
        <v>10447</v>
      </c>
    </row>
    <row r="9" spans="2:29" ht="22.35" customHeight="1" x14ac:dyDescent="0.2">
      <c r="B9" s="23" t="s">
        <v>464</v>
      </c>
      <c r="C9" s="24" t="s">
        <v>348</v>
      </c>
      <c r="D9" s="24" t="s">
        <v>192</v>
      </c>
      <c r="E9" s="25" t="s">
        <v>368</v>
      </c>
      <c r="F9" s="63">
        <f t="shared" si="0"/>
        <v>3801</v>
      </c>
      <c r="G9" s="63" t="str">
        <f>단가산출!CY225</f>
        <v>1,865</v>
      </c>
      <c r="H9" s="63" t="str">
        <f>단가산출!CZ225</f>
        <v>765</v>
      </c>
      <c r="I9" s="63" t="str">
        <f>단가산출!DA225</f>
        <v>1,171</v>
      </c>
      <c r="J9" s="26" t="s">
        <v>509</v>
      </c>
      <c r="Z9" s="17">
        <v>3801</v>
      </c>
      <c r="AA9" s="17">
        <v>1865</v>
      </c>
      <c r="AB9" s="17">
        <v>765</v>
      </c>
      <c r="AC9" s="17">
        <v>1171</v>
      </c>
    </row>
    <row r="10" spans="2:29" x14ac:dyDescent="0.2">
      <c r="B10" s="13"/>
      <c r="C10" s="13"/>
      <c r="D10" s="13"/>
      <c r="E10" s="13"/>
      <c r="F10" s="13"/>
      <c r="G10" s="13"/>
      <c r="H10" s="13"/>
      <c r="I10" s="13"/>
      <c r="J10" s="13"/>
    </row>
  </sheetData>
  <sheetProtection selectLockedCells="1" selectUnlockedCells="1"/>
  <mergeCells count="1">
    <mergeCell ref="B1:J2"/>
  </mergeCells>
  <phoneticPr fontId="6" type="noConversion"/>
  <pageMargins left="0.78740157480314965" right="7.874015748031496E-2" top="0.94488188976377963" bottom="0.59055118110236215" header="0.5" footer="0.5"/>
  <pageSetup paperSize="9" scale="85" orientation="portrait" r:id="rId1"/>
  <headerFooter alignWithMargins="0"/>
  <ignoredErrors>
    <ignoredError sqref="B4:B9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B249"/>
  <sheetViews>
    <sheetView zoomScaleNormal="100" zoomScaleSheetLayoutView="145" workbookViewId="0">
      <pane ySplit="3" topLeftCell="A70" activePane="bottomLeft" state="frozen"/>
      <selection pane="bottomLeft" activeCell="B3" sqref="B3:CW3"/>
    </sheetView>
  </sheetViews>
  <sheetFormatPr defaultRowHeight="12.75" x14ac:dyDescent="0.2"/>
  <cols>
    <col min="1" max="1" width="0.7109375" customWidth="1"/>
    <col min="2" max="101" width="1" customWidth="1"/>
    <col min="102" max="102" width="12" customWidth="1"/>
    <col min="103" max="103" width="10.5703125" customWidth="1"/>
    <col min="104" max="105" width="10.140625" customWidth="1"/>
  </cols>
  <sheetData>
    <row r="1" spans="2:106" ht="24.95" customHeight="1" x14ac:dyDescent="0.2">
      <c r="B1" s="118" t="s">
        <v>312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</row>
    <row r="2" spans="2:106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19"/>
      <c r="CV2" s="119"/>
      <c r="CW2" s="119"/>
      <c r="CX2" s="119"/>
      <c r="CY2" s="119"/>
      <c r="CZ2" s="119"/>
      <c r="DA2" s="119"/>
    </row>
    <row r="3" spans="2:106" ht="27.95" customHeight="1" x14ac:dyDescent="0.2">
      <c r="B3" s="128" t="s">
        <v>248</v>
      </c>
      <c r="C3" s="129" t="s">
        <v>221</v>
      </c>
      <c r="D3" s="129" t="s">
        <v>438</v>
      </c>
      <c r="E3" s="129" t="s">
        <v>319</v>
      </c>
      <c r="F3" s="129" t="s">
        <v>247</v>
      </c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  <c r="AN3" s="129"/>
      <c r="AO3" s="129"/>
      <c r="AP3" s="129"/>
      <c r="AQ3" s="129"/>
      <c r="AR3" s="129"/>
      <c r="AS3" s="129"/>
      <c r="AT3" s="129"/>
      <c r="AU3" s="129"/>
      <c r="AV3" s="129"/>
      <c r="AW3" s="129"/>
      <c r="AX3" s="129"/>
      <c r="AY3" s="129"/>
      <c r="AZ3" s="129"/>
      <c r="BA3" s="129"/>
      <c r="BB3" s="129"/>
      <c r="BC3" s="129"/>
      <c r="BD3" s="129"/>
      <c r="BE3" s="129"/>
      <c r="BF3" s="129"/>
      <c r="BG3" s="129"/>
      <c r="BH3" s="129"/>
      <c r="BI3" s="129"/>
      <c r="BJ3" s="129"/>
      <c r="BK3" s="129"/>
      <c r="BL3" s="129"/>
      <c r="BM3" s="129"/>
      <c r="BN3" s="129"/>
      <c r="BO3" s="129"/>
      <c r="BP3" s="129"/>
      <c r="BQ3" s="129"/>
      <c r="BR3" s="129"/>
      <c r="BS3" s="129"/>
      <c r="BT3" s="129"/>
      <c r="BU3" s="129"/>
      <c r="BV3" s="129"/>
      <c r="BW3" s="129"/>
      <c r="BX3" s="129"/>
      <c r="BY3" s="12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65" t="s">
        <v>221</v>
      </c>
      <c r="CY3" s="65" t="s">
        <v>438</v>
      </c>
      <c r="CZ3" s="65" t="s">
        <v>319</v>
      </c>
      <c r="DA3" s="66" t="s">
        <v>247</v>
      </c>
    </row>
    <row r="4" spans="2:106" ht="11.25" customHeight="1" x14ac:dyDescent="0.2">
      <c r="B4" s="71" t="s">
        <v>33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  <c r="CD4" s="68"/>
      <c r="CE4" s="68"/>
      <c r="CF4" s="68"/>
      <c r="CG4" s="68"/>
      <c r="CH4" s="68"/>
      <c r="CI4" s="68"/>
      <c r="CJ4" s="68"/>
      <c r="CK4" s="68"/>
      <c r="CL4" s="68"/>
      <c r="CM4" s="68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72">
        <f>CX32</f>
        <v>6257</v>
      </c>
      <c r="CY4" s="72" t="str">
        <f>CY32</f>
        <v>5,265</v>
      </c>
      <c r="CZ4" s="72" t="str">
        <f>CZ32</f>
        <v>351</v>
      </c>
      <c r="DA4" s="73" t="str">
        <f>DA32</f>
        <v>641</v>
      </c>
      <c r="DB4" s="74"/>
    </row>
    <row r="5" spans="2:106" ht="11.25" customHeight="1" x14ac:dyDescent="0.2"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75"/>
      <c r="CY5" s="75"/>
      <c r="CZ5" s="75"/>
      <c r="DA5" s="76"/>
      <c r="DB5" s="74"/>
    </row>
    <row r="6" spans="2:106" ht="11.25" customHeight="1" x14ac:dyDescent="0.2">
      <c r="B6" s="67"/>
      <c r="C6" s="68"/>
      <c r="D6" s="68" t="s">
        <v>257</v>
      </c>
      <c r="E6" s="68"/>
      <c r="F6" s="68"/>
      <c r="G6" s="68" t="s">
        <v>52</v>
      </c>
      <c r="H6" s="68"/>
      <c r="I6" s="68"/>
      <c r="J6" s="68" t="s">
        <v>279</v>
      </c>
      <c r="K6" s="68"/>
      <c r="L6" s="68" t="s">
        <v>275</v>
      </c>
      <c r="M6" s="68" t="s">
        <v>41</v>
      </c>
      <c r="N6" s="68"/>
      <c r="O6" s="68" t="s">
        <v>113</v>
      </c>
      <c r="P6" s="68" t="s">
        <v>55</v>
      </c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75"/>
      <c r="CY6" s="75"/>
      <c r="CZ6" s="75"/>
      <c r="DA6" s="76"/>
      <c r="DB6" s="74"/>
    </row>
    <row r="7" spans="2:106" ht="11.25" customHeight="1" x14ac:dyDescent="0.2"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8"/>
      <c r="CD7" s="68"/>
      <c r="CE7" s="68"/>
      <c r="CF7" s="68"/>
      <c r="CG7" s="68"/>
      <c r="CH7" s="68"/>
      <c r="CI7" s="68"/>
      <c r="CJ7" s="68"/>
      <c r="CK7" s="68"/>
      <c r="CL7" s="68"/>
      <c r="CM7" s="68"/>
      <c r="CN7" s="68"/>
      <c r="CO7" s="68"/>
      <c r="CP7" s="68"/>
      <c r="CQ7" s="68"/>
      <c r="CR7" s="68"/>
      <c r="CS7" s="68"/>
      <c r="CT7" s="68"/>
      <c r="CU7" s="68"/>
      <c r="CV7" s="68"/>
      <c r="CW7" s="68"/>
      <c r="CX7" s="75"/>
      <c r="CY7" s="75"/>
      <c r="CZ7" s="75"/>
      <c r="DA7" s="76"/>
      <c r="DB7" s="74"/>
    </row>
    <row r="8" spans="2:106" ht="11.25" customHeight="1" x14ac:dyDescent="0.2">
      <c r="B8" s="67"/>
      <c r="C8" s="68"/>
      <c r="D8" s="68"/>
      <c r="E8" s="68"/>
      <c r="F8" s="68"/>
      <c r="G8" s="68" t="s">
        <v>163</v>
      </c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 t="s">
        <v>251</v>
      </c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75"/>
      <c r="CY8" s="75"/>
      <c r="CZ8" s="75"/>
      <c r="DA8" s="76"/>
      <c r="DB8" s="74"/>
    </row>
    <row r="9" spans="2:106" ht="11.25" customHeight="1" x14ac:dyDescent="0.2">
      <c r="B9" s="67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75"/>
      <c r="CY9" s="75"/>
      <c r="CZ9" s="75"/>
      <c r="DA9" s="76"/>
      <c r="DB9" s="74"/>
    </row>
    <row r="10" spans="2:106" ht="11.25" customHeight="1" x14ac:dyDescent="0.2">
      <c r="B10" s="67"/>
      <c r="C10" s="68"/>
      <c r="D10" s="68"/>
      <c r="E10" s="68"/>
      <c r="F10" s="68"/>
      <c r="G10" s="68" t="s">
        <v>436</v>
      </c>
      <c r="H10" s="68"/>
      <c r="I10" s="68" t="s">
        <v>214</v>
      </c>
      <c r="J10" s="68"/>
      <c r="K10" s="68" t="str">
        <f>TEXT(0.2,"#,##0.#######")</f>
        <v>0.2</v>
      </c>
      <c r="L10" s="68"/>
      <c r="M10" s="68"/>
      <c r="N10" s="68" t="s">
        <v>368</v>
      </c>
      <c r="O10" s="68"/>
      <c r="P10" s="68"/>
      <c r="Q10" s="68"/>
      <c r="R10" s="68"/>
      <c r="S10" s="68"/>
      <c r="T10" s="68"/>
      <c r="U10" s="68"/>
      <c r="V10" s="68" t="s">
        <v>60</v>
      </c>
      <c r="W10" s="68"/>
      <c r="X10" s="68" t="s">
        <v>214</v>
      </c>
      <c r="Y10" s="68"/>
      <c r="Z10" s="68" t="str">
        <f>TEXT(1,"#,##0.#######")</f>
        <v>1.</v>
      </c>
      <c r="AA10" s="68"/>
      <c r="AB10" s="68" t="s">
        <v>90</v>
      </c>
      <c r="AC10" s="68"/>
      <c r="AD10" s="68" t="str">
        <f>TEXT(1.24,"#,##0.#######")</f>
        <v>1.24</v>
      </c>
      <c r="AE10" s="68"/>
      <c r="AF10" s="68"/>
      <c r="AG10" s="68"/>
      <c r="AH10" s="68"/>
      <c r="AI10" s="68" t="s">
        <v>214</v>
      </c>
      <c r="AJ10" s="68"/>
      <c r="AK10" s="68" t="str">
        <f>TEXT(ROUND(Z10/AD10,2),"#,##0.#######")</f>
        <v>0.81</v>
      </c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 t="s">
        <v>224</v>
      </c>
      <c r="AW10" s="68"/>
      <c r="AX10" s="68" t="s">
        <v>214</v>
      </c>
      <c r="AY10" s="68"/>
      <c r="AZ10" s="68" t="str">
        <f>TEXT(0.9,"#,##0.#######")</f>
        <v>0.9</v>
      </c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8"/>
      <c r="BY10" s="68"/>
      <c r="BZ10" s="68"/>
      <c r="CA10" s="68"/>
      <c r="CB10" s="68"/>
      <c r="CC10" s="68"/>
      <c r="CD10" s="68"/>
      <c r="CE10" s="68"/>
      <c r="CF10" s="68"/>
      <c r="CG10" s="68"/>
      <c r="CH10" s="68"/>
      <c r="CI10" s="68"/>
      <c r="CJ10" s="68"/>
      <c r="CK10" s="68"/>
      <c r="CL10" s="68"/>
      <c r="CM10" s="68"/>
      <c r="CN10" s="68"/>
      <c r="CO10" s="68"/>
      <c r="CP10" s="68"/>
      <c r="CQ10" s="68"/>
      <c r="CR10" s="68"/>
      <c r="CS10" s="68"/>
      <c r="CT10" s="68"/>
      <c r="CU10" s="68"/>
      <c r="CV10" s="68"/>
      <c r="CW10" s="68"/>
      <c r="CX10" s="75"/>
      <c r="CY10" s="75"/>
      <c r="CZ10" s="75"/>
      <c r="DA10" s="76"/>
      <c r="DB10" s="74"/>
    </row>
    <row r="11" spans="2:106" ht="11.25" customHeight="1" x14ac:dyDescent="0.2">
      <c r="B11" s="67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8"/>
      <c r="CC11" s="68"/>
      <c r="CD11" s="68"/>
      <c r="CE11" s="68"/>
      <c r="CF11" s="68"/>
      <c r="CG11" s="68"/>
      <c r="CH11" s="68"/>
      <c r="CI11" s="68"/>
      <c r="CJ11" s="68"/>
      <c r="CK11" s="68"/>
      <c r="CL11" s="68"/>
      <c r="CM11" s="68"/>
      <c r="CN11" s="68"/>
      <c r="CO11" s="68"/>
      <c r="CP11" s="68"/>
      <c r="CQ11" s="68"/>
      <c r="CR11" s="68"/>
      <c r="CS11" s="68"/>
      <c r="CT11" s="68"/>
      <c r="CU11" s="68"/>
      <c r="CV11" s="68"/>
      <c r="CW11" s="68"/>
      <c r="CX11" s="75"/>
      <c r="CY11" s="75"/>
      <c r="CZ11" s="75"/>
      <c r="DA11" s="76"/>
      <c r="DB11" s="74"/>
    </row>
    <row r="12" spans="2:106" ht="11.25" customHeight="1" x14ac:dyDescent="0.2">
      <c r="B12" s="67"/>
      <c r="C12" s="68"/>
      <c r="D12" s="68"/>
      <c r="E12" s="68"/>
      <c r="F12" s="68"/>
      <c r="G12" s="68" t="s">
        <v>232</v>
      </c>
      <c r="H12" s="68"/>
      <c r="I12" s="68" t="s">
        <v>214</v>
      </c>
      <c r="J12" s="68"/>
      <c r="K12" s="68" t="s">
        <v>275</v>
      </c>
      <c r="L12" s="68" t="str">
        <f>TEXT(0.7,"#,##0.#######")</f>
        <v>0.7</v>
      </c>
      <c r="M12" s="68"/>
      <c r="N12" s="68"/>
      <c r="O12" s="68" t="s">
        <v>105</v>
      </c>
      <c r="P12" s="68" t="str">
        <f>TEXT(0.6,"#,##0.#######")</f>
        <v>0.6</v>
      </c>
      <c r="Q12" s="68"/>
      <c r="R12" s="68"/>
      <c r="S12" s="68" t="s">
        <v>55</v>
      </c>
      <c r="T12" s="68" t="s">
        <v>90</v>
      </c>
      <c r="U12" s="68" t="str">
        <f>TEXT(2,"#,##0.#######")</f>
        <v>2.</v>
      </c>
      <c r="V12" s="68" t="s">
        <v>10</v>
      </c>
      <c r="W12" s="68" t="str">
        <f>TEXT(0.05,"#,##0.#######")</f>
        <v>0.05</v>
      </c>
      <c r="X12" s="68"/>
      <c r="Y12" s="68"/>
      <c r="Z12" s="68"/>
      <c r="AA12" s="68"/>
      <c r="AB12" s="68" t="s">
        <v>214</v>
      </c>
      <c r="AC12" s="68"/>
      <c r="AD12" s="68" t="str">
        <f>TEXT(ROUND((L12+P12)/U12-W12,2),"#,##0.#######")</f>
        <v>0.6</v>
      </c>
      <c r="AE12" s="68"/>
      <c r="AF12" s="68"/>
      <c r="AG12" s="68"/>
      <c r="AH12" s="68"/>
      <c r="AI12" s="68"/>
      <c r="AJ12" s="68"/>
      <c r="AK12" s="68"/>
      <c r="AL12" s="68"/>
      <c r="AM12" s="68"/>
      <c r="AN12" s="68" t="s">
        <v>67</v>
      </c>
      <c r="AO12" s="68"/>
      <c r="AP12" s="68"/>
      <c r="AQ12" s="68" t="s">
        <v>214</v>
      </c>
      <c r="AR12" s="68"/>
      <c r="AS12" s="68" t="str">
        <f>TEXT(18,"#,##0.#######")</f>
        <v>18.</v>
      </c>
      <c r="AT12" s="68"/>
      <c r="AU12" s="68" t="s">
        <v>452</v>
      </c>
      <c r="AV12" s="68"/>
      <c r="AW12" s="68"/>
      <c r="AX12" s="68"/>
      <c r="AY12" s="68" t="s">
        <v>275</v>
      </c>
      <c r="AZ12" s="68" t="s">
        <v>195</v>
      </c>
      <c r="BA12" s="68"/>
      <c r="BB12" s="68"/>
      <c r="BC12" s="68" t="s">
        <v>365</v>
      </c>
      <c r="BD12" s="68"/>
      <c r="BE12" s="68" t="s">
        <v>55</v>
      </c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8"/>
      <c r="BY12" s="68"/>
      <c r="BZ12" s="68"/>
      <c r="CA12" s="68"/>
      <c r="CB12" s="68"/>
      <c r="CC12" s="68"/>
      <c r="CD12" s="68"/>
      <c r="CE12" s="68"/>
      <c r="CF12" s="68"/>
      <c r="CG12" s="68"/>
      <c r="CH12" s="68"/>
      <c r="CI12" s="68"/>
      <c r="CJ12" s="68"/>
      <c r="CK12" s="68"/>
      <c r="CL12" s="68"/>
      <c r="CM12" s="68"/>
      <c r="CN12" s="68"/>
      <c r="CO12" s="68"/>
      <c r="CP12" s="68"/>
      <c r="CQ12" s="68"/>
      <c r="CR12" s="68"/>
      <c r="CS12" s="68"/>
      <c r="CT12" s="68"/>
      <c r="CU12" s="68"/>
      <c r="CV12" s="68"/>
      <c r="CW12" s="68"/>
      <c r="CX12" s="75"/>
      <c r="CY12" s="75"/>
      <c r="CZ12" s="75"/>
      <c r="DA12" s="76"/>
      <c r="DB12" s="74"/>
    </row>
    <row r="13" spans="2:106" ht="11.25" customHeight="1" x14ac:dyDescent="0.2">
      <c r="B13" s="67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8"/>
      <c r="CQ13" s="68"/>
      <c r="CR13" s="68"/>
      <c r="CS13" s="68"/>
      <c r="CT13" s="68"/>
      <c r="CU13" s="68"/>
      <c r="CV13" s="68"/>
      <c r="CW13" s="68"/>
      <c r="CX13" s="75"/>
      <c r="CY13" s="75"/>
      <c r="CZ13" s="75"/>
      <c r="DA13" s="76"/>
      <c r="DB13" s="74"/>
    </row>
    <row r="14" spans="2:106" ht="11.25" customHeight="1" x14ac:dyDescent="0.2">
      <c r="B14" s="67"/>
      <c r="C14" s="68"/>
      <c r="D14" s="68"/>
      <c r="E14" s="68"/>
      <c r="F14" s="68"/>
      <c r="G14" s="68"/>
      <c r="H14" s="68"/>
      <c r="I14" s="68"/>
      <c r="J14" s="68"/>
      <c r="K14" s="68"/>
      <c r="L14" s="68" t="str">
        <f>TEXT(3600,"#,##0.#######")</f>
        <v>3,600.</v>
      </c>
      <c r="M14" s="68"/>
      <c r="N14" s="68"/>
      <c r="O14" s="68"/>
      <c r="P14" s="68"/>
      <c r="Q14" s="68" t="s">
        <v>437</v>
      </c>
      <c r="R14" s="68"/>
      <c r="S14" s="68" t="s">
        <v>436</v>
      </c>
      <c r="T14" s="68" t="s">
        <v>437</v>
      </c>
      <c r="U14" s="68"/>
      <c r="V14" s="68" t="s">
        <v>224</v>
      </c>
      <c r="W14" s="68" t="s">
        <v>437</v>
      </c>
      <c r="X14" s="68"/>
      <c r="Y14" s="68" t="s">
        <v>60</v>
      </c>
      <c r="Z14" s="68" t="s">
        <v>437</v>
      </c>
      <c r="AA14" s="68"/>
      <c r="AB14" s="68" t="s">
        <v>232</v>
      </c>
      <c r="AC14" s="68"/>
      <c r="AD14" s="68"/>
      <c r="AE14" s="68"/>
      <c r="AF14" s="68"/>
      <c r="AG14" s="68"/>
      <c r="AH14" s="68"/>
      <c r="AI14" s="68" t="str">
        <f>TEXT(L14,"#,##0.#######")</f>
        <v>3,600.</v>
      </c>
      <c r="AJ14" s="68"/>
      <c r="AK14" s="68"/>
      <c r="AL14" s="68"/>
      <c r="AM14" s="68"/>
      <c r="AN14" s="68" t="s">
        <v>437</v>
      </c>
      <c r="AO14" s="68"/>
      <c r="AP14" s="68" t="str">
        <f>TEXT(K10,"#,##0.#######")</f>
        <v>0.2</v>
      </c>
      <c r="AQ14" s="68"/>
      <c r="AR14" s="68"/>
      <c r="AS14" s="68" t="s">
        <v>437</v>
      </c>
      <c r="AT14" s="68"/>
      <c r="AU14" s="68" t="str">
        <f>TEXT(AZ10,"#,##0.#######")</f>
        <v>0.9</v>
      </c>
      <c r="AV14" s="68"/>
      <c r="AW14" s="68"/>
      <c r="AX14" s="68" t="s">
        <v>437</v>
      </c>
      <c r="AY14" s="68"/>
      <c r="AZ14" s="68" t="str">
        <f>TEXT(AK10,"#,##0.#######")</f>
        <v>0.81</v>
      </c>
      <c r="BA14" s="68"/>
      <c r="BB14" s="68"/>
      <c r="BC14" s="68"/>
      <c r="BD14" s="68" t="s">
        <v>437</v>
      </c>
      <c r="BE14" s="68"/>
      <c r="BF14" s="68" t="str">
        <f>TEXT(AD12,"#,##0.#######")</f>
        <v>0.6</v>
      </c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8"/>
      <c r="CC14" s="68"/>
      <c r="CD14" s="68"/>
      <c r="CE14" s="68"/>
      <c r="CF14" s="68"/>
      <c r="CG14" s="68"/>
      <c r="CH14" s="68"/>
      <c r="CI14" s="68"/>
      <c r="CJ14" s="68"/>
      <c r="CK14" s="68"/>
      <c r="CL14" s="68"/>
      <c r="CM14" s="68"/>
      <c r="CN14" s="68"/>
      <c r="CO14" s="68"/>
      <c r="CP14" s="68"/>
      <c r="CQ14" s="68"/>
      <c r="CR14" s="68"/>
      <c r="CS14" s="68"/>
      <c r="CT14" s="68"/>
      <c r="CU14" s="68"/>
      <c r="CV14" s="68"/>
      <c r="CW14" s="68"/>
      <c r="CX14" s="75"/>
      <c r="CY14" s="75"/>
      <c r="CZ14" s="75"/>
      <c r="DA14" s="76"/>
      <c r="DB14" s="74"/>
    </row>
    <row r="15" spans="2:106" ht="11.25" customHeight="1" x14ac:dyDescent="0.2">
      <c r="B15" s="67"/>
      <c r="C15" s="68"/>
      <c r="D15" s="68"/>
      <c r="E15" s="68"/>
      <c r="F15" s="68"/>
      <c r="G15" s="68" t="s">
        <v>26</v>
      </c>
      <c r="H15" s="68"/>
      <c r="I15" s="68" t="s">
        <v>214</v>
      </c>
      <c r="J15" s="68"/>
      <c r="K15" s="68" t="s">
        <v>148</v>
      </c>
      <c r="L15" s="68"/>
      <c r="M15" s="68" t="s">
        <v>148</v>
      </c>
      <c r="N15" s="68"/>
      <c r="O15" s="68" t="s">
        <v>148</v>
      </c>
      <c r="P15" s="68"/>
      <c r="Q15" s="68" t="s">
        <v>148</v>
      </c>
      <c r="R15" s="68"/>
      <c r="S15" s="68" t="s">
        <v>148</v>
      </c>
      <c r="T15" s="68"/>
      <c r="U15" s="68" t="s">
        <v>148</v>
      </c>
      <c r="V15" s="68"/>
      <c r="W15" s="68" t="s">
        <v>148</v>
      </c>
      <c r="X15" s="68"/>
      <c r="Y15" s="68" t="s">
        <v>148</v>
      </c>
      <c r="Z15" s="68"/>
      <c r="AA15" s="68" t="s">
        <v>148</v>
      </c>
      <c r="AB15" s="68"/>
      <c r="AC15" s="68" t="s">
        <v>148</v>
      </c>
      <c r="AD15" s="68"/>
      <c r="AE15" s="68"/>
      <c r="AF15" s="68" t="s">
        <v>214</v>
      </c>
      <c r="AG15" s="68"/>
      <c r="AH15" s="68" t="s">
        <v>148</v>
      </c>
      <c r="AI15" s="68"/>
      <c r="AJ15" s="68" t="s">
        <v>148</v>
      </c>
      <c r="AK15" s="68"/>
      <c r="AL15" s="68" t="s">
        <v>148</v>
      </c>
      <c r="AM15" s="68"/>
      <c r="AN15" s="68" t="s">
        <v>148</v>
      </c>
      <c r="AO15" s="68"/>
      <c r="AP15" s="68" t="s">
        <v>148</v>
      </c>
      <c r="AQ15" s="68"/>
      <c r="AR15" s="68" t="s">
        <v>148</v>
      </c>
      <c r="AS15" s="68"/>
      <c r="AT15" s="68" t="s">
        <v>148</v>
      </c>
      <c r="AU15" s="68"/>
      <c r="AV15" s="68" t="s">
        <v>148</v>
      </c>
      <c r="AW15" s="68"/>
      <c r="AX15" s="68" t="s">
        <v>148</v>
      </c>
      <c r="AY15" s="68"/>
      <c r="AZ15" s="68" t="s">
        <v>148</v>
      </c>
      <c r="BA15" s="68"/>
      <c r="BB15" s="68" t="s">
        <v>148</v>
      </c>
      <c r="BC15" s="68"/>
      <c r="BD15" s="68" t="s">
        <v>148</v>
      </c>
      <c r="BE15" s="68"/>
      <c r="BF15" s="68" t="s">
        <v>148</v>
      </c>
      <c r="BG15" s="68"/>
      <c r="BH15" s="68" t="s">
        <v>148</v>
      </c>
      <c r="BI15" s="68"/>
      <c r="BJ15" s="68" t="s">
        <v>214</v>
      </c>
      <c r="BK15" s="68"/>
      <c r="BL15" s="68" t="str">
        <f>TEXT(ROUND((3600*K10*AZ10*AK10*AD12)/(AS12),2),"#,##0.#######")</f>
        <v>17.5</v>
      </c>
      <c r="BM15" s="68"/>
      <c r="BN15" s="68"/>
      <c r="BO15" s="68"/>
      <c r="BP15" s="68"/>
      <c r="BQ15" s="68"/>
      <c r="BR15" s="68"/>
      <c r="BS15" s="68" t="s">
        <v>368</v>
      </c>
      <c r="BT15" s="68"/>
      <c r="BU15" s="68" t="s">
        <v>90</v>
      </c>
      <c r="BV15" s="68" t="s">
        <v>380</v>
      </c>
      <c r="BW15" s="68"/>
      <c r="BX15" s="68"/>
      <c r="BY15" s="68"/>
      <c r="BZ15" s="68"/>
      <c r="CA15" s="68"/>
      <c r="CB15" s="68"/>
      <c r="CC15" s="68"/>
      <c r="CD15" s="68"/>
      <c r="CE15" s="68"/>
      <c r="CF15" s="68"/>
      <c r="CG15" s="68"/>
      <c r="CH15" s="68"/>
      <c r="CI15" s="68"/>
      <c r="CJ15" s="68"/>
      <c r="CK15" s="68"/>
      <c r="CL15" s="68"/>
      <c r="CM15" s="68"/>
      <c r="CN15" s="68"/>
      <c r="CO15" s="68"/>
      <c r="CP15" s="68"/>
      <c r="CQ15" s="68"/>
      <c r="CR15" s="68"/>
      <c r="CS15" s="68"/>
      <c r="CT15" s="68"/>
      <c r="CU15" s="68"/>
      <c r="CV15" s="68"/>
      <c r="CW15" s="68"/>
      <c r="CX15" s="75"/>
      <c r="CY15" s="75"/>
      <c r="CZ15" s="75"/>
      <c r="DA15" s="76"/>
      <c r="DB15" s="74"/>
    </row>
    <row r="16" spans="2:106" ht="11.25" customHeight="1" x14ac:dyDescent="0.2">
      <c r="B16" s="67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 t="s">
        <v>67</v>
      </c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 t="str">
        <f>TEXT(AS12,"#,##0.#######")</f>
        <v>18.</v>
      </c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8"/>
      <c r="BY16" s="68"/>
      <c r="BZ16" s="68"/>
      <c r="CA16" s="68"/>
      <c r="CB16" s="68"/>
      <c r="CC16" s="68"/>
      <c r="CD16" s="68"/>
      <c r="CE16" s="68"/>
      <c r="CF16" s="68"/>
      <c r="CG16" s="68"/>
      <c r="CH16" s="68"/>
      <c r="CI16" s="68"/>
      <c r="CJ16" s="68"/>
      <c r="CK16" s="68"/>
      <c r="CL16" s="68"/>
      <c r="CM16" s="68"/>
      <c r="CN16" s="68"/>
      <c r="CO16" s="68"/>
      <c r="CP16" s="68"/>
      <c r="CQ16" s="68"/>
      <c r="CR16" s="68"/>
      <c r="CS16" s="68"/>
      <c r="CT16" s="68"/>
      <c r="CU16" s="68"/>
      <c r="CV16" s="68"/>
      <c r="CW16" s="68"/>
      <c r="CX16" s="75"/>
      <c r="CY16" s="75"/>
      <c r="CZ16" s="75"/>
      <c r="DA16" s="76"/>
      <c r="DB16" s="74"/>
    </row>
    <row r="17" spans="2:106" ht="11.25" customHeight="1" x14ac:dyDescent="0.2">
      <c r="B17" s="67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8"/>
      <c r="BY17" s="68"/>
      <c r="BZ17" s="68"/>
      <c r="CA17" s="68"/>
      <c r="CB17" s="68"/>
      <c r="CC17" s="68"/>
      <c r="CD17" s="68"/>
      <c r="CE17" s="68"/>
      <c r="CF17" s="68"/>
      <c r="CG17" s="68"/>
      <c r="CH17" s="68"/>
      <c r="CI17" s="68"/>
      <c r="CJ17" s="68"/>
      <c r="CK17" s="68"/>
      <c r="CL17" s="68"/>
      <c r="CM17" s="68"/>
      <c r="CN17" s="68"/>
      <c r="CO17" s="68"/>
      <c r="CP17" s="68"/>
      <c r="CQ17" s="68"/>
      <c r="CR17" s="68"/>
      <c r="CS17" s="68"/>
      <c r="CT17" s="68"/>
      <c r="CU17" s="68"/>
      <c r="CV17" s="68"/>
      <c r="CW17" s="68"/>
      <c r="CX17" s="75"/>
      <c r="CY17" s="75"/>
      <c r="CZ17" s="75"/>
      <c r="DA17" s="76"/>
      <c r="DB17" s="74"/>
    </row>
    <row r="18" spans="2:106" ht="11.25" customHeight="1" x14ac:dyDescent="0.2">
      <c r="B18" s="67"/>
      <c r="C18" s="68"/>
      <c r="D18" s="68"/>
      <c r="E18" s="68"/>
      <c r="F18" s="68"/>
      <c r="G18" s="68" t="s">
        <v>438</v>
      </c>
      <c r="H18" s="68"/>
      <c r="I18" s="68"/>
      <c r="J18" s="68"/>
      <c r="K18" s="68"/>
      <c r="L18" s="68"/>
      <c r="M18" s="68"/>
      <c r="N18" s="68" t="s">
        <v>383</v>
      </c>
      <c r="O18" s="68"/>
      <c r="P18" s="68" t="str">
        <f>TEXT(기계경비총괄표!G5,"#,##0")</f>
        <v>38,972</v>
      </c>
      <c r="Q18" s="68"/>
      <c r="R18" s="68"/>
      <c r="S18" s="68"/>
      <c r="T18" s="68"/>
      <c r="U18" s="68"/>
      <c r="V18" s="68"/>
      <c r="W18" s="68"/>
      <c r="X18" s="68"/>
      <c r="Y18" s="68" t="s">
        <v>253</v>
      </c>
      <c r="Z18" s="68"/>
      <c r="AA18" s="68"/>
      <c r="AB18" s="68" t="str">
        <f>TEXT(BL15,"#,##0.#######")</f>
        <v>17.5</v>
      </c>
      <c r="AC18" s="68"/>
      <c r="AD18" s="68"/>
      <c r="AE18" s="68"/>
      <c r="AF18" s="68"/>
      <c r="AG18" s="68"/>
      <c r="AH18" s="68"/>
      <c r="AI18" s="68" t="s">
        <v>437</v>
      </c>
      <c r="AJ18" s="68"/>
      <c r="AK18" s="68" t="str">
        <f>TEXT(0.9,"#,##0.#######")</f>
        <v>0.9</v>
      </c>
      <c r="AL18" s="68"/>
      <c r="AM18" s="68"/>
      <c r="AN18" s="68"/>
      <c r="AO18" s="68" t="s">
        <v>214</v>
      </c>
      <c r="AP18" s="68"/>
      <c r="AQ18" s="68" t="str">
        <f>TEXT(TRUNC(P18/BL15*AK18,1),"#,##0.#")</f>
        <v>2,004.2</v>
      </c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75"/>
      <c r="CY18" s="75"/>
      <c r="CZ18" s="75"/>
      <c r="DA18" s="76"/>
      <c r="DB18" s="74"/>
    </row>
    <row r="19" spans="2:106" ht="11.25" customHeight="1" x14ac:dyDescent="0.2">
      <c r="B19" s="67"/>
      <c r="C19" s="68"/>
      <c r="D19" s="68"/>
      <c r="E19" s="68"/>
      <c r="F19" s="68"/>
      <c r="G19" s="68" t="s">
        <v>319</v>
      </c>
      <c r="H19" s="68"/>
      <c r="I19" s="68"/>
      <c r="J19" s="68"/>
      <c r="K19" s="68"/>
      <c r="L19" s="68"/>
      <c r="M19" s="68"/>
      <c r="N19" s="68" t="s">
        <v>383</v>
      </c>
      <c r="O19" s="68"/>
      <c r="P19" s="68"/>
      <c r="Q19" s="68" t="str">
        <f>TEXT(기계경비총괄표!H5,"#,##0")</f>
        <v>6,836</v>
      </c>
      <c r="R19" s="68"/>
      <c r="S19" s="68"/>
      <c r="T19" s="68"/>
      <c r="U19" s="68"/>
      <c r="V19" s="68"/>
      <c r="W19" s="68"/>
      <c r="X19" s="68"/>
      <c r="Y19" s="68" t="s">
        <v>253</v>
      </c>
      <c r="Z19" s="68"/>
      <c r="AA19" s="68"/>
      <c r="AB19" s="68" t="str">
        <f>TEXT(BL15,"#,##0.#######")</f>
        <v>17.5</v>
      </c>
      <c r="AC19" s="68"/>
      <c r="AD19" s="68"/>
      <c r="AE19" s="68"/>
      <c r="AF19" s="68"/>
      <c r="AG19" s="68"/>
      <c r="AH19" s="68"/>
      <c r="AI19" s="68" t="s">
        <v>437</v>
      </c>
      <c r="AJ19" s="68"/>
      <c r="AK19" s="68" t="str">
        <f>TEXT(0.9,"#,##0.#######")</f>
        <v>0.9</v>
      </c>
      <c r="AL19" s="68"/>
      <c r="AM19" s="68"/>
      <c r="AN19" s="68"/>
      <c r="AO19" s="68" t="s">
        <v>214</v>
      </c>
      <c r="AP19" s="68"/>
      <c r="AQ19" s="68"/>
      <c r="AR19" s="68"/>
      <c r="AS19" s="68" t="str">
        <f>TEXT(TRUNC(Q19/BL15*AK19,1),"#,##0.#")</f>
        <v>351.5</v>
      </c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68"/>
      <c r="BX19" s="68"/>
      <c r="BY19" s="68"/>
      <c r="BZ19" s="68"/>
      <c r="CA19" s="68"/>
      <c r="CB19" s="68"/>
      <c r="CC19" s="68"/>
      <c r="CD19" s="68"/>
      <c r="CE19" s="68"/>
      <c r="CF19" s="68"/>
      <c r="CG19" s="68"/>
      <c r="CH19" s="68"/>
      <c r="CI19" s="68"/>
      <c r="CJ19" s="68"/>
      <c r="CK19" s="68"/>
      <c r="CL19" s="68"/>
      <c r="CM19" s="68"/>
      <c r="CN19" s="68"/>
      <c r="CO19" s="68"/>
      <c r="CP19" s="68"/>
      <c r="CQ19" s="68"/>
      <c r="CR19" s="68"/>
      <c r="CS19" s="68"/>
      <c r="CT19" s="68"/>
      <c r="CU19" s="68"/>
      <c r="CV19" s="68"/>
      <c r="CW19" s="68"/>
      <c r="CX19" s="75"/>
      <c r="CY19" s="75"/>
      <c r="CZ19" s="75"/>
      <c r="DA19" s="76"/>
      <c r="DB19" s="74"/>
    </row>
    <row r="20" spans="2:106" ht="11.25" customHeight="1" x14ac:dyDescent="0.2">
      <c r="B20" s="67"/>
      <c r="C20" s="68"/>
      <c r="D20" s="68"/>
      <c r="E20" s="68"/>
      <c r="F20" s="68"/>
      <c r="G20" s="68" t="s">
        <v>116</v>
      </c>
      <c r="H20" s="68"/>
      <c r="I20" s="68"/>
      <c r="J20" s="68"/>
      <c r="K20" s="68" t="s">
        <v>281</v>
      </c>
      <c r="L20" s="68"/>
      <c r="M20" s="68"/>
      <c r="N20" s="68" t="s">
        <v>383</v>
      </c>
      <c r="O20" s="68"/>
      <c r="P20" s="68" t="str">
        <f>TEXT(기계경비총괄표!I5,"#,##0")</f>
        <v>12,464</v>
      </c>
      <c r="Q20" s="68"/>
      <c r="R20" s="68"/>
      <c r="S20" s="68"/>
      <c r="T20" s="68"/>
      <c r="U20" s="68"/>
      <c r="V20" s="68"/>
      <c r="W20" s="68"/>
      <c r="X20" s="68"/>
      <c r="Y20" s="68" t="s">
        <v>253</v>
      </c>
      <c r="Z20" s="68"/>
      <c r="AA20" s="68"/>
      <c r="AB20" s="68" t="str">
        <f>TEXT(BL15,"#,##0.#######")</f>
        <v>17.5</v>
      </c>
      <c r="AC20" s="68"/>
      <c r="AD20" s="68"/>
      <c r="AE20" s="68"/>
      <c r="AF20" s="68"/>
      <c r="AG20" s="68"/>
      <c r="AH20" s="68"/>
      <c r="AI20" s="68" t="s">
        <v>437</v>
      </c>
      <c r="AJ20" s="68"/>
      <c r="AK20" s="68" t="str">
        <f>TEXT(0.9,"#,##0.#######")</f>
        <v>0.9</v>
      </c>
      <c r="AL20" s="68"/>
      <c r="AM20" s="68"/>
      <c r="AN20" s="68"/>
      <c r="AO20" s="68" t="s">
        <v>214</v>
      </c>
      <c r="AP20" s="68"/>
      <c r="AQ20" s="68"/>
      <c r="AR20" s="68"/>
      <c r="AS20" s="68" t="str">
        <f>TEXT(TRUNC(P20/BL15*AK20,1),"#,##0.#")</f>
        <v>641.</v>
      </c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75"/>
      <c r="CY20" s="75"/>
      <c r="CZ20" s="75"/>
      <c r="DA20" s="76"/>
      <c r="DB20" s="74"/>
    </row>
    <row r="21" spans="2:106" ht="11.25" customHeight="1" x14ac:dyDescent="0.2">
      <c r="B21" s="67"/>
      <c r="C21" s="68"/>
      <c r="D21" s="68"/>
      <c r="E21" s="68"/>
      <c r="F21" s="68"/>
      <c r="G21" s="68" t="s">
        <v>213</v>
      </c>
      <c r="H21" s="68"/>
      <c r="I21" s="68"/>
      <c r="J21" s="68"/>
      <c r="K21" s="68" t="s">
        <v>279</v>
      </c>
      <c r="L21" s="68"/>
      <c r="M21" s="68"/>
      <c r="N21" s="68" t="s">
        <v>383</v>
      </c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 t="str">
        <f>TEXT(AQ18+AS19+AS20,"#,##0.#######")</f>
        <v>2,996.7</v>
      </c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8"/>
      <c r="BY21" s="68"/>
      <c r="BZ21" s="68"/>
      <c r="CA21" s="68"/>
      <c r="CB21" s="68"/>
      <c r="CC21" s="68"/>
      <c r="CD21" s="68"/>
      <c r="CE21" s="68"/>
      <c r="CF21" s="68"/>
      <c r="CG21" s="68"/>
      <c r="CH21" s="68"/>
      <c r="CI21" s="68"/>
      <c r="CJ21" s="68"/>
      <c r="CK21" s="68"/>
      <c r="CL21" s="68"/>
      <c r="CM21" s="68"/>
      <c r="CN21" s="68"/>
      <c r="CO21" s="68"/>
      <c r="CP21" s="68"/>
      <c r="CQ21" s="68"/>
      <c r="CR21" s="68"/>
      <c r="CS21" s="68"/>
      <c r="CT21" s="68"/>
      <c r="CU21" s="68"/>
      <c r="CV21" s="68"/>
      <c r="CW21" s="68"/>
      <c r="CX21" s="75">
        <f>CY21+CZ21+DA21</f>
        <v>2996.7</v>
      </c>
      <c r="CY21" s="75" t="str">
        <f>TEXT(AQ18,"#,###.0")</f>
        <v>2,004.2</v>
      </c>
      <c r="CZ21" s="75" t="str">
        <f>TEXT(AS19,"#,###.0")</f>
        <v>351.5</v>
      </c>
      <c r="DA21" s="76" t="str">
        <f>TEXT(AS20,"#,###.0")</f>
        <v>641.0</v>
      </c>
      <c r="DB21" s="74"/>
    </row>
    <row r="22" spans="2:106" ht="11.25" customHeight="1" x14ac:dyDescent="0.2">
      <c r="B22" s="67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75"/>
      <c r="CY22" s="75"/>
      <c r="CZ22" s="75"/>
      <c r="DA22" s="76"/>
      <c r="DB22" s="74"/>
    </row>
    <row r="23" spans="2:106" ht="11.25" customHeight="1" x14ac:dyDescent="0.2">
      <c r="B23" s="67"/>
      <c r="C23" s="68"/>
      <c r="D23" s="68" t="s">
        <v>377</v>
      </c>
      <c r="E23" s="68"/>
      <c r="F23" s="68"/>
      <c r="G23" s="68" t="s">
        <v>469</v>
      </c>
      <c r="H23" s="68"/>
      <c r="I23" s="68"/>
      <c r="J23" s="68" t="s">
        <v>194</v>
      </c>
      <c r="K23" s="68"/>
      <c r="L23" s="68" t="s">
        <v>275</v>
      </c>
      <c r="M23" s="68" t="s">
        <v>57</v>
      </c>
      <c r="N23" s="68"/>
      <c r="O23" s="68" t="s">
        <v>113</v>
      </c>
      <c r="P23" s="68" t="s">
        <v>55</v>
      </c>
      <c r="Q23" s="68"/>
      <c r="R23" s="68" t="s">
        <v>383</v>
      </c>
      <c r="S23" s="68"/>
      <c r="T23" s="68" t="s">
        <v>275</v>
      </c>
      <c r="U23" s="68" t="s">
        <v>139</v>
      </c>
      <c r="V23" s="68"/>
      <c r="W23" s="68"/>
      <c r="X23" s="68"/>
      <c r="Y23" s="68"/>
      <c r="Z23" s="68"/>
      <c r="AA23" s="68" t="s">
        <v>130</v>
      </c>
      <c r="AB23" s="68"/>
      <c r="AC23" s="68"/>
      <c r="AD23" s="68"/>
      <c r="AE23" s="68"/>
      <c r="AF23" s="68"/>
      <c r="AG23" s="68"/>
      <c r="AH23" s="68" t="s">
        <v>147</v>
      </c>
      <c r="AI23" s="68"/>
      <c r="AJ23" s="68"/>
      <c r="AK23" s="68"/>
      <c r="AL23" s="68"/>
      <c r="AM23" s="68"/>
      <c r="AN23" s="68"/>
      <c r="AO23" s="68" t="s">
        <v>55</v>
      </c>
      <c r="AP23" s="68" t="s">
        <v>162</v>
      </c>
      <c r="AQ23" s="68"/>
      <c r="AR23" s="68"/>
      <c r="AS23" s="68" t="s">
        <v>379</v>
      </c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8"/>
      <c r="BY23" s="68"/>
      <c r="BZ23" s="68"/>
      <c r="CA23" s="68"/>
      <c r="CB23" s="68"/>
      <c r="CC23" s="68"/>
      <c r="CD23" s="68"/>
      <c r="CE23" s="68"/>
      <c r="CF23" s="68"/>
      <c r="CG23" s="68"/>
      <c r="CH23" s="68"/>
      <c r="CI23" s="68"/>
      <c r="CJ23" s="68"/>
      <c r="CK23" s="68"/>
      <c r="CL23" s="68"/>
      <c r="CM23" s="68"/>
      <c r="CN23" s="68"/>
      <c r="CO23" s="68"/>
      <c r="CP23" s="68"/>
      <c r="CQ23" s="68"/>
      <c r="CR23" s="68"/>
      <c r="CS23" s="68"/>
      <c r="CT23" s="68"/>
      <c r="CU23" s="68"/>
      <c r="CV23" s="68"/>
      <c r="CW23" s="68"/>
      <c r="CX23" s="75"/>
      <c r="CY23" s="75"/>
      <c r="CZ23" s="75"/>
      <c r="DA23" s="76"/>
      <c r="DB23" s="74"/>
    </row>
    <row r="24" spans="2:106" ht="11.25" customHeight="1" x14ac:dyDescent="0.2">
      <c r="B24" s="67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8"/>
      <c r="CA24" s="68"/>
      <c r="CB24" s="68"/>
      <c r="CC24" s="68"/>
      <c r="CD24" s="68"/>
      <c r="CE24" s="68"/>
      <c r="CF24" s="68"/>
      <c r="CG24" s="68"/>
      <c r="CH24" s="68"/>
      <c r="CI24" s="68"/>
      <c r="CJ24" s="68"/>
      <c r="CK24" s="68"/>
      <c r="CL24" s="68"/>
      <c r="CM24" s="68"/>
      <c r="CN24" s="68"/>
      <c r="CO24" s="68"/>
      <c r="CP24" s="68"/>
      <c r="CQ24" s="68"/>
      <c r="CR24" s="68"/>
      <c r="CS24" s="68"/>
      <c r="CT24" s="68"/>
      <c r="CU24" s="68"/>
      <c r="CV24" s="68"/>
      <c r="CW24" s="68"/>
      <c r="CX24" s="75"/>
      <c r="CY24" s="75"/>
      <c r="CZ24" s="75"/>
      <c r="DA24" s="76"/>
      <c r="DB24" s="74"/>
    </row>
    <row r="25" spans="2:106" ht="11.25" customHeight="1" x14ac:dyDescent="0.2">
      <c r="B25" s="67"/>
      <c r="C25" s="68"/>
      <c r="D25" s="68"/>
      <c r="E25" s="68"/>
      <c r="F25" s="68"/>
      <c r="G25" s="68" t="s">
        <v>28</v>
      </c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 t="s">
        <v>383</v>
      </c>
      <c r="S25" s="68"/>
      <c r="T25" s="68" t="str">
        <f>TEXT(노임단가!L5,"#,##0")</f>
        <v>125,427</v>
      </c>
      <c r="U25" s="68"/>
      <c r="V25" s="68"/>
      <c r="W25" s="68"/>
      <c r="X25" s="68"/>
      <c r="Y25" s="68"/>
      <c r="Z25" s="68"/>
      <c r="AA25" s="68"/>
      <c r="AB25" s="68"/>
      <c r="AC25" s="68"/>
      <c r="AD25" s="68" t="s">
        <v>437</v>
      </c>
      <c r="AE25" s="68"/>
      <c r="AF25" s="68" t="s">
        <v>275</v>
      </c>
      <c r="AG25" s="68" t="str">
        <f>TEXT(0.2,"#,##0.#######")</f>
        <v>0.2</v>
      </c>
      <c r="AH25" s="68"/>
      <c r="AI25" s="68"/>
      <c r="AJ25" s="68" t="s">
        <v>105</v>
      </c>
      <c r="AK25" s="68" t="str">
        <f>TEXT(0.26,"#,##0.#######")</f>
        <v>0.26</v>
      </c>
      <c r="AL25" s="68"/>
      <c r="AM25" s="68"/>
      <c r="AN25" s="68"/>
      <c r="AO25" s="68" t="s">
        <v>105</v>
      </c>
      <c r="AP25" s="68" t="str">
        <f>TEXT(0.32,"#,##0.#######")</f>
        <v>0.32</v>
      </c>
      <c r="AQ25" s="68"/>
      <c r="AR25" s="68"/>
      <c r="AS25" s="68"/>
      <c r="AT25" s="68" t="s">
        <v>55</v>
      </c>
      <c r="AU25" s="68" t="s">
        <v>90</v>
      </c>
      <c r="AV25" s="68" t="str">
        <f>TEXT(3,"#,##0.#######")</f>
        <v>3.</v>
      </c>
      <c r="AW25" s="68" t="s">
        <v>469</v>
      </c>
      <c r="AX25" s="68"/>
      <c r="AY25" s="68"/>
      <c r="AZ25" s="68" t="s">
        <v>437</v>
      </c>
      <c r="BA25" s="68"/>
      <c r="BB25" s="68"/>
      <c r="BC25" s="68" t="str">
        <f>TEXT(0.1,"#,##0.#######")</f>
        <v>0.1</v>
      </c>
      <c r="BD25" s="68"/>
      <c r="BE25" s="68"/>
      <c r="BF25" s="68"/>
      <c r="BG25" s="68" t="s">
        <v>214</v>
      </c>
      <c r="BH25" s="68"/>
      <c r="BI25" s="68" t="str">
        <f>TEXT(TRUNC(T25*(AG25+AK25+AP25)/AV25*BC25,1),"#,##0.#")</f>
        <v>3,261.1</v>
      </c>
      <c r="BJ25" s="68"/>
      <c r="BK25" s="68"/>
      <c r="BL25" s="68"/>
      <c r="BM25" s="68"/>
      <c r="BN25" s="68"/>
      <c r="BO25" s="68"/>
      <c r="BP25" s="68"/>
      <c r="BQ25" s="68"/>
      <c r="BR25" s="68"/>
      <c r="BS25" s="68"/>
      <c r="BT25" s="68"/>
      <c r="BU25" s="68"/>
      <c r="BV25" s="68"/>
      <c r="BW25" s="68"/>
      <c r="BX25" s="68"/>
      <c r="BY25" s="68"/>
      <c r="BZ25" s="68"/>
      <c r="CA25" s="68"/>
      <c r="CB25" s="68"/>
      <c r="CC25" s="68"/>
      <c r="CD25" s="68"/>
      <c r="CE25" s="68"/>
      <c r="CF25" s="68"/>
      <c r="CG25" s="68"/>
      <c r="CH25" s="68"/>
      <c r="CI25" s="68"/>
      <c r="CJ25" s="68"/>
      <c r="CK25" s="68"/>
      <c r="CL25" s="68"/>
      <c r="CM25" s="68"/>
      <c r="CN25" s="68"/>
      <c r="CO25" s="68"/>
      <c r="CP25" s="68"/>
      <c r="CQ25" s="68"/>
      <c r="CR25" s="68"/>
      <c r="CS25" s="68"/>
      <c r="CT25" s="68"/>
      <c r="CU25" s="68"/>
      <c r="CV25" s="68"/>
      <c r="CW25" s="68"/>
      <c r="CX25" s="75">
        <f>CY25+CZ25+DA25</f>
        <v>3261.1</v>
      </c>
      <c r="CY25" s="75" t="str">
        <f>BI25</f>
        <v>3,261.1</v>
      </c>
      <c r="CZ25" s="75"/>
      <c r="DA25" s="76"/>
      <c r="DB25" s="74"/>
    </row>
    <row r="26" spans="2:106" ht="11.25" customHeight="1" x14ac:dyDescent="0.2">
      <c r="B26" s="67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68"/>
      <c r="BP26" s="68"/>
      <c r="BQ26" s="68"/>
      <c r="BR26" s="68"/>
      <c r="BS26" s="68"/>
      <c r="BT26" s="68"/>
      <c r="BU26" s="68"/>
      <c r="BV26" s="68"/>
      <c r="BW26" s="68"/>
      <c r="BX26" s="68"/>
      <c r="BY26" s="68"/>
      <c r="BZ26" s="68"/>
      <c r="CA26" s="68"/>
      <c r="CB26" s="68"/>
      <c r="CC26" s="68"/>
      <c r="CD26" s="68"/>
      <c r="CE26" s="68"/>
      <c r="CF26" s="68"/>
      <c r="CG26" s="68"/>
      <c r="CH26" s="68"/>
      <c r="CI26" s="68"/>
      <c r="CJ26" s="68"/>
      <c r="CK26" s="68"/>
      <c r="CL26" s="68"/>
      <c r="CM26" s="68"/>
      <c r="CN26" s="68"/>
      <c r="CO26" s="68"/>
      <c r="CP26" s="68"/>
      <c r="CQ26" s="68"/>
      <c r="CR26" s="68"/>
      <c r="CS26" s="68"/>
      <c r="CT26" s="68"/>
      <c r="CU26" s="68"/>
      <c r="CV26" s="68"/>
      <c r="CW26" s="68"/>
      <c r="CX26" s="75"/>
      <c r="CY26" s="75"/>
      <c r="CZ26" s="75"/>
      <c r="DA26" s="76"/>
      <c r="DB26" s="74"/>
    </row>
    <row r="27" spans="2:106" ht="11.25" customHeight="1" x14ac:dyDescent="0.2">
      <c r="B27" s="67"/>
      <c r="C27" s="68"/>
      <c r="D27" s="68" t="s">
        <v>506</v>
      </c>
      <c r="E27" s="68"/>
      <c r="F27" s="68"/>
      <c r="G27" s="68" t="s">
        <v>353</v>
      </c>
      <c r="H27" s="68"/>
      <c r="I27" s="68"/>
      <c r="J27" s="68"/>
      <c r="K27" s="68" t="s">
        <v>279</v>
      </c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  <c r="BO27" s="68"/>
      <c r="BP27" s="68"/>
      <c r="BQ27" s="68"/>
      <c r="BR27" s="68"/>
      <c r="BS27" s="68"/>
      <c r="BT27" s="68"/>
      <c r="BU27" s="68"/>
      <c r="BV27" s="68"/>
      <c r="BW27" s="68"/>
      <c r="BX27" s="68"/>
      <c r="BY27" s="68"/>
      <c r="BZ27" s="68"/>
      <c r="CA27" s="68"/>
      <c r="CB27" s="68"/>
      <c r="CC27" s="68"/>
      <c r="CD27" s="68"/>
      <c r="CE27" s="68"/>
      <c r="CF27" s="68"/>
      <c r="CG27" s="68"/>
      <c r="CH27" s="68"/>
      <c r="CI27" s="68"/>
      <c r="CJ27" s="68"/>
      <c r="CK27" s="68"/>
      <c r="CL27" s="68"/>
      <c r="CM27" s="68"/>
      <c r="CN27" s="68"/>
      <c r="CO27" s="68"/>
      <c r="CP27" s="68"/>
      <c r="CQ27" s="68"/>
      <c r="CR27" s="68"/>
      <c r="CS27" s="68"/>
      <c r="CT27" s="68"/>
      <c r="CU27" s="68"/>
      <c r="CV27" s="68"/>
      <c r="CW27" s="68"/>
      <c r="CX27" s="75"/>
      <c r="CY27" s="75"/>
      <c r="CZ27" s="75"/>
      <c r="DA27" s="76"/>
      <c r="DB27" s="74"/>
    </row>
    <row r="28" spans="2:106" ht="11.25" customHeight="1" x14ac:dyDescent="0.2">
      <c r="B28" s="67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  <c r="CW28" s="68"/>
      <c r="CX28" s="75"/>
      <c r="CY28" s="75"/>
      <c r="CZ28" s="75"/>
      <c r="DA28" s="76"/>
      <c r="DB28" s="74"/>
    </row>
    <row r="29" spans="2:106" ht="11.25" customHeight="1" x14ac:dyDescent="0.2">
      <c r="B29" s="67"/>
      <c r="C29" s="68"/>
      <c r="D29" s="68"/>
      <c r="E29" s="68"/>
      <c r="F29" s="68"/>
      <c r="G29" s="68"/>
      <c r="H29" s="68" t="s">
        <v>438</v>
      </c>
      <c r="I29" s="68"/>
      <c r="J29" s="68"/>
      <c r="K29" s="68"/>
      <c r="L29" s="68"/>
      <c r="M29" s="68"/>
      <c r="N29" s="68"/>
      <c r="O29" s="68" t="s">
        <v>383</v>
      </c>
      <c r="P29" s="68"/>
      <c r="Q29" s="68" t="str">
        <f>TEXT(CY21,"#,###.##")</f>
        <v>2,004.2</v>
      </c>
      <c r="R29" s="68"/>
      <c r="S29" s="68"/>
      <c r="T29" s="68"/>
      <c r="U29" s="68"/>
      <c r="V29" s="68"/>
      <c r="W29" s="68"/>
      <c r="X29" s="68"/>
      <c r="Y29" s="68" t="s">
        <v>105</v>
      </c>
      <c r="Z29" s="68"/>
      <c r="AA29" s="68" t="str">
        <f>TEXT(CY25,"#,###.##")</f>
        <v>3,261.1</v>
      </c>
      <c r="AB29" s="68"/>
      <c r="AC29" s="68"/>
      <c r="AD29" s="68"/>
      <c r="AE29" s="68"/>
      <c r="AF29" s="68"/>
      <c r="AG29" s="68"/>
      <c r="AH29" s="68"/>
      <c r="AI29" s="68" t="s">
        <v>214</v>
      </c>
      <c r="AJ29" s="68"/>
      <c r="AK29" s="68"/>
      <c r="AL29" s="68" t="str">
        <f>TEXT(TRUNC(CY21+CY25,0),"#,##0")</f>
        <v>5,265</v>
      </c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  <c r="CW29" s="68"/>
      <c r="CX29" s="75"/>
      <c r="CY29" s="75"/>
      <c r="CZ29" s="75"/>
      <c r="DA29" s="76"/>
      <c r="DB29" s="74"/>
    </row>
    <row r="30" spans="2:106" ht="11.25" customHeight="1" x14ac:dyDescent="0.2">
      <c r="B30" s="67"/>
      <c r="C30" s="68"/>
      <c r="D30" s="68"/>
      <c r="E30" s="68"/>
      <c r="F30" s="68"/>
      <c r="G30" s="68"/>
      <c r="H30" s="68" t="s">
        <v>319</v>
      </c>
      <c r="I30" s="68"/>
      <c r="J30" s="68"/>
      <c r="K30" s="68"/>
      <c r="L30" s="68"/>
      <c r="M30" s="68"/>
      <c r="N30" s="68"/>
      <c r="O30" s="68" t="s">
        <v>383</v>
      </c>
      <c r="P30" s="68"/>
      <c r="Q30" s="68" t="str">
        <f>TEXT(TRUNC(CZ21,0),"#,##0")</f>
        <v>351</v>
      </c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75"/>
      <c r="CY30" s="75"/>
      <c r="CZ30" s="75"/>
      <c r="DA30" s="76"/>
      <c r="DB30" s="74"/>
    </row>
    <row r="31" spans="2:106" ht="11.25" customHeight="1" x14ac:dyDescent="0.2">
      <c r="B31" s="67"/>
      <c r="C31" s="68"/>
      <c r="D31" s="68"/>
      <c r="E31" s="68"/>
      <c r="F31" s="68"/>
      <c r="G31" s="68"/>
      <c r="H31" s="68" t="s">
        <v>116</v>
      </c>
      <c r="I31" s="68"/>
      <c r="J31" s="68"/>
      <c r="K31" s="68"/>
      <c r="L31" s="68" t="s">
        <v>281</v>
      </c>
      <c r="M31" s="68"/>
      <c r="N31" s="68"/>
      <c r="O31" s="68" t="s">
        <v>383</v>
      </c>
      <c r="P31" s="68"/>
      <c r="Q31" s="68" t="str">
        <f>TEXT(TRUNC(DA21,0),"#,##0")</f>
        <v>641</v>
      </c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  <c r="CW31" s="68"/>
      <c r="CX31" s="75"/>
      <c r="CY31" s="75"/>
      <c r="CZ31" s="75"/>
      <c r="DA31" s="76"/>
      <c r="DB31" s="74"/>
    </row>
    <row r="32" spans="2:106" ht="11.25" customHeight="1" x14ac:dyDescent="0.2">
      <c r="B32" s="67"/>
      <c r="C32" s="68"/>
      <c r="D32" s="68"/>
      <c r="E32" s="68"/>
      <c r="F32" s="68"/>
      <c r="G32" s="68"/>
      <c r="H32" s="68"/>
      <c r="I32" s="68"/>
      <c r="J32" s="68" t="s">
        <v>279</v>
      </c>
      <c r="K32" s="68"/>
      <c r="L32" s="68"/>
      <c r="M32" s="68"/>
      <c r="N32" s="68"/>
      <c r="O32" s="68" t="s">
        <v>383</v>
      </c>
      <c r="P32" s="68"/>
      <c r="Q32" s="68"/>
      <c r="R32" s="68" t="str">
        <f>TEXT(AL29+Q30+Q31,"#,##0")</f>
        <v>6,257</v>
      </c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8"/>
      <c r="BO32" s="68"/>
      <c r="BP32" s="68"/>
      <c r="BQ32" s="68"/>
      <c r="BR32" s="68"/>
      <c r="BS32" s="68"/>
      <c r="BT32" s="68"/>
      <c r="BU32" s="68"/>
      <c r="BV32" s="68"/>
      <c r="BW32" s="68"/>
      <c r="BX32" s="68"/>
      <c r="BY32" s="68"/>
      <c r="BZ32" s="68"/>
      <c r="CA32" s="68"/>
      <c r="CB32" s="68"/>
      <c r="CC32" s="68"/>
      <c r="CD32" s="68"/>
      <c r="CE32" s="68"/>
      <c r="CF32" s="68"/>
      <c r="CG32" s="68"/>
      <c r="CH32" s="68"/>
      <c r="CI32" s="68"/>
      <c r="CJ32" s="68"/>
      <c r="CK32" s="68"/>
      <c r="CL32" s="68"/>
      <c r="CM32" s="68"/>
      <c r="CN32" s="68"/>
      <c r="CO32" s="68"/>
      <c r="CP32" s="68"/>
      <c r="CQ32" s="68"/>
      <c r="CR32" s="68"/>
      <c r="CS32" s="68"/>
      <c r="CT32" s="68"/>
      <c r="CU32" s="68"/>
      <c r="CV32" s="68"/>
      <c r="CW32" s="68"/>
      <c r="CX32" s="77">
        <f>CY32+CZ32+DA32</f>
        <v>6257</v>
      </c>
      <c r="CY32" s="75" t="str">
        <f>TEXT(AL29,"#,##0")</f>
        <v>5,265</v>
      </c>
      <c r="CZ32" s="75" t="str">
        <f>TEXT(Q30,"#,##0")</f>
        <v>351</v>
      </c>
      <c r="DA32" s="76" t="str">
        <f>TEXT(Q31,"#,##0")</f>
        <v>641</v>
      </c>
      <c r="DB32" s="74"/>
    </row>
    <row r="33" spans="2:106" ht="11.25" customHeight="1" x14ac:dyDescent="0.2">
      <c r="B33" s="67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8"/>
      <c r="BO33" s="68"/>
      <c r="BP33" s="68"/>
      <c r="BQ33" s="68"/>
      <c r="BR33" s="68"/>
      <c r="BS33" s="68"/>
      <c r="BT33" s="68"/>
      <c r="BU33" s="68"/>
      <c r="BV33" s="68"/>
      <c r="BW33" s="68"/>
      <c r="BX33" s="68"/>
      <c r="BY33" s="68"/>
      <c r="BZ33" s="68"/>
      <c r="CA33" s="68"/>
      <c r="CB33" s="68"/>
      <c r="CC33" s="68"/>
      <c r="CD33" s="68"/>
      <c r="CE33" s="68"/>
      <c r="CF33" s="68"/>
      <c r="CG33" s="68"/>
      <c r="CH33" s="68"/>
      <c r="CI33" s="68"/>
      <c r="CJ33" s="68"/>
      <c r="CK33" s="68"/>
      <c r="CL33" s="68"/>
      <c r="CM33" s="68"/>
      <c r="CN33" s="68"/>
      <c r="CO33" s="68"/>
      <c r="CP33" s="68"/>
      <c r="CQ33" s="68"/>
      <c r="CR33" s="68"/>
      <c r="CS33" s="68"/>
      <c r="CT33" s="68"/>
      <c r="CU33" s="68"/>
      <c r="CV33" s="68"/>
      <c r="CW33" s="68"/>
      <c r="CX33" s="75"/>
      <c r="CY33" s="75"/>
      <c r="CZ33" s="75"/>
      <c r="DA33" s="76"/>
      <c r="DB33" s="74"/>
    </row>
    <row r="34" spans="2:106" ht="11.25" customHeight="1" x14ac:dyDescent="0.2">
      <c r="B34" s="71" t="s">
        <v>322</v>
      </c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8"/>
      <c r="BY34" s="68"/>
      <c r="BZ34" s="68"/>
      <c r="CA34" s="68"/>
      <c r="CB34" s="68"/>
      <c r="CC34" s="68"/>
      <c r="CD34" s="68"/>
      <c r="CE34" s="68"/>
      <c r="CF34" s="68"/>
      <c r="CG34" s="68"/>
      <c r="CH34" s="68"/>
      <c r="CI34" s="68"/>
      <c r="CJ34" s="68"/>
      <c r="CK34" s="68"/>
      <c r="CL34" s="68"/>
      <c r="CM34" s="68"/>
      <c r="CN34" s="68"/>
      <c r="CO34" s="68"/>
      <c r="CP34" s="68"/>
      <c r="CQ34" s="68"/>
      <c r="CR34" s="68"/>
      <c r="CS34" s="68"/>
      <c r="CT34" s="68"/>
      <c r="CU34" s="68"/>
      <c r="CV34" s="68"/>
      <c r="CW34" s="68"/>
      <c r="CX34" s="72">
        <f>CX77</f>
        <v>6485</v>
      </c>
      <c r="CY34" s="72" t="str">
        <f>CY77</f>
        <v>5,549</v>
      </c>
      <c r="CZ34" s="72" t="str">
        <f>CZ77</f>
        <v>415</v>
      </c>
      <c r="DA34" s="73" t="str">
        <f>DA77</f>
        <v>521</v>
      </c>
      <c r="DB34" s="74"/>
    </row>
    <row r="35" spans="2:106" ht="11.25" customHeight="1" x14ac:dyDescent="0.2">
      <c r="B35" s="67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8"/>
      <c r="BY35" s="68"/>
      <c r="BZ35" s="68"/>
      <c r="CA35" s="68"/>
      <c r="CB35" s="68"/>
      <c r="CC35" s="68"/>
      <c r="CD35" s="68"/>
      <c r="CE35" s="68"/>
      <c r="CF35" s="68"/>
      <c r="CG35" s="68"/>
      <c r="CH35" s="68"/>
      <c r="CI35" s="68"/>
      <c r="CJ35" s="68"/>
      <c r="CK35" s="68"/>
      <c r="CL35" s="68"/>
      <c r="CM35" s="68"/>
      <c r="CN35" s="68"/>
      <c r="CO35" s="68"/>
      <c r="CP35" s="68"/>
      <c r="CQ35" s="68"/>
      <c r="CR35" s="68"/>
      <c r="CS35" s="68"/>
      <c r="CT35" s="68"/>
      <c r="CU35" s="68"/>
      <c r="CV35" s="68"/>
      <c r="CW35" s="68"/>
      <c r="CX35" s="75"/>
      <c r="CY35" s="75"/>
      <c r="CZ35" s="75"/>
      <c r="DA35" s="76"/>
      <c r="DB35" s="74"/>
    </row>
    <row r="36" spans="2:106" ht="11.25" customHeight="1" x14ac:dyDescent="0.2">
      <c r="B36" s="67"/>
      <c r="C36" s="68"/>
      <c r="D36" s="68" t="s">
        <v>257</v>
      </c>
      <c r="E36" s="68"/>
      <c r="F36" s="68"/>
      <c r="G36" s="68" t="s">
        <v>52</v>
      </c>
      <c r="H36" s="68"/>
      <c r="I36" s="68"/>
      <c r="J36" s="68" t="s">
        <v>279</v>
      </c>
      <c r="K36" s="68"/>
      <c r="L36" s="68"/>
      <c r="M36" s="68" t="s">
        <v>275</v>
      </c>
      <c r="N36" s="68" t="s">
        <v>41</v>
      </c>
      <c r="O36" s="68"/>
      <c r="P36" s="68" t="s">
        <v>113</v>
      </c>
      <c r="Q36" s="68" t="s">
        <v>55</v>
      </c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  <c r="BQ36" s="68"/>
      <c r="BR36" s="68"/>
      <c r="BS36" s="68"/>
      <c r="BT36" s="68"/>
      <c r="BU36" s="68"/>
      <c r="BV36" s="68"/>
      <c r="BW36" s="68"/>
      <c r="BX36" s="68"/>
      <c r="BY36" s="68"/>
      <c r="BZ36" s="68"/>
      <c r="CA36" s="68"/>
      <c r="CB36" s="68"/>
      <c r="CC36" s="68"/>
      <c r="CD36" s="68"/>
      <c r="CE36" s="68"/>
      <c r="CF36" s="68"/>
      <c r="CG36" s="68"/>
      <c r="CH36" s="68"/>
      <c r="CI36" s="68"/>
      <c r="CJ36" s="68"/>
      <c r="CK36" s="68"/>
      <c r="CL36" s="68"/>
      <c r="CM36" s="68"/>
      <c r="CN36" s="68"/>
      <c r="CO36" s="68"/>
      <c r="CP36" s="68"/>
      <c r="CQ36" s="68"/>
      <c r="CR36" s="68"/>
      <c r="CS36" s="68"/>
      <c r="CT36" s="68"/>
      <c r="CU36" s="68"/>
      <c r="CV36" s="68"/>
      <c r="CW36" s="68"/>
      <c r="CX36" s="75"/>
      <c r="CY36" s="75"/>
      <c r="CZ36" s="75"/>
      <c r="DA36" s="76"/>
      <c r="DB36" s="74"/>
    </row>
    <row r="37" spans="2:106" ht="11.25" customHeight="1" x14ac:dyDescent="0.2">
      <c r="B37" s="67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8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8"/>
      <c r="CP37" s="68"/>
      <c r="CQ37" s="68"/>
      <c r="CR37" s="68"/>
      <c r="CS37" s="68"/>
      <c r="CT37" s="68"/>
      <c r="CU37" s="68"/>
      <c r="CV37" s="68"/>
      <c r="CW37" s="68"/>
      <c r="CX37" s="75"/>
      <c r="CY37" s="75"/>
      <c r="CZ37" s="75"/>
      <c r="DA37" s="76"/>
      <c r="DB37" s="74"/>
    </row>
    <row r="38" spans="2:106" ht="11.25" customHeight="1" x14ac:dyDescent="0.2">
      <c r="B38" s="67"/>
      <c r="C38" s="68"/>
      <c r="D38" s="68"/>
      <c r="E38" s="68"/>
      <c r="F38" s="68"/>
      <c r="G38" s="68" t="s">
        <v>163</v>
      </c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 t="s">
        <v>251</v>
      </c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8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8"/>
      <c r="CP38" s="68"/>
      <c r="CQ38" s="68"/>
      <c r="CR38" s="68"/>
      <c r="CS38" s="68"/>
      <c r="CT38" s="68"/>
      <c r="CU38" s="68"/>
      <c r="CV38" s="68"/>
      <c r="CW38" s="68"/>
      <c r="CX38" s="75"/>
      <c r="CY38" s="75"/>
      <c r="CZ38" s="75"/>
      <c r="DA38" s="76"/>
      <c r="DB38" s="74"/>
    </row>
    <row r="39" spans="2:106" ht="11.25" customHeight="1" x14ac:dyDescent="0.2">
      <c r="B39" s="67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8"/>
      <c r="BO39" s="68"/>
      <c r="BP39" s="68"/>
      <c r="BQ39" s="68"/>
      <c r="BR39" s="68"/>
      <c r="BS39" s="68"/>
      <c r="BT39" s="68"/>
      <c r="BU39" s="68"/>
      <c r="BV39" s="68"/>
      <c r="BW39" s="68"/>
      <c r="BX39" s="68"/>
      <c r="BY39" s="68"/>
      <c r="BZ39" s="68"/>
      <c r="CA39" s="68"/>
      <c r="CB39" s="68"/>
      <c r="CC39" s="68"/>
      <c r="CD39" s="68"/>
      <c r="CE39" s="68"/>
      <c r="CF39" s="68"/>
      <c r="CG39" s="68"/>
      <c r="CH39" s="68"/>
      <c r="CI39" s="68"/>
      <c r="CJ39" s="68"/>
      <c r="CK39" s="68"/>
      <c r="CL39" s="68"/>
      <c r="CM39" s="68"/>
      <c r="CN39" s="68"/>
      <c r="CO39" s="68"/>
      <c r="CP39" s="68"/>
      <c r="CQ39" s="68"/>
      <c r="CR39" s="68"/>
      <c r="CS39" s="68"/>
      <c r="CT39" s="68"/>
      <c r="CU39" s="68"/>
      <c r="CV39" s="68"/>
      <c r="CW39" s="68"/>
      <c r="CX39" s="75"/>
      <c r="CY39" s="75"/>
      <c r="CZ39" s="75"/>
      <c r="DA39" s="76"/>
      <c r="DB39" s="74"/>
    </row>
    <row r="40" spans="2:106" ht="11.25" customHeight="1" x14ac:dyDescent="0.2">
      <c r="B40" s="67"/>
      <c r="C40" s="68"/>
      <c r="D40" s="68"/>
      <c r="E40" s="68"/>
      <c r="F40" s="68"/>
      <c r="G40" s="68" t="s">
        <v>436</v>
      </c>
      <c r="H40" s="68"/>
      <c r="I40" s="68" t="s">
        <v>214</v>
      </c>
      <c r="J40" s="68"/>
      <c r="K40" s="68" t="str">
        <f>TEXT(0.2,"#,##0.#######")</f>
        <v>0.2</v>
      </c>
      <c r="L40" s="68"/>
      <c r="M40" s="68"/>
      <c r="N40" s="68" t="s">
        <v>368</v>
      </c>
      <c r="O40" s="68"/>
      <c r="P40" s="68"/>
      <c r="Q40" s="68"/>
      <c r="R40" s="68"/>
      <c r="S40" s="68"/>
      <c r="T40" s="68"/>
      <c r="U40" s="68"/>
      <c r="V40" s="68" t="s">
        <v>60</v>
      </c>
      <c r="W40" s="68"/>
      <c r="X40" s="68" t="s">
        <v>214</v>
      </c>
      <c r="Y40" s="68"/>
      <c r="Z40" s="68" t="str">
        <f>TEXT(0.98,"#,##0.#######")</f>
        <v>0.98</v>
      </c>
      <c r="AA40" s="68"/>
      <c r="AB40" s="68"/>
      <c r="AC40" s="68"/>
      <c r="AD40" s="68"/>
      <c r="AE40" s="68" t="s">
        <v>90</v>
      </c>
      <c r="AF40" s="68"/>
      <c r="AG40" s="68" t="str">
        <f>TEXT(1.24,"#,##0.#######")</f>
        <v>1.24</v>
      </c>
      <c r="AH40" s="68"/>
      <c r="AI40" s="68"/>
      <c r="AJ40" s="68"/>
      <c r="AK40" s="68"/>
      <c r="AL40" s="68" t="s">
        <v>214</v>
      </c>
      <c r="AM40" s="68"/>
      <c r="AN40" s="68" t="str">
        <f>TEXT(ROUND(Z40/AG40,2),"#,##0.#######")</f>
        <v>0.79</v>
      </c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 t="s">
        <v>224</v>
      </c>
      <c r="AZ40" s="68"/>
      <c r="BA40" s="68" t="s">
        <v>214</v>
      </c>
      <c r="BB40" s="68"/>
      <c r="BC40" s="68" t="str">
        <f>TEXT(1.1,"#,##0.#######")</f>
        <v>1.1</v>
      </c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  <c r="BO40" s="68"/>
      <c r="BP40" s="68"/>
      <c r="BQ40" s="68"/>
      <c r="BR40" s="68"/>
      <c r="BS40" s="68"/>
      <c r="BT40" s="68"/>
      <c r="BU40" s="68"/>
      <c r="BV40" s="68"/>
      <c r="BW40" s="68"/>
      <c r="BX40" s="68"/>
      <c r="BY40" s="68"/>
      <c r="BZ40" s="68"/>
      <c r="CA40" s="68"/>
      <c r="CB40" s="68"/>
      <c r="CC40" s="68"/>
      <c r="CD40" s="68"/>
      <c r="CE40" s="68"/>
      <c r="CF40" s="68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75"/>
      <c r="CY40" s="75"/>
      <c r="CZ40" s="75"/>
      <c r="DA40" s="76"/>
      <c r="DB40" s="74"/>
    </row>
    <row r="41" spans="2:106" ht="11.25" customHeight="1" x14ac:dyDescent="0.2">
      <c r="B41" s="67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  <c r="CW41" s="68"/>
      <c r="CX41" s="75"/>
      <c r="CY41" s="75"/>
      <c r="CZ41" s="75"/>
      <c r="DA41" s="76"/>
      <c r="DB41" s="74"/>
    </row>
    <row r="42" spans="2:106" ht="11.25" customHeight="1" x14ac:dyDescent="0.2">
      <c r="B42" s="67"/>
      <c r="C42" s="68"/>
      <c r="D42" s="68"/>
      <c r="E42" s="68"/>
      <c r="F42" s="68"/>
      <c r="G42" s="68" t="s">
        <v>232</v>
      </c>
      <c r="H42" s="68"/>
      <c r="I42" s="68" t="s">
        <v>214</v>
      </c>
      <c r="J42" s="68"/>
      <c r="K42" s="68" t="s">
        <v>275</v>
      </c>
      <c r="L42" s="68" t="str">
        <f>TEXT(0.75,"#,##0.#######")</f>
        <v>0.75</v>
      </c>
      <c r="M42" s="68"/>
      <c r="N42" s="68"/>
      <c r="O42" s="68"/>
      <c r="P42" s="68" t="s">
        <v>105</v>
      </c>
      <c r="Q42" s="68" t="str">
        <f>TEXT(0.65,"#,##0.#######")</f>
        <v>0.65</v>
      </c>
      <c r="R42" s="68"/>
      <c r="S42" s="68"/>
      <c r="T42" s="68"/>
      <c r="U42" s="68" t="s">
        <v>55</v>
      </c>
      <c r="V42" s="68" t="s">
        <v>90</v>
      </c>
      <c r="W42" s="68" t="str">
        <f>TEXT(2,"#,##0.#######")</f>
        <v>2.</v>
      </c>
      <c r="X42" s="68"/>
      <c r="Y42" s="68" t="s">
        <v>214</v>
      </c>
      <c r="Z42" s="68"/>
      <c r="AA42" s="68" t="str">
        <f>TEXT(ROUND((L42+Q42)/W42,2),"#,##0.#######")</f>
        <v>0.7</v>
      </c>
      <c r="AB42" s="68"/>
      <c r="AC42" s="68"/>
      <c r="AD42" s="68"/>
      <c r="AE42" s="68"/>
      <c r="AF42" s="68"/>
      <c r="AG42" s="68"/>
      <c r="AH42" s="68"/>
      <c r="AI42" s="68"/>
      <c r="AJ42" s="68"/>
      <c r="AK42" s="68" t="s">
        <v>67</v>
      </c>
      <c r="AL42" s="68"/>
      <c r="AM42" s="68"/>
      <c r="AN42" s="68" t="s">
        <v>214</v>
      </c>
      <c r="AO42" s="68"/>
      <c r="AP42" s="68" t="str">
        <f>TEXT(18,"#,##0.#######")</f>
        <v>18.</v>
      </c>
      <c r="AQ42" s="68"/>
      <c r="AR42" s="68" t="s">
        <v>452</v>
      </c>
      <c r="AS42" s="68"/>
      <c r="AT42" s="68"/>
      <c r="AU42" s="68"/>
      <c r="AV42" s="68" t="s">
        <v>275</v>
      </c>
      <c r="AW42" s="68" t="s">
        <v>195</v>
      </c>
      <c r="AX42" s="68"/>
      <c r="AY42" s="68"/>
      <c r="AZ42" s="68" t="s">
        <v>365</v>
      </c>
      <c r="BA42" s="68"/>
      <c r="BB42" s="68" t="s">
        <v>55</v>
      </c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  <c r="BQ42" s="68"/>
      <c r="BR42" s="68"/>
      <c r="BS42" s="68"/>
      <c r="BT42" s="68"/>
      <c r="BU42" s="68"/>
      <c r="BV42" s="68"/>
      <c r="BW42" s="68"/>
      <c r="BX42" s="68"/>
      <c r="BY42" s="68"/>
      <c r="BZ42" s="68"/>
      <c r="CA42" s="68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68"/>
      <c r="CT42" s="68"/>
      <c r="CU42" s="68"/>
      <c r="CV42" s="68"/>
      <c r="CW42" s="68"/>
      <c r="CX42" s="75"/>
      <c r="CY42" s="75"/>
      <c r="CZ42" s="75"/>
      <c r="DA42" s="76"/>
      <c r="DB42" s="74"/>
    </row>
    <row r="43" spans="2:106" ht="11.25" customHeight="1" x14ac:dyDescent="0.2">
      <c r="B43" s="67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68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75"/>
      <c r="CY43" s="75"/>
      <c r="CZ43" s="75"/>
      <c r="DA43" s="76"/>
      <c r="DB43" s="74"/>
    </row>
    <row r="44" spans="2:106" ht="11.25" customHeight="1" x14ac:dyDescent="0.2">
      <c r="B44" s="67"/>
      <c r="C44" s="68"/>
      <c r="D44" s="68"/>
      <c r="E44" s="68"/>
      <c r="F44" s="68"/>
      <c r="G44" s="68"/>
      <c r="H44" s="68"/>
      <c r="I44" s="68"/>
      <c r="J44" s="68"/>
      <c r="K44" s="68"/>
      <c r="L44" s="68" t="str">
        <f>TEXT(3600,"#,##0.#######")</f>
        <v>3,600.</v>
      </c>
      <c r="M44" s="68"/>
      <c r="N44" s="68"/>
      <c r="O44" s="68"/>
      <c r="P44" s="68"/>
      <c r="Q44" s="68" t="s">
        <v>437</v>
      </c>
      <c r="R44" s="68"/>
      <c r="S44" s="68" t="s">
        <v>436</v>
      </c>
      <c r="T44" s="68" t="s">
        <v>437</v>
      </c>
      <c r="U44" s="68"/>
      <c r="V44" s="68" t="s">
        <v>224</v>
      </c>
      <c r="W44" s="68" t="s">
        <v>437</v>
      </c>
      <c r="X44" s="68"/>
      <c r="Y44" s="68" t="s">
        <v>60</v>
      </c>
      <c r="Z44" s="68" t="s">
        <v>437</v>
      </c>
      <c r="AA44" s="68"/>
      <c r="AB44" s="68" t="s">
        <v>232</v>
      </c>
      <c r="AC44" s="68"/>
      <c r="AD44" s="68"/>
      <c r="AE44" s="68"/>
      <c r="AF44" s="68"/>
      <c r="AG44" s="68"/>
      <c r="AH44" s="68"/>
      <c r="AI44" s="68" t="str">
        <f>TEXT(L44,"#,##0.#######")</f>
        <v>3,600.</v>
      </c>
      <c r="AJ44" s="68"/>
      <c r="AK44" s="68"/>
      <c r="AL44" s="68"/>
      <c r="AM44" s="68"/>
      <c r="AN44" s="68" t="s">
        <v>437</v>
      </c>
      <c r="AO44" s="68"/>
      <c r="AP44" s="68" t="str">
        <f>TEXT(K40,"#,##0.#######")</f>
        <v>0.2</v>
      </c>
      <c r="AQ44" s="68"/>
      <c r="AR44" s="68"/>
      <c r="AS44" s="68" t="s">
        <v>437</v>
      </c>
      <c r="AT44" s="68"/>
      <c r="AU44" s="68" t="str">
        <f>TEXT(BC40,"#,##0.#######")</f>
        <v>1.1</v>
      </c>
      <c r="AV44" s="68"/>
      <c r="AW44" s="68"/>
      <c r="AX44" s="68" t="s">
        <v>437</v>
      </c>
      <c r="AY44" s="68"/>
      <c r="AZ44" s="68" t="str">
        <f>TEXT(AN40,"#,##0.#######")</f>
        <v>0.79</v>
      </c>
      <c r="BA44" s="68"/>
      <c r="BB44" s="68"/>
      <c r="BC44" s="68"/>
      <c r="BD44" s="68" t="s">
        <v>437</v>
      </c>
      <c r="BE44" s="68"/>
      <c r="BF44" s="68" t="str">
        <f>TEXT(AA42,"#,##0.#######")</f>
        <v>0.7</v>
      </c>
      <c r="BG44" s="68"/>
      <c r="BH44" s="68"/>
      <c r="BI44" s="68"/>
      <c r="BJ44" s="68"/>
      <c r="BK44" s="68"/>
      <c r="BL44" s="68"/>
      <c r="BM44" s="68"/>
      <c r="BN44" s="68"/>
      <c r="BO44" s="68"/>
      <c r="BP44" s="68"/>
      <c r="BQ44" s="68"/>
      <c r="BR44" s="68"/>
      <c r="BS44" s="68"/>
      <c r="BT44" s="68"/>
      <c r="BU44" s="68"/>
      <c r="BV44" s="68"/>
      <c r="BW44" s="68"/>
      <c r="BX44" s="68"/>
      <c r="BY44" s="68"/>
      <c r="BZ44" s="68"/>
      <c r="CA44" s="68"/>
      <c r="CB44" s="68"/>
      <c r="CC44" s="68"/>
      <c r="CD44" s="68"/>
      <c r="CE44" s="68"/>
      <c r="CF44" s="68"/>
      <c r="CG44" s="68"/>
      <c r="CH44" s="68"/>
      <c r="CI44" s="68"/>
      <c r="CJ44" s="68"/>
      <c r="CK44" s="68"/>
      <c r="CL44" s="68"/>
      <c r="CM44" s="68"/>
      <c r="CN44" s="68"/>
      <c r="CO44" s="68"/>
      <c r="CP44" s="68"/>
      <c r="CQ44" s="68"/>
      <c r="CR44" s="68"/>
      <c r="CS44" s="68"/>
      <c r="CT44" s="68"/>
      <c r="CU44" s="68"/>
      <c r="CV44" s="68"/>
      <c r="CW44" s="68"/>
      <c r="CX44" s="75"/>
      <c r="CY44" s="75"/>
      <c r="CZ44" s="75"/>
      <c r="DA44" s="76"/>
      <c r="DB44" s="74"/>
    </row>
    <row r="45" spans="2:106" ht="11.25" customHeight="1" x14ac:dyDescent="0.2">
      <c r="B45" s="67"/>
      <c r="C45" s="68"/>
      <c r="D45" s="68"/>
      <c r="E45" s="68"/>
      <c r="F45" s="68"/>
      <c r="G45" s="68" t="s">
        <v>26</v>
      </c>
      <c r="H45" s="68"/>
      <c r="I45" s="68" t="s">
        <v>214</v>
      </c>
      <c r="J45" s="68"/>
      <c r="K45" s="68" t="s">
        <v>148</v>
      </c>
      <c r="L45" s="68"/>
      <c r="M45" s="68" t="s">
        <v>148</v>
      </c>
      <c r="N45" s="68"/>
      <c r="O45" s="68" t="s">
        <v>148</v>
      </c>
      <c r="P45" s="68"/>
      <c r="Q45" s="68" t="s">
        <v>148</v>
      </c>
      <c r="R45" s="68"/>
      <c r="S45" s="68" t="s">
        <v>148</v>
      </c>
      <c r="T45" s="68"/>
      <c r="U45" s="68" t="s">
        <v>148</v>
      </c>
      <c r="V45" s="68"/>
      <c r="W45" s="68" t="s">
        <v>148</v>
      </c>
      <c r="X45" s="68"/>
      <c r="Y45" s="68" t="s">
        <v>148</v>
      </c>
      <c r="Z45" s="68"/>
      <c r="AA45" s="68" t="s">
        <v>148</v>
      </c>
      <c r="AB45" s="68"/>
      <c r="AC45" s="68" t="s">
        <v>148</v>
      </c>
      <c r="AD45" s="68"/>
      <c r="AE45" s="68"/>
      <c r="AF45" s="68" t="s">
        <v>214</v>
      </c>
      <c r="AG45" s="68"/>
      <c r="AH45" s="68" t="s">
        <v>148</v>
      </c>
      <c r="AI45" s="68"/>
      <c r="AJ45" s="68" t="s">
        <v>148</v>
      </c>
      <c r="AK45" s="68"/>
      <c r="AL45" s="68" t="s">
        <v>148</v>
      </c>
      <c r="AM45" s="68"/>
      <c r="AN45" s="68" t="s">
        <v>148</v>
      </c>
      <c r="AO45" s="68"/>
      <c r="AP45" s="68" t="s">
        <v>148</v>
      </c>
      <c r="AQ45" s="68"/>
      <c r="AR45" s="68" t="s">
        <v>148</v>
      </c>
      <c r="AS45" s="68"/>
      <c r="AT45" s="68" t="s">
        <v>148</v>
      </c>
      <c r="AU45" s="68"/>
      <c r="AV45" s="68" t="s">
        <v>148</v>
      </c>
      <c r="AW45" s="68"/>
      <c r="AX45" s="68" t="s">
        <v>148</v>
      </c>
      <c r="AY45" s="68"/>
      <c r="AZ45" s="68" t="s">
        <v>148</v>
      </c>
      <c r="BA45" s="68"/>
      <c r="BB45" s="68" t="s">
        <v>148</v>
      </c>
      <c r="BC45" s="68"/>
      <c r="BD45" s="68" t="s">
        <v>148</v>
      </c>
      <c r="BE45" s="68"/>
      <c r="BF45" s="68" t="s">
        <v>148</v>
      </c>
      <c r="BG45" s="68"/>
      <c r="BH45" s="68" t="s">
        <v>148</v>
      </c>
      <c r="BI45" s="68"/>
      <c r="BJ45" s="68" t="s">
        <v>214</v>
      </c>
      <c r="BK45" s="68"/>
      <c r="BL45" s="68" t="str">
        <f>TEXT(ROUND((3600*K40*BC40*AN40*AA42)/(AP42),2),"#,##0.#######")</f>
        <v>24.33</v>
      </c>
      <c r="BM45" s="68"/>
      <c r="BN45" s="68"/>
      <c r="BO45" s="68"/>
      <c r="BP45" s="68"/>
      <c r="BQ45" s="68"/>
      <c r="BR45" s="68"/>
      <c r="BS45" s="68"/>
      <c r="BT45" s="68" t="s">
        <v>368</v>
      </c>
      <c r="BU45" s="68"/>
      <c r="BV45" s="68" t="s">
        <v>90</v>
      </c>
      <c r="BW45" s="68" t="s">
        <v>380</v>
      </c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68"/>
      <c r="CX45" s="75"/>
      <c r="CY45" s="75"/>
      <c r="CZ45" s="75"/>
      <c r="DA45" s="76"/>
      <c r="DB45" s="74"/>
    </row>
    <row r="46" spans="2:106" ht="11.25" customHeight="1" x14ac:dyDescent="0.2">
      <c r="B46" s="67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 t="s">
        <v>67</v>
      </c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 t="str">
        <f>TEXT(AP42,"#,##0.#######")</f>
        <v>18.</v>
      </c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  <c r="BQ46" s="68"/>
      <c r="BR46" s="68"/>
      <c r="BS46" s="68"/>
      <c r="BT46" s="68"/>
      <c r="BU46" s="68"/>
      <c r="BV46" s="68"/>
      <c r="BW46" s="68"/>
      <c r="BX46" s="68"/>
      <c r="BY46" s="68"/>
      <c r="BZ46" s="68"/>
      <c r="CA46" s="68"/>
      <c r="CB46" s="68"/>
      <c r="CC46" s="68"/>
      <c r="CD46" s="68"/>
      <c r="CE46" s="68"/>
      <c r="CF46" s="68"/>
      <c r="CG46" s="68"/>
      <c r="CH46" s="68"/>
      <c r="CI46" s="68"/>
      <c r="CJ46" s="68"/>
      <c r="CK46" s="68"/>
      <c r="CL46" s="68"/>
      <c r="CM46" s="68"/>
      <c r="CN46" s="68"/>
      <c r="CO46" s="68"/>
      <c r="CP46" s="68"/>
      <c r="CQ46" s="68"/>
      <c r="CR46" s="68"/>
      <c r="CS46" s="68"/>
      <c r="CT46" s="68"/>
      <c r="CU46" s="68"/>
      <c r="CV46" s="68"/>
      <c r="CW46" s="68"/>
      <c r="CX46" s="75"/>
      <c r="CY46" s="75"/>
      <c r="CZ46" s="75"/>
      <c r="DA46" s="76"/>
      <c r="DB46" s="74"/>
    </row>
    <row r="47" spans="2:106" ht="11.25" customHeight="1" x14ac:dyDescent="0.2">
      <c r="B47" s="67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/>
      <c r="CQ47" s="68"/>
      <c r="CR47" s="68"/>
      <c r="CS47" s="68"/>
      <c r="CT47" s="68"/>
      <c r="CU47" s="68"/>
      <c r="CV47" s="68"/>
      <c r="CW47" s="68"/>
      <c r="CX47" s="75"/>
      <c r="CY47" s="75"/>
      <c r="CZ47" s="75"/>
      <c r="DA47" s="76"/>
      <c r="DB47" s="74"/>
    </row>
    <row r="48" spans="2:106" ht="11.25" customHeight="1" x14ac:dyDescent="0.2">
      <c r="B48" s="67"/>
      <c r="C48" s="68"/>
      <c r="D48" s="68"/>
      <c r="E48" s="68"/>
      <c r="F48" s="68"/>
      <c r="G48" s="68" t="s">
        <v>438</v>
      </c>
      <c r="H48" s="68"/>
      <c r="I48" s="68"/>
      <c r="J48" s="68"/>
      <c r="K48" s="68"/>
      <c r="L48" s="68"/>
      <c r="M48" s="68"/>
      <c r="N48" s="68" t="s">
        <v>383</v>
      </c>
      <c r="O48" s="68"/>
      <c r="P48" s="68" t="str">
        <f>TEXT(기계경비총괄표!G5,"#,##0")</f>
        <v>38,972</v>
      </c>
      <c r="Q48" s="68"/>
      <c r="R48" s="68"/>
      <c r="S48" s="68"/>
      <c r="T48" s="68"/>
      <c r="U48" s="68"/>
      <c r="V48" s="68"/>
      <c r="W48" s="68"/>
      <c r="X48" s="68"/>
      <c r="Y48" s="68" t="s">
        <v>253</v>
      </c>
      <c r="Z48" s="68"/>
      <c r="AA48" s="68"/>
      <c r="AB48" s="68" t="str">
        <f>TEXT(BL45,"#,##0.#######")</f>
        <v>24.33</v>
      </c>
      <c r="AC48" s="68"/>
      <c r="AD48" s="68"/>
      <c r="AE48" s="68"/>
      <c r="AF48" s="68"/>
      <c r="AG48" s="68"/>
      <c r="AH48" s="68"/>
      <c r="AI48" s="68"/>
      <c r="AJ48" s="68" t="s">
        <v>437</v>
      </c>
      <c r="AK48" s="68"/>
      <c r="AL48" s="68" t="str">
        <f>TEXT(0.9,"#,##0.#######")</f>
        <v>0.9</v>
      </c>
      <c r="AM48" s="68"/>
      <c r="AN48" s="68"/>
      <c r="AO48" s="68"/>
      <c r="AP48" s="68" t="s">
        <v>214</v>
      </c>
      <c r="AQ48" s="68"/>
      <c r="AR48" s="68"/>
      <c r="AS48" s="68" t="str">
        <f>TEXT(TRUNC(P48/BL45*AL48,1),"#,##0.#")</f>
        <v>1,441.6</v>
      </c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8"/>
      <c r="BO48" s="68"/>
      <c r="BP48" s="68"/>
      <c r="BQ48" s="68"/>
      <c r="BR48" s="68"/>
      <c r="BS48" s="68"/>
      <c r="BT48" s="68"/>
      <c r="BU48" s="68"/>
      <c r="BV48" s="68"/>
      <c r="BW48" s="68"/>
      <c r="BX48" s="68"/>
      <c r="BY48" s="68"/>
      <c r="BZ48" s="68"/>
      <c r="CA48" s="68"/>
      <c r="CB48" s="68"/>
      <c r="CC48" s="68"/>
      <c r="CD48" s="68"/>
      <c r="CE48" s="68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75"/>
      <c r="CY48" s="75"/>
      <c r="CZ48" s="75"/>
      <c r="DA48" s="76"/>
      <c r="DB48" s="74"/>
    </row>
    <row r="49" spans="2:106" ht="11.25" customHeight="1" x14ac:dyDescent="0.2">
      <c r="B49" s="67"/>
      <c r="C49" s="68"/>
      <c r="D49" s="68"/>
      <c r="E49" s="68"/>
      <c r="F49" s="68"/>
      <c r="G49" s="68" t="s">
        <v>319</v>
      </c>
      <c r="H49" s="68"/>
      <c r="I49" s="68"/>
      <c r="J49" s="68"/>
      <c r="K49" s="68"/>
      <c r="L49" s="68"/>
      <c r="M49" s="68"/>
      <c r="N49" s="68" t="s">
        <v>383</v>
      </c>
      <c r="O49" s="68"/>
      <c r="P49" s="68"/>
      <c r="Q49" s="68" t="str">
        <f>TEXT(기계경비총괄표!H5,"#,##0")</f>
        <v>6,836</v>
      </c>
      <c r="R49" s="68"/>
      <c r="S49" s="68"/>
      <c r="T49" s="68"/>
      <c r="U49" s="68"/>
      <c r="V49" s="68"/>
      <c r="W49" s="68"/>
      <c r="X49" s="68"/>
      <c r="Y49" s="68" t="s">
        <v>253</v>
      </c>
      <c r="Z49" s="68"/>
      <c r="AA49" s="68"/>
      <c r="AB49" s="68" t="str">
        <f>TEXT(BL45,"#,##0.#######")</f>
        <v>24.33</v>
      </c>
      <c r="AC49" s="68"/>
      <c r="AD49" s="68"/>
      <c r="AE49" s="68"/>
      <c r="AF49" s="68"/>
      <c r="AG49" s="68"/>
      <c r="AH49" s="68"/>
      <c r="AI49" s="68"/>
      <c r="AJ49" s="68" t="s">
        <v>437</v>
      </c>
      <c r="AK49" s="68"/>
      <c r="AL49" s="68" t="str">
        <f>TEXT(0.9,"#,##0.#######")</f>
        <v>0.9</v>
      </c>
      <c r="AM49" s="68"/>
      <c r="AN49" s="68"/>
      <c r="AO49" s="68"/>
      <c r="AP49" s="68" t="s">
        <v>214</v>
      </c>
      <c r="AQ49" s="68"/>
      <c r="AR49" s="68"/>
      <c r="AS49" s="68" t="str">
        <f>TEXT(TRUNC(Q49/BL45*AL49,1),"#,##0.#")</f>
        <v>252.8</v>
      </c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  <c r="CJ49" s="68"/>
      <c r="CK49" s="68"/>
      <c r="CL49" s="68"/>
      <c r="CM49" s="68"/>
      <c r="CN49" s="68"/>
      <c r="CO49" s="68"/>
      <c r="CP49" s="68"/>
      <c r="CQ49" s="68"/>
      <c r="CR49" s="68"/>
      <c r="CS49" s="68"/>
      <c r="CT49" s="68"/>
      <c r="CU49" s="68"/>
      <c r="CV49" s="68"/>
      <c r="CW49" s="68"/>
      <c r="CX49" s="75"/>
      <c r="CY49" s="75"/>
      <c r="CZ49" s="75"/>
      <c r="DA49" s="76"/>
      <c r="DB49" s="74"/>
    </row>
    <row r="50" spans="2:106" ht="11.25" customHeight="1" x14ac:dyDescent="0.2">
      <c r="B50" s="67"/>
      <c r="C50" s="68"/>
      <c r="D50" s="68"/>
      <c r="E50" s="68"/>
      <c r="F50" s="68"/>
      <c r="G50" s="68" t="s">
        <v>116</v>
      </c>
      <c r="H50" s="68"/>
      <c r="I50" s="68"/>
      <c r="J50" s="68"/>
      <c r="K50" s="68" t="s">
        <v>281</v>
      </c>
      <c r="L50" s="68"/>
      <c r="M50" s="68"/>
      <c r="N50" s="68" t="s">
        <v>383</v>
      </c>
      <c r="O50" s="68"/>
      <c r="P50" s="68" t="str">
        <f>TEXT(기계경비총괄표!I5,"#,##0")</f>
        <v>12,464</v>
      </c>
      <c r="Q50" s="68"/>
      <c r="R50" s="68"/>
      <c r="S50" s="68"/>
      <c r="T50" s="68"/>
      <c r="U50" s="68"/>
      <c r="V50" s="68"/>
      <c r="W50" s="68"/>
      <c r="X50" s="68"/>
      <c r="Y50" s="68" t="s">
        <v>253</v>
      </c>
      <c r="Z50" s="68"/>
      <c r="AA50" s="68"/>
      <c r="AB50" s="68" t="str">
        <f>TEXT(BL45,"#,##0.#######")</f>
        <v>24.33</v>
      </c>
      <c r="AC50" s="68"/>
      <c r="AD50" s="68"/>
      <c r="AE50" s="68"/>
      <c r="AF50" s="68"/>
      <c r="AG50" s="68"/>
      <c r="AH50" s="68"/>
      <c r="AI50" s="68"/>
      <c r="AJ50" s="68" t="s">
        <v>437</v>
      </c>
      <c r="AK50" s="68"/>
      <c r="AL50" s="68" t="str">
        <f>TEXT(0.9,"#,##0.#######")</f>
        <v>0.9</v>
      </c>
      <c r="AM50" s="68"/>
      <c r="AN50" s="68"/>
      <c r="AO50" s="68"/>
      <c r="AP50" s="68" t="s">
        <v>214</v>
      </c>
      <c r="AQ50" s="68"/>
      <c r="AR50" s="68"/>
      <c r="AS50" s="68" t="str">
        <f>TEXT(TRUNC(P50/BL45*AL50,1),"#,##0.#")</f>
        <v>461.</v>
      </c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8"/>
      <c r="BO50" s="68"/>
      <c r="BP50" s="68"/>
      <c r="BQ50" s="68"/>
      <c r="BR50" s="68"/>
      <c r="BS50" s="68"/>
      <c r="BT50" s="68"/>
      <c r="BU50" s="68"/>
      <c r="BV50" s="68"/>
      <c r="BW50" s="68"/>
      <c r="BX50" s="68"/>
      <c r="BY50" s="68"/>
      <c r="BZ50" s="68"/>
      <c r="CA50" s="68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68"/>
      <c r="CX50" s="75"/>
      <c r="CY50" s="75"/>
      <c r="CZ50" s="75"/>
      <c r="DA50" s="76"/>
      <c r="DB50" s="74"/>
    </row>
    <row r="51" spans="2:106" ht="11.25" customHeight="1" x14ac:dyDescent="0.2">
      <c r="B51" s="67"/>
      <c r="C51" s="68"/>
      <c r="D51" s="68"/>
      <c r="E51" s="68"/>
      <c r="F51" s="68"/>
      <c r="G51" s="68" t="s">
        <v>213</v>
      </c>
      <c r="H51" s="68"/>
      <c r="I51" s="68"/>
      <c r="J51" s="68"/>
      <c r="K51" s="68" t="s">
        <v>279</v>
      </c>
      <c r="L51" s="68"/>
      <c r="M51" s="68"/>
      <c r="N51" s="68" t="s">
        <v>383</v>
      </c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 t="str">
        <f>TEXT(AS48+AS49+AS50,"#,##0.#######")</f>
        <v>2,155.4</v>
      </c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68"/>
      <c r="CX51" s="75">
        <f>CY51+CZ51+DA51</f>
        <v>2155.3999999999996</v>
      </c>
      <c r="CY51" s="75" t="str">
        <f>TEXT(AS48,"#,###.0")</f>
        <v>1,441.6</v>
      </c>
      <c r="CZ51" s="75" t="str">
        <f>TEXT(AS49,"#,###.0")</f>
        <v>252.8</v>
      </c>
      <c r="DA51" s="76" t="str">
        <f>TEXT(AS50,"#,###.0")</f>
        <v>461.0</v>
      </c>
      <c r="DB51" s="74"/>
    </row>
    <row r="52" spans="2:106" ht="11.25" customHeight="1" x14ac:dyDescent="0.2">
      <c r="B52" s="67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75"/>
      <c r="CY52" s="75"/>
      <c r="CZ52" s="75"/>
      <c r="DA52" s="76"/>
      <c r="DB52" s="74"/>
    </row>
    <row r="53" spans="2:106" ht="11.25" customHeight="1" x14ac:dyDescent="0.2">
      <c r="B53" s="67"/>
      <c r="C53" s="68"/>
      <c r="D53" s="68" t="s">
        <v>377</v>
      </c>
      <c r="E53" s="68"/>
      <c r="F53" s="68"/>
      <c r="G53" s="68" t="s">
        <v>469</v>
      </c>
      <c r="H53" s="68"/>
      <c r="I53" s="68"/>
      <c r="J53" s="68" t="s">
        <v>194</v>
      </c>
      <c r="K53" s="68"/>
      <c r="L53" s="68"/>
      <c r="M53" s="68" t="s">
        <v>275</v>
      </c>
      <c r="N53" s="68" t="s">
        <v>57</v>
      </c>
      <c r="O53" s="68"/>
      <c r="P53" s="68" t="s">
        <v>113</v>
      </c>
      <c r="Q53" s="68" t="s">
        <v>55</v>
      </c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8"/>
      <c r="BO53" s="68"/>
      <c r="BP53" s="68"/>
      <c r="BQ53" s="68"/>
      <c r="BR53" s="68"/>
      <c r="BS53" s="68"/>
      <c r="BT53" s="68"/>
      <c r="BU53" s="68"/>
      <c r="BV53" s="68"/>
      <c r="BW53" s="68"/>
      <c r="BX53" s="68"/>
      <c r="BY53" s="68"/>
      <c r="BZ53" s="68"/>
      <c r="CA53" s="68"/>
      <c r="CB53" s="68"/>
      <c r="CC53" s="68"/>
      <c r="CD53" s="68"/>
      <c r="CE53" s="68"/>
      <c r="CF53" s="68"/>
      <c r="CG53" s="68"/>
      <c r="CH53" s="68"/>
      <c r="CI53" s="68"/>
      <c r="CJ53" s="68"/>
      <c r="CK53" s="68"/>
      <c r="CL53" s="68"/>
      <c r="CM53" s="68"/>
      <c r="CN53" s="68"/>
      <c r="CO53" s="68"/>
      <c r="CP53" s="68"/>
      <c r="CQ53" s="68"/>
      <c r="CR53" s="68"/>
      <c r="CS53" s="68"/>
      <c r="CT53" s="68"/>
      <c r="CU53" s="68"/>
      <c r="CV53" s="68"/>
      <c r="CW53" s="68"/>
      <c r="CX53" s="75"/>
      <c r="CY53" s="75"/>
      <c r="CZ53" s="75"/>
      <c r="DA53" s="76"/>
      <c r="DB53" s="74"/>
    </row>
    <row r="54" spans="2:106" ht="11.25" customHeight="1" x14ac:dyDescent="0.2">
      <c r="B54" s="67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8"/>
      <c r="BO54" s="68"/>
      <c r="BP54" s="68"/>
      <c r="BQ54" s="68"/>
      <c r="BR54" s="68"/>
      <c r="BS54" s="68"/>
      <c r="BT54" s="68"/>
      <c r="BU54" s="68"/>
      <c r="BV54" s="68"/>
      <c r="BW54" s="68"/>
      <c r="BX54" s="68"/>
      <c r="BY54" s="68"/>
      <c r="BZ54" s="68"/>
      <c r="CA54" s="68"/>
      <c r="CB54" s="68"/>
      <c r="CC54" s="68"/>
      <c r="CD54" s="68"/>
      <c r="CE54" s="68"/>
      <c r="CF54" s="68"/>
      <c r="CG54" s="68"/>
      <c r="CH54" s="68"/>
      <c r="CI54" s="68"/>
      <c r="CJ54" s="68"/>
      <c r="CK54" s="68"/>
      <c r="CL54" s="68"/>
      <c r="CM54" s="68"/>
      <c r="CN54" s="68"/>
      <c r="CO54" s="68"/>
      <c r="CP54" s="68"/>
      <c r="CQ54" s="68"/>
      <c r="CR54" s="68"/>
      <c r="CS54" s="68"/>
      <c r="CT54" s="68"/>
      <c r="CU54" s="68"/>
      <c r="CV54" s="68"/>
      <c r="CW54" s="68"/>
      <c r="CX54" s="75"/>
      <c r="CY54" s="75"/>
      <c r="CZ54" s="75"/>
      <c r="DA54" s="76"/>
      <c r="DB54" s="74"/>
    </row>
    <row r="55" spans="2:106" ht="11.25" customHeight="1" x14ac:dyDescent="0.2">
      <c r="B55" s="67"/>
      <c r="C55" s="68"/>
      <c r="D55" s="68"/>
      <c r="E55" s="68"/>
      <c r="F55" s="68"/>
      <c r="G55" s="68" t="s">
        <v>28</v>
      </c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 t="s">
        <v>383</v>
      </c>
      <c r="S55" s="68"/>
      <c r="T55" s="68" t="str">
        <f>TEXT(노임단가!L5,"#,##0")</f>
        <v>125,427</v>
      </c>
      <c r="U55" s="68"/>
      <c r="V55" s="68"/>
      <c r="W55" s="68"/>
      <c r="X55" s="68"/>
      <c r="Y55" s="68"/>
      <c r="Z55" s="68"/>
      <c r="AA55" s="68"/>
      <c r="AB55" s="68"/>
      <c r="AC55" s="68"/>
      <c r="AD55" s="68" t="s">
        <v>437</v>
      </c>
      <c r="AE55" s="68"/>
      <c r="AF55" s="68"/>
      <c r="AG55" s="68" t="str">
        <f>TEXT(0.1,"#,##0.#######")</f>
        <v>0.1</v>
      </c>
      <c r="AH55" s="68"/>
      <c r="AI55" s="68"/>
      <c r="AJ55" s="68" t="s">
        <v>469</v>
      </c>
      <c r="AK55" s="68"/>
      <c r="AL55" s="68"/>
      <c r="AM55" s="68" t="s">
        <v>437</v>
      </c>
      <c r="AN55" s="68"/>
      <c r="AO55" s="68"/>
      <c r="AP55" s="68" t="str">
        <f>TEXT(0.1,"#,##0.#######")</f>
        <v>0.1</v>
      </c>
      <c r="AQ55" s="68"/>
      <c r="AR55" s="68"/>
      <c r="AS55" s="68"/>
      <c r="AT55" s="68" t="s">
        <v>214</v>
      </c>
      <c r="AU55" s="68"/>
      <c r="AV55" s="68" t="str">
        <f>TEXT(TRUNC(T55*AG55*AP55,1),"#,##0.#")</f>
        <v>1,254.2</v>
      </c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8"/>
      <c r="BO55" s="68"/>
      <c r="BP55" s="68"/>
      <c r="BQ55" s="68"/>
      <c r="BR55" s="68"/>
      <c r="BS55" s="68"/>
      <c r="BT55" s="68"/>
      <c r="BU55" s="68"/>
      <c r="BV55" s="68"/>
      <c r="BW55" s="68"/>
      <c r="BX55" s="68"/>
      <c r="BY55" s="68"/>
      <c r="BZ55" s="68"/>
      <c r="CA55" s="68"/>
      <c r="CB55" s="68"/>
      <c r="CC55" s="68"/>
      <c r="CD55" s="68"/>
      <c r="CE55" s="68"/>
      <c r="CF55" s="68"/>
      <c r="CG55" s="68"/>
      <c r="CH55" s="68"/>
      <c r="CI55" s="68"/>
      <c r="CJ55" s="68"/>
      <c r="CK55" s="68"/>
      <c r="CL55" s="68"/>
      <c r="CM55" s="68"/>
      <c r="CN55" s="68"/>
      <c r="CO55" s="68"/>
      <c r="CP55" s="68"/>
      <c r="CQ55" s="68"/>
      <c r="CR55" s="68"/>
      <c r="CS55" s="68"/>
      <c r="CT55" s="68"/>
      <c r="CU55" s="68"/>
      <c r="CV55" s="68"/>
      <c r="CW55" s="68"/>
      <c r="CX55" s="75">
        <f>CY55+CZ55+DA55</f>
        <v>1254.2</v>
      </c>
      <c r="CY55" s="75" t="str">
        <f>AV55</f>
        <v>1,254.2</v>
      </c>
      <c r="CZ55" s="75"/>
      <c r="DA55" s="76"/>
      <c r="DB55" s="74"/>
    </row>
    <row r="56" spans="2:106" ht="11.25" customHeight="1" x14ac:dyDescent="0.2">
      <c r="B56" s="67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8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8"/>
      <c r="CP56" s="68"/>
      <c r="CQ56" s="68"/>
      <c r="CR56" s="68"/>
      <c r="CS56" s="68"/>
      <c r="CT56" s="68"/>
      <c r="CU56" s="68"/>
      <c r="CV56" s="68"/>
      <c r="CW56" s="68"/>
      <c r="CX56" s="75"/>
      <c r="CY56" s="75"/>
      <c r="CZ56" s="75"/>
      <c r="DA56" s="76"/>
      <c r="DB56" s="74"/>
    </row>
    <row r="57" spans="2:106" ht="11.25" customHeight="1" x14ac:dyDescent="0.2">
      <c r="B57" s="67"/>
      <c r="C57" s="68"/>
      <c r="D57" s="68" t="s">
        <v>506</v>
      </c>
      <c r="E57" s="68"/>
      <c r="F57" s="68"/>
      <c r="G57" s="68" t="s">
        <v>150</v>
      </c>
      <c r="H57" s="68"/>
      <c r="I57" s="68"/>
      <c r="J57" s="68" t="s">
        <v>18</v>
      </c>
      <c r="K57" s="68"/>
      <c r="L57" s="68"/>
      <c r="M57" s="68" t="s">
        <v>383</v>
      </c>
      <c r="N57" s="68"/>
      <c r="O57" s="68" t="s">
        <v>235</v>
      </c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 t="s">
        <v>289</v>
      </c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8"/>
      <c r="CP57" s="68"/>
      <c r="CQ57" s="68"/>
      <c r="CR57" s="68"/>
      <c r="CS57" s="68"/>
      <c r="CT57" s="68"/>
      <c r="CU57" s="68"/>
      <c r="CV57" s="68"/>
      <c r="CW57" s="68"/>
      <c r="CX57" s="75"/>
      <c r="CY57" s="75"/>
      <c r="CZ57" s="75"/>
      <c r="DA57" s="76"/>
      <c r="DB57" s="74"/>
    </row>
    <row r="58" spans="2:106" ht="11.25" customHeight="1" x14ac:dyDescent="0.2">
      <c r="B58" s="67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75"/>
      <c r="CY58" s="75"/>
      <c r="CZ58" s="75"/>
      <c r="DA58" s="76"/>
      <c r="DB58" s="74"/>
    </row>
    <row r="59" spans="2:106" ht="11.25" customHeight="1" x14ac:dyDescent="0.2">
      <c r="B59" s="67"/>
      <c r="C59" s="68"/>
      <c r="D59" s="68"/>
      <c r="E59" s="68"/>
      <c r="F59" s="68"/>
      <c r="G59" s="68" t="s">
        <v>349</v>
      </c>
      <c r="H59" s="68"/>
      <c r="I59" s="68" t="s">
        <v>214</v>
      </c>
      <c r="J59" s="68"/>
      <c r="K59" s="68" t="str">
        <f>TEXT(1,"#,##0.#######")</f>
        <v>1.</v>
      </c>
      <c r="L59" s="68"/>
      <c r="M59" s="68"/>
      <c r="N59" s="68" t="s">
        <v>278</v>
      </c>
      <c r="O59" s="68"/>
      <c r="P59" s="68" t="s">
        <v>90</v>
      </c>
      <c r="Q59" s="68" t="s">
        <v>380</v>
      </c>
      <c r="R59" s="68"/>
      <c r="S59" s="68"/>
      <c r="T59" s="68"/>
      <c r="U59" s="68"/>
      <c r="V59" s="68"/>
      <c r="W59" s="68"/>
      <c r="X59" s="68" t="s">
        <v>72</v>
      </c>
      <c r="Y59" s="68"/>
      <c r="Z59" s="68" t="s">
        <v>214</v>
      </c>
      <c r="AA59" s="68"/>
      <c r="AB59" s="68" t="str">
        <f>TEXT(0.45,"#,##0.#######")</f>
        <v>0.45</v>
      </c>
      <c r="AC59" s="68"/>
      <c r="AD59" s="68"/>
      <c r="AE59" s="68"/>
      <c r="AF59" s="68" t="s">
        <v>302</v>
      </c>
      <c r="AG59" s="68"/>
      <c r="AH59" s="68"/>
      <c r="AI59" s="68"/>
      <c r="AJ59" s="68"/>
      <c r="AK59" s="68"/>
      <c r="AL59" s="68"/>
      <c r="AM59" s="68" t="s">
        <v>232</v>
      </c>
      <c r="AN59" s="68"/>
      <c r="AO59" s="68" t="s">
        <v>214</v>
      </c>
      <c r="AP59" s="68"/>
      <c r="AQ59" s="68" t="str">
        <f>TEXT(0.6,"#,##0.#######")</f>
        <v>0.6</v>
      </c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8"/>
      <c r="CC59" s="68"/>
      <c r="CD59" s="68"/>
      <c r="CE59" s="68"/>
      <c r="CF59" s="68"/>
      <c r="CG59" s="68"/>
      <c r="CH59" s="68"/>
      <c r="CI59" s="68"/>
      <c r="CJ59" s="68"/>
      <c r="CK59" s="68"/>
      <c r="CL59" s="68"/>
      <c r="CM59" s="68"/>
      <c r="CN59" s="68"/>
      <c r="CO59" s="68"/>
      <c r="CP59" s="68"/>
      <c r="CQ59" s="68"/>
      <c r="CR59" s="68"/>
      <c r="CS59" s="68"/>
      <c r="CT59" s="68"/>
      <c r="CU59" s="68"/>
      <c r="CV59" s="68"/>
      <c r="CW59" s="68"/>
      <c r="CX59" s="75"/>
      <c r="CY59" s="75"/>
      <c r="CZ59" s="75"/>
      <c r="DA59" s="76"/>
      <c r="DB59" s="74"/>
    </row>
    <row r="60" spans="2:106" ht="11.25" customHeight="1" x14ac:dyDescent="0.2">
      <c r="B60" s="67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8"/>
      <c r="CC60" s="68"/>
      <c r="CD60" s="68"/>
      <c r="CE60" s="68"/>
      <c r="CF60" s="68"/>
      <c r="CG60" s="68"/>
      <c r="CH60" s="68"/>
      <c r="CI60" s="68"/>
      <c r="CJ60" s="68"/>
      <c r="CK60" s="68"/>
      <c r="CL60" s="68"/>
      <c r="CM60" s="68"/>
      <c r="CN60" s="68"/>
      <c r="CO60" s="68"/>
      <c r="CP60" s="68"/>
      <c r="CQ60" s="68"/>
      <c r="CR60" s="68"/>
      <c r="CS60" s="68"/>
      <c r="CT60" s="68"/>
      <c r="CU60" s="68"/>
      <c r="CV60" s="68"/>
      <c r="CW60" s="68"/>
      <c r="CX60" s="75"/>
      <c r="CY60" s="75"/>
      <c r="CZ60" s="75"/>
      <c r="DA60" s="76"/>
      <c r="DB60" s="74"/>
    </row>
    <row r="61" spans="2:106" ht="11.25" customHeight="1" x14ac:dyDescent="0.2">
      <c r="B61" s="67"/>
      <c r="C61" s="68"/>
      <c r="D61" s="68"/>
      <c r="E61" s="68"/>
      <c r="F61" s="68"/>
      <c r="G61" s="68" t="s">
        <v>455</v>
      </c>
      <c r="H61" s="68"/>
      <c r="I61" s="68" t="s">
        <v>214</v>
      </c>
      <c r="J61" s="68"/>
      <c r="K61" s="68" t="str">
        <f>TEXT(3,"#,##0.#######")</f>
        <v>3.</v>
      </c>
      <c r="L61" s="68"/>
      <c r="M61" s="68"/>
      <c r="N61" s="68" t="s">
        <v>337</v>
      </c>
      <c r="O61" s="68"/>
      <c r="P61" s="68"/>
      <c r="Q61" s="68"/>
      <c r="R61" s="68"/>
      <c r="S61" s="68"/>
      <c r="T61" s="68"/>
      <c r="U61" s="68"/>
      <c r="V61" s="68"/>
      <c r="W61" s="68"/>
      <c r="X61" s="68" t="s">
        <v>492</v>
      </c>
      <c r="Y61" s="68"/>
      <c r="Z61" s="68" t="s">
        <v>214</v>
      </c>
      <c r="AA61" s="68"/>
      <c r="AB61" s="68" t="str">
        <f>TEXT(0.1,"#,##0.#######")</f>
        <v>0.1</v>
      </c>
      <c r="AC61" s="68"/>
      <c r="AD61" s="68"/>
      <c r="AE61" s="68"/>
      <c r="AF61" s="68" t="s">
        <v>302</v>
      </c>
      <c r="AG61" s="68"/>
      <c r="AH61" s="68"/>
      <c r="AI61" s="68"/>
      <c r="AJ61" s="68"/>
      <c r="AK61" s="68"/>
      <c r="AL61" s="68"/>
      <c r="AM61" s="68" t="s">
        <v>60</v>
      </c>
      <c r="AN61" s="68"/>
      <c r="AO61" s="68" t="s">
        <v>214</v>
      </c>
      <c r="AP61" s="68"/>
      <c r="AQ61" s="68" t="str">
        <f>TEXT(1,"#,##0.#######")</f>
        <v>1.</v>
      </c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75"/>
      <c r="CY61" s="75"/>
      <c r="CZ61" s="75"/>
      <c r="DA61" s="76"/>
      <c r="DB61" s="74"/>
    </row>
    <row r="62" spans="2:106" ht="11.25" customHeight="1" x14ac:dyDescent="0.2">
      <c r="B62" s="67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75"/>
      <c r="CY62" s="75"/>
      <c r="CZ62" s="75"/>
      <c r="DA62" s="76"/>
      <c r="DB62" s="74"/>
    </row>
    <row r="63" spans="2:106" ht="11.25" customHeight="1" x14ac:dyDescent="0.2">
      <c r="B63" s="67"/>
      <c r="C63" s="68"/>
      <c r="D63" s="68"/>
      <c r="E63" s="68"/>
      <c r="F63" s="68"/>
      <c r="G63" s="68"/>
      <c r="H63" s="68"/>
      <c r="I63" s="68"/>
      <c r="J63" s="68"/>
      <c r="K63" s="68"/>
      <c r="L63" s="68" t="str">
        <f>TEXT(1000,"#,##0.#######")</f>
        <v>1,000.</v>
      </c>
      <c r="M63" s="68"/>
      <c r="N63" s="68"/>
      <c r="O63" s="68"/>
      <c r="P63" s="68"/>
      <c r="Q63" s="68" t="s">
        <v>437</v>
      </c>
      <c r="R63" s="68"/>
      <c r="S63" s="68" t="s">
        <v>349</v>
      </c>
      <c r="T63" s="68" t="s">
        <v>437</v>
      </c>
      <c r="U63" s="68"/>
      <c r="V63" s="68" t="s">
        <v>72</v>
      </c>
      <c r="W63" s="68" t="s">
        <v>437</v>
      </c>
      <c r="X63" s="68"/>
      <c r="Y63" s="68" t="s">
        <v>492</v>
      </c>
      <c r="Z63" s="68" t="s">
        <v>437</v>
      </c>
      <c r="AA63" s="68"/>
      <c r="AB63" s="68" t="s">
        <v>232</v>
      </c>
      <c r="AC63" s="68" t="s">
        <v>437</v>
      </c>
      <c r="AD63" s="68"/>
      <c r="AE63" s="68" t="s">
        <v>60</v>
      </c>
      <c r="AF63" s="68"/>
      <c r="AG63" s="68"/>
      <c r="AH63" s="68"/>
      <c r="AI63" s="68"/>
      <c r="AJ63" s="68"/>
      <c r="AK63" s="68"/>
      <c r="AL63" s="68" t="str">
        <f>TEXT(L63,"#,##0.#######")</f>
        <v>1,000.</v>
      </c>
      <c r="AM63" s="68"/>
      <c r="AN63" s="68"/>
      <c r="AO63" s="68"/>
      <c r="AP63" s="68"/>
      <c r="AQ63" s="68" t="s">
        <v>437</v>
      </c>
      <c r="AR63" s="68"/>
      <c r="AS63" s="68" t="str">
        <f>TEXT(K59,"#,##0.#######")</f>
        <v>1.</v>
      </c>
      <c r="AT63" s="68" t="s">
        <v>437</v>
      </c>
      <c r="AU63" s="68"/>
      <c r="AV63" s="68" t="str">
        <f>TEXT(AB59,"#,##0.#######")</f>
        <v>0.45</v>
      </c>
      <c r="AW63" s="68"/>
      <c r="AX63" s="68"/>
      <c r="AY63" s="68"/>
      <c r="AZ63" s="68" t="s">
        <v>437</v>
      </c>
      <c r="BA63" s="68"/>
      <c r="BB63" s="68" t="str">
        <f>TEXT(AB61,"#,##0.#######")</f>
        <v>0.1</v>
      </c>
      <c r="BC63" s="68"/>
      <c r="BD63" s="68"/>
      <c r="BE63" s="68" t="s">
        <v>437</v>
      </c>
      <c r="BF63" s="68"/>
      <c r="BG63" s="68" t="str">
        <f>TEXT(AQ59,"#,##0.#######")</f>
        <v>0.6</v>
      </c>
      <c r="BH63" s="68"/>
      <c r="BI63" s="68"/>
      <c r="BJ63" s="68" t="s">
        <v>437</v>
      </c>
      <c r="BK63" s="68"/>
      <c r="BL63" s="68" t="str">
        <f>TEXT(AQ61,"#,##0.#######")</f>
        <v>1.</v>
      </c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/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75"/>
      <c r="CY63" s="75"/>
      <c r="CZ63" s="75"/>
      <c r="DA63" s="76"/>
      <c r="DB63" s="74"/>
    </row>
    <row r="64" spans="2:106" ht="11.25" customHeight="1" x14ac:dyDescent="0.2">
      <c r="B64" s="67"/>
      <c r="C64" s="68"/>
      <c r="D64" s="68"/>
      <c r="E64" s="68"/>
      <c r="F64" s="68"/>
      <c r="G64" s="68" t="s">
        <v>26</v>
      </c>
      <c r="H64" s="68"/>
      <c r="I64" s="68" t="s">
        <v>214</v>
      </c>
      <c r="J64" s="68"/>
      <c r="K64" s="68" t="s">
        <v>148</v>
      </c>
      <c r="L64" s="68"/>
      <c r="M64" s="68" t="s">
        <v>148</v>
      </c>
      <c r="N64" s="68"/>
      <c r="O64" s="68" t="s">
        <v>148</v>
      </c>
      <c r="P64" s="68"/>
      <c r="Q64" s="68" t="s">
        <v>148</v>
      </c>
      <c r="R64" s="68"/>
      <c r="S64" s="68" t="s">
        <v>148</v>
      </c>
      <c r="T64" s="68"/>
      <c r="U64" s="68" t="s">
        <v>148</v>
      </c>
      <c r="V64" s="68"/>
      <c r="W64" s="68" t="s">
        <v>148</v>
      </c>
      <c r="X64" s="68"/>
      <c r="Y64" s="68" t="s">
        <v>148</v>
      </c>
      <c r="Z64" s="68"/>
      <c r="AA64" s="68" t="s">
        <v>148</v>
      </c>
      <c r="AB64" s="68"/>
      <c r="AC64" s="68" t="s">
        <v>148</v>
      </c>
      <c r="AD64" s="68"/>
      <c r="AE64" s="68" t="s">
        <v>148</v>
      </c>
      <c r="AF64" s="68"/>
      <c r="AG64" s="68" t="s">
        <v>148</v>
      </c>
      <c r="AH64" s="68"/>
      <c r="AI64" s="68"/>
      <c r="AJ64" s="68" t="s">
        <v>214</v>
      </c>
      <c r="AK64" s="68"/>
      <c r="AL64" s="68" t="s">
        <v>148</v>
      </c>
      <c r="AM64" s="68"/>
      <c r="AN64" s="68" t="s">
        <v>148</v>
      </c>
      <c r="AO64" s="68"/>
      <c r="AP64" s="68" t="s">
        <v>148</v>
      </c>
      <c r="AQ64" s="68"/>
      <c r="AR64" s="68" t="s">
        <v>148</v>
      </c>
      <c r="AS64" s="68"/>
      <c r="AT64" s="68" t="s">
        <v>148</v>
      </c>
      <c r="AU64" s="68"/>
      <c r="AV64" s="68" t="s">
        <v>148</v>
      </c>
      <c r="AW64" s="68"/>
      <c r="AX64" s="68" t="s">
        <v>148</v>
      </c>
      <c r="AY64" s="68"/>
      <c r="AZ64" s="68" t="s">
        <v>148</v>
      </c>
      <c r="BA64" s="68"/>
      <c r="BB64" s="68" t="s">
        <v>148</v>
      </c>
      <c r="BC64" s="68"/>
      <c r="BD64" s="68" t="s">
        <v>148</v>
      </c>
      <c r="BE64" s="68"/>
      <c r="BF64" s="68" t="s">
        <v>148</v>
      </c>
      <c r="BG64" s="68"/>
      <c r="BH64" s="68" t="s">
        <v>148</v>
      </c>
      <c r="BI64" s="68"/>
      <c r="BJ64" s="68" t="s">
        <v>148</v>
      </c>
      <c r="BK64" s="68"/>
      <c r="BL64" s="68" t="s">
        <v>148</v>
      </c>
      <c r="BM64" s="68"/>
      <c r="BN64" s="68"/>
      <c r="BO64" s="68" t="s">
        <v>214</v>
      </c>
      <c r="BP64" s="68"/>
      <c r="BQ64" s="68" t="str">
        <f>TEXT(ROUND((1000*K59*AB59*AB61*AQ59*AQ61)/(K61),2),"#,##0.#######")</f>
        <v>9.</v>
      </c>
      <c r="BR64" s="68"/>
      <c r="BS64" s="68"/>
      <c r="BT64" s="68"/>
      <c r="BU64" s="68" t="s">
        <v>368</v>
      </c>
      <c r="BV64" s="68"/>
      <c r="BW64" s="68" t="s">
        <v>90</v>
      </c>
      <c r="BX64" s="68" t="s">
        <v>380</v>
      </c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75"/>
      <c r="CY64" s="75"/>
      <c r="CZ64" s="75"/>
      <c r="DA64" s="76"/>
      <c r="DB64" s="74"/>
    </row>
    <row r="65" spans="2:106" ht="11.25" customHeight="1" x14ac:dyDescent="0.2">
      <c r="B65" s="67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 t="s">
        <v>455</v>
      </c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 t="str">
        <f>TEXT(K61,"#,##0.#######")</f>
        <v>3.</v>
      </c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75"/>
      <c r="CY65" s="75"/>
      <c r="CZ65" s="75"/>
      <c r="DA65" s="76"/>
      <c r="DB65" s="74"/>
    </row>
    <row r="66" spans="2:106" ht="11.25" customHeight="1" x14ac:dyDescent="0.2">
      <c r="B66" s="67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75"/>
      <c r="CY66" s="75"/>
      <c r="CZ66" s="75"/>
      <c r="DA66" s="76"/>
      <c r="DB66" s="74"/>
    </row>
    <row r="67" spans="2:106" ht="11.25" customHeight="1" x14ac:dyDescent="0.2">
      <c r="B67" s="67"/>
      <c r="C67" s="68"/>
      <c r="D67" s="68"/>
      <c r="E67" s="68"/>
      <c r="F67" s="68"/>
      <c r="G67" s="68" t="s">
        <v>438</v>
      </c>
      <c r="H67" s="68"/>
      <c r="I67" s="68"/>
      <c r="J67" s="68"/>
      <c r="K67" s="68"/>
      <c r="L67" s="68"/>
      <c r="M67" s="68"/>
      <c r="N67" s="68" t="s">
        <v>383</v>
      </c>
      <c r="O67" s="68"/>
      <c r="P67" s="68" t="str">
        <f>TEXT(기계경비총괄표!G6,"#,##0")</f>
        <v>25,683</v>
      </c>
      <c r="Q67" s="68"/>
      <c r="R67" s="68"/>
      <c r="S67" s="68"/>
      <c r="T67" s="68"/>
      <c r="U67" s="68"/>
      <c r="V67" s="68"/>
      <c r="W67" s="68"/>
      <c r="X67" s="68"/>
      <c r="Y67" s="68" t="s">
        <v>253</v>
      </c>
      <c r="Z67" s="68"/>
      <c r="AA67" s="68"/>
      <c r="AB67" s="68" t="str">
        <f>TEXT(BQ64,"#,##0.#######")</f>
        <v>9.</v>
      </c>
      <c r="AC67" s="68"/>
      <c r="AD67" s="68"/>
      <c r="AE67" s="68"/>
      <c r="AF67" s="68" t="s">
        <v>214</v>
      </c>
      <c r="AG67" s="68"/>
      <c r="AH67" s="68" t="str">
        <f>TEXT(TRUNC(P67/BQ64,1),"#,##0.#")</f>
        <v>2,853.6</v>
      </c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75"/>
      <c r="CY67" s="75"/>
      <c r="CZ67" s="75"/>
      <c r="DA67" s="76"/>
      <c r="DB67" s="74"/>
    </row>
    <row r="68" spans="2:106" ht="11.25" customHeight="1" x14ac:dyDescent="0.2">
      <c r="B68" s="67"/>
      <c r="C68" s="68"/>
      <c r="D68" s="68"/>
      <c r="E68" s="68"/>
      <c r="F68" s="68"/>
      <c r="G68" s="68" t="s">
        <v>319</v>
      </c>
      <c r="H68" s="68"/>
      <c r="I68" s="68"/>
      <c r="J68" s="68"/>
      <c r="K68" s="68"/>
      <c r="L68" s="68"/>
      <c r="M68" s="68"/>
      <c r="N68" s="68" t="s">
        <v>383</v>
      </c>
      <c r="O68" s="68"/>
      <c r="P68" s="68"/>
      <c r="Q68" s="68" t="str">
        <f>TEXT(기계경비총괄표!H6,"#,##0")</f>
        <v>1,466</v>
      </c>
      <c r="R68" s="68"/>
      <c r="S68" s="68"/>
      <c r="T68" s="68"/>
      <c r="U68" s="68"/>
      <c r="V68" s="68"/>
      <c r="W68" s="68"/>
      <c r="X68" s="68"/>
      <c r="Y68" s="68" t="s">
        <v>253</v>
      </c>
      <c r="Z68" s="68"/>
      <c r="AA68" s="68"/>
      <c r="AB68" s="68" t="str">
        <f>TEXT(BQ64,"#,##0.#######")</f>
        <v>9.</v>
      </c>
      <c r="AC68" s="68"/>
      <c r="AD68" s="68"/>
      <c r="AE68" s="68"/>
      <c r="AF68" s="68" t="s">
        <v>214</v>
      </c>
      <c r="AG68" s="68"/>
      <c r="AH68" s="68"/>
      <c r="AI68" s="68"/>
      <c r="AJ68" s="68" t="str">
        <f>TEXT(TRUNC(Q68/BQ64,1),"#,##0.#")</f>
        <v>162.8</v>
      </c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75"/>
      <c r="CY68" s="75"/>
      <c r="CZ68" s="75"/>
      <c r="DA68" s="76"/>
      <c r="DB68" s="74"/>
    </row>
    <row r="69" spans="2:106" ht="11.25" customHeight="1" x14ac:dyDescent="0.2">
      <c r="B69" s="67"/>
      <c r="C69" s="68"/>
      <c r="D69" s="68"/>
      <c r="E69" s="68"/>
      <c r="F69" s="68"/>
      <c r="G69" s="68" t="s">
        <v>116</v>
      </c>
      <c r="H69" s="68"/>
      <c r="I69" s="68"/>
      <c r="J69" s="68"/>
      <c r="K69" s="68" t="s">
        <v>281</v>
      </c>
      <c r="L69" s="68"/>
      <c r="M69" s="68"/>
      <c r="N69" s="68" t="s">
        <v>383</v>
      </c>
      <c r="O69" s="68"/>
      <c r="P69" s="68"/>
      <c r="Q69" s="68"/>
      <c r="R69" s="68"/>
      <c r="S69" s="68" t="str">
        <f>TEXT(기계경비총괄표!I6,"#,##0")</f>
        <v>543</v>
      </c>
      <c r="T69" s="68"/>
      <c r="U69" s="68"/>
      <c r="V69" s="68"/>
      <c r="W69" s="68"/>
      <c r="X69" s="68"/>
      <c r="Y69" s="68" t="s">
        <v>253</v>
      </c>
      <c r="Z69" s="68"/>
      <c r="AA69" s="68"/>
      <c r="AB69" s="68" t="str">
        <f>TEXT(BQ64,"#,##0.#######")</f>
        <v>9.</v>
      </c>
      <c r="AC69" s="68"/>
      <c r="AD69" s="68"/>
      <c r="AE69" s="68"/>
      <c r="AF69" s="68" t="s">
        <v>214</v>
      </c>
      <c r="AG69" s="68"/>
      <c r="AH69" s="68"/>
      <c r="AI69" s="68"/>
      <c r="AJ69" s="68"/>
      <c r="AK69" s="68" t="str">
        <f>TEXT(TRUNC(S69/BQ64,1),"#,##0.#")</f>
        <v>60.3</v>
      </c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  <c r="CW69" s="68"/>
      <c r="CX69" s="75"/>
      <c r="CY69" s="75"/>
      <c r="CZ69" s="75"/>
      <c r="DA69" s="76"/>
      <c r="DB69" s="74"/>
    </row>
    <row r="70" spans="2:106" ht="11.25" customHeight="1" x14ac:dyDescent="0.2">
      <c r="B70" s="67"/>
      <c r="C70" s="68"/>
      <c r="D70" s="68"/>
      <c r="E70" s="68"/>
      <c r="F70" s="68"/>
      <c r="G70" s="68" t="s">
        <v>213</v>
      </c>
      <c r="H70" s="68"/>
      <c r="I70" s="68"/>
      <c r="J70" s="68"/>
      <c r="K70" s="68" t="s">
        <v>279</v>
      </c>
      <c r="L70" s="68"/>
      <c r="M70" s="68"/>
      <c r="N70" s="68" t="s">
        <v>383</v>
      </c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 t="str">
        <f>TEXT(AH67+AJ68+AK69,"#,##0.#######")</f>
        <v>3,076.7</v>
      </c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8"/>
      <c r="BO70" s="68"/>
      <c r="BP70" s="68"/>
      <c r="BQ70" s="68"/>
      <c r="BR70" s="68"/>
      <c r="BS70" s="68"/>
      <c r="BT70" s="68"/>
      <c r="BU70" s="68"/>
      <c r="BV70" s="68"/>
      <c r="BW70" s="68"/>
      <c r="BX70" s="68"/>
      <c r="BY70" s="68"/>
      <c r="BZ70" s="68"/>
      <c r="CA70" s="68"/>
      <c r="CB70" s="68"/>
      <c r="CC70" s="68"/>
      <c r="CD70" s="68"/>
      <c r="CE70" s="68"/>
      <c r="CF70" s="68"/>
      <c r="CG70" s="68"/>
      <c r="CH70" s="68"/>
      <c r="CI70" s="68"/>
      <c r="CJ70" s="68"/>
      <c r="CK70" s="68"/>
      <c r="CL70" s="68"/>
      <c r="CM70" s="68"/>
      <c r="CN70" s="68"/>
      <c r="CO70" s="68"/>
      <c r="CP70" s="68"/>
      <c r="CQ70" s="68"/>
      <c r="CR70" s="68"/>
      <c r="CS70" s="68"/>
      <c r="CT70" s="68"/>
      <c r="CU70" s="68"/>
      <c r="CV70" s="68"/>
      <c r="CW70" s="68"/>
      <c r="CX70" s="75">
        <f>CY70+CZ70+DA70</f>
        <v>3076.7000000000003</v>
      </c>
      <c r="CY70" s="75" t="str">
        <f>TEXT(AH67,"#,###.0")</f>
        <v>2,853.6</v>
      </c>
      <c r="CZ70" s="75" t="str">
        <f>TEXT(AJ68,"#,###.0")</f>
        <v>162.8</v>
      </c>
      <c r="DA70" s="76" t="str">
        <f>TEXT(AK69,"#,###.0")</f>
        <v>60.3</v>
      </c>
      <c r="DB70" s="74"/>
    </row>
    <row r="71" spans="2:106" ht="11.25" customHeight="1" x14ac:dyDescent="0.2">
      <c r="B71" s="67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8"/>
      <c r="CG71" s="68"/>
      <c r="CH71" s="68"/>
      <c r="CI71" s="68"/>
      <c r="CJ71" s="68"/>
      <c r="CK71" s="68"/>
      <c r="CL71" s="68"/>
      <c r="CM71" s="68"/>
      <c r="CN71" s="68"/>
      <c r="CO71" s="68"/>
      <c r="CP71" s="68"/>
      <c r="CQ71" s="68"/>
      <c r="CR71" s="68"/>
      <c r="CS71" s="68"/>
      <c r="CT71" s="68"/>
      <c r="CU71" s="68"/>
      <c r="CV71" s="68"/>
      <c r="CW71" s="68"/>
      <c r="CX71" s="75"/>
      <c r="CY71" s="75"/>
      <c r="CZ71" s="75"/>
      <c r="DA71" s="76"/>
      <c r="DB71" s="74"/>
    </row>
    <row r="72" spans="2:106" ht="11.25" customHeight="1" x14ac:dyDescent="0.2">
      <c r="B72" s="67"/>
      <c r="C72" s="68"/>
      <c r="D72" s="68" t="s">
        <v>118</v>
      </c>
      <c r="E72" s="68"/>
      <c r="F72" s="68"/>
      <c r="G72" s="68" t="s">
        <v>353</v>
      </c>
      <c r="H72" s="68"/>
      <c r="I72" s="68"/>
      <c r="J72" s="68"/>
      <c r="K72" s="68" t="s">
        <v>279</v>
      </c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8"/>
      <c r="BO72" s="68"/>
      <c r="BP72" s="68"/>
      <c r="BQ72" s="68"/>
      <c r="BR72" s="68"/>
      <c r="BS72" s="68"/>
      <c r="BT72" s="68"/>
      <c r="BU72" s="68"/>
      <c r="BV72" s="68"/>
      <c r="BW72" s="68"/>
      <c r="BX72" s="68"/>
      <c r="BY72" s="68"/>
      <c r="BZ72" s="68"/>
      <c r="CA72" s="68"/>
      <c r="CB72" s="68"/>
      <c r="CC72" s="68"/>
      <c r="CD72" s="68"/>
      <c r="CE72" s="68"/>
      <c r="CF72" s="68"/>
      <c r="CG72" s="68"/>
      <c r="CH72" s="68"/>
      <c r="CI72" s="68"/>
      <c r="CJ72" s="68"/>
      <c r="CK72" s="68"/>
      <c r="CL72" s="68"/>
      <c r="CM72" s="68"/>
      <c r="CN72" s="68"/>
      <c r="CO72" s="68"/>
      <c r="CP72" s="68"/>
      <c r="CQ72" s="68"/>
      <c r="CR72" s="68"/>
      <c r="CS72" s="68"/>
      <c r="CT72" s="68"/>
      <c r="CU72" s="68"/>
      <c r="CV72" s="68"/>
      <c r="CW72" s="68"/>
      <c r="CX72" s="75"/>
      <c r="CY72" s="75"/>
      <c r="CZ72" s="75"/>
      <c r="DA72" s="76"/>
      <c r="DB72" s="74"/>
    </row>
    <row r="73" spans="2:106" ht="11.25" customHeight="1" x14ac:dyDescent="0.2">
      <c r="B73" s="67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  <c r="CV73" s="68"/>
      <c r="CW73" s="68"/>
      <c r="CX73" s="75"/>
      <c r="CY73" s="75"/>
      <c r="CZ73" s="75"/>
      <c r="DA73" s="76"/>
      <c r="DB73" s="74"/>
    </row>
    <row r="74" spans="2:106" ht="11.25" customHeight="1" x14ac:dyDescent="0.2">
      <c r="B74" s="67"/>
      <c r="C74" s="68"/>
      <c r="D74" s="68"/>
      <c r="E74" s="68"/>
      <c r="F74" s="68"/>
      <c r="G74" s="68"/>
      <c r="H74" s="68" t="s">
        <v>438</v>
      </c>
      <c r="I74" s="68"/>
      <c r="J74" s="68"/>
      <c r="K74" s="68"/>
      <c r="L74" s="68"/>
      <c r="M74" s="68"/>
      <c r="N74" s="68"/>
      <c r="O74" s="68" t="s">
        <v>383</v>
      </c>
      <c r="P74" s="68"/>
      <c r="Q74" s="68" t="str">
        <f>TEXT(CY51,"#,###.##")</f>
        <v>1,441.6</v>
      </c>
      <c r="R74" s="68"/>
      <c r="S74" s="68"/>
      <c r="T74" s="68"/>
      <c r="U74" s="68"/>
      <c r="V74" s="68"/>
      <c r="W74" s="68"/>
      <c r="X74" s="68"/>
      <c r="Y74" s="68" t="s">
        <v>105</v>
      </c>
      <c r="Z74" s="68"/>
      <c r="AA74" s="68" t="str">
        <f>TEXT(CY55,"#,###.##")</f>
        <v>1,254.2</v>
      </c>
      <c r="AB74" s="68"/>
      <c r="AC74" s="68"/>
      <c r="AD74" s="68"/>
      <c r="AE74" s="68"/>
      <c r="AF74" s="68"/>
      <c r="AG74" s="68"/>
      <c r="AH74" s="68"/>
      <c r="AI74" s="68" t="s">
        <v>105</v>
      </c>
      <c r="AJ74" s="68"/>
      <c r="AK74" s="68" t="str">
        <f>TEXT(CY70,"#,###.##")</f>
        <v>2,853.6</v>
      </c>
      <c r="AL74" s="68"/>
      <c r="AM74" s="68"/>
      <c r="AN74" s="68"/>
      <c r="AO74" s="68"/>
      <c r="AP74" s="68"/>
      <c r="AQ74" s="68"/>
      <c r="AR74" s="68"/>
      <c r="AS74" s="68" t="s">
        <v>214</v>
      </c>
      <c r="AT74" s="68"/>
      <c r="AU74" s="68"/>
      <c r="AV74" s="68" t="str">
        <f>TEXT(TRUNC(CY51+CY55+CY70,0),"#,##0")</f>
        <v>5,549</v>
      </c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  <c r="BM74" s="68"/>
      <c r="BN74" s="68"/>
      <c r="BO74" s="68"/>
      <c r="BP74" s="68"/>
      <c r="BQ74" s="68"/>
      <c r="BR74" s="68"/>
      <c r="BS74" s="68"/>
      <c r="BT74" s="68"/>
      <c r="BU74" s="68"/>
      <c r="BV74" s="68"/>
      <c r="BW74" s="68"/>
      <c r="BX74" s="68"/>
      <c r="BY74" s="68"/>
      <c r="BZ74" s="68"/>
      <c r="CA74" s="68"/>
      <c r="CB74" s="68"/>
      <c r="CC74" s="68"/>
      <c r="CD74" s="68"/>
      <c r="CE74" s="68"/>
      <c r="CF74" s="68"/>
      <c r="CG74" s="68"/>
      <c r="CH74" s="68"/>
      <c r="CI74" s="68"/>
      <c r="CJ74" s="68"/>
      <c r="CK74" s="68"/>
      <c r="CL74" s="68"/>
      <c r="CM74" s="68"/>
      <c r="CN74" s="68"/>
      <c r="CO74" s="68"/>
      <c r="CP74" s="68"/>
      <c r="CQ74" s="68"/>
      <c r="CR74" s="68"/>
      <c r="CS74" s="68"/>
      <c r="CT74" s="68"/>
      <c r="CU74" s="68"/>
      <c r="CV74" s="68"/>
      <c r="CW74" s="68"/>
      <c r="CX74" s="75"/>
      <c r="CY74" s="75"/>
      <c r="CZ74" s="75"/>
      <c r="DA74" s="76"/>
      <c r="DB74" s="74"/>
    </row>
    <row r="75" spans="2:106" ht="11.25" customHeight="1" x14ac:dyDescent="0.2">
      <c r="B75" s="67"/>
      <c r="C75" s="68"/>
      <c r="D75" s="68"/>
      <c r="E75" s="68"/>
      <c r="F75" s="68"/>
      <c r="G75" s="68"/>
      <c r="H75" s="68" t="s">
        <v>319</v>
      </c>
      <c r="I75" s="68"/>
      <c r="J75" s="68"/>
      <c r="K75" s="68"/>
      <c r="L75" s="68"/>
      <c r="M75" s="68"/>
      <c r="N75" s="68"/>
      <c r="O75" s="68" t="s">
        <v>383</v>
      </c>
      <c r="P75" s="68"/>
      <c r="Q75" s="68" t="str">
        <f>TEXT(CZ51,"#,###.##")</f>
        <v>252.8</v>
      </c>
      <c r="R75" s="68"/>
      <c r="S75" s="68"/>
      <c r="T75" s="68"/>
      <c r="U75" s="68"/>
      <c r="V75" s="68"/>
      <c r="W75" s="68" t="s">
        <v>105</v>
      </c>
      <c r="X75" s="68"/>
      <c r="Y75" s="68" t="str">
        <f>TEXT(CZ70,"#,###.##")</f>
        <v>162.8</v>
      </c>
      <c r="Z75" s="68"/>
      <c r="AA75" s="68"/>
      <c r="AB75" s="68"/>
      <c r="AC75" s="68"/>
      <c r="AD75" s="68"/>
      <c r="AE75" s="68" t="s">
        <v>214</v>
      </c>
      <c r="AF75" s="68"/>
      <c r="AG75" s="68"/>
      <c r="AH75" s="68" t="str">
        <f>TEXT(TRUNC(CZ51+CZ70,0),"#,##0")</f>
        <v>415</v>
      </c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  <c r="BO75" s="68"/>
      <c r="BP75" s="68"/>
      <c r="BQ75" s="68"/>
      <c r="BR75" s="68"/>
      <c r="BS75" s="68"/>
      <c r="BT75" s="68"/>
      <c r="BU75" s="68"/>
      <c r="BV75" s="68"/>
      <c r="BW75" s="68"/>
      <c r="BX75" s="6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/>
      <c r="CL75" s="68"/>
      <c r="CM75" s="68"/>
      <c r="CN75" s="68"/>
      <c r="CO75" s="68"/>
      <c r="CP75" s="68"/>
      <c r="CQ75" s="68"/>
      <c r="CR75" s="68"/>
      <c r="CS75" s="68"/>
      <c r="CT75" s="68"/>
      <c r="CU75" s="68"/>
      <c r="CV75" s="68"/>
      <c r="CW75" s="68"/>
      <c r="CX75" s="75"/>
      <c r="CY75" s="75"/>
      <c r="CZ75" s="75"/>
      <c r="DA75" s="76"/>
      <c r="DB75" s="74"/>
    </row>
    <row r="76" spans="2:106" ht="11.25" customHeight="1" x14ac:dyDescent="0.2">
      <c r="B76" s="67"/>
      <c r="C76" s="68"/>
      <c r="D76" s="68"/>
      <c r="E76" s="68"/>
      <c r="F76" s="68"/>
      <c r="G76" s="68"/>
      <c r="H76" s="68" t="s">
        <v>116</v>
      </c>
      <c r="I76" s="68"/>
      <c r="J76" s="68"/>
      <c r="K76" s="68"/>
      <c r="L76" s="68" t="s">
        <v>281</v>
      </c>
      <c r="M76" s="68"/>
      <c r="N76" s="68"/>
      <c r="O76" s="68" t="s">
        <v>383</v>
      </c>
      <c r="P76" s="68"/>
      <c r="Q76" s="68" t="str">
        <f>TEXT(DA51,"#,###.##")</f>
        <v>461.</v>
      </c>
      <c r="R76" s="68"/>
      <c r="S76" s="68"/>
      <c r="T76" s="68"/>
      <c r="U76" s="68" t="s">
        <v>105</v>
      </c>
      <c r="V76" s="68"/>
      <c r="W76" s="68" t="str">
        <f>TEXT(DA70,"#,###.##")</f>
        <v>60.3</v>
      </c>
      <c r="X76" s="68"/>
      <c r="Y76" s="68"/>
      <c r="Z76" s="68"/>
      <c r="AA76" s="68"/>
      <c r="AB76" s="68" t="s">
        <v>214</v>
      </c>
      <c r="AC76" s="68"/>
      <c r="AD76" s="68"/>
      <c r="AE76" s="68" t="str">
        <f>TEXT(TRUNC(DA51+DA70,0),"#,##0")</f>
        <v>521</v>
      </c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75"/>
      <c r="CY76" s="75"/>
      <c r="CZ76" s="75"/>
      <c r="DA76" s="76"/>
      <c r="DB76" s="74"/>
    </row>
    <row r="77" spans="2:106" ht="11.25" customHeight="1" x14ac:dyDescent="0.2">
      <c r="B77" s="67"/>
      <c r="C77" s="68"/>
      <c r="D77" s="68"/>
      <c r="E77" s="68"/>
      <c r="F77" s="68"/>
      <c r="G77" s="68"/>
      <c r="H77" s="68"/>
      <c r="I77" s="68"/>
      <c r="J77" s="68" t="s">
        <v>279</v>
      </c>
      <c r="K77" s="68"/>
      <c r="L77" s="68"/>
      <c r="M77" s="68"/>
      <c r="N77" s="68"/>
      <c r="O77" s="68" t="s">
        <v>383</v>
      </c>
      <c r="P77" s="68"/>
      <c r="Q77" s="68"/>
      <c r="R77" s="68" t="str">
        <f>TEXT(AV74+AH75+AE76,"#,##0")</f>
        <v>6,485</v>
      </c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8"/>
      <c r="BX77" s="68"/>
      <c r="BY77" s="68"/>
      <c r="BZ77" s="68"/>
      <c r="CA77" s="68"/>
      <c r="CB77" s="68"/>
      <c r="CC77" s="68"/>
      <c r="CD77" s="68"/>
      <c r="CE77" s="68"/>
      <c r="CF77" s="68"/>
      <c r="CG77" s="68"/>
      <c r="CH77" s="68"/>
      <c r="CI77" s="68"/>
      <c r="CJ77" s="68"/>
      <c r="CK77" s="68"/>
      <c r="CL77" s="68"/>
      <c r="CM77" s="68"/>
      <c r="CN77" s="68"/>
      <c r="CO77" s="68"/>
      <c r="CP77" s="68"/>
      <c r="CQ77" s="68"/>
      <c r="CR77" s="68"/>
      <c r="CS77" s="68"/>
      <c r="CT77" s="68"/>
      <c r="CU77" s="68"/>
      <c r="CV77" s="68"/>
      <c r="CW77" s="68"/>
      <c r="CX77" s="77">
        <f>CY77+CZ77+DA77</f>
        <v>6485</v>
      </c>
      <c r="CY77" s="75" t="str">
        <f>TEXT(AV74,"#,##0")</f>
        <v>5,549</v>
      </c>
      <c r="CZ77" s="75" t="str">
        <f>TEXT(AH75,"#,##0")</f>
        <v>415</v>
      </c>
      <c r="DA77" s="76" t="str">
        <f>TEXT(AE76,"#,##0")</f>
        <v>521</v>
      </c>
      <c r="DB77" s="74"/>
    </row>
    <row r="78" spans="2:106" ht="11.25" customHeight="1" x14ac:dyDescent="0.2">
      <c r="B78" s="67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75"/>
      <c r="CY78" s="75"/>
      <c r="CZ78" s="75"/>
      <c r="DA78" s="76"/>
      <c r="DB78" s="74"/>
    </row>
    <row r="79" spans="2:106" ht="11.25" customHeight="1" x14ac:dyDescent="0.2">
      <c r="B79" s="71" t="s">
        <v>49</v>
      </c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72">
        <f>CX141</f>
        <v>68779</v>
      </c>
      <c r="CY79" s="72" t="str">
        <f>CY141</f>
        <v>42,532</v>
      </c>
      <c r="CZ79" s="72" t="str">
        <f>CZ141</f>
        <v>10,203</v>
      </c>
      <c r="DA79" s="73" t="str">
        <f>DA141</f>
        <v>16,044</v>
      </c>
      <c r="DB79" s="74"/>
    </row>
    <row r="80" spans="2:106" ht="11.25" customHeight="1" x14ac:dyDescent="0.2">
      <c r="B80" s="67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75"/>
      <c r="CY80" s="75"/>
      <c r="CZ80" s="75"/>
      <c r="DA80" s="76"/>
      <c r="DB80" s="74"/>
    </row>
    <row r="81" spans="2:106" ht="11.25" customHeight="1" x14ac:dyDescent="0.2">
      <c r="B81" s="67"/>
      <c r="C81" s="68"/>
      <c r="D81" s="68" t="s">
        <v>257</v>
      </c>
      <c r="E81" s="68"/>
      <c r="F81" s="68"/>
      <c r="G81" s="68" t="s">
        <v>489</v>
      </c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 t="s">
        <v>383</v>
      </c>
      <c r="S81" s="68"/>
      <c r="T81" s="68" t="s">
        <v>179</v>
      </c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  <c r="CE81" s="68"/>
      <c r="CF81" s="68"/>
      <c r="CG81" s="68"/>
      <c r="CH81" s="68"/>
      <c r="CI81" s="68"/>
      <c r="CJ81" s="68"/>
      <c r="CK81" s="68"/>
      <c r="CL81" s="68"/>
      <c r="CM81" s="68"/>
      <c r="CN81" s="68"/>
      <c r="CO81" s="68"/>
      <c r="CP81" s="68"/>
      <c r="CQ81" s="68"/>
      <c r="CR81" s="68"/>
      <c r="CS81" s="68"/>
      <c r="CT81" s="68"/>
      <c r="CU81" s="68"/>
      <c r="CV81" s="68"/>
      <c r="CW81" s="68"/>
      <c r="CX81" s="75"/>
      <c r="CY81" s="75"/>
      <c r="CZ81" s="75"/>
      <c r="DA81" s="76"/>
      <c r="DB81" s="74"/>
    </row>
    <row r="82" spans="2:106" ht="11.25" customHeight="1" x14ac:dyDescent="0.2">
      <c r="B82" s="67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  <c r="CE82" s="68"/>
      <c r="CF82" s="68"/>
      <c r="CG82" s="68"/>
      <c r="CH82" s="68"/>
      <c r="CI82" s="68"/>
      <c r="CJ82" s="68"/>
      <c r="CK82" s="68"/>
      <c r="CL82" s="68"/>
      <c r="CM82" s="68"/>
      <c r="CN82" s="68"/>
      <c r="CO82" s="68"/>
      <c r="CP82" s="68"/>
      <c r="CQ82" s="68"/>
      <c r="CR82" s="68"/>
      <c r="CS82" s="68"/>
      <c r="CT82" s="68"/>
      <c r="CU82" s="68"/>
      <c r="CV82" s="68"/>
      <c r="CW82" s="68"/>
      <c r="CX82" s="75"/>
      <c r="CY82" s="75"/>
      <c r="CZ82" s="75"/>
      <c r="DA82" s="76"/>
      <c r="DB82" s="74"/>
    </row>
    <row r="83" spans="2:106" ht="11.25" customHeight="1" x14ac:dyDescent="0.2">
      <c r="B83" s="67"/>
      <c r="C83" s="68"/>
      <c r="D83" s="68"/>
      <c r="E83" s="68" t="s">
        <v>389</v>
      </c>
      <c r="F83" s="68"/>
      <c r="G83" s="68" t="s">
        <v>373</v>
      </c>
      <c r="H83" s="68"/>
      <c r="I83" s="68" t="s">
        <v>156</v>
      </c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 t="s">
        <v>456</v>
      </c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8"/>
      <c r="BX83" s="68"/>
      <c r="BY83" s="68"/>
      <c r="BZ83" s="68"/>
      <c r="CA83" s="68"/>
      <c r="CB83" s="68"/>
      <c r="CC83" s="68"/>
      <c r="CD83" s="68"/>
      <c r="CE83" s="68"/>
      <c r="CF83" s="68"/>
      <c r="CG83" s="68"/>
      <c r="CH83" s="68"/>
      <c r="CI83" s="68"/>
      <c r="CJ83" s="68"/>
      <c r="CK83" s="68"/>
      <c r="CL83" s="68"/>
      <c r="CM83" s="68"/>
      <c r="CN83" s="68"/>
      <c r="CO83" s="68"/>
      <c r="CP83" s="68"/>
      <c r="CQ83" s="68"/>
      <c r="CR83" s="68"/>
      <c r="CS83" s="68"/>
      <c r="CT83" s="68"/>
      <c r="CU83" s="68"/>
      <c r="CV83" s="68"/>
      <c r="CW83" s="68"/>
      <c r="CX83" s="75"/>
      <c r="CY83" s="75"/>
      <c r="CZ83" s="75"/>
      <c r="DA83" s="76"/>
      <c r="DB83" s="74"/>
    </row>
    <row r="84" spans="2:106" ht="11.25" customHeight="1" x14ac:dyDescent="0.2">
      <c r="B84" s="67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  <c r="BJ84" s="68"/>
      <c r="BK84" s="68"/>
      <c r="BL84" s="68"/>
      <c r="BM84" s="68"/>
      <c r="BN84" s="68"/>
      <c r="BO84" s="68"/>
      <c r="BP84" s="68"/>
      <c r="BQ84" s="68"/>
      <c r="BR84" s="68"/>
      <c r="BS84" s="68"/>
      <c r="BT84" s="68"/>
      <c r="BU84" s="68"/>
      <c r="BV84" s="68"/>
      <c r="BW84" s="68"/>
      <c r="BX84" s="68"/>
      <c r="BY84" s="68"/>
      <c r="BZ84" s="68"/>
      <c r="CA84" s="68"/>
      <c r="CB84" s="68"/>
      <c r="CC84" s="68"/>
      <c r="CD84" s="68"/>
      <c r="CE84" s="68"/>
      <c r="CF84" s="68"/>
      <c r="CG84" s="68"/>
      <c r="CH84" s="68"/>
      <c r="CI84" s="68"/>
      <c r="CJ84" s="68"/>
      <c r="CK84" s="68"/>
      <c r="CL84" s="68"/>
      <c r="CM84" s="68"/>
      <c r="CN84" s="68"/>
      <c r="CO84" s="68"/>
      <c r="CP84" s="68"/>
      <c r="CQ84" s="68"/>
      <c r="CR84" s="68"/>
      <c r="CS84" s="68"/>
      <c r="CT84" s="68"/>
      <c r="CU84" s="68"/>
      <c r="CV84" s="68"/>
      <c r="CW84" s="68"/>
      <c r="CX84" s="75"/>
      <c r="CY84" s="75"/>
      <c r="CZ84" s="75"/>
      <c r="DA84" s="76"/>
      <c r="DB84" s="74"/>
    </row>
    <row r="85" spans="2:106" ht="11.25" customHeight="1" x14ac:dyDescent="0.2">
      <c r="B85" s="67"/>
      <c r="C85" s="68"/>
      <c r="D85" s="68"/>
      <c r="E85" s="68"/>
      <c r="F85" s="68"/>
      <c r="G85" s="68" t="s">
        <v>26</v>
      </c>
      <c r="H85" s="68"/>
      <c r="I85" s="68" t="s">
        <v>214</v>
      </c>
      <c r="J85" s="68"/>
      <c r="K85" s="68" t="s">
        <v>275</v>
      </c>
      <c r="L85" s="68" t="str">
        <f>TEXT(1.4,"#,##0.#######")</f>
        <v>1.4</v>
      </c>
      <c r="M85" s="68"/>
      <c r="N85" s="68"/>
      <c r="O85" s="68"/>
      <c r="P85" s="68" t="s">
        <v>105</v>
      </c>
      <c r="Q85" s="68"/>
      <c r="R85" s="68" t="str">
        <f>TEXT(2.7,"#,##0.#######")</f>
        <v>2.7</v>
      </c>
      <c r="S85" s="68"/>
      <c r="T85" s="68"/>
      <c r="U85" s="68" t="s">
        <v>55</v>
      </c>
      <c r="V85" s="68"/>
      <c r="W85" s="68" t="s">
        <v>253</v>
      </c>
      <c r="X85" s="68"/>
      <c r="Y85" s="68"/>
      <c r="Z85" s="68" t="str">
        <f>TEXT(2,"#,##0.#######")</f>
        <v>2.</v>
      </c>
      <c r="AA85" s="68"/>
      <c r="AB85" s="68" t="s">
        <v>214</v>
      </c>
      <c r="AC85" s="68"/>
      <c r="AD85" s="68" t="str">
        <f>TEXT(ROUND((L85+R85)/Z85,2),"#,##0.#######")</f>
        <v>2.05</v>
      </c>
      <c r="AE85" s="68"/>
      <c r="AF85" s="68"/>
      <c r="AG85" s="68"/>
      <c r="AH85" s="68"/>
      <c r="AI85" s="68"/>
      <c r="AJ85" s="68"/>
      <c r="AK85" s="68" t="s">
        <v>368</v>
      </c>
      <c r="AL85" s="68"/>
      <c r="AM85" s="68" t="s">
        <v>90</v>
      </c>
      <c r="AN85" s="68" t="s">
        <v>380</v>
      </c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  <c r="BJ85" s="68"/>
      <c r="BK85" s="68"/>
      <c r="BL85" s="68"/>
      <c r="BM85" s="68"/>
      <c r="BN85" s="68"/>
      <c r="BO85" s="68"/>
      <c r="BP85" s="68"/>
      <c r="BQ85" s="68"/>
      <c r="BR85" s="68"/>
      <c r="BS85" s="68"/>
      <c r="BT85" s="68"/>
      <c r="BU85" s="68"/>
      <c r="BV85" s="68"/>
      <c r="BW85" s="68"/>
      <c r="BX85" s="68"/>
      <c r="BY85" s="68"/>
      <c r="BZ85" s="68"/>
      <c r="CA85" s="68"/>
      <c r="CB85" s="68"/>
      <c r="CC85" s="68"/>
      <c r="CD85" s="68"/>
      <c r="CE85" s="68"/>
      <c r="CF85" s="68"/>
      <c r="CG85" s="68"/>
      <c r="CH85" s="68"/>
      <c r="CI85" s="68"/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  <c r="CV85" s="68"/>
      <c r="CW85" s="68"/>
      <c r="CX85" s="75"/>
      <c r="CY85" s="75"/>
      <c r="CZ85" s="75"/>
      <c r="DA85" s="76"/>
      <c r="DB85" s="74"/>
    </row>
    <row r="86" spans="2:106" ht="11.25" customHeight="1" x14ac:dyDescent="0.2">
      <c r="B86" s="67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  <c r="CV86" s="68"/>
      <c r="CW86" s="68"/>
      <c r="CX86" s="75"/>
      <c r="CY86" s="75"/>
      <c r="CZ86" s="75"/>
      <c r="DA86" s="76"/>
      <c r="DB86" s="74"/>
    </row>
    <row r="87" spans="2:106" ht="11.25" customHeight="1" x14ac:dyDescent="0.2">
      <c r="B87" s="67"/>
      <c r="C87" s="68"/>
      <c r="D87" s="68"/>
      <c r="E87" s="68"/>
      <c r="F87" s="68"/>
      <c r="G87" s="68" t="s">
        <v>438</v>
      </c>
      <c r="H87" s="68"/>
      <c r="I87" s="68"/>
      <c r="J87" s="68"/>
      <c r="K87" s="68"/>
      <c r="L87" s="68"/>
      <c r="M87" s="68"/>
      <c r="N87" s="68" t="s">
        <v>383</v>
      </c>
      <c r="O87" s="68"/>
      <c r="P87" s="68" t="str">
        <f>TEXT(기계경비총괄표!G7,"#,##0")</f>
        <v>38,972</v>
      </c>
      <c r="Q87" s="68"/>
      <c r="R87" s="68"/>
      <c r="S87" s="68"/>
      <c r="T87" s="68"/>
      <c r="U87" s="68"/>
      <c r="V87" s="68"/>
      <c r="W87" s="68"/>
      <c r="X87" s="68"/>
      <c r="Y87" s="68" t="s">
        <v>253</v>
      </c>
      <c r="Z87" s="68"/>
      <c r="AA87" s="68"/>
      <c r="AB87" s="68" t="str">
        <f>TEXT(AD85,"#,##0.#######")</f>
        <v>2.05</v>
      </c>
      <c r="AC87" s="68"/>
      <c r="AD87" s="68"/>
      <c r="AE87" s="68"/>
      <c r="AF87" s="68"/>
      <c r="AG87" s="68"/>
      <c r="AH87" s="68"/>
      <c r="AI87" s="68" t="s">
        <v>214</v>
      </c>
      <c r="AJ87" s="68"/>
      <c r="AK87" s="68" t="str">
        <f>TEXT(TRUNC(P87/AD85,1),"#,##0.#")</f>
        <v>19,010.7</v>
      </c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  <c r="BM87" s="68"/>
      <c r="BN87" s="68"/>
      <c r="BO87" s="68"/>
      <c r="BP87" s="68"/>
      <c r="BQ87" s="68"/>
      <c r="BR87" s="68"/>
      <c r="BS87" s="68"/>
      <c r="BT87" s="68"/>
      <c r="BU87" s="68"/>
      <c r="BV87" s="68"/>
      <c r="BW87" s="68"/>
      <c r="BX87" s="68"/>
      <c r="BY87" s="68"/>
      <c r="BZ87" s="68"/>
      <c r="CA87" s="68"/>
      <c r="CB87" s="68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  <c r="CV87" s="68"/>
      <c r="CW87" s="68"/>
      <c r="CX87" s="75"/>
      <c r="CY87" s="75"/>
      <c r="CZ87" s="75"/>
      <c r="DA87" s="76"/>
      <c r="DB87" s="74"/>
    </row>
    <row r="88" spans="2:106" ht="11.25" customHeight="1" x14ac:dyDescent="0.2">
      <c r="B88" s="67"/>
      <c r="C88" s="68"/>
      <c r="D88" s="68"/>
      <c r="E88" s="68"/>
      <c r="F88" s="68"/>
      <c r="G88" s="68" t="s">
        <v>319</v>
      </c>
      <c r="H88" s="68"/>
      <c r="I88" s="68"/>
      <c r="J88" s="68"/>
      <c r="K88" s="68"/>
      <c r="L88" s="68"/>
      <c r="M88" s="68"/>
      <c r="N88" s="68" t="s">
        <v>383</v>
      </c>
      <c r="O88" s="68"/>
      <c r="P88" s="68" t="str">
        <f>TEXT(기계경비총괄표!H7,"#,##0")</f>
        <v>15,205</v>
      </c>
      <c r="Q88" s="68"/>
      <c r="R88" s="68"/>
      <c r="S88" s="68"/>
      <c r="T88" s="68"/>
      <c r="U88" s="68"/>
      <c r="V88" s="68"/>
      <c r="W88" s="68"/>
      <c r="X88" s="68"/>
      <c r="Y88" s="68" t="s">
        <v>253</v>
      </c>
      <c r="Z88" s="68"/>
      <c r="AA88" s="68"/>
      <c r="AB88" s="68" t="str">
        <f>TEXT(AD85,"#,##0.#######")</f>
        <v>2.05</v>
      </c>
      <c r="AC88" s="68"/>
      <c r="AD88" s="68"/>
      <c r="AE88" s="68"/>
      <c r="AF88" s="68"/>
      <c r="AG88" s="68"/>
      <c r="AH88" s="68"/>
      <c r="AI88" s="68" t="s">
        <v>214</v>
      </c>
      <c r="AJ88" s="68"/>
      <c r="AK88" s="68"/>
      <c r="AL88" s="68" t="str">
        <f>TEXT(TRUNC(P88/AD85,1),"#,##0.#")</f>
        <v>7,417.</v>
      </c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BP88" s="68"/>
      <c r="BQ88" s="68"/>
      <c r="BR88" s="68"/>
      <c r="BS88" s="68"/>
      <c r="BT88" s="68"/>
      <c r="BU88" s="68"/>
      <c r="BV88" s="68"/>
      <c r="BW88" s="68"/>
      <c r="BX88" s="68"/>
      <c r="BY88" s="68"/>
      <c r="BZ88" s="68"/>
      <c r="CA88" s="68"/>
      <c r="CB88" s="68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  <c r="CV88" s="68"/>
      <c r="CW88" s="68"/>
      <c r="CX88" s="75"/>
      <c r="CY88" s="75"/>
      <c r="CZ88" s="75"/>
      <c r="DA88" s="76"/>
      <c r="DB88" s="74"/>
    </row>
    <row r="89" spans="2:106" ht="11.25" customHeight="1" x14ac:dyDescent="0.2">
      <c r="B89" s="67"/>
      <c r="C89" s="68"/>
      <c r="D89" s="68"/>
      <c r="E89" s="68"/>
      <c r="F89" s="68"/>
      <c r="G89" s="68" t="s">
        <v>116</v>
      </c>
      <c r="H89" s="68"/>
      <c r="I89" s="68"/>
      <c r="J89" s="68"/>
      <c r="K89" s="68" t="s">
        <v>281</v>
      </c>
      <c r="L89" s="68"/>
      <c r="M89" s="68"/>
      <c r="N89" s="68" t="s">
        <v>383</v>
      </c>
      <c r="O89" s="68"/>
      <c r="P89" s="68" t="str">
        <f>TEXT(기계경비총괄표!I7,"#,##0")</f>
        <v>30,810</v>
      </c>
      <c r="Q89" s="68"/>
      <c r="R89" s="68"/>
      <c r="S89" s="68"/>
      <c r="T89" s="68"/>
      <c r="U89" s="68"/>
      <c r="V89" s="68"/>
      <c r="W89" s="68"/>
      <c r="X89" s="68"/>
      <c r="Y89" s="68" t="s">
        <v>253</v>
      </c>
      <c r="Z89" s="68"/>
      <c r="AA89" s="68"/>
      <c r="AB89" s="68" t="str">
        <f>TEXT(AD85,"#,##0.#######")</f>
        <v>2.05</v>
      </c>
      <c r="AC89" s="68"/>
      <c r="AD89" s="68"/>
      <c r="AE89" s="68"/>
      <c r="AF89" s="68"/>
      <c r="AG89" s="68"/>
      <c r="AH89" s="68"/>
      <c r="AI89" s="68" t="s">
        <v>214</v>
      </c>
      <c r="AJ89" s="68"/>
      <c r="AK89" s="68" t="str">
        <f>TEXT(TRUNC(P89/AD85,1),"#,##0.#")</f>
        <v>15,029.2</v>
      </c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  <c r="CW89" s="68"/>
      <c r="CX89" s="75"/>
      <c r="CY89" s="75"/>
      <c r="CZ89" s="75"/>
      <c r="DA89" s="76"/>
      <c r="DB89" s="74"/>
    </row>
    <row r="90" spans="2:106" ht="11.25" customHeight="1" x14ac:dyDescent="0.2">
      <c r="B90" s="69"/>
      <c r="C90" s="70"/>
      <c r="D90" s="70"/>
      <c r="E90" s="70"/>
      <c r="F90" s="70"/>
      <c r="G90" s="70" t="s">
        <v>213</v>
      </c>
      <c r="H90" s="70"/>
      <c r="I90" s="70"/>
      <c r="J90" s="70"/>
      <c r="K90" s="70" t="s">
        <v>279</v>
      </c>
      <c r="L90" s="70"/>
      <c r="M90" s="70"/>
      <c r="N90" s="70" t="s">
        <v>383</v>
      </c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 t="str">
        <f>TEXT(AK87+AL88+AK89,"#,##0.#######")</f>
        <v>41,456.9</v>
      </c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70"/>
      <c r="CR90" s="70"/>
      <c r="CS90" s="70"/>
      <c r="CT90" s="70"/>
      <c r="CU90" s="70"/>
      <c r="CV90" s="70"/>
      <c r="CW90" s="70"/>
      <c r="CX90" s="78">
        <f>CY90+CZ90+DA90</f>
        <v>41456.9</v>
      </c>
      <c r="CY90" s="78" t="str">
        <f>TEXT(AK87,"#,###.0")</f>
        <v>19,010.7</v>
      </c>
      <c r="CZ90" s="78" t="str">
        <f>TEXT(AL88,"#,###.0")</f>
        <v>7,417.0</v>
      </c>
      <c r="DA90" s="79" t="str">
        <f>TEXT(AK89,"#,###.0")</f>
        <v>15,029.2</v>
      </c>
      <c r="DB90" s="74"/>
    </row>
    <row r="91" spans="2:106" ht="11.25" customHeight="1" x14ac:dyDescent="0.2">
      <c r="B91" s="67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8"/>
      <c r="BX91" s="68"/>
      <c r="BY91" s="68"/>
      <c r="BZ91" s="68"/>
      <c r="CA91" s="68"/>
      <c r="CB91" s="68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  <c r="CV91" s="68"/>
      <c r="CW91" s="68"/>
      <c r="CX91" s="75"/>
      <c r="CY91" s="75"/>
      <c r="CZ91" s="75"/>
      <c r="DA91" s="76"/>
      <c r="DB91" s="74"/>
    </row>
    <row r="92" spans="2:106" ht="11.25" customHeight="1" x14ac:dyDescent="0.2">
      <c r="B92" s="67"/>
      <c r="C92" s="68"/>
      <c r="D92" s="68"/>
      <c r="E92" s="68" t="s">
        <v>317</v>
      </c>
      <c r="F92" s="68"/>
      <c r="G92" s="68" t="s">
        <v>373</v>
      </c>
      <c r="H92" s="68"/>
      <c r="I92" s="68" t="s">
        <v>454</v>
      </c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  <c r="CW92" s="68"/>
      <c r="CX92" s="75"/>
      <c r="CY92" s="75"/>
      <c r="CZ92" s="75"/>
      <c r="DA92" s="76"/>
      <c r="DB92" s="74"/>
    </row>
    <row r="93" spans="2:106" ht="11.25" customHeight="1" x14ac:dyDescent="0.2">
      <c r="B93" s="67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  <c r="BP93" s="68"/>
      <c r="BQ93" s="68"/>
      <c r="BR93" s="68"/>
      <c r="BS93" s="68"/>
      <c r="BT93" s="68"/>
      <c r="BU93" s="68"/>
      <c r="BV93" s="68"/>
      <c r="BW93" s="68"/>
      <c r="BX93" s="68"/>
      <c r="BY93" s="68"/>
      <c r="BZ93" s="68"/>
      <c r="CA93" s="68"/>
      <c r="CB93" s="68"/>
      <c r="CC93" s="68"/>
      <c r="CD93" s="68"/>
      <c r="CE93" s="68"/>
      <c r="CF93" s="68"/>
      <c r="CG93" s="68"/>
      <c r="CH93" s="68"/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  <c r="CV93" s="68"/>
      <c r="CW93" s="68"/>
      <c r="CX93" s="75"/>
      <c r="CY93" s="75"/>
      <c r="CZ93" s="75"/>
      <c r="DA93" s="76"/>
      <c r="DB93" s="74"/>
    </row>
    <row r="94" spans="2:106" ht="11.25" customHeight="1" x14ac:dyDescent="0.2">
      <c r="B94" s="67"/>
      <c r="C94" s="68"/>
      <c r="D94" s="68"/>
      <c r="E94" s="68"/>
      <c r="F94" s="68"/>
      <c r="G94" s="68" t="s">
        <v>28</v>
      </c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 t="s">
        <v>383</v>
      </c>
      <c r="S94" s="68"/>
      <c r="T94" s="68" t="str">
        <f>TEXT(노임단가!L5,"#,##0")</f>
        <v>125,427</v>
      </c>
      <c r="U94" s="68"/>
      <c r="V94" s="68"/>
      <c r="W94" s="68"/>
      <c r="X94" s="68"/>
      <c r="Y94" s="68"/>
      <c r="Z94" s="68"/>
      <c r="AA94" s="68"/>
      <c r="AB94" s="68"/>
      <c r="AC94" s="68"/>
      <c r="AD94" s="68" t="s">
        <v>437</v>
      </c>
      <c r="AE94" s="68"/>
      <c r="AF94" s="68"/>
      <c r="AG94" s="68" t="str">
        <f>TEXT(1,"#,##0.#######")</f>
        <v>1.</v>
      </c>
      <c r="AH94" s="68" t="s">
        <v>469</v>
      </c>
      <c r="AI94" s="68"/>
      <c r="AJ94" s="68"/>
      <c r="AK94" s="68" t="s">
        <v>253</v>
      </c>
      <c r="AL94" s="68"/>
      <c r="AM94" s="68"/>
      <c r="AN94" s="68" t="s">
        <v>275</v>
      </c>
      <c r="AO94" s="68" t="str">
        <f>TEXT(8,"#,##0.#######")</f>
        <v>8.</v>
      </c>
      <c r="AP94" s="68" t="s">
        <v>380</v>
      </c>
      <c r="AQ94" s="68"/>
      <c r="AR94" s="68"/>
      <c r="AS94" s="68" t="s">
        <v>437</v>
      </c>
      <c r="AT94" s="68"/>
      <c r="AU94" s="68"/>
      <c r="AV94" s="68" t="str">
        <f>TEXT(AD85,"#,##0.#######")</f>
        <v>2.05</v>
      </c>
      <c r="AW94" s="68"/>
      <c r="AX94" s="68"/>
      <c r="AY94" s="68"/>
      <c r="AZ94" s="68"/>
      <c r="BA94" s="68"/>
      <c r="BB94" s="68" t="s">
        <v>55</v>
      </c>
      <c r="BC94" s="68"/>
      <c r="BD94" s="68" t="s">
        <v>214</v>
      </c>
      <c r="BE94" s="68"/>
      <c r="BF94" s="68" t="str">
        <f>TEXT(TRUNC(T94*AG94/(AO94*AD85),1),"#,##0.#")</f>
        <v>7,647.9</v>
      </c>
      <c r="BG94" s="68"/>
      <c r="BH94" s="68"/>
      <c r="BI94" s="68"/>
      <c r="BJ94" s="68"/>
      <c r="BK94" s="68"/>
      <c r="BL94" s="68"/>
      <c r="BM94" s="68"/>
      <c r="BN94" s="68"/>
      <c r="BO94" s="68"/>
      <c r="BP94" s="68"/>
      <c r="BQ94" s="68"/>
      <c r="BR94" s="68"/>
      <c r="BS94" s="68"/>
      <c r="BT94" s="68"/>
      <c r="BU94" s="68"/>
      <c r="BV94" s="68"/>
      <c r="BW94" s="68"/>
      <c r="BX94" s="68"/>
      <c r="BY94" s="68"/>
      <c r="BZ94" s="68"/>
      <c r="CA94" s="68"/>
      <c r="CB94" s="68"/>
      <c r="CC94" s="68"/>
      <c r="CD94" s="68"/>
      <c r="CE94" s="68"/>
      <c r="CF94" s="68"/>
      <c r="CG94" s="68"/>
      <c r="CH94" s="68"/>
      <c r="CI94" s="68"/>
      <c r="CJ94" s="68"/>
      <c r="CK94" s="68"/>
      <c r="CL94" s="68"/>
      <c r="CM94" s="68"/>
      <c r="CN94" s="68"/>
      <c r="CO94" s="68"/>
      <c r="CP94" s="68"/>
      <c r="CQ94" s="68"/>
      <c r="CR94" s="68"/>
      <c r="CS94" s="68"/>
      <c r="CT94" s="68"/>
      <c r="CU94" s="68"/>
      <c r="CV94" s="68"/>
      <c r="CW94" s="68"/>
      <c r="CX94" s="75">
        <f>CY94+CZ94+DA94</f>
        <v>7647.9</v>
      </c>
      <c r="CY94" s="75" t="str">
        <f>BF94</f>
        <v>7,647.9</v>
      </c>
      <c r="CZ94" s="75"/>
      <c r="DA94" s="76"/>
      <c r="DB94" s="74"/>
    </row>
    <row r="95" spans="2:106" ht="11.25" customHeight="1" x14ac:dyDescent="0.2">
      <c r="B95" s="67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75"/>
      <c r="CY95" s="75"/>
      <c r="CZ95" s="75"/>
      <c r="DA95" s="76"/>
      <c r="DB95" s="74"/>
    </row>
    <row r="96" spans="2:106" ht="11.25" customHeight="1" x14ac:dyDescent="0.2">
      <c r="B96" s="67"/>
      <c r="C96" s="68"/>
      <c r="D96" s="68"/>
      <c r="E96" s="68" t="s">
        <v>150</v>
      </c>
      <c r="F96" s="68"/>
      <c r="G96" s="68" t="s">
        <v>373</v>
      </c>
      <c r="H96" s="68"/>
      <c r="I96" s="68" t="s">
        <v>83</v>
      </c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  <c r="BP96" s="68"/>
      <c r="BQ96" s="68"/>
      <c r="BR96" s="68"/>
      <c r="BS96" s="68"/>
      <c r="BT96" s="68"/>
      <c r="BU96" s="68"/>
      <c r="BV96" s="68"/>
      <c r="BW96" s="68"/>
      <c r="BX96" s="68"/>
      <c r="BY96" s="68"/>
      <c r="BZ96" s="68"/>
      <c r="CA96" s="68"/>
      <c r="CB96" s="68"/>
      <c r="CC96" s="68"/>
      <c r="CD96" s="68"/>
      <c r="CE96" s="68"/>
      <c r="CF96" s="68"/>
      <c r="CG96" s="68"/>
      <c r="CH96" s="68"/>
      <c r="CI96" s="68"/>
      <c r="CJ96" s="68"/>
      <c r="CK96" s="68"/>
      <c r="CL96" s="68"/>
      <c r="CM96" s="68"/>
      <c r="CN96" s="68"/>
      <c r="CO96" s="68"/>
      <c r="CP96" s="68"/>
      <c r="CQ96" s="68"/>
      <c r="CR96" s="68"/>
      <c r="CS96" s="68"/>
      <c r="CT96" s="68"/>
      <c r="CU96" s="68"/>
      <c r="CV96" s="68"/>
      <c r="CW96" s="68"/>
      <c r="CX96" s="75"/>
      <c r="CY96" s="75"/>
      <c r="CZ96" s="75"/>
      <c r="DA96" s="76"/>
      <c r="DB96" s="74"/>
    </row>
    <row r="97" spans="2:106" ht="11.25" customHeight="1" x14ac:dyDescent="0.2">
      <c r="B97" s="67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  <c r="BP97" s="68"/>
      <c r="BQ97" s="68"/>
      <c r="BR97" s="68"/>
      <c r="BS97" s="68"/>
      <c r="BT97" s="68"/>
      <c r="BU97" s="68"/>
      <c r="BV97" s="68"/>
      <c r="BW97" s="68"/>
      <c r="BX97" s="68"/>
      <c r="BY97" s="68"/>
      <c r="BZ97" s="68"/>
      <c r="CA97" s="68"/>
      <c r="CB97" s="68"/>
      <c r="CC97" s="68"/>
      <c r="CD97" s="68"/>
      <c r="CE97" s="68"/>
      <c r="CF97" s="68"/>
      <c r="CG97" s="68"/>
      <c r="CH97" s="68"/>
      <c r="CI97" s="68"/>
      <c r="CJ97" s="68"/>
      <c r="CK97" s="68"/>
      <c r="CL97" s="68"/>
      <c r="CM97" s="68"/>
      <c r="CN97" s="68"/>
      <c r="CO97" s="68"/>
      <c r="CP97" s="68"/>
      <c r="CQ97" s="68"/>
      <c r="CR97" s="68"/>
      <c r="CS97" s="68"/>
      <c r="CT97" s="68"/>
      <c r="CU97" s="68"/>
      <c r="CV97" s="68"/>
      <c r="CW97" s="68"/>
      <c r="CX97" s="75"/>
      <c r="CY97" s="75"/>
      <c r="CZ97" s="75"/>
      <c r="DA97" s="76"/>
      <c r="DB97" s="74"/>
    </row>
    <row r="98" spans="2:106" ht="11.25" customHeight="1" x14ac:dyDescent="0.2">
      <c r="B98" s="67"/>
      <c r="C98" s="68"/>
      <c r="D98" s="68"/>
      <c r="E98" s="68"/>
      <c r="F98" s="68"/>
      <c r="G98" s="68" t="s">
        <v>346</v>
      </c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 t="str">
        <f>TEXT(자재단가!R7,"#,##0.#######")</f>
        <v>223,000.</v>
      </c>
      <c r="V98" s="68"/>
      <c r="W98" s="68"/>
      <c r="X98" s="68"/>
      <c r="Y98" s="68"/>
      <c r="Z98" s="68"/>
      <c r="AA98" s="68"/>
      <c r="AB98" s="68"/>
      <c r="AC98" s="68"/>
      <c r="AD98" s="68"/>
      <c r="AE98" s="68" t="s">
        <v>437</v>
      </c>
      <c r="AF98" s="68"/>
      <c r="AG98" s="68"/>
      <c r="AH98" s="68" t="str">
        <f>TEXT(0.01,"#,##0.#######")</f>
        <v>0.01</v>
      </c>
      <c r="AI98" s="68"/>
      <c r="AJ98" s="68"/>
      <c r="AK98" s="68"/>
      <c r="AL98" s="68" t="s">
        <v>30</v>
      </c>
      <c r="AM98" s="68"/>
      <c r="AN98" s="68"/>
      <c r="AO98" s="68" t="s">
        <v>253</v>
      </c>
      <c r="AP98" s="68"/>
      <c r="AQ98" s="68"/>
      <c r="AR98" s="68" t="str">
        <f>TEXT(AD85,"#,##0.#######")</f>
        <v>2.05</v>
      </c>
      <c r="AS98" s="68"/>
      <c r="AT98" s="68"/>
      <c r="AU98" s="68"/>
      <c r="AV98" s="68"/>
      <c r="AW98" s="68"/>
      <c r="AX98" s="68"/>
      <c r="AY98" s="68" t="s">
        <v>214</v>
      </c>
      <c r="AZ98" s="68"/>
      <c r="BA98" s="68" t="str">
        <f>TEXT(TRUNC(U98*AH98/AD85,1),"#,##0.#")</f>
        <v>1,087.8</v>
      </c>
      <c r="BB98" s="68"/>
      <c r="BC98" s="68"/>
      <c r="BD98" s="68"/>
      <c r="BE98" s="68"/>
      <c r="BF98" s="68"/>
      <c r="BG98" s="68"/>
      <c r="BH98" s="68"/>
      <c r="BI98" s="68"/>
      <c r="BJ98" s="68"/>
      <c r="BK98" s="68"/>
      <c r="BL98" s="68"/>
      <c r="BM98" s="68"/>
      <c r="BN98" s="68"/>
      <c r="BO98" s="68"/>
      <c r="BP98" s="68"/>
      <c r="BQ98" s="68"/>
      <c r="BR98" s="68"/>
      <c r="BS98" s="68"/>
      <c r="BT98" s="68"/>
      <c r="BU98" s="68"/>
      <c r="BV98" s="68"/>
      <c r="BW98" s="68"/>
      <c r="BX98" s="68"/>
      <c r="BY98" s="68"/>
      <c r="BZ98" s="68"/>
      <c r="CA98" s="68"/>
      <c r="CB98" s="68"/>
      <c r="CC98" s="68"/>
      <c r="CD98" s="68"/>
      <c r="CE98" s="68"/>
      <c r="CF98" s="68"/>
      <c r="CG98" s="68"/>
      <c r="CH98" s="68"/>
      <c r="CI98" s="68"/>
      <c r="CJ98" s="68"/>
      <c r="CK98" s="68"/>
      <c r="CL98" s="68"/>
      <c r="CM98" s="68"/>
      <c r="CN98" s="68"/>
      <c r="CO98" s="68"/>
      <c r="CP98" s="68"/>
      <c r="CQ98" s="68"/>
      <c r="CR98" s="68"/>
      <c r="CS98" s="68"/>
      <c r="CT98" s="68"/>
      <c r="CU98" s="68"/>
      <c r="CV98" s="68"/>
      <c r="CW98" s="68"/>
      <c r="CX98" s="75">
        <f>CY98+CZ98+DA98</f>
        <v>1087.8</v>
      </c>
      <c r="CY98" s="75"/>
      <c r="CZ98" s="75" t="str">
        <f>BA98</f>
        <v>1,087.8</v>
      </c>
      <c r="DA98" s="76"/>
      <c r="DB98" s="74"/>
    </row>
    <row r="99" spans="2:106" ht="11.25" customHeight="1" x14ac:dyDescent="0.2">
      <c r="B99" s="67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75"/>
      <c r="CY99" s="75"/>
      <c r="CZ99" s="75"/>
      <c r="DA99" s="76"/>
      <c r="DB99" s="74"/>
    </row>
    <row r="100" spans="2:106" ht="11.25" customHeight="1" x14ac:dyDescent="0.2">
      <c r="B100" s="67"/>
      <c r="C100" s="68"/>
      <c r="D100" s="68"/>
      <c r="E100" s="68" t="s">
        <v>431</v>
      </c>
      <c r="F100" s="68"/>
      <c r="G100" s="68" t="s">
        <v>373</v>
      </c>
      <c r="H100" s="68"/>
      <c r="I100" s="68" t="s">
        <v>213</v>
      </c>
      <c r="J100" s="68"/>
      <c r="K100" s="68"/>
      <c r="L100" s="68" t="s">
        <v>279</v>
      </c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75"/>
      <c r="CY100" s="75"/>
      <c r="CZ100" s="75"/>
      <c r="DA100" s="76"/>
      <c r="DB100" s="74"/>
    </row>
    <row r="101" spans="2:106" ht="11.25" customHeight="1" x14ac:dyDescent="0.2">
      <c r="B101" s="67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75"/>
      <c r="CY101" s="75"/>
      <c r="CZ101" s="75"/>
      <c r="DA101" s="76"/>
      <c r="DB101" s="74"/>
    </row>
    <row r="102" spans="2:106" ht="11.25" customHeight="1" x14ac:dyDescent="0.2">
      <c r="B102" s="67"/>
      <c r="C102" s="68"/>
      <c r="D102" s="68"/>
      <c r="E102" s="68"/>
      <c r="F102" s="68"/>
      <c r="G102" s="68"/>
      <c r="H102" s="68"/>
      <c r="I102" s="68" t="s">
        <v>438</v>
      </c>
      <c r="J102" s="68"/>
      <c r="K102" s="68"/>
      <c r="L102" s="68"/>
      <c r="M102" s="68"/>
      <c r="N102" s="68"/>
      <c r="O102" s="68"/>
      <c r="P102" s="68" t="s">
        <v>383</v>
      </c>
      <c r="Q102" s="68"/>
      <c r="R102" s="68" t="str">
        <f>TEXT(CY90,"#,###.##")</f>
        <v>19,010.7</v>
      </c>
      <c r="S102" s="68"/>
      <c r="T102" s="68"/>
      <c r="U102" s="68"/>
      <c r="V102" s="68"/>
      <c r="W102" s="68"/>
      <c r="X102" s="68"/>
      <c r="Y102" s="68"/>
      <c r="Z102" s="68"/>
      <c r="AA102" s="68" t="s">
        <v>105</v>
      </c>
      <c r="AB102" s="68"/>
      <c r="AC102" s="68" t="str">
        <f>TEXT(CY94,"#,###.##")</f>
        <v>7,647.9</v>
      </c>
      <c r="AD102" s="68"/>
      <c r="AE102" s="68"/>
      <c r="AF102" s="68"/>
      <c r="AG102" s="68"/>
      <c r="AH102" s="68"/>
      <c r="AI102" s="68"/>
      <c r="AJ102" s="68"/>
      <c r="AK102" s="68" t="s">
        <v>214</v>
      </c>
      <c r="AL102" s="68"/>
      <c r="AM102" s="68"/>
      <c r="AN102" s="68" t="str">
        <f>TEXT(TRUNC(CY90+CY94,1),"#,##0.#")</f>
        <v>26,658.6</v>
      </c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  <c r="CW102" s="68"/>
      <c r="CX102" s="75"/>
      <c r="CY102" s="75"/>
      <c r="CZ102" s="75"/>
      <c r="DA102" s="76"/>
      <c r="DB102" s="74"/>
    </row>
    <row r="103" spans="2:106" ht="11.25" customHeight="1" x14ac:dyDescent="0.2">
      <c r="B103" s="67"/>
      <c r="C103" s="68"/>
      <c r="D103" s="68"/>
      <c r="E103" s="68"/>
      <c r="F103" s="68"/>
      <c r="G103" s="68"/>
      <c r="H103" s="68"/>
      <c r="I103" s="68" t="s">
        <v>319</v>
      </c>
      <c r="J103" s="68"/>
      <c r="K103" s="68"/>
      <c r="L103" s="68"/>
      <c r="M103" s="68"/>
      <c r="N103" s="68"/>
      <c r="O103" s="68"/>
      <c r="P103" s="68" t="s">
        <v>383</v>
      </c>
      <c r="Q103" s="68"/>
      <c r="R103" s="68" t="str">
        <f>TEXT(CZ90,"#,###.##")</f>
        <v>7,417.</v>
      </c>
      <c r="S103" s="68"/>
      <c r="T103" s="68"/>
      <c r="U103" s="68"/>
      <c r="V103" s="68"/>
      <c r="W103" s="68"/>
      <c r="X103" s="68" t="s">
        <v>105</v>
      </c>
      <c r="Y103" s="68"/>
      <c r="Z103" s="68" t="str">
        <f>TEXT(CZ98,"#,###.##")</f>
        <v>1,087.8</v>
      </c>
      <c r="AA103" s="68"/>
      <c r="AB103" s="68"/>
      <c r="AC103" s="68"/>
      <c r="AD103" s="68"/>
      <c r="AE103" s="68"/>
      <c r="AF103" s="68"/>
      <c r="AG103" s="68"/>
      <c r="AH103" s="68" t="s">
        <v>214</v>
      </c>
      <c r="AI103" s="68"/>
      <c r="AJ103" s="68"/>
      <c r="AK103" s="68" t="str">
        <f>TEXT(TRUNC(CZ90+CZ98,1),"#,##0.#")</f>
        <v>8,504.8</v>
      </c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  <c r="CW103" s="68"/>
      <c r="CX103" s="75"/>
      <c r="CY103" s="75"/>
      <c r="CZ103" s="75"/>
      <c r="DA103" s="76"/>
      <c r="DB103" s="74"/>
    </row>
    <row r="104" spans="2:106" ht="11.25" customHeight="1" x14ac:dyDescent="0.2">
      <c r="B104" s="67"/>
      <c r="C104" s="68"/>
      <c r="D104" s="68"/>
      <c r="E104" s="68"/>
      <c r="F104" s="68"/>
      <c r="G104" s="68"/>
      <c r="H104" s="68"/>
      <c r="I104" s="68" t="s">
        <v>116</v>
      </c>
      <c r="J104" s="68"/>
      <c r="K104" s="68"/>
      <c r="L104" s="68"/>
      <c r="M104" s="68" t="s">
        <v>281</v>
      </c>
      <c r="N104" s="68"/>
      <c r="O104" s="68"/>
      <c r="P104" s="68" t="s">
        <v>383</v>
      </c>
      <c r="Q104" s="68"/>
      <c r="R104" s="68" t="str">
        <f>DA90</f>
        <v>15,029.2</v>
      </c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  <c r="CW104" s="68"/>
      <c r="CX104" s="75"/>
      <c r="CY104" s="75"/>
      <c r="CZ104" s="75"/>
      <c r="DA104" s="76"/>
      <c r="DB104" s="74"/>
    </row>
    <row r="105" spans="2:106" ht="11.25" customHeight="1" x14ac:dyDescent="0.2">
      <c r="B105" s="67"/>
      <c r="C105" s="68"/>
      <c r="D105" s="68"/>
      <c r="E105" s="68"/>
      <c r="F105" s="68"/>
      <c r="G105" s="68"/>
      <c r="H105" s="68"/>
      <c r="I105" s="68"/>
      <c r="J105" s="68"/>
      <c r="K105" s="68" t="s">
        <v>279</v>
      </c>
      <c r="L105" s="68"/>
      <c r="M105" s="68"/>
      <c r="N105" s="68"/>
      <c r="O105" s="68"/>
      <c r="P105" s="68" t="s">
        <v>383</v>
      </c>
      <c r="Q105" s="68"/>
      <c r="R105" s="68"/>
      <c r="S105" s="68" t="str">
        <f>TEXT(AN102+AK103+R104,"#,##0.#######")</f>
        <v>50,192.6</v>
      </c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  <c r="CW105" s="68"/>
      <c r="CX105" s="75">
        <f>CY105+CZ105+DA105</f>
        <v>50192.599999999991</v>
      </c>
      <c r="CY105" s="75" t="str">
        <f>TEXT(AN102,"#,###.0")</f>
        <v>26,658.6</v>
      </c>
      <c r="CZ105" s="75" t="str">
        <f>TEXT(AK103,"#,###.0")</f>
        <v>8,504.8</v>
      </c>
      <c r="DA105" s="76" t="str">
        <f>TEXT(R104,"#,###.0")</f>
        <v>15,029.2</v>
      </c>
      <c r="DB105" s="74"/>
    </row>
    <row r="106" spans="2:106" ht="11.25" customHeight="1" x14ac:dyDescent="0.2">
      <c r="B106" s="67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  <c r="CW106" s="68"/>
      <c r="CX106" s="75"/>
      <c r="CY106" s="75"/>
      <c r="CZ106" s="75"/>
      <c r="DA106" s="76"/>
      <c r="DB106" s="74"/>
    </row>
    <row r="107" spans="2:106" ht="11.25" customHeight="1" x14ac:dyDescent="0.2">
      <c r="B107" s="67"/>
      <c r="C107" s="68"/>
      <c r="D107" s="68" t="s">
        <v>377</v>
      </c>
      <c r="E107" s="68"/>
      <c r="F107" s="68"/>
      <c r="G107" s="68" t="s">
        <v>109</v>
      </c>
      <c r="H107" s="68"/>
      <c r="I107" s="68"/>
      <c r="J107" s="68"/>
      <c r="K107" s="68"/>
      <c r="L107" s="68"/>
      <c r="M107" s="68"/>
      <c r="N107" s="68"/>
      <c r="O107" s="68"/>
      <c r="P107" s="68"/>
      <c r="Q107" s="68" t="s">
        <v>275</v>
      </c>
      <c r="R107" s="68" t="s">
        <v>77</v>
      </c>
      <c r="S107" s="68"/>
      <c r="T107" s="68"/>
      <c r="U107" s="68"/>
      <c r="V107" s="68" t="s">
        <v>364</v>
      </c>
      <c r="W107" s="68"/>
      <c r="X107" s="68"/>
      <c r="Y107" s="68"/>
      <c r="Z107" s="68"/>
      <c r="AA107" s="68"/>
      <c r="AB107" s="68"/>
      <c r="AC107" s="68"/>
      <c r="AD107" s="68"/>
      <c r="AE107" s="68" t="s">
        <v>55</v>
      </c>
      <c r="AF107" s="68"/>
      <c r="AG107" s="68" t="s">
        <v>466</v>
      </c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  <c r="CW107" s="68"/>
      <c r="CX107" s="75"/>
      <c r="CY107" s="75"/>
      <c r="CZ107" s="75"/>
      <c r="DA107" s="76"/>
      <c r="DB107" s="74"/>
    </row>
    <row r="108" spans="2:106" ht="11.25" customHeight="1" x14ac:dyDescent="0.2">
      <c r="B108" s="67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  <c r="CW108" s="68"/>
      <c r="CX108" s="75"/>
      <c r="CY108" s="75"/>
      <c r="CZ108" s="75"/>
      <c r="DA108" s="76"/>
      <c r="DB108" s="74"/>
    </row>
    <row r="109" spans="2:106" ht="11.25" customHeight="1" x14ac:dyDescent="0.2">
      <c r="B109" s="67"/>
      <c r="C109" s="68"/>
      <c r="D109" s="68"/>
      <c r="E109" s="68"/>
      <c r="F109" s="68"/>
      <c r="G109" s="68" t="s">
        <v>188</v>
      </c>
      <c r="H109" s="68"/>
      <c r="I109" s="68"/>
      <c r="J109" s="68"/>
      <c r="K109" s="68"/>
      <c r="L109" s="68"/>
      <c r="M109" s="68" t="s">
        <v>212</v>
      </c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 t="str">
        <f>TEXT(자재단가!R8,"#,##0.#######")</f>
        <v>2.1</v>
      </c>
      <c r="AB109" s="68"/>
      <c r="AC109" s="68"/>
      <c r="AD109" s="68"/>
      <c r="AE109" s="68"/>
      <c r="AF109" s="68"/>
      <c r="AG109" s="68" t="s">
        <v>437</v>
      </c>
      <c r="AH109" s="68"/>
      <c r="AI109" s="68"/>
      <c r="AJ109" s="68" t="str">
        <f>TEXT(135,"#,##0.#######")</f>
        <v>135.</v>
      </c>
      <c r="AK109" s="68"/>
      <c r="AL109" s="68"/>
      <c r="AM109" s="68" t="s">
        <v>408</v>
      </c>
      <c r="AN109" s="68"/>
      <c r="AO109" s="68"/>
      <c r="AP109" s="68" t="s">
        <v>214</v>
      </c>
      <c r="AQ109" s="68"/>
      <c r="AR109" s="68" t="str">
        <f>TEXT(TRUNC(AA109*AJ109,1),"#,##0.#######")</f>
        <v>283.5</v>
      </c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  <c r="BM109" s="68"/>
      <c r="BN109" s="68"/>
      <c r="BO109" s="68"/>
      <c r="BP109" s="68"/>
      <c r="BQ109" s="68"/>
      <c r="BR109" s="68"/>
      <c r="BS109" s="68"/>
      <c r="BT109" s="68"/>
      <c r="BU109" s="68"/>
      <c r="BV109" s="68"/>
      <c r="BW109" s="68"/>
      <c r="BX109" s="68"/>
      <c r="BY109" s="68"/>
      <c r="BZ109" s="68"/>
      <c r="CA109" s="68"/>
      <c r="CB109" s="68"/>
      <c r="CC109" s="68"/>
      <c r="CD109" s="68"/>
      <c r="CE109" s="68"/>
      <c r="CF109" s="68"/>
      <c r="CG109" s="68"/>
      <c r="CH109" s="68"/>
      <c r="CI109" s="68"/>
      <c r="CJ109" s="68"/>
      <c r="CK109" s="68"/>
      <c r="CL109" s="68"/>
      <c r="CM109" s="68"/>
      <c r="CN109" s="68"/>
      <c r="CO109" s="68"/>
      <c r="CP109" s="68"/>
      <c r="CQ109" s="68"/>
      <c r="CR109" s="68"/>
      <c r="CS109" s="68"/>
      <c r="CT109" s="68"/>
      <c r="CU109" s="68"/>
      <c r="CV109" s="68"/>
      <c r="CW109" s="68"/>
      <c r="CX109" s="75"/>
      <c r="CY109" s="75"/>
      <c r="CZ109" s="75"/>
      <c r="DA109" s="76"/>
      <c r="DB109" s="74"/>
    </row>
    <row r="110" spans="2:106" ht="11.25" customHeight="1" x14ac:dyDescent="0.2">
      <c r="B110" s="67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  <c r="BK110" s="68"/>
      <c r="BL110" s="68"/>
      <c r="BM110" s="68"/>
      <c r="BN110" s="68"/>
      <c r="BO110" s="68"/>
      <c r="BP110" s="68"/>
      <c r="BQ110" s="68"/>
      <c r="BR110" s="68"/>
      <c r="BS110" s="68"/>
      <c r="BT110" s="68"/>
      <c r="BU110" s="68"/>
      <c r="BV110" s="68"/>
      <c r="BW110" s="68"/>
      <c r="BX110" s="68"/>
      <c r="BY110" s="68"/>
      <c r="BZ110" s="68"/>
      <c r="CA110" s="68"/>
      <c r="CB110" s="68"/>
      <c r="CC110" s="68"/>
      <c r="CD110" s="68"/>
      <c r="CE110" s="68"/>
      <c r="CF110" s="68"/>
      <c r="CG110" s="68"/>
      <c r="CH110" s="68"/>
      <c r="CI110" s="68"/>
      <c r="CJ110" s="68"/>
      <c r="CK110" s="68"/>
      <c r="CL110" s="68"/>
      <c r="CM110" s="68"/>
      <c r="CN110" s="68"/>
      <c r="CO110" s="68"/>
      <c r="CP110" s="68"/>
      <c r="CQ110" s="68"/>
      <c r="CR110" s="68"/>
      <c r="CS110" s="68"/>
      <c r="CT110" s="68"/>
      <c r="CU110" s="68"/>
      <c r="CV110" s="68"/>
      <c r="CW110" s="68"/>
      <c r="CX110" s="75"/>
      <c r="CY110" s="75"/>
      <c r="CZ110" s="75"/>
      <c r="DA110" s="76"/>
      <c r="DB110" s="74"/>
    </row>
    <row r="111" spans="2:106" ht="11.25" customHeight="1" x14ac:dyDescent="0.2">
      <c r="B111" s="67"/>
      <c r="C111" s="68"/>
      <c r="D111" s="68"/>
      <c r="E111" s="68"/>
      <c r="F111" s="68"/>
      <c r="G111" s="68" t="s">
        <v>330</v>
      </c>
      <c r="H111" s="68"/>
      <c r="I111" s="68"/>
      <c r="J111" s="68"/>
      <c r="K111" s="68"/>
      <c r="L111" s="68"/>
      <c r="M111" s="68"/>
      <c r="N111" s="68"/>
      <c r="O111" s="68"/>
      <c r="P111" s="68"/>
      <c r="Q111" s="68" t="s">
        <v>193</v>
      </c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 t="str">
        <f>TEXT(자재단가!R9,"#,##0.#######")</f>
        <v>13,000.</v>
      </c>
      <c r="AG111" s="68"/>
      <c r="AH111" s="68"/>
      <c r="AI111" s="68"/>
      <c r="AJ111" s="68"/>
      <c r="AK111" s="68"/>
      <c r="AL111" s="68"/>
      <c r="AM111" s="68"/>
      <c r="AN111" s="68"/>
      <c r="AO111" s="68" t="s">
        <v>437</v>
      </c>
      <c r="AP111" s="68"/>
      <c r="AQ111" s="68" t="str">
        <f>TEXT(0.05,"#,##0.#######")</f>
        <v>0.05</v>
      </c>
      <c r="AR111" s="68"/>
      <c r="AS111" s="68"/>
      <c r="AT111" s="68"/>
      <c r="AU111" s="68" t="s">
        <v>303</v>
      </c>
      <c r="AV111" s="68"/>
      <c r="AW111" s="68"/>
      <c r="AX111" s="68"/>
      <c r="AY111" s="68" t="s">
        <v>214</v>
      </c>
      <c r="AZ111" s="68"/>
      <c r="BA111" s="68" t="str">
        <f>TEXT(TRUNC(AF111*AQ111,1),"#,##0.#######")</f>
        <v>650.</v>
      </c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  <c r="BP111" s="68"/>
      <c r="BQ111" s="68"/>
      <c r="BR111" s="68"/>
      <c r="BS111" s="68"/>
      <c r="BT111" s="68"/>
      <c r="BU111" s="68"/>
      <c r="BV111" s="68"/>
      <c r="BW111" s="68"/>
      <c r="BX111" s="68"/>
      <c r="BY111" s="68"/>
      <c r="BZ111" s="68"/>
      <c r="CA111" s="68"/>
      <c r="CB111" s="68"/>
      <c r="CC111" s="68"/>
      <c r="CD111" s="68"/>
      <c r="CE111" s="68"/>
      <c r="CF111" s="68"/>
      <c r="CG111" s="68"/>
      <c r="CH111" s="68"/>
      <c r="CI111" s="68"/>
      <c r="CJ111" s="68"/>
      <c r="CK111" s="68"/>
      <c r="CL111" s="68"/>
      <c r="CM111" s="68"/>
      <c r="CN111" s="68"/>
      <c r="CO111" s="68"/>
      <c r="CP111" s="68"/>
      <c r="CQ111" s="68"/>
      <c r="CR111" s="68"/>
      <c r="CS111" s="68"/>
      <c r="CT111" s="68"/>
      <c r="CU111" s="68"/>
      <c r="CV111" s="68"/>
      <c r="CW111" s="68"/>
      <c r="CX111" s="75"/>
      <c r="CY111" s="75"/>
      <c r="CZ111" s="75"/>
      <c r="DA111" s="76"/>
      <c r="DB111" s="74"/>
    </row>
    <row r="112" spans="2:106" ht="11.25" customHeight="1" x14ac:dyDescent="0.2">
      <c r="B112" s="67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75"/>
      <c r="CY112" s="75"/>
      <c r="CZ112" s="75"/>
      <c r="DA112" s="76"/>
      <c r="DB112" s="74"/>
    </row>
    <row r="113" spans="2:106" ht="11.25" customHeight="1" x14ac:dyDescent="0.2">
      <c r="B113" s="67"/>
      <c r="C113" s="68"/>
      <c r="D113" s="68"/>
      <c r="E113" s="68"/>
      <c r="F113" s="68"/>
      <c r="G113" s="68" t="s">
        <v>138</v>
      </c>
      <c r="H113" s="68"/>
      <c r="I113" s="68"/>
      <c r="J113" s="68"/>
      <c r="K113" s="68"/>
      <c r="L113" s="68"/>
      <c r="M113" s="68"/>
      <c r="N113" s="68"/>
      <c r="O113" s="68"/>
      <c r="P113" s="68" t="s">
        <v>383</v>
      </c>
      <c r="Q113" s="68"/>
      <c r="R113" s="68" t="str">
        <f>TEXT(TRUNC(AR109+BA111,1),"#,##0.#######")</f>
        <v>933.5</v>
      </c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75"/>
      <c r="CY113" s="75"/>
      <c r="CZ113" s="75" t="str">
        <f>R113</f>
        <v>933.5</v>
      </c>
      <c r="DA113" s="76"/>
      <c r="DB113" s="74"/>
    </row>
    <row r="114" spans="2:106" ht="11.25" customHeight="1" x14ac:dyDescent="0.2">
      <c r="B114" s="67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/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/>
      <c r="CO114" s="68"/>
      <c r="CP114" s="68"/>
      <c r="CQ114" s="68"/>
      <c r="CR114" s="68"/>
      <c r="CS114" s="68"/>
      <c r="CT114" s="68"/>
      <c r="CU114" s="68"/>
      <c r="CV114" s="68"/>
      <c r="CW114" s="68"/>
      <c r="CX114" s="75"/>
      <c r="CY114" s="75"/>
      <c r="CZ114" s="75"/>
      <c r="DA114" s="76"/>
      <c r="DB114" s="74"/>
    </row>
    <row r="115" spans="2:106" ht="11.25" customHeight="1" x14ac:dyDescent="0.2">
      <c r="B115" s="67"/>
      <c r="C115" s="68"/>
      <c r="D115" s="68"/>
      <c r="E115" s="68"/>
      <c r="F115" s="68"/>
      <c r="G115" s="68" t="s">
        <v>81</v>
      </c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 t="s">
        <v>383</v>
      </c>
      <c r="S115" s="68"/>
      <c r="T115" s="68" t="str">
        <f>TEXT(노임단가!L14,"#,##0")</f>
        <v>198,711</v>
      </c>
      <c r="U115" s="68"/>
      <c r="V115" s="68"/>
      <c r="W115" s="68"/>
      <c r="X115" s="68"/>
      <c r="Y115" s="68"/>
      <c r="Z115" s="68"/>
      <c r="AA115" s="68"/>
      <c r="AB115" s="68"/>
      <c r="AC115" s="68"/>
      <c r="AD115" s="68" t="s">
        <v>437</v>
      </c>
      <c r="AE115" s="68"/>
      <c r="AF115" s="68"/>
      <c r="AG115" s="68" t="str">
        <f>TEXT(0.02,"#,##0.#######")</f>
        <v>0.02</v>
      </c>
      <c r="AH115" s="68"/>
      <c r="AI115" s="68"/>
      <c r="AJ115" s="68"/>
      <c r="AK115" s="68" t="s">
        <v>469</v>
      </c>
      <c r="AL115" s="68"/>
      <c r="AM115" s="68"/>
      <c r="AN115" s="68" t="s">
        <v>214</v>
      </c>
      <c r="AO115" s="68"/>
      <c r="AP115" s="68" t="str">
        <f>TEXT(TRUNC(T115*AG115,1),"#,##0.#######")</f>
        <v>3,974.2</v>
      </c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  <c r="CW115" s="68"/>
      <c r="CX115" s="75"/>
      <c r="CY115" s="75"/>
      <c r="CZ115" s="75"/>
      <c r="DA115" s="76"/>
      <c r="DB115" s="74"/>
    </row>
    <row r="116" spans="2:106" ht="11.25" customHeight="1" x14ac:dyDescent="0.2">
      <c r="B116" s="67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/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/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  <c r="CW116" s="68"/>
      <c r="CX116" s="75"/>
      <c r="CY116" s="75"/>
      <c r="CZ116" s="75"/>
      <c r="DA116" s="76"/>
      <c r="DB116" s="74"/>
    </row>
    <row r="117" spans="2:106" ht="11.25" customHeight="1" x14ac:dyDescent="0.2">
      <c r="B117" s="67"/>
      <c r="C117" s="68"/>
      <c r="D117" s="68"/>
      <c r="E117" s="68"/>
      <c r="F117" s="68"/>
      <c r="G117" s="68" t="s">
        <v>28</v>
      </c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 t="s">
        <v>383</v>
      </c>
      <c r="S117" s="68"/>
      <c r="T117" s="68"/>
      <c r="U117" s="68" t="str">
        <f>TEXT(노임단가!L5,"#,##0")</f>
        <v>125,427</v>
      </c>
      <c r="V117" s="68"/>
      <c r="W117" s="68"/>
      <c r="X117" s="68"/>
      <c r="Y117" s="68"/>
      <c r="Z117" s="68"/>
      <c r="AA117" s="68"/>
      <c r="AB117" s="68"/>
      <c r="AC117" s="68"/>
      <c r="AD117" s="68"/>
      <c r="AE117" s="68" t="s">
        <v>437</v>
      </c>
      <c r="AF117" s="68"/>
      <c r="AG117" s="68"/>
      <c r="AH117" s="68" t="str">
        <f>TEXT(0.08,"#,##0.#######")</f>
        <v>0.08</v>
      </c>
      <c r="AI117" s="68"/>
      <c r="AJ117" s="68"/>
      <c r="AK117" s="68"/>
      <c r="AL117" s="68" t="s">
        <v>469</v>
      </c>
      <c r="AM117" s="68"/>
      <c r="AN117" s="68"/>
      <c r="AO117" s="68" t="s">
        <v>214</v>
      </c>
      <c r="AP117" s="68"/>
      <c r="AQ117" s="68" t="str">
        <f>TEXT(TRUNC(U117*AH117,1),"#,##0.#######")</f>
        <v>10,034.1</v>
      </c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75"/>
      <c r="CY117" s="75"/>
      <c r="CZ117" s="75"/>
      <c r="DA117" s="76"/>
      <c r="DB117" s="74"/>
    </row>
    <row r="118" spans="2:106" ht="11.25" customHeight="1" x14ac:dyDescent="0.2">
      <c r="B118" s="67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  <c r="BM118" s="68"/>
      <c r="BN118" s="68"/>
      <c r="BO118" s="68"/>
      <c r="BP118" s="68"/>
      <c r="BQ118" s="68"/>
      <c r="BR118" s="68"/>
      <c r="BS118" s="68"/>
      <c r="BT118" s="68"/>
      <c r="BU118" s="68"/>
      <c r="BV118" s="68"/>
      <c r="BW118" s="68"/>
      <c r="BX118" s="68"/>
      <c r="BY118" s="68"/>
      <c r="BZ118" s="68"/>
      <c r="CA118" s="68"/>
      <c r="CB118" s="68"/>
      <c r="CC118" s="68"/>
      <c r="CD118" s="68"/>
      <c r="CE118" s="68"/>
      <c r="CF118" s="68"/>
      <c r="CG118" s="68"/>
      <c r="CH118" s="68"/>
      <c r="CI118" s="68"/>
      <c r="CJ118" s="68"/>
      <c r="CK118" s="68"/>
      <c r="CL118" s="68"/>
      <c r="CM118" s="68"/>
      <c r="CN118" s="68"/>
      <c r="CO118" s="68"/>
      <c r="CP118" s="68"/>
      <c r="CQ118" s="68"/>
      <c r="CR118" s="68"/>
      <c r="CS118" s="68"/>
      <c r="CT118" s="68"/>
      <c r="CU118" s="68"/>
      <c r="CV118" s="68"/>
      <c r="CW118" s="68"/>
      <c r="CX118" s="75"/>
      <c r="CY118" s="75"/>
      <c r="CZ118" s="75"/>
      <c r="DA118" s="76"/>
      <c r="DB118" s="74"/>
    </row>
    <row r="119" spans="2:106" ht="11.25" customHeight="1" x14ac:dyDescent="0.2">
      <c r="B119" s="67"/>
      <c r="C119" s="68"/>
      <c r="D119" s="68"/>
      <c r="E119" s="68"/>
      <c r="F119" s="68"/>
      <c r="G119" s="68" t="s">
        <v>357</v>
      </c>
      <c r="H119" s="68"/>
      <c r="I119" s="68"/>
      <c r="J119" s="68"/>
      <c r="K119" s="68"/>
      <c r="L119" s="68"/>
      <c r="M119" s="68"/>
      <c r="N119" s="68"/>
      <c r="O119" s="68"/>
      <c r="P119" s="68" t="s">
        <v>383</v>
      </c>
      <c r="Q119" s="68"/>
      <c r="R119" s="68" t="str">
        <f>TEXT(TRUNC(AP115+AQ117,1),"#,##0.#######")</f>
        <v>14,008.3</v>
      </c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  <c r="BM119" s="68"/>
      <c r="BN119" s="68"/>
      <c r="BO119" s="68"/>
      <c r="BP119" s="68"/>
      <c r="BQ119" s="68"/>
      <c r="BR119" s="68"/>
      <c r="BS119" s="68"/>
      <c r="BT119" s="68"/>
      <c r="BU119" s="68"/>
      <c r="BV119" s="68"/>
      <c r="BW119" s="68"/>
      <c r="BX119" s="68"/>
      <c r="BY119" s="68"/>
      <c r="BZ119" s="68"/>
      <c r="CA119" s="68"/>
      <c r="CB119" s="68"/>
      <c r="CC119" s="68"/>
      <c r="CD119" s="68"/>
      <c r="CE119" s="68"/>
      <c r="CF119" s="68"/>
      <c r="CG119" s="68"/>
      <c r="CH119" s="68"/>
      <c r="CI119" s="68"/>
      <c r="CJ119" s="68"/>
      <c r="CK119" s="68"/>
      <c r="CL119" s="68"/>
      <c r="CM119" s="68"/>
      <c r="CN119" s="68"/>
      <c r="CO119" s="68"/>
      <c r="CP119" s="68"/>
      <c r="CQ119" s="68"/>
      <c r="CR119" s="68"/>
      <c r="CS119" s="68"/>
      <c r="CT119" s="68"/>
      <c r="CU119" s="68"/>
      <c r="CV119" s="68"/>
      <c r="CW119" s="68"/>
      <c r="CX119" s="75"/>
      <c r="CY119" s="75" t="str">
        <f>R119</f>
        <v>14,008.3</v>
      </c>
      <c r="CZ119" s="75"/>
      <c r="DA119" s="76"/>
      <c r="DB119" s="74"/>
    </row>
    <row r="120" spans="2:106" ht="11.25" customHeight="1" x14ac:dyDescent="0.2">
      <c r="B120" s="67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68"/>
      <c r="BT120" s="68"/>
      <c r="BU120" s="68"/>
      <c r="BV120" s="68"/>
      <c r="BW120" s="68"/>
      <c r="BX120" s="68"/>
      <c r="BY120" s="68"/>
      <c r="BZ120" s="68"/>
      <c r="CA120" s="68"/>
      <c r="CB120" s="68"/>
      <c r="CC120" s="68"/>
      <c r="CD120" s="68"/>
      <c r="CE120" s="68"/>
      <c r="CF120" s="68"/>
      <c r="CG120" s="68"/>
      <c r="CH120" s="68"/>
      <c r="CI120" s="68"/>
      <c r="CJ120" s="68"/>
      <c r="CK120" s="68"/>
      <c r="CL120" s="68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75"/>
      <c r="CY120" s="75"/>
      <c r="CZ120" s="75"/>
      <c r="DA120" s="76"/>
      <c r="DB120" s="74"/>
    </row>
    <row r="121" spans="2:106" ht="11.25" customHeight="1" x14ac:dyDescent="0.2">
      <c r="B121" s="67"/>
      <c r="C121" s="68"/>
      <c r="D121" s="68" t="s">
        <v>506</v>
      </c>
      <c r="E121" s="68"/>
      <c r="F121" s="68"/>
      <c r="G121" s="68" t="s">
        <v>362</v>
      </c>
      <c r="H121" s="68"/>
      <c r="I121" s="68"/>
      <c r="J121" s="68"/>
      <c r="K121" s="68"/>
      <c r="L121" s="68"/>
      <c r="M121" s="68"/>
      <c r="N121" s="68"/>
      <c r="O121" s="68"/>
      <c r="P121" s="68" t="s">
        <v>383</v>
      </c>
      <c r="Q121" s="68"/>
      <c r="R121" s="68" t="s">
        <v>163</v>
      </c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 t="s">
        <v>402</v>
      </c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  <c r="BP121" s="68"/>
      <c r="BQ121" s="68"/>
      <c r="BR121" s="68"/>
      <c r="BS121" s="68"/>
      <c r="BT121" s="68"/>
      <c r="BU121" s="68"/>
      <c r="BV121" s="68"/>
      <c r="BW121" s="68"/>
      <c r="BX121" s="68"/>
      <c r="BY121" s="68"/>
      <c r="BZ121" s="68"/>
      <c r="CA121" s="68"/>
      <c r="CB121" s="68"/>
      <c r="CC121" s="68"/>
      <c r="CD121" s="68"/>
      <c r="CE121" s="68"/>
      <c r="CF121" s="68"/>
      <c r="CG121" s="68"/>
      <c r="CH121" s="68"/>
      <c r="CI121" s="68"/>
      <c r="CJ121" s="68"/>
      <c r="CK121" s="68"/>
      <c r="CL121" s="68"/>
      <c r="CM121" s="68"/>
      <c r="CN121" s="68"/>
      <c r="CO121" s="68"/>
      <c r="CP121" s="68"/>
      <c r="CQ121" s="68"/>
      <c r="CR121" s="68"/>
      <c r="CS121" s="68"/>
      <c r="CT121" s="68"/>
      <c r="CU121" s="68"/>
      <c r="CV121" s="68"/>
      <c r="CW121" s="68"/>
      <c r="CX121" s="75"/>
      <c r="CY121" s="75"/>
      <c r="CZ121" s="75"/>
      <c r="DA121" s="76"/>
      <c r="DB121" s="74"/>
    </row>
    <row r="122" spans="2:106" ht="11.25" customHeight="1" x14ac:dyDescent="0.2">
      <c r="B122" s="67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  <c r="CW122" s="68"/>
      <c r="CX122" s="75"/>
      <c r="CY122" s="75"/>
      <c r="CZ122" s="75"/>
      <c r="DA122" s="76"/>
      <c r="DB122" s="74"/>
    </row>
    <row r="123" spans="2:106" ht="11.25" customHeight="1" x14ac:dyDescent="0.2">
      <c r="B123" s="67"/>
      <c r="C123" s="68"/>
      <c r="D123" s="68"/>
      <c r="E123" s="68"/>
      <c r="F123" s="68"/>
      <c r="G123" s="68" t="s">
        <v>436</v>
      </c>
      <c r="H123" s="68"/>
      <c r="I123" s="68" t="s">
        <v>214</v>
      </c>
      <c r="J123" s="68"/>
      <c r="K123" s="68" t="str">
        <f>TEXT(0.7,"#,##0.#######")</f>
        <v>0.7</v>
      </c>
      <c r="L123" s="68"/>
      <c r="M123" s="68"/>
      <c r="N123" s="68"/>
      <c r="O123" s="68"/>
      <c r="P123" s="68"/>
      <c r="Q123" s="68"/>
      <c r="R123" s="68"/>
      <c r="S123" s="68"/>
      <c r="T123" s="68" t="s">
        <v>60</v>
      </c>
      <c r="U123" s="68"/>
      <c r="V123" s="68" t="s">
        <v>214</v>
      </c>
      <c r="W123" s="68"/>
      <c r="X123" s="68"/>
      <c r="Y123" s="68" t="str">
        <f>TEXT(1,"#,##0.#######")</f>
        <v>1.</v>
      </c>
      <c r="Z123" s="68"/>
      <c r="AA123" s="68" t="s">
        <v>90</v>
      </c>
      <c r="AB123" s="68" t="str">
        <f>TEXT(1.5,"#,##0.#######")</f>
        <v>1.5</v>
      </c>
      <c r="AC123" s="68"/>
      <c r="AD123" s="68"/>
      <c r="AE123" s="68"/>
      <c r="AF123" s="68" t="s">
        <v>214</v>
      </c>
      <c r="AG123" s="68"/>
      <c r="AH123" s="68" t="str">
        <f>TEXT(ROUND(Y123/AB123,2),"#,##0.#######")</f>
        <v>0.67</v>
      </c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 t="s">
        <v>224</v>
      </c>
      <c r="AU123" s="68"/>
      <c r="AV123" s="68" t="s">
        <v>214</v>
      </c>
      <c r="AW123" s="68"/>
      <c r="AX123" s="68" t="str">
        <f>TEXT(0.55,"#,##0.#######")</f>
        <v>0.55</v>
      </c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8"/>
      <c r="BX123" s="68"/>
      <c r="BY123" s="68"/>
      <c r="BZ123" s="68"/>
      <c r="CA123" s="68"/>
      <c r="CB123" s="68"/>
      <c r="CC123" s="68"/>
      <c r="CD123" s="68"/>
      <c r="CE123" s="68"/>
      <c r="CF123" s="68"/>
      <c r="CG123" s="68"/>
      <c r="CH123" s="68"/>
      <c r="CI123" s="68"/>
      <c r="CJ123" s="68"/>
      <c r="CK123" s="68"/>
      <c r="CL123" s="68"/>
      <c r="CM123" s="68"/>
      <c r="CN123" s="68"/>
      <c r="CO123" s="68"/>
      <c r="CP123" s="68"/>
      <c r="CQ123" s="68"/>
      <c r="CR123" s="68"/>
      <c r="CS123" s="68"/>
      <c r="CT123" s="68"/>
      <c r="CU123" s="68"/>
      <c r="CV123" s="68"/>
      <c r="CW123" s="68"/>
      <c r="CX123" s="75"/>
      <c r="CY123" s="75"/>
      <c r="CZ123" s="75"/>
      <c r="DA123" s="76"/>
      <c r="DB123" s="74"/>
    </row>
    <row r="124" spans="2:106" ht="11.25" customHeight="1" x14ac:dyDescent="0.2">
      <c r="B124" s="67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  <c r="BM124" s="68"/>
      <c r="BN124" s="68"/>
      <c r="BO124" s="68"/>
      <c r="BP124" s="68"/>
      <c r="BQ124" s="68"/>
      <c r="BR124" s="68"/>
      <c r="BS124" s="68"/>
      <c r="BT124" s="68"/>
      <c r="BU124" s="68"/>
      <c r="BV124" s="68"/>
      <c r="BW124" s="68"/>
      <c r="BX124" s="68"/>
      <c r="BY124" s="68"/>
      <c r="BZ124" s="68"/>
      <c r="CA124" s="68"/>
      <c r="CB124" s="68"/>
      <c r="CC124" s="68"/>
      <c r="CD124" s="68"/>
      <c r="CE124" s="68"/>
      <c r="CF124" s="68"/>
      <c r="CG124" s="68"/>
      <c r="CH124" s="68"/>
      <c r="CI124" s="68"/>
      <c r="CJ124" s="68"/>
      <c r="CK124" s="68"/>
      <c r="CL124" s="68"/>
      <c r="CM124" s="68"/>
      <c r="CN124" s="68"/>
      <c r="CO124" s="68"/>
      <c r="CP124" s="68"/>
      <c r="CQ124" s="68"/>
      <c r="CR124" s="68"/>
      <c r="CS124" s="68"/>
      <c r="CT124" s="68"/>
      <c r="CU124" s="68"/>
      <c r="CV124" s="68"/>
      <c r="CW124" s="68"/>
      <c r="CX124" s="75"/>
      <c r="CY124" s="75"/>
      <c r="CZ124" s="75"/>
      <c r="DA124" s="76"/>
      <c r="DB124" s="74"/>
    </row>
    <row r="125" spans="2:106" ht="11.25" customHeight="1" x14ac:dyDescent="0.2">
      <c r="B125" s="67"/>
      <c r="C125" s="68"/>
      <c r="D125" s="68"/>
      <c r="E125" s="68"/>
      <c r="F125" s="68"/>
      <c r="G125" s="68" t="s">
        <v>232</v>
      </c>
      <c r="H125" s="68"/>
      <c r="I125" s="68" t="s">
        <v>214</v>
      </c>
      <c r="J125" s="68"/>
      <c r="K125" s="68" t="str">
        <f>TEXT(0.45,"#,##0.#######")</f>
        <v>0.45</v>
      </c>
      <c r="L125" s="68"/>
      <c r="M125" s="68"/>
      <c r="N125" s="68"/>
      <c r="O125" s="68"/>
      <c r="P125" s="68"/>
      <c r="Q125" s="68"/>
      <c r="R125" s="68"/>
      <c r="S125" s="68"/>
      <c r="T125" s="68" t="s">
        <v>67</v>
      </c>
      <c r="U125" s="68"/>
      <c r="V125" s="68"/>
      <c r="W125" s="68" t="s">
        <v>214</v>
      </c>
      <c r="X125" s="68"/>
      <c r="Y125" s="68" t="str">
        <f>TEXT(20,"#,##0.#######")</f>
        <v>20.</v>
      </c>
      <c r="Z125" s="68"/>
      <c r="AA125" s="68" t="s">
        <v>452</v>
      </c>
      <c r="AB125" s="68"/>
      <c r="AC125" s="68"/>
      <c r="AD125" s="68"/>
      <c r="AE125" s="68" t="s">
        <v>275</v>
      </c>
      <c r="AF125" s="68" t="s">
        <v>195</v>
      </c>
      <c r="AG125" s="68"/>
      <c r="AH125" s="68"/>
      <c r="AI125" s="68" t="s">
        <v>365</v>
      </c>
      <c r="AJ125" s="68"/>
      <c r="AK125" s="68" t="s">
        <v>55</v>
      </c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68"/>
      <c r="BP125" s="68"/>
      <c r="BQ125" s="68"/>
      <c r="BR125" s="68"/>
      <c r="BS125" s="68"/>
      <c r="BT125" s="68"/>
      <c r="BU125" s="68"/>
      <c r="BV125" s="68"/>
      <c r="BW125" s="68"/>
      <c r="BX125" s="68"/>
      <c r="BY125" s="68"/>
      <c r="BZ125" s="68"/>
      <c r="CA125" s="68"/>
      <c r="CB125" s="68"/>
      <c r="CC125" s="68"/>
      <c r="CD125" s="68"/>
      <c r="CE125" s="68"/>
      <c r="CF125" s="68"/>
      <c r="CG125" s="68"/>
      <c r="CH125" s="68"/>
      <c r="CI125" s="68"/>
      <c r="CJ125" s="68"/>
      <c r="CK125" s="68"/>
      <c r="CL125" s="68"/>
      <c r="CM125" s="68"/>
      <c r="CN125" s="68"/>
      <c r="CO125" s="68"/>
      <c r="CP125" s="68"/>
      <c r="CQ125" s="68"/>
      <c r="CR125" s="68"/>
      <c r="CS125" s="68"/>
      <c r="CT125" s="68"/>
      <c r="CU125" s="68"/>
      <c r="CV125" s="68"/>
      <c r="CW125" s="68"/>
      <c r="CX125" s="75"/>
      <c r="CY125" s="75"/>
      <c r="CZ125" s="75"/>
      <c r="DA125" s="76"/>
      <c r="DB125" s="74"/>
    </row>
    <row r="126" spans="2:106" ht="11.25" customHeight="1" x14ac:dyDescent="0.2">
      <c r="B126" s="67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  <c r="BK126" s="68"/>
      <c r="BL126" s="68"/>
      <c r="BM126" s="68"/>
      <c r="BN126" s="68"/>
      <c r="BO126" s="68"/>
      <c r="BP126" s="68"/>
      <c r="BQ126" s="68"/>
      <c r="BR126" s="68"/>
      <c r="BS126" s="68"/>
      <c r="BT126" s="68"/>
      <c r="BU126" s="68"/>
      <c r="BV126" s="68"/>
      <c r="BW126" s="68"/>
      <c r="BX126" s="68"/>
      <c r="BY126" s="68"/>
      <c r="BZ126" s="68"/>
      <c r="CA126" s="68"/>
      <c r="CB126" s="68"/>
      <c r="CC126" s="68"/>
      <c r="CD126" s="68"/>
      <c r="CE126" s="68"/>
      <c r="CF126" s="68"/>
      <c r="CG126" s="68"/>
      <c r="CH126" s="68"/>
      <c r="CI126" s="68"/>
      <c r="CJ126" s="68"/>
      <c r="CK126" s="68"/>
      <c r="CL126" s="68"/>
      <c r="CM126" s="68"/>
      <c r="CN126" s="68"/>
      <c r="CO126" s="68"/>
      <c r="CP126" s="68"/>
      <c r="CQ126" s="68"/>
      <c r="CR126" s="68"/>
      <c r="CS126" s="68"/>
      <c r="CT126" s="68"/>
      <c r="CU126" s="68"/>
      <c r="CV126" s="68"/>
      <c r="CW126" s="68"/>
      <c r="CX126" s="75"/>
      <c r="CY126" s="75"/>
      <c r="CZ126" s="75"/>
      <c r="DA126" s="76"/>
      <c r="DB126" s="74"/>
    </row>
    <row r="127" spans="2:106" ht="11.25" customHeight="1" x14ac:dyDescent="0.2">
      <c r="B127" s="67"/>
      <c r="C127" s="68"/>
      <c r="D127" s="68"/>
      <c r="E127" s="68"/>
      <c r="F127" s="68"/>
      <c r="G127" s="68"/>
      <c r="H127" s="68"/>
      <c r="I127" s="68"/>
      <c r="J127" s="68"/>
      <c r="K127" s="68"/>
      <c r="L127" s="68" t="str">
        <f>TEXT(3600,"#,##0.#######")</f>
        <v>3,600.</v>
      </c>
      <c r="M127" s="68"/>
      <c r="N127" s="68"/>
      <c r="O127" s="68"/>
      <c r="P127" s="68"/>
      <c r="Q127" s="68" t="s">
        <v>437</v>
      </c>
      <c r="R127" s="68"/>
      <c r="S127" s="68" t="s">
        <v>436</v>
      </c>
      <c r="T127" s="68" t="s">
        <v>437</v>
      </c>
      <c r="U127" s="68"/>
      <c r="V127" s="68" t="s">
        <v>224</v>
      </c>
      <c r="W127" s="68" t="s">
        <v>437</v>
      </c>
      <c r="X127" s="68"/>
      <c r="Y127" s="68" t="s">
        <v>60</v>
      </c>
      <c r="Z127" s="68" t="s">
        <v>437</v>
      </c>
      <c r="AA127" s="68"/>
      <c r="AB127" s="68" t="s">
        <v>232</v>
      </c>
      <c r="AC127" s="68"/>
      <c r="AD127" s="68"/>
      <c r="AE127" s="68"/>
      <c r="AF127" s="68"/>
      <c r="AG127" s="68"/>
      <c r="AH127" s="68"/>
      <c r="AI127" s="68" t="str">
        <f>TEXT(L127,"#,##0.#######")</f>
        <v>3,600.</v>
      </c>
      <c r="AJ127" s="68"/>
      <c r="AK127" s="68"/>
      <c r="AL127" s="68"/>
      <c r="AM127" s="68"/>
      <c r="AN127" s="68" t="s">
        <v>437</v>
      </c>
      <c r="AO127" s="68"/>
      <c r="AP127" s="68" t="str">
        <f>TEXT(K123,"#,##0.#######")</f>
        <v>0.7</v>
      </c>
      <c r="AQ127" s="68"/>
      <c r="AR127" s="68"/>
      <c r="AS127" s="68" t="s">
        <v>437</v>
      </c>
      <c r="AT127" s="68"/>
      <c r="AU127" s="68" t="str">
        <f>TEXT(AX123,"#,##0.#######")</f>
        <v>0.55</v>
      </c>
      <c r="AV127" s="68"/>
      <c r="AW127" s="68"/>
      <c r="AX127" s="68"/>
      <c r="AY127" s="68" t="s">
        <v>437</v>
      </c>
      <c r="AZ127" s="68"/>
      <c r="BA127" s="68" t="str">
        <f>TEXT(AH123,"#,##0.#######")</f>
        <v>0.67</v>
      </c>
      <c r="BB127" s="68"/>
      <c r="BC127" s="68"/>
      <c r="BD127" s="68"/>
      <c r="BE127" s="68" t="s">
        <v>437</v>
      </c>
      <c r="BF127" s="68"/>
      <c r="BG127" s="68" t="str">
        <f>TEXT(K125,"#,##0.#######")</f>
        <v>0.45</v>
      </c>
      <c r="BH127" s="68"/>
      <c r="BI127" s="68"/>
      <c r="BJ127" s="68"/>
      <c r="BK127" s="68"/>
      <c r="BL127" s="68"/>
      <c r="BM127" s="68"/>
      <c r="BN127" s="68"/>
      <c r="BO127" s="68"/>
      <c r="BP127" s="68"/>
      <c r="BQ127" s="68"/>
      <c r="BR127" s="68"/>
      <c r="BS127" s="68"/>
      <c r="BT127" s="68"/>
      <c r="BU127" s="68"/>
      <c r="BV127" s="68"/>
      <c r="BW127" s="68"/>
      <c r="BX127" s="68"/>
      <c r="BY127" s="68"/>
      <c r="BZ127" s="68"/>
      <c r="CA127" s="68"/>
      <c r="CB127" s="68"/>
      <c r="CC127" s="68"/>
      <c r="CD127" s="68"/>
      <c r="CE127" s="68"/>
      <c r="CF127" s="68"/>
      <c r="CG127" s="68"/>
      <c r="CH127" s="68"/>
      <c r="CI127" s="68"/>
      <c r="CJ127" s="68"/>
      <c r="CK127" s="68"/>
      <c r="CL127" s="68"/>
      <c r="CM127" s="68"/>
      <c r="CN127" s="68"/>
      <c r="CO127" s="68"/>
      <c r="CP127" s="68"/>
      <c r="CQ127" s="68"/>
      <c r="CR127" s="68"/>
      <c r="CS127" s="68"/>
      <c r="CT127" s="68"/>
      <c r="CU127" s="68"/>
      <c r="CV127" s="68"/>
      <c r="CW127" s="68"/>
      <c r="CX127" s="75"/>
      <c r="CY127" s="75"/>
      <c r="CZ127" s="75"/>
      <c r="DA127" s="76"/>
      <c r="DB127" s="74"/>
    </row>
    <row r="128" spans="2:106" ht="11.25" customHeight="1" x14ac:dyDescent="0.2">
      <c r="B128" s="67"/>
      <c r="C128" s="68"/>
      <c r="D128" s="68"/>
      <c r="E128" s="68"/>
      <c r="F128" s="68"/>
      <c r="G128" s="68" t="s">
        <v>26</v>
      </c>
      <c r="H128" s="68"/>
      <c r="I128" s="68" t="s">
        <v>214</v>
      </c>
      <c r="J128" s="68"/>
      <c r="K128" s="68" t="s">
        <v>148</v>
      </c>
      <c r="L128" s="68"/>
      <c r="M128" s="68" t="s">
        <v>148</v>
      </c>
      <c r="N128" s="68"/>
      <c r="O128" s="68" t="s">
        <v>148</v>
      </c>
      <c r="P128" s="68"/>
      <c r="Q128" s="68" t="s">
        <v>148</v>
      </c>
      <c r="R128" s="68"/>
      <c r="S128" s="68" t="s">
        <v>148</v>
      </c>
      <c r="T128" s="68"/>
      <c r="U128" s="68" t="s">
        <v>148</v>
      </c>
      <c r="V128" s="68"/>
      <c r="W128" s="68" t="s">
        <v>148</v>
      </c>
      <c r="X128" s="68"/>
      <c r="Y128" s="68" t="s">
        <v>148</v>
      </c>
      <c r="Z128" s="68"/>
      <c r="AA128" s="68" t="s">
        <v>148</v>
      </c>
      <c r="AB128" s="68"/>
      <c r="AC128" s="68" t="s">
        <v>148</v>
      </c>
      <c r="AD128" s="68"/>
      <c r="AE128" s="68"/>
      <c r="AF128" s="68" t="s">
        <v>214</v>
      </c>
      <c r="AG128" s="68"/>
      <c r="AH128" s="68" t="s">
        <v>148</v>
      </c>
      <c r="AI128" s="68"/>
      <c r="AJ128" s="68" t="s">
        <v>148</v>
      </c>
      <c r="AK128" s="68"/>
      <c r="AL128" s="68" t="s">
        <v>148</v>
      </c>
      <c r="AM128" s="68"/>
      <c r="AN128" s="68" t="s">
        <v>148</v>
      </c>
      <c r="AO128" s="68"/>
      <c r="AP128" s="68" t="s">
        <v>148</v>
      </c>
      <c r="AQ128" s="68"/>
      <c r="AR128" s="68" t="s">
        <v>148</v>
      </c>
      <c r="AS128" s="68"/>
      <c r="AT128" s="68" t="s">
        <v>148</v>
      </c>
      <c r="AU128" s="68"/>
      <c r="AV128" s="68" t="s">
        <v>148</v>
      </c>
      <c r="AW128" s="68"/>
      <c r="AX128" s="68" t="s">
        <v>148</v>
      </c>
      <c r="AY128" s="68"/>
      <c r="AZ128" s="68" t="s">
        <v>148</v>
      </c>
      <c r="BA128" s="68"/>
      <c r="BB128" s="68" t="s">
        <v>148</v>
      </c>
      <c r="BC128" s="68"/>
      <c r="BD128" s="68" t="s">
        <v>148</v>
      </c>
      <c r="BE128" s="68"/>
      <c r="BF128" s="68" t="s">
        <v>148</v>
      </c>
      <c r="BG128" s="68"/>
      <c r="BH128" s="68" t="s">
        <v>148</v>
      </c>
      <c r="BI128" s="68"/>
      <c r="BJ128" s="68" t="s">
        <v>148</v>
      </c>
      <c r="BK128" s="68"/>
      <c r="BL128" s="68"/>
      <c r="BM128" s="68" t="s">
        <v>214</v>
      </c>
      <c r="BN128" s="68"/>
      <c r="BO128" s="68" t="str">
        <f>TEXT(ROUND((3600*K123*AX123*AH123*K125)/(Y125),2),"#,##0.#######")</f>
        <v>20.89</v>
      </c>
      <c r="BP128" s="68"/>
      <c r="BQ128" s="68"/>
      <c r="BR128" s="68"/>
      <c r="BS128" s="68"/>
      <c r="BT128" s="68"/>
      <c r="BU128" s="68"/>
      <c r="BV128" s="68"/>
      <c r="BW128" s="68" t="s">
        <v>368</v>
      </c>
      <c r="BX128" s="68"/>
      <c r="BY128" s="68" t="s">
        <v>90</v>
      </c>
      <c r="BZ128" s="68" t="s">
        <v>380</v>
      </c>
      <c r="CA128" s="68"/>
      <c r="CB128" s="68"/>
      <c r="CC128" s="68"/>
      <c r="CD128" s="68"/>
      <c r="CE128" s="68"/>
      <c r="CF128" s="68"/>
      <c r="CG128" s="68"/>
      <c r="CH128" s="68"/>
      <c r="CI128" s="68"/>
      <c r="CJ128" s="68"/>
      <c r="CK128" s="68"/>
      <c r="CL128" s="68"/>
      <c r="CM128" s="68"/>
      <c r="CN128" s="68"/>
      <c r="CO128" s="68"/>
      <c r="CP128" s="68"/>
      <c r="CQ128" s="68"/>
      <c r="CR128" s="68"/>
      <c r="CS128" s="68"/>
      <c r="CT128" s="68"/>
      <c r="CU128" s="68"/>
      <c r="CV128" s="68"/>
      <c r="CW128" s="68"/>
      <c r="CX128" s="75"/>
      <c r="CY128" s="75"/>
      <c r="CZ128" s="75"/>
      <c r="DA128" s="76"/>
      <c r="DB128" s="74"/>
    </row>
    <row r="129" spans="2:106" ht="11.25" customHeight="1" x14ac:dyDescent="0.2">
      <c r="B129" s="67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 t="s">
        <v>67</v>
      </c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 t="str">
        <f>TEXT(Y125,"#,##0.#######")</f>
        <v>20.</v>
      </c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  <c r="BK129" s="68"/>
      <c r="BL129" s="68"/>
      <c r="BM129" s="68"/>
      <c r="BN129" s="68"/>
      <c r="BO129" s="68"/>
      <c r="BP129" s="68"/>
      <c r="BQ129" s="68"/>
      <c r="BR129" s="68"/>
      <c r="BS129" s="68"/>
      <c r="BT129" s="68"/>
      <c r="BU129" s="68"/>
      <c r="BV129" s="68"/>
      <c r="BW129" s="68"/>
      <c r="BX129" s="68"/>
      <c r="BY129" s="68"/>
      <c r="BZ129" s="68"/>
      <c r="CA129" s="68"/>
      <c r="CB129" s="68"/>
      <c r="CC129" s="68"/>
      <c r="CD129" s="68"/>
      <c r="CE129" s="68"/>
      <c r="CF129" s="68"/>
      <c r="CG129" s="68"/>
      <c r="CH129" s="68"/>
      <c r="CI129" s="68"/>
      <c r="CJ129" s="68"/>
      <c r="CK129" s="68"/>
      <c r="CL129" s="68"/>
      <c r="CM129" s="68"/>
      <c r="CN129" s="68"/>
      <c r="CO129" s="68"/>
      <c r="CP129" s="68"/>
      <c r="CQ129" s="68"/>
      <c r="CR129" s="68"/>
      <c r="CS129" s="68"/>
      <c r="CT129" s="68"/>
      <c r="CU129" s="68"/>
      <c r="CV129" s="68"/>
      <c r="CW129" s="68"/>
      <c r="CX129" s="75"/>
      <c r="CY129" s="75"/>
      <c r="CZ129" s="75"/>
      <c r="DA129" s="76"/>
      <c r="DB129" s="74"/>
    </row>
    <row r="130" spans="2:106" ht="11.25" customHeight="1" x14ac:dyDescent="0.2">
      <c r="B130" s="67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  <c r="BK130" s="68"/>
      <c r="BL130" s="68"/>
      <c r="BM130" s="68"/>
      <c r="BN130" s="68"/>
      <c r="BO130" s="68"/>
      <c r="BP130" s="68"/>
      <c r="BQ130" s="68"/>
      <c r="BR130" s="68"/>
      <c r="BS130" s="68"/>
      <c r="BT130" s="68"/>
      <c r="BU130" s="68"/>
      <c r="BV130" s="68"/>
      <c r="BW130" s="68"/>
      <c r="BX130" s="68"/>
      <c r="BY130" s="68"/>
      <c r="BZ130" s="68"/>
      <c r="CA130" s="68"/>
      <c r="CB130" s="68"/>
      <c r="CC130" s="68"/>
      <c r="CD130" s="68"/>
      <c r="CE130" s="68"/>
      <c r="CF130" s="68"/>
      <c r="CG130" s="68"/>
      <c r="CH130" s="68"/>
      <c r="CI130" s="68"/>
      <c r="CJ130" s="68"/>
      <c r="CK130" s="68"/>
      <c r="CL130" s="68"/>
      <c r="CM130" s="68"/>
      <c r="CN130" s="68"/>
      <c r="CO130" s="68"/>
      <c r="CP130" s="68"/>
      <c r="CQ130" s="68"/>
      <c r="CR130" s="68"/>
      <c r="CS130" s="68"/>
      <c r="CT130" s="68"/>
      <c r="CU130" s="68"/>
      <c r="CV130" s="68"/>
      <c r="CW130" s="68"/>
      <c r="CX130" s="75"/>
      <c r="CY130" s="75"/>
      <c r="CZ130" s="75"/>
      <c r="DA130" s="76"/>
      <c r="DB130" s="74"/>
    </row>
    <row r="131" spans="2:106" ht="11.25" customHeight="1" x14ac:dyDescent="0.2">
      <c r="B131" s="67"/>
      <c r="C131" s="68"/>
      <c r="D131" s="68"/>
      <c r="E131" s="68"/>
      <c r="F131" s="68"/>
      <c r="G131" s="68" t="s">
        <v>438</v>
      </c>
      <c r="H131" s="68"/>
      <c r="I131" s="68"/>
      <c r="J131" s="68"/>
      <c r="K131" s="68"/>
      <c r="L131" s="68"/>
      <c r="M131" s="68"/>
      <c r="N131" s="68" t="s">
        <v>383</v>
      </c>
      <c r="O131" s="68"/>
      <c r="P131" s="68" t="str">
        <f>TEXT(기계경비총괄표!G8,"#,##0")</f>
        <v>38,972</v>
      </c>
      <c r="Q131" s="68"/>
      <c r="R131" s="68"/>
      <c r="S131" s="68"/>
      <c r="T131" s="68"/>
      <c r="U131" s="68"/>
      <c r="V131" s="68"/>
      <c r="W131" s="68"/>
      <c r="X131" s="68"/>
      <c r="Y131" s="68" t="s">
        <v>253</v>
      </c>
      <c r="Z131" s="68"/>
      <c r="AA131" s="68"/>
      <c r="AB131" s="68" t="str">
        <f>TEXT(BO128,"#,##0.#######")</f>
        <v>20.89</v>
      </c>
      <c r="AC131" s="68"/>
      <c r="AD131" s="68"/>
      <c r="AE131" s="68"/>
      <c r="AF131" s="68"/>
      <c r="AG131" s="68"/>
      <c r="AH131" s="68"/>
      <c r="AI131" s="68"/>
      <c r="AJ131" s="68" t="s">
        <v>214</v>
      </c>
      <c r="AK131" s="68"/>
      <c r="AL131" s="68" t="str">
        <f>TEXT(TRUNC(P131/BO128,1),"#,##0.#")</f>
        <v>1,865.5</v>
      </c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  <c r="BK131" s="68"/>
      <c r="BL131" s="68"/>
      <c r="BM131" s="68"/>
      <c r="BN131" s="68"/>
      <c r="BO131" s="68"/>
      <c r="BP131" s="68"/>
      <c r="BQ131" s="68"/>
      <c r="BR131" s="68"/>
      <c r="BS131" s="68"/>
      <c r="BT131" s="68"/>
      <c r="BU131" s="68"/>
      <c r="BV131" s="68"/>
      <c r="BW131" s="68"/>
      <c r="BX131" s="68"/>
      <c r="BY131" s="68"/>
      <c r="BZ131" s="68"/>
      <c r="CA131" s="68"/>
      <c r="CB131" s="68"/>
      <c r="CC131" s="68"/>
      <c r="CD131" s="68"/>
      <c r="CE131" s="68"/>
      <c r="CF131" s="68"/>
      <c r="CG131" s="68"/>
      <c r="CH131" s="68"/>
      <c r="CI131" s="68"/>
      <c r="CJ131" s="68"/>
      <c r="CK131" s="68"/>
      <c r="CL131" s="68"/>
      <c r="CM131" s="68"/>
      <c r="CN131" s="68"/>
      <c r="CO131" s="68"/>
      <c r="CP131" s="68"/>
      <c r="CQ131" s="68"/>
      <c r="CR131" s="68"/>
      <c r="CS131" s="68"/>
      <c r="CT131" s="68"/>
      <c r="CU131" s="68"/>
      <c r="CV131" s="68"/>
      <c r="CW131" s="68"/>
      <c r="CX131" s="75"/>
      <c r="CY131" s="75"/>
      <c r="CZ131" s="75"/>
      <c r="DA131" s="76"/>
      <c r="DB131" s="74"/>
    </row>
    <row r="132" spans="2:106" ht="11.25" customHeight="1" x14ac:dyDescent="0.2">
      <c r="B132" s="67"/>
      <c r="C132" s="68"/>
      <c r="D132" s="68"/>
      <c r="E132" s="68"/>
      <c r="F132" s="68"/>
      <c r="G132" s="68" t="s">
        <v>319</v>
      </c>
      <c r="H132" s="68"/>
      <c r="I132" s="68"/>
      <c r="J132" s="68"/>
      <c r="K132" s="68"/>
      <c r="L132" s="68"/>
      <c r="M132" s="68"/>
      <c r="N132" s="68" t="s">
        <v>383</v>
      </c>
      <c r="O132" s="68"/>
      <c r="P132" s="68" t="str">
        <f>TEXT(기계경비총괄표!H8,"#,##0")</f>
        <v>15,991</v>
      </c>
      <c r="Q132" s="68"/>
      <c r="R132" s="68"/>
      <c r="S132" s="68"/>
      <c r="T132" s="68"/>
      <c r="U132" s="68"/>
      <c r="V132" s="68"/>
      <c r="W132" s="68"/>
      <c r="X132" s="68"/>
      <c r="Y132" s="68" t="s">
        <v>253</v>
      </c>
      <c r="Z132" s="68"/>
      <c r="AA132" s="68"/>
      <c r="AB132" s="68" t="str">
        <f>TEXT(BO128,"#,##0.#######")</f>
        <v>20.89</v>
      </c>
      <c r="AC132" s="68"/>
      <c r="AD132" s="68"/>
      <c r="AE132" s="68"/>
      <c r="AF132" s="68"/>
      <c r="AG132" s="68"/>
      <c r="AH132" s="68"/>
      <c r="AI132" s="68"/>
      <c r="AJ132" s="68" t="s">
        <v>214</v>
      </c>
      <c r="AK132" s="68"/>
      <c r="AL132" s="68"/>
      <c r="AM132" s="68"/>
      <c r="AN132" s="68" t="str">
        <f>TEXT(TRUNC(P132/BO128,1),"#,##0.#")</f>
        <v>765.4</v>
      </c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  <c r="BP132" s="68"/>
      <c r="BQ132" s="68"/>
      <c r="BR132" s="68"/>
      <c r="BS132" s="68"/>
      <c r="BT132" s="68"/>
      <c r="BU132" s="68"/>
      <c r="BV132" s="68"/>
      <c r="BW132" s="68"/>
      <c r="BX132" s="68"/>
      <c r="BY132" s="68"/>
      <c r="BZ132" s="68"/>
      <c r="CA132" s="68"/>
      <c r="CB132" s="68"/>
      <c r="CC132" s="68"/>
      <c r="CD132" s="68"/>
      <c r="CE132" s="68"/>
      <c r="CF132" s="68"/>
      <c r="CG132" s="68"/>
      <c r="CH132" s="68"/>
      <c r="CI132" s="68"/>
      <c r="CJ132" s="68"/>
      <c r="CK132" s="68"/>
      <c r="CL132" s="68"/>
      <c r="CM132" s="68"/>
      <c r="CN132" s="68"/>
      <c r="CO132" s="68"/>
      <c r="CP132" s="68"/>
      <c r="CQ132" s="68"/>
      <c r="CR132" s="68"/>
      <c r="CS132" s="68"/>
      <c r="CT132" s="68"/>
      <c r="CU132" s="68"/>
      <c r="CV132" s="68"/>
      <c r="CW132" s="68"/>
      <c r="CX132" s="75"/>
      <c r="CY132" s="75"/>
      <c r="CZ132" s="75"/>
      <c r="DA132" s="76"/>
      <c r="DB132" s="74"/>
    </row>
    <row r="133" spans="2:106" ht="11.25" customHeight="1" x14ac:dyDescent="0.2">
      <c r="B133" s="67"/>
      <c r="C133" s="68"/>
      <c r="D133" s="68"/>
      <c r="E133" s="68"/>
      <c r="F133" s="68"/>
      <c r="G133" s="68" t="s">
        <v>116</v>
      </c>
      <c r="H133" s="68"/>
      <c r="I133" s="68"/>
      <c r="J133" s="68"/>
      <c r="K133" s="68" t="s">
        <v>281</v>
      </c>
      <c r="L133" s="68"/>
      <c r="M133" s="68"/>
      <c r="N133" s="68" t="s">
        <v>383</v>
      </c>
      <c r="O133" s="68"/>
      <c r="P133" s="68" t="str">
        <f>TEXT(기계경비총괄표!I8,"#,##0")</f>
        <v>21,214</v>
      </c>
      <c r="Q133" s="68"/>
      <c r="R133" s="68"/>
      <c r="S133" s="68"/>
      <c r="T133" s="68"/>
      <c r="U133" s="68"/>
      <c r="V133" s="68"/>
      <c r="W133" s="68"/>
      <c r="X133" s="68"/>
      <c r="Y133" s="68" t="s">
        <v>253</v>
      </c>
      <c r="Z133" s="68"/>
      <c r="AA133" s="68"/>
      <c r="AB133" s="68" t="str">
        <f>TEXT(BO128,"#,##0.#######")</f>
        <v>20.89</v>
      </c>
      <c r="AC133" s="68"/>
      <c r="AD133" s="68"/>
      <c r="AE133" s="68"/>
      <c r="AF133" s="68"/>
      <c r="AG133" s="68"/>
      <c r="AH133" s="68"/>
      <c r="AI133" s="68"/>
      <c r="AJ133" s="68" t="s">
        <v>214</v>
      </c>
      <c r="AK133" s="68"/>
      <c r="AL133" s="68"/>
      <c r="AM133" s="68"/>
      <c r="AN133" s="68" t="str">
        <f>TEXT(TRUNC(P133/BO128,1),"#,##0.#")</f>
        <v>1,015.5</v>
      </c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  <c r="BK133" s="68"/>
      <c r="BL133" s="68"/>
      <c r="BM133" s="68"/>
      <c r="BN133" s="68"/>
      <c r="BO133" s="68"/>
      <c r="BP133" s="68"/>
      <c r="BQ133" s="68"/>
      <c r="BR133" s="68"/>
      <c r="BS133" s="68"/>
      <c r="BT133" s="68"/>
      <c r="BU133" s="68"/>
      <c r="BV133" s="68"/>
      <c r="BW133" s="68"/>
      <c r="BX133" s="68"/>
      <c r="BY133" s="68"/>
      <c r="BZ133" s="68"/>
      <c r="CA133" s="68"/>
      <c r="CB133" s="68"/>
      <c r="CC133" s="68"/>
      <c r="CD133" s="68"/>
      <c r="CE133" s="68"/>
      <c r="CF133" s="68"/>
      <c r="CG133" s="68"/>
      <c r="CH133" s="68"/>
      <c r="CI133" s="68"/>
      <c r="CJ133" s="68"/>
      <c r="CK133" s="68"/>
      <c r="CL133" s="68"/>
      <c r="CM133" s="68"/>
      <c r="CN133" s="68"/>
      <c r="CO133" s="68"/>
      <c r="CP133" s="68"/>
      <c r="CQ133" s="68"/>
      <c r="CR133" s="68"/>
      <c r="CS133" s="68"/>
      <c r="CT133" s="68"/>
      <c r="CU133" s="68"/>
      <c r="CV133" s="68"/>
      <c r="CW133" s="68"/>
      <c r="CX133" s="75"/>
      <c r="CY133" s="75"/>
      <c r="CZ133" s="75"/>
      <c r="DA133" s="76"/>
      <c r="DB133" s="74"/>
    </row>
    <row r="134" spans="2:106" ht="11.25" customHeight="1" x14ac:dyDescent="0.2">
      <c r="B134" s="67"/>
      <c r="C134" s="68"/>
      <c r="D134" s="68"/>
      <c r="E134" s="68"/>
      <c r="F134" s="68"/>
      <c r="G134" s="68" t="s">
        <v>213</v>
      </c>
      <c r="H134" s="68"/>
      <c r="I134" s="68"/>
      <c r="J134" s="68"/>
      <c r="K134" s="68" t="s">
        <v>279</v>
      </c>
      <c r="L134" s="68"/>
      <c r="M134" s="68"/>
      <c r="N134" s="68" t="s">
        <v>383</v>
      </c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 t="str">
        <f>TEXT(AL131+AN132+AN133,"#,##0.#######")</f>
        <v>3,646.4</v>
      </c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  <c r="BM134" s="68"/>
      <c r="BN134" s="68"/>
      <c r="BO134" s="68"/>
      <c r="BP134" s="68"/>
      <c r="BQ134" s="68"/>
      <c r="BR134" s="68"/>
      <c r="BS134" s="68"/>
      <c r="BT134" s="68"/>
      <c r="BU134" s="68"/>
      <c r="BV134" s="68"/>
      <c r="BW134" s="68"/>
      <c r="BX134" s="68"/>
      <c r="BY134" s="68"/>
      <c r="BZ134" s="68"/>
      <c r="CA134" s="68"/>
      <c r="CB134" s="68"/>
      <c r="CC134" s="68"/>
      <c r="CD134" s="68"/>
      <c r="CE134" s="68"/>
      <c r="CF134" s="68"/>
      <c r="CG134" s="68"/>
      <c r="CH134" s="68"/>
      <c r="CI134" s="68"/>
      <c r="CJ134" s="68"/>
      <c r="CK134" s="68"/>
      <c r="CL134" s="68"/>
      <c r="CM134" s="68"/>
      <c r="CN134" s="68"/>
      <c r="CO134" s="68"/>
      <c r="CP134" s="68"/>
      <c r="CQ134" s="68"/>
      <c r="CR134" s="68"/>
      <c r="CS134" s="68"/>
      <c r="CT134" s="68"/>
      <c r="CU134" s="68"/>
      <c r="CV134" s="68"/>
      <c r="CW134" s="68"/>
      <c r="CX134" s="75">
        <f>CY134+CZ134+DA134</f>
        <v>3646.4</v>
      </c>
      <c r="CY134" s="75" t="str">
        <f>TEXT(AL131,"#,###.0")</f>
        <v>1,865.5</v>
      </c>
      <c r="CZ134" s="75" t="str">
        <f>TEXT(AN132,"#,###.0")</f>
        <v>765.4</v>
      </c>
      <c r="DA134" s="76" t="str">
        <f>TEXT(AN133,"#,###.0")</f>
        <v>1,015.5</v>
      </c>
      <c r="DB134" s="74"/>
    </row>
    <row r="135" spans="2:106" ht="11.25" customHeight="1" x14ac:dyDescent="0.2">
      <c r="B135" s="67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  <c r="BK135" s="68"/>
      <c r="BL135" s="68"/>
      <c r="BM135" s="68"/>
      <c r="BN135" s="68"/>
      <c r="BO135" s="68"/>
      <c r="BP135" s="68"/>
      <c r="BQ135" s="68"/>
      <c r="BR135" s="68"/>
      <c r="BS135" s="68"/>
      <c r="BT135" s="68"/>
      <c r="BU135" s="68"/>
      <c r="BV135" s="68"/>
      <c r="BW135" s="68"/>
      <c r="BX135" s="68"/>
      <c r="BY135" s="68"/>
      <c r="BZ135" s="68"/>
      <c r="CA135" s="68"/>
      <c r="CB135" s="68"/>
      <c r="CC135" s="68"/>
      <c r="CD135" s="68"/>
      <c r="CE135" s="68"/>
      <c r="CF135" s="68"/>
      <c r="CG135" s="68"/>
      <c r="CH135" s="68"/>
      <c r="CI135" s="68"/>
      <c r="CJ135" s="68"/>
      <c r="CK135" s="68"/>
      <c r="CL135" s="68"/>
      <c r="CM135" s="68"/>
      <c r="CN135" s="68"/>
      <c r="CO135" s="68"/>
      <c r="CP135" s="68"/>
      <c r="CQ135" s="68"/>
      <c r="CR135" s="68"/>
      <c r="CS135" s="68"/>
      <c r="CT135" s="68"/>
      <c r="CU135" s="68"/>
      <c r="CV135" s="68"/>
      <c r="CW135" s="68"/>
      <c r="CX135" s="75"/>
      <c r="CY135" s="75"/>
      <c r="CZ135" s="75"/>
      <c r="DA135" s="76"/>
      <c r="DB135" s="74"/>
    </row>
    <row r="136" spans="2:106" ht="11.25" customHeight="1" x14ac:dyDescent="0.2">
      <c r="B136" s="67"/>
      <c r="C136" s="68"/>
      <c r="D136" s="68" t="s">
        <v>118</v>
      </c>
      <c r="E136" s="68"/>
      <c r="F136" s="68"/>
      <c r="G136" s="68" t="s">
        <v>353</v>
      </c>
      <c r="H136" s="68"/>
      <c r="I136" s="68"/>
      <c r="J136" s="68"/>
      <c r="K136" s="68"/>
      <c r="L136" s="68" t="s">
        <v>279</v>
      </c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  <c r="BK136" s="68"/>
      <c r="BL136" s="68"/>
      <c r="BM136" s="68"/>
      <c r="BN136" s="68"/>
      <c r="BO136" s="68"/>
      <c r="BP136" s="68"/>
      <c r="BQ136" s="68"/>
      <c r="BR136" s="68"/>
      <c r="BS136" s="68"/>
      <c r="BT136" s="68"/>
      <c r="BU136" s="68"/>
      <c r="BV136" s="68"/>
      <c r="BW136" s="68"/>
      <c r="BX136" s="68"/>
      <c r="BY136" s="68"/>
      <c r="BZ136" s="68"/>
      <c r="CA136" s="68"/>
      <c r="CB136" s="68"/>
      <c r="CC136" s="68"/>
      <c r="CD136" s="68"/>
      <c r="CE136" s="68"/>
      <c r="CF136" s="68"/>
      <c r="CG136" s="68"/>
      <c r="CH136" s="68"/>
      <c r="CI136" s="68"/>
      <c r="CJ136" s="68"/>
      <c r="CK136" s="68"/>
      <c r="CL136" s="68"/>
      <c r="CM136" s="68"/>
      <c r="CN136" s="68"/>
      <c r="CO136" s="68"/>
      <c r="CP136" s="68"/>
      <c r="CQ136" s="68"/>
      <c r="CR136" s="68"/>
      <c r="CS136" s="68"/>
      <c r="CT136" s="68"/>
      <c r="CU136" s="68"/>
      <c r="CV136" s="68"/>
      <c r="CW136" s="68"/>
      <c r="CX136" s="75"/>
      <c r="CY136" s="75"/>
      <c r="CZ136" s="75"/>
      <c r="DA136" s="76"/>
      <c r="DB136" s="74"/>
    </row>
    <row r="137" spans="2:106" ht="11.25" customHeight="1" x14ac:dyDescent="0.2">
      <c r="B137" s="67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  <c r="BP137" s="68"/>
      <c r="BQ137" s="68"/>
      <c r="BR137" s="68"/>
      <c r="BS137" s="68"/>
      <c r="BT137" s="68"/>
      <c r="BU137" s="68"/>
      <c r="BV137" s="68"/>
      <c r="BW137" s="68"/>
      <c r="BX137" s="68"/>
      <c r="BY137" s="68"/>
      <c r="BZ137" s="68"/>
      <c r="CA137" s="68"/>
      <c r="CB137" s="68"/>
      <c r="CC137" s="68"/>
      <c r="CD137" s="68"/>
      <c r="CE137" s="68"/>
      <c r="CF137" s="68"/>
      <c r="CG137" s="68"/>
      <c r="CH137" s="68"/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  <c r="CW137" s="68"/>
      <c r="CX137" s="75"/>
      <c r="CY137" s="75"/>
      <c r="CZ137" s="75"/>
      <c r="DA137" s="76"/>
      <c r="DB137" s="74"/>
    </row>
    <row r="138" spans="2:106" ht="11.25" customHeight="1" x14ac:dyDescent="0.2">
      <c r="B138" s="67"/>
      <c r="C138" s="68"/>
      <c r="D138" s="68"/>
      <c r="E138" s="68"/>
      <c r="F138" s="68"/>
      <c r="G138" s="68"/>
      <c r="H138" s="68" t="s">
        <v>438</v>
      </c>
      <c r="I138" s="68"/>
      <c r="J138" s="68"/>
      <c r="K138" s="68"/>
      <c r="L138" s="68"/>
      <c r="M138" s="68"/>
      <c r="N138" s="68"/>
      <c r="O138" s="68" t="s">
        <v>383</v>
      </c>
      <c r="P138" s="68"/>
      <c r="Q138" s="68" t="str">
        <f>TEXT(CY105,"#,###.##")</f>
        <v>26,658.6</v>
      </c>
      <c r="R138" s="68"/>
      <c r="S138" s="68"/>
      <c r="T138" s="68"/>
      <c r="U138" s="68"/>
      <c r="V138" s="68"/>
      <c r="W138" s="68"/>
      <c r="X138" s="68"/>
      <c r="Y138" s="68"/>
      <c r="Z138" s="68" t="s">
        <v>105</v>
      </c>
      <c r="AA138" s="68"/>
      <c r="AB138" s="68" t="str">
        <f>TEXT(CY119,"#,###.##")</f>
        <v>14,008.3</v>
      </c>
      <c r="AC138" s="68"/>
      <c r="AD138" s="68"/>
      <c r="AE138" s="68"/>
      <c r="AF138" s="68"/>
      <c r="AG138" s="68"/>
      <c r="AH138" s="68"/>
      <c r="AI138" s="68"/>
      <c r="AJ138" s="68"/>
      <c r="AK138" s="68" t="s">
        <v>105</v>
      </c>
      <c r="AL138" s="68"/>
      <c r="AM138" s="68" t="str">
        <f>TEXT(CY134,"#,###.##")</f>
        <v>1,865.5</v>
      </c>
      <c r="AN138" s="68"/>
      <c r="AO138" s="68"/>
      <c r="AP138" s="68"/>
      <c r="AQ138" s="68"/>
      <c r="AR138" s="68"/>
      <c r="AS138" s="68"/>
      <c r="AT138" s="68"/>
      <c r="AU138" s="68" t="s">
        <v>214</v>
      </c>
      <c r="AV138" s="68"/>
      <c r="AW138" s="68"/>
      <c r="AX138" s="68" t="str">
        <f>TEXT(TRUNC(CY105+CY119+CY134,0),"#,##0")</f>
        <v>42,532</v>
      </c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  <c r="BK138" s="68"/>
      <c r="BL138" s="68"/>
      <c r="BM138" s="68"/>
      <c r="BN138" s="68"/>
      <c r="BO138" s="68"/>
      <c r="BP138" s="68"/>
      <c r="BQ138" s="68"/>
      <c r="BR138" s="68"/>
      <c r="BS138" s="68"/>
      <c r="BT138" s="68"/>
      <c r="BU138" s="68"/>
      <c r="BV138" s="68"/>
      <c r="BW138" s="68"/>
      <c r="BX138" s="68"/>
      <c r="BY138" s="68"/>
      <c r="BZ138" s="68"/>
      <c r="CA138" s="68"/>
      <c r="CB138" s="68"/>
      <c r="CC138" s="68"/>
      <c r="CD138" s="68"/>
      <c r="CE138" s="68"/>
      <c r="CF138" s="68"/>
      <c r="CG138" s="68"/>
      <c r="CH138" s="68"/>
      <c r="CI138" s="68"/>
      <c r="CJ138" s="68"/>
      <c r="CK138" s="68"/>
      <c r="CL138" s="68"/>
      <c r="CM138" s="68"/>
      <c r="CN138" s="68"/>
      <c r="CO138" s="68"/>
      <c r="CP138" s="68"/>
      <c r="CQ138" s="68"/>
      <c r="CR138" s="68"/>
      <c r="CS138" s="68"/>
      <c r="CT138" s="68"/>
      <c r="CU138" s="68"/>
      <c r="CV138" s="68"/>
      <c r="CW138" s="68"/>
      <c r="CX138" s="75"/>
      <c r="CY138" s="75"/>
      <c r="CZ138" s="75"/>
      <c r="DA138" s="76"/>
      <c r="DB138" s="74"/>
    </row>
    <row r="139" spans="2:106" ht="11.25" customHeight="1" x14ac:dyDescent="0.2">
      <c r="B139" s="67"/>
      <c r="C139" s="68"/>
      <c r="D139" s="68"/>
      <c r="E139" s="68"/>
      <c r="F139" s="68"/>
      <c r="G139" s="68"/>
      <c r="H139" s="68" t="s">
        <v>319</v>
      </c>
      <c r="I139" s="68"/>
      <c r="J139" s="68"/>
      <c r="K139" s="68"/>
      <c r="L139" s="68"/>
      <c r="M139" s="68"/>
      <c r="N139" s="68"/>
      <c r="O139" s="68" t="s">
        <v>383</v>
      </c>
      <c r="P139" s="68"/>
      <c r="Q139" s="68" t="str">
        <f>TEXT(CZ105,"#,###.##")</f>
        <v>8,504.8</v>
      </c>
      <c r="R139" s="68"/>
      <c r="S139" s="68"/>
      <c r="T139" s="68"/>
      <c r="U139" s="68"/>
      <c r="V139" s="68"/>
      <c r="W139" s="68"/>
      <c r="X139" s="68"/>
      <c r="Y139" s="68" t="s">
        <v>105</v>
      </c>
      <c r="Z139" s="68"/>
      <c r="AA139" s="68" t="str">
        <f>TEXT(CZ113,"#,###.##")</f>
        <v>933.5</v>
      </c>
      <c r="AB139" s="68"/>
      <c r="AC139" s="68"/>
      <c r="AD139" s="68"/>
      <c r="AE139" s="68"/>
      <c r="AF139" s="68"/>
      <c r="AG139" s="68" t="s">
        <v>105</v>
      </c>
      <c r="AH139" s="68"/>
      <c r="AI139" s="68" t="str">
        <f>TEXT(CZ134,"#,###.##")</f>
        <v>765.4</v>
      </c>
      <c r="AJ139" s="68"/>
      <c r="AK139" s="68"/>
      <c r="AL139" s="68"/>
      <c r="AM139" s="68"/>
      <c r="AN139" s="68"/>
      <c r="AO139" s="68" t="s">
        <v>214</v>
      </c>
      <c r="AP139" s="68"/>
      <c r="AQ139" s="68"/>
      <c r="AR139" s="68" t="str">
        <f>TEXT(TRUNC(CZ105+CZ113+CZ134,0),"#,##0")</f>
        <v>10,203</v>
      </c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  <c r="BK139" s="68"/>
      <c r="BL139" s="68"/>
      <c r="BM139" s="68"/>
      <c r="BN139" s="68"/>
      <c r="BO139" s="68"/>
      <c r="BP139" s="68"/>
      <c r="BQ139" s="68"/>
      <c r="BR139" s="68"/>
      <c r="BS139" s="68"/>
      <c r="BT139" s="68"/>
      <c r="BU139" s="68"/>
      <c r="BV139" s="68"/>
      <c r="BW139" s="68"/>
      <c r="BX139" s="68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68"/>
      <c r="CQ139" s="68"/>
      <c r="CR139" s="68"/>
      <c r="CS139" s="68"/>
      <c r="CT139" s="68"/>
      <c r="CU139" s="68"/>
      <c r="CV139" s="68"/>
      <c r="CW139" s="68"/>
      <c r="CX139" s="75"/>
      <c r="CY139" s="75"/>
      <c r="CZ139" s="75"/>
      <c r="DA139" s="76"/>
      <c r="DB139" s="74"/>
    </row>
    <row r="140" spans="2:106" ht="11.25" customHeight="1" x14ac:dyDescent="0.2">
      <c r="B140" s="67"/>
      <c r="C140" s="68"/>
      <c r="D140" s="68"/>
      <c r="E140" s="68"/>
      <c r="F140" s="68"/>
      <c r="G140" s="68"/>
      <c r="H140" s="68" t="s">
        <v>116</v>
      </c>
      <c r="I140" s="68"/>
      <c r="J140" s="68"/>
      <c r="K140" s="68"/>
      <c r="L140" s="68" t="s">
        <v>281</v>
      </c>
      <c r="M140" s="68"/>
      <c r="N140" s="68"/>
      <c r="O140" s="68" t="s">
        <v>383</v>
      </c>
      <c r="P140" s="68"/>
      <c r="Q140" s="68" t="str">
        <f>TEXT(DA105,"#,###.##")</f>
        <v>15,029.2</v>
      </c>
      <c r="R140" s="68"/>
      <c r="S140" s="68"/>
      <c r="T140" s="68"/>
      <c r="U140" s="68"/>
      <c r="V140" s="68"/>
      <c r="W140" s="68"/>
      <c r="X140" s="68"/>
      <c r="Y140" s="68"/>
      <c r="Z140" s="68" t="s">
        <v>105</v>
      </c>
      <c r="AA140" s="68"/>
      <c r="AB140" s="68" t="str">
        <f>TEXT(DA134,"#,###.##")</f>
        <v>1,015.5</v>
      </c>
      <c r="AC140" s="68"/>
      <c r="AD140" s="68"/>
      <c r="AE140" s="68"/>
      <c r="AF140" s="68"/>
      <c r="AG140" s="68"/>
      <c r="AH140" s="68"/>
      <c r="AI140" s="68"/>
      <c r="AJ140" s="68" t="s">
        <v>214</v>
      </c>
      <c r="AK140" s="68"/>
      <c r="AL140" s="68"/>
      <c r="AM140" s="68" t="str">
        <f>TEXT(TRUNC(DA105+DA134,0),"#,##0")</f>
        <v>16,044</v>
      </c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  <c r="BK140" s="68"/>
      <c r="BL140" s="68"/>
      <c r="BM140" s="68"/>
      <c r="BN140" s="68"/>
      <c r="BO140" s="68"/>
      <c r="BP140" s="68"/>
      <c r="BQ140" s="68"/>
      <c r="BR140" s="68"/>
      <c r="BS140" s="68"/>
      <c r="BT140" s="68"/>
      <c r="BU140" s="68"/>
      <c r="BV140" s="68"/>
      <c r="BW140" s="68"/>
      <c r="BX140" s="68"/>
      <c r="BY140" s="68"/>
      <c r="BZ140" s="68"/>
      <c r="CA140" s="68"/>
      <c r="CB140" s="68"/>
      <c r="CC140" s="68"/>
      <c r="CD140" s="68"/>
      <c r="CE140" s="68"/>
      <c r="CF140" s="68"/>
      <c r="CG140" s="68"/>
      <c r="CH140" s="68"/>
      <c r="CI140" s="68"/>
      <c r="CJ140" s="68"/>
      <c r="CK140" s="68"/>
      <c r="CL140" s="68"/>
      <c r="CM140" s="68"/>
      <c r="CN140" s="68"/>
      <c r="CO140" s="68"/>
      <c r="CP140" s="68"/>
      <c r="CQ140" s="68"/>
      <c r="CR140" s="68"/>
      <c r="CS140" s="68"/>
      <c r="CT140" s="68"/>
      <c r="CU140" s="68"/>
      <c r="CV140" s="68"/>
      <c r="CW140" s="68"/>
      <c r="CX140" s="75"/>
      <c r="CY140" s="75"/>
      <c r="CZ140" s="75"/>
      <c r="DA140" s="76"/>
      <c r="DB140" s="74"/>
    </row>
    <row r="141" spans="2:106" ht="11.25" customHeight="1" x14ac:dyDescent="0.2">
      <c r="B141" s="67"/>
      <c r="C141" s="68"/>
      <c r="D141" s="68"/>
      <c r="E141" s="68"/>
      <c r="F141" s="68"/>
      <c r="G141" s="68"/>
      <c r="H141" s="68"/>
      <c r="I141" s="68"/>
      <c r="J141" s="68" t="s">
        <v>279</v>
      </c>
      <c r="K141" s="68"/>
      <c r="L141" s="68"/>
      <c r="M141" s="68"/>
      <c r="N141" s="68"/>
      <c r="O141" s="68" t="s">
        <v>383</v>
      </c>
      <c r="P141" s="68"/>
      <c r="Q141" s="68"/>
      <c r="R141" s="68" t="str">
        <f>TEXT(AX138+AR139+AM140,"#,##0")</f>
        <v>68,779</v>
      </c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  <c r="BK141" s="68"/>
      <c r="BL141" s="68"/>
      <c r="BM141" s="68"/>
      <c r="BN141" s="68"/>
      <c r="BO141" s="68"/>
      <c r="BP141" s="68"/>
      <c r="BQ141" s="68"/>
      <c r="BR141" s="68"/>
      <c r="BS141" s="68"/>
      <c r="BT141" s="68"/>
      <c r="BU141" s="68"/>
      <c r="BV141" s="68"/>
      <c r="BW141" s="68"/>
      <c r="BX141" s="68"/>
      <c r="BY141" s="68"/>
      <c r="BZ141" s="68"/>
      <c r="CA141" s="68"/>
      <c r="CB141" s="68"/>
      <c r="CC141" s="68"/>
      <c r="CD141" s="68"/>
      <c r="CE141" s="68"/>
      <c r="CF141" s="68"/>
      <c r="CG141" s="68"/>
      <c r="CH141" s="68"/>
      <c r="CI141" s="68"/>
      <c r="CJ141" s="68"/>
      <c r="CK141" s="68"/>
      <c r="CL141" s="68"/>
      <c r="CM141" s="68"/>
      <c r="CN141" s="68"/>
      <c r="CO141" s="68"/>
      <c r="CP141" s="68"/>
      <c r="CQ141" s="68"/>
      <c r="CR141" s="68"/>
      <c r="CS141" s="68"/>
      <c r="CT141" s="68"/>
      <c r="CU141" s="68"/>
      <c r="CV141" s="68"/>
      <c r="CW141" s="68"/>
      <c r="CX141" s="77">
        <f>CY141+CZ141+DA141</f>
        <v>68779</v>
      </c>
      <c r="CY141" s="75" t="str">
        <f>TEXT(AX138,"#,##0")</f>
        <v>42,532</v>
      </c>
      <c r="CZ141" s="75" t="str">
        <f>TEXT(AR139,"#,##0")</f>
        <v>10,203</v>
      </c>
      <c r="DA141" s="76" t="str">
        <f>TEXT(AM140,"#,##0")</f>
        <v>16,044</v>
      </c>
      <c r="DB141" s="74"/>
    </row>
    <row r="142" spans="2:106" ht="11.25" customHeight="1" x14ac:dyDescent="0.2">
      <c r="B142" s="67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  <c r="BK142" s="68"/>
      <c r="BL142" s="68"/>
      <c r="BM142" s="68"/>
      <c r="BN142" s="68"/>
      <c r="BO142" s="68"/>
      <c r="BP142" s="68"/>
      <c r="BQ142" s="68"/>
      <c r="BR142" s="68"/>
      <c r="BS142" s="68"/>
      <c r="BT142" s="68"/>
      <c r="BU142" s="68"/>
      <c r="BV142" s="68"/>
      <c r="BW142" s="68"/>
      <c r="BX142" s="68"/>
      <c r="BY142" s="68"/>
      <c r="BZ142" s="68"/>
      <c r="CA142" s="68"/>
      <c r="CB142" s="68"/>
      <c r="CC142" s="68"/>
      <c r="CD142" s="68"/>
      <c r="CE142" s="68"/>
      <c r="CF142" s="68"/>
      <c r="CG142" s="68"/>
      <c r="CH142" s="68"/>
      <c r="CI142" s="68"/>
      <c r="CJ142" s="68"/>
      <c r="CK142" s="68"/>
      <c r="CL142" s="68"/>
      <c r="CM142" s="68"/>
      <c r="CN142" s="68"/>
      <c r="CO142" s="68"/>
      <c r="CP142" s="68"/>
      <c r="CQ142" s="68"/>
      <c r="CR142" s="68"/>
      <c r="CS142" s="68"/>
      <c r="CT142" s="68"/>
      <c r="CU142" s="68"/>
      <c r="CV142" s="68"/>
      <c r="CW142" s="68"/>
      <c r="CX142" s="75"/>
      <c r="CY142" s="75"/>
      <c r="CZ142" s="75"/>
      <c r="DA142" s="76"/>
      <c r="DB142" s="74"/>
    </row>
    <row r="143" spans="2:106" ht="11.25" customHeight="1" x14ac:dyDescent="0.2">
      <c r="B143" s="71" t="s">
        <v>184</v>
      </c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  <c r="BP143" s="68"/>
      <c r="BQ143" s="68"/>
      <c r="BR143" s="68"/>
      <c r="BS143" s="68"/>
      <c r="BT143" s="68"/>
      <c r="BU143" s="68"/>
      <c r="BV143" s="68"/>
      <c r="BW143" s="68"/>
      <c r="BX143" s="68"/>
      <c r="BY143" s="68"/>
      <c r="BZ143" s="68"/>
      <c r="CA143" s="68"/>
      <c r="CB143" s="68"/>
      <c r="CC143" s="68"/>
      <c r="CD143" s="68"/>
      <c r="CE143" s="68"/>
      <c r="CF143" s="68"/>
      <c r="CG143" s="68"/>
      <c r="CH143" s="68"/>
      <c r="CI143" s="68"/>
      <c r="CJ143" s="68"/>
      <c r="CK143" s="68"/>
      <c r="CL143" s="68"/>
      <c r="CM143" s="68"/>
      <c r="CN143" s="68"/>
      <c r="CO143" s="68"/>
      <c r="CP143" s="68"/>
      <c r="CQ143" s="68"/>
      <c r="CR143" s="68"/>
      <c r="CS143" s="68"/>
      <c r="CT143" s="68"/>
      <c r="CU143" s="68"/>
      <c r="CV143" s="68"/>
      <c r="CW143" s="68"/>
      <c r="CX143" s="72">
        <f>CX182</f>
        <v>52686</v>
      </c>
      <c r="CY143" s="72" t="str">
        <f>CY182</f>
        <v>37,106</v>
      </c>
      <c r="CZ143" s="72" t="str">
        <f>CZ182</f>
        <v>5,133</v>
      </c>
      <c r="DA143" s="73" t="str">
        <f>DA182</f>
        <v>10,447</v>
      </c>
      <c r="DB143" s="74"/>
    </row>
    <row r="144" spans="2:106" ht="11.25" customHeight="1" x14ac:dyDescent="0.2">
      <c r="B144" s="67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  <c r="BK144" s="68"/>
      <c r="BL144" s="68"/>
      <c r="BM144" s="68"/>
      <c r="BN144" s="68"/>
      <c r="BO144" s="68"/>
      <c r="BP144" s="68"/>
      <c r="BQ144" s="68"/>
      <c r="BR144" s="68"/>
      <c r="BS144" s="68"/>
      <c r="BT144" s="68"/>
      <c r="BU144" s="68"/>
      <c r="BV144" s="68"/>
      <c r="BW144" s="68"/>
      <c r="BX144" s="68"/>
      <c r="BY144" s="68"/>
      <c r="BZ144" s="68"/>
      <c r="CA144" s="68"/>
      <c r="CB144" s="68"/>
      <c r="CC144" s="68"/>
      <c r="CD144" s="68"/>
      <c r="CE144" s="68"/>
      <c r="CF144" s="68"/>
      <c r="CG144" s="68"/>
      <c r="CH144" s="68"/>
      <c r="CI144" s="68"/>
      <c r="CJ144" s="68"/>
      <c r="CK144" s="68"/>
      <c r="CL144" s="68"/>
      <c r="CM144" s="68"/>
      <c r="CN144" s="68"/>
      <c r="CO144" s="68"/>
      <c r="CP144" s="68"/>
      <c r="CQ144" s="68"/>
      <c r="CR144" s="68"/>
      <c r="CS144" s="68"/>
      <c r="CT144" s="68"/>
      <c r="CU144" s="68"/>
      <c r="CV144" s="68"/>
      <c r="CW144" s="68"/>
      <c r="CX144" s="75"/>
      <c r="CY144" s="75"/>
      <c r="CZ144" s="75"/>
      <c r="DA144" s="76"/>
      <c r="DB144" s="74"/>
    </row>
    <row r="145" spans="2:106" ht="11.25" customHeight="1" x14ac:dyDescent="0.2">
      <c r="B145" s="67"/>
      <c r="C145" s="68"/>
      <c r="D145" s="68" t="s">
        <v>257</v>
      </c>
      <c r="E145" s="68"/>
      <c r="F145" s="68"/>
      <c r="G145" s="68" t="s">
        <v>156</v>
      </c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 t="s">
        <v>488</v>
      </c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 t="s">
        <v>277</v>
      </c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75"/>
      <c r="CY145" s="75"/>
      <c r="CZ145" s="75"/>
      <c r="DA145" s="76"/>
      <c r="DB145" s="74"/>
    </row>
    <row r="146" spans="2:106" ht="11.25" customHeight="1" x14ac:dyDescent="0.2">
      <c r="B146" s="67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/>
      <c r="CE146" s="68"/>
      <c r="CF146" s="68"/>
      <c r="CG146" s="68"/>
      <c r="CH146" s="68"/>
      <c r="CI146" s="68"/>
      <c r="CJ146" s="68"/>
      <c r="CK146" s="68"/>
      <c r="CL146" s="68"/>
      <c r="CM146" s="68"/>
      <c r="CN146" s="68"/>
      <c r="CO146" s="68"/>
      <c r="CP146" s="68"/>
      <c r="CQ146" s="68"/>
      <c r="CR146" s="68"/>
      <c r="CS146" s="68"/>
      <c r="CT146" s="68"/>
      <c r="CU146" s="68"/>
      <c r="CV146" s="68"/>
      <c r="CW146" s="68"/>
      <c r="CX146" s="75"/>
      <c r="CY146" s="75"/>
      <c r="CZ146" s="75"/>
      <c r="DA146" s="76"/>
      <c r="DB146" s="74"/>
    </row>
    <row r="147" spans="2:106" ht="11.25" customHeight="1" x14ac:dyDescent="0.2">
      <c r="B147" s="67"/>
      <c r="C147" s="68"/>
      <c r="D147" s="68"/>
      <c r="E147" s="68"/>
      <c r="F147" s="68"/>
      <c r="G147" s="68" t="s">
        <v>26</v>
      </c>
      <c r="H147" s="68"/>
      <c r="I147" s="68" t="s">
        <v>214</v>
      </c>
      <c r="J147" s="68"/>
      <c r="K147" s="68" t="str">
        <f>TEXT(1.75,"#,##0.#######")</f>
        <v>1.75</v>
      </c>
      <c r="L147" s="68"/>
      <c r="M147" s="68"/>
      <c r="N147" s="68"/>
      <c r="O147" s="68"/>
      <c r="P147" s="68" t="s">
        <v>368</v>
      </c>
      <c r="Q147" s="68"/>
      <c r="R147" s="68" t="s">
        <v>90</v>
      </c>
      <c r="S147" s="68" t="s">
        <v>380</v>
      </c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  <c r="BM147" s="68"/>
      <c r="BN147" s="68"/>
      <c r="BO147" s="68"/>
      <c r="BP147" s="68"/>
      <c r="BQ147" s="68"/>
      <c r="BR147" s="68"/>
      <c r="BS147" s="68"/>
      <c r="BT147" s="68"/>
      <c r="BU147" s="68"/>
      <c r="BV147" s="68"/>
      <c r="BW147" s="68"/>
      <c r="BX147" s="68"/>
      <c r="BY147" s="68"/>
      <c r="BZ147" s="68"/>
      <c r="CA147" s="68"/>
      <c r="CB147" s="68"/>
      <c r="CC147" s="68"/>
      <c r="CD147" s="68"/>
      <c r="CE147" s="68"/>
      <c r="CF147" s="68"/>
      <c r="CG147" s="68"/>
      <c r="CH147" s="68"/>
      <c r="CI147" s="68"/>
      <c r="CJ147" s="68"/>
      <c r="CK147" s="68"/>
      <c r="CL147" s="68"/>
      <c r="CM147" s="68"/>
      <c r="CN147" s="68"/>
      <c r="CO147" s="68"/>
      <c r="CP147" s="68"/>
      <c r="CQ147" s="68"/>
      <c r="CR147" s="68"/>
      <c r="CS147" s="68"/>
      <c r="CT147" s="68"/>
      <c r="CU147" s="68"/>
      <c r="CV147" s="68"/>
      <c r="CW147" s="68"/>
      <c r="CX147" s="75"/>
      <c r="CY147" s="75"/>
      <c r="CZ147" s="75"/>
      <c r="DA147" s="76"/>
      <c r="DB147" s="74"/>
    </row>
    <row r="148" spans="2:106" ht="11.25" customHeight="1" x14ac:dyDescent="0.2">
      <c r="B148" s="67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  <c r="BP148" s="68"/>
      <c r="BQ148" s="68"/>
      <c r="BR148" s="68"/>
      <c r="BS148" s="68"/>
      <c r="BT148" s="68"/>
      <c r="BU148" s="68"/>
      <c r="BV148" s="68"/>
      <c r="BW148" s="68"/>
      <c r="BX148" s="68"/>
      <c r="BY148" s="68"/>
      <c r="BZ148" s="68"/>
      <c r="CA148" s="68"/>
      <c r="CB148" s="68"/>
      <c r="CC148" s="68"/>
      <c r="CD148" s="68"/>
      <c r="CE148" s="68"/>
      <c r="CF148" s="68"/>
      <c r="CG148" s="68"/>
      <c r="CH148" s="68"/>
      <c r="CI148" s="68"/>
      <c r="CJ148" s="68"/>
      <c r="CK148" s="68"/>
      <c r="CL148" s="68"/>
      <c r="CM148" s="68"/>
      <c r="CN148" s="68"/>
      <c r="CO148" s="68"/>
      <c r="CP148" s="68"/>
      <c r="CQ148" s="68"/>
      <c r="CR148" s="68"/>
      <c r="CS148" s="68"/>
      <c r="CT148" s="68"/>
      <c r="CU148" s="68"/>
      <c r="CV148" s="68"/>
      <c r="CW148" s="68"/>
      <c r="CX148" s="75"/>
      <c r="CY148" s="75"/>
      <c r="CZ148" s="75"/>
      <c r="DA148" s="76"/>
      <c r="DB148" s="74"/>
    </row>
    <row r="149" spans="2:106" ht="11.25" customHeight="1" x14ac:dyDescent="0.2">
      <c r="B149" s="67"/>
      <c r="C149" s="68"/>
      <c r="D149" s="68"/>
      <c r="E149" s="68"/>
      <c r="F149" s="68"/>
      <c r="G149" s="68" t="s">
        <v>438</v>
      </c>
      <c r="H149" s="68"/>
      <c r="I149" s="68"/>
      <c r="J149" s="68"/>
      <c r="K149" s="68"/>
      <c r="L149" s="68"/>
      <c r="M149" s="68"/>
      <c r="N149" s="68" t="s">
        <v>383</v>
      </c>
      <c r="O149" s="68"/>
      <c r="P149" s="68" t="str">
        <f>TEXT(기계경비총괄표!G9,"#,##0")</f>
        <v>38,972</v>
      </c>
      <c r="Q149" s="68"/>
      <c r="R149" s="68"/>
      <c r="S149" s="68"/>
      <c r="T149" s="68"/>
      <c r="U149" s="68"/>
      <c r="V149" s="68"/>
      <c r="W149" s="68"/>
      <c r="X149" s="68"/>
      <c r="Y149" s="68" t="s">
        <v>253</v>
      </c>
      <c r="Z149" s="68"/>
      <c r="AA149" s="68"/>
      <c r="AB149" s="68" t="str">
        <f>TEXT(K147,"#,##0.#######")</f>
        <v>1.75</v>
      </c>
      <c r="AC149" s="68"/>
      <c r="AD149" s="68"/>
      <c r="AE149" s="68"/>
      <c r="AF149" s="68"/>
      <c r="AG149" s="68"/>
      <c r="AH149" s="68"/>
      <c r="AI149" s="68" t="s">
        <v>214</v>
      </c>
      <c r="AJ149" s="68"/>
      <c r="AK149" s="68" t="str">
        <f>TEXT(TRUNC(P149/K147,1),"#,##0.#")</f>
        <v>22,269.7</v>
      </c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  <c r="BP149" s="68"/>
      <c r="BQ149" s="68"/>
      <c r="BR149" s="68"/>
      <c r="BS149" s="68"/>
      <c r="BT149" s="68"/>
      <c r="BU149" s="68"/>
      <c r="BV149" s="68"/>
      <c r="BW149" s="68"/>
      <c r="BX149" s="68"/>
      <c r="BY149" s="68"/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68"/>
      <c r="CO149" s="68"/>
      <c r="CP149" s="68"/>
      <c r="CQ149" s="68"/>
      <c r="CR149" s="68"/>
      <c r="CS149" s="68"/>
      <c r="CT149" s="68"/>
      <c r="CU149" s="68"/>
      <c r="CV149" s="68"/>
      <c r="CW149" s="68"/>
      <c r="CX149" s="75"/>
      <c r="CY149" s="75"/>
      <c r="CZ149" s="75"/>
      <c r="DA149" s="76"/>
      <c r="DB149" s="74"/>
    </row>
    <row r="150" spans="2:106" ht="11.25" customHeight="1" x14ac:dyDescent="0.2">
      <c r="B150" s="67"/>
      <c r="C150" s="68"/>
      <c r="D150" s="68"/>
      <c r="E150" s="68"/>
      <c r="F150" s="68"/>
      <c r="G150" s="68" t="s">
        <v>319</v>
      </c>
      <c r="H150" s="68"/>
      <c r="I150" s="68"/>
      <c r="J150" s="68"/>
      <c r="K150" s="68"/>
      <c r="L150" s="68"/>
      <c r="M150" s="68"/>
      <c r="N150" s="68" t="s">
        <v>383</v>
      </c>
      <c r="O150" s="68"/>
      <c r="P150" s="68"/>
      <c r="Q150" s="68" t="str">
        <f>TEXT(기계경비총괄표!H9,"#,##0")</f>
        <v>6,554</v>
      </c>
      <c r="R150" s="68"/>
      <c r="S150" s="68"/>
      <c r="T150" s="68"/>
      <c r="U150" s="68"/>
      <c r="V150" s="68"/>
      <c r="W150" s="68"/>
      <c r="X150" s="68"/>
      <c r="Y150" s="68" t="s">
        <v>253</v>
      </c>
      <c r="Z150" s="68"/>
      <c r="AA150" s="68"/>
      <c r="AB150" s="68" t="str">
        <f>TEXT(K147,"#,##0.#######")</f>
        <v>1.75</v>
      </c>
      <c r="AC150" s="68"/>
      <c r="AD150" s="68"/>
      <c r="AE150" s="68"/>
      <c r="AF150" s="68"/>
      <c r="AG150" s="68"/>
      <c r="AH150" s="68"/>
      <c r="AI150" s="68" t="s">
        <v>214</v>
      </c>
      <c r="AJ150" s="68"/>
      <c r="AK150" s="68"/>
      <c r="AL150" s="68" t="str">
        <f>TEXT(TRUNC(Q150/K147,1),"#,##0.#")</f>
        <v>3,745.1</v>
      </c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  <c r="BP150" s="68"/>
      <c r="BQ150" s="68"/>
      <c r="BR150" s="68"/>
      <c r="BS150" s="68"/>
      <c r="BT150" s="68"/>
      <c r="BU150" s="68"/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/>
      <c r="CM150" s="68"/>
      <c r="CN150" s="68"/>
      <c r="CO150" s="68"/>
      <c r="CP150" s="68"/>
      <c r="CQ150" s="68"/>
      <c r="CR150" s="68"/>
      <c r="CS150" s="68"/>
      <c r="CT150" s="68"/>
      <c r="CU150" s="68"/>
      <c r="CV150" s="68"/>
      <c r="CW150" s="68"/>
      <c r="CX150" s="75"/>
      <c r="CY150" s="75"/>
      <c r="CZ150" s="75"/>
      <c r="DA150" s="76"/>
      <c r="DB150" s="74"/>
    </row>
    <row r="151" spans="2:106" ht="11.25" customHeight="1" x14ac:dyDescent="0.2">
      <c r="B151" s="67"/>
      <c r="C151" s="68"/>
      <c r="D151" s="68"/>
      <c r="E151" s="68"/>
      <c r="F151" s="68"/>
      <c r="G151" s="68" t="s">
        <v>116</v>
      </c>
      <c r="H151" s="68"/>
      <c r="I151" s="68"/>
      <c r="J151" s="68"/>
      <c r="K151" s="68" t="s">
        <v>281</v>
      </c>
      <c r="L151" s="68"/>
      <c r="M151" s="68"/>
      <c r="N151" s="68" t="s">
        <v>383</v>
      </c>
      <c r="O151" s="68"/>
      <c r="P151" s="68" t="str">
        <f>TEXT(기계경비총괄표!I9,"#,##0")</f>
        <v>14,994</v>
      </c>
      <c r="Q151" s="68"/>
      <c r="R151" s="68"/>
      <c r="S151" s="68"/>
      <c r="T151" s="68"/>
      <c r="U151" s="68"/>
      <c r="V151" s="68"/>
      <c r="W151" s="68"/>
      <c r="X151" s="68"/>
      <c r="Y151" s="68" t="s">
        <v>253</v>
      </c>
      <c r="Z151" s="68"/>
      <c r="AA151" s="68"/>
      <c r="AB151" s="68" t="str">
        <f>TEXT(K147,"#,##0.#######")</f>
        <v>1.75</v>
      </c>
      <c r="AC151" s="68"/>
      <c r="AD151" s="68"/>
      <c r="AE151" s="68"/>
      <c r="AF151" s="68"/>
      <c r="AG151" s="68"/>
      <c r="AH151" s="68"/>
      <c r="AI151" s="68" t="s">
        <v>214</v>
      </c>
      <c r="AJ151" s="68"/>
      <c r="AK151" s="68"/>
      <c r="AL151" s="68" t="str">
        <f>TEXT(TRUNC(P151/K147,1),"#,##0.#")</f>
        <v>8,568.</v>
      </c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  <c r="BM151" s="68"/>
      <c r="BN151" s="68"/>
      <c r="BO151" s="68"/>
      <c r="BP151" s="68"/>
      <c r="BQ151" s="68"/>
      <c r="BR151" s="68"/>
      <c r="BS151" s="68"/>
      <c r="BT151" s="68"/>
      <c r="BU151" s="68"/>
      <c r="BV151" s="68"/>
      <c r="BW151" s="68"/>
      <c r="BX151" s="68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68"/>
      <c r="CQ151" s="68"/>
      <c r="CR151" s="68"/>
      <c r="CS151" s="68"/>
      <c r="CT151" s="68"/>
      <c r="CU151" s="68"/>
      <c r="CV151" s="68"/>
      <c r="CW151" s="68"/>
      <c r="CX151" s="75"/>
      <c r="CY151" s="75"/>
      <c r="CZ151" s="75"/>
      <c r="DA151" s="76"/>
      <c r="DB151" s="74"/>
    </row>
    <row r="152" spans="2:106" ht="11.25" customHeight="1" x14ac:dyDescent="0.2">
      <c r="B152" s="67"/>
      <c r="C152" s="68"/>
      <c r="D152" s="68"/>
      <c r="E152" s="68"/>
      <c r="F152" s="68"/>
      <c r="G152" s="68" t="s">
        <v>213</v>
      </c>
      <c r="H152" s="68"/>
      <c r="I152" s="68"/>
      <c r="J152" s="68"/>
      <c r="K152" s="68" t="s">
        <v>279</v>
      </c>
      <c r="L152" s="68"/>
      <c r="M152" s="68"/>
      <c r="N152" s="68" t="s">
        <v>383</v>
      </c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 t="str">
        <f>TEXT(AK149+AL150+AL151,"#,##0.#######")</f>
        <v>34,582.8</v>
      </c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  <c r="BP152" s="68"/>
      <c r="BQ152" s="68"/>
      <c r="BR152" s="68"/>
      <c r="BS152" s="68"/>
      <c r="BT152" s="68"/>
      <c r="BU152" s="68"/>
      <c r="BV152" s="68"/>
      <c r="BW152" s="68"/>
      <c r="BX152" s="68"/>
      <c r="BY152" s="68"/>
      <c r="BZ152" s="68"/>
      <c r="CA152" s="68"/>
      <c r="CB152" s="68"/>
      <c r="CC152" s="68"/>
      <c r="CD152" s="68"/>
      <c r="CE152" s="68"/>
      <c r="CF152" s="68"/>
      <c r="CG152" s="68"/>
      <c r="CH152" s="68"/>
      <c r="CI152" s="68"/>
      <c r="CJ152" s="68"/>
      <c r="CK152" s="68"/>
      <c r="CL152" s="68"/>
      <c r="CM152" s="68"/>
      <c r="CN152" s="68"/>
      <c r="CO152" s="68"/>
      <c r="CP152" s="68"/>
      <c r="CQ152" s="68"/>
      <c r="CR152" s="68"/>
      <c r="CS152" s="68"/>
      <c r="CT152" s="68"/>
      <c r="CU152" s="68"/>
      <c r="CV152" s="68"/>
      <c r="CW152" s="68"/>
      <c r="CX152" s="75">
        <f>CY152+CZ152+DA152</f>
        <v>34582.800000000003</v>
      </c>
      <c r="CY152" s="75" t="str">
        <f>TEXT(AK149,"#,###.0")</f>
        <v>22,269.7</v>
      </c>
      <c r="CZ152" s="75" t="str">
        <f>TEXT(AL150,"#,###.0")</f>
        <v>3,745.1</v>
      </c>
      <c r="DA152" s="76" t="str">
        <f>TEXT(AL151,"#,###.0")</f>
        <v>8,568.0</v>
      </c>
      <c r="DB152" s="74"/>
    </row>
    <row r="153" spans="2:106" ht="11.25" customHeight="1" x14ac:dyDescent="0.2">
      <c r="B153" s="67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  <c r="BP153" s="68"/>
      <c r="BQ153" s="68"/>
      <c r="BR153" s="68"/>
      <c r="BS153" s="68"/>
      <c r="BT153" s="68"/>
      <c r="BU153" s="68"/>
      <c r="BV153" s="68"/>
      <c r="BW153" s="68"/>
      <c r="BX153" s="68"/>
      <c r="BY153" s="68"/>
      <c r="BZ153" s="68"/>
      <c r="CA153" s="68"/>
      <c r="CB153" s="68"/>
      <c r="CC153" s="68"/>
      <c r="CD153" s="68"/>
      <c r="CE153" s="68"/>
      <c r="CF153" s="68"/>
      <c r="CG153" s="68"/>
      <c r="CH153" s="68"/>
      <c r="CI153" s="68"/>
      <c r="CJ153" s="68"/>
      <c r="CK153" s="68"/>
      <c r="CL153" s="68"/>
      <c r="CM153" s="68"/>
      <c r="CN153" s="68"/>
      <c r="CO153" s="68"/>
      <c r="CP153" s="68"/>
      <c r="CQ153" s="68"/>
      <c r="CR153" s="68"/>
      <c r="CS153" s="68"/>
      <c r="CT153" s="68"/>
      <c r="CU153" s="68"/>
      <c r="CV153" s="68"/>
      <c r="CW153" s="68"/>
      <c r="CX153" s="75"/>
      <c r="CY153" s="75"/>
      <c r="CZ153" s="75"/>
      <c r="DA153" s="76"/>
      <c r="DB153" s="74"/>
    </row>
    <row r="154" spans="2:106" ht="11.25" customHeight="1" x14ac:dyDescent="0.2">
      <c r="B154" s="67"/>
      <c r="C154" s="68"/>
      <c r="D154" s="68" t="s">
        <v>377</v>
      </c>
      <c r="E154" s="68"/>
      <c r="F154" s="68"/>
      <c r="G154" s="68" t="s">
        <v>454</v>
      </c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8"/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75"/>
      <c r="CY154" s="75"/>
      <c r="CZ154" s="75"/>
      <c r="DA154" s="76"/>
      <c r="DB154" s="74"/>
    </row>
    <row r="155" spans="2:106" ht="11.25" customHeight="1" x14ac:dyDescent="0.2">
      <c r="B155" s="67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  <c r="BP155" s="68"/>
      <c r="BQ155" s="68"/>
      <c r="BR155" s="68"/>
      <c r="BS155" s="68"/>
      <c r="BT155" s="68"/>
      <c r="BU155" s="68"/>
      <c r="BV155" s="68"/>
      <c r="BW155" s="68"/>
      <c r="BX155" s="68"/>
      <c r="BY155" s="68"/>
      <c r="BZ155" s="68"/>
      <c r="CA155" s="68"/>
      <c r="CB155" s="68"/>
      <c r="CC155" s="68"/>
      <c r="CD155" s="68"/>
      <c r="CE155" s="68"/>
      <c r="CF155" s="68"/>
      <c r="CG155" s="68"/>
      <c r="CH155" s="68"/>
      <c r="CI155" s="68"/>
      <c r="CJ155" s="68"/>
      <c r="CK155" s="68"/>
      <c r="CL155" s="68"/>
      <c r="CM155" s="68"/>
      <c r="CN155" s="68"/>
      <c r="CO155" s="68"/>
      <c r="CP155" s="68"/>
      <c r="CQ155" s="68"/>
      <c r="CR155" s="68"/>
      <c r="CS155" s="68"/>
      <c r="CT155" s="68"/>
      <c r="CU155" s="68"/>
      <c r="CV155" s="68"/>
      <c r="CW155" s="68"/>
      <c r="CX155" s="75"/>
      <c r="CY155" s="75"/>
      <c r="CZ155" s="75"/>
      <c r="DA155" s="76"/>
      <c r="DB155" s="74"/>
    </row>
    <row r="156" spans="2:106" ht="11.25" customHeight="1" x14ac:dyDescent="0.2">
      <c r="B156" s="67"/>
      <c r="C156" s="68"/>
      <c r="D156" s="68"/>
      <c r="E156" s="68"/>
      <c r="F156" s="68"/>
      <c r="G156" s="68" t="s">
        <v>28</v>
      </c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 t="s">
        <v>383</v>
      </c>
      <c r="S156" s="68"/>
      <c r="T156" s="68" t="str">
        <f>TEXT(노임단가!L5,"#,##0")</f>
        <v>125,427</v>
      </c>
      <c r="U156" s="68"/>
      <c r="V156" s="68"/>
      <c r="W156" s="68"/>
      <c r="X156" s="68"/>
      <c r="Y156" s="68"/>
      <c r="Z156" s="68"/>
      <c r="AA156" s="68"/>
      <c r="AB156" s="68"/>
      <c r="AC156" s="68"/>
      <c r="AD156" s="68" t="s">
        <v>437</v>
      </c>
      <c r="AE156" s="68"/>
      <c r="AF156" s="68"/>
      <c r="AG156" s="68" t="str">
        <f>TEXT(1,"#,##0.#######")</f>
        <v>1.</v>
      </c>
      <c r="AH156" s="68" t="s">
        <v>469</v>
      </c>
      <c r="AI156" s="68"/>
      <c r="AJ156" s="68"/>
      <c r="AK156" s="68" t="s">
        <v>253</v>
      </c>
      <c r="AL156" s="68"/>
      <c r="AM156" s="68"/>
      <c r="AN156" s="68" t="s">
        <v>275</v>
      </c>
      <c r="AO156" s="68" t="str">
        <f>TEXT(8,"#,##0.#######")</f>
        <v>8.</v>
      </c>
      <c r="AP156" s="68" t="s">
        <v>380</v>
      </c>
      <c r="AQ156" s="68"/>
      <c r="AR156" s="68"/>
      <c r="AS156" s="68" t="s">
        <v>437</v>
      </c>
      <c r="AT156" s="68"/>
      <c r="AU156" s="68"/>
      <c r="AV156" s="68" t="str">
        <f>TEXT(K147,"#,##0.#######")</f>
        <v>1.75</v>
      </c>
      <c r="AW156" s="68"/>
      <c r="AX156" s="68"/>
      <c r="AY156" s="68"/>
      <c r="AZ156" s="68"/>
      <c r="BA156" s="68"/>
      <c r="BB156" s="68" t="s">
        <v>55</v>
      </c>
      <c r="BC156" s="68"/>
      <c r="BD156" s="68" t="s">
        <v>214</v>
      </c>
      <c r="BE156" s="68"/>
      <c r="BF156" s="68" t="str">
        <f>TEXT(TRUNC(T156*AG156/(AO156*K147),1),"#,##0.#")</f>
        <v>8,959.</v>
      </c>
      <c r="BG156" s="68"/>
      <c r="BH156" s="68"/>
      <c r="BI156" s="68"/>
      <c r="BJ156" s="68"/>
      <c r="BK156" s="68"/>
      <c r="BL156" s="68"/>
      <c r="BM156" s="68"/>
      <c r="BN156" s="68"/>
      <c r="BO156" s="68"/>
      <c r="BP156" s="68"/>
      <c r="BQ156" s="68"/>
      <c r="BR156" s="68"/>
      <c r="BS156" s="68"/>
      <c r="BT156" s="68"/>
      <c r="BU156" s="68"/>
      <c r="BV156" s="68"/>
      <c r="BW156" s="68"/>
      <c r="BX156" s="68"/>
      <c r="BY156" s="68"/>
      <c r="BZ156" s="68"/>
      <c r="CA156" s="68"/>
      <c r="CB156" s="68"/>
      <c r="CC156" s="68"/>
      <c r="CD156" s="68"/>
      <c r="CE156" s="68"/>
      <c r="CF156" s="68"/>
      <c r="CG156" s="68"/>
      <c r="CH156" s="68"/>
      <c r="CI156" s="68"/>
      <c r="CJ156" s="68"/>
      <c r="CK156" s="68"/>
      <c r="CL156" s="68"/>
      <c r="CM156" s="68"/>
      <c r="CN156" s="68"/>
      <c r="CO156" s="68"/>
      <c r="CP156" s="68"/>
      <c r="CQ156" s="68"/>
      <c r="CR156" s="68"/>
      <c r="CS156" s="68"/>
      <c r="CT156" s="68"/>
      <c r="CU156" s="68"/>
      <c r="CV156" s="68"/>
      <c r="CW156" s="68"/>
      <c r="CX156" s="75">
        <f>CY156+CZ156+DA156</f>
        <v>8959</v>
      </c>
      <c r="CY156" s="75" t="str">
        <f>BF156</f>
        <v>8,959.</v>
      </c>
      <c r="CZ156" s="75"/>
      <c r="DA156" s="76"/>
      <c r="DB156" s="74"/>
    </row>
    <row r="157" spans="2:106" ht="11.25" customHeight="1" x14ac:dyDescent="0.2">
      <c r="B157" s="67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  <c r="BP157" s="68"/>
      <c r="BQ157" s="68"/>
      <c r="BR157" s="68"/>
      <c r="BS157" s="68"/>
      <c r="BT157" s="68"/>
      <c r="BU157" s="68"/>
      <c r="BV157" s="68"/>
      <c r="BW157" s="68"/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68"/>
      <c r="CO157" s="68"/>
      <c r="CP157" s="68"/>
      <c r="CQ157" s="68"/>
      <c r="CR157" s="68"/>
      <c r="CS157" s="68"/>
      <c r="CT157" s="68"/>
      <c r="CU157" s="68"/>
      <c r="CV157" s="68"/>
      <c r="CW157" s="68"/>
      <c r="CX157" s="75"/>
      <c r="CY157" s="75"/>
      <c r="CZ157" s="75"/>
      <c r="DA157" s="76"/>
      <c r="DB157" s="74"/>
    </row>
    <row r="158" spans="2:106" ht="11.25" customHeight="1" x14ac:dyDescent="0.2">
      <c r="B158" s="67"/>
      <c r="C158" s="68"/>
      <c r="D158" s="68" t="s">
        <v>506</v>
      </c>
      <c r="E158" s="68"/>
      <c r="F158" s="68"/>
      <c r="G158" s="68" t="s">
        <v>83</v>
      </c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  <c r="BM158" s="68"/>
      <c r="BN158" s="68"/>
      <c r="BO158" s="68"/>
      <c r="BP158" s="68"/>
      <c r="BQ158" s="68"/>
      <c r="BR158" s="68"/>
      <c r="BS158" s="68"/>
      <c r="BT158" s="68"/>
      <c r="BU158" s="68"/>
      <c r="BV158" s="68"/>
      <c r="BW158" s="68"/>
      <c r="BX158" s="68"/>
      <c r="BY158" s="68"/>
      <c r="BZ158" s="68"/>
      <c r="CA158" s="68"/>
      <c r="CB158" s="68"/>
      <c r="CC158" s="68"/>
      <c r="CD158" s="68"/>
      <c r="CE158" s="68"/>
      <c r="CF158" s="68"/>
      <c r="CG158" s="68"/>
      <c r="CH158" s="68"/>
      <c r="CI158" s="68"/>
      <c r="CJ158" s="68"/>
      <c r="CK158" s="68"/>
      <c r="CL158" s="68"/>
      <c r="CM158" s="68"/>
      <c r="CN158" s="68"/>
      <c r="CO158" s="68"/>
      <c r="CP158" s="68"/>
      <c r="CQ158" s="68"/>
      <c r="CR158" s="68"/>
      <c r="CS158" s="68"/>
      <c r="CT158" s="68"/>
      <c r="CU158" s="68"/>
      <c r="CV158" s="68"/>
      <c r="CW158" s="68"/>
      <c r="CX158" s="75"/>
      <c r="CY158" s="75"/>
      <c r="CZ158" s="75"/>
      <c r="DA158" s="76"/>
      <c r="DB158" s="74"/>
    </row>
    <row r="159" spans="2:106" ht="11.25" customHeight="1" x14ac:dyDescent="0.2">
      <c r="B159" s="67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  <c r="BK159" s="68"/>
      <c r="BL159" s="68"/>
      <c r="BM159" s="68"/>
      <c r="BN159" s="68"/>
      <c r="BO159" s="68"/>
      <c r="BP159" s="68"/>
      <c r="BQ159" s="68"/>
      <c r="BR159" s="68"/>
      <c r="BS159" s="68"/>
      <c r="BT159" s="68"/>
      <c r="BU159" s="68"/>
      <c r="BV159" s="68"/>
      <c r="BW159" s="68"/>
      <c r="BX159" s="68"/>
      <c r="BY159" s="68"/>
      <c r="BZ159" s="68"/>
      <c r="CA159" s="68"/>
      <c r="CB159" s="68"/>
      <c r="CC159" s="68"/>
      <c r="CD159" s="68"/>
      <c r="CE159" s="68"/>
      <c r="CF159" s="68"/>
      <c r="CG159" s="68"/>
      <c r="CH159" s="68"/>
      <c r="CI159" s="68"/>
      <c r="CJ159" s="68"/>
      <c r="CK159" s="68"/>
      <c r="CL159" s="68"/>
      <c r="CM159" s="68"/>
      <c r="CN159" s="68"/>
      <c r="CO159" s="68"/>
      <c r="CP159" s="68"/>
      <c r="CQ159" s="68"/>
      <c r="CR159" s="68"/>
      <c r="CS159" s="68"/>
      <c r="CT159" s="68"/>
      <c r="CU159" s="68"/>
      <c r="CV159" s="68"/>
      <c r="CW159" s="68"/>
      <c r="CX159" s="75"/>
      <c r="CY159" s="75"/>
      <c r="CZ159" s="75"/>
      <c r="DA159" s="76"/>
      <c r="DB159" s="74"/>
    </row>
    <row r="160" spans="2:106" ht="11.25" customHeight="1" x14ac:dyDescent="0.2">
      <c r="B160" s="67"/>
      <c r="C160" s="68"/>
      <c r="D160" s="68"/>
      <c r="E160" s="68"/>
      <c r="F160" s="68"/>
      <c r="G160" s="68" t="s">
        <v>2</v>
      </c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 t="str">
        <f>TEXT(자재단가!R10,"#,##0.#######")</f>
        <v>78,100.</v>
      </c>
      <c r="V160" s="68"/>
      <c r="W160" s="68"/>
      <c r="X160" s="68"/>
      <c r="Y160" s="68"/>
      <c r="Z160" s="68"/>
      <c r="AA160" s="68"/>
      <c r="AB160" s="68"/>
      <c r="AC160" s="68"/>
      <c r="AD160" s="68" t="s">
        <v>437</v>
      </c>
      <c r="AE160" s="68"/>
      <c r="AF160" s="68"/>
      <c r="AG160" s="68" t="str">
        <f>TEXT(0.008,"#,##0.#######")</f>
        <v>0.008</v>
      </c>
      <c r="AH160" s="68"/>
      <c r="AI160" s="68"/>
      <c r="AJ160" s="68"/>
      <c r="AK160" s="68"/>
      <c r="AL160" s="68" t="s">
        <v>30</v>
      </c>
      <c r="AM160" s="68"/>
      <c r="AN160" s="68"/>
      <c r="AO160" s="68" t="s">
        <v>253</v>
      </c>
      <c r="AP160" s="68"/>
      <c r="AQ160" s="68"/>
      <c r="AR160" s="68" t="str">
        <f>TEXT(K147,"#,##0.#######")</f>
        <v>1.75</v>
      </c>
      <c r="AS160" s="68"/>
      <c r="AT160" s="68"/>
      <c r="AU160" s="68"/>
      <c r="AV160" s="68"/>
      <c r="AW160" s="68"/>
      <c r="AX160" s="68"/>
      <c r="AY160" s="68" t="s">
        <v>214</v>
      </c>
      <c r="AZ160" s="68"/>
      <c r="BA160" s="68" t="str">
        <f>TEXT(TRUNC(U160*AG160/K147,1),"#,##0.#")</f>
        <v>357.</v>
      </c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  <c r="BP160" s="68"/>
      <c r="BQ160" s="68"/>
      <c r="BR160" s="68"/>
      <c r="BS160" s="68"/>
      <c r="BT160" s="68"/>
      <c r="BU160" s="68"/>
      <c r="BV160" s="68"/>
      <c r="BW160" s="68"/>
      <c r="BX160" s="68"/>
      <c r="BY160" s="68"/>
      <c r="BZ160" s="68"/>
      <c r="CA160" s="68"/>
      <c r="CB160" s="68"/>
      <c r="CC160" s="68"/>
      <c r="CD160" s="68"/>
      <c r="CE160" s="68"/>
      <c r="CF160" s="68"/>
      <c r="CG160" s="68"/>
      <c r="CH160" s="68"/>
      <c r="CI160" s="68"/>
      <c r="CJ160" s="68"/>
      <c r="CK160" s="68"/>
      <c r="CL160" s="68"/>
      <c r="CM160" s="68"/>
      <c r="CN160" s="68"/>
      <c r="CO160" s="68"/>
      <c r="CP160" s="68"/>
      <c r="CQ160" s="68"/>
      <c r="CR160" s="68"/>
      <c r="CS160" s="68"/>
      <c r="CT160" s="68"/>
      <c r="CU160" s="68"/>
      <c r="CV160" s="68"/>
      <c r="CW160" s="68"/>
      <c r="CX160" s="75">
        <f>CY160+CZ160+DA160</f>
        <v>357</v>
      </c>
      <c r="CY160" s="75"/>
      <c r="CZ160" s="75" t="str">
        <f>BA160</f>
        <v>357.</v>
      </c>
      <c r="DA160" s="76"/>
      <c r="DB160" s="74"/>
    </row>
    <row r="161" spans="2:106" ht="11.25" customHeight="1" x14ac:dyDescent="0.2">
      <c r="B161" s="67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  <c r="BM161" s="68"/>
      <c r="BN161" s="68"/>
      <c r="BO161" s="68"/>
      <c r="BP161" s="68"/>
      <c r="BQ161" s="68"/>
      <c r="BR161" s="68"/>
      <c r="BS161" s="68"/>
      <c r="BT161" s="68"/>
      <c r="BU161" s="68"/>
      <c r="BV161" s="68"/>
      <c r="BW161" s="68"/>
      <c r="BX161" s="68"/>
      <c r="BY161" s="68"/>
      <c r="BZ161" s="68"/>
      <c r="CA161" s="68"/>
      <c r="CB161" s="68"/>
      <c r="CC161" s="68"/>
      <c r="CD161" s="68"/>
      <c r="CE161" s="68"/>
      <c r="CF161" s="68"/>
      <c r="CG161" s="68"/>
      <c r="CH161" s="68"/>
      <c r="CI161" s="68"/>
      <c r="CJ161" s="68"/>
      <c r="CK161" s="68"/>
      <c r="CL161" s="68"/>
      <c r="CM161" s="68"/>
      <c r="CN161" s="68"/>
      <c r="CO161" s="68"/>
      <c r="CP161" s="68"/>
      <c r="CQ161" s="68"/>
      <c r="CR161" s="68"/>
      <c r="CS161" s="68"/>
      <c r="CT161" s="68"/>
      <c r="CU161" s="68"/>
      <c r="CV161" s="68"/>
      <c r="CW161" s="68"/>
      <c r="CX161" s="75"/>
      <c r="CY161" s="75"/>
      <c r="CZ161" s="75"/>
      <c r="DA161" s="76"/>
      <c r="DB161" s="74"/>
    </row>
    <row r="162" spans="2:106" ht="11.25" customHeight="1" x14ac:dyDescent="0.2">
      <c r="B162" s="67"/>
      <c r="C162" s="68"/>
      <c r="D162" s="68" t="s">
        <v>118</v>
      </c>
      <c r="E162" s="68"/>
      <c r="F162" s="68"/>
      <c r="G162" s="68" t="s">
        <v>362</v>
      </c>
      <c r="H162" s="68"/>
      <c r="I162" s="68"/>
      <c r="J162" s="68"/>
      <c r="K162" s="68"/>
      <c r="L162" s="68"/>
      <c r="M162" s="68"/>
      <c r="N162" s="68"/>
      <c r="O162" s="68"/>
      <c r="P162" s="68" t="s">
        <v>383</v>
      </c>
      <c r="Q162" s="68"/>
      <c r="R162" s="68" t="s">
        <v>163</v>
      </c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 t="s">
        <v>251</v>
      </c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BR162" s="68"/>
      <c r="BS162" s="68"/>
      <c r="BT162" s="68"/>
      <c r="BU162" s="68"/>
      <c r="BV162" s="68"/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68"/>
      <c r="CO162" s="68"/>
      <c r="CP162" s="68"/>
      <c r="CQ162" s="68"/>
      <c r="CR162" s="68"/>
      <c r="CS162" s="68"/>
      <c r="CT162" s="68"/>
      <c r="CU162" s="68"/>
      <c r="CV162" s="68"/>
      <c r="CW162" s="68"/>
      <c r="CX162" s="75"/>
      <c r="CY162" s="75"/>
      <c r="CZ162" s="75"/>
      <c r="DA162" s="76"/>
      <c r="DB162" s="74"/>
    </row>
    <row r="163" spans="2:106" ht="11.25" customHeight="1" x14ac:dyDescent="0.2">
      <c r="B163" s="67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/>
      <c r="CE163" s="68"/>
      <c r="CF163" s="68"/>
      <c r="CG163" s="68"/>
      <c r="CH163" s="68"/>
      <c r="CI163" s="68"/>
      <c r="CJ163" s="68"/>
      <c r="CK163" s="68"/>
      <c r="CL163" s="68"/>
      <c r="CM163" s="68"/>
      <c r="CN163" s="68"/>
      <c r="CO163" s="68"/>
      <c r="CP163" s="68"/>
      <c r="CQ163" s="68"/>
      <c r="CR163" s="68"/>
      <c r="CS163" s="68"/>
      <c r="CT163" s="68"/>
      <c r="CU163" s="68"/>
      <c r="CV163" s="68"/>
      <c r="CW163" s="68"/>
      <c r="CX163" s="75"/>
      <c r="CY163" s="75"/>
      <c r="CZ163" s="75"/>
      <c r="DA163" s="76"/>
      <c r="DB163" s="74"/>
    </row>
    <row r="164" spans="2:106" ht="11.25" customHeight="1" x14ac:dyDescent="0.2">
      <c r="B164" s="67"/>
      <c r="C164" s="68"/>
      <c r="D164" s="68"/>
      <c r="E164" s="68"/>
      <c r="F164" s="68"/>
      <c r="G164" s="68" t="s">
        <v>436</v>
      </c>
      <c r="H164" s="68"/>
      <c r="I164" s="68" t="s">
        <v>214</v>
      </c>
      <c r="J164" s="68"/>
      <c r="K164" s="68" t="str">
        <f>TEXT(0.2,"#,##0.#######")</f>
        <v>0.2</v>
      </c>
      <c r="L164" s="68"/>
      <c r="M164" s="68"/>
      <c r="N164" s="68"/>
      <c r="O164" s="68"/>
      <c r="P164" s="68"/>
      <c r="Q164" s="68"/>
      <c r="R164" s="68"/>
      <c r="S164" s="68"/>
      <c r="T164" s="68" t="s">
        <v>60</v>
      </c>
      <c r="U164" s="68"/>
      <c r="V164" s="68" t="s">
        <v>214</v>
      </c>
      <c r="W164" s="68"/>
      <c r="X164" s="68" t="str">
        <f>TEXT(1,"#,##0.#######")</f>
        <v>1.</v>
      </c>
      <c r="Y164" s="68"/>
      <c r="Z164" s="68" t="s">
        <v>90</v>
      </c>
      <c r="AA164" s="68"/>
      <c r="AB164" s="68" t="str">
        <f>TEXT(1.5,"#,##0.#######")</f>
        <v>1.5</v>
      </c>
      <c r="AC164" s="68"/>
      <c r="AD164" s="68"/>
      <c r="AE164" s="68"/>
      <c r="AF164" s="68" t="s">
        <v>214</v>
      </c>
      <c r="AG164" s="68"/>
      <c r="AH164" s="68" t="str">
        <f>TEXT(ROUND(X164/AB164,2),"#,##0.#######")</f>
        <v>0.67</v>
      </c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 t="s">
        <v>224</v>
      </c>
      <c r="AT164" s="68"/>
      <c r="AU164" s="68" t="s">
        <v>214</v>
      </c>
      <c r="AV164" s="68"/>
      <c r="AW164" s="68" t="str">
        <f>TEXT(0.55,"#,##0.#######")</f>
        <v>0.55</v>
      </c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  <c r="BP164" s="68"/>
      <c r="BQ164" s="68"/>
      <c r="BR164" s="68"/>
      <c r="BS164" s="68"/>
      <c r="BT164" s="68"/>
      <c r="BU164" s="68"/>
      <c r="BV164" s="68"/>
      <c r="BW164" s="68"/>
      <c r="BX164" s="68"/>
      <c r="BY164" s="68"/>
      <c r="BZ164" s="68"/>
      <c r="CA164" s="68"/>
      <c r="CB164" s="68"/>
      <c r="CC164" s="68"/>
      <c r="CD164" s="68"/>
      <c r="CE164" s="68"/>
      <c r="CF164" s="68"/>
      <c r="CG164" s="68"/>
      <c r="CH164" s="68"/>
      <c r="CI164" s="68"/>
      <c r="CJ164" s="68"/>
      <c r="CK164" s="68"/>
      <c r="CL164" s="68"/>
      <c r="CM164" s="68"/>
      <c r="CN164" s="68"/>
      <c r="CO164" s="68"/>
      <c r="CP164" s="68"/>
      <c r="CQ164" s="68"/>
      <c r="CR164" s="68"/>
      <c r="CS164" s="68"/>
      <c r="CT164" s="68"/>
      <c r="CU164" s="68"/>
      <c r="CV164" s="68"/>
      <c r="CW164" s="68"/>
      <c r="CX164" s="75"/>
      <c r="CY164" s="75"/>
      <c r="CZ164" s="75"/>
      <c r="DA164" s="76"/>
      <c r="DB164" s="74"/>
    </row>
    <row r="165" spans="2:106" ht="11.25" customHeight="1" x14ac:dyDescent="0.2">
      <c r="B165" s="67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75"/>
      <c r="CY165" s="75"/>
      <c r="CZ165" s="75"/>
      <c r="DA165" s="76"/>
      <c r="DB165" s="74"/>
    </row>
    <row r="166" spans="2:106" ht="11.25" customHeight="1" x14ac:dyDescent="0.2">
      <c r="B166" s="67"/>
      <c r="C166" s="68"/>
      <c r="D166" s="68"/>
      <c r="E166" s="68"/>
      <c r="F166" s="68"/>
      <c r="G166" s="68" t="s">
        <v>232</v>
      </c>
      <c r="H166" s="68"/>
      <c r="I166" s="68" t="s">
        <v>214</v>
      </c>
      <c r="J166" s="68"/>
      <c r="K166" s="68" t="str">
        <f>TEXT(0.45,"#,##0.#######")</f>
        <v>0.45</v>
      </c>
      <c r="L166" s="68"/>
      <c r="M166" s="68"/>
      <c r="N166" s="68"/>
      <c r="O166" s="68"/>
      <c r="P166" s="68"/>
      <c r="Q166" s="68"/>
      <c r="R166" s="68"/>
      <c r="S166" s="68"/>
      <c r="T166" s="68" t="s">
        <v>67</v>
      </c>
      <c r="U166" s="68"/>
      <c r="V166" s="68"/>
      <c r="W166" s="68" t="s">
        <v>214</v>
      </c>
      <c r="X166" s="68"/>
      <c r="Y166" s="68" t="str">
        <f>TEXT(18,"#,##0.#######")</f>
        <v>18.</v>
      </c>
      <c r="Z166" s="68"/>
      <c r="AA166" s="68" t="s">
        <v>452</v>
      </c>
      <c r="AB166" s="68"/>
      <c r="AC166" s="68"/>
      <c r="AD166" s="68"/>
      <c r="AE166" s="68" t="s">
        <v>275</v>
      </c>
      <c r="AF166" s="68" t="s">
        <v>195</v>
      </c>
      <c r="AG166" s="68"/>
      <c r="AH166" s="68"/>
      <c r="AI166" s="68" t="s">
        <v>365</v>
      </c>
      <c r="AJ166" s="68"/>
      <c r="AK166" s="68" t="s">
        <v>55</v>
      </c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  <c r="BK166" s="68"/>
      <c r="BL166" s="68"/>
      <c r="BM166" s="68"/>
      <c r="BN166" s="68"/>
      <c r="BO166" s="68"/>
      <c r="BP166" s="68"/>
      <c r="BQ166" s="68"/>
      <c r="BR166" s="68"/>
      <c r="BS166" s="68"/>
      <c r="BT166" s="68"/>
      <c r="BU166" s="68"/>
      <c r="BV166" s="68"/>
      <c r="BW166" s="68"/>
      <c r="BX166" s="68"/>
      <c r="BY166" s="68"/>
      <c r="BZ166" s="68"/>
      <c r="CA166" s="68"/>
      <c r="CB166" s="68"/>
      <c r="CC166" s="68"/>
      <c r="CD166" s="68"/>
      <c r="CE166" s="68"/>
      <c r="CF166" s="68"/>
      <c r="CG166" s="68"/>
      <c r="CH166" s="68"/>
      <c r="CI166" s="68"/>
      <c r="CJ166" s="68"/>
      <c r="CK166" s="68"/>
      <c r="CL166" s="68"/>
      <c r="CM166" s="68"/>
      <c r="CN166" s="68"/>
      <c r="CO166" s="68"/>
      <c r="CP166" s="68"/>
      <c r="CQ166" s="68"/>
      <c r="CR166" s="68"/>
      <c r="CS166" s="68"/>
      <c r="CT166" s="68"/>
      <c r="CU166" s="68"/>
      <c r="CV166" s="68"/>
      <c r="CW166" s="68"/>
      <c r="CX166" s="75"/>
      <c r="CY166" s="75"/>
      <c r="CZ166" s="75"/>
      <c r="DA166" s="76"/>
      <c r="DB166" s="74"/>
    </row>
    <row r="167" spans="2:106" ht="11.25" customHeight="1" x14ac:dyDescent="0.2">
      <c r="B167" s="67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  <c r="BK167" s="68"/>
      <c r="BL167" s="68"/>
      <c r="BM167" s="68"/>
      <c r="BN167" s="68"/>
      <c r="BO167" s="68"/>
      <c r="BP167" s="68"/>
      <c r="BQ167" s="68"/>
      <c r="BR167" s="68"/>
      <c r="BS167" s="68"/>
      <c r="BT167" s="68"/>
      <c r="BU167" s="68"/>
      <c r="BV167" s="68"/>
      <c r="BW167" s="68"/>
      <c r="BX167" s="68"/>
      <c r="BY167" s="68"/>
      <c r="BZ167" s="68"/>
      <c r="CA167" s="68"/>
      <c r="CB167" s="68"/>
      <c r="CC167" s="68"/>
      <c r="CD167" s="68"/>
      <c r="CE167" s="68"/>
      <c r="CF167" s="68"/>
      <c r="CG167" s="68"/>
      <c r="CH167" s="68"/>
      <c r="CI167" s="68"/>
      <c r="CJ167" s="68"/>
      <c r="CK167" s="68"/>
      <c r="CL167" s="68"/>
      <c r="CM167" s="68"/>
      <c r="CN167" s="68"/>
      <c r="CO167" s="68"/>
      <c r="CP167" s="68"/>
      <c r="CQ167" s="68"/>
      <c r="CR167" s="68"/>
      <c r="CS167" s="68"/>
      <c r="CT167" s="68"/>
      <c r="CU167" s="68"/>
      <c r="CV167" s="68"/>
      <c r="CW167" s="68"/>
      <c r="CX167" s="75"/>
      <c r="CY167" s="75"/>
      <c r="CZ167" s="75"/>
      <c r="DA167" s="76"/>
      <c r="DB167" s="74"/>
    </row>
    <row r="168" spans="2:106" ht="11.25" customHeight="1" x14ac:dyDescent="0.2">
      <c r="B168" s="67"/>
      <c r="C168" s="68"/>
      <c r="D168" s="68"/>
      <c r="E168" s="68"/>
      <c r="F168" s="68"/>
      <c r="G168" s="68"/>
      <c r="H168" s="68"/>
      <c r="I168" s="68"/>
      <c r="J168" s="68"/>
      <c r="K168" s="68"/>
      <c r="L168" s="68" t="str">
        <f>TEXT(3600,"#,##0.#######")</f>
        <v>3,600.</v>
      </c>
      <c r="M168" s="68"/>
      <c r="N168" s="68"/>
      <c r="O168" s="68"/>
      <c r="P168" s="68"/>
      <c r="Q168" s="68" t="s">
        <v>437</v>
      </c>
      <c r="R168" s="68"/>
      <c r="S168" s="68" t="s">
        <v>436</v>
      </c>
      <c r="T168" s="68" t="s">
        <v>437</v>
      </c>
      <c r="U168" s="68"/>
      <c r="V168" s="68" t="s">
        <v>224</v>
      </c>
      <c r="W168" s="68" t="s">
        <v>437</v>
      </c>
      <c r="X168" s="68"/>
      <c r="Y168" s="68" t="s">
        <v>60</v>
      </c>
      <c r="Z168" s="68" t="s">
        <v>437</v>
      </c>
      <c r="AA168" s="68"/>
      <c r="AB168" s="68" t="s">
        <v>232</v>
      </c>
      <c r="AC168" s="68"/>
      <c r="AD168" s="68"/>
      <c r="AE168" s="68"/>
      <c r="AF168" s="68"/>
      <c r="AG168" s="68"/>
      <c r="AH168" s="68"/>
      <c r="AI168" s="68" t="str">
        <f>TEXT(L168,"#,##0.#######")</f>
        <v>3,600.</v>
      </c>
      <c r="AJ168" s="68"/>
      <c r="AK168" s="68"/>
      <c r="AL168" s="68"/>
      <c r="AM168" s="68"/>
      <c r="AN168" s="68" t="s">
        <v>437</v>
      </c>
      <c r="AO168" s="68"/>
      <c r="AP168" s="68" t="str">
        <f>TEXT(K164,"#,##0.#######")</f>
        <v>0.2</v>
      </c>
      <c r="AQ168" s="68"/>
      <c r="AR168" s="68"/>
      <c r="AS168" s="68" t="s">
        <v>437</v>
      </c>
      <c r="AT168" s="68"/>
      <c r="AU168" s="68" t="str">
        <f>TEXT(AW164,"#,##0.#######")</f>
        <v>0.55</v>
      </c>
      <c r="AV168" s="68"/>
      <c r="AW168" s="68"/>
      <c r="AX168" s="68"/>
      <c r="AY168" s="68" t="s">
        <v>437</v>
      </c>
      <c r="AZ168" s="68"/>
      <c r="BA168" s="68" t="str">
        <f>TEXT(AH164,"#,##0.#######")</f>
        <v>0.67</v>
      </c>
      <c r="BB168" s="68"/>
      <c r="BC168" s="68"/>
      <c r="BD168" s="68"/>
      <c r="BE168" s="68" t="s">
        <v>437</v>
      </c>
      <c r="BF168" s="68"/>
      <c r="BG168" s="68" t="str">
        <f>TEXT(K166,"#,##0.#######")</f>
        <v>0.45</v>
      </c>
      <c r="BH168" s="68"/>
      <c r="BI168" s="68"/>
      <c r="BJ168" s="68"/>
      <c r="BK168" s="68"/>
      <c r="BL168" s="68"/>
      <c r="BM168" s="68"/>
      <c r="BN168" s="68"/>
      <c r="BO168" s="68"/>
      <c r="BP168" s="68"/>
      <c r="BQ168" s="68"/>
      <c r="BR168" s="68"/>
      <c r="BS168" s="68"/>
      <c r="BT168" s="68"/>
      <c r="BU168" s="68"/>
      <c r="BV168" s="68"/>
      <c r="BW168" s="68"/>
      <c r="BX168" s="68"/>
      <c r="BY168" s="68"/>
      <c r="BZ168" s="68"/>
      <c r="CA168" s="68"/>
      <c r="CB168" s="68"/>
      <c r="CC168" s="68"/>
      <c r="CD168" s="68"/>
      <c r="CE168" s="68"/>
      <c r="CF168" s="68"/>
      <c r="CG168" s="68"/>
      <c r="CH168" s="68"/>
      <c r="CI168" s="68"/>
      <c r="CJ168" s="68"/>
      <c r="CK168" s="68"/>
      <c r="CL168" s="68"/>
      <c r="CM168" s="68"/>
      <c r="CN168" s="68"/>
      <c r="CO168" s="68"/>
      <c r="CP168" s="68"/>
      <c r="CQ168" s="68"/>
      <c r="CR168" s="68"/>
      <c r="CS168" s="68"/>
      <c r="CT168" s="68"/>
      <c r="CU168" s="68"/>
      <c r="CV168" s="68"/>
      <c r="CW168" s="68"/>
      <c r="CX168" s="75"/>
      <c r="CY168" s="75"/>
      <c r="CZ168" s="75"/>
      <c r="DA168" s="76"/>
      <c r="DB168" s="74"/>
    </row>
    <row r="169" spans="2:106" ht="11.25" customHeight="1" x14ac:dyDescent="0.2">
      <c r="B169" s="67"/>
      <c r="C169" s="68"/>
      <c r="D169" s="68"/>
      <c r="E169" s="68"/>
      <c r="F169" s="68"/>
      <c r="G169" s="68" t="s">
        <v>26</v>
      </c>
      <c r="H169" s="68"/>
      <c r="I169" s="68" t="s">
        <v>214</v>
      </c>
      <c r="J169" s="68"/>
      <c r="K169" s="68" t="s">
        <v>148</v>
      </c>
      <c r="L169" s="68"/>
      <c r="M169" s="68" t="s">
        <v>148</v>
      </c>
      <c r="N169" s="68"/>
      <c r="O169" s="68" t="s">
        <v>148</v>
      </c>
      <c r="P169" s="68"/>
      <c r="Q169" s="68" t="s">
        <v>148</v>
      </c>
      <c r="R169" s="68"/>
      <c r="S169" s="68" t="s">
        <v>148</v>
      </c>
      <c r="T169" s="68"/>
      <c r="U169" s="68" t="s">
        <v>148</v>
      </c>
      <c r="V169" s="68"/>
      <c r="W169" s="68" t="s">
        <v>148</v>
      </c>
      <c r="X169" s="68"/>
      <c r="Y169" s="68" t="s">
        <v>148</v>
      </c>
      <c r="Z169" s="68"/>
      <c r="AA169" s="68" t="s">
        <v>148</v>
      </c>
      <c r="AB169" s="68"/>
      <c r="AC169" s="68" t="s">
        <v>148</v>
      </c>
      <c r="AD169" s="68"/>
      <c r="AE169" s="68"/>
      <c r="AF169" s="68" t="s">
        <v>214</v>
      </c>
      <c r="AG169" s="68"/>
      <c r="AH169" s="68" t="s">
        <v>148</v>
      </c>
      <c r="AI169" s="68"/>
      <c r="AJ169" s="68" t="s">
        <v>148</v>
      </c>
      <c r="AK169" s="68"/>
      <c r="AL169" s="68" t="s">
        <v>148</v>
      </c>
      <c r="AM169" s="68"/>
      <c r="AN169" s="68" t="s">
        <v>148</v>
      </c>
      <c r="AO169" s="68"/>
      <c r="AP169" s="68" t="s">
        <v>148</v>
      </c>
      <c r="AQ169" s="68"/>
      <c r="AR169" s="68" t="s">
        <v>148</v>
      </c>
      <c r="AS169" s="68"/>
      <c r="AT169" s="68" t="s">
        <v>148</v>
      </c>
      <c r="AU169" s="68"/>
      <c r="AV169" s="68" t="s">
        <v>148</v>
      </c>
      <c r="AW169" s="68"/>
      <c r="AX169" s="68" t="s">
        <v>148</v>
      </c>
      <c r="AY169" s="68"/>
      <c r="AZ169" s="68" t="s">
        <v>148</v>
      </c>
      <c r="BA169" s="68"/>
      <c r="BB169" s="68" t="s">
        <v>148</v>
      </c>
      <c r="BC169" s="68"/>
      <c r="BD169" s="68" t="s">
        <v>148</v>
      </c>
      <c r="BE169" s="68"/>
      <c r="BF169" s="68" t="s">
        <v>148</v>
      </c>
      <c r="BG169" s="68"/>
      <c r="BH169" s="68" t="s">
        <v>148</v>
      </c>
      <c r="BI169" s="68"/>
      <c r="BJ169" s="68" t="s">
        <v>148</v>
      </c>
      <c r="BK169" s="68"/>
      <c r="BL169" s="68"/>
      <c r="BM169" s="68" t="s">
        <v>214</v>
      </c>
      <c r="BN169" s="68"/>
      <c r="BO169" s="68" t="str">
        <f>TEXT(ROUND((3600*K164*AW164*AH164*K166)/(Y166),2),"#,##0.#######")</f>
        <v>6.63</v>
      </c>
      <c r="BP169" s="68"/>
      <c r="BQ169" s="68"/>
      <c r="BR169" s="68"/>
      <c r="BS169" s="68"/>
      <c r="BT169" s="68"/>
      <c r="BU169" s="68"/>
      <c r="BV169" s="68" t="s">
        <v>368</v>
      </c>
      <c r="BW169" s="68"/>
      <c r="BX169" s="68" t="s">
        <v>90</v>
      </c>
      <c r="BY169" s="68" t="s">
        <v>380</v>
      </c>
      <c r="BZ169" s="68"/>
      <c r="CA169" s="68"/>
      <c r="CB169" s="68"/>
      <c r="CC169" s="68"/>
      <c r="CD169" s="68"/>
      <c r="CE169" s="68"/>
      <c r="CF169" s="68"/>
      <c r="CG169" s="68"/>
      <c r="CH169" s="68"/>
      <c r="CI169" s="68"/>
      <c r="CJ169" s="68"/>
      <c r="CK169" s="68"/>
      <c r="CL169" s="68"/>
      <c r="CM169" s="68"/>
      <c r="CN169" s="68"/>
      <c r="CO169" s="68"/>
      <c r="CP169" s="68"/>
      <c r="CQ169" s="68"/>
      <c r="CR169" s="68"/>
      <c r="CS169" s="68"/>
      <c r="CT169" s="68"/>
      <c r="CU169" s="68"/>
      <c r="CV169" s="68"/>
      <c r="CW169" s="68"/>
      <c r="CX169" s="75"/>
      <c r="CY169" s="75"/>
      <c r="CZ169" s="75"/>
      <c r="DA169" s="76"/>
      <c r="DB169" s="74"/>
    </row>
    <row r="170" spans="2:106" ht="11.25" customHeight="1" x14ac:dyDescent="0.2">
      <c r="B170" s="67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 t="s">
        <v>67</v>
      </c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 t="str">
        <f>TEXT(Y166,"#,##0.#######")</f>
        <v>18.</v>
      </c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  <c r="BM170" s="68"/>
      <c r="BN170" s="68"/>
      <c r="BO170" s="68"/>
      <c r="BP170" s="68"/>
      <c r="BQ170" s="68"/>
      <c r="BR170" s="68"/>
      <c r="BS170" s="68"/>
      <c r="BT170" s="68"/>
      <c r="BU170" s="68"/>
      <c r="BV170" s="68"/>
      <c r="BW170" s="68"/>
      <c r="BX170" s="68"/>
      <c r="BY170" s="68"/>
      <c r="BZ170" s="68"/>
      <c r="CA170" s="68"/>
      <c r="CB170" s="68"/>
      <c r="CC170" s="68"/>
      <c r="CD170" s="68"/>
      <c r="CE170" s="68"/>
      <c r="CF170" s="68"/>
      <c r="CG170" s="68"/>
      <c r="CH170" s="68"/>
      <c r="CI170" s="68"/>
      <c r="CJ170" s="68"/>
      <c r="CK170" s="68"/>
      <c r="CL170" s="68"/>
      <c r="CM170" s="68"/>
      <c r="CN170" s="68"/>
      <c r="CO170" s="68"/>
      <c r="CP170" s="68"/>
      <c r="CQ170" s="68"/>
      <c r="CR170" s="68"/>
      <c r="CS170" s="68"/>
      <c r="CT170" s="68"/>
      <c r="CU170" s="68"/>
      <c r="CV170" s="68"/>
      <c r="CW170" s="68"/>
      <c r="CX170" s="75"/>
      <c r="CY170" s="75"/>
      <c r="CZ170" s="75"/>
      <c r="DA170" s="76"/>
      <c r="DB170" s="74"/>
    </row>
    <row r="171" spans="2:106" ht="11.25" customHeight="1" x14ac:dyDescent="0.2">
      <c r="B171" s="67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8"/>
      <c r="BT171" s="68"/>
      <c r="BU171" s="68"/>
      <c r="BV171" s="68"/>
      <c r="BW171" s="68"/>
      <c r="BX171" s="68"/>
      <c r="BY171" s="68"/>
      <c r="BZ171" s="68"/>
      <c r="CA171" s="68"/>
      <c r="CB171" s="68"/>
      <c r="CC171" s="68"/>
      <c r="CD171" s="68"/>
      <c r="CE171" s="68"/>
      <c r="CF171" s="68"/>
      <c r="CG171" s="68"/>
      <c r="CH171" s="68"/>
      <c r="CI171" s="68"/>
      <c r="CJ171" s="68"/>
      <c r="CK171" s="68"/>
      <c r="CL171" s="68"/>
      <c r="CM171" s="68"/>
      <c r="CN171" s="68"/>
      <c r="CO171" s="68"/>
      <c r="CP171" s="68"/>
      <c r="CQ171" s="68"/>
      <c r="CR171" s="68"/>
      <c r="CS171" s="68"/>
      <c r="CT171" s="68"/>
      <c r="CU171" s="68"/>
      <c r="CV171" s="68"/>
      <c r="CW171" s="68"/>
      <c r="CX171" s="75"/>
      <c r="CY171" s="75"/>
      <c r="CZ171" s="75"/>
      <c r="DA171" s="76"/>
      <c r="DB171" s="74"/>
    </row>
    <row r="172" spans="2:106" ht="11.25" customHeight="1" x14ac:dyDescent="0.2">
      <c r="B172" s="67"/>
      <c r="C172" s="68"/>
      <c r="D172" s="68"/>
      <c r="E172" s="68"/>
      <c r="F172" s="68"/>
      <c r="G172" s="68" t="s">
        <v>438</v>
      </c>
      <c r="H172" s="68"/>
      <c r="I172" s="68"/>
      <c r="J172" s="68"/>
      <c r="K172" s="68"/>
      <c r="L172" s="68"/>
      <c r="M172" s="68"/>
      <c r="N172" s="68" t="s">
        <v>383</v>
      </c>
      <c r="O172" s="68"/>
      <c r="P172" s="68" t="str">
        <f>TEXT(기계경비총괄표!G5,"#,##0")</f>
        <v>38,972</v>
      </c>
      <c r="Q172" s="68"/>
      <c r="R172" s="68"/>
      <c r="S172" s="68"/>
      <c r="T172" s="68"/>
      <c r="U172" s="68"/>
      <c r="V172" s="68"/>
      <c r="W172" s="68"/>
      <c r="X172" s="68"/>
      <c r="Y172" s="68" t="s">
        <v>253</v>
      </c>
      <c r="Z172" s="68"/>
      <c r="AA172" s="68"/>
      <c r="AB172" s="68" t="str">
        <f>TEXT(BO169,"#,##0.#######")</f>
        <v>6.63</v>
      </c>
      <c r="AC172" s="68"/>
      <c r="AD172" s="68"/>
      <c r="AE172" s="68"/>
      <c r="AF172" s="68"/>
      <c r="AG172" s="68"/>
      <c r="AH172" s="68"/>
      <c r="AI172" s="68" t="s">
        <v>214</v>
      </c>
      <c r="AJ172" s="68"/>
      <c r="AK172" s="68" t="str">
        <f>TEXT(TRUNC(P172/BO169,1),"#,##0.#")</f>
        <v>5,878.1</v>
      </c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  <c r="BK172" s="68"/>
      <c r="BL172" s="68"/>
      <c r="BM172" s="68"/>
      <c r="BN172" s="68"/>
      <c r="BO172" s="68"/>
      <c r="BP172" s="68"/>
      <c r="BQ172" s="68"/>
      <c r="BR172" s="68"/>
      <c r="BS172" s="68"/>
      <c r="BT172" s="68"/>
      <c r="BU172" s="68"/>
      <c r="BV172" s="68"/>
      <c r="BW172" s="68"/>
      <c r="BX172" s="68"/>
      <c r="BY172" s="68"/>
      <c r="BZ172" s="68"/>
      <c r="CA172" s="68"/>
      <c r="CB172" s="68"/>
      <c r="CC172" s="68"/>
      <c r="CD172" s="68"/>
      <c r="CE172" s="68"/>
      <c r="CF172" s="68"/>
      <c r="CG172" s="68"/>
      <c r="CH172" s="68"/>
      <c r="CI172" s="68"/>
      <c r="CJ172" s="68"/>
      <c r="CK172" s="68"/>
      <c r="CL172" s="68"/>
      <c r="CM172" s="68"/>
      <c r="CN172" s="68"/>
      <c r="CO172" s="68"/>
      <c r="CP172" s="68"/>
      <c r="CQ172" s="68"/>
      <c r="CR172" s="68"/>
      <c r="CS172" s="68"/>
      <c r="CT172" s="68"/>
      <c r="CU172" s="68"/>
      <c r="CV172" s="68"/>
      <c r="CW172" s="68"/>
      <c r="CX172" s="75"/>
      <c r="CY172" s="75"/>
      <c r="CZ172" s="75"/>
      <c r="DA172" s="76"/>
      <c r="DB172" s="74"/>
    </row>
    <row r="173" spans="2:106" ht="11.25" customHeight="1" x14ac:dyDescent="0.2">
      <c r="B173" s="67"/>
      <c r="C173" s="68"/>
      <c r="D173" s="68"/>
      <c r="E173" s="68"/>
      <c r="F173" s="68"/>
      <c r="G173" s="68" t="s">
        <v>319</v>
      </c>
      <c r="H173" s="68"/>
      <c r="I173" s="68"/>
      <c r="J173" s="68"/>
      <c r="K173" s="68"/>
      <c r="L173" s="68"/>
      <c r="M173" s="68"/>
      <c r="N173" s="68" t="s">
        <v>383</v>
      </c>
      <c r="O173" s="68"/>
      <c r="P173" s="68"/>
      <c r="Q173" s="68" t="str">
        <f>TEXT(기계경비총괄표!H5,"#,##0")</f>
        <v>6,836</v>
      </c>
      <c r="R173" s="68"/>
      <c r="S173" s="68"/>
      <c r="T173" s="68"/>
      <c r="U173" s="68"/>
      <c r="V173" s="68"/>
      <c r="W173" s="68"/>
      <c r="X173" s="68"/>
      <c r="Y173" s="68" t="s">
        <v>253</v>
      </c>
      <c r="Z173" s="68"/>
      <c r="AA173" s="68"/>
      <c r="AB173" s="68" t="str">
        <f>TEXT(BO169,"#,##0.#######")</f>
        <v>6.63</v>
      </c>
      <c r="AC173" s="68"/>
      <c r="AD173" s="68"/>
      <c r="AE173" s="68"/>
      <c r="AF173" s="68"/>
      <c r="AG173" s="68"/>
      <c r="AH173" s="68"/>
      <c r="AI173" s="68" t="s">
        <v>214</v>
      </c>
      <c r="AJ173" s="68"/>
      <c r="AK173" s="68"/>
      <c r="AL173" s="68"/>
      <c r="AM173" s="68" t="str">
        <f>TEXT(TRUNC(Q173/BO169,1),"#,##0.#")</f>
        <v>1,031.</v>
      </c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  <c r="BK173" s="68"/>
      <c r="BL173" s="68"/>
      <c r="BM173" s="68"/>
      <c r="BN173" s="68"/>
      <c r="BO173" s="68"/>
      <c r="BP173" s="68"/>
      <c r="BQ173" s="68"/>
      <c r="BR173" s="68"/>
      <c r="BS173" s="68"/>
      <c r="BT173" s="68"/>
      <c r="BU173" s="68"/>
      <c r="BV173" s="68"/>
      <c r="BW173" s="68"/>
      <c r="BX173" s="68"/>
      <c r="BY173" s="68"/>
      <c r="BZ173" s="68"/>
      <c r="CA173" s="68"/>
      <c r="CB173" s="68"/>
      <c r="CC173" s="68"/>
      <c r="CD173" s="68"/>
      <c r="CE173" s="68"/>
      <c r="CF173" s="68"/>
      <c r="CG173" s="68"/>
      <c r="CH173" s="68"/>
      <c r="CI173" s="68"/>
      <c r="CJ173" s="68"/>
      <c r="CK173" s="68"/>
      <c r="CL173" s="68"/>
      <c r="CM173" s="68"/>
      <c r="CN173" s="68"/>
      <c r="CO173" s="68"/>
      <c r="CP173" s="68"/>
      <c r="CQ173" s="68"/>
      <c r="CR173" s="68"/>
      <c r="CS173" s="68"/>
      <c r="CT173" s="68"/>
      <c r="CU173" s="68"/>
      <c r="CV173" s="68"/>
      <c r="CW173" s="68"/>
      <c r="CX173" s="75"/>
      <c r="CY173" s="75"/>
      <c r="CZ173" s="75"/>
      <c r="DA173" s="76"/>
      <c r="DB173" s="74"/>
    </row>
    <row r="174" spans="2:106" ht="11.25" customHeight="1" x14ac:dyDescent="0.2">
      <c r="B174" s="67"/>
      <c r="C174" s="68"/>
      <c r="D174" s="68"/>
      <c r="E174" s="68"/>
      <c r="F174" s="68"/>
      <c r="G174" s="68" t="s">
        <v>116</v>
      </c>
      <c r="H174" s="68"/>
      <c r="I174" s="68"/>
      <c r="J174" s="68"/>
      <c r="K174" s="68" t="s">
        <v>281</v>
      </c>
      <c r="L174" s="68"/>
      <c r="M174" s="68"/>
      <c r="N174" s="68" t="s">
        <v>383</v>
      </c>
      <c r="O174" s="68"/>
      <c r="P174" s="68" t="str">
        <f>TEXT(기계경비총괄표!I5,"#,##0")</f>
        <v>12,464</v>
      </c>
      <c r="Q174" s="68"/>
      <c r="R174" s="68"/>
      <c r="S174" s="68"/>
      <c r="T174" s="68"/>
      <c r="U174" s="68"/>
      <c r="V174" s="68"/>
      <c r="W174" s="68"/>
      <c r="X174" s="68"/>
      <c r="Y174" s="68" t="s">
        <v>253</v>
      </c>
      <c r="Z174" s="68"/>
      <c r="AA174" s="68"/>
      <c r="AB174" s="68" t="str">
        <f>TEXT(BO169,"#,##0.#######")</f>
        <v>6.63</v>
      </c>
      <c r="AC174" s="68"/>
      <c r="AD174" s="68"/>
      <c r="AE174" s="68"/>
      <c r="AF174" s="68"/>
      <c r="AG174" s="68"/>
      <c r="AH174" s="68"/>
      <c r="AI174" s="68" t="s">
        <v>214</v>
      </c>
      <c r="AJ174" s="68"/>
      <c r="AK174" s="68" t="str">
        <f>TEXT(TRUNC(P174/BO169,1),"#,##0.#")</f>
        <v>1,879.9</v>
      </c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  <c r="BK174" s="68"/>
      <c r="BL174" s="68"/>
      <c r="BM174" s="68"/>
      <c r="BN174" s="68"/>
      <c r="BO174" s="68"/>
      <c r="BP174" s="68"/>
      <c r="BQ174" s="68"/>
      <c r="BR174" s="68"/>
      <c r="BS174" s="68"/>
      <c r="BT174" s="68"/>
      <c r="BU174" s="68"/>
      <c r="BV174" s="68"/>
      <c r="BW174" s="68"/>
      <c r="BX174" s="68"/>
      <c r="BY174" s="68"/>
      <c r="BZ174" s="68"/>
      <c r="CA174" s="68"/>
      <c r="CB174" s="68"/>
      <c r="CC174" s="68"/>
      <c r="CD174" s="68"/>
      <c r="CE174" s="68"/>
      <c r="CF174" s="68"/>
      <c r="CG174" s="68"/>
      <c r="CH174" s="68"/>
      <c r="CI174" s="68"/>
      <c r="CJ174" s="68"/>
      <c r="CK174" s="68"/>
      <c r="CL174" s="68"/>
      <c r="CM174" s="68"/>
      <c r="CN174" s="68"/>
      <c r="CO174" s="68"/>
      <c r="CP174" s="68"/>
      <c r="CQ174" s="68"/>
      <c r="CR174" s="68"/>
      <c r="CS174" s="68"/>
      <c r="CT174" s="68"/>
      <c r="CU174" s="68"/>
      <c r="CV174" s="68"/>
      <c r="CW174" s="68"/>
      <c r="CX174" s="75"/>
      <c r="CY174" s="75"/>
      <c r="CZ174" s="75"/>
      <c r="DA174" s="76"/>
      <c r="DB174" s="74"/>
    </row>
    <row r="175" spans="2:106" ht="11.25" customHeight="1" x14ac:dyDescent="0.2">
      <c r="B175" s="67"/>
      <c r="C175" s="68"/>
      <c r="D175" s="68"/>
      <c r="E175" s="68"/>
      <c r="F175" s="68"/>
      <c r="G175" s="68" t="s">
        <v>213</v>
      </c>
      <c r="H175" s="68"/>
      <c r="I175" s="68"/>
      <c r="J175" s="68"/>
      <c r="K175" s="68" t="s">
        <v>279</v>
      </c>
      <c r="L175" s="68"/>
      <c r="M175" s="68"/>
      <c r="N175" s="68" t="s">
        <v>383</v>
      </c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 t="str">
        <f>TEXT(AK172+AM173+AK174,"#,##0.#######")</f>
        <v>8,789.</v>
      </c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  <c r="BK175" s="68"/>
      <c r="BL175" s="68"/>
      <c r="BM175" s="68"/>
      <c r="BN175" s="68"/>
      <c r="BO175" s="68"/>
      <c r="BP175" s="68"/>
      <c r="BQ175" s="68"/>
      <c r="BR175" s="68"/>
      <c r="BS175" s="68"/>
      <c r="BT175" s="68"/>
      <c r="BU175" s="68"/>
      <c r="BV175" s="68"/>
      <c r="BW175" s="68"/>
      <c r="BX175" s="68"/>
      <c r="BY175" s="68"/>
      <c r="BZ175" s="68"/>
      <c r="CA175" s="68"/>
      <c r="CB175" s="68"/>
      <c r="CC175" s="68"/>
      <c r="CD175" s="68"/>
      <c r="CE175" s="68"/>
      <c r="CF175" s="68"/>
      <c r="CG175" s="68"/>
      <c r="CH175" s="68"/>
      <c r="CI175" s="68"/>
      <c r="CJ175" s="68"/>
      <c r="CK175" s="68"/>
      <c r="CL175" s="68"/>
      <c r="CM175" s="68"/>
      <c r="CN175" s="68"/>
      <c r="CO175" s="68"/>
      <c r="CP175" s="68"/>
      <c r="CQ175" s="68"/>
      <c r="CR175" s="68"/>
      <c r="CS175" s="68"/>
      <c r="CT175" s="68"/>
      <c r="CU175" s="68"/>
      <c r="CV175" s="68"/>
      <c r="CW175" s="68"/>
      <c r="CX175" s="75">
        <f>CY175+CZ175+DA175</f>
        <v>8789</v>
      </c>
      <c r="CY175" s="75" t="str">
        <f>TEXT(AK172,"#,###.0")</f>
        <v>5,878.1</v>
      </c>
      <c r="CZ175" s="75" t="str">
        <f>TEXT(AM173,"#,###.0")</f>
        <v>1,031.0</v>
      </c>
      <c r="DA175" s="76" t="str">
        <f>TEXT(AK174,"#,###.0")</f>
        <v>1,879.9</v>
      </c>
      <c r="DB175" s="74"/>
    </row>
    <row r="176" spans="2:106" ht="11.25" customHeight="1" x14ac:dyDescent="0.2">
      <c r="B176" s="69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  <c r="BM176" s="70"/>
      <c r="BN176" s="70"/>
      <c r="BO176" s="70"/>
      <c r="BP176" s="70"/>
      <c r="BQ176" s="70"/>
      <c r="BR176" s="70"/>
      <c r="BS176" s="70"/>
      <c r="BT176" s="70"/>
      <c r="BU176" s="70"/>
      <c r="BV176" s="70"/>
      <c r="BW176" s="70"/>
      <c r="BX176" s="70"/>
      <c r="BY176" s="70"/>
      <c r="BZ176" s="70"/>
      <c r="CA176" s="70"/>
      <c r="CB176" s="70"/>
      <c r="CC176" s="70"/>
      <c r="CD176" s="70"/>
      <c r="CE176" s="70"/>
      <c r="CF176" s="70"/>
      <c r="CG176" s="70"/>
      <c r="CH176" s="70"/>
      <c r="CI176" s="70"/>
      <c r="CJ176" s="70"/>
      <c r="CK176" s="70"/>
      <c r="CL176" s="70"/>
      <c r="CM176" s="70"/>
      <c r="CN176" s="70"/>
      <c r="CO176" s="70"/>
      <c r="CP176" s="70"/>
      <c r="CQ176" s="70"/>
      <c r="CR176" s="70"/>
      <c r="CS176" s="70"/>
      <c r="CT176" s="70"/>
      <c r="CU176" s="70"/>
      <c r="CV176" s="70"/>
      <c r="CW176" s="70"/>
      <c r="CX176" s="78"/>
      <c r="CY176" s="78"/>
      <c r="CZ176" s="78"/>
      <c r="DA176" s="79"/>
      <c r="DB176" s="74"/>
    </row>
    <row r="177" spans="2:106" ht="11.25" customHeight="1" x14ac:dyDescent="0.2">
      <c r="B177" s="67"/>
      <c r="C177" s="68"/>
      <c r="D177" s="68" t="s">
        <v>250</v>
      </c>
      <c r="E177" s="68"/>
      <c r="F177" s="68"/>
      <c r="G177" s="68" t="s">
        <v>353</v>
      </c>
      <c r="H177" s="68"/>
      <c r="I177" s="68"/>
      <c r="J177" s="68"/>
      <c r="K177" s="68"/>
      <c r="L177" s="68" t="s">
        <v>279</v>
      </c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  <c r="BK177" s="68"/>
      <c r="BL177" s="68"/>
      <c r="BM177" s="68"/>
      <c r="BN177" s="68"/>
      <c r="BO177" s="68"/>
      <c r="BP177" s="68"/>
      <c r="BQ177" s="68"/>
      <c r="BR177" s="68"/>
      <c r="BS177" s="68"/>
      <c r="BT177" s="68"/>
      <c r="BU177" s="68"/>
      <c r="BV177" s="68"/>
      <c r="BW177" s="68"/>
      <c r="BX177" s="68"/>
      <c r="BY177" s="68"/>
      <c r="BZ177" s="68"/>
      <c r="CA177" s="68"/>
      <c r="CB177" s="68"/>
      <c r="CC177" s="68"/>
      <c r="CD177" s="68"/>
      <c r="CE177" s="68"/>
      <c r="CF177" s="68"/>
      <c r="CG177" s="68"/>
      <c r="CH177" s="68"/>
      <c r="CI177" s="68"/>
      <c r="CJ177" s="68"/>
      <c r="CK177" s="68"/>
      <c r="CL177" s="68"/>
      <c r="CM177" s="68"/>
      <c r="CN177" s="68"/>
      <c r="CO177" s="68"/>
      <c r="CP177" s="68"/>
      <c r="CQ177" s="68"/>
      <c r="CR177" s="68"/>
      <c r="CS177" s="68"/>
      <c r="CT177" s="68"/>
      <c r="CU177" s="68"/>
      <c r="CV177" s="68"/>
      <c r="CW177" s="68"/>
      <c r="CX177" s="75"/>
      <c r="CY177" s="75"/>
      <c r="CZ177" s="75"/>
      <c r="DA177" s="76"/>
      <c r="DB177" s="74"/>
    </row>
    <row r="178" spans="2:106" ht="11.25" customHeight="1" x14ac:dyDescent="0.2">
      <c r="B178" s="6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  <c r="BK178" s="68"/>
      <c r="BL178" s="68"/>
      <c r="BM178" s="68"/>
      <c r="BN178" s="68"/>
      <c r="BO178" s="68"/>
      <c r="BP178" s="68"/>
      <c r="BQ178" s="68"/>
      <c r="BR178" s="68"/>
      <c r="BS178" s="68"/>
      <c r="BT178" s="68"/>
      <c r="BU178" s="68"/>
      <c r="BV178" s="68"/>
      <c r="BW178" s="68"/>
      <c r="BX178" s="68"/>
      <c r="BY178" s="68"/>
      <c r="BZ178" s="68"/>
      <c r="CA178" s="68"/>
      <c r="CB178" s="68"/>
      <c r="CC178" s="68"/>
      <c r="CD178" s="68"/>
      <c r="CE178" s="68"/>
      <c r="CF178" s="68"/>
      <c r="CG178" s="68"/>
      <c r="CH178" s="68"/>
      <c r="CI178" s="68"/>
      <c r="CJ178" s="68"/>
      <c r="CK178" s="68"/>
      <c r="CL178" s="68"/>
      <c r="CM178" s="68"/>
      <c r="CN178" s="68"/>
      <c r="CO178" s="68"/>
      <c r="CP178" s="68"/>
      <c r="CQ178" s="68"/>
      <c r="CR178" s="68"/>
      <c r="CS178" s="68"/>
      <c r="CT178" s="68"/>
      <c r="CU178" s="68"/>
      <c r="CV178" s="68"/>
      <c r="CW178" s="68"/>
      <c r="CX178" s="75"/>
      <c r="CY178" s="75"/>
      <c r="CZ178" s="75"/>
      <c r="DA178" s="76"/>
      <c r="DB178" s="74"/>
    </row>
    <row r="179" spans="2:106" ht="11.25" customHeight="1" x14ac:dyDescent="0.2">
      <c r="B179" s="67"/>
      <c r="C179" s="68"/>
      <c r="D179" s="68"/>
      <c r="E179" s="68"/>
      <c r="F179" s="68"/>
      <c r="G179" s="68"/>
      <c r="H179" s="68" t="s">
        <v>438</v>
      </c>
      <c r="I179" s="68"/>
      <c r="J179" s="68"/>
      <c r="K179" s="68"/>
      <c r="L179" s="68"/>
      <c r="M179" s="68"/>
      <c r="N179" s="68"/>
      <c r="O179" s="68" t="s">
        <v>383</v>
      </c>
      <c r="P179" s="68"/>
      <c r="Q179" s="68" t="str">
        <f>TEXT(CY152,"#,###.##")</f>
        <v>22,269.7</v>
      </c>
      <c r="R179" s="68"/>
      <c r="S179" s="68"/>
      <c r="T179" s="68"/>
      <c r="U179" s="68"/>
      <c r="V179" s="68"/>
      <c r="W179" s="68"/>
      <c r="X179" s="68"/>
      <c r="Y179" s="68"/>
      <c r="Z179" s="68" t="s">
        <v>105</v>
      </c>
      <c r="AA179" s="68"/>
      <c r="AB179" s="68" t="str">
        <f>TEXT(CY156,"#,###.##")</f>
        <v>8,959.</v>
      </c>
      <c r="AC179" s="68"/>
      <c r="AD179" s="68"/>
      <c r="AE179" s="68"/>
      <c r="AF179" s="68"/>
      <c r="AG179" s="68"/>
      <c r="AH179" s="68" t="s">
        <v>105</v>
      </c>
      <c r="AI179" s="68"/>
      <c r="AJ179" s="68" t="str">
        <f>TEXT(CY175,"#,###.##")</f>
        <v>5,878.1</v>
      </c>
      <c r="AK179" s="68"/>
      <c r="AL179" s="68"/>
      <c r="AM179" s="68"/>
      <c r="AN179" s="68"/>
      <c r="AO179" s="68"/>
      <c r="AP179" s="68"/>
      <c r="AQ179" s="68"/>
      <c r="AR179" s="68" t="s">
        <v>214</v>
      </c>
      <c r="AS179" s="68"/>
      <c r="AT179" s="68"/>
      <c r="AU179" s="68" t="str">
        <f>TEXT(TRUNC(CY152+CY156+CY175,0),"#,##0")</f>
        <v>37,106</v>
      </c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  <c r="BK179" s="68"/>
      <c r="BL179" s="68"/>
      <c r="BM179" s="68"/>
      <c r="BN179" s="68"/>
      <c r="BO179" s="68"/>
      <c r="BP179" s="68"/>
      <c r="BQ179" s="68"/>
      <c r="BR179" s="68"/>
      <c r="BS179" s="68"/>
      <c r="BT179" s="68"/>
      <c r="BU179" s="68"/>
      <c r="BV179" s="68"/>
      <c r="BW179" s="68"/>
      <c r="BX179" s="68"/>
      <c r="BY179" s="68"/>
      <c r="BZ179" s="68"/>
      <c r="CA179" s="68"/>
      <c r="CB179" s="68"/>
      <c r="CC179" s="68"/>
      <c r="CD179" s="68"/>
      <c r="CE179" s="68"/>
      <c r="CF179" s="68"/>
      <c r="CG179" s="68"/>
      <c r="CH179" s="68"/>
      <c r="CI179" s="68"/>
      <c r="CJ179" s="68"/>
      <c r="CK179" s="68"/>
      <c r="CL179" s="68"/>
      <c r="CM179" s="68"/>
      <c r="CN179" s="68"/>
      <c r="CO179" s="68"/>
      <c r="CP179" s="68"/>
      <c r="CQ179" s="68"/>
      <c r="CR179" s="68"/>
      <c r="CS179" s="68"/>
      <c r="CT179" s="68"/>
      <c r="CU179" s="68"/>
      <c r="CV179" s="68"/>
      <c r="CW179" s="68"/>
      <c r="CX179" s="75"/>
      <c r="CY179" s="75"/>
      <c r="CZ179" s="75"/>
      <c r="DA179" s="76"/>
      <c r="DB179" s="74"/>
    </row>
    <row r="180" spans="2:106" ht="11.25" customHeight="1" x14ac:dyDescent="0.2">
      <c r="B180" s="67"/>
      <c r="C180" s="68"/>
      <c r="D180" s="68"/>
      <c r="E180" s="68"/>
      <c r="F180" s="68"/>
      <c r="G180" s="68"/>
      <c r="H180" s="68" t="s">
        <v>319</v>
      </c>
      <c r="I180" s="68"/>
      <c r="J180" s="68"/>
      <c r="K180" s="68"/>
      <c r="L180" s="68"/>
      <c r="M180" s="68"/>
      <c r="N180" s="68"/>
      <c r="O180" s="68" t="s">
        <v>383</v>
      </c>
      <c r="P180" s="68"/>
      <c r="Q180" s="68" t="str">
        <f>TEXT(CZ152,"#,###.##")</f>
        <v>3,745.1</v>
      </c>
      <c r="R180" s="68"/>
      <c r="S180" s="68"/>
      <c r="T180" s="68"/>
      <c r="U180" s="68"/>
      <c r="V180" s="68"/>
      <c r="W180" s="68"/>
      <c r="X180" s="68"/>
      <c r="Y180" s="68" t="s">
        <v>105</v>
      </c>
      <c r="Z180" s="68"/>
      <c r="AA180" s="68" t="str">
        <f>TEXT(CZ160,"#,###.##")</f>
        <v>357.</v>
      </c>
      <c r="AB180" s="68"/>
      <c r="AC180" s="68"/>
      <c r="AD180" s="68"/>
      <c r="AE180" s="68" t="s">
        <v>105</v>
      </c>
      <c r="AF180" s="68"/>
      <c r="AG180" s="68" t="str">
        <f>TEXT(CZ175,"#,###.##")</f>
        <v>1,031.</v>
      </c>
      <c r="AH180" s="68"/>
      <c r="AI180" s="68"/>
      <c r="AJ180" s="68"/>
      <c r="AK180" s="68"/>
      <c r="AL180" s="68"/>
      <c r="AM180" s="68" t="s">
        <v>214</v>
      </c>
      <c r="AN180" s="68"/>
      <c r="AO180" s="68"/>
      <c r="AP180" s="68" t="str">
        <f>TEXT(TRUNC(CZ152+CZ160+CZ175,0),"#,##0")</f>
        <v>5,133</v>
      </c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  <c r="BK180" s="68"/>
      <c r="BL180" s="68"/>
      <c r="BM180" s="68"/>
      <c r="BN180" s="68"/>
      <c r="BO180" s="68"/>
      <c r="BP180" s="68"/>
      <c r="BQ180" s="68"/>
      <c r="BR180" s="68"/>
      <c r="BS180" s="68"/>
      <c r="BT180" s="68"/>
      <c r="BU180" s="68"/>
      <c r="BV180" s="68"/>
      <c r="BW180" s="68"/>
      <c r="BX180" s="68"/>
      <c r="BY180" s="68"/>
      <c r="BZ180" s="68"/>
      <c r="CA180" s="68"/>
      <c r="CB180" s="68"/>
      <c r="CC180" s="68"/>
      <c r="CD180" s="68"/>
      <c r="CE180" s="68"/>
      <c r="CF180" s="68"/>
      <c r="CG180" s="68"/>
      <c r="CH180" s="68"/>
      <c r="CI180" s="68"/>
      <c r="CJ180" s="68"/>
      <c r="CK180" s="68"/>
      <c r="CL180" s="68"/>
      <c r="CM180" s="68"/>
      <c r="CN180" s="68"/>
      <c r="CO180" s="68"/>
      <c r="CP180" s="68"/>
      <c r="CQ180" s="68"/>
      <c r="CR180" s="68"/>
      <c r="CS180" s="68"/>
      <c r="CT180" s="68"/>
      <c r="CU180" s="68"/>
      <c r="CV180" s="68"/>
      <c r="CW180" s="68"/>
      <c r="CX180" s="75"/>
      <c r="CY180" s="75"/>
      <c r="CZ180" s="75"/>
      <c r="DA180" s="76"/>
      <c r="DB180" s="74"/>
    </row>
    <row r="181" spans="2:106" ht="11.25" customHeight="1" x14ac:dyDescent="0.2">
      <c r="B181" s="67"/>
      <c r="C181" s="68"/>
      <c r="D181" s="68"/>
      <c r="E181" s="68"/>
      <c r="F181" s="68"/>
      <c r="G181" s="68"/>
      <c r="H181" s="68" t="s">
        <v>116</v>
      </c>
      <c r="I181" s="68"/>
      <c r="J181" s="68"/>
      <c r="K181" s="68"/>
      <c r="L181" s="68" t="s">
        <v>281</v>
      </c>
      <c r="M181" s="68"/>
      <c r="N181" s="68"/>
      <c r="O181" s="68" t="s">
        <v>383</v>
      </c>
      <c r="P181" s="68"/>
      <c r="Q181" s="68" t="str">
        <f>TEXT(DA152,"#,###.##")</f>
        <v>8,568.</v>
      </c>
      <c r="R181" s="68"/>
      <c r="S181" s="68"/>
      <c r="T181" s="68"/>
      <c r="U181" s="68"/>
      <c r="V181" s="68"/>
      <c r="W181" s="68" t="s">
        <v>105</v>
      </c>
      <c r="X181" s="68"/>
      <c r="Y181" s="68" t="str">
        <f>TEXT(DA175,"#,###.##")</f>
        <v>1,879.9</v>
      </c>
      <c r="Z181" s="68"/>
      <c r="AA181" s="68"/>
      <c r="AB181" s="68"/>
      <c r="AC181" s="68"/>
      <c r="AD181" s="68"/>
      <c r="AE181" s="68"/>
      <c r="AF181" s="68"/>
      <c r="AG181" s="68" t="s">
        <v>214</v>
      </c>
      <c r="AH181" s="68"/>
      <c r="AI181" s="68"/>
      <c r="AJ181" s="68" t="str">
        <f>TEXT(TRUNC(DA152+DA175,0),"#,##0")</f>
        <v>10,447</v>
      </c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  <c r="BM181" s="68"/>
      <c r="BN181" s="68"/>
      <c r="BO181" s="68"/>
      <c r="BP181" s="68"/>
      <c r="BQ181" s="68"/>
      <c r="BR181" s="68"/>
      <c r="BS181" s="68"/>
      <c r="BT181" s="68"/>
      <c r="BU181" s="68"/>
      <c r="BV181" s="68"/>
      <c r="BW181" s="68"/>
      <c r="BX181" s="68"/>
      <c r="BY181" s="68"/>
      <c r="BZ181" s="68"/>
      <c r="CA181" s="68"/>
      <c r="CB181" s="68"/>
      <c r="CC181" s="68"/>
      <c r="CD181" s="68"/>
      <c r="CE181" s="68"/>
      <c r="CF181" s="68"/>
      <c r="CG181" s="68"/>
      <c r="CH181" s="68"/>
      <c r="CI181" s="68"/>
      <c r="CJ181" s="68"/>
      <c r="CK181" s="68"/>
      <c r="CL181" s="68"/>
      <c r="CM181" s="68"/>
      <c r="CN181" s="68"/>
      <c r="CO181" s="68"/>
      <c r="CP181" s="68"/>
      <c r="CQ181" s="68"/>
      <c r="CR181" s="68"/>
      <c r="CS181" s="68"/>
      <c r="CT181" s="68"/>
      <c r="CU181" s="68"/>
      <c r="CV181" s="68"/>
      <c r="CW181" s="68"/>
      <c r="CX181" s="75"/>
      <c r="CY181" s="75"/>
      <c r="CZ181" s="75"/>
      <c r="DA181" s="76"/>
      <c r="DB181" s="74"/>
    </row>
    <row r="182" spans="2:106" ht="11.25" customHeight="1" x14ac:dyDescent="0.2">
      <c r="B182" s="67"/>
      <c r="C182" s="68"/>
      <c r="D182" s="68"/>
      <c r="E182" s="68"/>
      <c r="F182" s="68"/>
      <c r="G182" s="68"/>
      <c r="H182" s="68"/>
      <c r="I182" s="68"/>
      <c r="J182" s="68" t="s">
        <v>279</v>
      </c>
      <c r="K182" s="68"/>
      <c r="L182" s="68"/>
      <c r="M182" s="68"/>
      <c r="N182" s="68"/>
      <c r="O182" s="68" t="s">
        <v>383</v>
      </c>
      <c r="P182" s="68"/>
      <c r="Q182" s="68"/>
      <c r="R182" s="68" t="str">
        <f>TEXT(AU179+AP180+AJ181,"#,##0")</f>
        <v>52,686</v>
      </c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  <c r="BP182" s="68"/>
      <c r="BQ182" s="68"/>
      <c r="BR182" s="68"/>
      <c r="BS182" s="68"/>
      <c r="BT182" s="68"/>
      <c r="BU182" s="68"/>
      <c r="BV182" s="68"/>
      <c r="BW182" s="68"/>
      <c r="BX182" s="68"/>
      <c r="BY182" s="68"/>
      <c r="BZ182" s="68"/>
      <c r="CA182" s="68"/>
      <c r="CB182" s="68"/>
      <c r="CC182" s="68"/>
      <c r="CD182" s="68"/>
      <c r="CE182" s="68"/>
      <c r="CF182" s="68"/>
      <c r="CG182" s="68"/>
      <c r="CH182" s="68"/>
      <c r="CI182" s="68"/>
      <c r="CJ182" s="68"/>
      <c r="CK182" s="68"/>
      <c r="CL182" s="68"/>
      <c r="CM182" s="68"/>
      <c r="CN182" s="68"/>
      <c r="CO182" s="68"/>
      <c r="CP182" s="68"/>
      <c r="CQ182" s="68"/>
      <c r="CR182" s="68"/>
      <c r="CS182" s="68"/>
      <c r="CT182" s="68"/>
      <c r="CU182" s="68"/>
      <c r="CV182" s="68"/>
      <c r="CW182" s="68"/>
      <c r="CX182" s="77">
        <f>CY182+CZ182+DA182</f>
        <v>52686</v>
      </c>
      <c r="CY182" s="75" t="str">
        <f>TEXT(AU179,"#,##0")</f>
        <v>37,106</v>
      </c>
      <c r="CZ182" s="75" t="str">
        <f>TEXT(AP180,"#,##0")</f>
        <v>5,133</v>
      </c>
      <c r="DA182" s="76" t="str">
        <f>TEXT(AJ181,"#,##0")</f>
        <v>10,447</v>
      </c>
      <c r="DB182" s="74"/>
    </row>
    <row r="183" spans="2:106" ht="11.25" customHeight="1" x14ac:dyDescent="0.2">
      <c r="B183" s="67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  <c r="BP183" s="68"/>
      <c r="BQ183" s="68"/>
      <c r="BR183" s="68"/>
      <c r="BS183" s="68"/>
      <c r="BT183" s="68"/>
      <c r="BU183" s="68"/>
      <c r="BV183" s="68"/>
      <c r="BW183" s="68"/>
      <c r="BX183" s="68"/>
      <c r="BY183" s="68"/>
      <c r="BZ183" s="68"/>
      <c r="CA183" s="68"/>
      <c r="CB183" s="68"/>
      <c r="CC183" s="68"/>
      <c r="CD183" s="68"/>
      <c r="CE183" s="68"/>
      <c r="CF183" s="68"/>
      <c r="CG183" s="68"/>
      <c r="CH183" s="68"/>
      <c r="CI183" s="68"/>
      <c r="CJ183" s="68"/>
      <c r="CK183" s="68"/>
      <c r="CL183" s="68"/>
      <c r="CM183" s="68"/>
      <c r="CN183" s="68"/>
      <c r="CO183" s="68"/>
      <c r="CP183" s="68"/>
      <c r="CQ183" s="68"/>
      <c r="CR183" s="68"/>
      <c r="CS183" s="68"/>
      <c r="CT183" s="68"/>
      <c r="CU183" s="68"/>
      <c r="CV183" s="68"/>
      <c r="CW183" s="68"/>
      <c r="CX183" s="75"/>
      <c r="CY183" s="75"/>
      <c r="CZ183" s="75"/>
      <c r="DA183" s="76"/>
      <c r="DB183" s="74"/>
    </row>
    <row r="184" spans="2:106" ht="11.25" customHeight="1" x14ac:dyDescent="0.2">
      <c r="B184" s="71" t="s">
        <v>174</v>
      </c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  <c r="BP184" s="68"/>
      <c r="BQ184" s="68"/>
      <c r="BR184" s="68"/>
      <c r="BS184" s="68"/>
      <c r="BT184" s="68"/>
      <c r="BU184" s="68"/>
      <c r="BV184" s="68"/>
      <c r="BW184" s="68"/>
      <c r="BX184" s="68"/>
      <c r="BY184" s="68"/>
      <c r="BZ184" s="68"/>
      <c r="CA184" s="68"/>
      <c r="CB184" s="68"/>
      <c r="CC184" s="68"/>
      <c r="CD184" s="68"/>
      <c r="CE184" s="68"/>
      <c r="CF184" s="68"/>
      <c r="CG184" s="68"/>
      <c r="CH184" s="68"/>
      <c r="CI184" s="68"/>
      <c r="CJ184" s="68"/>
      <c r="CK184" s="68"/>
      <c r="CL184" s="68"/>
      <c r="CM184" s="68"/>
      <c r="CN184" s="68"/>
      <c r="CO184" s="68"/>
      <c r="CP184" s="68"/>
      <c r="CQ184" s="68"/>
      <c r="CR184" s="68"/>
      <c r="CS184" s="68"/>
      <c r="CT184" s="68"/>
      <c r="CU184" s="68"/>
      <c r="CV184" s="68"/>
      <c r="CW184" s="68"/>
      <c r="CX184" s="72">
        <f>CX223</f>
        <v>52686</v>
      </c>
      <c r="CY184" s="72" t="str">
        <f>CY223</f>
        <v>37,106</v>
      </c>
      <c r="CZ184" s="72" t="str">
        <f>CZ223</f>
        <v>5,133</v>
      </c>
      <c r="DA184" s="73" t="str">
        <f>DA223</f>
        <v>10,447</v>
      </c>
      <c r="DB184" s="74"/>
    </row>
    <row r="185" spans="2:106" ht="11.25" customHeight="1" x14ac:dyDescent="0.2">
      <c r="B185" s="67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  <c r="CM185" s="68"/>
      <c r="CN185" s="68"/>
      <c r="CO185" s="68"/>
      <c r="CP185" s="68"/>
      <c r="CQ185" s="68"/>
      <c r="CR185" s="68"/>
      <c r="CS185" s="68"/>
      <c r="CT185" s="68"/>
      <c r="CU185" s="68"/>
      <c r="CV185" s="68"/>
      <c r="CW185" s="68"/>
      <c r="CX185" s="75"/>
      <c r="CY185" s="75"/>
      <c r="CZ185" s="75"/>
      <c r="DA185" s="76"/>
      <c r="DB185" s="74"/>
    </row>
    <row r="186" spans="2:106" ht="11.25" customHeight="1" x14ac:dyDescent="0.2">
      <c r="B186" s="67"/>
      <c r="C186" s="68"/>
      <c r="D186" s="68" t="s">
        <v>257</v>
      </c>
      <c r="E186" s="68"/>
      <c r="F186" s="68"/>
      <c r="G186" s="68" t="s">
        <v>156</v>
      </c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 t="s">
        <v>488</v>
      </c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 t="s">
        <v>277</v>
      </c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  <c r="BK186" s="68"/>
      <c r="BL186" s="68"/>
      <c r="BM186" s="68"/>
      <c r="BN186" s="68"/>
      <c r="BO186" s="68"/>
      <c r="BP186" s="68"/>
      <c r="BQ186" s="68"/>
      <c r="BR186" s="68"/>
      <c r="BS186" s="68"/>
      <c r="BT186" s="68"/>
      <c r="BU186" s="68"/>
      <c r="BV186" s="68"/>
      <c r="BW186" s="68"/>
      <c r="BX186" s="68"/>
      <c r="BY186" s="68"/>
      <c r="BZ186" s="68"/>
      <c r="CA186" s="68"/>
      <c r="CB186" s="68"/>
      <c r="CC186" s="68"/>
      <c r="CD186" s="68"/>
      <c r="CE186" s="68"/>
      <c r="CF186" s="68"/>
      <c r="CG186" s="68"/>
      <c r="CH186" s="68"/>
      <c r="CI186" s="68"/>
      <c r="CJ186" s="68"/>
      <c r="CK186" s="68"/>
      <c r="CL186" s="68"/>
      <c r="CM186" s="68"/>
      <c r="CN186" s="68"/>
      <c r="CO186" s="68"/>
      <c r="CP186" s="68"/>
      <c r="CQ186" s="68"/>
      <c r="CR186" s="68"/>
      <c r="CS186" s="68"/>
      <c r="CT186" s="68"/>
      <c r="CU186" s="68"/>
      <c r="CV186" s="68"/>
      <c r="CW186" s="68"/>
      <c r="CX186" s="75"/>
      <c r="CY186" s="75"/>
      <c r="CZ186" s="75"/>
      <c r="DA186" s="76"/>
      <c r="DB186" s="74"/>
    </row>
    <row r="187" spans="2:106" ht="11.25" customHeight="1" x14ac:dyDescent="0.2">
      <c r="B187" s="67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68"/>
      <c r="CO187" s="68"/>
      <c r="CP187" s="68"/>
      <c r="CQ187" s="68"/>
      <c r="CR187" s="68"/>
      <c r="CS187" s="68"/>
      <c r="CT187" s="68"/>
      <c r="CU187" s="68"/>
      <c r="CV187" s="68"/>
      <c r="CW187" s="68"/>
      <c r="CX187" s="75"/>
      <c r="CY187" s="75"/>
      <c r="CZ187" s="75"/>
      <c r="DA187" s="76"/>
      <c r="DB187" s="74"/>
    </row>
    <row r="188" spans="2:106" ht="11.25" customHeight="1" x14ac:dyDescent="0.2">
      <c r="B188" s="67"/>
      <c r="C188" s="68"/>
      <c r="D188" s="68"/>
      <c r="E188" s="68"/>
      <c r="F188" s="68"/>
      <c r="G188" s="68" t="s">
        <v>26</v>
      </c>
      <c r="H188" s="68"/>
      <c r="I188" s="68" t="s">
        <v>214</v>
      </c>
      <c r="J188" s="68"/>
      <c r="K188" s="68" t="str">
        <f>TEXT(1.75,"#,##0.#######")</f>
        <v>1.75</v>
      </c>
      <c r="L188" s="68"/>
      <c r="M188" s="68"/>
      <c r="N188" s="68"/>
      <c r="O188" s="68"/>
      <c r="P188" s="68" t="s">
        <v>368</v>
      </c>
      <c r="Q188" s="68"/>
      <c r="R188" s="68" t="s">
        <v>90</v>
      </c>
      <c r="S188" s="68" t="s">
        <v>380</v>
      </c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  <c r="BP188" s="68"/>
      <c r="BQ188" s="68"/>
      <c r="BR188" s="68"/>
      <c r="BS188" s="68"/>
      <c r="BT188" s="68"/>
      <c r="BU188" s="68"/>
      <c r="BV188" s="68"/>
      <c r="BW188" s="68"/>
      <c r="BX188" s="68"/>
      <c r="BY188" s="68"/>
      <c r="BZ188" s="68"/>
      <c r="CA188" s="68"/>
      <c r="CB188" s="68"/>
      <c r="CC188" s="68"/>
      <c r="CD188" s="68"/>
      <c r="CE188" s="68"/>
      <c r="CF188" s="68"/>
      <c r="CG188" s="68"/>
      <c r="CH188" s="68"/>
      <c r="CI188" s="68"/>
      <c r="CJ188" s="68"/>
      <c r="CK188" s="68"/>
      <c r="CL188" s="68"/>
      <c r="CM188" s="68"/>
      <c r="CN188" s="68"/>
      <c r="CO188" s="68"/>
      <c r="CP188" s="68"/>
      <c r="CQ188" s="68"/>
      <c r="CR188" s="68"/>
      <c r="CS188" s="68"/>
      <c r="CT188" s="68"/>
      <c r="CU188" s="68"/>
      <c r="CV188" s="68"/>
      <c r="CW188" s="68"/>
      <c r="CX188" s="75"/>
      <c r="CY188" s="75"/>
      <c r="CZ188" s="75"/>
      <c r="DA188" s="76"/>
      <c r="DB188" s="74"/>
    </row>
    <row r="189" spans="2:106" ht="11.25" customHeight="1" x14ac:dyDescent="0.2">
      <c r="B189" s="67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  <c r="BM189" s="68"/>
      <c r="BN189" s="68"/>
      <c r="BO189" s="68"/>
      <c r="BP189" s="68"/>
      <c r="BQ189" s="68"/>
      <c r="BR189" s="68"/>
      <c r="BS189" s="68"/>
      <c r="BT189" s="68"/>
      <c r="BU189" s="68"/>
      <c r="BV189" s="68"/>
      <c r="BW189" s="68"/>
      <c r="BX189" s="68"/>
      <c r="BY189" s="68"/>
      <c r="BZ189" s="68"/>
      <c r="CA189" s="68"/>
      <c r="CB189" s="68"/>
      <c r="CC189" s="68"/>
      <c r="CD189" s="68"/>
      <c r="CE189" s="68"/>
      <c r="CF189" s="68"/>
      <c r="CG189" s="68"/>
      <c r="CH189" s="68"/>
      <c r="CI189" s="68"/>
      <c r="CJ189" s="68"/>
      <c r="CK189" s="68"/>
      <c r="CL189" s="68"/>
      <c r="CM189" s="68"/>
      <c r="CN189" s="68"/>
      <c r="CO189" s="68"/>
      <c r="CP189" s="68"/>
      <c r="CQ189" s="68"/>
      <c r="CR189" s="68"/>
      <c r="CS189" s="68"/>
      <c r="CT189" s="68"/>
      <c r="CU189" s="68"/>
      <c r="CV189" s="68"/>
      <c r="CW189" s="68"/>
      <c r="CX189" s="75"/>
      <c r="CY189" s="75"/>
      <c r="CZ189" s="75"/>
      <c r="DA189" s="76"/>
      <c r="DB189" s="74"/>
    </row>
    <row r="190" spans="2:106" ht="11.25" customHeight="1" x14ac:dyDescent="0.2">
      <c r="B190" s="67"/>
      <c r="C190" s="68"/>
      <c r="D190" s="68"/>
      <c r="E190" s="68"/>
      <c r="F190" s="68"/>
      <c r="G190" s="68" t="s">
        <v>438</v>
      </c>
      <c r="H190" s="68"/>
      <c r="I190" s="68"/>
      <c r="J190" s="68"/>
      <c r="K190" s="68"/>
      <c r="L190" s="68"/>
      <c r="M190" s="68"/>
      <c r="N190" s="68" t="s">
        <v>383</v>
      </c>
      <c r="O190" s="68"/>
      <c r="P190" s="68" t="str">
        <f>TEXT(기계경비총괄표!G9,"#,##0")</f>
        <v>38,972</v>
      </c>
      <c r="Q190" s="68"/>
      <c r="R190" s="68"/>
      <c r="S190" s="68"/>
      <c r="T190" s="68"/>
      <c r="U190" s="68"/>
      <c r="V190" s="68"/>
      <c r="W190" s="68"/>
      <c r="X190" s="68"/>
      <c r="Y190" s="68" t="s">
        <v>253</v>
      </c>
      <c r="Z190" s="68"/>
      <c r="AA190" s="68"/>
      <c r="AB190" s="68" t="str">
        <f>TEXT(K188,"#,##0.#######")</f>
        <v>1.75</v>
      </c>
      <c r="AC190" s="68"/>
      <c r="AD190" s="68"/>
      <c r="AE190" s="68"/>
      <c r="AF190" s="68"/>
      <c r="AG190" s="68"/>
      <c r="AH190" s="68"/>
      <c r="AI190" s="68" t="s">
        <v>214</v>
      </c>
      <c r="AJ190" s="68"/>
      <c r="AK190" s="68" t="str">
        <f>TEXT(TRUNC(P190/K188,1),"#,##0.#")</f>
        <v>22,269.7</v>
      </c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  <c r="BP190" s="68"/>
      <c r="BQ190" s="68"/>
      <c r="BR190" s="68"/>
      <c r="BS190" s="68"/>
      <c r="BT190" s="68"/>
      <c r="BU190" s="68"/>
      <c r="BV190" s="68"/>
      <c r="BW190" s="68"/>
      <c r="BX190" s="68"/>
      <c r="BY190" s="68"/>
      <c r="BZ190" s="68"/>
      <c r="CA190" s="68"/>
      <c r="CB190" s="68"/>
      <c r="CC190" s="68"/>
      <c r="CD190" s="68"/>
      <c r="CE190" s="68"/>
      <c r="CF190" s="68"/>
      <c r="CG190" s="68"/>
      <c r="CH190" s="68"/>
      <c r="CI190" s="68"/>
      <c r="CJ190" s="68"/>
      <c r="CK190" s="68"/>
      <c r="CL190" s="68"/>
      <c r="CM190" s="68"/>
      <c r="CN190" s="68"/>
      <c r="CO190" s="68"/>
      <c r="CP190" s="68"/>
      <c r="CQ190" s="68"/>
      <c r="CR190" s="68"/>
      <c r="CS190" s="68"/>
      <c r="CT190" s="68"/>
      <c r="CU190" s="68"/>
      <c r="CV190" s="68"/>
      <c r="CW190" s="68"/>
      <c r="CX190" s="75"/>
      <c r="CY190" s="75"/>
      <c r="CZ190" s="75"/>
      <c r="DA190" s="76"/>
      <c r="DB190" s="74"/>
    </row>
    <row r="191" spans="2:106" ht="11.25" customHeight="1" x14ac:dyDescent="0.2">
      <c r="B191" s="67"/>
      <c r="C191" s="68"/>
      <c r="D191" s="68"/>
      <c r="E191" s="68"/>
      <c r="F191" s="68"/>
      <c r="G191" s="68" t="s">
        <v>319</v>
      </c>
      <c r="H191" s="68"/>
      <c r="I191" s="68"/>
      <c r="J191" s="68"/>
      <c r="K191" s="68"/>
      <c r="L191" s="68"/>
      <c r="M191" s="68"/>
      <c r="N191" s="68" t="s">
        <v>383</v>
      </c>
      <c r="O191" s="68"/>
      <c r="P191" s="68"/>
      <c r="Q191" s="68" t="str">
        <f>TEXT(기계경비총괄표!H9,"#,##0")</f>
        <v>6,554</v>
      </c>
      <c r="R191" s="68"/>
      <c r="S191" s="68"/>
      <c r="T191" s="68"/>
      <c r="U191" s="68"/>
      <c r="V191" s="68"/>
      <c r="W191" s="68"/>
      <c r="X191" s="68"/>
      <c r="Y191" s="68" t="s">
        <v>253</v>
      </c>
      <c r="Z191" s="68"/>
      <c r="AA191" s="68"/>
      <c r="AB191" s="68" t="str">
        <f>TEXT(K188,"#,##0.#######")</f>
        <v>1.75</v>
      </c>
      <c r="AC191" s="68"/>
      <c r="AD191" s="68"/>
      <c r="AE191" s="68"/>
      <c r="AF191" s="68"/>
      <c r="AG191" s="68"/>
      <c r="AH191" s="68"/>
      <c r="AI191" s="68" t="s">
        <v>214</v>
      </c>
      <c r="AJ191" s="68"/>
      <c r="AK191" s="68"/>
      <c r="AL191" s="68" t="str">
        <f>TEXT(TRUNC(Q191/K188,1),"#,##0.#")</f>
        <v>3,745.1</v>
      </c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  <c r="BP191" s="68"/>
      <c r="BQ191" s="68"/>
      <c r="BR191" s="68"/>
      <c r="BS191" s="68"/>
      <c r="BT191" s="68"/>
      <c r="BU191" s="68"/>
      <c r="BV191" s="68"/>
      <c r="BW191" s="68"/>
      <c r="BX191" s="68"/>
      <c r="BY191" s="68"/>
      <c r="BZ191" s="68"/>
      <c r="CA191" s="68"/>
      <c r="CB191" s="68"/>
      <c r="CC191" s="68"/>
      <c r="CD191" s="68"/>
      <c r="CE191" s="68"/>
      <c r="CF191" s="68"/>
      <c r="CG191" s="68"/>
      <c r="CH191" s="68"/>
      <c r="CI191" s="68"/>
      <c r="CJ191" s="68"/>
      <c r="CK191" s="68"/>
      <c r="CL191" s="68"/>
      <c r="CM191" s="68"/>
      <c r="CN191" s="68"/>
      <c r="CO191" s="68"/>
      <c r="CP191" s="68"/>
      <c r="CQ191" s="68"/>
      <c r="CR191" s="68"/>
      <c r="CS191" s="68"/>
      <c r="CT191" s="68"/>
      <c r="CU191" s="68"/>
      <c r="CV191" s="68"/>
      <c r="CW191" s="68"/>
      <c r="CX191" s="75"/>
      <c r="CY191" s="75"/>
      <c r="CZ191" s="75"/>
      <c r="DA191" s="76"/>
      <c r="DB191" s="74"/>
    </row>
    <row r="192" spans="2:106" ht="11.25" customHeight="1" x14ac:dyDescent="0.2">
      <c r="B192" s="67"/>
      <c r="C192" s="68"/>
      <c r="D192" s="68"/>
      <c r="E192" s="68"/>
      <c r="F192" s="68"/>
      <c r="G192" s="68" t="s">
        <v>116</v>
      </c>
      <c r="H192" s="68"/>
      <c r="I192" s="68"/>
      <c r="J192" s="68"/>
      <c r="K192" s="68" t="s">
        <v>281</v>
      </c>
      <c r="L192" s="68"/>
      <c r="M192" s="68"/>
      <c r="N192" s="68" t="s">
        <v>383</v>
      </c>
      <c r="O192" s="68"/>
      <c r="P192" s="68" t="str">
        <f>TEXT(기계경비총괄표!I9,"#,##0")</f>
        <v>14,994</v>
      </c>
      <c r="Q192" s="68"/>
      <c r="R192" s="68"/>
      <c r="S192" s="68"/>
      <c r="T192" s="68"/>
      <c r="U192" s="68"/>
      <c r="V192" s="68"/>
      <c r="W192" s="68"/>
      <c r="X192" s="68"/>
      <c r="Y192" s="68" t="s">
        <v>253</v>
      </c>
      <c r="Z192" s="68"/>
      <c r="AA192" s="68"/>
      <c r="AB192" s="68" t="str">
        <f>TEXT(K188,"#,##0.#######")</f>
        <v>1.75</v>
      </c>
      <c r="AC192" s="68"/>
      <c r="AD192" s="68"/>
      <c r="AE192" s="68"/>
      <c r="AF192" s="68"/>
      <c r="AG192" s="68"/>
      <c r="AH192" s="68"/>
      <c r="AI192" s="68" t="s">
        <v>214</v>
      </c>
      <c r="AJ192" s="68"/>
      <c r="AK192" s="68"/>
      <c r="AL192" s="68" t="str">
        <f>TEXT(TRUNC(P192/K188,1),"#,##0.#")</f>
        <v>8,568.</v>
      </c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68"/>
      <c r="BT192" s="68"/>
      <c r="BU192" s="68"/>
      <c r="BV192" s="68"/>
      <c r="BW192" s="68"/>
      <c r="BX192" s="68"/>
      <c r="BY192" s="68"/>
      <c r="BZ192" s="68"/>
      <c r="CA192" s="68"/>
      <c r="CB192" s="68"/>
      <c r="CC192" s="68"/>
      <c r="CD192" s="68"/>
      <c r="CE192" s="68"/>
      <c r="CF192" s="68"/>
      <c r="CG192" s="68"/>
      <c r="CH192" s="68"/>
      <c r="CI192" s="68"/>
      <c r="CJ192" s="68"/>
      <c r="CK192" s="68"/>
      <c r="CL192" s="68"/>
      <c r="CM192" s="68"/>
      <c r="CN192" s="68"/>
      <c r="CO192" s="68"/>
      <c r="CP192" s="68"/>
      <c r="CQ192" s="68"/>
      <c r="CR192" s="68"/>
      <c r="CS192" s="68"/>
      <c r="CT192" s="68"/>
      <c r="CU192" s="68"/>
      <c r="CV192" s="68"/>
      <c r="CW192" s="68"/>
      <c r="CX192" s="75"/>
      <c r="CY192" s="75"/>
      <c r="CZ192" s="75"/>
      <c r="DA192" s="76"/>
      <c r="DB192" s="74"/>
    </row>
    <row r="193" spans="2:106" ht="11.25" customHeight="1" x14ac:dyDescent="0.2">
      <c r="B193" s="67"/>
      <c r="C193" s="68"/>
      <c r="D193" s="68"/>
      <c r="E193" s="68"/>
      <c r="F193" s="68"/>
      <c r="G193" s="68" t="s">
        <v>213</v>
      </c>
      <c r="H193" s="68"/>
      <c r="I193" s="68"/>
      <c r="J193" s="68"/>
      <c r="K193" s="68" t="s">
        <v>279</v>
      </c>
      <c r="L193" s="68"/>
      <c r="M193" s="68"/>
      <c r="N193" s="68" t="s">
        <v>383</v>
      </c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 t="str">
        <f>TEXT(AK190+AL191+AL192,"#,##0.#######")</f>
        <v>34,582.8</v>
      </c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  <c r="BM193" s="68"/>
      <c r="BN193" s="68"/>
      <c r="BO193" s="68"/>
      <c r="BP193" s="68"/>
      <c r="BQ193" s="68"/>
      <c r="BR193" s="68"/>
      <c r="BS193" s="68"/>
      <c r="BT193" s="68"/>
      <c r="BU193" s="68"/>
      <c r="BV193" s="68"/>
      <c r="BW193" s="68"/>
      <c r="BX193" s="68"/>
      <c r="BY193" s="68"/>
      <c r="BZ193" s="68"/>
      <c r="CA193" s="68"/>
      <c r="CB193" s="68"/>
      <c r="CC193" s="68"/>
      <c r="CD193" s="68"/>
      <c r="CE193" s="68"/>
      <c r="CF193" s="68"/>
      <c r="CG193" s="68"/>
      <c r="CH193" s="68"/>
      <c r="CI193" s="68"/>
      <c r="CJ193" s="68"/>
      <c r="CK193" s="68"/>
      <c r="CL193" s="68"/>
      <c r="CM193" s="68"/>
      <c r="CN193" s="68"/>
      <c r="CO193" s="68"/>
      <c r="CP193" s="68"/>
      <c r="CQ193" s="68"/>
      <c r="CR193" s="68"/>
      <c r="CS193" s="68"/>
      <c r="CT193" s="68"/>
      <c r="CU193" s="68"/>
      <c r="CV193" s="68"/>
      <c r="CW193" s="68"/>
      <c r="CX193" s="75">
        <f>CY193+CZ193+DA193</f>
        <v>34582.800000000003</v>
      </c>
      <c r="CY193" s="75" t="str">
        <f>TEXT(AK190,"#,###.0")</f>
        <v>22,269.7</v>
      </c>
      <c r="CZ193" s="75" t="str">
        <f>TEXT(AL191,"#,###.0")</f>
        <v>3,745.1</v>
      </c>
      <c r="DA193" s="76" t="str">
        <f>TEXT(AL192,"#,###.0")</f>
        <v>8,568.0</v>
      </c>
      <c r="DB193" s="74"/>
    </row>
    <row r="194" spans="2:106" ht="11.25" customHeight="1" x14ac:dyDescent="0.2">
      <c r="B194" s="67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  <c r="BK194" s="68"/>
      <c r="BL194" s="68"/>
      <c r="BM194" s="68"/>
      <c r="BN194" s="68"/>
      <c r="BO194" s="68"/>
      <c r="BP194" s="68"/>
      <c r="BQ194" s="68"/>
      <c r="BR194" s="68"/>
      <c r="BS194" s="68"/>
      <c r="BT194" s="68"/>
      <c r="BU194" s="68"/>
      <c r="BV194" s="68"/>
      <c r="BW194" s="68"/>
      <c r="BX194" s="68"/>
      <c r="BY194" s="68"/>
      <c r="BZ194" s="68"/>
      <c r="CA194" s="68"/>
      <c r="CB194" s="68"/>
      <c r="CC194" s="68"/>
      <c r="CD194" s="68"/>
      <c r="CE194" s="68"/>
      <c r="CF194" s="68"/>
      <c r="CG194" s="68"/>
      <c r="CH194" s="68"/>
      <c r="CI194" s="68"/>
      <c r="CJ194" s="68"/>
      <c r="CK194" s="68"/>
      <c r="CL194" s="68"/>
      <c r="CM194" s="68"/>
      <c r="CN194" s="68"/>
      <c r="CO194" s="68"/>
      <c r="CP194" s="68"/>
      <c r="CQ194" s="68"/>
      <c r="CR194" s="68"/>
      <c r="CS194" s="68"/>
      <c r="CT194" s="68"/>
      <c r="CU194" s="68"/>
      <c r="CV194" s="68"/>
      <c r="CW194" s="68"/>
      <c r="CX194" s="75"/>
      <c r="CY194" s="75"/>
      <c r="CZ194" s="75"/>
      <c r="DA194" s="76"/>
      <c r="DB194" s="74"/>
    </row>
    <row r="195" spans="2:106" ht="11.25" customHeight="1" x14ac:dyDescent="0.2">
      <c r="B195" s="67"/>
      <c r="C195" s="68"/>
      <c r="D195" s="68" t="s">
        <v>377</v>
      </c>
      <c r="E195" s="68"/>
      <c r="F195" s="68"/>
      <c r="G195" s="68" t="s">
        <v>454</v>
      </c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  <c r="BK195" s="68"/>
      <c r="BL195" s="68"/>
      <c r="BM195" s="68"/>
      <c r="BN195" s="68"/>
      <c r="BO195" s="68"/>
      <c r="BP195" s="68"/>
      <c r="BQ195" s="68"/>
      <c r="BR195" s="68"/>
      <c r="BS195" s="68"/>
      <c r="BT195" s="68"/>
      <c r="BU195" s="68"/>
      <c r="BV195" s="68"/>
      <c r="BW195" s="68"/>
      <c r="BX195" s="68"/>
      <c r="BY195" s="68"/>
      <c r="BZ195" s="68"/>
      <c r="CA195" s="68"/>
      <c r="CB195" s="68"/>
      <c r="CC195" s="68"/>
      <c r="CD195" s="68"/>
      <c r="CE195" s="68"/>
      <c r="CF195" s="68"/>
      <c r="CG195" s="68"/>
      <c r="CH195" s="68"/>
      <c r="CI195" s="68"/>
      <c r="CJ195" s="68"/>
      <c r="CK195" s="68"/>
      <c r="CL195" s="68"/>
      <c r="CM195" s="68"/>
      <c r="CN195" s="68"/>
      <c r="CO195" s="68"/>
      <c r="CP195" s="68"/>
      <c r="CQ195" s="68"/>
      <c r="CR195" s="68"/>
      <c r="CS195" s="68"/>
      <c r="CT195" s="68"/>
      <c r="CU195" s="68"/>
      <c r="CV195" s="68"/>
      <c r="CW195" s="68"/>
      <c r="CX195" s="75"/>
      <c r="CY195" s="75"/>
      <c r="CZ195" s="75"/>
      <c r="DA195" s="76"/>
      <c r="DB195" s="74"/>
    </row>
    <row r="196" spans="2:106" ht="11.25" customHeight="1" x14ac:dyDescent="0.2">
      <c r="B196" s="67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8"/>
      <c r="BM196" s="68"/>
      <c r="BN196" s="68"/>
      <c r="BO196" s="68"/>
      <c r="BP196" s="68"/>
      <c r="BQ196" s="68"/>
      <c r="BR196" s="68"/>
      <c r="BS196" s="68"/>
      <c r="BT196" s="68"/>
      <c r="BU196" s="68"/>
      <c r="BV196" s="68"/>
      <c r="BW196" s="68"/>
      <c r="BX196" s="68"/>
      <c r="BY196" s="68"/>
      <c r="BZ196" s="68"/>
      <c r="CA196" s="68"/>
      <c r="CB196" s="68"/>
      <c r="CC196" s="68"/>
      <c r="CD196" s="68"/>
      <c r="CE196" s="68"/>
      <c r="CF196" s="68"/>
      <c r="CG196" s="68"/>
      <c r="CH196" s="68"/>
      <c r="CI196" s="68"/>
      <c r="CJ196" s="68"/>
      <c r="CK196" s="68"/>
      <c r="CL196" s="68"/>
      <c r="CM196" s="68"/>
      <c r="CN196" s="68"/>
      <c r="CO196" s="68"/>
      <c r="CP196" s="68"/>
      <c r="CQ196" s="68"/>
      <c r="CR196" s="68"/>
      <c r="CS196" s="68"/>
      <c r="CT196" s="68"/>
      <c r="CU196" s="68"/>
      <c r="CV196" s="68"/>
      <c r="CW196" s="68"/>
      <c r="CX196" s="75"/>
      <c r="CY196" s="75"/>
      <c r="CZ196" s="75"/>
      <c r="DA196" s="76"/>
      <c r="DB196" s="74"/>
    </row>
    <row r="197" spans="2:106" ht="11.25" customHeight="1" x14ac:dyDescent="0.2">
      <c r="B197" s="67"/>
      <c r="C197" s="68"/>
      <c r="D197" s="68"/>
      <c r="E197" s="68"/>
      <c r="F197" s="68"/>
      <c r="G197" s="68" t="s">
        <v>28</v>
      </c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 t="s">
        <v>383</v>
      </c>
      <c r="S197" s="68"/>
      <c r="T197" s="68" t="str">
        <f>TEXT(노임단가!L5,"#,##0")</f>
        <v>125,427</v>
      </c>
      <c r="U197" s="68"/>
      <c r="V197" s="68"/>
      <c r="W197" s="68"/>
      <c r="X197" s="68"/>
      <c r="Y197" s="68"/>
      <c r="Z197" s="68"/>
      <c r="AA197" s="68"/>
      <c r="AB197" s="68"/>
      <c r="AC197" s="68"/>
      <c r="AD197" s="68" t="s">
        <v>437</v>
      </c>
      <c r="AE197" s="68"/>
      <c r="AF197" s="68"/>
      <c r="AG197" s="68" t="str">
        <f>TEXT(1,"#,##0.#######")</f>
        <v>1.</v>
      </c>
      <c r="AH197" s="68" t="s">
        <v>469</v>
      </c>
      <c r="AI197" s="68"/>
      <c r="AJ197" s="68"/>
      <c r="AK197" s="68" t="s">
        <v>253</v>
      </c>
      <c r="AL197" s="68"/>
      <c r="AM197" s="68"/>
      <c r="AN197" s="68" t="s">
        <v>275</v>
      </c>
      <c r="AO197" s="68" t="str">
        <f>TEXT(8,"#,##0.#######")</f>
        <v>8.</v>
      </c>
      <c r="AP197" s="68" t="s">
        <v>380</v>
      </c>
      <c r="AQ197" s="68"/>
      <c r="AR197" s="68"/>
      <c r="AS197" s="68" t="s">
        <v>437</v>
      </c>
      <c r="AT197" s="68"/>
      <c r="AU197" s="68"/>
      <c r="AV197" s="68" t="str">
        <f>TEXT(K188,"#,##0.#######")</f>
        <v>1.75</v>
      </c>
      <c r="AW197" s="68"/>
      <c r="AX197" s="68"/>
      <c r="AY197" s="68"/>
      <c r="AZ197" s="68"/>
      <c r="BA197" s="68"/>
      <c r="BB197" s="68" t="s">
        <v>55</v>
      </c>
      <c r="BC197" s="68"/>
      <c r="BD197" s="68" t="s">
        <v>214</v>
      </c>
      <c r="BE197" s="68"/>
      <c r="BF197" s="68" t="str">
        <f>TEXT(TRUNC(T197*AG197/(AO197*K188),1),"#,##0.#")</f>
        <v>8,959.</v>
      </c>
      <c r="BG197" s="68"/>
      <c r="BH197" s="68"/>
      <c r="BI197" s="68"/>
      <c r="BJ197" s="68"/>
      <c r="BK197" s="68"/>
      <c r="BL197" s="68"/>
      <c r="BM197" s="68"/>
      <c r="BN197" s="68"/>
      <c r="BO197" s="68"/>
      <c r="BP197" s="68"/>
      <c r="BQ197" s="68"/>
      <c r="BR197" s="68"/>
      <c r="BS197" s="68"/>
      <c r="BT197" s="68"/>
      <c r="BU197" s="68"/>
      <c r="BV197" s="68"/>
      <c r="BW197" s="68"/>
      <c r="BX197" s="68"/>
      <c r="BY197" s="68"/>
      <c r="BZ197" s="68"/>
      <c r="CA197" s="68"/>
      <c r="CB197" s="68"/>
      <c r="CC197" s="68"/>
      <c r="CD197" s="68"/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75">
        <f>CY197+CZ197+DA197</f>
        <v>8959</v>
      </c>
      <c r="CY197" s="75" t="str">
        <f>BF197</f>
        <v>8,959.</v>
      </c>
      <c r="CZ197" s="75"/>
      <c r="DA197" s="76"/>
      <c r="DB197" s="74"/>
    </row>
    <row r="198" spans="2:106" ht="11.25" customHeight="1" x14ac:dyDescent="0.2">
      <c r="B198" s="67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  <c r="BP198" s="68"/>
      <c r="BQ198" s="68"/>
      <c r="BR198" s="68"/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/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75"/>
      <c r="CY198" s="75"/>
      <c r="CZ198" s="75"/>
      <c r="DA198" s="76"/>
      <c r="DB198" s="74"/>
    </row>
    <row r="199" spans="2:106" ht="11.25" customHeight="1" x14ac:dyDescent="0.2">
      <c r="B199" s="67"/>
      <c r="C199" s="68"/>
      <c r="D199" s="68" t="s">
        <v>506</v>
      </c>
      <c r="E199" s="68"/>
      <c r="F199" s="68"/>
      <c r="G199" s="68" t="s">
        <v>83</v>
      </c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68"/>
      <c r="BP199" s="68"/>
      <c r="BQ199" s="68"/>
      <c r="BR199" s="68"/>
      <c r="BS199" s="68"/>
      <c r="BT199" s="68"/>
      <c r="BU199" s="68"/>
      <c r="BV199" s="68"/>
      <c r="BW199" s="68"/>
      <c r="BX199" s="68"/>
      <c r="BY199" s="68"/>
      <c r="BZ199" s="68"/>
      <c r="CA199" s="68"/>
      <c r="CB199" s="68"/>
      <c r="CC199" s="68"/>
      <c r="CD199" s="68"/>
      <c r="CE199" s="68"/>
      <c r="CF199" s="68"/>
      <c r="CG199" s="68"/>
      <c r="CH199" s="68"/>
      <c r="CI199" s="68"/>
      <c r="CJ199" s="68"/>
      <c r="CK199" s="68"/>
      <c r="CL199" s="68"/>
      <c r="CM199" s="68"/>
      <c r="CN199" s="68"/>
      <c r="CO199" s="68"/>
      <c r="CP199" s="68"/>
      <c r="CQ199" s="68"/>
      <c r="CR199" s="68"/>
      <c r="CS199" s="68"/>
      <c r="CT199" s="68"/>
      <c r="CU199" s="68"/>
      <c r="CV199" s="68"/>
      <c r="CW199" s="68"/>
      <c r="CX199" s="75"/>
      <c r="CY199" s="75"/>
      <c r="CZ199" s="75"/>
      <c r="DA199" s="76"/>
      <c r="DB199" s="74"/>
    </row>
    <row r="200" spans="2:106" ht="11.25" customHeight="1" x14ac:dyDescent="0.2">
      <c r="B200" s="67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  <c r="BK200" s="68"/>
      <c r="BL200" s="68"/>
      <c r="BM200" s="68"/>
      <c r="BN200" s="68"/>
      <c r="BO200" s="68"/>
      <c r="BP200" s="68"/>
      <c r="BQ200" s="68"/>
      <c r="BR200" s="68"/>
      <c r="BS200" s="68"/>
      <c r="BT200" s="68"/>
      <c r="BU200" s="68"/>
      <c r="BV200" s="68"/>
      <c r="BW200" s="68"/>
      <c r="BX200" s="68"/>
      <c r="BY200" s="68"/>
      <c r="BZ200" s="68"/>
      <c r="CA200" s="68"/>
      <c r="CB200" s="68"/>
      <c r="CC200" s="68"/>
      <c r="CD200" s="68"/>
      <c r="CE200" s="68"/>
      <c r="CF200" s="68"/>
      <c r="CG200" s="68"/>
      <c r="CH200" s="68"/>
      <c r="CI200" s="68"/>
      <c r="CJ200" s="68"/>
      <c r="CK200" s="68"/>
      <c r="CL200" s="68"/>
      <c r="CM200" s="68"/>
      <c r="CN200" s="68"/>
      <c r="CO200" s="68"/>
      <c r="CP200" s="68"/>
      <c r="CQ200" s="68"/>
      <c r="CR200" s="68"/>
      <c r="CS200" s="68"/>
      <c r="CT200" s="68"/>
      <c r="CU200" s="68"/>
      <c r="CV200" s="68"/>
      <c r="CW200" s="68"/>
      <c r="CX200" s="75"/>
      <c r="CY200" s="75"/>
      <c r="CZ200" s="75"/>
      <c r="DA200" s="76"/>
      <c r="DB200" s="74"/>
    </row>
    <row r="201" spans="2:106" ht="11.25" customHeight="1" x14ac:dyDescent="0.2">
      <c r="B201" s="67"/>
      <c r="C201" s="68"/>
      <c r="D201" s="68"/>
      <c r="E201" s="68"/>
      <c r="F201" s="68"/>
      <c r="G201" s="68" t="s">
        <v>2</v>
      </c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 t="str">
        <f>TEXT(자재단가!R10,"#,##0.#######")</f>
        <v>78,100.</v>
      </c>
      <c r="V201" s="68"/>
      <c r="W201" s="68"/>
      <c r="X201" s="68"/>
      <c r="Y201" s="68"/>
      <c r="Z201" s="68"/>
      <c r="AA201" s="68"/>
      <c r="AB201" s="68"/>
      <c r="AC201" s="68"/>
      <c r="AD201" s="68" t="s">
        <v>437</v>
      </c>
      <c r="AE201" s="68"/>
      <c r="AF201" s="68"/>
      <c r="AG201" s="68" t="str">
        <f>TEXT(0.008,"#,##0.#######")</f>
        <v>0.008</v>
      </c>
      <c r="AH201" s="68"/>
      <c r="AI201" s="68"/>
      <c r="AJ201" s="68"/>
      <c r="AK201" s="68"/>
      <c r="AL201" s="68" t="s">
        <v>30</v>
      </c>
      <c r="AM201" s="68"/>
      <c r="AN201" s="68"/>
      <c r="AO201" s="68" t="s">
        <v>253</v>
      </c>
      <c r="AP201" s="68"/>
      <c r="AQ201" s="68"/>
      <c r="AR201" s="68" t="str">
        <f>TEXT(K188,"#,##0.#######")</f>
        <v>1.75</v>
      </c>
      <c r="AS201" s="68"/>
      <c r="AT201" s="68"/>
      <c r="AU201" s="68"/>
      <c r="AV201" s="68"/>
      <c r="AW201" s="68"/>
      <c r="AX201" s="68"/>
      <c r="AY201" s="68" t="s">
        <v>214</v>
      </c>
      <c r="AZ201" s="68"/>
      <c r="BA201" s="68" t="str">
        <f>TEXT(TRUNC(U201*AG201/K188,1),"#,##0.#")</f>
        <v>357.</v>
      </c>
      <c r="BB201" s="68"/>
      <c r="BC201" s="68"/>
      <c r="BD201" s="68"/>
      <c r="BE201" s="68"/>
      <c r="BF201" s="68"/>
      <c r="BG201" s="68"/>
      <c r="BH201" s="68"/>
      <c r="BI201" s="68"/>
      <c r="BJ201" s="68"/>
      <c r="BK201" s="68"/>
      <c r="BL201" s="68"/>
      <c r="BM201" s="68"/>
      <c r="BN201" s="68"/>
      <c r="BO201" s="68"/>
      <c r="BP201" s="68"/>
      <c r="BQ201" s="68"/>
      <c r="BR201" s="68"/>
      <c r="BS201" s="68"/>
      <c r="BT201" s="68"/>
      <c r="BU201" s="68"/>
      <c r="BV201" s="68"/>
      <c r="BW201" s="68"/>
      <c r="BX201" s="68"/>
      <c r="BY201" s="68"/>
      <c r="BZ201" s="68"/>
      <c r="CA201" s="68"/>
      <c r="CB201" s="68"/>
      <c r="CC201" s="68"/>
      <c r="CD201" s="68"/>
      <c r="CE201" s="68"/>
      <c r="CF201" s="68"/>
      <c r="CG201" s="68"/>
      <c r="CH201" s="68"/>
      <c r="CI201" s="68"/>
      <c r="CJ201" s="68"/>
      <c r="CK201" s="68"/>
      <c r="CL201" s="68"/>
      <c r="CM201" s="68"/>
      <c r="CN201" s="68"/>
      <c r="CO201" s="68"/>
      <c r="CP201" s="68"/>
      <c r="CQ201" s="68"/>
      <c r="CR201" s="68"/>
      <c r="CS201" s="68"/>
      <c r="CT201" s="68"/>
      <c r="CU201" s="68"/>
      <c r="CV201" s="68"/>
      <c r="CW201" s="68"/>
      <c r="CX201" s="75">
        <f>CY201+CZ201+DA201</f>
        <v>357</v>
      </c>
      <c r="CY201" s="75"/>
      <c r="CZ201" s="75" t="str">
        <f>BA201</f>
        <v>357.</v>
      </c>
      <c r="DA201" s="76"/>
      <c r="DB201" s="74"/>
    </row>
    <row r="202" spans="2:106" ht="11.25" customHeight="1" x14ac:dyDescent="0.2">
      <c r="B202" s="67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8"/>
      <c r="BL202" s="68"/>
      <c r="BM202" s="68"/>
      <c r="BN202" s="68"/>
      <c r="BO202" s="68"/>
      <c r="BP202" s="68"/>
      <c r="BQ202" s="68"/>
      <c r="BR202" s="68"/>
      <c r="BS202" s="68"/>
      <c r="BT202" s="68"/>
      <c r="BU202" s="68"/>
      <c r="BV202" s="68"/>
      <c r="BW202" s="68"/>
      <c r="BX202" s="68"/>
      <c r="BY202" s="68"/>
      <c r="BZ202" s="68"/>
      <c r="CA202" s="68"/>
      <c r="CB202" s="68"/>
      <c r="CC202" s="68"/>
      <c r="CD202" s="68"/>
      <c r="CE202" s="68"/>
      <c r="CF202" s="68"/>
      <c r="CG202" s="68"/>
      <c r="CH202" s="68"/>
      <c r="CI202" s="68"/>
      <c r="CJ202" s="68"/>
      <c r="CK202" s="68"/>
      <c r="CL202" s="68"/>
      <c r="CM202" s="68"/>
      <c r="CN202" s="68"/>
      <c r="CO202" s="68"/>
      <c r="CP202" s="68"/>
      <c r="CQ202" s="68"/>
      <c r="CR202" s="68"/>
      <c r="CS202" s="68"/>
      <c r="CT202" s="68"/>
      <c r="CU202" s="68"/>
      <c r="CV202" s="68"/>
      <c r="CW202" s="68"/>
      <c r="CX202" s="75"/>
      <c r="CY202" s="75"/>
      <c r="CZ202" s="75"/>
      <c r="DA202" s="76"/>
      <c r="DB202" s="74"/>
    </row>
    <row r="203" spans="2:106" ht="11.25" customHeight="1" x14ac:dyDescent="0.2">
      <c r="B203" s="67"/>
      <c r="C203" s="68"/>
      <c r="D203" s="68" t="s">
        <v>118</v>
      </c>
      <c r="E203" s="68"/>
      <c r="F203" s="68"/>
      <c r="G203" s="68" t="s">
        <v>362</v>
      </c>
      <c r="H203" s="68"/>
      <c r="I203" s="68"/>
      <c r="J203" s="68"/>
      <c r="K203" s="68"/>
      <c r="L203" s="68"/>
      <c r="M203" s="68"/>
      <c r="N203" s="68"/>
      <c r="O203" s="68"/>
      <c r="P203" s="68" t="s">
        <v>383</v>
      </c>
      <c r="Q203" s="68"/>
      <c r="R203" s="68" t="s">
        <v>163</v>
      </c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 t="s">
        <v>251</v>
      </c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  <c r="BM203" s="68"/>
      <c r="BN203" s="68"/>
      <c r="BO203" s="68"/>
      <c r="BP203" s="68"/>
      <c r="BQ203" s="68"/>
      <c r="BR203" s="68"/>
      <c r="BS203" s="68"/>
      <c r="BT203" s="68"/>
      <c r="BU203" s="68"/>
      <c r="BV203" s="68"/>
      <c r="BW203" s="68"/>
      <c r="BX203" s="68"/>
      <c r="BY203" s="68"/>
      <c r="BZ203" s="68"/>
      <c r="CA203" s="68"/>
      <c r="CB203" s="68"/>
      <c r="CC203" s="68"/>
      <c r="CD203" s="68"/>
      <c r="CE203" s="68"/>
      <c r="CF203" s="68"/>
      <c r="CG203" s="68"/>
      <c r="CH203" s="68"/>
      <c r="CI203" s="68"/>
      <c r="CJ203" s="68"/>
      <c r="CK203" s="68"/>
      <c r="CL203" s="68"/>
      <c r="CM203" s="68"/>
      <c r="CN203" s="68"/>
      <c r="CO203" s="68"/>
      <c r="CP203" s="68"/>
      <c r="CQ203" s="68"/>
      <c r="CR203" s="68"/>
      <c r="CS203" s="68"/>
      <c r="CT203" s="68"/>
      <c r="CU203" s="68"/>
      <c r="CV203" s="68"/>
      <c r="CW203" s="68"/>
      <c r="CX203" s="75"/>
      <c r="CY203" s="75"/>
      <c r="CZ203" s="75"/>
      <c r="DA203" s="76"/>
      <c r="DB203" s="74"/>
    </row>
    <row r="204" spans="2:106" ht="11.25" customHeight="1" x14ac:dyDescent="0.2">
      <c r="B204" s="67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  <c r="BM204" s="68"/>
      <c r="BN204" s="68"/>
      <c r="BO204" s="68"/>
      <c r="BP204" s="68"/>
      <c r="BQ204" s="68"/>
      <c r="BR204" s="68"/>
      <c r="BS204" s="68"/>
      <c r="BT204" s="68"/>
      <c r="BU204" s="68"/>
      <c r="BV204" s="68"/>
      <c r="BW204" s="68"/>
      <c r="BX204" s="68"/>
      <c r="BY204" s="68"/>
      <c r="BZ204" s="68"/>
      <c r="CA204" s="68"/>
      <c r="CB204" s="68"/>
      <c r="CC204" s="68"/>
      <c r="CD204" s="68"/>
      <c r="CE204" s="68"/>
      <c r="CF204" s="68"/>
      <c r="CG204" s="68"/>
      <c r="CH204" s="68"/>
      <c r="CI204" s="68"/>
      <c r="CJ204" s="68"/>
      <c r="CK204" s="68"/>
      <c r="CL204" s="68"/>
      <c r="CM204" s="68"/>
      <c r="CN204" s="68"/>
      <c r="CO204" s="68"/>
      <c r="CP204" s="68"/>
      <c r="CQ204" s="68"/>
      <c r="CR204" s="68"/>
      <c r="CS204" s="68"/>
      <c r="CT204" s="68"/>
      <c r="CU204" s="68"/>
      <c r="CV204" s="68"/>
      <c r="CW204" s="68"/>
      <c r="CX204" s="75"/>
      <c r="CY204" s="75"/>
      <c r="CZ204" s="75"/>
      <c r="DA204" s="76"/>
      <c r="DB204" s="74"/>
    </row>
    <row r="205" spans="2:106" ht="11.25" customHeight="1" x14ac:dyDescent="0.2">
      <c r="B205" s="67"/>
      <c r="C205" s="68"/>
      <c r="D205" s="68"/>
      <c r="E205" s="68"/>
      <c r="F205" s="68"/>
      <c r="G205" s="68" t="s">
        <v>436</v>
      </c>
      <c r="H205" s="68"/>
      <c r="I205" s="68" t="s">
        <v>214</v>
      </c>
      <c r="J205" s="68"/>
      <c r="K205" s="68" t="str">
        <f>TEXT(0.2,"#,##0.#######")</f>
        <v>0.2</v>
      </c>
      <c r="L205" s="68"/>
      <c r="M205" s="68"/>
      <c r="N205" s="68"/>
      <c r="O205" s="68"/>
      <c r="P205" s="68"/>
      <c r="Q205" s="68"/>
      <c r="R205" s="68"/>
      <c r="S205" s="68"/>
      <c r="T205" s="68" t="s">
        <v>60</v>
      </c>
      <c r="U205" s="68"/>
      <c r="V205" s="68" t="s">
        <v>214</v>
      </c>
      <c r="W205" s="68"/>
      <c r="X205" s="68" t="str">
        <f>TEXT(1,"#,##0.#######")</f>
        <v>1.</v>
      </c>
      <c r="Y205" s="68"/>
      <c r="Z205" s="68" t="s">
        <v>90</v>
      </c>
      <c r="AA205" s="68"/>
      <c r="AB205" s="68" t="str">
        <f>TEXT(1.5,"#,##0.#######")</f>
        <v>1.5</v>
      </c>
      <c r="AC205" s="68"/>
      <c r="AD205" s="68"/>
      <c r="AE205" s="68"/>
      <c r="AF205" s="68" t="s">
        <v>214</v>
      </c>
      <c r="AG205" s="68"/>
      <c r="AH205" s="68" t="str">
        <f>TEXT(ROUND(X205/AB205,2),"#,##0.#######")</f>
        <v>0.67</v>
      </c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 t="s">
        <v>224</v>
      </c>
      <c r="AT205" s="68"/>
      <c r="AU205" s="68" t="s">
        <v>214</v>
      </c>
      <c r="AV205" s="68"/>
      <c r="AW205" s="68" t="str">
        <f>TEXT(0.55,"#,##0.#######")</f>
        <v>0.55</v>
      </c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  <c r="BP205" s="68"/>
      <c r="BQ205" s="68"/>
      <c r="BR205" s="68"/>
      <c r="BS205" s="68"/>
      <c r="BT205" s="68"/>
      <c r="BU205" s="68"/>
      <c r="BV205" s="68"/>
      <c r="BW205" s="68"/>
      <c r="BX205" s="68"/>
      <c r="BY205" s="68"/>
      <c r="BZ205" s="68"/>
      <c r="CA205" s="68"/>
      <c r="CB205" s="68"/>
      <c r="CC205" s="68"/>
      <c r="CD205" s="68"/>
      <c r="CE205" s="68"/>
      <c r="CF205" s="68"/>
      <c r="CG205" s="68"/>
      <c r="CH205" s="68"/>
      <c r="CI205" s="68"/>
      <c r="CJ205" s="68"/>
      <c r="CK205" s="68"/>
      <c r="CL205" s="68"/>
      <c r="CM205" s="68"/>
      <c r="CN205" s="68"/>
      <c r="CO205" s="68"/>
      <c r="CP205" s="68"/>
      <c r="CQ205" s="68"/>
      <c r="CR205" s="68"/>
      <c r="CS205" s="68"/>
      <c r="CT205" s="68"/>
      <c r="CU205" s="68"/>
      <c r="CV205" s="68"/>
      <c r="CW205" s="68"/>
      <c r="CX205" s="75"/>
      <c r="CY205" s="75"/>
      <c r="CZ205" s="75"/>
      <c r="DA205" s="76"/>
      <c r="DB205" s="74"/>
    </row>
    <row r="206" spans="2:106" ht="11.25" customHeight="1" x14ac:dyDescent="0.2">
      <c r="B206" s="67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  <c r="BK206" s="68"/>
      <c r="BL206" s="68"/>
      <c r="BM206" s="68"/>
      <c r="BN206" s="68"/>
      <c r="BO206" s="68"/>
      <c r="BP206" s="68"/>
      <c r="BQ206" s="68"/>
      <c r="BR206" s="68"/>
      <c r="BS206" s="68"/>
      <c r="BT206" s="68"/>
      <c r="BU206" s="68"/>
      <c r="BV206" s="68"/>
      <c r="BW206" s="68"/>
      <c r="BX206" s="68"/>
      <c r="BY206" s="68"/>
      <c r="BZ206" s="68"/>
      <c r="CA206" s="68"/>
      <c r="CB206" s="68"/>
      <c r="CC206" s="68"/>
      <c r="CD206" s="68"/>
      <c r="CE206" s="68"/>
      <c r="CF206" s="68"/>
      <c r="CG206" s="68"/>
      <c r="CH206" s="68"/>
      <c r="CI206" s="68"/>
      <c r="CJ206" s="68"/>
      <c r="CK206" s="68"/>
      <c r="CL206" s="68"/>
      <c r="CM206" s="68"/>
      <c r="CN206" s="68"/>
      <c r="CO206" s="68"/>
      <c r="CP206" s="68"/>
      <c r="CQ206" s="68"/>
      <c r="CR206" s="68"/>
      <c r="CS206" s="68"/>
      <c r="CT206" s="68"/>
      <c r="CU206" s="68"/>
      <c r="CV206" s="68"/>
      <c r="CW206" s="68"/>
      <c r="CX206" s="75"/>
      <c r="CY206" s="75"/>
      <c r="CZ206" s="75"/>
      <c r="DA206" s="76"/>
      <c r="DB206" s="74"/>
    </row>
    <row r="207" spans="2:106" ht="11.25" customHeight="1" x14ac:dyDescent="0.2">
      <c r="B207" s="67"/>
      <c r="C207" s="68"/>
      <c r="D207" s="68"/>
      <c r="E207" s="68"/>
      <c r="F207" s="68"/>
      <c r="G207" s="68" t="s">
        <v>232</v>
      </c>
      <c r="H207" s="68"/>
      <c r="I207" s="68" t="s">
        <v>214</v>
      </c>
      <c r="J207" s="68"/>
      <c r="K207" s="68" t="str">
        <f>TEXT(0.45,"#,##0.#######")</f>
        <v>0.45</v>
      </c>
      <c r="L207" s="68"/>
      <c r="M207" s="68"/>
      <c r="N207" s="68"/>
      <c r="O207" s="68"/>
      <c r="P207" s="68"/>
      <c r="Q207" s="68"/>
      <c r="R207" s="68"/>
      <c r="S207" s="68"/>
      <c r="T207" s="68" t="s">
        <v>67</v>
      </c>
      <c r="U207" s="68"/>
      <c r="V207" s="68"/>
      <c r="W207" s="68" t="s">
        <v>214</v>
      </c>
      <c r="X207" s="68"/>
      <c r="Y207" s="68" t="str">
        <f>TEXT(18,"#,##0.#######")</f>
        <v>18.</v>
      </c>
      <c r="Z207" s="68"/>
      <c r="AA207" s="68" t="s">
        <v>452</v>
      </c>
      <c r="AB207" s="68"/>
      <c r="AC207" s="68"/>
      <c r="AD207" s="68"/>
      <c r="AE207" s="68" t="s">
        <v>275</v>
      </c>
      <c r="AF207" s="68" t="s">
        <v>195</v>
      </c>
      <c r="AG207" s="68"/>
      <c r="AH207" s="68"/>
      <c r="AI207" s="68" t="s">
        <v>365</v>
      </c>
      <c r="AJ207" s="68"/>
      <c r="AK207" s="68" t="s">
        <v>55</v>
      </c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  <c r="BK207" s="68"/>
      <c r="BL207" s="68"/>
      <c r="BM207" s="68"/>
      <c r="BN207" s="68"/>
      <c r="BO207" s="68"/>
      <c r="BP207" s="68"/>
      <c r="BQ207" s="68"/>
      <c r="BR207" s="68"/>
      <c r="BS207" s="68"/>
      <c r="BT207" s="68"/>
      <c r="BU207" s="68"/>
      <c r="BV207" s="68"/>
      <c r="BW207" s="68"/>
      <c r="BX207" s="68"/>
      <c r="BY207" s="68"/>
      <c r="BZ207" s="68"/>
      <c r="CA207" s="68"/>
      <c r="CB207" s="68"/>
      <c r="CC207" s="68"/>
      <c r="CD207" s="68"/>
      <c r="CE207" s="68"/>
      <c r="CF207" s="68"/>
      <c r="CG207" s="68"/>
      <c r="CH207" s="68"/>
      <c r="CI207" s="68"/>
      <c r="CJ207" s="68"/>
      <c r="CK207" s="68"/>
      <c r="CL207" s="68"/>
      <c r="CM207" s="68"/>
      <c r="CN207" s="68"/>
      <c r="CO207" s="68"/>
      <c r="CP207" s="68"/>
      <c r="CQ207" s="68"/>
      <c r="CR207" s="68"/>
      <c r="CS207" s="68"/>
      <c r="CT207" s="68"/>
      <c r="CU207" s="68"/>
      <c r="CV207" s="68"/>
      <c r="CW207" s="68"/>
      <c r="CX207" s="75"/>
      <c r="CY207" s="75"/>
      <c r="CZ207" s="75"/>
      <c r="DA207" s="76"/>
      <c r="DB207" s="74"/>
    </row>
    <row r="208" spans="2:106" ht="11.25" customHeight="1" x14ac:dyDescent="0.2">
      <c r="B208" s="67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  <c r="BK208" s="68"/>
      <c r="BL208" s="68"/>
      <c r="BM208" s="68"/>
      <c r="BN208" s="68"/>
      <c r="BO208" s="68"/>
      <c r="BP208" s="68"/>
      <c r="BQ208" s="68"/>
      <c r="BR208" s="68"/>
      <c r="BS208" s="68"/>
      <c r="BT208" s="68"/>
      <c r="BU208" s="68"/>
      <c r="BV208" s="68"/>
      <c r="BW208" s="68"/>
      <c r="BX208" s="68"/>
      <c r="BY208" s="68"/>
      <c r="BZ208" s="68"/>
      <c r="CA208" s="68"/>
      <c r="CB208" s="68"/>
      <c r="CC208" s="68"/>
      <c r="CD208" s="68"/>
      <c r="CE208" s="68"/>
      <c r="CF208" s="68"/>
      <c r="CG208" s="68"/>
      <c r="CH208" s="68"/>
      <c r="CI208" s="68"/>
      <c r="CJ208" s="68"/>
      <c r="CK208" s="68"/>
      <c r="CL208" s="68"/>
      <c r="CM208" s="68"/>
      <c r="CN208" s="68"/>
      <c r="CO208" s="68"/>
      <c r="CP208" s="68"/>
      <c r="CQ208" s="68"/>
      <c r="CR208" s="68"/>
      <c r="CS208" s="68"/>
      <c r="CT208" s="68"/>
      <c r="CU208" s="68"/>
      <c r="CV208" s="68"/>
      <c r="CW208" s="68"/>
      <c r="CX208" s="75"/>
      <c r="CY208" s="75"/>
      <c r="CZ208" s="75"/>
      <c r="DA208" s="76"/>
      <c r="DB208" s="74"/>
    </row>
    <row r="209" spans="2:106" ht="11.25" customHeight="1" x14ac:dyDescent="0.2">
      <c r="B209" s="67"/>
      <c r="C209" s="68"/>
      <c r="D209" s="68"/>
      <c r="E209" s="68"/>
      <c r="F209" s="68"/>
      <c r="G209" s="68"/>
      <c r="H209" s="68"/>
      <c r="I209" s="68"/>
      <c r="J209" s="68"/>
      <c r="K209" s="68"/>
      <c r="L209" s="68" t="str">
        <f>TEXT(3600,"#,##0.#######")</f>
        <v>3,600.</v>
      </c>
      <c r="M209" s="68"/>
      <c r="N209" s="68"/>
      <c r="O209" s="68"/>
      <c r="P209" s="68"/>
      <c r="Q209" s="68" t="s">
        <v>437</v>
      </c>
      <c r="R209" s="68"/>
      <c r="S209" s="68" t="s">
        <v>436</v>
      </c>
      <c r="T209" s="68" t="s">
        <v>437</v>
      </c>
      <c r="U209" s="68"/>
      <c r="V209" s="68" t="s">
        <v>224</v>
      </c>
      <c r="W209" s="68" t="s">
        <v>437</v>
      </c>
      <c r="X209" s="68"/>
      <c r="Y209" s="68" t="s">
        <v>60</v>
      </c>
      <c r="Z209" s="68" t="s">
        <v>437</v>
      </c>
      <c r="AA209" s="68"/>
      <c r="AB209" s="68" t="s">
        <v>232</v>
      </c>
      <c r="AC209" s="68"/>
      <c r="AD209" s="68"/>
      <c r="AE209" s="68"/>
      <c r="AF209" s="68"/>
      <c r="AG209" s="68"/>
      <c r="AH209" s="68"/>
      <c r="AI209" s="68" t="str">
        <f>TEXT(L209,"#,##0.#######")</f>
        <v>3,600.</v>
      </c>
      <c r="AJ209" s="68"/>
      <c r="AK209" s="68"/>
      <c r="AL209" s="68"/>
      <c r="AM209" s="68"/>
      <c r="AN209" s="68" t="s">
        <v>437</v>
      </c>
      <c r="AO209" s="68"/>
      <c r="AP209" s="68" t="str">
        <f>TEXT(K205,"#,##0.#######")</f>
        <v>0.2</v>
      </c>
      <c r="AQ209" s="68"/>
      <c r="AR209" s="68"/>
      <c r="AS209" s="68" t="s">
        <v>437</v>
      </c>
      <c r="AT209" s="68"/>
      <c r="AU209" s="68" t="str">
        <f>TEXT(AW205,"#,##0.#######")</f>
        <v>0.55</v>
      </c>
      <c r="AV209" s="68"/>
      <c r="AW209" s="68"/>
      <c r="AX209" s="68"/>
      <c r="AY209" s="68" t="s">
        <v>437</v>
      </c>
      <c r="AZ209" s="68"/>
      <c r="BA209" s="68" t="str">
        <f>TEXT(AH205,"#,##0.#######")</f>
        <v>0.67</v>
      </c>
      <c r="BB209" s="68"/>
      <c r="BC209" s="68"/>
      <c r="BD209" s="68"/>
      <c r="BE209" s="68" t="s">
        <v>437</v>
      </c>
      <c r="BF209" s="68"/>
      <c r="BG209" s="68" t="str">
        <f>TEXT(K207,"#,##0.#######")</f>
        <v>0.45</v>
      </c>
      <c r="BH209" s="68"/>
      <c r="BI209" s="68"/>
      <c r="BJ209" s="68"/>
      <c r="BK209" s="68"/>
      <c r="BL209" s="68"/>
      <c r="BM209" s="68"/>
      <c r="BN209" s="68"/>
      <c r="BO209" s="68"/>
      <c r="BP209" s="68"/>
      <c r="BQ209" s="68"/>
      <c r="BR209" s="68"/>
      <c r="BS209" s="68"/>
      <c r="BT209" s="68"/>
      <c r="BU209" s="68"/>
      <c r="BV209" s="68"/>
      <c r="BW209" s="68"/>
      <c r="BX209" s="68"/>
      <c r="BY209" s="68"/>
      <c r="BZ209" s="68"/>
      <c r="CA209" s="68"/>
      <c r="CB209" s="68"/>
      <c r="CC209" s="68"/>
      <c r="CD209" s="68"/>
      <c r="CE209" s="68"/>
      <c r="CF209" s="68"/>
      <c r="CG209" s="68"/>
      <c r="CH209" s="68"/>
      <c r="CI209" s="68"/>
      <c r="CJ209" s="68"/>
      <c r="CK209" s="68"/>
      <c r="CL209" s="68"/>
      <c r="CM209" s="68"/>
      <c r="CN209" s="68"/>
      <c r="CO209" s="68"/>
      <c r="CP209" s="68"/>
      <c r="CQ209" s="68"/>
      <c r="CR209" s="68"/>
      <c r="CS209" s="68"/>
      <c r="CT209" s="68"/>
      <c r="CU209" s="68"/>
      <c r="CV209" s="68"/>
      <c r="CW209" s="68"/>
      <c r="CX209" s="75"/>
      <c r="CY209" s="75"/>
      <c r="CZ209" s="75"/>
      <c r="DA209" s="76"/>
      <c r="DB209" s="74"/>
    </row>
    <row r="210" spans="2:106" ht="11.25" customHeight="1" x14ac:dyDescent="0.2">
      <c r="B210" s="67"/>
      <c r="C210" s="68"/>
      <c r="D210" s="68"/>
      <c r="E210" s="68"/>
      <c r="F210" s="68"/>
      <c r="G210" s="68" t="s">
        <v>26</v>
      </c>
      <c r="H210" s="68"/>
      <c r="I210" s="68" t="s">
        <v>214</v>
      </c>
      <c r="J210" s="68"/>
      <c r="K210" s="68" t="s">
        <v>148</v>
      </c>
      <c r="L210" s="68"/>
      <c r="M210" s="68" t="s">
        <v>148</v>
      </c>
      <c r="N210" s="68"/>
      <c r="O210" s="68" t="s">
        <v>148</v>
      </c>
      <c r="P210" s="68"/>
      <c r="Q210" s="68" t="s">
        <v>148</v>
      </c>
      <c r="R210" s="68"/>
      <c r="S210" s="68" t="s">
        <v>148</v>
      </c>
      <c r="T210" s="68"/>
      <c r="U210" s="68" t="s">
        <v>148</v>
      </c>
      <c r="V210" s="68"/>
      <c r="W210" s="68" t="s">
        <v>148</v>
      </c>
      <c r="X210" s="68"/>
      <c r="Y210" s="68" t="s">
        <v>148</v>
      </c>
      <c r="Z210" s="68"/>
      <c r="AA210" s="68" t="s">
        <v>148</v>
      </c>
      <c r="AB210" s="68"/>
      <c r="AC210" s="68" t="s">
        <v>148</v>
      </c>
      <c r="AD210" s="68"/>
      <c r="AE210" s="68"/>
      <c r="AF210" s="68" t="s">
        <v>214</v>
      </c>
      <c r="AG210" s="68"/>
      <c r="AH210" s="68" t="s">
        <v>148</v>
      </c>
      <c r="AI210" s="68"/>
      <c r="AJ210" s="68" t="s">
        <v>148</v>
      </c>
      <c r="AK210" s="68"/>
      <c r="AL210" s="68" t="s">
        <v>148</v>
      </c>
      <c r="AM210" s="68"/>
      <c r="AN210" s="68" t="s">
        <v>148</v>
      </c>
      <c r="AO210" s="68"/>
      <c r="AP210" s="68" t="s">
        <v>148</v>
      </c>
      <c r="AQ210" s="68"/>
      <c r="AR210" s="68" t="s">
        <v>148</v>
      </c>
      <c r="AS210" s="68"/>
      <c r="AT210" s="68" t="s">
        <v>148</v>
      </c>
      <c r="AU210" s="68"/>
      <c r="AV210" s="68" t="s">
        <v>148</v>
      </c>
      <c r="AW210" s="68"/>
      <c r="AX210" s="68" t="s">
        <v>148</v>
      </c>
      <c r="AY210" s="68"/>
      <c r="AZ210" s="68" t="s">
        <v>148</v>
      </c>
      <c r="BA210" s="68"/>
      <c r="BB210" s="68" t="s">
        <v>148</v>
      </c>
      <c r="BC210" s="68"/>
      <c r="BD210" s="68" t="s">
        <v>148</v>
      </c>
      <c r="BE210" s="68"/>
      <c r="BF210" s="68" t="s">
        <v>148</v>
      </c>
      <c r="BG210" s="68"/>
      <c r="BH210" s="68" t="s">
        <v>148</v>
      </c>
      <c r="BI210" s="68"/>
      <c r="BJ210" s="68" t="s">
        <v>148</v>
      </c>
      <c r="BK210" s="68"/>
      <c r="BL210" s="68"/>
      <c r="BM210" s="68" t="s">
        <v>214</v>
      </c>
      <c r="BN210" s="68"/>
      <c r="BO210" s="68" t="str">
        <f>TEXT(ROUND((3600*K205*AW205*AH205*K207)/(Y207),2),"#,##0.#######")</f>
        <v>6.63</v>
      </c>
      <c r="BP210" s="68"/>
      <c r="BQ210" s="68"/>
      <c r="BR210" s="68"/>
      <c r="BS210" s="68"/>
      <c r="BT210" s="68"/>
      <c r="BU210" s="68"/>
      <c r="BV210" s="68" t="s">
        <v>368</v>
      </c>
      <c r="BW210" s="68"/>
      <c r="BX210" s="68" t="s">
        <v>90</v>
      </c>
      <c r="BY210" s="68" t="s">
        <v>380</v>
      </c>
      <c r="BZ210" s="68"/>
      <c r="CA210" s="68"/>
      <c r="CB210" s="68"/>
      <c r="CC210" s="68"/>
      <c r="CD210" s="68"/>
      <c r="CE210" s="68"/>
      <c r="CF210" s="68"/>
      <c r="CG210" s="68"/>
      <c r="CH210" s="68"/>
      <c r="CI210" s="68"/>
      <c r="CJ210" s="68"/>
      <c r="CK210" s="68"/>
      <c r="CL210" s="68"/>
      <c r="CM210" s="68"/>
      <c r="CN210" s="68"/>
      <c r="CO210" s="68"/>
      <c r="CP210" s="68"/>
      <c r="CQ210" s="68"/>
      <c r="CR210" s="68"/>
      <c r="CS210" s="68"/>
      <c r="CT210" s="68"/>
      <c r="CU210" s="68"/>
      <c r="CV210" s="68"/>
      <c r="CW210" s="68"/>
      <c r="CX210" s="75"/>
      <c r="CY210" s="75"/>
      <c r="CZ210" s="75"/>
      <c r="DA210" s="76"/>
      <c r="DB210" s="74"/>
    </row>
    <row r="211" spans="2:106" ht="11.25" customHeight="1" x14ac:dyDescent="0.2">
      <c r="B211" s="67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 t="s">
        <v>67</v>
      </c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 t="str">
        <f>TEXT(Y207,"#,##0.#######")</f>
        <v>18.</v>
      </c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  <c r="BM211" s="68"/>
      <c r="BN211" s="68"/>
      <c r="BO211" s="68"/>
      <c r="BP211" s="68"/>
      <c r="BQ211" s="68"/>
      <c r="BR211" s="68"/>
      <c r="BS211" s="68"/>
      <c r="BT211" s="68"/>
      <c r="BU211" s="68"/>
      <c r="BV211" s="68"/>
      <c r="BW211" s="68"/>
      <c r="BX211" s="68"/>
      <c r="BY211" s="68"/>
      <c r="BZ211" s="68"/>
      <c r="CA211" s="68"/>
      <c r="CB211" s="68"/>
      <c r="CC211" s="68"/>
      <c r="CD211" s="68"/>
      <c r="CE211" s="68"/>
      <c r="CF211" s="68"/>
      <c r="CG211" s="68"/>
      <c r="CH211" s="68"/>
      <c r="CI211" s="68"/>
      <c r="CJ211" s="68"/>
      <c r="CK211" s="68"/>
      <c r="CL211" s="68"/>
      <c r="CM211" s="68"/>
      <c r="CN211" s="68"/>
      <c r="CO211" s="68"/>
      <c r="CP211" s="68"/>
      <c r="CQ211" s="68"/>
      <c r="CR211" s="68"/>
      <c r="CS211" s="68"/>
      <c r="CT211" s="68"/>
      <c r="CU211" s="68"/>
      <c r="CV211" s="68"/>
      <c r="CW211" s="68"/>
      <c r="CX211" s="75"/>
      <c r="CY211" s="75"/>
      <c r="CZ211" s="75"/>
      <c r="DA211" s="76"/>
      <c r="DB211" s="74"/>
    </row>
    <row r="212" spans="2:106" ht="11.25" customHeight="1" x14ac:dyDescent="0.2">
      <c r="B212" s="67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  <c r="BK212" s="68"/>
      <c r="BL212" s="68"/>
      <c r="BM212" s="68"/>
      <c r="BN212" s="68"/>
      <c r="BO212" s="68"/>
      <c r="BP212" s="68"/>
      <c r="BQ212" s="68"/>
      <c r="BR212" s="68"/>
      <c r="BS212" s="68"/>
      <c r="BT212" s="68"/>
      <c r="BU212" s="68"/>
      <c r="BV212" s="68"/>
      <c r="BW212" s="68"/>
      <c r="BX212" s="68"/>
      <c r="BY212" s="68"/>
      <c r="BZ212" s="68"/>
      <c r="CA212" s="68"/>
      <c r="CB212" s="68"/>
      <c r="CC212" s="68"/>
      <c r="CD212" s="68"/>
      <c r="CE212" s="68"/>
      <c r="CF212" s="68"/>
      <c r="CG212" s="68"/>
      <c r="CH212" s="68"/>
      <c r="CI212" s="68"/>
      <c r="CJ212" s="68"/>
      <c r="CK212" s="68"/>
      <c r="CL212" s="68"/>
      <c r="CM212" s="68"/>
      <c r="CN212" s="68"/>
      <c r="CO212" s="68"/>
      <c r="CP212" s="68"/>
      <c r="CQ212" s="68"/>
      <c r="CR212" s="68"/>
      <c r="CS212" s="68"/>
      <c r="CT212" s="68"/>
      <c r="CU212" s="68"/>
      <c r="CV212" s="68"/>
      <c r="CW212" s="68"/>
      <c r="CX212" s="75"/>
      <c r="CY212" s="75"/>
      <c r="CZ212" s="75"/>
      <c r="DA212" s="76"/>
      <c r="DB212" s="74"/>
    </row>
    <row r="213" spans="2:106" ht="11.25" customHeight="1" x14ac:dyDescent="0.2">
      <c r="B213" s="67"/>
      <c r="C213" s="68"/>
      <c r="D213" s="68"/>
      <c r="E213" s="68"/>
      <c r="F213" s="68"/>
      <c r="G213" s="68" t="s">
        <v>438</v>
      </c>
      <c r="H213" s="68"/>
      <c r="I213" s="68"/>
      <c r="J213" s="68"/>
      <c r="K213" s="68"/>
      <c r="L213" s="68"/>
      <c r="M213" s="68"/>
      <c r="N213" s="68" t="s">
        <v>383</v>
      </c>
      <c r="O213" s="68"/>
      <c r="P213" s="68" t="str">
        <f>TEXT(기계경비총괄표!G5,"#,##0")</f>
        <v>38,972</v>
      </c>
      <c r="Q213" s="68"/>
      <c r="R213" s="68"/>
      <c r="S213" s="68"/>
      <c r="T213" s="68"/>
      <c r="U213" s="68"/>
      <c r="V213" s="68"/>
      <c r="W213" s="68"/>
      <c r="X213" s="68"/>
      <c r="Y213" s="68" t="s">
        <v>253</v>
      </c>
      <c r="Z213" s="68"/>
      <c r="AA213" s="68"/>
      <c r="AB213" s="68" t="str">
        <f>TEXT(BO210,"#,##0.#######")</f>
        <v>6.63</v>
      </c>
      <c r="AC213" s="68"/>
      <c r="AD213" s="68"/>
      <c r="AE213" s="68"/>
      <c r="AF213" s="68"/>
      <c r="AG213" s="68"/>
      <c r="AH213" s="68"/>
      <c r="AI213" s="68" t="s">
        <v>214</v>
      </c>
      <c r="AJ213" s="68"/>
      <c r="AK213" s="68" t="str">
        <f>TEXT(TRUNC(P213/BO210,1),"#,##0.#")</f>
        <v>5,878.1</v>
      </c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  <c r="BK213" s="68"/>
      <c r="BL213" s="68"/>
      <c r="BM213" s="68"/>
      <c r="BN213" s="68"/>
      <c r="BO213" s="68"/>
      <c r="BP213" s="68"/>
      <c r="BQ213" s="68"/>
      <c r="BR213" s="68"/>
      <c r="BS213" s="68"/>
      <c r="BT213" s="68"/>
      <c r="BU213" s="68"/>
      <c r="BV213" s="68"/>
      <c r="BW213" s="68"/>
      <c r="BX213" s="68"/>
      <c r="BY213" s="68"/>
      <c r="BZ213" s="68"/>
      <c r="CA213" s="68"/>
      <c r="CB213" s="68"/>
      <c r="CC213" s="68"/>
      <c r="CD213" s="68"/>
      <c r="CE213" s="68"/>
      <c r="CF213" s="68"/>
      <c r="CG213" s="68"/>
      <c r="CH213" s="68"/>
      <c r="CI213" s="68"/>
      <c r="CJ213" s="68"/>
      <c r="CK213" s="68"/>
      <c r="CL213" s="68"/>
      <c r="CM213" s="68"/>
      <c r="CN213" s="68"/>
      <c r="CO213" s="68"/>
      <c r="CP213" s="68"/>
      <c r="CQ213" s="68"/>
      <c r="CR213" s="68"/>
      <c r="CS213" s="68"/>
      <c r="CT213" s="68"/>
      <c r="CU213" s="68"/>
      <c r="CV213" s="68"/>
      <c r="CW213" s="68"/>
      <c r="CX213" s="75"/>
      <c r="CY213" s="75"/>
      <c r="CZ213" s="75"/>
      <c r="DA213" s="76"/>
      <c r="DB213" s="74"/>
    </row>
    <row r="214" spans="2:106" ht="11.25" customHeight="1" x14ac:dyDescent="0.2">
      <c r="B214" s="67"/>
      <c r="C214" s="68"/>
      <c r="D214" s="68"/>
      <c r="E214" s="68"/>
      <c r="F214" s="68"/>
      <c r="G214" s="68" t="s">
        <v>319</v>
      </c>
      <c r="H214" s="68"/>
      <c r="I214" s="68"/>
      <c r="J214" s="68"/>
      <c r="K214" s="68"/>
      <c r="L214" s="68"/>
      <c r="M214" s="68"/>
      <c r="N214" s="68" t="s">
        <v>383</v>
      </c>
      <c r="O214" s="68"/>
      <c r="P214" s="68"/>
      <c r="Q214" s="68" t="str">
        <f>TEXT(기계경비총괄표!H5,"#,##0")</f>
        <v>6,836</v>
      </c>
      <c r="R214" s="68"/>
      <c r="S214" s="68"/>
      <c r="T214" s="68"/>
      <c r="U214" s="68"/>
      <c r="V214" s="68"/>
      <c r="W214" s="68"/>
      <c r="X214" s="68"/>
      <c r="Y214" s="68" t="s">
        <v>253</v>
      </c>
      <c r="Z214" s="68"/>
      <c r="AA214" s="68"/>
      <c r="AB214" s="68" t="str">
        <f>TEXT(BO210,"#,##0.#######")</f>
        <v>6.63</v>
      </c>
      <c r="AC214" s="68"/>
      <c r="AD214" s="68"/>
      <c r="AE214" s="68"/>
      <c r="AF214" s="68"/>
      <c r="AG214" s="68"/>
      <c r="AH214" s="68"/>
      <c r="AI214" s="68" t="s">
        <v>214</v>
      </c>
      <c r="AJ214" s="68"/>
      <c r="AK214" s="68"/>
      <c r="AL214" s="68"/>
      <c r="AM214" s="68" t="str">
        <f>TEXT(TRUNC(Q214/BO210,1),"#,##0.#")</f>
        <v>1,031.</v>
      </c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  <c r="BM214" s="68"/>
      <c r="BN214" s="68"/>
      <c r="BO214" s="68"/>
      <c r="BP214" s="68"/>
      <c r="BQ214" s="68"/>
      <c r="BR214" s="68"/>
      <c r="BS214" s="68"/>
      <c r="BT214" s="68"/>
      <c r="BU214" s="68"/>
      <c r="BV214" s="68"/>
      <c r="BW214" s="68"/>
      <c r="BX214" s="68"/>
      <c r="BY214" s="68"/>
      <c r="BZ214" s="68"/>
      <c r="CA214" s="68"/>
      <c r="CB214" s="68"/>
      <c r="CC214" s="68"/>
      <c r="CD214" s="68"/>
      <c r="CE214" s="68"/>
      <c r="CF214" s="68"/>
      <c r="CG214" s="68"/>
      <c r="CH214" s="68"/>
      <c r="CI214" s="68"/>
      <c r="CJ214" s="68"/>
      <c r="CK214" s="68"/>
      <c r="CL214" s="68"/>
      <c r="CM214" s="68"/>
      <c r="CN214" s="68"/>
      <c r="CO214" s="68"/>
      <c r="CP214" s="68"/>
      <c r="CQ214" s="68"/>
      <c r="CR214" s="68"/>
      <c r="CS214" s="68"/>
      <c r="CT214" s="68"/>
      <c r="CU214" s="68"/>
      <c r="CV214" s="68"/>
      <c r="CW214" s="68"/>
      <c r="CX214" s="75"/>
      <c r="CY214" s="75"/>
      <c r="CZ214" s="75"/>
      <c r="DA214" s="76"/>
      <c r="DB214" s="74"/>
    </row>
    <row r="215" spans="2:106" ht="11.25" customHeight="1" x14ac:dyDescent="0.2">
      <c r="B215" s="67"/>
      <c r="C215" s="68"/>
      <c r="D215" s="68"/>
      <c r="E215" s="68"/>
      <c r="F215" s="68"/>
      <c r="G215" s="68" t="s">
        <v>116</v>
      </c>
      <c r="H215" s="68"/>
      <c r="I215" s="68"/>
      <c r="J215" s="68"/>
      <c r="K215" s="68" t="s">
        <v>281</v>
      </c>
      <c r="L215" s="68"/>
      <c r="M215" s="68"/>
      <c r="N215" s="68" t="s">
        <v>383</v>
      </c>
      <c r="O215" s="68"/>
      <c r="P215" s="68" t="str">
        <f>TEXT(기계경비총괄표!I5,"#,##0")</f>
        <v>12,464</v>
      </c>
      <c r="Q215" s="68"/>
      <c r="R215" s="68"/>
      <c r="S215" s="68"/>
      <c r="T215" s="68"/>
      <c r="U215" s="68"/>
      <c r="V215" s="68"/>
      <c r="W215" s="68"/>
      <c r="X215" s="68"/>
      <c r="Y215" s="68" t="s">
        <v>253</v>
      </c>
      <c r="Z215" s="68"/>
      <c r="AA215" s="68"/>
      <c r="AB215" s="68" t="str">
        <f>TEXT(BO210,"#,##0.#######")</f>
        <v>6.63</v>
      </c>
      <c r="AC215" s="68"/>
      <c r="AD215" s="68"/>
      <c r="AE215" s="68"/>
      <c r="AF215" s="68"/>
      <c r="AG215" s="68"/>
      <c r="AH215" s="68"/>
      <c r="AI215" s="68" t="s">
        <v>214</v>
      </c>
      <c r="AJ215" s="68"/>
      <c r="AK215" s="68" t="str">
        <f>TEXT(TRUNC(P215/BO210,1),"#,##0.#")</f>
        <v>1,879.9</v>
      </c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  <c r="BK215" s="68"/>
      <c r="BL215" s="68"/>
      <c r="BM215" s="68"/>
      <c r="BN215" s="68"/>
      <c r="BO215" s="68"/>
      <c r="BP215" s="68"/>
      <c r="BQ215" s="68"/>
      <c r="BR215" s="68"/>
      <c r="BS215" s="68"/>
      <c r="BT215" s="68"/>
      <c r="BU215" s="68"/>
      <c r="BV215" s="68"/>
      <c r="BW215" s="68"/>
      <c r="BX215" s="68"/>
      <c r="BY215" s="68"/>
      <c r="BZ215" s="68"/>
      <c r="CA215" s="68"/>
      <c r="CB215" s="68"/>
      <c r="CC215" s="68"/>
      <c r="CD215" s="68"/>
      <c r="CE215" s="68"/>
      <c r="CF215" s="68"/>
      <c r="CG215" s="68"/>
      <c r="CH215" s="68"/>
      <c r="CI215" s="68"/>
      <c r="CJ215" s="68"/>
      <c r="CK215" s="68"/>
      <c r="CL215" s="68"/>
      <c r="CM215" s="68"/>
      <c r="CN215" s="68"/>
      <c r="CO215" s="68"/>
      <c r="CP215" s="68"/>
      <c r="CQ215" s="68"/>
      <c r="CR215" s="68"/>
      <c r="CS215" s="68"/>
      <c r="CT215" s="68"/>
      <c r="CU215" s="68"/>
      <c r="CV215" s="68"/>
      <c r="CW215" s="68"/>
      <c r="CX215" s="75"/>
      <c r="CY215" s="75"/>
      <c r="CZ215" s="75"/>
      <c r="DA215" s="76"/>
      <c r="DB215" s="74"/>
    </row>
    <row r="216" spans="2:106" ht="11.25" customHeight="1" x14ac:dyDescent="0.2">
      <c r="B216" s="67"/>
      <c r="C216" s="68"/>
      <c r="D216" s="68"/>
      <c r="E216" s="68"/>
      <c r="F216" s="68"/>
      <c r="G216" s="68" t="s">
        <v>213</v>
      </c>
      <c r="H216" s="68"/>
      <c r="I216" s="68"/>
      <c r="J216" s="68"/>
      <c r="K216" s="68" t="s">
        <v>279</v>
      </c>
      <c r="L216" s="68"/>
      <c r="M216" s="68"/>
      <c r="N216" s="68" t="s">
        <v>383</v>
      </c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 t="str">
        <f>TEXT(AK213+AM214+AK215,"#,##0.#######")</f>
        <v>8,789.</v>
      </c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  <c r="BM216" s="68"/>
      <c r="BN216" s="68"/>
      <c r="BO216" s="68"/>
      <c r="BP216" s="68"/>
      <c r="BQ216" s="68"/>
      <c r="BR216" s="68"/>
      <c r="BS216" s="68"/>
      <c r="BT216" s="68"/>
      <c r="BU216" s="68"/>
      <c r="BV216" s="68"/>
      <c r="BW216" s="68"/>
      <c r="BX216" s="68"/>
      <c r="BY216" s="68"/>
      <c r="BZ216" s="68"/>
      <c r="CA216" s="68"/>
      <c r="CB216" s="68"/>
      <c r="CC216" s="68"/>
      <c r="CD216" s="68"/>
      <c r="CE216" s="68"/>
      <c r="CF216" s="68"/>
      <c r="CG216" s="68"/>
      <c r="CH216" s="68"/>
      <c r="CI216" s="68"/>
      <c r="CJ216" s="68"/>
      <c r="CK216" s="68"/>
      <c r="CL216" s="68"/>
      <c r="CM216" s="68"/>
      <c r="CN216" s="68"/>
      <c r="CO216" s="68"/>
      <c r="CP216" s="68"/>
      <c r="CQ216" s="68"/>
      <c r="CR216" s="68"/>
      <c r="CS216" s="68"/>
      <c r="CT216" s="68"/>
      <c r="CU216" s="68"/>
      <c r="CV216" s="68"/>
      <c r="CW216" s="68"/>
      <c r="CX216" s="75">
        <f>CY216+CZ216+DA216</f>
        <v>8789</v>
      </c>
      <c r="CY216" s="75" t="str">
        <f>TEXT(AK213,"#,###.0")</f>
        <v>5,878.1</v>
      </c>
      <c r="CZ216" s="75" t="str">
        <f>TEXT(AM214,"#,###.0")</f>
        <v>1,031.0</v>
      </c>
      <c r="DA216" s="76" t="str">
        <f>TEXT(AK215,"#,###.0")</f>
        <v>1,879.9</v>
      </c>
      <c r="DB216" s="74"/>
    </row>
    <row r="217" spans="2:106" ht="11.25" customHeight="1" x14ac:dyDescent="0.2">
      <c r="B217" s="67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  <c r="BM217" s="68"/>
      <c r="BN217" s="68"/>
      <c r="BO217" s="68"/>
      <c r="BP217" s="68"/>
      <c r="BQ217" s="68"/>
      <c r="BR217" s="68"/>
      <c r="BS217" s="68"/>
      <c r="BT217" s="68"/>
      <c r="BU217" s="68"/>
      <c r="BV217" s="68"/>
      <c r="BW217" s="68"/>
      <c r="BX217" s="68"/>
      <c r="BY217" s="68"/>
      <c r="BZ217" s="68"/>
      <c r="CA217" s="68"/>
      <c r="CB217" s="68"/>
      <c r="CC217" s="68"/>
      <c r="CD217" s="68"/>
      <c r="CE217" s="68"/>
      <c r="CF217" s="68"/>
      <c r="CG217" s="68"/>
      <c r="CH217" s="68"/>
      <c r="CI217" s="68"/>
      <c r="CJ217" s="68"/>
      <c r="CK217" s="68"/>
      <c r="CL217" s="68"/>
      <c r="CM217" s="68"/>
      <c r="CN217" s="68"/>
      <c r="CO217" s="68"/>
      <c r="CP217" s="68"/>
      <c r="CQ217" s="68"/>
      <c r="CR217" s="68"/>
      <c r="CS217" s="68"/>
      <c r="CT217" s="68"/>
      <c r="CU217" s="68"/>
      <c r="CV217" s="68"/>
      <c r="CW217" s="68"/>
      <c r="CX217" s="75"/>
      <c r="CY217" s="75"/>
      <c r="CZ217" s="75"/>
      <c r="DA217" s="76"/>
      <c r="DB217" s="74"/>
    </row>
    <row r="218" spans="2:106" ht="11.25" customHeight="1" x14ac:dyDescent="0.2">
      <c r="B218" s="67"/>
      <c r="C218" s="68"/>
      <c r="D218" s="68" t="s">
        <v>250</v>
      </c>
      <c r="E218" s="68"/>
      <c r="F218" s="68"/>
      <c r="G218" s="68" t="s">
        <v>353</v>
      </c>
      <c r="H218" s="68"/>
      <c r="I218" s="68"/>
      <c r="J218" s="68"/>
      <c r="K218" s="68"/>
      <c r="L218" s="68" t="s">
        <v>279</v>
      </c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  <c r="BM218" s="68"/>
      <c r="BN218" s="68"/>
      <c r="BO218" s="68"/>
      <c r="BP218" s="68"/>
      <c r="BQ218" s="68"/>
      <c r="BR218" s="68"/>
      <c r="BS218" s="68"/>
      <c r="BT218" s="68"/>
      <c r="BU218" s="68"/>
      <c r="BV218" s="68"/>
      <c r="BW218" s="68"/>
      <c r="BX218" s="68"/>
      <c r="BY218" s="68"/>
      <c r="BZ218" s="68"/>
      <c r="CA218" s="68"/>
      <c r="CB218" s="68"/>
      <c r="CC218" s="68"/>
      <c r="CD218" s="68"/>
      <c r="CE218" s="68"/>
      <c r="CF218" s="68"/>
      <c r="CG218" s="68"/>
      <c r="CH218" s="68"/>
      <c r="CI218" s="68"/>
      <c r="CJ218" s="68"/>
      <c r="CK218" s="68"/>
      <c r="CL218" s="68"/>
      <c r="CM218" s="68"/>
      <c r="CN218" s="68"/>
      <c r="CO218" s="68"/>
      <c r="CP218" s="68"/>
      <c r="CQ218" s="68"/>
      <c r="CR218" s="68"/>
      <c r="CS218" s="68"/>
      <c r="CT218" s="68"/>
      <c r="CU218" s="68"/>
      <c r="CV218" s="68"/>
      <c r="CW218" s="68"/>
      <c r="CX218" s="75"/>
      <c r="CY218" s="75"/>
      <c r="CZ218" s="75"/>
      <c r="DA218" s="76"/>
      <c r="DB218" s="74"/>
    </row>
    <row r="219" spans="2:106" ht="11.25" customHeight="1" x14ac:dyDescent="0.2">
      <c r="B219" s="67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  <c r="BM219" s="68"/>
      <c r="BN219" s="68"/>
      <c r="BO219" s="68"/>
      <c r="BP219" s="68"/>
      <c r="BQ219" s="68"/>
      <c r="BR219" s="68"/>
      <c r="BS219" s="68"/>
      <c r="BT219" s="68"/>
      <c r="BU219" s="68"/>
      <c r="BV219" s="68"/>
      <c r="BW219" s="68"/>
      <c r="BX219" s="68"/>
      <c r="BY219" s="68"/>
      <c r="BZ219" s="68"/>
      <c r="CA219" s="68"/>
      <c r="CB219" s="68"/>
      <c r="CC219" s="68"/>
      <c r="CD219" s="68"/>
      <c r="CE219" s="68"/>
      <c r="CF219" s="68"/>
      <c r="CG219" s="68"/>
      <c r="CH219" s="68"/>
      <c r="CI219" s="68"/>
      <c r="CJ219" s="68"/>
      <c r="CK219" s="68"/>
      <c r="CL219" s="68"/>
      <c r="CM219" s="68"/>
      <c r="CN219" s="68"/>
      <c r="CO219" s="68"/>
      <c r="CP219" s="68"/>
      <c r="CQ219" s="68"/>
      <c r="CR219" s="68"/>
      <c r="CS219" s="68"/>
      <c r="CT219" s="68"/>
      <c r="CU219" s="68"/>
      <c r="CV219" s="68"/>
      <c r="CW219" s="68"/>
      <c r="CX219" s="75"/>
      <c r="CY219" s="75"/>
      <c r="CZ219" s="75"/>
      <c r="DA219" s="76"/>
      <c r="DB219" s="74"/>
    </row>
    <row r="220" spans="2:106" ht="11.25" customHeight="1" x14ac:dyDescent="0.2">
      <c r="B220" s="67"/>
      <c r="C220" s="68"/>
      <c r="D220" s="68"/>
      <c r="E220" s="68"/>
      <c r="F220" s="68"/>
      <c r="G220" s="68"/>
      <c r="H220" s="68" t="s">
        <v>438</v>
      </c>
      <c r="I220" s="68"/>
      <c r="J220" s="68"/>
      <c r="K220" s="68"/>
      <c r="L220" s="68"/>
      <c r="M220" s="68"/>
      <c r="N220" s="68"/>
      <c r="O220" s="68" t="s">
        <v>383</v>
      </c>
      <c r="P220" s="68"/>
      <c r="Q220" s="68" t="str">
        <f>TEXT(CY193,"#,###.##")</f>
        <v>22,269.7</v>
      </c>
      <c r="R220" s="68"/>
      <c r="S220" s="68"/>
      <c r="T220" s="68"/>
      <c r="U220" s="68"/>
      <c r="V220" s="68"/>
      <c r="W220" s="68"/>
      <c r="X220" s="68"/>
      <c r="Y220" s="68"/>
      <c r="Z220" s="68" t="s">
        <v>105</v>
      </c>
      <c r="AA220" s="68"/>
      <c r="AB220" s="68" t="str">
        <f>TEXT(CY197,"#,###.##")</f>
        <v>8,959.</v>
      </c>
      <c r="AC220" s="68"/>
      <c r="AD220" s="68"/>
      <c r="AE220" s="68"/>
      <c r="AF220" s="68"/>
      <c r="AG220" s="68"/>
      <c r="AH220" s="68" t="s">
        <v>105</v>
      </c>
      <c r="AI220" s="68"/>
      <c r="AJ220" s="68" t="str">
        <f>TEXT(CY216,"#,###.##")</f>
        <v>5,878.1</v>
      </c>
      <c r="AK220" s="68"/>
      <c r="AL220" s="68"/>
      <c r="AM220" s="68"/>
      <c r="AN220" s="68"/>
      <c r="AO220" s="68"/>
      <c r="AP220" s="68"/>
      <c r="AQ220" s="68"/>
      <c r="AR220" s="68" t="s">
        <v>214</v>
      </c>
      <c r="AS220" s="68"/>
      <c r="AT220" s="68"/>
      <c r="AU220" s="68" t="str">
        <f>TEXT(TRUNC(CY193+CY197+CY216,0),"#,##0")</f>
        <v>37,106</v>
      </c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  <c r="BK220" s="68"/>
      <c r="BL220" s="68"/>
      <c r="BM220" s="68"/>
      <c r="BN220" s="68"/>
      <c r="BO220" s="68"/>
      <c r="BP220" s="68"/>
      <c r="BQ220" s="68"/>
      <c r="BR220" s="68"/>
      <c r="BS220" s="68"/>
      <c r="BT220" s="68"/>
      <c r="BU220" s="68"/>
      <c r="BV220" s="68"/>
      <c r="BW220" s="68"/>
      <c r="BX220" s="68"/>
      <c r="BY220" s="68"/>
      <c r="BZ220" s="68"/>
      <c r="CA220" s="68"/>
      <c r="CB220" s="68"/>
      <c r="CC220" s="68"/>
      <c r="CD220" s="68"/>
      <c r="CE220" s="68"/>
      <c r="CF220" s="68"/>
      <c r="CG220" s="68"/>
      <c r="CH220" s="68"/>
      <c r="CI220" s="68"/>
      <c r="CJ220" s="68"/>
      <c r="CK220" s="68"/>
      <c r="CL220" s="68"/>
      <c r="CM220" s="68"/>
      <c r="CN220" s="68"/>
      <c r="CO220" s="68"/>
      <c r="CP220" s="68"/>
      <c r="CQ220" s="68"/>
      <c r="CR220" s="68"/>
      <c r="CS220" s="68"/>
      <c r="CT220" s="68"/>
      <c r="CU220" s="68"/>
      <c r="CV220" s="68"/>
      <c r="CW220" s="68"/>
      <c r="CX220" s="75"/>
      <c r="CY220" s="75"/>
      <c r="CZ220" s="75"/>
      <c r="DA220" s="76"/>
      <c r="DB220" s="74"/>
    </row>
    <row r="221" spans="2:106" ht="11.25" customHeight="1" x14ac:dyDescent="0.2">
      <c r="B221" s="67"/>
      <c r="C221" s="68"/>
      <c r="D221" s="68"/>
      <c r="E221" s="68"/>
      <c r="F221" s="68"/>
      <c r="G221" s="68"/>
      <c r="H221" s="68" t="s">
        <v>319</v>
      </c>
      <c r="I221" s="68"/>
      <c r="J221" s="68"/>
      <c r="K221" s="68"/>
      <c r="L221" s="68"/>
      <c r="M221" s="68"/>
      <c r="N221" s="68"/>
      <c r="O221" s="68" t="s">
        <v>383</v>
      </c>
      <c r="P221" s="68"/>
      <c r="Q221" s="68" t="str">
        <f>TEXT(CZ193,"#,###.##")</f>
        <v>3,745.1</v>
      </c>
      <c r="R221" s="68"/>
      <c r="S221" s="68"/>
      <c r="T221" s="68"/>
      <c r="U221" s="68"/>
      <c r="V221" s="68"/>
      <c r="W221" s="68"/>
      <c r="X221" s="68"/>
      <c r="Y221" s="68" t="s">
        <v>105</v>
      </c>
      <c r="Z221" s="68"/>
      <c r="AA221" s="68" t="str">
        <f>TEXT(CZ201,"#,###.##")</f>
        <v>357.</v>
      </c>
      <c r="AB221" s="68"/>
      <c r="AC221" s="68"/>
      <c r="AD221" s="68"/>
      <c r="AE221" s="68" t="s">
        <v>105</v>
      </c>
      <c r="AF221" s="68"/>
      <c r="AG221" s="68" t="str">
        <f>TEXT(CZ216,"#,###.##")</f>
        <v>1,031.</v>
      </c>
      <c r="AH221" s="68"/>
      <c r="AI221" s="68"/>
      <c r="AJ221" s="68"/>
      <c r="AK221" s="68"/>
      <c r="AL221" s="68"/>
      <c r="AM221" s="68" t="s">
        <v>214</v>
      </c>
      <c r="AN221" s="68"/>
      <c r="AO221" s="68"/>
      <c r="AP221" s="68" t="str">
        <f>TEXT(TRUNC(CZ193+CZ201+CZ216,0),"#,##0")</f>
        <v>5,133</v>
      </c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  <c r="BK221" s="68"/>
      <c r="BL221" s="68"/>
      <c r="BM221" s="68"/>
      <c r="BN221" s="68"/>
      <c r="BO221" s="68"/>
      <c r="BP221" s="68"/>
      <c r="BQ221" s="68"/>
      <c r="BR221" s="68"/>
      <c r="BS221" s="68"/>
      <c r="BT221" s="68"/>
      <c r="BU221" s="68"/>
      <c r="BV221" s="68"/>
      <c r="BW221" s="68"/>
      <c r="BX221" s="68"/>
      <c r="BY221" s="68"/>
      <c r="BZ221" s="68"/>
      <c r="CA221" s="68"/>
      <c r="CB221" s="68"/>
      <c r="CC221" s="68"/>
      <c r="CD221" s="68"/>
      <c r="CE221" s="68"/>
      <c r="CF221" s="68"/>
      <c r="CG221" s="68"/>
      <c r="CH221" s="68"/>
      <c r="CI221" s="68"/>
      <c r="CJ221" s="68"/>
      <c r="CK221" s="68"/>
      <c r="CL221" s="68"/>
      <c r="CM221" s="68"/>
      <c r="CN221" s="68"/>
      <c r="CO221" s="68"/>
      <c r="CP221" s="68"/>
      <c r="CQ221" s="68"/>
      <c r="CR221" s="68"/>
      <c r="CS221" s="68"/>
      <c r="CT221" s="68"/>
      <c r="CU221" s="68"/>
      <c r="CV221" s="68"/>
      <c r="CW221" s="68"/>
      <c r="CX221" s="75"/>
      <c r="CY221" s="75"/>
      <c r="CZ221" s="75"/>
      <c r="DA221" s="76"/>
      <c r="DB221" s="74"/>
    </row>
    <row r="222" spans="2:106" ht="11.25" customHeight="1" x14ac:dyDescent="0.2">
      <c r="B222" s="67"/>
      <c r="C222" s="68"/>
      <c r="D222" s="68"/>
      <c r="E222" s="68"/>
      <c r="F222" s="68"/>
      <c r="G222" s="68"/>
      <c r="H222" s="68" t="s">
        <v>116</v>
      </c>
      <c r="I222" s="68"/>
      <c r="J222" s="68"/>
      <c r="K222" s="68"/>
      <c r="L222" s="68" t="s">
        <v>281</v>
      </c>
      <c r="M222" s="68"/>
      <c r="N222" s="68"/>
      <c r="O222" s="68" t="s">
        <v>383</v>
      </c>
      <c r="P222" s="68"/>
      <c r="Q222" s="68" t="str">
        <f>TEXT(DA193,"#,###.##")</f>
        <v>8,568.</v>
      </c>
      <c r="R222" s="68"/>
      <c r="S222" s="68"/>
      <c r="T222" s="68"/>
      <c r="U222" s="68"/>
      <c r="V222" s="68"/>
      <c r="W222" s="68" t="s">
        <v>105</v>
      </c>
      <c r="X222" s="68"/>
      <c r="Y222" s="68" t="str">
        <f>TEXT(DA216,"#,###.##")</f>
        <v>1,879.9</v>
      </c>
      <c r="Z222" s="68"/>
      <c r="AA222" s="68"/>
      <c r="AB222" s="68"/>
      <c r="AC222" s="68"/>
      <c r="AD222" s="68"/>
      <c r="AE222" s="68"/>
      <c r="AF222" s="68"/>
      <c r="AG222" s="68" t="s">
        <v>214</v>
      </c>
      <c r="AH222" s="68"/>
      <c r="AI222" s="68"/>
      <c r="AJ222" s="68" t="str">
        <f>TEXT(TRUNC(DA193+DA216,0),"#,##0")</f>
        <v>10,447</v>
      </c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  <c r="BM222" s="68"/>
      <c r="BN222" s="68"/>
      <c r="BO222" s="68"/>
      <c r="BP222" s="68"/>
      <c r="BQ222" s="68"/>
      <c r="BR222" s="68"/>
      <c r="BS222" s="68"/>
      <c r="BT222" s="68"/>
      <c r="BU222" s="68"/>
      <c r="BV222" s="68"/>
      <c r="BW222" s="68"/>
      <c r="BX222" s="68"/>
      <c r="BY222" s="68"/>
      <c r="BZ222" s="68"/>
      <c r="CA222" s="68"/>
      <c r="CB222" s="68"/>
      <c r="CC222" s="68"/>
      <c r="CD222" s="68"/>
      <c r="CE222" s="68"/>
      <c r="CF222" s="68"/>
      <c r="CG222" s="68"/>
      <c r="CH222" s="68"/>
      <c r="CI222" s="68"/>
      <c r="CJ222" s="68"/>
      <c r="CK222" s="68"/>
      <c r="CL222" s="68"/>
      <c r="CM222" s="68"/>
      <c r="CN222" s="68"/>
      <c r="CO222" s="68"/>
      <c r="CP222" s="68"/>
      <c r="CQ222" s="68"/>
      <c r="CR222" s="68"/>
      <c r="CS222" s="68"/>
      <c r="CT222" s="68"/>
      <c r="CU222" s="68"/>
      <c r="CV222" s="68"/>
      <c r="CW222" s="68"/>
      <c r="CX222" s="75"/>
      <c r="CY222" s="75"/>
      <c r="CZ222" s="75"/>
      <c r="DA222" s="76"/>
      <c r="DB222" s="74"/>
    </row>
    <row r="223" spans="2:106" ht="11.25" customHeight="1" x14ac:dyDescent="0.2">
      <c r="B223" s="67"/>
      <c r="C223" s="68"/>
      <c r="D223" s="68"/>
      <c r="E223" s="68"/>
      <c r="F223" s="68"/>
      <c r="G223" s="68"/>
      <c r="H223" s="68"/>
      <c r="I223" s="68"/>
      <c r="J223" s="68" t="s">
        <v>279</v>
      </c>
      <c r="K223" s="68"/>
      <c r="L223" s="68"/>
      <c r="M223" s="68"/>
      <c r="N223" s="68"/>
      <c r="O223" s="68" t="s">
        <v>383</v>
      </c>
      <c r="P223" s="68"/>
      <c r="Q223" s="68"/>
      <c r="R223" s="68" t="str">
        <f>TEXT(AU220+AP221+AJ222,"#,##0")</f>
        <v>52,686</v>
      </c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  <c r="BK223" s="68"/>
      <c r="BL223" s="68"/>
      <c r="BM223" s="68"/>
      <c r="BN223" s="68"/>
      <c r="BO223" s="68"/>
      <c r="BP223" s="68"/>
      <c r="BQ223" s="68"/>
      <c r="BR223" s="68"/>
      <c r="BS223" s="68"/>
      <c r="BT223" s="68"/>
      <c r="BU223" s="68"/>
      <c r="BV223" s="68"/>
      <c r="BW223" s="68"/>
      <c r="BX223" s="68"/>
      <c r="BY223" s="68"/>
      <c r="BZ223" s="68"/>
      <c r="CA223" s="68"/>
      <c r="CB223" s="68"/>
      <c r="CC223" s="68"/>
      <c r="CD223" s="68"/>
      <c r="CE223" s="68"/>
      <c r="CF223" s="68"/>
      <c r="CG223" s="68"/>
      <c r="CH223" s="68"/>
      <c r="CI223" s="68"/>
      <c r="CJ223" s="68"/>
      <c r="CK223" s="68"/>
      <c r="CL223" s="68"/>
      <c r="CM223" s="68"/>
      <c r="CN223" s="68"/>
      <c r="CO223" s="68"/>
      <c r="CP223" s="68"/>
      <c r="CQ223" s="68"/>
      <c r="CR223" s="68"/>
      <c r="CS223" s="68"/>
      <c r="CT223" s="68"/>
      <c r="CU223" s="68"/>
      <c r="CV223" s="68"/>
      <c r="CW223" s="68"/>
      <c r="CX223" s="77">
        <f>CY223+CZ223+DA223</f>
        <v>52686</v>
      </c>
      <c r="CY223" s="75" t="str">
        <f>TEXT(AU220,"#,##0")</f>
        <v>37,106</v>
      </c>
      <c r="CZ223" s="75" t="str">
        <f>TEXT(AP221,"#,##0")</f>
        <v>5,133</v>
      </c>
      <c r="DA223" s="76" t="str">
        <f>TEXT(AJ222,"#,##0")</f>
        <v>10,447</v>
      </c>
      <c r="DB223" s="74"/>
    </row>
    <row r="224" spans="2:106" ht="11.25" customHeight="1" x14ac:dyDescent="0.2">
      <c r="B224" s="67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  <c r="BM224" s="68"/>
      <c r="BN224" s="68"/>
      <c r="BO224" s="68"/>
      <c r="BP224" s="68"/>
      <c r="BQ224" s="68"/>
      <c r="BR224" s="68"/>
      <c r="BS224" s="68"/>
      <c r="BT224" s="68"/>
      <c r="BU224" s="68"/>
      <c r="BV224" s="68"/>
      <c r="BW224" s="68"/>
      <c r="BX224" s="68"/>
      <c r="BY224" s="68"/>
      <c r="BZ224" s="68"/>
      <c r="CA224" s="68"/>
      <c r="CB224" s="68"/>
      <c r="CC224" s="68"/>
      <c r="CD224" s="68"/>
      <c r="CE224" s="68"/>
      <c r="CF224" s="68"/>
      <c r="CG224" s="68"/>
      <c r="CH224" s="68"/>
      <c r="CI224" s="68"/>
      <c r="CJ224" s="68"/>
      <c r="CK224" s="68"/>
      <c r="CL224" s="68"/>
      <c r="CM224" s="68"/>
      <c r="CN224" s="68"/>
      <c r="CO224" s="68"/>
      <c r="CP224" s="68"/>
      <c r="CQ224" s="68"/>
      <c r="CR224" s="68"/>
      <c r="CS224" s="68"/>
      <c r="CT224" s="68"/>
      <c r="CU224" s="68"/>
      <c r="CV224" s="68"/>
      <c r="CW224" s="68"/>
      <c r="CX224" s="75"/>
      <c r="CY224" s="75"/>
      <c r="CZ224" s="75"/>
      <c r="DA224" s="76"/>
      <c r="DB224" s="74"/>
    </row>
    <row r="225" spans="2:106" ht="11.25" customHeight="1" x14ac:dyDescent="0.2">
      <c r="B225" s="71" t="s">
        <v>206</v>
      </c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  <c r="BM225" s="68"/>
      <c r="BN225" s="68"/>
      <c r="BO225" s="68"/>
      <c r="BP225" s="68"/>
      <c r="BQ225" s="68"/>
      <c r="BR225" s="68"/>
      <c r="BS225" s="68"/>
      <c r="BT225" s="68"/>
      <c r="BU225" s="68"/>
      <c r="BV225" s="68"/>
      <c r="BW225" s="68"/>
      <c r="BX225" s="68"/>
      <c r="BY225" s="68"/>
      <c r="BZ225" s="68"/>
      <c r="CA225" s="68"/>
      <c r="CB225" s="68"/>
      <c r="CC225" s="68"/>
      <c r="CD225" s="68"/>
      <c r="CE225" s="68"/>
      <c r="CF225" s="68"/>
      <c r="CG225" s="68"/>
      <c r="CH225" s="68"/>
      <c r="CI225" s="68"/>
      <c r="CJ225" s="68"/>
      <c r="CK225" s="68"/>
      <c r="CL225" s="68"/>
      <c r="CM225" s="68"/>
      <c r="CN225" s="68"/>
      <c r="CO225" s="68"/>
      <c r="CP225" s="68"/>
      <c r="CQ225" s="68"/>
      <c r="CR225" s="68"/>
      <c r="CS225" s="68"/>
      <c r="CT225" s="68"/>
      <c r="CU225" s="68"/>
      <c r="CV225" s="68"/>
      <c r="CW225" s="68"/>
      <c r="CX225" s="72">
        <f>CX247</f>
        <v>3801</v>
      </c>
      <c r="CY225" s="72" t="str">
        <f>CY247</f>
        <v>1,865</v>
      </c>
      <c r="CZ225" s="72" t="str">
        <f>CZ247</f>
        <v>765</v>
      </c>
      <c r="DA225" s="73" t="str">
        <f>DA247</f>
        <v>1,171</v>
      </c>
      <c r="DB225" s="74"/>
    </row>
    <row r="226" spans="2:106" ht="11.25" customHeight="1" x14ac:dyDescent="0.2">
      <c r="B226" s="67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  <c r="BP226" s="68"/>
      <c r="BQ226" s="68"/>
      <c r="BR226" s="68"/>
      <c r="BS226" s="68"/>
      <c r="BT226" s="68"/>
      <c r="BU226" s="68"/>
      <c r="BV226" s="68"/>
      <c r="BW226" s="68"/>
      <c r="BX226" s="68"/>
      <c r="BY226" s="68"/>
      <c r="BZ226" s="68"/>
      <c r="CA226" s="68"/>
      <c r="CB226" s="68"/>
      <c r="CC226" s="68"/>
      <c r="CD226" s="68"/>
      <c r="CE226" s="68"/>
      <c r="CF226" s="68"/>
      <c r="CG226" s="68"/>
      <c r="CH226" s="68"/>
      <c r="CI226" s="68"/>
      <c r="CJ226" s="68"/>
      <c r="CK226" s="68"/>
      <c r="CL226" s="68"/>
      <c r="CM226" s="68"/>
      <c r="CN226" s="68"/>
      <c r="CO226" s="68"/>
      <c r="CP226" s="68"/>
      <c r="CQ226" s="68"/>
      <c r="CR226" s="68"/>
      <c r="CS226" s="68"/>
      <c r="CT226" s="68"/>
      <c r="CU226" s="68"/>
      <c r="CV226" s="68"/>
      <c r="CW226" s="68"/>
      <c r="CX226" s="75"/>
      <c r="CY226" s="75"/>
      <c r="CZ226" s="75"/>
      <c r="DA226" s="76"/>
      <c r="DB226" s="74"/>
    </row>
    <row r="227" spans="2:106" ht="11.25" customHeight="1" x14ac:dyDescent="0.2">
      <c r="B227" s="67"/>
      <c r="C227" s="68"/>
      <c r="D227" s="68" t="s">
        <v>257</v>
      </c>
      <c r="E227" s="68"/>
      <c r="F227" s="68"/>
      <c r="G227" s="68" t="s">
        <v>163</v>
      </c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 t="s">
        <v>25</v>
      </c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  <c r="BK227" s="68"/>
      <c r="BL227" s="68"/>
      <c r="BM227" s="68"/>
      <c r="BN227" s="68"/>
      <c r="BO227" s="68"/>
      <c r="BP227" s="68"/>
      <c r="BQ227" s="68"/>
      <c r="BR227" s="68"/>
      <c r="BS227" s="68"/>
      <c r="BT227" s="68"/>
      <c r="BU227" s="68"/>
      <c r="BV227" s="68"/>
      <c r="BW227" s="68"/>
      <c r="BX227" s="68"/>
      <c r="BY227" s="68"/>
      <c r="BZ227" s="68"/>
      <c r="CA227" s="68"/>
      <c r="CB227" s="68"/>
      <c r="CC227" s="68"/>
      <c r="CD227" s="68"/>
      <c r="CE227" s="68"/>
      <c r="CF227" s="68"/>
      <c r="CG227" s="68"/>
      <c r="CH227" s="68"/>
      <c r="CI227" s="68"/>
      <c r="CJ227" s="68"/>
      <c r="CK227" s="68"/>
      <c r="CL227" s="68"/>
      <c r="CM227" s="68"/>
      <c r="CN227" s="68"/>
      <c r="CO227" s="68"/>
      <c r="CP227" s="68"/>
      <c r="CQ227" s="68"/>
      <c r="CR227" s="68"/>
      <c r="CS227" s="68"/>
      <c r="CT227" s="68"/>
      <c r="CU227" s="68"/>
      <c r="CV227" s="68"/>
      <c r="CW227" s="68"/>
      <c r="CX227" s="75"/>
      <c r="CY227" s="75"/>
      <c r="CZ227" s="75"/>
      <c r="DA227" s="76"/>
      <c r="DB227" s="74"/>
    </row>
    <row r="228" spans="2:106" ht="11.25" customHeight="1" x14ac:dyDescent="0.2">
      <c r="B228" s="67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  <c r="BK228" s="68"/>
      <c r="BL228" s="68"/>
      <c r="BM228" s="68"/>
      <c r="BN228" s="68"/>
      <c r="BO228" s="68"/>
      <c r="BP228" s="68"/>
      <c r="BQ228" s="68"/>
      <c r="BR228" s="68"/>
      <c r="BS228" s="68"/>
      <c r="BT228" s="68"/>
      <c r="BU228" s="68"/>
      <c r="BV228" s="68"/>
      <c r="BW228" s="68"/>
      <c r="BX228" s="68"/>
      <c r="BY228" s="68"/>
      <c r="BZ228" s="68"/>
      <c r="CA228" s="68"/>
      <c r="CB228" s="68"/>
      <c r="CC228" s="68"/>
      <c r="CD228" s="68"/>
      <c r="CE228" s="68"/>
      <c r="CF228" s="68"/>
      <c r="CG228" s="68"/>
      <c r="CH228" s="68"/>
      <c r="CI228" s="68"/>
      <c r="CJ228" s="68"/>
      <c r="CK228" s="68"/>
      <c r="CL228" s="68"/>
      <c r="CM228" s="68"/>
      <c r="CN228" s="68"/>
      <c r="CO228" s="68"/>
      <c r="CP228" s="68"/>
      <c r="CQ228" s="68"/>
      <c r="CR228" s="68"/>
      <c r="CS228" s="68"/>
      <c r="CT228" s="68"/>
      <c r="CU228" s="68"/>
      <c r="CV228" s="68"/>
      <c r="CW228" s="68"/>
      <c r="CX228" s="75"/>
      <c r="CY228" s="75"/>
      <c r="CZ228" s="75"/>
      <c r="DA228" s="76"/>
      <c r="DB228" s="74"/>
    </row>
    <row r="229" spans="2:106" ht="11.25" customHeight="1" x14ac:dyDescent="0.2">
      <c r="B229" s="67"/>
      <c r="C229" s="68"/>
      <c r="D229" s="68"/>
      <c r="E229" s="68"/>
      <c r="F229" s="68"/>
      <c r="G229" s="68" t="s">
        <v>436</v>
      </c>
      <c r="H229" s="68"/>
      <c r="I229" s="68" t="s">
        <v>214</v>
      </c>
      <c r="J229" s="68"/>
      <c r="K229" s="68" t="str">
        <f>TEXT(0.7,"#,##0.#######")</f>
        <v>0.7</v>
      </c>
      <c r="L229" s="68"/>
      <c r="M229" s="68"/>
      <c r="N229" s="68"/>
      <c r="O229" s="68"/>
      <c r="P229" s="68"/>
      <c r="Q229" s="68"/>
      <c r="R229" s="68"/>
      <c r="S229" s="68"/>
      <c r="T229" s="68" t="s">
        <v>60</v>
      </c>
      <c r="U229" s="68"/>
      <c r="V229" s="68" t="s">
        <v>214</v>
      </c>
      <c r="W229" s="68"/>
      <c r="X229" s="68" t="str">
        <f>TEXT(1,"#,##0.#######")</f>
        <v>1.</v>
      </c>
      <c r="Y229" s="68"/>
      <c r="Z229" s="68" t="s">
        <v>90</v>
      </c>
      <c r="AA229" s="68"/>
      <c r="AB229" s="68" t="str">
        <f>TEXT(1.5,"#,##0.#######")</f>
        <v>1.5</v>
      </c>
      <c r="AC229" s="68"/>
      <c r="AD229" s="68"/>
      <c r="AE229" s="68"/>
      <c r="AF229" s="68" t="s">
        <v>214</v>
      </c>
      <c r="AG229" s="68"/>
      <c r="AH229" s="68" t="str">
        <f>TEXT(ROUND(X229/AB229,2),"#,##0.#######")</f>
        <v>0.67</v>
      </c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 t="s">
        <v>224</v>
      </c>
      <c r="AT229" s="68"/>
      <c r="AU229" s="68" t="s">
        <v>214</v>
      </c>
      <c r="AV229" s="68"/>
      <c r="AW229" s="68" t="str">
        <f>TEXT(0.55,"#,##0.#######")</f>
        <v>0.55</v>
      </c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  <c r="BK229" s="68"/>
      <c r="BL229" s="68"/>
      <c r="BM229" s="68"/>
      <c r="BN229" s="68"/>
      <c r="BO229" s="68"/>
      <c r="BP229" s="68"/>
      <c r="BQ229" s="68"/>
      <c r="BR229" s="68"/>
      <c r="BS229" s="68"/>
      <c r="BT229" s="68"/>
      <c r="BU229" s="68"/>
      <c r="BV229" s="68"/>
      <c r="BW229" s="68"/>
      <c r="BX229" s="68"/>
      <c r="BY229" s="68"/>
      <c r="BZ229" s="68"/>
      <c r="CA229" s="68"/>
      <c r="CB229" s="68"/>
      <c r="CC229" s="68"/>
      <c r="CD229" s="68"/>
      <c r="CE229" s="68"/>
      <c r="CF229" s="68"/>
      <c r="CG229" s="68"/>
      <c r="CH229" s="68"/>
      <c r="CI229" s="68"/>
      <c r="CJ229" s="68"/>
      <c r="CK229" s="68"/>
      <c r="CL229" s="68"/>
      <c r="CM229" s="68"/>
      <c r="CN229" s="68"/>
      <c r="CO229" s="68"/>
      <c r="CP229" s="68"/>
      <c r="CQ229" s="68"/>
      <c r="CR229" s="68"/>
      <c r="CS229" s="68"/>
      <c r="CT229" s="68"/>
      <c r="CU229" s="68"/>
      <c r="CV229" s="68"/>
      <c r="CW229" s="68"/>
      <c r="CX229" s="75"/>
      <c r="CY229" s="75"/>
      <c r="CZ229" s="75"/>
      <c r="DA229" s="76"/>
      <c r="DB229" s="74"/>
    </row>
    <row r="230" spans="2:106" ht="11.25" customHeight="1" x14ac:dyDescent="0.2">
      <c r="B230" s="67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  <c r="BK230" s="68"/>
      <c r="BL230" s="68"/>
      <c r="BM230" s="68"/>
      <c r="BN230" s="68"/>
      <c r="BO230" s="68"/>
      <c r="BP230" s="68"/>
      <c r="BQ230" s="68"/>
      <c r="BR230" s="68"/>
      <c r="BS230" s="68"/>
      <c r="BT230" s="68"/>
      <c r="BU230" s="68"/>
      <c r="BV230" s="68"/>
      <c r="BW230" s="68"/>
      <c r="BX230" s="68"/>
      <c r="BY230" s="68"/>
      <c r="BZ230" s="68"/>
      <c r="CA230" s="68"/>
      <c r="CB230" s="68"/>
      <c r="CC230" s="68"/>
      <c r="CD230" s="68"/>
      <c r="CE230" s="68"/>
      <c r="CF230" s="68"/>
      <c r="CG230" s="68"/>
      <c r="CH230" s="68"/>
      <c r="CI230" s="68"/>
      <c r="CJ230" s="68"/>
      <c r="CK230" s="68"/>
      <c r="CL230" s="68"/>
      <c r="CM230" s="68"/>
      <c r="CN230" s="68"/>
      <c r="CO230" s="68"/>
      <c r="CP230" s="68"/>
      <c r="CQ230" s="68"/>
      <c r="CR230" s="68"/>
      <c r="CS230" s="68"/>
      <c r="CT230" s="68"/>
      <c r="CU230" s="68"/>
      <c r="CV230" s="68"/>
      <c r="CW230" s="68"/>
      <c r="CX230" s="75"/>
      <c r="CY230" s="75"/>
      <c r="CZ230" s="75"/>
      <c r="DA230" s="76"/>
      <c r="DB230" s="74"/>
    </row>
    <row r="231" spans="2:106" ht="11.25" customHeight="1" x14ac:dyDescent="0.2">
      <c r="B231" s="67"/>
      <c r="C231" s="68"/>
      <c r="D231" s="68"/>
      <c r="E231" s="68"/>
      <c r="F231" s="68"/>
      <c r="G231" s="68" t="s">
        <v>232</v>
      </c>
      <c r="H231" s="68"/>
      <c r="I231" s="68" t="s">
        <v>214</v>
      </c>
      <c r="J231" s="68"/>
      <c r="K231" s="68" t="str">
        <f>TEXT(0.45,"#,##0.#######")</f>
        <v>0.45</v>
      </c>
      <c r="L231" s="68"/>
      <c r="M231" s="68"/>
      <c r="N231" s="68"/>
      <c r="O231" s="68"/>
      <c r="P231" s="68"/>
      <c r="Q231" s="68"/>
      <c r="R231" s="68"/>
      <c r="S231" s="68"/>
      <c r="T231" s="68" t="s">
        <v>67</v>
      </c>
      <c r="U231" s="68"/>
      <c r="V231" s="68"/>
      <c r="W231" s="68" t="s">
        <v>214</v>
      </c>
      <c r="X231" s="68"/>
      <c r="Y231" s="68" t="str">
        <f>TEXT(20,"#,##0.#######")</f>
        <v>20.</v>
      </c>
      <c r="Z231" s="68"/>
      <c r="AA231" s="68" t="s">
        <v>452</v>
      </c>
      <c r="AB231" s="68"/>
      <c r="AC231" s="68"/>
      <c r="AD231" s="68"/>
      <c r="AE231" s="68" t="s">
        <v>275</v>
      </c>
      <c r="AF231" s="68" t="s">
        <v>195</v>
      </c>
      <c r="AG231" s="68"/>
      <c r="AH231" s="68"/>
      <c r="AI231" s="68" t="s">
        <v>365</v>
      </c>
      <c r="AJ231" s="68"/>
      <c r="AK231" s="68" t="s">
        <v>55</v>
      </c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  <c r="BK231" s="68"/>
      <c r="BL231" s="68"/>
      <c r="BM231" s="68"/>
      <c r="BN231" s="68"/>
      <c r="BO231" s="68"/>
      <c r="BP231" s="68"/>
      <c r="BQ231" s="68"/>
      <c r="BR231" s="68"/>
      <c r="BS231" s="68"/>
      <c r="BT231" s="68"/>
      <c r="BU231" s="68"/>
      <c r="BV231" s="68"/>
      <c r="BW231" s="68"/>
      <c r="BX231" s="68"/>
      <c r="BY231" s="68"/>
      <c r="BZ231" s="68"/>
      <c r="CA231" s="68"/>
      <c r="CB231" s="68"/>
      <c r="CC231" s="68"/>
      <c r="CD231" s="68"/>
      <c r="CE231" s="68"/>
      <c r="CF231" s="68"/>
      <c r="CG231" s="68"/>
      <c r="CH231" s="68"/>
      <c r="CI231" s="68"/>
      <c r="CJ231" s="68"/>
      <c r="CK231" s="68"/>
      <c r="CL231" s="68"/>
      <c r="CM231" s="68"/>
      <c r="CN231" s="68"/>
      <c r="CO231" s="68"/>
      <c r="CP231" s="68"/>
      <c r="CQ231" s="68"/>
      <c r="CR231" s="68"/>
      <c r="CS231" s="68"/>
      <c r="CT231" s="68"/>
      <c r="CU231" s="68"/>
      <c r="CV231" s="68"/>
      <c r="CW231" s="68"/>
      <c r="CX231" s="75"/>
      <c r="CY231" s="75"/>
      <c r="CZ231" s="75"/>
      <c r="DA231" s="76"/>
      <c r="DB231" s="74"/>
    </row>
    <row r="232" spans="2:106" ht="11.25" customHeight="1" x14ac:dyDescent="0.2">
      <c r="B232" s="67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8"/>
      <c r="BM232" s="68"/>
      <c r="BN232" s="68"/>
      <c r="BO232" s="68"/>
      <c r="BP232" s="68"/>
      <c r="BQ232" s="68"/>
      <c r="BR232" s="68"/>
      <c r="BS232" s="68"/>
      <c r="BT232" s="68"/>
      <c r="BU232" s="68"/>
      <c r="BV232" s="68"/>
      <c r="BW232" s="68"/>
      <c r="BX232" s="68"/>
      <c r="BY232" s="68"/>
      <c r="BZ232" s="68"/>
      <c r="CA232" s="68"/>
      <c r="CB232" s="68"/>
      <c r="CC232" s="68"/>
      <c r="CD232" s="68"/>
      <c r="CE232" s="68"/>
      <c r="CF232" s="68"/>
      <c r="CG232" s="68"/>
      <c r="CH232" s="68"/>
      <c r="CI232" s="68"/>
      <c r="CJ232" s="68"/>
      <c r="CK232" s="68"/>
      <c r="CL232" s="68"/>
      <c r="CM232" s="68"/>
      <c r="CN232" s="68"/>
      <c r="CO232" s="68"/>
      <c r="CP232" s="68"/>
      <c r="CQ232" s="68"/>
      <c r="CR232" s="68"/>
      <c r="CS232" s="68"/>
      <c r="CT232" s="68"/>
      <c r="CU232" s="68"/>
      <c r="CV232" s="68"/>
      <c r="CW232" s="68"/>
      <c r="CX232" s="75"/>
      <c r="CY232" s="75"/>
      <c r="CZ232" s="75"/>
      <c r="DA232" s="76"/>
      <c r="DB232" s="74"/>
    </row>
    <row r="233" spans="2:106" ht="11.25" customHeight="1" x14ac:dyDescent="0.2">
      <c r="B233" s="67"/>
      <c r="C233" s="68"/>
      <c r="D233" s="68"/>
      <c r="E233" s="68"/>
      <c r="F233" s="68"/>
      <c r="G233" s="68"/>
      <c r="H233" s="68"/>
      <c r="I233" s="68"/>
      <c r="J233" s="68"/>
      <c r="K233" s="68"/>
      <c r="L233" s="68" t="str">
        <f>TEXT(3600,"#,##0.#######")</f>
        <v>3,600.</v>
      </c>
      <c r="M233" s="68"/>
      <c r="N233" s="68"/>
      <c r="O233" s="68"/>
      <c r="P233" s="68"/>
      <c r="Q233" s="68" t="s">
        <v>437</v>
      </c>
      <c r="R233" s="68"/>
      <c r="S233" s="68" t="s">
        <v>436</v>
      </c>
      <c r="T233" s="68" t="s">
        <v>437</v>
      </c>
      <c r="U233" s="68"/>
      <c r="V233" s="68" t="s">
        <v>224</v>
      </c>
      <c r="W233" s="68" t="s">
        <v>437</v>
      </c>
      <c r="X233" s="68"/>
      <c r="Y233" s="68" t="s">
        <v>60</v>
      </c>
      <c r="Z233" s="68" t="s">
        <v>437</v>
      </c>
      <c r="AA233" s="68"/>
      <c r="AB233" s="68" t="s">
        <v>232</v>
      </c>
      <c r="AC233" s="68"/>
      <c r="AD233" s="68"/>
      <c r="AE233" s="68"/>
      <c r="AF233" s="68"/>
      <c r="AG233" s="68"/>
      <c r="AH233" s="68"/>
      <c r="AI233" s="68" t="str">
        <f>TEXT(L233,"#,##0.#######")</f>
        <v>3,600.</v>
      </c>
      <c r="AJ233" s="68"/>
      <c r="AK233" s="68"/>
      <c r="AL233" s="68"/>
      <c r="AM233" s="68"/>
      <c r="AN233" s="68" t="s">
        <v>437</v>
      </c>
      <c r="AO233" s="68"/>
      <c r="AP233" s="68" t="str">
        <f>TEXT(K229,"#,##0.#######")</f>
        <v>0.7</v>
      </c>
      <c r="AQ233" s="68"/>
      <c r="AR233" s="68"/>
      <c r="AS233" s="68" t="s">
        <v>437</v>
      </c>
      <c r="AT233" s="68"/>
      <c r="AU233" s="68" t="str">
        <f>TEXT(AW229,"#,##0.#######")</f>
        <v>0.55</v>
      </c>
      <c r="AV233" s="68"/>
      <c r="AW233" s="68"/>
      <c r="AX233" s="68"/>
      <c r="AY233" s="68" t="s">
        <v>437</v>
      </c>
      <c r="AZ233" s="68"/>
      <c r="BA233" s="68" t="str">
        <f>TEXT(AH229,"#,##0.#######")</f>
        <v>0.67</v>
      </c>
      <c r="BB233" s="68"/>
      <c r="BC233" s="68"/>
      <c r="BD233" s="68"/>
      <c r="BE233" s="68" t="s">
        <v>437</v>
      </c>
      <c r="BF233" s="68"/>
      <c r="BG233" s="68" t="str">
        <f>TEXT(K231,"#,##0.#######")</f>
        <v>0.45</v>
      </c>
      <c r="BH233" s="68"/>
      <c r="BI233" s="68"/>
      <c r="BJ233" s="68"/>
      <c r="BK233" s="68"/>
      <c r="BL233" s="68"/>
      <c r="BM233" s="68"/>
      <c r="BN233" s="68"/>
      <c r="BO233" s="68"/>
      <c r="BP233" s="68"/>
      <c r="BQ233" s="68"/>
      <c r="BR233" s="68"/>
      <c r="BS233" s="68"/>
      <c r="BT233" s="68"/>
      <c r="BU233" s="68"/>
      <c r="BV233" s="68"/>
      <c r="BW233" s="68"/>
      <c r="BX233" s="68"/>
      <c r="BY233" s="68"/>
      <c r="BZ233" s="68"/>
      <c r="CA233" s="68"/>
      <c r="CB233" s="68"/>
      <c r="CC233" s="68"/>
      <c r="CD233" s="68"/>
      <c r="CE233" s="68"/>
      <c r="CF233" s="68"/>
      <c r="CG233" s="68"/>
      <c r="CH233" s="68"/>
      <c r="CI233" s="68"/>
      <c r="CJ233" s="68"/>
      <c r="CK233" s="68"/>
      <c r="CL233" s="68"/>
      <c r="CM233" s="68"/>
      <c r="CN233" s="68"/>
      <c r="CO233" s="68"/>
      <c r="CP233" s="68"/>
      <c r="CQ233" s="68"/>
      <c r="CR233" s="68"/>
      <c r="CS233" s="68"/>
      <c r="CT233" s="68"/>
      <c r="CU233" s="68"/>
      <c r="CV233" s="68"/>
      <c r="CW233" s="68"/>
      <c r="CX233" s="75"/>
      <c r="CY233" s="75"/>
      <c r="CZ233" s="75"/>
      <c r="DA233" s="76"/>
      <c r="DB233" s="74"/>
    </row>
    <row r="234" spans="2:106" ht="11.25" customHeight="1" x14ac:dyDescent="0.2">
      <c r="B234" s="67"/>
      <c r="C234" s="68"/>
      <c r="D234" s="68"/>
      <c r="E234" s="68"/>
      <c r="F234" s="68"/>
      <c r="G234" s="68" t="s">
        <v>26</v>
      </c>
      <c r="H234" s="68"/>
      <c r="I234" s="68" t="s">
        <v>214</v>
      </c>
      <c r="J234" s="68"/>
      <c r="K234" s="68" t="s">
        <v>148</v>
      </c>
      <c r="L234" s="68"/>
      <c r="M234" s="68" t="s">
        <v>148</v>
      </c>
      <c r="N234" s="68"/>
      <c r="O234" s="68" t="s">
        <v>148</v>
      </c>
      <c r="P234" s="68"/>
      <c r="Q234" s="68" t="s">
        <v>148</v>
      </c>
      <c r="R234" s="68"/>
      <c r="S234" s="68" t="s">
        <v>148</v>
      </c>
      <c r="T234" s="68"/>
      <c r="U234" s="68" t="s">
        <v>148</v>
      </c>
      <c r="V234" s="68"/>
      <c r="W234" s="68" t="s">
        <v>148</v>
      </c>
      <c r="X234" s="68"/>
      <c r="Y234" s="68" t="s">
        <v>148</v>
      </c>
      <c r="Z234" s="68"/>
      <c r="AA234" s="68" t="s">
        <v>148</v>
      </c>
      <c r="AB234" s="68"/>
      <c r="AC234" s="68" t="s">
        <v>148</v>
      </c>
      <c r="AD234" s="68"/>
      <c r="AE234" s="68"/>
      <c r="AF234" s="68" t="s">
        <v>214</v>
      </c>
      <c r="AG234" s="68"/>
      <c r="AH234" s="68" t="s">
        <v>148</v>
      </c>
      <c r="AI234" s="68"/>
      <c r="AJ234" s="68" t="s">
        <v>148</v>
      </c>
      <c r="AK234" s="68"/>
      <c r="AL234" s="68" t="s">
        <v>148</v>
      </c>
      <c r="AM234" s="68"/>
      <c r="AN234" s="68" t="s">
        <v>148</v>
      </c>
      <c r="AO234" s="68"/>
      <c r="AP234" s="68" t="s">
        <v>148</v>
      </c>
      <c r="AQ234" s="68"/>
      <c r="AR234" s="68" t="s">
        <v>148</v>
      </c>
      <c r="AS234" s="68"/>
      <c r="AT234" s="68" t="s">
        <v>148</v>
      </c>
      <c r="AU234" s="68"/>
      <c r="AV234" s="68" t="s">
        <v>148</v>
      </c>
      <c r="AW234" s="68"/>
      <c r="AX234" s="68" t="s">
        <v>148</v>
      </c>
      <c r="AY234" s="68"/>
      <c r="AZ234" s="68" t="s">
        <v>148</v>
      </c>
      <c r="BA234" s="68"/>
      <c r="BB234" s="68" t="s">
        <v>148</v>
      </c>
      <c r="BC234" s="68"/>
      <c r="BD234" s="68" t="s">
        <v>148</v>
      </c>
      <c r="BE234" s="68"/>
      <c r="BF234" s="68" t="s">
        <v>148</v>
      </c>
      <c r="BG234" s="68"/>
      <c r="BH234" s="68" t="s">
        <v>148</v>
      </c>
      <c r="BI234" s="68"/>
      <c r="BJ234" s="68" t="s">
        <v>148</v>
      </c>
      <c r="BK234" s="68"/>
      <c r="BL234" s="68" t="s">
        <v>214</v>
      </c>
      <c r="BM234" s="68"/>
      <c r="BN234" s="68" t="str">
        <f>TEXT(ROUND((3600*K229*AW229*AH229*K231)/(Y231),2),"#,##0.#######")</f>
        <v>20.89</v>
      </c>
      <c r="BO234" s="68"/>
      <c r="BP234" s="68"/>
      <c r="BQ234" s="68"/>
      <c r="BR234" s="68"/>
      <c r="BS234" s="68"/>
      <c r="BT234" s="68"/>
      <c r="BU234" s="68"/>
      <c r="BV234" s="68" t="s">
        <v>368</v>
      </c>
      <c r="BW234" s="68"/>
      <c r="BX234" s="68" t="s">
        <v>90</v>
      </c>
      <c r="BY234" s="68" t="s">
        <v>380</v>
      </c>
      <c r="BZ234" s="68"/>
      <c r="CA234" s="68"/>
      <c r="CB234" s="68"/>
      <c r="CC234" s="68"/>
      <c r="CD234" s="68"/>
      <c r="CE234" s="68"/>
      <c r="CF234" s="68"/>
      <c r="CG234" s="68"/>
      <c r="CH234" s="68"/>
      <c r="CI234" s="68"/>
      <c r="CJ234" s="68"/>
      <c r="CK234" s="68"/>
      <c r="CL234" s="68"/>
      <c r="CM234" s="68"/>
      <c r="CN234" s="68"/>
      <c r="CO234" s="68"/>
      <c r="CP234" s="68"/>
      <c r="CQ234" s="68"/>
      <c r="CR234" s="68"/>
      <c r="CS234" s="68"/>
      <c r="CT234" s="68"/>
      <c r="CU234" s="68"/>
      <c r="CV234" s="68"/>
      <c r="CW234" s="68"/>
      <c r="CX234" s="75"/>
      <c r="CY234" s="75"/>
      <c r="CZ234" s="75"/>
      <c r="DA234" s="76"/>
      <c r="DB234" s="74"/>
    </row>
    <row r="235" spans="2:106" ht="11.25" customHeight="1" x14ac:dyDescent="0.2">
      <c r="B235" s="67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 t="s">
        <v>67</v>
      </c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 t="str">
        <f>TEXT(Y231,"#,##0.#######")</f>
        <v>20.</v>
      </c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  <c r="BK235" s="68"/>
      <c r="BL235" s="68"/>
      <c r="BM235" s="68"/>
      <c r="BN235" s="68"/>
      <c r="BO235" s="68"/>
      <c r="BP235" s="68"/>
      <c r="BQ235" s="68"/>
      <c r="BR235" s="68"/>
      <c r="BS235" s="68"/>
      <c r="BT235" s="68"/>
      <c r="BU235" s="68"/>
      <c r="BV235" s="68"/>
      <c r="BW235" s="68"/>
      <c r="BX235" s="68"/>
      <c r="BY235" s="68"/>
      <c r="BZ235" s="68"/>
      <c r="CA235" s="68"/>
      <c r="CB235" s="68"/>
      <c r="CC235" s="68"/>
      <c r="CD235" s="68"/>
      <c r="CE235" s="68"/>
      <c r="CF235" s="68"/>
      <c r="CG235" s="68"/>
      <c r="CH235" s="68"/>
      <c r="CI235" s="68"/>
      <c r="CJ235" s="68"/>
      <c r="CK235" s="68"/>
      <c r="CL235" s="68"/>
      <c r="CM235" s="68"/>
      <c r="CN235" s="68"/>
      <c r="CO235" s="68"/>
      <c r="CP235" s="68"/>
      <c r="CQ235" s="68"/>
      <c r="CR235" s="68"/>
      <c r="CS235" s="68"/>
      <c r="CT235" s="68"/>
      <c r="CU235" s="68"/>
      <c r="CV235" s="68"/>
      <c r="CW235" s="68"/>
      <c r="CX235" s="75"/>
      <c r="CY235" s="75"/>
      <c r="CZ235" s="75"/>
      <c r="DA235" s="76"/>
      <c r="DB235" s="74"/>
    </row>
    <row r="236" spans="2:106" ht="11.25" customHeight="1" x14ac:dyDescent="0.2">
      <c r="B236" s="67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68"/>
      <c r="BP236" s="68"/>
      <c r="BQ236" s="68"/>
      <c r="BR236" s="68"/>
      <c r="BS236" s="68"/>
      <c r="BT236" s="68"/>
      <c r="BU236" s="68"/>
      <c r="BV236" s="68"/>
      <c r="BW236" s="68"/>
      <c r="BX236" s="68"/>
      <c r="BY236" s="68"/>
      <c r="BZ236" s="68"/>
      <c r="CA236" s="68"/>
      <c r="CB236" s="68"/>
      <c r="CC236" s="68"/>
      <c r="CD236" s="68"/>
      <c r="CE236" s="68"/>
      <c r="CF236" s="68"/>
      <c r="CG236" s="68"/>
      <c r="CH236" s="68"/>
      <c r="CI236" s="68"/>
      <c r="CJ236" s="68"/>
      <c r="CK236" s="68"/>
      <c r="CL236" s="68"/>
      <c r="CM236" s="68"/>
      <c r="CN236" s="68"/>
      <c r="CO236" s="68"/>
      <c r="CP236" s="68"/>
      <c r="CQ236" s="68"/>
      <c r="CR236" s="68"/>
      <c r="CS236" s="68"/>
      <c r="CT236" s="68"/>
      <c r="CU236" s="68"/>
      <c r="CV236" s="68"/>
      <c r="CW236" s="68"/>
      <c r="CX236" s="75"/>
      <c r="CY236" s="75"/>
      <c r="CZ236" s="75"/>
      <c r="DA236" s="76"/>
      <c r="DB236" s="74"/>
    </row>
    <row r="237" spans="2:106" ht="11.25" customHeight="1" x14ac:dyDescent="0.2">
      <c r="B237" s="67"/>
      <c r="C237" s="68"/>
      <c r="D237" s="68"/>
      <c r="E237" s="68"/>
      <c r="F237" s="68"/>
      <c r="G237" s="68" t="s">
        <v>438</v>
      </c>
      <c r="H237" s="68"/>
      <c r="I237" s="68"/>
      <c r="J237" s="68"/>
      <c r="K237" s="68"/>
      <c r="L237" s="68"/>
      <c r="M237" s="68"/>
      <c r="N237" s="68" t="s">
        <v>383</v>
      </c>
      <c r="O237" s="68"/>
      <c r="P237" s="68" t="str">
        <f>TEXT(기계경비총괄표!G10,"#,##0")</f>
        <v>38,972</v>
      </c>
      <c r="Q237" s="68"/>
      <c r="R237" s="68"/>
      <c r="S237" s="68"/>
      <c r="T237" s="68"/>
      <c r="U237" s="68"/>
      <c r="V237" s="68"/>
      <c r="W237" s="68"/>
      <c r="X237" s="68"/>
      <c r="Y237" s="68" t="s">
        <v>253</v>
      </c>
      <c r="Z237" s="68"/>
      <c r="AA237" s="68"/>
      <c r="AB237" s="68" t="str">
        <f>TEXT(BN234,"#,##0.#######")</f>
        <v>20.89</v>
      </c>
      <c r="AC237" s="68"/>
      <c r="AD237" s="68"/>
      <c r="AE237" s="68"/>
      <c r="AF237" s="68"/>
      <c r="AG237" s="68"/>
      <c r="AH237" s="68"/>
      <c r="AI237" s="68"/>
      <c r="AJ237" s="68" t="s">
        <v>214</v>
      </c>
      <c r="AK237" s="68"/>
      <c r="AL237" s="68" t="str">
        <f>TEXT(TRUNC(P237/BN234,1),"#,##0.#")</f>
        <v>1,865.5</v>
      </c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  <c r="BK237" s="68"/>
      <c r="BL237" s="68"/>
      <c r="BM237" s="68"/>
      <c r="BN237" s="68"/>
      <c r="BO237" s="68"/>
      <c r="BP237" s="68"/>
      <c r="BQ237" s="68"/>
      <c r="BR237" s="68"/>
      <c r="BS237" s="68"/>
      <c r="BT237" s="68"/>
      <c r="BU237" s="68"/>
      <c r="BV237" s="68"/>
      <c r="BW237" s="68"/>
      <c r="BX237" s="68"/>
      <c r="BY237" s="68"/>
      <c r="BZ237" s="68"/>
      <c r="CA237" s="68"/>
      <c r="CB237" s="68"/>
      <c r="CC237" s="68"/>
      <c r="CD237" s="68"/>
      <c r="CE237" s="68"/>
      <c r="CF237" s="68"/>
      <c r="CG237" s="68"/>
      <c r="CH237" s="68"/>
      <c r="CI237" s="68"/>
      <c r="CJ237" s="68"/>
      <c r="CK237" s="68"/>
      <c r="CL237" s="68"/>
      <c r="CM237" s="68"/>
      <c r="CN237" s="68"/>
      <c r="CO237" s="68"/>
      <c r="CP237" s="68"/>
      <c r="CQ237" s="68"/>
      <c r="CR237" s="68"/>
      <c r="CS237" s="68"/>
      <c r="CT237" s="68"/>
      <c r="CU237" s="68"/>
      <c r="CV237" s="68"/>
      <c r="CW237" s="68"/>
      <c r="CX237" s="75"/>
      <c r="CY237" s="75"/>
      <c r="CZ237" s="75"/>
      <c r="DA237" s="76"/>
      <c r="DB237" s="74"/>
    </row>
    <row r="238" spans="2:106" ht="11.25" customHeight="1" x14ac:dyDescent="0.2">
      <c r="B238" s="67"/>
      <c r="C238" s="68"/>
      <c r="D238" s="68"/>
      <c r="E238" s="68"/>
      <c r="F238" s="68"/>
      <c r="G238" s="68" t="s">
        <v>319</v>
      </c>
      <c r="H238" s="68"/>
      <c r="I238" s="68"/>
      <c r="J238" s="68"/>
      <c r="K238" s="68"/>
      <c r="L238" s="68"/>
      <c r="M238" s="68"/>
      <c r="N238" s="68" t="s">
        <v>383</v>
      </c>
      <c r="O238" s="68"/>
      <c r="P238" s="68" t="str">
        <f>TEXT(기계경비총괄표!H10,"#,##0")</f>
        <v>15,991</v>
      </c>
      <c r="Q238" s="68"/>
      <c r="R238" s="68"/>
      <c r="S238" s="68"/>
      <c r="T238" s="68"/>
      <c r="U238" s="68"/>
      <c r="V238" s="68"/>
      <c r="W238" s="68"/>
      <c r="X238" s="68"/>
      <c r="Y238" s="68" t="s">
        <v>253</v>
      </c>
      <c r="Z238" s="68"/>
      <c r="AA238" s="68"/>
      <c r="AB238" s="68" t="str">
        <f>TEXT(BN234,"#,##0.#######")</f>
        <v>20.89</v>
      </c>
      <c r="AC238" s="68"/>
      <c r="AD238" s="68"/>
      <c r="AE238" s="68"/>
      <c r="AF238" s="68"/>
      <c r="AG238" s="68"/>
      <c r="AH238" s="68"/>
      <c r="AI238" s="68"/>
      <c r="AJ238" s="68" t="s">
        <v>214</v>
      </c>
      <c r="AK238" s="68"/>
      <c r="AL238" s="68"/>
      <c r="AM238" s="68"/>
      <c r="AN238" s="68" t="str">
        <f>TEXT(TRUNC(P238/BN234,1),"#,##0.#")</f>
        <v>765.4</v>
      </c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  <c r="BK238" s="68"/>
      <c r="BL238" s="68"/>
      <c r="BM238" s="68"/>
      <c r="BN238" s="68"/>
      <c r="BO238" s="68"/>
      <c r="BP238" s="68"/>
      <c r="BQ238" s="68"/>
      <c r="BR238" s="68"/>
      <c r="BS238" s="68"/>
      <c r="BT238" s="68"/>
      <c r="BU238" s="68"/>
      <c r="BV238" s="68"/>
      <c r="BW238" s="68"/>
      <c r="BX238" s="68"/>
      <c r="BY238" s="68"/>
      <c r="BZ238" s="68"/>
      <c r="CA238" s="68"/>
      <c r="CB238" s="68"/>
      <c r="CC238" s="68"/>
      <c r="CD238" s="68"/>
      <c r="CE238" s="68"/>
      <c r="CF238" s="68"/>
      <c r="CG238" s="68"/>
      <c r="CH238" s="68"/>
      <c r="CI238" s="68"/>
      <c r="CJ238" s="68"/>
      <c r="CK238" s="68"/>
      <c r="CL238" s="68"/>
      <c r="CM238" s="68"/>
      <c r="CN238" s="68"/>
      <c r="CO238" s="68"/>
      <c r="CP238" s="68"/>
      <c r="CQ238" s="68"/>
      <c r="CR238" s="68"/>
      <c r="CS238" s="68"/>
      <c r="CT238" s="68"/>
      <c r="CU238" s="68"/>
      <c r="CV238" s="68"/>
      <c r="CW238" s="68"/>
      <c r="CX238" s="75"/>
      <c r="CY238" s="75"/>
      <c r="CZ238" s="75"/>
      <c r="DA238" s="76"/>
      <c r="DB238" s="74"/>
    </row>
    <row r="239" spans="2:106" ht="11.25" customHeight="1" x14ac:dyDescent="0.2">
      <c r="B239" s="67"/>
      <c r="C239" s="68"/>
      <c r="D239" s="68"/>
      <c r="E239" s="68"/>
      <c r="F239" s="68"/>
      <c r="G239" s="68" t="s">
        <v>116</v>
      </c>
      <c r="H239" s="68"/>
      <c r="I239" s="68"/>
      <c r="J239" s="68"/>
      <c r="K239" s="68" t="s">
        <v>281</v>
      </c>
      <c r="L239" s="68"/>
      <c r="M239" s="68"/>
      <c r="N239" s="68" t="s">
        <v>383</v>
      </c>
      <c r="O239" s="68"/>
      <c r="P239" s="68" t="str">
        <f>TEXT(기계경비총괄표!I10,"#,##0")</f>
        <v>24,470</v>
      </c>
      <c r="Q239" s="68"/>
      <c r="R239" s="68"/>
      <c r="S239" s="68"/>
      <c r="T239" s="68"/>
      <c r="U239" s="68"/>
      <c r="V239" s="68"/>
      <c r="W239" s="68"/>
      <c r="X239" s="68"/>
      <c r="Y239" s="68" t="s">
        <v>253</v>
      </c>
      <c r="Z239" s="68"/>
      <c r="AA239" s="68"/>
      <c r="AB239" s="68" t="str">
        <f>TEXT(BN234,"#,##0.#######")</f>
        <v>20.89</v>
      </c>
      <c r="AC239" s="68"/>
      <c r="AD239" s="68"/>
      <c r="AE239" s="68"/>
      <c r="AF239" s="68"/>
      <c r="AG239" s="68"/>
      <c r="AH239" s="68"/>
      <c r="AI239" s="68"/>
      <c r="AJ239" s="68" t="s">
        <v>214</v>
      </c>
      <c r="AK239" s="68"/>
      <c r="AL239" s="68" t="str">
        <f>TEXT(TRUNC(P239/BN234,1),"#,##0.#")</f>
        <v>1,171.3</v>
      </c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  <c r="BP239" s="68"/>
      <c r="BQ239" s="68"/>
      <c r="BR239" s="68"/>
      <c r="BS239" s="68"/>
      <c r="BT239" s="68"/>
      <c r="BU239" s="68"/>
      <c r="BV239" s="68"/>
      <c r="BW239" s="68"/>
      <c r="BX239" s="68"/>
      <c r="BY239" s="68"/>
      <c r="BZ239" s="68"/>
      <c r="CA239" s="68"/>
      <c r="CB239" s="68"/>
      <c r="CC239" s="68"/>
      <c r="CD239" s="68"/>
      <c r="CE239" s="68"/>
      <c r="CF239" s="68"/>
      <c r="CG239" s="68"/>
      <c r="CH239" s="68"/>
      <c r="CI239" s="68"/>
      <c r="CJ239" s="68"/>
      <c r="CK239" s="68"/>
      <c r="CL239" s="68"/>
      <c r="CM239" s="68"/>
      <c r="CN239" s="68"/>
      <c r="CO239" s="68"/>
      <c r="CP239" s="68"/>
      <c r="CQ239" s="68"/>
      <c r="CR239" s="68"/>
      <c r="CS239" s="68"/>
      <c r="CT239" s="68"/>
      <c r="CU239" s="68"/>
      <c r="CV239" s="68"/>
      <c r="CW239" s="68"/>
      <c r="CX239" s="75"/>
      <c r="CY239" s="75"/>
      <c r="CZ239" s="75"/>
      <c r="DA239" s="76"/>
      <c r="DB239" s="74"/>
    </row>
    <row r="240" spans="2:106" ht="11.25" customHeight="1" x14ac:dyDescent="0.2">
      <c r="B240" s="67"/>
      <c r="C240" s="68"/>
      <c r="D240" s="68"/>
      <c r="E240" s="68"/>
      <c r="F240" s="68"/>
      <c r="G240" s="68" t="s">
        <v>213</v>
      </c>
      <c r="H240" s="68"/>
      <c r="I240" s="68"/>
      <c r="J240" s="68"/>
      <c r="K240" s="68" t="s">
        <v>279</v>
      </c>
      <c r="L240" s="68"/>
      <c r="M240" s="68"/>
      <c r="N240" s="68" t="s">
        <v>383</v>
      </c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 t="str">
        <f>TEXT(AL237+AN238+AL239,"#,##0.#######")</f>
        <v>3,802.2</v>
      </c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  <c r="BK240" s="68"/>
      <c r="BL240" s="68"/>
      <c r="BM240" s="68"/>
      <c r="BN240" s="68"/>
      <c r="BO240" s="68"/>
      <c r="BP240" s="68"/>
      <c r="BQ240" s="68"/>
      <c r="BR240" s="68"/>
      <c r="BS240" s="68"/>
      <c r="BT240" s="68"/>
      <c r="BU240" s="68"/>
      <c r="BV240" s="68"/>
      <c r="BW240" s="68"/>
      <c r="BX240" s="68"/>
      <c r="BY240" s="68"/>
      <c r="BZ240" s="68"/>
      <c r="CA240" s="68"/>
      <c r="CB240" s="68"/>
      <c r="CC240" s="68"/>
      <c r="CD240" s="68"/>
      <c r="CE240" s="68"/>
      <c r="CF240" s="68"/>
      <c r="CG240" s="68"/>
      <c r="CH240" s="68"/>
      <c r="CI240" s="68"/>
      <c r="CJ240" s="68"/>
      <c r="CK240" s="68"/>
      <c r="CL240" s="68"/>
      <c r="CM240" s="68"/>
      <c r="CN240" s="68"/>
      <c r="CO240" s="68"/>
      <c r="CP240" s="68"/>
      <c r="CQ240" s="68"/>
      <c r="CR240" s="68"/>
      <c r="CS240" s="68"/>
      <c r="CT240" s="68"/>
      <c r="CU240" s="68"/>
      <c r="CV240" s="68"/>
      <c r="CW240" s="68"/>
      <c r="CX240" s="75">
        <f>CY240+CZ240+DA240</f>
        <v>3802.2</v>
      </c>
      <c r="CY240" s="75" t="str">
        <f>TEXT(AL237,"#,###.0")</f>
        <v>1,865.5</v>
      </c>
      <c r="CZ240" s="75" t="str">
        <f>TEXT(AN238,"#,###.0")</f>
        <v>765.4</v>
      </c>
      <c r="DA240" s="76" t="str">
        <f>TEXT(AL239,"#,###.0")</f>
        <v>1,171.3</v>
      </c>
      <c r="DB240" s="74"/>
    </row>
    <row r="241" spans="2:106" ht="11.25" customHeight="1" x14ac:dyDescent="0.2">
      <c r="B241" s="67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  <c r="BK241" s="68"/>
      <c r="BL241" s="68"/>
      <c r="BM241" s="68"/>
      <c r="BN241" s="68"/>
      <c r="BO241" s="68"/>
      <c r="BP241" s="68"/>
      <c r="BQ241" s="68"/>
      <c r="BR241" s="68"/>
      <c r="BS241" s="68"/>
      <c r="BT241" s="68"/>
      <c r="BU241" s="68"/>
      <c r="BV241" s="68"/>
      <c r="BW241" s="68"/>
      <c r="BX241" s="68"/>
      <c r="BY241" s="68"/>
      <c r="BZ241" s="68"/>
      <c r="CA241" s="68"/>
      <c r="CB241" s="68"/>
      <c r="CC241" s="68"/>
      <c r="CD241" s="68"/>
      <c r="CE241" s="68"/>
      <c r="CF241" s="68"/>
      <c r="CG241" s="68"/>
      <c r="CH241" s="68"/>
      <c r="CI241" s="68"/>
      <c r="CJ241" s="68"/>
      <c r="CK241" s="68"/>
      <c r="CL241" s="68"/>
      <c r="CM241" s="68"/>
      <c r="CN241" s="68"/>
      <c r="CO241" s="68"/>
      <c r="CP241" s="68"/>
      <c r="CQ241" s="68"/>
      <c r="CR241" s="68"/>
      <c r="CS241" s="68"/>
      <c r="CT241" s="68"/>
      <c r="CU241" s="68"/>
      <c r="CV241" s="68"/>
      <c r="CW241" s="68"/>
      <c r="CX241" s="75"/>
      <c r="CY241" s="75"/>
      <c r="CZ241" s="75"/>
      <c r="DA241" s="76"/>
      <c r="DB241" s="74"/>
    </row>
    <row r="242" spans="2:106" ht="11.25" customHeight="1" x14ac:dyDescent="0.2">
      <c r="B242" s="67"/>
      <c r="C242" s="68"/>
      <c r="D242" s="68" t="s">
        <v>377</v>
      </c>
      <c r="E242" s="68"/>
      <c r="F242" s="68"/>
      <c r="G242" s="68" t="s">
        <v>353</v>
      </c>
      <c r="H242" s="68"/>
      <c r="I242" s="68"/>
      <c r="J242" s="68"/>
      <c r="K242" s="68" t="s">
        <v>279</v>
      </c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  <c r="BK242" s="68"/>
      <c r="BL242" s="68"/>
      <c r="BM242" s="68"/>
      <c r="BN242" s="68"/>
      <c r="BO242" s="68"/>
      <c r="BP242" s="68"/>
      <c r="BQ242" s="68"/>
      <c r="BR242" s="68"/>
      <c r="BS242" s="68"/>
      <c r="BT242" s="68"/>
      <c r="BU242" s="68"/>
      <c r="BV242" s="68"/>
      <c r="BW242" s="68"/>
      <c r="BX242" s="68"/>
      <c r="BY242" s="68"/>
      <c r="BZ242" s="68"/>
      <c r="CA242" s="68"/>
      <c r="CB242" s="68"/>
      <c r="CC242" s="68"/>
      <c r="CD242" s="68"/>
      <c r="CE242" s="68"/>
      <c r="CF242" s="68"/>
      <c r="CG242" s="68"/>
      <c r="CH242" s="68"/>
      <c r="CI242" s="68"/>
      <c r="CJ242" s="68"/>
      <c r="CK242" s="68"/>
      <c r="CL242" s="68"/>
      <c r="CM242" s="68"/>
      <c r="CN242" s="68"/>
      <c r="CO242" s="68"/>
      <c r="CP242" s="68"/>
      <c r="CQ242" s="68"/>
      <c r="CR242" s="68"/>
      <c r="CS242" s="68"/>
      <c r="CT242" s="68"/>
      <c r="CU242" s="68"/>
      <c r="CV242" s="68"/>
      <c r="CW242" s="68"/>
      <c r="CX242" s="75"/>
      <c r="CY242" s="75"/>
      <c r="CZ242" s="75"/>
      <c r="DA242" s="76"/>
      <c r="DB242" s="74"/>
    </row>
    <row r="243" spans="2:106" ht="11.25" customHeight="1" x14ac:dyDescent="0.2">
      <c r="B243" s="67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  <c r="BK243" s="68"/>
      <c r="BL243" s="68"/>
      <c r="BM243" s="68"/>
      <c r="BN243" s="68"/>
      <c r="BO243" s="68"/>
      <c r="BP243" s="68"/>
      <c r="BQ243" s="68"/>
      <c r="BR243" s="68"/>
      <c r="BS243" s="68"/>
      <c r="BT243" s="68"/>
      <c r="BU243" s="68"/>
      <c r="BV243" s="68"/>
      <c r="BW243" s="68"/>
      <c r="BX243" s="68"/>
      <c r="BY243" s="68"/>
      <c r="BZ243" s="68"/>
      <c r="CA243" s="68"/>
      <c r="CB243" s="68"/>
      <c r="CC243" s="68"/>
      <c r="CD243" s="68"/>
      <c r="CE243" s="68"/>
      <c r="CF243" s="68"/>
      <c r="CG243" s="68"/>
      <c r="CH243" s="68"/>
      <c r="CI243" s="68"/>
      <c r="CJ243" s="68"/>
      <c r="CK243" s="68"/>
      <c r="CL243" s="68"/>
      <c r="CM243" s="68"/>
      <c r="CN243" s="68"/>
      <c r="CO243" s="68"/>
      <c r="CP243" s="68"/>
      <c r="CQ243" s="68"/>
      <c r="CR243" s="68"/>
      <c r="CS243" s="68"/>
      <c r="CT243" s="68"/>
      <c r="CU243" s="68"/>
      <c r="CV243" s="68"/>
      <c r="CW243" s="68"/>
      <c r="CX243" s="75"/>
      <c r="CY243" s="75"/>
      <c r="CZ243" s="75"/>
      <c r="DA243" s="76"/>
      <c r="DB243" s="74"/>
    </row>
    <row r="244" spans="2:106" ht="11.25" customHeight="1" x14ac:dyDescent="0.2">
      <c r="B244" s="67"/>
      <c r="C244" s="68"/>
      <c r="D244" s="68"/>
      <c r="E244" s="68"/>
      <c r="F244" s="68"/>
      <c r="G244" s="68"/>
      <c r="H244" s="68" t="s">
        <v>438</v>
      </c>
      <c r="I244" s="68"/>
      <c r="J244" s="68"/>
      <c r="K244" s="68"/>
      <c r="L244" s="68"/>
      <c r="M244" s="68"/>
      <c r="N244" s="68"/>
      <c r="O244" s="68" t="s">
        <v>383</v>
      </c>
      <c r="P244" s="68"/>
      <c r="Q244" s="68" t="str">
        <f>TEXT(TRUNC(CY240,0),"#,##0")</f>
        <v>1,865</v>
      </c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  <c r="BK244" s="68"/>
      <c r="BL244" s="68"/>
      <c r="BM244" s="68"/>
      <c r="BN244" s="68"/>
      <c r="BO244" s="68"/>
      <c r="BP244" s="68"/>
      <c r="BQ244" s="68"/>
      <c r="BR244" s="68"/>
      <c r="BS244" s="68"/>
      <c r="BT244" s="68"/>
      <c r="BU244" s="68"/>
      <c r="BV244" s="68"/>
      <c r="BW244" s="68"/>
      <c r="BX244" s="68"/>
      <c r="BY244" s="68"/>
      <c r="BZ244" s="68"/>
      <c r="CA244" s="68"/>
      <c r="CB244" s="68"/>
      <c r="CC244" s="68"/>
      <c r="CD244" s="68"/>
      <c r="CE244" s="68"/>
      <c r="CF244" s="68"/>
      <c r="CG244" s="68"/>
      <c r="CH244" s="68"/>
      <c r="CI244" s="68"/>
      <c r="CJ244" s="68"/>
      <c r="CK244" s="68"/>
      <c r="CL244" s="68"/>
      <c r="CM244" s="68"/>
      <c r="CN244" s="68"/>
      <c r="CO244" s="68"/>
      <c r="CP244" s="68"/>
      <c r="CQ244" s="68"/>
      <c r="CR244" s="68"/>
      <c r="CS244" s="68"/>
      <c r="CT244" s="68"/>
      <c r="CU244" s="68"/>
      <c r="CV244" s="68"/>
      <c r="CW244" s="68"/>
      <c r="CX244" s="75"/>
      <c r="CY244" s="75"/>
      <c r="CZ244" s="75"/>
      <c r="DA244" s="76"/>
      <c r="DB244" s="74"/>
    </row>
    <row r="245" spans="2:106" ht="11.25" customHeight="1" x14ac:dyDescent="0.2">
      <c r="B245" s="67"/>
      <c r="C245" s="68"/>
      <c r="D245" s="68"/>
      <c r="E245" s="68"/>
      <c r="F245" s="68"/>
      <c r="G245" s="68"/>
      <c r="H245" s="68" t="s">
        <v>319</v>
      </c>
      <c r="I245" s="68"/>
      <c r="J245" s="68"/>
      <c r="K245" s="68"/>
      <c r="L245" s="68"/>
      <c r="M245" s="68"/>
      <c r="N245" s="68"/>
      <c r="O245" s="68" t="s">
        <v>383</v>
      </c>
      <c r="P245" s="68"/>
      <c r="Q245" s="68" t="str">
        <f>TEXT(TRUNC(CZ240,0),"#,##0")</f>
        <v>765</v>
      </c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  <c r="BK245" s="68"/>
      <c r="BL245" s="68"/>
      <c r="BM245" s="68"/>
      <c r="BN245" s="68"/>
      <c r="BO245" s="68"/>
      <c r="BP245" s="68"/>
      <c r="BQ245" s="68"/>
      <c r="BR245" s="68"/>
      <c r="BS245" s="68"/>
      <c r="BT245" s="68"/>
      <c r="BU245" s="68"/>
      <c r="BV245" s="68"/>
      <c r="BW245" s="68"/>
      <c r="BX245" s="68"/>
      <c r="BY245" s="68"/>
      <c r="BZ245" s="68"/>
      <c r="CA245" s="68"/>
      <c r="CB245" s="68"/>
      <c r="CC245" s="68"/>
      <c r="CD245" s="68"/>
      <c r="CE245" s="68"/>
      <c r="CF245" s="68"/>
      <c r="CG245" s="68"/>
      <c r="CH245" s="68"/>
      <c r="CI245" s="68"/>
      <c r="CJ245" s="68"/>
      <c r="CK245" s="68"/>
      <c r="CL245" s="68"/>
      <c r="CM245" s="68"/>
      <c r="CN245" s="68"/>
      <c r="CO245" s="68"/>
      <c r="CP245" s="68"/>
      <c r="CQ245" s="68"/>
      <c r="CR245" s="68"/>
      <c r="CS245" s="68"/>
      <c r="CT245" s="68"/>
      <c r="CU245" s="68"/>
      <c r="CV245" s="68"/>
      <c r="CW245" s="68"/>
      <c r="CX245" s="75"/>
      <c r="CY245" s="75"/>
      <c r="CZ245" s="75"/>
      <c r="DA245" s="76"/>
      <c r="DB245" s="74"/>
    </row>
    <row r="246" spans="2:106" ht="11.25" customHeight="1" x14ac:dyDescent="0.2">
      <c r="B246" s="67"/>
      <c r="C246" s="68"/>
      <c r="D246" s="68"/>
      <c r="E246" s="68"/>
      <c r="F246" s="68"/>
      <c r="G246" s="68"/>
      <c r="H246" s="68" t="s">
        <v>116</v>
      </c>
      <c r="I246" s="68"/>
      <c r="J246" s="68"/>
      <c r="K246" s="68"/>
      <c r="L246" s="68" t="s">
        <v>281</v>
      </c>
      <c r="M246" s="68"/>
      <c r="N246" s="68"/>
      <c r="O246" s="68" t="s">
        <v>383</v>
      </c>
      <c r="P246" s="68"/>
      <c r="Q246" s="68" t="str">
        <f>TEXT(TRUNC(DA240,0),"#,##0")</f>
        <v>1,171</v>
      </c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  <c r="BK246" s="68"/>
      <c r="BL246" s="68"/>
      <c r="BM246" s="68"/>
      <c r="BN246" s="68"/>
      <c r="BO246" s="68"/>
      <c r="BP246" s="68"/>
      <c r="BQ246" s="68"/>
      <c r="BR246" s="68"/>
      <c r="BS246" s="68"/>
      <c r="BT246" s="68"/>
      <c r="BU246" s="68"/>
      <c r="BV246" s="68"/>
      <c r="BW246" s="68"/>
      <c r="BX246" s="68"/>
      <c r="BY246" s="68"/>
      <c r="BZ246" s="68"/>
      <c r="CA246" s="68"/>
      <c r="CB246" s="68"/>
      <c r="CC246" s="68"/>
      <c r="CD246" s="68"/>
      <c r="CE246" s="68"/>
      <c r="CF246" s="68"/>
      <c r="CG246" s="68"/>
      <c r="CH246" s="68"/>
      <c r="CI246" s="68"/>
      <c r="CJ246" s="68"/>
      <c r="CK246" s="68"/>
      <c r="CL246" s="68"/>
      <c r="CM246" s="68"/>
      <c r="CN246" s="68"/>
      <c r="CO246" s="68"/>
      <c r="CP246" s="68"/>
      <c r="CQ246" s="68"/>
      <c r="CR246" s="68"/>
      <c r="CS246" s="68"/>
      <c r="CT246" s="68"/>
      <c r="CU246" s="68"/>
      <c r="CV246" s="68"/>
      <c r="CW246" s="68"/>
      <c r="CX246" s="75"/>
      <c r="CY246" s="75"/>
      <c r="CZ246" s="75"/>
      <c r="DA246" s="76"/>
      <c r="DB246" s="74"/>
    </row>
    <row r="247" spans="2:106" ht="11.25" customHeight="1" x14ac:dyDescent="0.2">
      <c r="B247" s="67"/>
      <c r="C247" s="68"/>
      <c r="D247" s="68"/>
      <c r="E247" s="68"/>
      <c r="F247" s="68"/>
      <c r="G247" s="68"/>
      <c r="H247" s="68"/>
      <c r="I247" s="68"/>
      <c r="J247" s="68" t="s">
        <v>279</v>
      </c>
      <c r="K247" s="68"/>
      <c r="L247" s="68"/>
      <c r="M247" s="68"/>
      <c r="N247" s="68"/>
      <c r="O247" s="68" t="s">
        <v>383</v>
      </c>
      <c r="P247" s="68"/>
      <c r="Q247" s="68"/>
      <c r="R247" s="68" t="str">
        <f>TEXT(Q244+Q245+Q246,"#,##0")</f>
        <v>3,801</v>
      </c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  <c r="BK247" s="68"/>
      <c r="BL247" s="68"/>
      <c r="BM247" s="68"/>
      <c r="BN247" s="68"/>
      <c r="BO247" s="68"/>
      <c r="BP247" s="68"/>
      <c r="BQ247" s="68"/>
      <c r="BR247" s="68"/>
      <c r="BS247" s="68"/>
      <c r="BT247" s="68"/>
      <c r="BU247" s="68"/>
      <c r="BV247" s="68"/>
      <c r="BW247" s="68"/>
      <c r="BX247" s="68"/>
      <c r="BY247" s="68"/>
      <c r="BZ247" s="68"/>
      <c r="CA247" s="68"/>
      <c r="CB247" s="68"/>
      <c r="CC247" s="68"/>
      <c r="CD247" s="68"/>
      <c r="CE247" s="68"/>
      <c r="CF247" s="68"/>
      <c r="CG247" s="68"/>
      <c r="CH247" s="68"/>
      <c r="CI247" s="68"/>
      <c r="CJ247" s="68"/>
      <c r="CK247" s="68"/>
      <c r="CL247" s="68"/>
      <c r="CM247" s="68"/>
      <c r="CN247" s="68"/>
      <c r="CO247" s="68"/>
      <c r="CP247" s="68"/>
      <c r="CQ247" s="68"/>
      <c r="CR247" s="68"/>
      <c r="CS247" s="68"/>
      <c r="CT247" s="68"/>
      <c r="CU247" s="68"/>
      <c r="CV247" s="68"/>
      <c r="CW247" s="68"/>
      <c r="CX247" s="77">
        <f>CY247+CZ247+DA247</f>
        <v>3801</v>
      </c>
      <c r="CY247" s="75" t="str">
        <f>TEXT(Q244,"#,##0")</f>
        <v>1,865</v>
      </c>
      <c r="CZ247" s="75" t="str">
        <f>TEXT(Q245,"#,##0")</f>
        <v>765</v>
      </c>
      <c r="DA247" s="76" t="str">
        <f>TEXT(Q246,"#,##0")</f>
        <v>1,171</v>
      </c>
      <c r="DB247" s="74"/>
    </row>
    <row r="248" spans="2:106" ht="11.25" customHeight="1" x14ac:dyDescent="0.2">
      <c r="B248" s="69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70"/>
      <c r="BB248" s="70"/>
      <c r="BC248" s="70"/>
      <c r="BD248" s="70"/>
      <c r="BE248" s="70"/>
      <c r="BF248" s="70"/>
      <c r="BG248" s="70"/>
      <c r="BH248" s="70"/>
      <c r="BI248" s="70"/>
      <c r="BJ248" s="70"/>
      <c r="BK248" s="70"/>
      <c r="BL248" s="70"/>
      <c r="BM248" s="70"/>
      <c r="BN248" s="70"/>
      <c r="BO248" s="70"/>
      <c r="BP248" s="70"/>
      <c r="BQ248" s="70"/>
      <c r="BR248" s="70"/>
      <c r="BS248" s="70"/>
      <c r="BT248" s="70"/>
      <c r="BU248" s="70"/>
      <c r="BV248" s="70"/>
      <c r="BW248" s="70"/>
      <c r="BX248" s="70"/>
      <c r="BY248" s="70"/>
      <c r="BZ248" s="70"/>
      <c r="CA248" s="70"/>
      <c r="CB248" s="70"/>
      <c r="CC248" s="70"/>
      <c r="CD248" s="70"/>
      <c r="CE248" s="70"/>
      <c r="CF248" s="70"/>
      <c r="CG248" s="70"/>
      <c r="CH248" s="70"/>
      <c r="CI248" s="70"/>
      <c r="CJ248" s="70"/>
      <c r="CK248" s="70"/>
      <c r="CL248" s="70"/>
      <c r="CM248" s="70"/>
      <c r="CN248" s="70"/>
      <c r="CO248" s="70"/>
      <c r="CP248" s="70"/>
      <c r="CQ248" s="70"/>
      <c r="CR248" s="70"/>
      <c r="CS248" s="70"/>
      <c r="CT248" s="70"/>
      <c r="CU248" s="70"/>
      <c r="CV248" s="70"/>
      <c r="CW248" s="70"/>
      <c r="CX248" s="78"/>
      <c r="CY248" s="78"/>
      <c r="CZ248" s="78"/>
      <c r="DA248" s="79"/>
      <c r="DB248" s="74"/>
    </row>
    <row r="249" spans="2:106" x14ac:dyDescent="0.2">
      <c r="B249" s="13"/>
      <c r="C249" s="13"/>
      <c r="D249" s="13"/>
      <c r="E249" s="13"/>
      <c r="F249" s="13"/>
    </row>
  </sheetData>
  <mergeCells count="2">
    <mergeCell ref="B3:CW3"/>
    <mergeCell ref="B1:DA2"/>
  </mergeCells>
  <phoneticPr fontId="6" type="noConversion"/>
  <pageMargins left="0.51181102362204722" right="3.937007874015748E-2" top="0.94488188976377963" bottom="0.59055118110236215" header="0.5" footer="0.5"/>
  <pageSetup paperSize="9" scale="64" orientation="portrait" r:id="rId1"/>
  <headerFooter alignWithMargins="0"/>
  <rowBreaks count="2" manualBreakCount="2">
    <brk id="90" min="2" max="105" man="1"/>
    <brk id="176" min="2" max="105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C11"/>
  <sheetViews>
    <sheetView zoomScaleNormal="100" zoomScaleSheetLayoutView="130" workbookViewId="0">
      <pane ySplit="3" topLeftCell="A4" activePane="bottomLeft" state="frozen"/>
      <selection pane="bottomLeft" activeCell="M3" sqref="M3"/>
    </sheetView>
  </sheetViews>
  <sheetFormatPr defaultRowHeight="12.75" x14ac:dyDescent="0.2"/>
  <cols>
    <col min="1" max="1" width="0.7109375" customWidth="1"/>
    <col min="2" max="2" width="7.140625" customWidth="1"/>
    <col min="3" max="3" width="30.85546875" customWidth="1"/>
    <col min="4" max="4" width="28.28515625" customWidth="1"/>
    <col min="5" max="5" width="10.28515625" customWidth="1"/>
    <col min="6" max="9" width="19.28515625" customWidth="1"/>
  </cols>
  <sheetData>
    <row r="1" spans="2:29" ht="24.95" customHeight="1" x14ac:dyDescent="0.2">
      <c r="B1" s="118" t="s">
        <v>256</v>
      </c>
      <c r="C1" s="118"/>
      <c r="D1" s="118"/>
      <c r="E1" s="118"/>
      <c r="F1" s="118"/>
      <c r="G1" s="118"/>
      <c r="H1" s="118"/>
      <c r="I1" s="118"/>
    </row>
    <row r="2" spans="2:29" ht="9.9499999999999993" customHeight="1" x14ac:dyDescent="0.2">
      <c r="B2" s="119"/>
      <c r="C2" s="119"/>
      <c r="D2" s="119"/>
      <c r="E2" s="119"/>
      <c r="F2" s="119"/>
      <c r="G2" s="119"/>
      <c r="H2" s="119"/>
      <c r="I2" s="119"/>
    </row>
    <row r="3" spans="2:29" ht="30.75" customHeight="1" x14ac:dyDescent="0.2">
      <c r="B3" s="14" t="s">
        <v>140</v>
      </c>
      <c r="C3" s="7" t="s">
        <v>336</v>
      </c>
      <c r="D3" s="7" t="s">
        <v>399</v>
      </c>
      <c r="E3" s="7" t="s">
        <v>204</v>
      </c>
      <c r="F3" s="7" t="s">
        <v>487</v>
      </c>
      <c r="G3" s="7" t="s">
        <v>438</v>
      </c>
      <c r="H3" s="7" t="s">
        <v>319</v>
      </c>
      <c r="I3" s="8" t="s">
        <v>29</v>
      </c>
      <c r="Z3" t="s">
        <v>331</v>
      </c>
      <c r="AA3" t="s">
        <v>370</v>
      </c>
      <c r="AB3" t="s">
        <v>502</v>
      </c>
      <c r="AC3" t="s">
        <v>345</v>
      </c>
    </row>
    <row r="4" spans="2:29" ht="19.7" customHeight="1" x14ac:dyDescent="0.2">
      <c r="B4" s="18" t="s">
        <v>151</v>
      </c>
      <c r="C4" s="19" t="s">
        <v>56</v>
      </c>
      <c r="D4" s="19" t="s">
        <v>91</v>
      </c>
      <c r="E4" s="20" t="s">
        <v>380</v>
      </c>
      <c r="F4" s="55">
        <f t="shared" ref="F4:F10" si="0">G4+H4+I4</f>
        <v>48700</v>
      </c>
      <c r="G4" s="55">
        <f>기계경비!AA4</f>
        <v>33064</v>
      </c>
      <c r="H4" s="55">
        <f>기계경비!AB4</f>
        <v>6915</v>
      </c>
      <c r="I4" s="62">
        <f>기계경비!AC4</f>
        <v>8721</v>
      </c>
      <c r="Z4" s="17">
        <v>48700</v>
      </c>
      <c r="AA4" s="17">
        <v>33064</v>
      </c>
      <c r="AB4" s="17">
        <v>6915</v>
      </c>
      <c r="AC4" s="17">
        <v>8721</v>
      </c>
    </row>
    <row r="5" spans="2:29" ht="19.7" customHeight="1" x14ac:dyDescent="0.2">
      <c r="B5" s="18" t="s">
        <v>476</v>
      </c>
      <c r="C5" s="19" t="s">
        <v>163</v>
      </c>
      <c r="D5" s="19" t="s">
        <v>129</v>
      </c>
      <c r="E5" s="20" t="s">
        <v>380</v>
      </c>
      <c r="F5" s="55">
        <f t="shared" si="0"/>
        <v>58272</v>
      </c>
      <c r="G5" s="55">
        <f>기계경비!AA10</f>
        <v>38972</v>
      </c>
      <c r="H5" s="55">
        <f>기계경비!AB10</f>
        <v>6836</v>
      </c>
      <c r="I5" s="62">
        <f>기계경비!AC10</f>
        <v>12464</v>
      </c>
      <c r="Z5" s="17">
        <v>58272</v>
      </c>
      <c r="AA5" s="17">
        <v>38972</v>
      </c>
      <c r="AB5" s="17">
        <v>6836</v>
      </c>
      <c r="AC5" s="17">
        <v>12464</v>
      </c>
    </row>
    <row r="6" spans="2:29" ht="19.7" customHeight="1" x14ac:dyDescent="0.2">
      <c r="B6" s="18" t="s">
        <v>220</v>
      </c>
      <c r="C6" s="19" t="s">
        <v>241</v>
      </c>
      <c r="D6" s="19" t="s">
        <v>490</v>
      </c>
      <c r="E6" s="20" t="s">
        <v>380</v>
      </c>
      <c r="F6" s="55">
        <f t="shared" si="0"/>
        <v>27692</v>
      </c>
      <c r="G6" s="55">
        <f>기계경비!AA16</f>
        <v>25683</v>
      </c>
      <c r="H6" s="55">
        <f>기계경비!AB16</f>
        <v>1466</v>
      </c>
      <c r="I6" s="62">
        <f>기계경비!AC16</f>
        <v>543</v>
      </c>
      <c r="Z6" s="17">
        <v>27692</v>
      </c>
      <c r="AA6" s="17">
        <v>25683</v>
      </c>
      <c r="AB6" s="17">
        <v>1466</v>
      </c>
      <c r="AC6" s="17">
        <v>543</v>
      </c>
    </row>
    <row r="7" spans="2:29" ht="19.7" customHeight="1" x14ac:dyDescent="0.2">
      <c r="B7" s="18" t="s">
        <v>396</v>
      </c>
      <c r="C7" s="19" t="s">
        <v>156</v>
      </c>
      <c r="D7" s="19" t="s">
        <v>510</v>
      </c>
      <c r="E7" s="20" t="s">
        <v>380</v>
      </c>
      <c r="F7" s="55">
        <f t="shared" si="0"/>
        <v>84987</v>
      </c>
      <c r="G7" s="55">
        <f>기계경비!AA22</f>
        <v>38972</v>
      </c>
      <c r="H7" s="55">
        <f>기계경비!AB22</f>
        <v>15205</v>
      </c>
      <c r="I7" s="62">
        <f>기계경비!AC22</f>
        <v>30810</v>
      </c>
      <c r="Z7" s="17">
        <v>84987</v>
      </c>
      <c r="AA7" s="17">
        <v>38972</v>
      </c>
      <c r="AB7" s="17">
        <v>15205</v>
      </c>
      <c r="AC7" s="17">
        <v>30810</v>
      </c>
    </row>
    <row r="8" spans="2:29" ht="19.7" customHeight="1" x14ac:dyDescent="0.2">
      <c r="B8" s="18" t="s">
        <v>165</v>
      </c>
      <c r="C8" s="19" t="s">
        <v>163</v>
      </c>
      <c r="D8" s="19" t="s">
        <v>24</v>
      </c>
      <c r="E8" s="20" t="s">
        <v>380</v>
      </c>
      <c r="F8" s="55">
        <f t="shared" si="0"/>
        <v>76177</v>
      </c>
      <c r="G8" s="55">
        <f>기계경비!AA29</f>
        <v>38972</v>
      </c>
      <c r="H8" s="55">
        <f>기계경비!AB29</f>
        <v>15991</v>
      </c>
      <c r="I8" s="62">
        <f>기계경비!AC29</f>
        <v>21214</v>
      </c>
      <c r="Z8" s="17">
        <v>76177</v>
      </c>
      <c r="AA8" s="17">
        <v>38972</v>
      </c>
      <c r="AB8" s="17">
        <v>15991</v>
      </c>
      <c r="AC8" s="17">
        <v>21214</v>
      </c>
    </row>
    <row r="9" spans="2:29" ht="19.7" customHeight="1" x14ac:dyDescent="0.2">
      <c r="B9" s="18" t="s">
        <v>464</v>
      </c>
      <c r="C9" s="19" t="s">
        <v>156</v>
      </c>
      <c r="D9" s="19" t="s">
        <v>511</v>
      </c>
      <c r="E9" s="20" t="s">
        <v>380</v>
      </c>
      <c r="F9" s="55">
        <f t="shared" si="0"/>
        <v>60520</v>
      </c>
      <c r="G9" s="55">
        <f>기계경비!AA35</f>
        <v>38972</v>
      </c>
      <c r="H9" s="55">
        <f>기계경비!AB35</f>
        <v>6554</v>
      </c>
      <c r="I9" s="62">
        <f>기계경비!AC35</f>
        <v>14994</v>
      </c>
      <c r="Z9" s="17">
        <v>60520</v>
      </c>
      <c r="AA9" s="17">
        <v>38972</v>
      </c>
      <c r="AB9" s="17">
        <v>6554</v>
      </c>
      <c r="AC9" s="17">
        <v>14994</v>
      </c>
    </row>
    <row r="10" spans="2:29" ht="19.7" customHeight="1" x14ac:dyDescent="0.2">
      <c r="B10" s="23" t="s">
        <v>259</v>
      </c>
      <c r="C10" s="24" t="s">
        <v>163</v>
      </c>
      <c r="D10" s="24" t="s">
        <v>111</v>
      </c>
      <c r="E10" s="25" t="s">
        <v>380</v>
      </c>
      <c r="F10" s="63">
        <f t="shared" si="0"/>
        <v>79433</v>
      </c>
      <c r="G10" s="63">
        <f>기계경비!AA42</f>
        <v>38972</v>
      </c>
      <c r="H10" s="63">
        <f>기계경비!AB42</f>
        <v>15991</v>
      </c>
      <c r="I10" s="64">
        <f>기계경비!AC42</f>
        <v>24470</v>
      </c>
      <c r="Z10" s="17">
        <v>79433</v>
      </c>
      <c r="AA10" s="17">
        <v>38972</v>
      </c>
      <c r="AB10" s="17">
        <v>15991</v>
      </c>
      <c r="AC10" s="17">
        <v>24470</v>
      </c>
    </row>
    <row r="11" spans="2:29" x14ac:dyDescent="0.2">
      <c r="B11" s="13"/>
      <c r="C11" s="13"/>
      <c r="D11" s="13"/>
      <c r="E11" s="13"/>
      <c r="F11" s="13"/>
      <c r="G11" s="13"/>
      <c r="H11" s="13"/>
      <c r="I11" s="13"/>
    </row>
  </sheetData>
  <mergeCells count="1">
    <mergeCell ref="B1:I2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ignoredErrors>
    <ignoredError sqref="B4:B10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AD48"/>
  <sheetViews>
    <sheetView zoomScaleNormal="100" zoomScaleSheetLayoutView="130" workbookViewId="0">
      <pane ySplit="3" topLeftCell="A4" activePane="bottomLeft" state="frozen"/>
      <selection pane="bottomLeft" activeCell="D3" sqref="D3:Y3"/>
    </sheetView>
  </sheetViews>
  <sheetFormatPr defaultRowHeight="12.75" x14ac:dyDescent="0.2"/>
  <cols>
    <col min="1" max="1" width="0.7109375" customWidth="1"/>
    <col min="2" max="2" width="30.5703125" customWidth="1"/>
    <col min="3" max="3" width="25" customWidth="1"/>
    <col min="4" max="7" width="2" customWidth="1"/>
    <col min="8" max="8" width="2.28515625" customWidth="1"/>
    <col min="9" max="12" width="2" customWidth="1"/>
    <col min="13" max="13" width="3.42578125" customWidth="1"/>
    <col min="14" max="25" width="2" customWidth="1"/>
    <col min="26" max="26" width="11.140625" customWidth="1"/>
    <col min="27" max="29" width="10.42578125" customWidth="1"/>
    <col min="30" max="30" width="12.140625" customWidth="1"/>
  </cols>
  <sheetData>
    <row r="1" spans="2:30" ht="24.95" customHeight="1" x14ac:dyDescent="0.2">
      <c r="B1" s="118" t="s">
        <v>71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</row>
    <row r="2" spans="2:30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</row>
    <row r="3" spans="2:30" ht="30.75" customHeight="1" x14ac:dyDescent="0.2">
      <c r="B3" s="14" t="s">
        <v>352</v>
      </c>
      <c r="C3" s="7" t="s">
        <v>0</v>
      </c>
      <c r="D3" s="117" t="s">
        <v>309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6" t="s">
        <v>487</v>
      </c>
      <c r="AA3" s="7" t="s">
        <v>438</v>
      </c>
      <c r="AB3" s="7" t="s">
        <v>319</v>
      </c>
      <c r="AC3" s="7" t="s">
        <v>29</v>
      </c>
      <c r="AD3" s="8" t="s">
        <v>125</v>
      </c>
    </row>
    <row r="4" spans="2:30" ht="19.7" customHeight="1" x14ac:dyDescent="0.2">
      <c r="B4" s="51" t="s">
        <v>354</v>
      </c>
      <c r="C4" s="52" t="s">
        <v>91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4">
        <f>AA4+AB4+AC4</f>
        <v>48700</v>
      </c>
      <c r="AA4" s="55">
        <f>TRUNC(AA5+AA6+AA7+AA8)</f>
        <v>33064</v>
      </c>
      <c r="AB4" s="55">
        <f>TRUNC(AB5+AB6+AB7+AB8)</f>
        <v>6915</v>
      </c>
      <c r="AC4" s="55">
        <f>TRUNC(AC5+AC6+AC7+AC8)</f>
        <v>8721</v>
      </c>
      <c r="AD4" s="56"/>
    </row>
    <row r="5" spans="2:30" ht="19.7" customHeight="1" x14ac:dyDescent="0.2">
      <c r="B5" s="57" t="s">
        <v>401</v>
      </c>
      <c r="C5" s="19" t="s">
        <v>509</v>
      </c>
      <c r="D5" s="130">
        <v>33571000</v>
      </c>
      <c r="E5" s="130"/>
      <c r="F5" s="130"/>
      <c r="G5" s="130"/>
      <c r="H5" s="130"/>
      <c r="I5" s="130" t="s">
        <v>106</v>
      </c>
      <c r="J5" s="130"/>
      <c r="K5" s="130">
        <v>2598</v>
      </c>
      <c r="L5" s="130"/>
      <c r="M5" s="130"/>
      <c r="N5" s="53" t="s">
        <v>437</v>
      </c>
      <c r="O5" s="130" t="s">
        <v>460</v>
      </c>
      <c r="P5" s="130"/>
      <c r="Q5" s="130"/>
      <c r="R5" s="53"/>
      <c r="S5" s="53"/>
      <c r="T5" s="53"/>
      <c r="U5" s="53"/>
      <c r="V5" s="53"/>
      <c r="W5" s="53"/>
      <c r="X5" s="53"/>
      <c r="Y5" s="53"/>
      <c r="Z5" s="54">
        <f>AA5+AB5+AC5</f>
        <v>8721.7000000000007</v>
      </c>
      <c r="AA5" s="58"/>
      <c r="AB5" s="58"/>
      <c r="AC5" s="58">
        <f>TRUNC(D5*K5*0.0000001,1)</f>
        <v>8721.7000000000007</v>
      </c>
      <c r="AD5" s="22" t="s">
        <v>367</v>
      </c>
    </row>
    <row r="6" spans="2:30" ht="19.7" customHeight="1" x14ac:dyDescent="0.2">
      <c r="B6" s="57" t="s">
        <v>428</v>
      </c>
      <c r="C6" s="19" t="s">
        <v>89</v>
      </c>
      <c r="D6" s="131">
        <v>5.0999999999999996</v>
      </c>
      <c r="E6" s="130"/>
      <c r="F6" s="130"/>
      <c r="G6" s="130"/>
      <c r="H6" s="53" t="s">
        <v>408</v>
      </c>
      <c r="I6" s="53" t="s">
        <v>437</v>
      </c>
      <c r="J6" s="130">
        <f>자재단가!R5</f>
        <v>1130</v>
      </c>
      <c r="K6" s="130"/>
      <c r="L6" s="130"/>
      <c r="M6" s="130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4">
        <f>AA6+AB6+AC6</f>
        <v>5763</v>
      </c>
      <c r="AA6" s="58"/>
      <c r="AB6" s="58">
        <f>TRUNC(D6*J6,1)</f>
        <v>5763</v>
      </c>
      <c r="AC6" s="58"/>
      <c r="AD6" s="22" t="s">
        <v>509</v>
      </c>
    </row>
    <row r="7" spans="2:30" ht="19.7" customHeight="1" x14ac:dyDescent="0.2">
      <c r="B7" s="57" t="s">
        <v>11</v>
      </c>
      <c r="C7" s="19" t="s">
        <v>296</v>
      </c>
      <c r="D7" s="131">
        <v>20</v>
      </c>
      <c r="E7" s="130"/>
      <c r="F7" s="130"/>
      <c r="G7" s="130"/>
      <c r="H7" s="53" t="s">
        <v>113</v>
      </c>
      <c r="I7" s="53" t="s">
        <v>437</v>
      </c>
      <c r="J7" s="130">
        <f>AB6</f>
        <v>5763</v>
      </c>
      <c r="K7" s="130"/>
      <c r="L7" s="130"/>
      <c r="M7" s="130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4">
        <f>AA7+AB7+AC7</f>
        <v>1152.5999999999999</v>
      </c>
      <c r="AA7" s="58"/>
      <c r="AB7" s="58">
        <f>TRUNC(D7/100*J7,1)</f>
        <v>1152.5999999999999</v>
      </c>
      <c r="AC7" s="58"/>
      <c r="AD7" s="22" t="s">
        <v>509</v>
      </c>
    </row>
    <row r="8" spans="2:30" ht="19.7" customHeight="1" x14ac:dyDescent="0.2">
      <c r="B8" s="57" t="s">
        <v>35</v>
      </c>
      <c r="C8" s="19" t="s">
        <v>509</v>
      </c>
      <c r="D8" s="132">
        <v>1</v>
      </c>
      <c r="E8" s="130"/>
      <c r="F8" s="130"/>
      <c r="G8" s="53" t="s">
        <v>469</v>
      </c>
      <c r="H8" s="53" t="s">
        <v>437</v>
      </c>
      <c r="I8" s="130">
        <f>노임단가!L6</f>
        <v>158708</v>
      </c>
      <c r="J8" s="130"/>
      <c r="K8" s="130"/>
      <c r="L8" s="130"/>
      <c r="M8" s="53" t="s">
        <v>437</v>
      </c>
      <c r="N8" s="130" t="s">
        <v>363</v>
      </c>
      <c r="O8" s="130"/>
      <c r="P8" s="130"/>
      <c r="Q8" s="130"/>
      <c r="R8" s="130"/>
      <c r="S8" s="130"/>
      <c r="T8" s="130"/>
      <c r="U8" s="130"/>
      <c r="V8" s="130"/>
      <c r="W8" s="53"/>
      <c r="X8" s="53"/>
      <c r="Y8" s="53"/>
      <c r="Z8" s="54">
        <f>AA8+AB8+AC8</f>
        <v>33064.1</v>
      </c>
      <c r="AA8" s="58">
        <f>TRUNC(D8*I8*기계경비적용기준!E21,1)</f>
        <v>33064.1</v>
      </c>
      <c r="AB8" s="58"/>
      <c r="AC8" s="58"/>
      <c r="AD8" s="22" t="s">
        <v>509</v>
      </c>
    </row>
    <row r="9" spans="2:30" ht="19.7" customHeight="1" x14ac:dyDescent="0.2">
      <c r="B9" s="57" t="s">
        <v>509</v>
      </c>
      <c r="C9" s="19" t="s">
        <v>509</v>
      </c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27"/>
      <c r="AA9" s="21"/>
      <c r="AB9" s="21"/>
      <c r="AC9" s="21"/>
      <c r="AD9" s="22" t="s">
        <v>509</v>
      </c>
    </row>
    <row r="10" spans="2:30" ht="19.7" customHeight="1" x14ac:dyDescent="0.2">
      <c r="B10" s="51" t="s">
        <v>64</v>
      </c>
      <c r="C10" s="52" t="s">
        <v>129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4">
        <f>AA10+AB10+AC10</f>
        <v>58272</v>
      </c>
      <c r="AA10" s="55">
        <f>TRUNC(AA11+AA12+AA13+AA14)</f>
        <v>38972</v>
      </c>
      <c r="AB10" s="55">
        <f>TRUNC(AB11+AB12+AB13+AB14)</f>
        <v>6836</v>
      </c>
      <c r="AC10" s="55">
        <f>TRUNC(AC11+AC12+AC13+AC14)</f>
        <v>12464</v>
      </c>
      <c r="AD10" s="56"/>
    </row>
    <row r="11" spans="2:30" ht="19.7" customHeight="1" x14ac:dyDescent="0.2">
      <c r="B11" s="57" t="s">
        <v>159</v>
      </c>
      <c r="C11" s="19" t="s">
        <v>509</v>
      </c>
      <c r="D11" s="130">
        <v>59780000</v>
      </c>
      <c r="E11" s="130"/>
      <c r="F11" s="130"/>
      <c r="G11" s="130"/>
      <c r="H11" s="130"/>
      <c r="I11" s="130" t="s">
        <v>106</v>
      </c>
      <c r="J11" s="130"/>
      <c r="K11" s="130">
        <v>2085</v>
      </c>
      <c r="L11" s="130"/>
      <c r="M11" s="130"/>
      <c r="N11" s="53" t="s">
        <v>437</v>
      </c>
      <c r="O11" s="130" t="s">
        <v>460</v>
      </c>
      <c r="P11" s="130"/>
      <c r="Q11" s="130"/>
      <c r="R11" s="53"/>
      <c r="S11" s="53"/>
      <c r="T11" s="53"/>
      <c r="U11" s="53"/>
      <c r="V11" s="53"/>
      <c r="W11" s="53"/>
      <c r="X11" s="53"/>
      <c r="Y11" s="53"/>
      <c r="Z11" s="54">
        <f>AA11+AB11+AC11</f>
        <v>12464.1</v>
      </c>
      <c r="AA11" s="58"/>
      <c r="AB11" s="58"/>
      <c r="AC11" s="58">
        <f>TRUNC(D11*K11*0.0000001,1)</f>
        <v>12464.1</v>
      </c>
      <c r="AD11" s="22" t="s">
        <v>367</v>
      </c>
    </row>
    <row r="12" spans="2:30" ht="19.7" customHeight="1" x14ac:dyDescent="0.2">
      <c r="B12" s="57" t="s">
        <v>428</v>
      </c>
      <c r="C12" s="19" t="s">
        <v>27</v>
      </c>
      <c r="D12" s="131">
        <v>5</v>
      </c>
      <c r="E12" s="130"/>
      <c r="F12" s="130"/>
      <c r="G12" s="130"/>
      <c r="H12" s="53" t="s">
        <v>408</v>
      </c>
      <c r="I12" s="53" t="s">
        <v>437</v>
      </c>
      <c r="J12" s="130">
        <f>자재단가!R5</f>
        <v>1130</v>
      </c>
      <c r="K12" s="130"/>
      <c r="L12" s="130"/>
      <c r="M12" s="130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4">
        <f>AA12+AB12+AC12</f>
        <v>5650</v>
      </c>
      <c r="AA12" s="58"/>
      <c r="AB12" s="58">
        <f>TRUNC(D12*J12,1)</f>
        <v>5650</v>
      </c>
      <c r="AC12" s="58"/>
      <c r="AD12" s="22" t="s">
        <v>509</v>
      </c>
    </row>
    <row r="13" spans="2:30" ht="19.7" customHeight="1" x14ac:dyDescent="0.2">
      <c r="B13" s="57" t="s">
        <v>36</v>
      </c>
      <c r="C13" s="19" t="s">
        <v>296</v>
      </c>
      <c r="D13" s="131">
        <v>21</v>
      </c>
      <c r="E13" s="130"/>
      <c r="F13" s="130"/>
      <c r="G13" s="130"/>
      <c r="H13" s="53" t="s">
        <v>113</v>
      </c>
      <c r="I13" s="53" t="s">
        <v>437</v>
      </c>
      <c r="J13" s="130">
        <f>AB12</f>
        <v>5650</v>
      </c>
      <c r="K13" s="130"/>
      <c r="L13" s="130"/>
      <c r="M13" s="130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4">
        <f>AA13+AB13+AC13</f>
        <v>1186.5</v>
      </c>
      <c r="AA13" s="58"/>
      <c r="AB13" s="58">
        <f>TRUNC(D13/100*J13,1)</f>
        <v>1186.5</v>
      </c>
      <c r="AC13" s="58"/>
      <c r="AD13" s="22" t="s">
        <v>509</v>
      </c>
    </row>
    <row r="14" spans="2:30" ht="19.7" customHeight="1" x14ac:dyDescent="0.2">
      <c r="B14" s="57" t="s">
        <v>124</v>
      </c>
      <c r="C14" s="19" t="s">
        <v>509</v>
      </c>
      <c r="D14" s="132">
        <v>1</v>
      </c>
      <c r="E14" s="130"/>
      <c r="F14" s="130"/>
      <c r="G14" s="53" t="s">
        <v>469</v>
      </c>
      <c r="H14" s="53" t="s">
        <v>437</v>
      </c>
      <c r="I14" s="130">
        <f>노임단가!L8</f>
        <v>187069</v>
      </c>
      <c r="J14" s="130"/>
      <c r="K14" s="130"/>
      <c r="L14" s="130"/>
      <c r="M14" s="53" t="s">
        <v>437</v>
      </c>
      <c r="N14" s="130" t="s">
        <v>363</v>
      </c>
      <c r="O14" s="130"/>
      <c r="P14" s="130"/>
      <c r="Q14" s="130"/>
      <c r="R14" s="130"/>
      <c r="S14" s="130"/>
      <c r="T14" s="130"/>
      <c r="U14" s="130"/>
      <c r="V14" s="130"/>
      <c r="W14" s="53"/>
      <c r="X14" s="53"/>
      <c r="Y14" s="53"/>
      <c r="Z14" s="54">
        <f>AA14+AB14+AC14</f>
        <v>38972.699999999997</v>
      </c>
      <c r="AA14" s="58">
        <f>TRUNC(D14*I14*기계경비적용기준!E21,1)</f>
        <v>38972.699999999997</v>
      </c>
      <c r="AB14" s="58"/>
      <c r="AC14" s="58"/>
      <c r="AD14" s="22" t="s">
        <v>509</v>
      </c>
    </row>
    <row r="15" spans="2:30" ht="19.7" customHeight="1" x14ac:dyDescent="0.2">
      <c r="B15" s="57" t="s">
        <v>509</v>
      </c>
      <c r="C15" s="19" t="s">
        <v>509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27"/>
      <c r="AA15" s="21"/>
      <c r="AB15" s="21"/>
      <c r="AC15" s="21"/>
      <c r="AD15" s="22" t="s">
        <v>509</v>
      </c>
    </row>
    <row r="16" spans="2:30" ht="19.7" customHeight="1" x14ac:dyDescent="0.2">
      <c r="B16" s="51" t="s">
        <v>207</v>
      </c>
      <c r="C16" s="52" t="s">
        <v>490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4">
        <f>AA16+AB16+AC16</f>
        <v>27692</v>
      </c>
      <c r="AA16" s="55">
        <f>TRUNC(AA17+AA18+AA19+AA20)</f>
        <v>25683</v>
      </c>
      <c r="AB16" s="55">
        <f>TRUNC(AB17+AB18+AB19+AB20)</f>
        <v>1466</v>
      </c>
      <c r="AC16" s="55">
        <f>TRUNC(AC17+AC18+AC19+AC20)</f>
        <v>543</v>
      </c>
      <c r="AD16" s="56"/>
    </row>
    <row r="17" spans="2:30" ht="19.7" customHeight="1" x14ac:dyDescent="0.2">
      <c r="B17" s="57" t="s">
        <v>159</v>
      </c>
      <c r="C17" s="19" t="s">
        <v>509</v>
      </c>
      <c r="D17" s="130">
        <v>1318</v>
      </c>
      <c r="E17" s="130"/>
      <c r="F17" s="130"/>
      <c r="G17" s="130"/>
      <c r="H17" s="130"/>
      <c r="I17" s="130" t="s">
        <v>170</v>
      </c>
      <c r="J17" s="130"/>
      <c r="K17" s="134">
        <f>기계경비적용기준!D7</f>
        <v>1111.5999999999999</v>
      </c>
      <c r="L17" s="130"/>
      <c r="M17" s="130"/>
      <c r="N17" s="53" t="s">
        <v>437</v>
      </c>
      <c r="O17" s="130">
        <v>3708</v>
      </c>
      <c r="P17" s="130"/>
      <c r="Q17" s="130"/>
      <c r="R17" s="53" t="s">
        <v>437</v>
      </c>
      <c r="S17" s="130" t="s">
        <v>460</v>
      </c>
      <c r="T17" s="130"/>
      <c r="U17" s="130"/>
      <c r="V17" s="53"/>
      <c r="W17" s="53"/>
      <c r="X17" s="53"/>
      <c r="Y17" s="53"/>
      <c r="Z17" s="54">
        <f>AA17+AB17+AC17</f>
        <v>543.20000000000005</v>
      </c>
      <c r="AA17" s="58"/>
      <c r="AB17" s="58"/>
      <c r="AC17" s="58">
        <f>TRUNC(TRUNC((D17*K17)/1000) * 1000*O17*0.0000001,1)</f>
        <v>543.20000000000005</v>
      </c>
      <c r="AD17" s="22" t="s">
        <v>367</v>
      </c>
    </row>
    <row r="18" spans="2:30" ht="19.7" customHeight="1" x14ac:dyDescent="0.2">
      <c r="B18" s="57" t="s">
        <v>428</v>
      </c>
      <c r="C18" s="19" t="s">
        <v>3</v>
      </c>
      <c r="D18" s="131">
        <v>1</v>
      </c>
      <c r="E18" s="130"/>
      <c r="F18" s="130"/>
      <c r="G18" s="130"/>
      <c r="H18" s="53" t="s">
        <v>408</v>
      </c>
      <c r="I18" s="53" t="s">
        <v>437</v>
      </c>
      <c r="J18" s="130">
        <f>자재단가!R6</f>
        <v>1222</v>
      </c>
      <c r="K18" s="130"/>
      <c r="L18" s="130"/>
      <c r="M18" s="130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4">
        <f>AA18+AB18+AC18</f>
        <v>1222</v>
      </c>
      <c r="AA18" s="58"/>
      <c r="AB18" s="58">
        <f>TRUNC(D18*J18,1)</f>
        <v>1222</v>
      </c>
      <c r="AC18" s="58"/>
      <c r="AD18" s="22" t="s">
        <v>509</v>
      </c>
    </row>
    <row r="19" spans="2:30" ht="19.7" customHeight="1" x14ac:dyDescent="0.2">
      <c r="B19" s="57" t="s">
        <v>36</v>
      </c>
      <c r="C19" s="19" t="s">
        <v>296</v>
      </c>
      <c r="D19" s="131">
        <v>20</v>
      </c>
      <c r="E19" s="130"/>
      <c r="F19" s="130"/>
      <c r="G19" s="130"/>
      <c r="H19" s="53" t="s">
        <v>113</v>
      </c>
      <c r="I19" s="53" t="s">
        <v>437</v>
      </c>
      <c r="J19" s="130">
        <f>AB18</f>
        <v>1222</v>
      </c>
      <c r="K19" s="130"/>
      <c r="L19" s="130"/>
      <c r="M19" s="130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4">
        <f>AA19+AB19+AC19</f>
        <v>244.4</v>
      </c>
      <c r="AA19" s="58"/>
      <c r="AB19" s="58">
        <f>TRUNC(D19/100*J19,1)</f>
        <v>244.4</v>
      </c>
      <c r="AC19" s="58"/>
      <c r="AD19" s="22" t="s">
        <v>509</v>
      </c>
    </row>
    <row r="20" spans="2:30" ht="19.7" customHeight="1" x14ac:dyDescent="0.2">
      <c r="B20" s="57" t="s">
        <v>263</v>
      </c>
      <c r="C20" s="19" t="s">
        <v>509</v>
      </c>
      <c r="D20" s="132">
        <v>1</v>
      </c>
      <c r="E20" s="130"/>
      <c r="F20" s="130"/>
      <c r="G20" s="53" t="s">
        <v>469</v>
      </c>
      <c r="H20" s="53" t="s">
        <v>437</v>
      </c>
      <c r="I20" s="130">
        <f>노임단가!L13</f>
        <v>123282</v>
      </c>
      <c r="J20" s="130"/>
      <c r="K20" s="130"/>
      <c r="L20" s="130"/>
      <c r="M20" s="53" t="s">
        <v>437</v>
      </c>
      <c r="N20" s="130" t="s">
        <v>363</v>
      </c>
      <c r="O20" s="130"/>
      <c r="P20" s="130"/>
      <c r="Q20" s="130"/>
      <c r="R20" s="130"/>
      <c r="S20" s="130"/>
      <c r="T20" s="130"/>
      <c r="U20" s="130"/>
      <c r="V20" s="130"/>
      <c r="W20" s="53"/>
      <c r="X20" s="53"/>
      <c r="Y20" s="53"/>
      <c r="Z20" s="54">
        <f>AA20+AB20+AC20</f>
        <v>25683.7</v>
      </c>
      <c r="AA20" s="58">
        <f>TRUNC(D20*I20*기계경비적용기준!E21,1)</f>
        <v>25683.7</v>
      </c>
      <c r="AB20" s="58"/>
      <c r="AC20" s="58"/>
      <c r="AD20" s="22" t="s">
        <v>509</v>
      </c>
    </row>
    <row r="21" spans="2:30" ht="19.7" customHeight="1" x14ac:dyDescent="0.2">
      <c r="B21" s="57" t="s">
        <v>509</v>
      </c>
      <c r="C21" s="19" t="s">
        <v>509</v>
      </c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27"/>
      <c r="AA21" s="21"/>
      <c r="AB21" s="21"/>
      <c r="AC21" s="21"/>
      <c r="AD21" s="22" t="s">
        <v>509</v>
      </c>
    </row>
    <row r="22" spans="2:30" ht="19.7" customHeight="1" x14ac:dyDescent="0.2">
      <c r="B22" s="51" t="s">
        <v>158</v>
      </c>
      <c r="C22" s="52" t="s">
        <v>510</v>
      </c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4">
        <f t="shared" ref="Z22:Z27" si="0">AA22+AB22+AC22</f>
        <v>84987</v>
      </c>
      <c r="AA22" s="55">
        <f>TRUNC(AA23+AA24+AA25+AA26+AA27)</f>
        <v>38972</v>
      </c>
      <c r="AB22" s="55">
        <f>TRUNC(AB23+AB24+AB25+AB26+AB27)</f>
        <v>15205</v>
      </c>
      <c r="AC22" s="55">
        <f>TRUNC(AC23+AC24+AC25+AC26+AC27)</f>
        <v>30810</v>
      </c>
      <c r="AD22" s="56"/>
    </row>
    <row r="23" spans="2:30" ht="19.7" customHeight="1" x14ac:dyDescent="0.2">
      <c r="B23" s="57" t="s">
        <v>238</v>
      </c>
      <c r="C23" s="19" t="s">
        <v>509</v>
      </c>
      <c r="D23" s="130">
        <v>101750000</v>
      </c>
      <c r="E23" s="130"/>
      <c r="F23" s="130"/>
      <c r="G23" s="130"/>
      <c r="H23" s="130"/>
      <c r="I23" s="130" t="s">
        <v>106</v>
      </c>
      <c r="J23" s="130"/>
      <c r="K23" s="130">
        <v>2085</v>
      </c>
      <c r="L23" s="130"/>
      <c r="M23" s="130"/>
      <c r="N23" s="53" t="s">
        <v>437</v>
      </c>
      <c r="O23" s="130" t="s">
        <v>460</v>
      </c>
      <c r="P23" s="130"/>
      <c r="Q23" s="130"/>
      <c r="R23" s="53"/>
      <c r="S23" s="53"/>
      <c r="T23" s="53"/>
      <c r="U23" s="53"/>
      <c r="V23" s="53"/>
      <c r="W23" s="53"/>
      <c r="X23" s="53"/>
      <c r="Y23" s="53"/>
      <c r="Z23" s="54">
        <f t="shared" si="0"/>
        <v>21214.799999999999</v>
      </c>
      <c r="AA23" s="58"/>
      <c r="AB23" s="58"/>
      <c r="AC23" s="58">
        <f>TRUNC(D23*K23*0.0000001,1)</f>
        <v>21214.799999999999</v>
      </c>
      <c r="AD23" s="22" t="s">
        <v>367</v>
      </c>
    </row>
    <row r="24" spans="2:30" ht="19.7" customHeight="1" x14ac:dyDescent="0.2">
      <c r="B24" s="57" t="s">
        <v>397</v>
      </c>
      <c r="C24" s="19" t="s">
        <v>509</v>
      </c>
      <c r="D24" s="130">
        <v>14537000</v>
      </c>
      <c r="E24" s="130"/>
      <c r="F24" s="130"/>
      <c r="G24" s="130"/>
      <c r="H24" s="130"/>
      <c r="I24" s="130" t="s">
        <v>106</v>
      </c>
      <c r="J24" s="130"/>
      <c r="K24" s="130">
        <v>6601</v>
      </c>
      <c r="L24" s="130"/>
      <c r="M24" s="130"/>
      <c r="N24" s="53" t="s">
        <v>437</v>
      </c>
      <c r="O24" s="130" t="s">
        <v>460</v>
      </c>
      <c r="P24" s="130"/>
      <c r="Q24" s="130"/>
      <c r="R24" s="53"/>
      <c r="S24" s="53"/>
      <c r="T24" s="53"/>
      <c r="U24" s="53"/>
      <c r="V24" s="53"/>
      <c r="W24" s="53"/>
      <c r="X24" s="53"/>
      <c r="Y24" s="53"/>
      <c r="Z24" s="54">
        <f t="shared" si="0"/>
        <v>9595.7999999999993</v>
      </c>
      <c r="AA24" s="58"/>
      <c r="AB24" s="58"/>
      <c r="AC24" s="58">
        <f>TRUNC(D24*K24*0.0000001,1)</f>
        <v>9595.7999999999993</v>
      </c>
      <c r="AD24" s="22" t="s">
        <v>367</v>
      </c>
    </row>
    <row r="25" spans="2:30" ht="19.7" customHeight="1" x14ac:dyDescent="0.2">
      <c r="B25" s="57" t="s">
        <v>428</v>
      </c>
      <c r="C25" s="19" t="s">
        <v>27</v>
      </c>
      <c r="D25" s="131">
        <v>11.6</v>
      </c>
      <c r="E25" s="130"/>
      <c r="F25" s="130"/>
      <c r="G25" s="130"/>
      <c r="H25" s="53" t="s">
        <v>408</v>
      </c>
      <c r="I25" s="53" t="s">
        <v>437</v>
      </c>
      <c r="J25" s="130">
        <f>자재단가!R5</f>
        <v>1130</v>
      </c>
      <c r="K25" s="130"/>
      <c r="L25" s="130"/>
      <c r="M25" s="130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4">
        <f t="shared" si="0"/>
        <v>13108</v>
      </c>
      <c r="AA25" s="58"/>
      <c r="AB25" s="58">
        <f>TRUNC(D25*J25,1)</f>
        <v>13108</v>
      </c>
      <c r="AC25" s="58"/>
      <c r="AD25" s="22" t="s">
        <v>509</v>
      </c>
    </row>
    <row r="26" spans="2:30" ht="19.7" customHeight="1" x14ac:dyDescent="0.2">
      <c r="B26" s="57" t="s">
        <v>36</v>
      </c>
      <c r="C26" s="19" t="s">
        <v>296</v>
      </c>
      <c r="D26" s="131">
        <v>16</v>
      </c>
      <c r="E26" s="130"/>
      <c r="F26" s="130"/>
      <c r="G26" s="130"/>
      <c r="H26" s="53" t="s">
        <v>113</v>
      </c>
      <c r="I26" s="53" t="s">
        <v>437</v>
      </c>
      <c r="J26" s="130">
        <f>AB25</f>
        <v>13108</v>
      </c>
      <c r="K26" s="130"/>
      <c r="L26" s="130"/>
      <c r="M26" s="130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4">
        <f t="shared" si="0"/>
        <v>2097.1999999999998</v>
      </c>
      <c r="AA26" s="58"/>
      <c r="AB26" s="58">
        <f>TRUNC(D26/100*J26,1)</f>
        <v>2097.1999999999998</v>
      </c>
      <c r="AC26" s="58"/>
      <c r="AD26" s="22" t="s">
        <v>509</v>
      </c>
    </row>
    <row r="27" spans="2:30" ht="19.7" customHeight="1" x14ac:dyDescent="0.2">
      <c r="B27" s="57" t="s">
        <v>124</v>
      </c>
      <c r="C27" s="19" t="s">
        <v>509</v>
      </c>
      <c r="D27" s="132">
        <v>1</v>
      </c>
      <c r="E27" s="130"/>
      <c r="F27" s="130"/>
      <c r="G27" s="53" t="s">
        <v>469</v>
      </c>
      <c r="H27" s="53" t="s">
        <v>437</v>
      </c>
      <c r="I27" s="130">
        <f>노임단가!L8</f>
        <v>187069</v>
      </c>
      <c r="J27" s="130"/>
      <c r="K27" s="130"/>
      <c r="L27" s="130"/>
      <c r="M27" s="53" t="s">
        <v>437</v>
      </c>
      <c r="N27" s="130" t="s">
        <v>363</v>
      </c>
      <c r="O27" s="130"/>
      <c r="P27" s="130"/>
      <c r="Q27" s="130"/>
      <c r="R27" s="130"/>
      <c r="S27" s="130"/>
      <c r="T27" s="130"/>
      <c r="U27" s="130"/>
      <c r="V27" s="130"/>
      <c r="W27" s="53"/>
      <c r="X27" s="53"/>
      <c r="Y27" s="53"/>
      <c r="Z27" s="54">
        <f t="shared" si="0"/>
        <v>38972.699999999997</v>
      </c>
      <c r="AA27" s="58">
        <f>TRUNC(D27*I27*기계경비적용기준!E21,1)</f>
        <v>38972.699999999997</v>
      </c>
      <c r="AB27" s="58"/>
      <c r="AC27" s="58"/>
      <c r="AD27" s="22" t="s">
        <v>509</v>
      </c>
    </row>
    <row r="28" spans="2:30" ht="19.7" customHeight="1" x14ac:dyDescent="0.2">
      <c r="B28" s="57" t="s">
        <v>509</v>
      </c>
      <c r="C28" s="19" t="s">
        <v>509</v>
      </c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27"/>
      <c r="AA28" s="21"/>
      <c r="AB28" s="21"/>
      <c r="AC28" s="21"/>
      <c r="AD28" s="22" t="s">
        <v>509</v>
      </c>
    </row>
    <row r="29" spans="2:30" ht="19.7" customHeight="1" x14ac:dyDescent="0.2">
      <c r="B29" s="51" t="s">
        <v>180</v>
      </c>
      <c r="C29" s="52" t="s">
        <v>24</v>
      </c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4">
        <f>AA29+AB29+AC29</f>
        <v>76177</v>
      </c>
      <c r="AA29" s="55">
        <f>TRUNC(AA30+AA31+AA32+AA33)</f>
        <v>38972</v>
      </c>
      <c r="AB29" s="55">
        <f>TRUNC(AB30+AB31+AB32+AB33)</f>
        <v>15991</v>
      </c>
      <c r="AC29" s="55">
        <f>TRUNC(AC30+AC31+AC32+AC33)</f>
        <v>21214</v>
      </c>
      <c r="AD29" s="56"/>
    </row>
    <row r="30" spans="2:30" ht="19.7" customHeight="1" x14ac:dyDescent="0.2">
      <c r="B30" s="59" t="s">
        <v>159</v>
      </c>
      <c r="C30" s="24" t="s">
        <v>509</v>
      </c>
      <c r="D30" s="133">
        <v>101750000</v>
      </c>
      <c r="E30" s="133"/>
      <c r="F30" s="133"/>
      <c r="G30" s="133"/>
      <c r="H30" s="133"/>
      <c r="I30" s="133" t="s">
        <v>106</v>
      </c>
      <c r="J30" s="133"/>
      <c r="K30" s="133">
        <v>2085</v>
      </c>
      <c r="L30" s="133"/>
      <c r="M30" s="133"/>
      <c r="N30" s="10" t="s">
        <v>437</v>
      </c>
      <c r="O30" s="133" t="s">
        <v>460</v>
      </c>
      <c r="P30" s="133"/>
      <c r="Q30" s="133"/>
      <c r="R30" s="10"/>
      <c r="S30" s="10"/>
      <c r="T30" s="10"/>
      <c r="U30" s="10"/>
      <c r="V30" s="10"/>
      <c r="W30" s="10"/>
      <c r="X30" s="10"/>
      <c r="Y30" s="10"/>
      <c r="Z30" s="60">
        <f>AA30+AB30+AC30</f>
        <v>21214.799999999999</v>
      </c>
      <c r="AA30" s="61"/>
      <c r="AB30" s="61"/>
      <c r="AC30" s="61">
        <f>TRUNC(D30*K30*0.0000001,1)</f>
        <v>21214.799999999999</v>
      </c>
      <c r="AD30" s="26" t="s">
        <v>367</v>
      </c>
    </row>
    <row r="31" spans="2:30" ht="19.7" customHeight="1" x14ac:dyDescent="0.2">
      <c r="B31" s="57" t="s">
        <v>428</v>
      </c>
      <c r="C31" s="19" t="s">
        <v>27</v>
      </c>
      <c r="D31" s="131">
        <v>11.6</v>
      </c>
      <c r="E31" s="130"/>
      <c r="F31" s="130"/>
      <c r="G31" s="130"/>
      <c r="H31" s="53" t="s">
        <v>408</v>
      </c>
      <c r="I31" s="53" t="s">
        <v>437</v>
      </c>
      <c r="J31" s="130">
        <f>자재단가!R5</f>
        <v>1130</v>
      </c>
      <c r="K31" s="130"/>
      <c r="L31" s="130"/>
      <c r="M31" s="130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4">
        <f>AA31+AB31+AC31</f>
        <v>13108</v>
      </c>
      <c r="AA31" s="58"/>
      <c r="AB31" s="58">
        <f>TRUNC(D31*J31,1)</f>
        <v>13108</v>
      </c>
      <c r="AC31" s="58"/>
      <c r="AD31" s="22" t="s">
        <v>509</v>
      </c>
    </row>
    <row r="32" spans="2:30" ht="19.7" customHeight="1" x14ac:dyDescent="0.2">
      <c r="B32" s="57" t="s">
        <v>36</v>
      </c>
      <c r="C32" s="19" t="s">
        <v>296</v>
      </c>
      <c r="D32" s="131">
        <v>22</v>
      </c>
      <c r="E32" s="130"/>
      <c r="F32" s="130"/>
      <c r="G32" s="130"/>
      <c r="H32" s="53" t="s">
        <v>113</v>
      </c>
      <c r="I32" s="53" t="s">
        <v>437</v>
      </c>
      <c r="J32" s="130">
        <f>AB31</f>
        <v>13108</v>
      </c>
      <c r="K32" s="130"/>
      <c r="L32" s="130"/>
      <c r="M32" s="130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4">
        <f>AA32+AB32+AC32</f>
        <v>2883.7</v>
      </c>
      <c r="AA32" s="58"/>
      <c r="AB32" s="58">
        <f>TRUNC(D32/100*J32,1)</f>
        <v>2883.7</v>
      </c>
      <c r="AC32" s="58"/>
      <c r="AD32" s="22" t="s">
        <v>509</v>
      </c>
    </row>
    <row r="33" spans="2:30" ht="19.7" customHeight="1" x14ac:dyDescent="0.2">
      <c r="B33" s="57" t="s">
        <v>124</v>
      </c>
      <c r="C33" s="19" t="s">
        <v>509</v>
      </c>
      <c r="D33" s="132">
        <v>1</v>
      </c>
      <c r="E33" s="130"/>
      <c r="F33" s="130"/>
      <c r="G33" s="53" t="s">
        <v>469</v>
      </c>
      <c r="H33" s="53" t="s">
        <v>437</v>
      </c>
      <c r="I33" s="130">
        <f>노임단가!L8</f>
        <v>187069</v>
      </c>
      <c r="J33" s="130"/>
      <c r="K33" s="130"/>
      <c r="L33" s="130"/>
      <c r="M33" s="53" t="s">
        <v>437</v>
      </c>
      <c r="N33" s="130" t="s">
        <v>363</v>
      </c>
      <c r="O33" s="130"/>
      <c r="P33" s="130"/>
      <c r="Q33" s="130"/>
      <c r="R33" s="130"/>
      <c r="S33" s="130"/>
      <c r="T33" s="130"/>
      <c r="U33" s="130"/>
      <c r="V33" s="130"/>
      <c r="W33" s="53"/>
      <c r="X33" s="53"/>
      <c r="Y33" s="53"/>
      <c r="Z33" s="54">
        <f>AA33+AB33+AC33</f>
        <v>38972.699999999997</v>
      </c>
      <c r="AA33" s="58">
        <f>TRUNC(D33*I33*기계경비적용기준!E21,1)</f>
        <v>38972.699999999997</v>
      </c>
      <c r="AB33" s="58"/>
      <c r="AC33" s="58"/>
      <c r="AD33" s="22" t="s">
        <v>509</v>
      </c>
    </row>
    <row r="34" spans="2:30" ht="19.7" customHeight="1" x14ac:dyDescent="0.2">
      <c r="B34" s="57" t="s">
        <v>509</v>
      </c>
      <c r="C34" s="19" t="s">
        <v>509</v>
      </c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27"/>
      <c r="AA34" s="21"/>
      <c r="AB34" s="21"/>
      <c r="AC34" s="21"/>
      <c r="AD34" s="22" t="s">
        <v>509</v>
      </c>
    </row>
    <row r="35" spans="2:30" ht="19.7" customHeight="1" x14ac:dyDescent="0.2">
      <c r="B35" s="51" t="s">
        <v>411</v>
      </c>
      <c r="C35" s="52" t="s">
        <v>511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4">
        <f t="shared" ref="Z35:Z40" si="1">AA35+AB35+AC35</f>
        <v>60520</v>
      </c>
      <c r="AA35" s="55">
        <f>TRUNC(AA36+AA37+AA38+AA39+AA40)</f>
        <v>38972</v>
      </c>
      <c r="AB35" s="55">
        <f>TRUNC(AB36+AB37+AB38+AB39+AB40)</f>
        <v>6554</v>
      </c>
      <c r="AC35" s="55">
        <f>TRUNC(AC36+AC37+AC38+AC39+AC40)</f>
        <v>14994</v>
      </c>
      <c r="AD35" s="56"/>
    </row>
    <row r="36" spans="2:30" ht="19.7" customHeight="1" x14ac:dyDescent="0.2">
      <c r="B36" s="57" t="s">
        <v>238</v>
      </c>
      <c r="C36" s="19" t="s">
        <v>509</v>
      </c>
      <c r="D36" s="130">
        <v>59780000</v>
      </c>
      <c r="E36" s="130"/>
      <c r="F36" s="130"/>
      <c r="G36" s="130"/>
      <c r="H36" s="130"/>
      <c r="I36" s="130" t="s">
        <v>106</v>
      </c>
      <c r="J36" s="130"/>
      <c r="K36" s="130">
        <v>2085</v>
      </c>
      <c r="L36" s="130"/>
      <c r="M36" s="130"/>
      <c r="N36" s="53" t="s">
        <v>437</v>
      </c>
      <c r="O36" s="130" t="s">
        <v>460</v>
      </c>
      <c r="P36" s="130"/>
      <c r="Q36" s="130"/>
      <c r="R36" s="53"/>
      <c r="S36" s="53"/>
      <c r="T36" s="53"/>
      <c r="U36" s="53"/>
      <c r="V36" s="53"/>
      <c r="W36" s="53"/>
      <c r="X36" s="53"/>
      <c r="Y36" s="53"/>
      <c r="Z36" s="54">
        <f t="shared" si="1"/>
        <v>12464.1</v>
      </c>
      <c r="AA36" s="58"/>
      <c r="AB36" s="58"/>
      <c r="AC36" s="58">
        <f>TRUNC(D36*K36*0.0000001,1)</f>
        <v>12464.1</v>
      </c>
      <c r="AD36" s="22" t="s">
        <v>367</v>
      </c>
    </row>
    <row r="37" spans="2:30" ht="19.7" customHeight="1" x14ac:dyDescent="0.2">
      <c r="B37" s="57" t="s">
        <v>397</v>
      </c>
      <c r="C37" s="19" t="s">
        <v>509</v>
      </c>
      <c r="D37" s="130">
        <v>3833000</v>
      </c>
      <c r="E37" s="130"/>
      <c r="F37" s="130"/>
      <c r="G37" s="130"/>
      <c r="H37" s="130"/>
      <c r="I37" s="130" t="s">
        <v>106</v>
      </c>
      <c r="J37" s="130"/>
      <c r="K37" s="130">
        <v>6601</v>
      </c>
      <c r="L37" s="130"/>
      <c r="M37" s="130"/>
      <c r="N37" s="53" t="s">
        <v>437</v>
      </c>
      <c r="O37" s="130" t="s">
        <v>460</v>
      </c>
      <c r="P37" s="130"/>
      <c r="Q37" s="130"/>
      <c r="R37" s="53"/>
      <c r="S37" s="53"/>
      <c r="T37" s="53"/>
      <c r="U37" s="53"/>
      <c r="V37" s="53"/>
      <c r="W37" s="53"/>
      <c r="X37" s="53"/>
      <c r="Y37" s="53"/>
      <c r="Z37" s="54">
        <f t="shared" si="1"/>
        <v>2530.1</v>
      </c>
      <c r="AA37" s="58"/>
      <c r="AB37" s="58"/>
      <c r="AC37" s="58">
        <f>TRUNC(D37*K37*0.0000001,1)</f>
        <v>2530.1</v>
      </c>
      <c r="AD37" s="22" t="s">
        <v>367</v>
      </c>
    </row>
    <row r="38" spans="2:30" ht="19.7" customHeight="1" x14ac:dyDescent="0.2">
      <c r="B38" s="57" t="s">
        <v>428</v>
      </c>
      <c r="C38" s="19" t="s">
        <v>27</v>
      </c>
      <c r="D38" s="131">
        <v>5</v>
      </c>
      <c r="E38" s="130"/>
      <c r="F38" s="130"/>
      <c r="G38" s="130"/>
      <c r="H38" s="53" t="s">
        <v>408</v>
      </c>
      <c r="I38" s="53" t="s">
        <v>437</v>
      </c>
      <c r="J38" s="130">
        <f>자재단가!R5</f>
        <v>1130</v>
      </c>
      <c r="K38" s="130"/>
      <c r="L38" s="130"/>
      <c r="M38" s="130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4">
        <f t="shared" si="1"/>
        <v>5650</v>
      </c>
      <c r="AA38" s="58"/>
      <c r="AB38" s="58">
        <f>TRUNC(D38*J38,1)</f>
        <v>5650</v>
      </c>
      <c r="AC38" s="58"/>
      <c r="AD38" s="22" t="s">
        <v>509</v>
      </c>
    </row>
    <row r="39" spans="2:30" ht="19.7" customHeight="1" x14ac:dyDescent="0.2">
      <c r="B39" s="57" t="s">
        <v>36</v>
      </c>
      <c r="C39" s="19" t="s">
        <v>296</v>
      </c>
      <c r="D39" s="131">
        <v>16</v>
      </c>
      <c r="E39" s="130"/>
      <c r="F39" s="130"/>
      <c r="G39" s="130"/>
      <c r="H39" s="53" t="s">
        <v>113</v>
      </c>
      <c r="I39" s="53" t="s">
        <v>437</v>
      </c>
      <c r="J39" s="130">
        <f>AB38</f>
        <v>5650</v>
      </c>
      <c r="K39" s="130"/>
      <c r="L39" s="130"/>
      <c r="M39" s="130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4">
        <f t="shared" si="1"/>
        <v>904</v>
      </c>
      <c r="AA39" s="58"/>
      <c r="AB39" s="58">
        <f>TRUNC(D39/100*J39,1)</f>
        <v>904</v>
      </c>
      <c r="AC39" s="58"/>
      <c r="AD39" s="22" t="s">
        <v>509</v>
      </c>
    </row>
    <row r="40" spans="2:30" ht="19.7" customHeight="1" x14ac:dyDescent="0.2">
      <c r="B40" s="57" t="s">
        <v>124</v>
      </c>
      <c r="C40" s="19" t="s">
        <v>509</v>
      </c>
      <c r="D40" s="132">
        <v>1</v>
      </c>
      <c r="E40" s="130"/>
      <c r="F40" s="130"/>
      <c r="G40" s="53" t="s">
        <v>469</v>
      </c>
      <c r="H40" s="53" t="s">
        <v>437</v>
      </c>
      <c r="I40" s="130">
        <f>노임단가!L8</f>
        <v>187069</v>
      </c>
      <c r="J40" s="130"/>
      <c r="K40" s="130"/>
      <c r="L40" s="130"/>
      <c r="M40" s="53" t="s">
        <v>437</v>
      </c>
      <c r="N40" s="130" t="s">
        <v>363</v>
      </c>
      <c r="O40" s="130"/>
      <c r="P40" s="130"/>
      <c r="Q40" s="130"/>
      <c r="R40" s="130"/>
      <c r="S40" s="130"/>
      <c r="T40" s="130"/>
      <c r="U40" s="130"/>
      <c r="V40" s="130"/>
      <c r="W40" s="53"/>
      <c r="X40" s="53"/>
      <c r="Y40" s="53"/>
      <c r="Z40" s="54">
        <f t="shared" si="1"/>
        <v>38972.699999999997</v>
      </c>
      <c r="AA40" s="58">
        <f>TRUNC(D40*I40*기계경비적용기준!E21,1)</f>
        <v>38972.699999999997</v>
      </c>
      <c r="AB40" s="58"/>
      <c r="AC40" s="58"/>
      <c r="AD40" s="22" t="s">
        <v>509</v>
      </c>
    </row>
    <row r="41" spans="2:30" ht="19.7" customHeight="1" x14ac:dyDescent="0.2">
      <c r="B41" s="57" t="s">
        <v>509</v>
      </c>
      <c r="C41" s="19" t="s">
        <v>509</v>
      </c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27"/>
      <c r="AA41" s="21"/>
      <c r="AB41" s="21"/>
      <c r="AC41" s="21"/>
      <c r="AD41" s="22" t="s">
        <v>509</v>
      </c>
    </row>
    <row r="42" spans="2:30" ht="19.7" customHeight="1" x14ac:dyDescent="0.2">
      <c r="B42" s="51" t="s">
        <v>197</v>
      </c>
      <c r="C42" s="52" t="s">
        <v>111</v>
      </c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4">
        <f>AA42+AB42+AC42</f>
        <v>79433</v>
      </c>
      <c r="AA42" s="55">
        <f>TRUNC(AA43+AA44+AA45+AA46)</f>
        <v>38972</v>
      </c>
      <c r="AB42" s="55">
        <f>TRUNC(AB43+AB44+AB45+AB46)</f>
        <v>15991</v>
      </c>
      <c r="AC42" s="55">
        <f>TRUNC(AC43+AC44+AC45+AC46)</f>
        <v>24470</v>
      </c>
      <c r="AD42" s="56"/>
    </row>
    <row r="43" spans="2:30" ht="19.7" customHeight="1" x14ac:dyDescent="0.2">
      <c r="B43" s="57" t="s">
        <v>159</v>
      </c>
      <c r="C43" s="19" t="s">
        <v>509</v>
      </c>
      <c r="D43" s="130">
        <v>101750000</v>
      </c>
      <c r="E43" s="130"/>
      <c r="F43" s="130"/>
      <c r="G43" s="130"/>
      <c r="H43" s="130"/>
      <c r="I43" s="130" t="s">
        <v>106</v>
      </c>
      <c r="J43" s="130"/>
      <c r="K43" s="130">
        <v>2405</v>
      </c>
      <c r="L43" s="130"/>
      <c r="M43" s="130"/>
      <c r="N43" s="53" t="s">
        <v>437</v>
      </c>
      <c r="O43" s="130" t="s">
        <v>460</v>
      </c>
      <c r="P43" s="130"/>
      <c r="Q43" s="130"/>
      <c r="R43" s="53"/>
      <c r="S43" s="53"/>
      <c r="T43" s="53"/>
      <c r="U43" s="53"/>
      <c r="V43" s="53"/>
      <c r="W43" s="53"/>
      <c r="X43" s="53"/>
      <c r="Y43" s="53"/>
      <c r="Z43" s="54">
        <f>AA43+AB43+AC43</f>
        <v>24470.799999999999</v>
      </c>
      <c r="AA43" s="58"/>
      <c r="AB43" s="58"/>
      <c r="AC43" s="58">
        <f>TRUNC(D43*K43*0.0000001,1)</f>
        <v>24470.799999999999</v>
      </c>
      <c r="AD43" s="22" t="s">
        <v>367</v>
      </c>
    </row>
    <row r="44" spans="2:30" ht="19.7" customHeight="1" x14ac:dyDescent="0.2">
      <c r="B44" s="57" t="s">
        <v>428</v>
      </c>
      <c r="C44" s="19" t="s">
        <v>27</v>
      </c>
      <c r="D44" s="131">
        <v>11.6</v>
      </c>
      <c r="E44" s="130"/>
      <c r="F44" s="130"/>
      <c r="G44" s="130"/>
      <c r="H44" s="53" t="s">
        <v>408</v>
      </c>
      <c r="I44" s="53" t="s">
        <v>437</v>
      </c>
      <c r="J44" s="130">
        <f>자재단가!R5</f>
        <v>1130</v>
      </c>
      <c r="K44" s="130"/>
      <c r="L44" s="130"/>
      <c r="M44" s="130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4">
        <f>AA44+AB44+AC44</f>
        <v>13108</v>
      </c>
      <c r="AA44" s="58"/>
      <c r="AB44" s="58">
        <f>TRUNC(D44*J44,1)</f>
        <v>13108</v>
      </c>
      <c r="AC44" s="58"/>
      <c r="AD44" s="22" t="s">
        <v>509</v>
      </c>
    </row>
    <row r="45" spans="2:30" ht="19.7" customHeight="1" x14ac:dyDescent="0.2">
      <c r="B45" s="57" t="s">
        <v>36</v>
      </c>
      <c r="C45" s="19" t="s">
        <v>296</v>
      </c>
      <c r="D45" s="131">
        <v>22</v>
      </c>
      <c r="E45" s="130"/>
      <c r="F45" s="130"/>
      <c r="G45" s="130"/>
      <c r="H45" s="53" t="s">
        <v>113</v>
      </c>
      <c r="I45" s="53" t="s">
        <v>437</v>
      </c>
      <c r="J45" s="130">
        <f>AB44</f>
        <v>13108</v>
      </c>
      <c r="K45" s="130"/>
      <c r="L45" s="130"/>
      <c r="M45" s="130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4">
        <f>AA45+AB45+AC45</f>
        <v>2883.7</v>
      </c>
      <c r="AA45" s="58"/>
      <c r="AB45" s="58">
        <f>TRUNC(D45/100*J45,1)</f>
        <v>2883.7</v>
      </c>
      <c r="AC45" s="58"/>
      <c r="AD45" s="22" t="s">
        <v>509</v>
      </c>
    </row>
    <row r="46" spans="2:30" ht="19.7" customHeight="1" x14ac:dyDescent="0.2">
      <c r="B46" s="57" t="s">
        <v>124</v>
      </c>
      <c r="C46" s="19" t="s">
        <v>509</v>
      </c>
      <c r="D46" s="132">
        <v>1</v>
      </c>
      <c r="E46" s="130"/>
      <c r="F46" s="130"/>
      <c r="G46" s="53" t="s">
        <v>469</v>
      </c>
      <c r="H46" s="53" t="s">
        <v>437</v>
      </c>
      <c r="I46" s="130">
        <f>노임단가!L8</f>
        <v>187069</v>
      </c>
      <c r="J46" s="130"/>
      <c r="K46" s="130"/>
      <c r="L46" s="130"/>
      <c r="M46" s="53" t="s">
        <v>437</v>
      </c>
      <c r="N46" s="130" t="s">
        <v>363</v>
      </c>
      <c r="O46" s="130"/>
      <c r="P46" s="130"/>
      <c r="Q46" s="130"/>
      <c r="R46" s="130"/>
      <c r="S46" s="130"/>
      <c r="T46" s="130"/>
      <c r="U46" s="130"/>
      <c r="V46" s="130"/>
      <c r="W46" s="53"/>
      <c r="X46" s="53"/>
      <c r="Y46" s="53"/>
      <c r="Z46" s="54">
        <f>AA46+AB46+AC46</f>
        <v>38972.699999999997</v>
      </c>
      <c r="AA46" s="58">
        <f>TRUNC(D46*I46*기계경비적용기준!E21,1)</f>
        <v>38972.699999999997</v>
      </c>
      <c r="AB46" s="58"/>
      <c r="AC46" s="58"/>
      <c r="AD46" s="22" t="s">
        <v>509</v>
      </c>
    </row>
    <row r="47" spans="2:30" ht="19.7" customHeight="1" x14ac:dyDescent="0.2">
      <c r="B47" s="59" t="s">
        <v>509</v>
      </c>
      <c r="C47" s="24" t="s">
        <v>509</v>
      </c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1"/>
      <c r="AA47" s="12"/>
      <c r="AB47" s="12"/>
      <c r="AC47" s="12"/>
      <c r="AD47" s="26" t="s">
        <v>509</v>
      </c>
    </row>
    <row r="48" spans="2:30" x14ac:dyDescent="0.2"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</sheetData>
  <mergeCells count="88">
    <mergeCell ref="D3:Y3"/>
    <mergeCell ref="B1:AD2"/>
    <mergeCell ref="D5:H5"/>
    <mergeCell ref="I5:J5"/>
    <mergeCell ref="K5:M5"/>
    <mergeCell ref="O5:Q5"/>
    <mergeCell ref="D6:G6"/>
    <mergeCell ref="J6:M6"/>
    <mergeCell ref="D7:G7"/>
    <mergeCell ref="J7:M7"/>
    <mergeCell ref="D8:F8"/>
    <mergeCell ref="I8:L8"/>
    <mergeCell ref="N8:V8"/>
    <mergeCell ref="D11:H11"/>
    <mergeCell ref="I11:J11"/>
    <mergeCell ref="K11:M11"/>
    <mergeCell ref="O11:Q11"/>
    <mergeCell ref="D12:G12"/>
    <mergeCell ref="J12:M12"/>
    <mergeCell ref="D13:G13"/>
    <mergeCell ref="J13:M13"/>
    <mergeCell ref="D14:F14"/>
    <mergeCell ref="I14:L14"/>
    <mergeCell ref="N14:V14"/>
    <mergeCell ref="D17:H17"/>
    <mergeCell ref="I17:J17"/>
    <mergeCell ref="K17:M17"/>
    <mergeCell ref="O17:Q17"/>
    <mergeCell ref="S17:U17"/>
    <mergeCell ref="D18:G18"/>
    <mergeCell ref="J18:M18"/>
    <mergeCell ref="D19:G19"/>
    <mergeCell ref="J19:M19"/>
    <mergeCell ref="D20:F20"/>
    <mergeCell ref="I20:L20"/>
    <mergeCell ref="N20:V20"/>
    <mergeCell ref="D23:H23"/>
    <mergeCell ref="I23:J23"/>
    <mergeCell ref="K23:M23"/>
    <mergeCell ref="O23:Q23"/>
    <mergeCell ref="D24:H24"/>
    <mergeCell ref="I24:J24"/>
    <mergeCell ref="K24:M24"/>
    <mergeCell ref="O24:Q24"/>
    <mergeCell ref="D25:G25"/>
    <mergeCell ref="J25:M25"/>
    <mergeCell ref="D26:G26"/>
    <mergeCell ref="J26:M26"/>
    <mergeCell ref="D27:F27"/>
    <mergeCell ref="I27:L27"/>
    <mergeCell ref="N27:V27"/>
    <mergeCell ref="D30:H30"/>
    <mergeCell ref="I30:J30"/>
    <mergeCell ref="K30:M30"/>
    <mergeCell ref="O30:Q30"/>
    <mergeCell ref="D31:G31"/>
    <mergeCell ref="J31:M31"/>
    <mergeCell ref="D32:G32"/>
    <mergeCell ref="J32:M32"/>
    <mergeCell ref="D33:F33"/>
    <mergeCell ref="I33:L33"/>
    <mergeCell ref="N33:V33"/>
    <mergeCell ref="D36:H36"/>
    <mergeCell ref="I36:J36"/>
    <mergeCell ref="K36:M36"/>
    <mergeCell ref="O36:Q36"/>
    <mergeCell ref="D37:H37"/>
    <mergeCell ref="I37:J37"/>
    <mergeCell ref="K37:M37"/>
    <mergeCell ref="O37:Q37"/>
    <mergeCell ref="D38:G38"/>
    <mergeCell ref="J38:M38"/>
    <mergeCell ref="D39:G39"/>
    <mergeCell ref="J39:M39"/>
    <mergeCell ref="D40:F40"/>
    <mergeCell ref="I40:L40"/>
    <mergeCell ref="N40:V40"/>
    <mergeCell ref="D43:H43"/>
    <mergeCell ref="I43:J43"/>
    <mergeCell ref="K43:M43"/>
    <mergeCell ref="O43:Q43"/>
    <mergeCell ref="N46:V46"/>
    <mergeCell ref="D44:G44"/>
    <mergeCell ref="J44:M44"/>
    <mergeCell ref="D45:G45"/>
    <mergeCell ref="J45:M45"/>
    <mergeCell ref="D46:F46"/>
    <mergeCell ref="I46:L46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1" manualBreakCount="1">
    <brk id="30" min="2" max="30" man="1"/>
  </rowBreaks>
  <ignoredErrors>
    <ignoredError sqref="AA4:AC4 Z5:Z8 AA10:AC10 Z11:Z14 AA16:AC16 Z17:Z20 AA22:AC22 Z23:Z27 AA29:AC29 Z30:Z33 AA35:AC35 Z36:Z40 AA42:AC42 Z43:Z46" emptyCellReferenc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N31"/>
  <sheetViews>
    <sheetView zoomScaleNormal="100" zoomScaleSheetLayoutView="115" workbookViewId="0">
      <selection activeCell="M3" sqref="M3"/>
    </sheetView>
  </sheetViews>
  <sheetFormatPr defaultRowHeight="12.75" x14ac:dyDescent="0.2"/>
  <cols>
    <col min="1" max="1" width="0.7109375" customWidth="1"/>
    <col min="2" max="2" width="2.140625" customWidth="1"/>
    <col min="3" max="3" width="10.42578125" customWidth="1"/>
    <col min="4" max="5" width="25" customWidth="1"/>
    <col min="6" max="6" width="2.140625" customWidth="1"/>
    <col min="7" max="7" width="4.140625" customWidth="1"/>
    <col min="8" max="8" width="16.5703125" customWidth="1"/>
    <col min="9" max="9" width="12.42578125" customWidth="1"/>
    <col min="10" max="10" width="6.28515625" customWidth="1"/>
    <col min="11" max="11" width="16.5703125" customWidth="1"/>
    <col min="12" max="12" width="2.140625" customWidth="1"/>
  </cols>
  <sheetData>
    <row r="1" spans="2:14" ht="24.95" customHeight="1" x14ac:dyDescent="0.2">
      <c r="B1" s="118" t="s">
        <v>341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28"/>
      <c r="N1" s="28"/>
    </row>
    <row r="2" spans="2:14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3" spans="2:14" ht="30" customHeight="1" x14ac:dyDescent="0.2">
      <c r="B3" s="47"/>
      <c r="C3" s="46"/>
      <c r="D3" s="46"/>
      <c r="E3" s="46"/>
      <c r="F3" s="46"/>
      <c r="G3" s="46"/>
      <c r="H3" s="46"/>
      <c r="I3" s="46"/>
      <c r="J3" s="46"/>
      <c r="K3" s="46"/>
      <c r="L3" s="48"/>
    </row>
    <row r="4" spans="2:14" ht="16.5" x14ac:dyDescent="0.2">
      <c r="B4" s="4"/>
      <c r="C4" s="138" t="s">
        <v>457</v>
      </c>
      <c r="D4" s="138"/>
      <c r="E4" s="138"/>
      <c r="G4" s="138" t="s">
        <v>78</v>
      </c>
      <c r="H4" s="138"/>
      <c r="I4" s="138"/>
      <c r="L4" s="2"/>
    </row>
    <row r="5" spans="2:14" ht="7.5" customHeight="1" x14ac:dyDescent="0.2">
      <c r="B5" s="4"/>
      <c r="L5" s="2"/>
    </row>
    <row r="6" spans="2:14" ht="19.7" customHeight="1" x14ac:dyDescent="0.2">
      <c r="B6" s="4"/>
      <c r="C6" s="30" t="s">
        <v>80</v>
      </c>
      <c r="D6" s="30" t="s">
        <v>92</v>
      </c>
      <c r="E6" s="30" t="s">
        <v>6</v>
      </c>
      <c r="F6" s="34"/>
      <c r="G6" s="30" t="s">
        <v>140</v>
      </c>
      <c r="H6" s="30" t="s">
        <v>282</v>
      </c>
      <c r="I6" s="30" t="s">
        <v>0</v>
      </c>
      <c r="J6" s="30" t="s">
        <v>204</v>
      </c>
      <c r="K6" s="30" t="s">
        <v>1</v>
      </c>
      <c r="L6" s="49"/>
    </row>
    <row r="7" spans="2:14" ht="16.899999999999999" customHeight="1" x14ac:dyDescent="0.2">
      <c r="B7" s="4"/>
      <c r="C7" s="31" t="s">
        <v>350</v>
      </c>
      <c r="D7" s="33">
        <v>1111.5999999999999</v>
      </c>
      <c r="E7" s="31" t="s">
        <v>100</v>
      </c>
      <c r="F7" s="34"/>
      <c r="G7" s="35" t="s">
        <v>151</v>
      </c>
      <c r="H7" s="31" t="s">
        <v>89</v>
      </c>
      <c r="I7" s="31" t="s">
        <v>509</v>
      </c>
      <c r="J7" s="30" t="s">
        <v>408</v>
      </c>
      <c r="K7" s="36">
        <f>자재단가!R5</f>
        <v>1130</v>
      </c>
      <c r="L7" s="49"/>
    </row>
    <row r="8" spans="2:14" ht="16.899999999999999" customHeight="1" x14ac:dyDescent="0.2">
      <c r="B8" s="4"/>
      <c r="C8" s="31" t="s">
        <v>99</v>
      </c>
      <c r="D8" s="33">
        <v>1021.36</v>
      </c>
      <c r="E8" s="31" t="s">
        <v>100</v>
      </c>
      <c r="F8" s="34"/>
      <c r="G8" s="35" t="s">
        <v>476</v>
      </c>
      <c r="H8" s="31" t="s">
        <v>153</v>
      </c>
      <c r="I8" s="31" t="s">
        <v>509</v>
      </c>
      <c r="J8" s="30" t="s">
        <v>408</v>
      </c>
      <c r="K8" s="36">
        <f>자재단가!R6</f>
        <v>1222</v>
      </c>
      <c r="L8" s="49"/>
    </row>
    <row r="9" spans="2:14" ht="16.899999999999999" customHeight="1" x14ac:dyDescent="0.2">
      <c r="B9" s="4"/>
      <c r="C9" s="31" t="s">
        <v>84</v>
      </c>
      <c r="D9" s="33">
        <v>1272.5</v>
      </c>
      <c r="E9" s="31" t="s">
        <v>100</v>
      </c>
      <c r="F9" s="34"/>
      <c r="G9" s="32"/>
      <c r="H9" s="32"/>
      <c r="I9" s="32"/>
      <c r="J9" s="32"/>
      <c r="K9" s="32"/>
      <c r="L9" s="49"/>
    </row>
    <row r="10" spans="2:14" ht="16.899999999999999" customHeight="1" x14ac:dyDescent="0.2">
      <c r="B10" s="4"/>
      <c r="C10" s="31" t="s">
        <v>374</v>
      </c>
      <c r="D10" s="32"/>
      <c r="E10" s="31" t="s">
        <v>509</v>
      </c>
      <c r="F10" s="34"/>
      <c r="G10" s="32"/>
      <c r="H10" s="32"/>
      <c r="I10" s="32"/>
      <c r="J10" s="32"/>
      <c r="K10" s="32"/>
      <c r="L10" s="49"/>
    </row>
    <row r="11" spans="2:14" ht="16.899999999999999" customHeight="1" x14ac:dyDescent="0.2">
      <c r="B11" s="4"/>
      <c r="C11" s="31" t="s">
        <v>507</v>
      </c>
      <c r="D11" s="33">
        <v>1457.09</v>
      </c>
      <c r="E11" s="31" t="s">
        <v>100</v>
      </c>
      <c r="F11" s="34"/>
      <c r="G11" s="32"/>
      <c r="H11" s="32"/>
      <c r="I11" s="32"/>
      <c r="J11" s="32"/>
      <c r="K11" s="32"/>
      <c r="L11" s="49"/>
    </row>
    <row r="12" spans="2:14" ht="16.899999999999999" customHeight="1" x14ac:dyDescent="0.2">
      <c r="B12" s="4"/>
      <c r="C12" s="31" t="s">
        <v>509</v>
      </c>
      <c r="D12" s="32"/>
      <c r="E12" s="31" t="s">
        <v>509</v>
      </c>
      <c r="F12" s="34"/>
      <c r="G12" s="32"/>
      <c r="H12" s="32"/>
      <c r="I12" s="32"/>
      <c r="J12" s="32"/>
      <c r="K12" s="32"/>
      <c r="L12" s="49"/>
    </row>
    <row r="13" spans="2:14" ht="16.899999999999999" customHeight="1" x14ac:dyDescent="0.2">
      <c r="B13" s="4"/>
      <c r="C13" s="32"/>
      <c r="D13" s="32"/>
      <c r="E13" s="32"/>
      <c r="F13" s="34"/>
      <c r="G13" s="32"/>
      <c r="H13" s="32"/>
      <c r="I13" s="32"/>
      <c r="J13" s="32"/>
      <c r="K13" s="32"/>
      <c r="L13" s="49"/>
    </row>
    <row r="14" spans="2:14" ht="16.899999999999999" customHeight="1" x14ac:dyDescent="0.2">
      <c r="B14" s="4"/>
      <c r="C14" s="32"/>
      <c r="D14" s="32"/>
      <c r="E14" s="32"/>
      <c r="F14" s="34"/>
      <c r="G14" s="32"/>
      <c r="H14" s="32"/>
      <c r="I14" s="32"/>
      <c r="J14" s="32"/>
      <c r="K14" s="32"/>
      <c r="L14" s="49"/>
    </row>
    <row r="15" spans="2:14" ht="16.899999999999999" customHeight="1" x14ac:dyDescent="0.2">
      <c r="B15" s="4"/>
      <c r="C15" s="32"/>
      <c r="D15" s="32"/>
      <c r="E15" s="32"/>
      <c r="F15" s="34"/>
      <c r="G15" s="32"/>
      <c r="H15" s="32"/>
      <c r="I15" s="32"/>
      <c r="J15" s="32"/>
      <c r="K15" s="32"/>
      <c r="L15" s="49"/>
    </row>
    <row r="16" spans="2:14" ht="16.899999999999999" customHeight="1" x14ac:dyDescent="0.2">
      <c r="B16" s="4"/>
      <c r="C16" s="32"/>
      <c r="D16" s="32"/>
      <c r="E16" s="32"/>
      <c r="F16" s="34"/>
      <c r="G16" s="32"/>
      <c r="H16" s="32"/>
      <c r="I16" s="32"/>
      <c r="J16" s="32"/>
      <c r="K16" s="32"/>
      <c r="L16" s="49"/>
    </row>
    <row r="17" spans="2:12" ht="30" customHeight="1" x14ac:dyDescent="0.2">
      <c r="B17" s="4"/>
      <c r="C17" s="29"/>
      <c r="D17" s="29"/>
      <c r="E17" s="29"/>
      <c r="G17" s="29"/>
      <c r="H17" s="29"/>
      <c r="I17" s="29"/>
      <c r="J17" s="29"/>
      <c r="K17" s="29"/>
      <c r="L17" s="2"/>
    </row>
    <row r="18" spans="2:12" ht="16.5" x14ac:dyDescent="0.2">
      <c r="B18" s="4"/>
      <c r="C18" s="138" t="s">
        <v>107</v>
      </c>
      <c r="D18" s="138"/>
      <c r="E18" s="138"/>
      <c r="G18" s="138" t="s">
        <v>273</v>
      </c>
      <c r="H18" s="138"/>
      <c r="I18" s="138"/>
      <c r="L18" s="2"/>
    </row>
    <row r="19" spans="2:12" ht="7.5" customHeight="1" x14ac:dyDescent="0.2">
      <c r="B19" s="4"/>
      <c r="L19" s="2"/>
    </row>
    <row r="20" spans="2:12" ht="19.7" customHeight="1" x14ac:dyDescent="0.2">
      <c r="B20" s="4"/>
      <c r="C20" s="30" t="s">
        <v>140</v>
      </c>
      <c r="D20" s="30" t="s">
        <v>107</v>
      </c>
      <c r="E20" s="30" t="s">
        <v>332</v>
      </c>
      <c r="F20" s="34"/>
      <c r="G20" s="30"/>
      <c r="H20" s="39"/>
      <c r="I20" s="39"/>
      <c r="J20" s="39"/>
      <c r="K20" s="41"/>
      <c r="L20" s="2"/>
    </row>
    <row r="21" spans="2:12" ht="16.899999999999999" customHeight="1" x14ac:dyDescent="0.2">
      <c r="B21" s="4"/>
      <c r="C21" s="35" t="s">
        <v>151</v>
      </c>
      <c r="D21" s="31" t="s">
        <v>363</v>
      </c>
      <c r="E21" s="33">
        <f>1/8*16/12*25/20</f>
        <v>0.20833333333333331</v>
      </c>
      <c r="F21" s="34"/>
      <c r="G21" s="40"/>
      <c r="H21" s="38"/>
      <c r="I21" s="38"/>
      <c r="J21" s="38"/>
      <c r="K21" s="42"/>
      <c r="L21" s="2"/>
    </row>
    <row r="22" spans="2:12" ht="16.899999999999999" customHeight="1" x14ac:dyDescent="0.2">
      <c r="B22" s="4"/>
      <c r="C22" s="35" t="s">
        <v>476</v>
      </c>
      <c r="D22" s="31" t="s">
        <v>329</v>
      </c>
      <c r="E22" s="33">
        <f>1/8*16/12*25/20*24/15</f>
        <v>0.33333333333333331</v>
      </c>
      <c r="F22" s="34"/>
      <c r="G22" s="135" t="s">
        <v>444</v>
      </c>
      <c r="H22" s="136"/>
      <c r="I22" s="136"/>
      <c r="J22" s="136"/>
      <c r="K22" s="137"/>
      <c r="L22" s="2"/>
    </row>
    <row r="23" spans="2:12" ht="16.899999999999999" customHeight="1" x14ac:dyDescent="0.2">
      <c r="B23" s="4"/>
      <c r="C23" s="35" t="s">
        <v>220</v>
      </c>
      <c r="D23" s="31" t="s">
        <v>61</v>
      </c>
      <c r="E23" s="33">
        <f>1/8*16/12*25/20*12/10</f>
        <v>0.25</v>
      </c>
      <c r="F23" s="34"/>
      <c r="G23" s="40"/>
      <c r="H23" s="38"/>
      <c r="I23" s="38"/>
      <c r="J23" s="38"/>
      <c r="K23" s="42"/>
      <c r="L23" s="2"/>
    </row>
    <row r="24" spans="2:12" ht="16.899999999999999" customHeight="1" x14ac:dyDescent="0.2">
      <c r="B24" s="4"/>
      <c r="C24" s="35" t="s">
        <v>396</v>
      </c>
      <c r="D24" s="31" t="s">
        <v>420</v>
      </c>
      <c r="E24" s="33">
        <f>1/8*16/12*25/20*14/12</f>
        <v>0.24305555555555555</v>
      </c>
      <c r="F24" s="34"/>
      <c r="G24" s="135" t="s">
        <v>20</v>
      </c>
      <c r="H24" s="136"/>
      <c r="I24" s="136"/>
      <c r="J24" s="136"/>
      <c r="K24" s="137"/>
      <c r="L24" s="2"/>
    </row>
    <row r="25" spans="2:12" ht="16.899999999999999" customHeight="1" x14ac:dyDescent="0.2">
      <c r="B25" s="4"/>
      <c r="C25" s="35" t="s">
        <v>165</v>
      </c>
      <c r="D25" s="31" t="s">
        <v>215</v>
      </c>
      <c r="E25" s="37">
        <f>1/8*16/12*25/20*24/5</f>
        <v>1</v>
      </c>
      <c r="F25" s="34"/>
      <c r="G25" s="40"/>
      <c r="H25" s="38"/>
      <c r="I25" s="38"/>
      <c r="J25" s="38"/>
      <c r="K25" s="42"/>
      <c r="L25" s="2"/>
    </row>
    <row r="26" spans="2:12" ht="16.899999999999999" customHeight="1" x14ac:dyDescent="0.2">
      <c r="B26" s="4"/>
      <c r="C26" s="32"/>
      <c r="D26" s="32"/>
      <c r="E26" s="32"/>
      <c r="F26" s="34"/>
      <c r="G26" s="135" t="s">
        <v>149</v>
      </c>
      <c r="H26" s="136"/>
      <c r="I26" s="136"/>
      <c r="J26" s="136"/>
      <c r="K26" s="137"/>
      <c r="L26" s="2"/>
    </row>
    <row r="27" spans="2:12" ht="16.899999999999999" customHeight="1" x14ac:dyDescent="0.2">
      <c r="B27" s="4"/>
      <c r="C27" s="32"/>
      <c r="D27" s="32"/>
      <c r="E27" s="32"/>
      <c r="F27" s="34"/>
      <c r="G27" s="40"/>
      <c r="H27" s="38"/>
      <c r="I27" s="38"/>
      <c r="J27" s="38"/>
      <c r="K27" s="42"/>
      <c r="L27" s="2"/>
    </row>
    <row r="28" spans="2:12" ht="16.899999999999999" customHeight="1" x14ac:dyDescent="0.2">
      <c r="B28" s="4"/>
      <c r="C28" s="32"/>
      <c r="D28" s="32"/>
      <c r="E28" s="32"/>
      <c r="F28" s="34"/>
      <c r="G28" s="40"/>
      <c r="H28" s="38"/>
      <c r="I28" s="38"/>
      <c r="J28" s="38"/>
      <c r="K28" s="42"/>
      <c r="L28" s="2"/>
    </row>
    <row r="29" spans="2:12" ht="16.899999999999999" customHeight="1" x14ac:dyDescent="0.2">
      <c r="B29" s="4"/>
      <c r="C29" s="32"/>
      <c r="D29" s="32"/>
      <c r="E29" s="32"/>
      <c r="F29" s="34"/>
      <c r="G29" s="40"/>
      <c r="H29" s="38"/>
      <c r="I29" s="38"/>
      <c r="J29" s="38"/>
      <c r="K29" s="42"/>
      <c r="L29" s="2"/>
    </row>
    <row r="30" spans="2:12" ht="16.899999999999999" customHeight="1" x14ac:dyDescent="0.2">
      <c r="B30" s="4"/>
      <c r="C30" s="32"/>
      <c r="D30" s="32"/>
      <c r="E30" s="32"/>
      <c r="F30" s="34"/>
      <c r="G30" s="43"/>
      <c r="H30" s="44"/>
      <c r="I30" s="44"/>
      <c r="J30" s="44"/>
      <c r="K30" s="45"/>
      <c r="L30" s="2"/>
    </row>
    <row r="31" spans="2:12" ht="15" customHeight="1" x14ac:dyDescent="0.2">
      <c r="B31" s="5"/>
      <c r="C31" s="50"/>
      <c r="D31" s="50"/>
      <c r="E31" s="50"/>
      <c r="F31" s="1"/>
      <c r="G31" s="1"/>
      <c r="H31" s="1"/>
      <c r="I31" s="1"/>
      <c r="J31" s="1"/>
      <c r="K31" s="1"/>
      <c r="L31" s="3"/>
    </row>
  </sheetData>
  <mergeCells count="8">
    <mergeCell ref="G24:K24"/>
    <mergeCell ref="G26:K26"/>
    <mergeCell ref="B1:L2"/>
    <mergeCell ref="C4:E4"/>
    <mergeCell ref="G4:I4"/>
    <mergeCell ref="C18:E18"/>
    <mergeCell ref="G18:I18"/>
    <mergeCell ref="G22:K22"/>
  </mergeCells>
  <phoneticPr fontId="6" type="noConversion"/>
  <pageMargins left="0.98425196850393704" right="7.874015748031496E-2" top="0.6692913385826772" bottom="0.59055118110236215" header="0.5" footer="0.5"/>
  <pageSetup paperSize="9" scale="97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AC42"/>
  <sheetViews>
    <sheetView zoomScaleNormal="100" zoomScaleSheetLayoutView="130" workbookViewId="0">
      <pane ySplit="4" topLeftCell="A5" activePane="bottomLeft" state="frozen"/>
      <selection pane="bottomLeft" activeCell="L3" sqref="L3:M3"/>
    </sheetView>
  </sheetViews>
  <sheetFormatPr defaultRowHeight="12.75" x14ac:dyDescent="0.2"/>
  <cols>
    <col min="1" max="1" width="0.7109375" customWidth="1"/>
    <col min="2" max="2" width="4" customWidth="1"/>
    <col min="3" max="3" width="20.5703125" customWidth="1"/>
    <col min="4" max="4" width="15.42578125" customWidth="1"/>
    <col min="5" max="5" width="4.7109375" customWidth="1"/>
    <col min="6" max="6" width="8.140625" customWidth="1"/>
    <col min="7" max="7" width="7.85546875" customWidth="1"/>
    <col min="8" max="8" width="8.42578125" customWidth="1"/>
    <col min="9" max="9" width="10.140625" customWidth="1"/>
    <col min="10" max="10" width="7" customWidth="1"/>
    <col min="11" max="11" width="9.140625" customWidth="1"/>
    <col min="12" max="12" width="9.7109375" customWidth="1"/>
    <col min="13" max="13" width="10.85546875" customWidth="1"/>
    <col min="14" max="17" width="7" customWidth="1"/>
    <col min="18" max="18" width="8.42578125" customWidth="1"/>
    <col min="19" max="19" width="7.7109375" customWidth="1"/>
    <col min="26" max="26" width="9.85546875" bestFit="1" customWidth="1"/>
  </cols>
  <sheetData>
    <row r="1" spans="2:29" ht="24.95" customHeight="1" x14ac:dyDescent="0.2">
      <c r="B1" s="118" t="s">
        <v>182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</row>
    <row r="2" spans="2:29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</row>
    <row r="3" spans="2:29" ht="15.4" customHeight="1" x14ac:dyDescent="0.2">
      <c r="B3" s="124" t="s">
        <v>140</v>
      </c>
      <c r="C3" s="126" t="s">
        <v>483</v>
      </c>
      <c r="D3" s="126" t="s">
        <v>399</v>
      </c>
      <c r="E3" s="126" t="s">
        <v>204</v>
      </c>
      <c r="F3" s="120" t="s">
        <v>243</v>
      </c>
      <c r="G3" s="121"/>
      <c r="H3" s="120" t="s">
        <v>480</v>
      </c>
      <c r="I3" s="121"/>
      <c r="J3" s="120" t="s">
        <v>387</v>
      </c>
      <c r="K3" s="121"/>
      <c r="L3" s="120" t="s">
        <v>65</v>
      </c>
      <c r="M3" s="121"/>
      <c r="N3" s="120" t="s">
        <v>167</v>
      </c>
      <c r="O3" s="121"/>
      <c r="P3" s="120" t="s">
        <v>145</v>
      </c>
      <c r="Q3" s="121"/>
      <c r="R3" s="126" t="s">
        <v>425</v>
      </c>
      <c r="S3" s="122" t="s">
        <v>512</v>
      </c>
      <c r="Z3" t="s">
        <v>331</v>
      </c>
      <c r="AA3" t="s">
        <v>370</v>
      </c>
      <c r="AB3" t="s">
        <v>502</v>
      </c>
      <c r="AC3" t="s">
        <v>345</v>
      </c>
    </row>
    <row r="4" spans="2:29" ht="19.7" customHeight="1" x14ac:dyDescent="0.2">
      <c r="B4" s="125"/>
      <c r="C4" s="127"/>
      <c r="D4" s="127"/>
      <c r="E4" s="127"/>
      <c r="F4" s="16" t="s">
        <v>1</v>
      </c>
      <c r="G4" s="15" t="s">
        <v>446</v>
      </c>
      <c r="H4" s="16" t="s">
        <v>1</v>
      </c>
      <c r="I4" s="15" t="s">
        <v>446</v>
      </c>
      <c r="J4" s="16" t="s">
        <v>1</v>
      </c>
      <c r="K4" s="15" t="s">
        <v>446</v>
      </c>
      <c r="L4" s="16" t="s">
        <v>1</v>
      </c>
      <c r="M4" s="15" t="s">
        <v>446</v>
      </c>
      <c r="N4" s="16" t="s">
        <v>1</v>
      </c>
      <c r="O4" s="15" t="s">
        <v>446</v>
      </c>
      <c r="P4" s="16" t="s">
        <v>1</v>
      </c>
      <c r="Q4" s="15" t="s">
        <v>446</v>
      </c>
      <c r="R4" s="127"/>
      <c r="S4" s="123"/>
    </row>
    <row r="5" spans="2:29" ht="19.7" customHeight="1" x14ac:dyDescent="0.2">
      <c r="B5" s="18" t="s">
        <v>151</v>
      </c>
      <c r="C5" s="19" t="s">
        <v>89</v>
      </c>
      <c r="D5" s="19" t="s">
        <v>509</v>
      </c>
      <c r="E5" s="20" t="s">
        <v>408</v>
      </c>
      <c r="F5" s="27">
        <v>1130</v>
      </c>
      <c r="G5" s="19" t="s">
        <v>19</v>
      </c>
      <c r="H5" s="27"/>
      <c r="I5" s="19" t="s">
        <v>509</v>
      </c>
      <c r="J5" s="27"/>
      <c r="K5" s="19" t="s">
        <v>509</v>
      </c>
      <c r="L5" s="27"/>
      <c r="M5" s="19" t="s">
        <v>509</v>
      </c>
      <c r="N5" s="27"/>
      <c r="O5" s="19" t="s">
        <v>509</v>
      </c>
      <c r="P5" s="27"/>
      <c r="Q5" s="19" t="s">
        <v>509</v>
      </c>
      <c r="R5" s="21">
        <f t="shared" ref="R5:R41" si="0">MIN(F5,H5,J5,L5,N5,P5)</f>
        <v>1130</v>
      </c>
      <c r="S5" s="22" t="s">
        <v>225</v>
      </c>
      <c r="Z5" s="17">
        <v>1130</v>
      </c>
    </row>
    <row r="6" spans="2:29" ht="19.7" customHeight="1" x14ac:dyDescent="0.2">
      <c r="B6" s="18" t="s">
        <v>476</v>
      </c>
      <c r="C6" s="19" t="s">
        <v>153</v>
      </c>
      <c r="D6" s="19" t="s">
        <v>509</v>
      </c>
      <c r="E6" s="20" t="s">
        <v>408</v>
      </c>
      <c r="F6" s="27">
        <v>1222</v>
      </c>
      <c r="G6" s="19" t="s">
        <v>19</v>
      </c>
      <c r="H6" s="27"/>
      <c r="I6" s="19" t="s">
        <v>509</v>
      </c>
      <c r="J6" s="27"/>
      <c r="K6" s="19" t="s">
        <v>509</v>
      </c>
      <c r="L6" s="27"/>
      <c r="M6" s="19" t="s">
        <v>509</v>
      </c>
      <c r="N6" s="27"/>
      <c r="O6" s="19" t="s">
        <v>509</v>
      </c>
      <c r="P6" s="27"/>
      <c r="Q6" s="19" t="s">
        <v>509</v>
      </c>
      <c r="R6" s="21">
        <f t="shared" si="0"/>
        <v>1222</v>
      </c>
      <c r="S6" s="22" t="s">
        <v>225</v>
      </c>
      <c r="Z6" s="17">
        <v>1222</v>
      </c>
    </row>
    <row r="7" spans="2:29" ht="19.7" customHeight="1" x14ac:dyDescent="0.2">
      <c r="B7" s="18" t="s">
        <v>220</v>
      </c>
      <c r="C7" s="19" t="s">
        <v>418</v>
      </c>
      <c r="D7" s="19" t="s">
        <v>509</v>
      </c>
      <c r="E7" s="20" t="s">
        <v>144</v>
      </c>
      <c r="F7" s="27">
        <v>223000</v>
      </c>
      <c r="G7" s="19" t="s">
        <v>459</v>
      </c>
      <c r="H7" s="27"/>
      <c r="I7" s="19" t="s">
        <v>509</v>
      </c>
      <c r="J7" s="27"/>
      <c r="K7" s="19" t="s">
        <v>509</v>
      </c>
      <c r="L7" s="27"/>
      <c r="M7" s="19" t="s">
        <v>509</v>
      </c>
      <c r="N7" s="27"/>
      <c r="O7" s="19" t="s">
        <v>509</v>
      </c>
      <c r="P7" s="27"/>
      <c r="Q7" s="19" t="s">
        <v>509</v>
      </c>
      <c r="R7" s="21">
        <f t="shared" si="0"/>
        <v>223000</v>
      </c>
      <c r="S7" s="22" t="s">
        <v>509</v>
      </c>
      <c r="Z7" s="17">
        <v>223000</v>
      </c>
    </row>
    <row r="8" spans="2:29" ht="19.7" customHeight="1" x14ac:dyDescent="0.2">
      <c r="B8" s="18" t="s">
        <v>396</v>
      </c>
      <c r="C8" s="19" t="s">
        <v>463</v>
      </c>
      <c r="D8" s="19" t="s">
        <v>227</v>
      </c>
      <c r="E8" s="20" t="s">
        <v>408</v>
      </c>
      <c r="F8" s="27"/>
      <c r="G8" s="19" t="s">
        <v>509</v>
      </c>
      <c r="H8" s="27">
        <v>2.5</v>
      </c>
      <c r="I8" s="101" t="s">
        <v>267</v>
      </c>
      <c r="J8" s="27">
        <v>2.5</v>
      </c>
      <c r="K8" s="111" t="s">
        <v>386</v>
      </c>
      <c r="L8" s="27">
        <v>2.1</v>
      </c>
      <c r="M8" s="111" t="s">
        <v>254</v>
      </c>
      <c r="N8" s="27">
        <v>2.16</v>
      </c>
      <c r="O8" s="111" t="s">
        <v>283</v>
      </c>
      <c r="P8" s="27"/>
      <c r="Q8" s="19" t="s">
        <v>509</v>
      </c>
      <c r="R8" s="21">
        <f t="shared" si="0"/>
        <v>2.1</v>
      </c>
      <c r="S8" s="22" t="s">
        <v>258</v>
      </c>
      <c r="Z8" s="17">
        <v>2.1</v>
      </c>
    </row>
    <row r="9" spans="2:29" ht="19.7" customHeight="1" x14ac:dyDescent="0.2">
      <c r="B9" s="18" t="s">
        <v>165</v>
      </c>
      <c r="C9" s="19" t="s">
        <v>330</v>
      </c>
      <c r="D9" s="19" t="s">
        <v>43</v>
      </c>
      <c r="E9" s="20" t="s">
        <v>303</v>
      </c>
      <c r="F9" s="27"/>
      <c r="G9" s="19" t="s">
        <v>509</v>
      </c>
      <c r="H9" s="27">
        <v>17000</v>
      </c>
      <c r="I9" s="111" t="s">
        <v>267</v>
      </c>
      <c r="J9" s="27">
        <v>17000</v>
      </c>
      <c r="K9" s="111" t="s">
        <v>386</v>
      </c>
      <c r="L9" s="27">
        <v>13000</v>
      </c>
      <c r="M9" s="111" t="s">
        <v>254</v>
      </c>
      <c r="N9" s="27">
        <v>13200</v>
      </c>
      <c r="O9" s="111" t="s">
        <v>283</v>
      </c>
      <c r="P9" s="27"/>
      <c r="Q9" s="19" t="s">
        <v>509</v>
      </c>
      <c r="R9" s="21">
        <f t="shared" si="0"/>
        <v>13000</v>
      </c>
      <c r="S9" s="22" t="s">
        <v>509</v>
      </c>
      <c r="Z9" s="17">
        <v>13000</v>
      </c>
    </row>
    <row r="10" spans="2:29" ht="19.7" customHeight="1" x14ac:dyDescent="0.2">
      <c r="B10" s="18" t="s">
        <v>464</v>
      </c>
      <c r="C10" s="19" t="s">
        <v>217</v>
      </c>
      <c r="D10" s="19" t="s">
        <v>509</v>
      </c>
      <c r="E10" s="20" t="s">
        <v>144</v>
      </c>
      <c r="F10" s="27"/>
      <c r="G10" s="19" t="s">
        <v>509</v>
      </c>
      <c r="H10" s="27"/>
      <c r="I10" s="19" t="s">
        <v>509</v>
      </c>
      <c r="J10" s="27"/>
      <c r="K10" s="19" t="s">
        <v>509</v>
      </c>
      <c r="L10" s="27">
        <v>78100</v>
      </c>
      <c r="M10" s="19" t="s">
        <v>310</v>
      </c>
      <c r="N10" s="27"/>
      <c r="O10" s="19" t="s">
        <v>509</v>
      </c>
      <c r="P10" s="27"/>
      <c r="Q10" s="19" t="s">
        <v>509</v>
      </c>
      <c r="R10" s="21">
        <f t="shared" si="0"/>
        <v>78100</v>
      </c>
      <c r="S10" s="22" t="s">
        <v>509</v>
      </c>
      <c r="Z10" s="17">
        <v>78100</v>
      </c>
    </row>
    <row r="11" spans="2:29" ht="19.7" customHeight="1" x14ac:dyDescent="0.2">
      <c r="B11" s="18" t="s">
        <v>259</v>
      </c>
      <c r="C11" s="19" t="s">
        <v>351</v>
      </c>
      <c r="D11" s="19" t="s">
        <v>134</v>
      </c>
      <c r="E11" s="20" t="s">
        <v>358</v>
      </c>
      <c r="F11" s="27"/>
      <c r="G11" s="19" t="s">
        <v>509</v>
      </c>
      <c r="H11" s="27">
        <v>23593</v>
      </c>
      <c r="I11" s="19" t="s">
        <v>38</v>
      </c>
      <c r="J11" s="27"/>
      <c r="K11" s="19" t="s">
        <v>509</v>
      </c>
      <c r="L11" s="27">
        <v>23593</v>
      </c>
      <c r="M11" s="19" t="s">
        <v>499</v>
      </c>
      <c r="N11" s="27"/>
      <c r="O11" s="19" t="s">
        <v>509</v>
      </c>
      <c r="P11" s="27"/>
      <c r="Q11" s="19" t="s">
        <v>509</v>
      </c>
      <c r="R11" s="21">
        <f t="shared" si="0"/>
        <v>23593</v>
      </c>
      <c r="S11" s="22"/>
      <c r="Z11" s="17">
        <v>23593</v>
      </c>
    </row>
    <row r="12" spans="2:29" ht="19.7" customHeight="1" x14ac:dyDescent="0.2">
      <c r="B12" s="18" t="s">
        <v>467</v>
      </c>
      <c r="C12" s="19" t="s">
        <v>85</v>
      </c>
      <c r="D12" s="19" t="s">
        <v>245</v>
      </c>
      <c r="E12" s="20" t="s">
        <v>358</v>
      </c>
      <c r="F12" s="27"/>
      <c r="G12" s="19" t="s">
        <v>509</v>
      </c>
      <c r="H12" s="27">
        <v>13210</v>
      </c>
      <c r="I12" s="19" t="s">
        <v>416</v>
      </c>
      <c r="J12" s="27"/>
      <c r="K12" s="19" t="s">
        <v>509</v>
      </c>
      <c r="L12" s="27">
        <v>13210</v>
      </c>
      <c r="M12" s="19" t="s">
        <v>327</v>
      </c>
      <c r="N12" s="27"/>
      <c r="O12" s="19" t="s">
        <v>509</v>
      </c>
      <c r="P12" s="27"/>
      <c r="Q12" s="19" t="s">
        <v>509</v>
      </c>
      <c r="R12" s="21">
        <f t="shared" si="0"/>
        <v>13210</v>
      </c>
      <c r="S12" s="22"/>
      <c r="Z12" s="17">
        <v>13210</v>
      </c>
    </row>
    <row r="13" spans="2:29" ht="19.7" customHeight="1" x14ac:dyDescent="0.2">
      <c r="B13" s="18" t="s">
        <v>255</v>
      </c>
      <c r="C13" s="19" t="s">
        <v>154</v>
      </c>
      <c r="D13" s="19" t="s">
        <v>509</v>
      </c>
      <c r="E13" s="20" t="s">
        <v>382</v>
      </c>
      <c r="F13" s="27"/>
      <c r="G13" s="19" t="s">
        <v>509</v>
      </c>
      <c r="H13" s="27">
        <v>9</v>
      </c>
      <c r="I13" s="19" t="s">
        <v>42</v>
      </c>
      <c r="J13" s="27"/>
      <c r="K13" s="19" t="s">
        <v>509</v>
      </c>
      <c r="L13" s="27"/>
      <c r="M13" s="19" t="s">
        <v>509</v>
      </c>
      <c r="N13" s="27"/>
      <c r="O13" s="19" t="s">
        <v>509</v>
      </c>
      <c r="P13" s="27"/>
      <c r="Q13" s="19" t="s">
        <v>509</v>
      </c>
      <c r="R13" s="21">
        <f t="shared" si="0"/>
        <v>9</v>
      </c>
      <c r="S13" s="22" t="s">
        <v>509</v>
      </c>
      <c r="Z13" s="17">
        <v>9</v>
      </c>
    </row>
    <row r="14" spans="2:29" ht="19.7" customHeight="1" x14ac:dyDescent="0.2">
      <c r="B14" s="18" t="s">
        <v>57</v>
      </c>
      <c r="C14" s="19" t="s">
        <v>381</v>
      </c>
      <c r="D14" s="19" t="s">
        <v>292</v>
      </c>
      <c r="E14" s="20" t="s">
        <v>117</v>
      </c>
      <c r="F14" s="27"/>
      <c r="G14" s="19" t="s">
        <v>509</v>
      </c>
      <c r="H14" s="27"/>
      <c r="I14" s="19" t="s">
        <v>509</v>
      </c>
      <c r="J14" s="27"/>
      <c r="K14" s="19" t="s">
        <v>509</v>
      </c>
      <c r="L14" s="27">
        <v>2507500</v>
      </c>
      <c r="M14" s="19" t="s">
        <v>271</v>
      </c>
      <c r="N14" s="27"/>
      <c r="O14" s="19" t="s">
        <v>509</v>
      </c>
      <c r="P14" s="27"/>
      <c r="Q14" s="19" t="s">
        <v>509</v>
      </c>
      <c r="R14" s="21">
        <f t="shared" si="0"/>
        <v>2507500</v>
      </c>
      <c r="S14" s="22" t="s">
        <v>509</v>
      </c>
      <c r="Z14" s="17">
        <v>2507500</v>
      </c>
    </row>
    <row r="15" spans="2:29" ht="19.7" customHeight="1" x14ac:dyDescent="0.2">
      <c r="B15" s="18" t="s">
        <v>276</v>
      </c>
      <c r="C15" s="19" t="s">
        <v>381</v>
      </c>
      <c r="D15" s="19" t="s">
        <v>50</v>
      </c>
      <c r="E15" s="20" t="s">
        <v>117</v>
      </c>
      <c r="F15" s="27"/>
      <c r="G15" s="19" t="s">
        <v>509</v>
      </c>
      <c r="H15" s="27"/>
      <c r="I15" s="19" t="s">
        <v>509</v>
      </c>
      <c r="J15" s="27"/>
      <c r="K15" s="19" t="s">
        <v>509</v>
      </c>
      <c r="L15" s="27">
        <v>2102500</v>
      </c>
      <c r="M15" s="19" t="s">
        <v>271</v>
      </c>
      <c r="N15" s="27"/>
      <c r="O15" s="19" t="s">
        <v>509</v>
      </c>
      <c r="P15" s="27"/>
      <c r="Q15" s="19" t="s">
        <v>509</v>
      </c>
      <c r="R15" s="21">
        <f t="shared" si="0"/>
        <v>2102500</v>
      </c>
      <c r="S15" s="22" t="s">
        <v>509</v>
      </c>
      <c r="Z15" s="17">
        <v>2102500</v>
      </c>
    </row>
    <row r="16" spans="2:29" ht="19.7" customHeight="1" x14ac:dyDescent="0.2">
      <c r="B16" s="18" t="s">
        <v>108</v>
      </c>
      <c r="C16" s="19" t="s">
        <v>381</v>
      </c>
      <c r="D16" s="19" t="s">
        <v>412</v>
      </c>
      <c r="E16" s="20" t="s">
        <v>117</v>
      </c>
      <c r="F16" s="27"/>
      <c r="G16" s="19" t="s">
        <v>509</v>
      </c>
      <c r="H16" s="27"/>
      <c r="I16" s="19" t="s">
        <v>509</v>
      </c>
      <c r="J16" s="27"/>
      <c r="K16" s="19" t="s">
        <v>509</v>
      </c>
      <c r="L16" s="27">
        <v>1540000</v>
      </c>
      <c r="M16" s="19" t="s">
        <v>271</v>
      </c>
      <c r="N16" s="27"/>
      <c r="O16" s="19" t="s">
        <v>509</v>
      </c>
      <c r="P16" s="27"/>
      <c r="Q16" s="19" t="s">
        <v>509</v>
      </c>
      <c r="R16" s="21">
        <f t="shared" si="0"/>
        <v>1540000</v>
      </c>
      <c r="S16" s="22" t="s">
        <v>509</v>
      </c>
      <c r="Z16" s="17">
        <v>1540000</v>
      </c>
    </row>
    <row r="17" spans="2:26" ht="19.7" customHeight="1" x14ac:dyDescent="0.2">
      <c r="B17" s="18" t="s">
        <v>334</v>
      </c>
      <c r="C17" s="19" t="s">
        <v>381</v>
      </c>
      <c r="D17" s="19" t="s">
        <v>93</v>
      </c>
      <c r="E17" s="20" t="s">
        <v>117</v>
      </c>
      <c r="F17" s="27"/>
      <c r="G17" s="19" t="s">
        <v>509</v>
      </c>
      <c r="H17" s="27"/>
      <c r="I17" s="19" t="s">
        <v>509</v>
      </c>
      <c r="J17" s="27"/>
      <c r="K17" s="19" t="s">
        <v>509</v>
      </c>
      <c r="L17" s="27">
        <v>1307500</v>
      </c>
      <c r="M17" s="19" t="s">
        <v>271</v>
      </c>
      <c r="N17" s="27"/>
      <c r="O17" s="19" t="s">
        <v>509</v>
      </c>
      <c r="P17" s="27"/>
      <c r="Q17" s="19" t="s">
        <v>509</v>
      </c>
      <c r="R17" s="21">
        <f t="shared" si="0"/>
        <v>1307500</v>
      </c>
      <c r="S17" s="22" t="s">
        <v>509</v>
      </c>
      <c r="Z17" s="17">
        <v>1307500</v>
      </c>
    </row>
    <row r="18" spans="2:26" ht="19.7" customHeight="1" x14ac:dyDescent="0.2">
      <c r="B18" s="18" t="s">
        <v>12</v>
      </c>
      <c r="C18" s="19" t="s">
        <v>381</v>
      </c>
      <c r="D18" s="19" t="s">
        <v>95</v>
      </c>
      <c r="E18" s="20" t="s">
        <v>117</v>
      </c>
      <c r="F18" s="27"/>
      <c r="G18" s="19" t="s">
        <v>509</v>
      </c>
      <c r="H18" s="27"/>
      <c r="I18" s="19" t="s">
        <v>509</v>
      </c>
      <c r="J18" s="27"/>
      <c r="K18" s="19" t="s">
        <v>509</v>
      </c>
      <c r="L18" s="27">
        <v>1110000</v>
      </c>
      <c r="M18" s="19" t="s">
        <v>271</v>
      </c>
      <c r="N18" s="27"/>
      <c r="O18" s="19" t="s">
        <v>509</v>
      </c>
      <c r="P18" s="27"/>
      <c r="Q18" s="19" t="s">
        <v>509</v>
      </c>
      <c r="R18" s="21">
        <f t="shared" si="0"/>
        <v>1110000</v>
      </c>
      <c r="S18" s="22" t="s">
        <v>509</v>
      </c>
      <c r="Z18" s="17">
        <v>1110000</v>
      </c>
    </row>
    <row r="19" spans="2:26" ht="19.7" customHeight="1" x14ac:dyDescent="0.2">
      <c r="B19" s="18" t="s">
        <v>293</v>
      </c>
      <c r="C19" s="19" t="s">
        <v>381</v>
      </c>
      <c r="D19" s="19" t="s">
        <v>403</v>
      </c>
      <c r="E19" s="20" t="s">
        <v>117</v>
      </c>
      <c r="F19" s="27"/>
      <c r="G19" s="19" t="s">
        <v>509</v>
      </c>
      <c r="H19" s="27"/>
      <c r="I19" s="19" t="s">
        <v>509</v>
      </c>
      <c r="J19" s="27"/>
      <c r="K19" s="19" t="s">
        <v>509</v>
      </c>
      <c r="L19" s="27">
        <v>997500</v>
      </c>
      <c r="M19" s="19" t="s">
        <v>271</v>
      </c>
      <c r="N19" s="27"/>
      <c r="O19" s="19" t="s">
        <v>509</v>
      </c>
      <c r="P19" s="27"/>
      <c r="Q19" s="19" t="s">
        <v>509</v>
      </c>
      <c r="R19" s="21">
        <f t="shared" si="0"/>
        <v>997500</v>
      </c>
      <c r="S19" s="22" t="s">
        <v>509</v>
      </c>
      <c r="Z19" s="17">
        <v>997500</v>
      </c>
    </row>
    <row r="20" spans="2:26" ht="19.7" customHeight="1" x14ac:dyDescent="0.2">
      <c r="B20" s="18" t="s">
        <v>94</v>
      </c>
      <c r="C20" s="19" t="s">
        <v>228</v>
      </c>
      <c r="D20" s="19" t="s">
        <v>321</v>
      </c>
      <c r="E20" s="20" t="s">
        <v>302</v>
      </c>
      <c r="F20" s="27"/>
      <c r="G20" s="19" t="s">
        <v>509</v>
      </c>
      <c r="H20" s="27"/>
      <c r="I20" s="19" t="s">
        <v>509</v>
      </c>
      <c r="J20" s="27"/>
      <c r="K20" s="19" t="s">
        <v>509</v>
      </c>
      <c r="L20" s="27">
        <v>3244</v>
      </c>
      <c r="M20" s="19" t="s">
        <v>355</v>
      </c>
      <c r="N20" s="27"/>
      <c r="O20" s="19" t="s">
        <v>509</v>
      </c>
      <c r="P20" s="27"/>
      <c r="Q20" s="19" t="s">
        <v>509</v>
      </c>
      <c r="R20" s="21">
        <f t="shared" si="0"/>
        <v>3244</v>
      </c>
      <c r="S20" s="22" t="s">
        <v>509</v>
      </c>
      <c r="Z20" s="17">
        <v>3244</v>
      </c>
    </row>
    <row r="21" spans="2:26" ht="19.7" customHeight="1" x14ac:dyDescent="0.2">
      <c r="B21" s="18" t="s">
        <v>376</v>
      </c>
      <c r="C21" s="19" t="s">
        <v>37</v>
      </c>
      <c r="D21" s="19" t="s">
        <v>299</v>
      </c>
      <c r="E21" s="20" t="s">
        <v>302</v>
      </c>
      <c r="F21" s="27"/>
      <c r="G21" s="19" t="s">
        <v>509</v>
      </c>
      <c r="H21" s="27"/>
      <c r="I21" s="19" t="s">
        <v>509</v>
      </c>
      <c r="J21" s="27"/>
      <c r="K21" s="19" t="s">
        <v>509</v>
      </c>
      <c r="L21" s="27">
        <v>862</v>
      </c>
      <c r="M21" s="19" t="s">
        <v>355</v>
      </c>
      <c r="N21" s="27"/>
      <c r="O21" s="19" t="s">
        <v>509</v>
      </c>
      <c r="P21" s="27"/>
      <c r="Q21" s="19" t="s">
        <v>509</v>
      </c>
      <c r="R21" s="21">
        <f t="shared" si="0"/>
        <v>862</v>
      </c>
      <c r="S21" s="22" t="s">
        <v>509</v>
      </c>
      <c r="Z21" s="17">
        <v>862</v>
      </c>
    </row>
    <row r="22" spans="2:26" ht="19.7" customHeight="1" x14ac:dyDescent="0.2">
      <c r="B22" s="18" t="s">
        <v>96</v>
      </c>
      <c r="C22" s="19" t="s">
        <v>287</v>
      </c>
      <c r="D22" s="19" t="s">
        <v>8</v>
      </c>
      <c r="E22" s="20" t="s">
        <v>302</v>
      </c>
      <c r="F22" s="27"/>
      <c r="G22" s="19" t="s">
        <v>509</v>
      </c>
      <c r="H22" s="27"/>
      <c r="I22" s="19" t="s">
        <v>509</v>
      </c>
      <c r="J22" s="27"/>
      <c r="K22" s="19" t="s">
        <v>509</v>
      </c>
      <c r="L22" s="27">
        <v>549</v>
      </c>
      <c r="M22" s="19" t="s">
        <v>199</v>
      </c>
      <c r="N22" s="27"/>
      <c r="O22" s="19" t="s">
        <v>509</v>
      </c>
      <c r="P22" s="27"/>
      <c r="Q22" s="19" t="s">
        <v>509</v>
      </c>
      <c r="R22" s="21">
        <f t="shared" si="0"/>
        <v>549</v>
      </c>
      <c r="S22" s="22" t="s">
        <v>509</v>
      </c>
      <c r="Z22" s="17">
        <v>549</v>
      </c>
    </row>
    <row r="23" spans="2:26" ht="19.7" customHeight="1" x14ac:dyDescent="0.2">
      <c r="B23" s="18" t="s">
        <v>369</v>
      </c>
      <c r="C23" s="19" t="s">
        <v>177</v>
      </c>
      <c r="D23" s="19" t="s">
        <v>16</v>
      </c>
      <c r="E23" s="20" t="s">
        <v>302</v>
      </c>
      <c r="F23" s="27"/>
      <c r="G23" s="19" t="s">
        <v>509</v>
      </c>
      <c r="H23" s="27"/>
      <c r="I23" s="19" t="s">
        <v>509</v>
      </c>
      <c r="J23" s="27"/>
      <c r="K23" s="19" t="s">
        <v>509</v>
      </c>
      <c r="L23" s="27">
        <v>1306</v>
      </c>
      <c r="M23" s="19" t="s">
        <v>333</v>
      </c>
      <c r="N23" s="27"/>
      <c r="O23" s="19" t="s">
        <v>509</v>
      </c>
      <c r="P23" s="27"/>
      <c r="Q23" s="19" t="s">
        <v>509</v>
      </c>
      <c r="R23" s="21">
        <f t="shared" si="0"/>
        <v>1306</v>
      </c>
      <c r="S23" s="22" t="s">
        <v>509</v>
      </c>
      <c r="Z23" s="17">
        <v>1306</v>
      </c>
    </row>
    <row r="24" spans="2:26" ht="19.7" customHeight="1" x14ac:dyDescent="0.2">
      <c r="B24" s="18" t="s">
        <v>443</v>
      </c>
      <c r="C24" s="19" t="s">
        <v>226</v>
      </c>
      <c r="D24" s="19" t="s">
        <v>31</v>
      </c>
      <c r="E24" s="20" t="s">
        <v>30</v>
      </c>
      <c r="F24" s="27"/>
      <c r="G24" s="19" t="s">
        <v>509</v>
      </c>
      <c r="H24" s="27"/>
      <c r="I24" s="19" t="s">
        <v>509</v>
      </c>
      <c r="J24" s="27"/>
      <c r="K24" s="19" t="s">
        <v>509</v>
      </c>
      <c r="L24" s="27">
        <v>210000</v>
      </c>
      <c r="M24" s="19" t="s">
        <v>471</v>
      </c>
      <c r="N24" s="27"/>
      <c r="O24" s="19" t="s">
        <v>509</v>
      </c>
      <c r="P24" s="27"/>
      <c r="Q24" s="19" t="s">
        <v>509</v>
      </c>
      <c r="R24" s="21">
        <f t="shared" si="0"/>
        <v>210000</v>
      </c>
      <c r="S24" s="22" t="s">
        <v>509</v>
      </c>
      <c r="Z24" s="17">
        <v>210000</v>
      </c>
    </row>
    <row r="25" spans="2:26" ht="19.7" customHeight="1" x14ac:dyDescent="0.2">
      <c r="B25" s="18" t="s">
        <v>155</v>
      </c>
      <c r="C25" s="19" t="s">
        <v>404</v>
      </c>
      <c r="D25" s="101" t="s">
        <v>4</v>
      </c>
      <c r="E25" s="20" t="s">
        <v>318</v>
      </c>
      <c r="F25" s="27"/>
      <c r="G25" s="19" t="s">
        <v>509</v>
      </c>
      <c r="H25" s="27"/>
      <c r="I25" s="19" t="s">
        <v>509</v>
      </c>
      <c r="J25" s="27"/>
      <c r="K25" s="19" t="s">
        <v>509</v>
      </c>
      <c r="L25" s="27"/>
      <c r="M25" s="19" t="s">
        <v>509</v>
      </c>
      <c r="N25" s="27"/>
      <c r="O25" s="19" t="s">
        <v>509</v>
      </c>
      <c r="P25" s="27">
        <v>120000</v>
      </c>
      <c r="Q25" s="19" t="s">
        <v>509</v>
      </c>
      <c r="R25" s="21">
        <f t="shared" si="0"/>
        <v>120000</v>
      </c>
      <c r="S25" s="22" t="s">
        <v>509</v>
      </c>
      <c r="Z25" s="17">
        <v>120000</v>
      </c>
    </row>
    <row r="26" spans="2:26" ht="19.7" customHeight="1" x14ac:dyDescent="0.2">
      <c r="B26" s="18" t="s">
        <v>475</v>
      </c>
      <c r="C26" s="19" t="s">
        <v>210</v>
      </c>
      <c r="D26" s="19" t="s">
        <v>175</v>
      </c>
      <c r="E26" s="20" t="s">
        <v>318</v>
      </c>
      <c r="F26" s="27"/>
      <c r="G26" s="19" t="s">
        <v>509</v>
      </c>
      <c r="H26" s="27">
        <v>213200</v>
      </c>
      <c r="I26" s="19" t="s">
        <v>74</v>
      </c>
      <c r="J26" s="27"/>
      <c r="K26" s="19" t="s">
        <v>509</v>
      </c>
      <c r="L26" s="27"/>
      <c r="M26" s="19" t="s">
        <v>509</v>
      </c>
      <c r="N26" s="27"/>
      <c r="O26" s="19" t="s">
        <v>509</v>
      </c>
      <c r="P26" s="27"/>
      <c r="Q26" s="19" t="s">
        <v>509</v>
      </c>
      <c r="R26" s="21">
        <f t="shared" si="0"/>
        <v>213200</v>
      </c>
      <c r="S26" s="22" t="s">
        <v>509</v>
      </c>
      <c r="Z26" s="17">
        <v>213200</v>
      </c>
    </row>
    <row r="27" spans="2:26" ht="19.7" customHeight="1" x14ac:dyDescent="0.2">
      <c r="B27" s="18" t="s">
        <v>222</v>
      </c>
      <c r="C27" s="19" t="s">
        <v>210</v>
      </c>
      <c r="D27" s="19" t="s">
        <v>127</v>
      </c>
      <c r="E27" s="20" t="s">
        <v>318</v>
      </c>
      <c r="F27" s="27"/>
      <c r="G27" s="19" t="s">
        <v>509</v>
      </c>
      <c r="H27" s="27">
        <v>124800</v>
      </c>
      <c r="I27" s="19" t="s">
        <v>74</v>
      </c>
      <c r="J27" s="27"/>
      <c r="K27" s="19" t="s">
        <v>509</v>
      </c>
      <c r="L27" s="27"/>
      <c r="M27" s="19" t="s">
        <v>509</v>
      </c>
      <c r="N27" s="27"/>
      <c r="O27" s="19" t="s">
        <v>509</v>
      </c>
      <c r="P27" s="27"/>
      <c r="Q27" s="19" t="s">
        <v>509</v>
      </c>
      <c r="R27" s="21">
        <f t="shared" si="0"/>
        <v>124800</v>
      </c>
      <c r="S27" s="22" t="s">
        <v>509</v>
      </c>
      <c r="Z27" s="17">
        <v>124800</v>
      </c>
    </row>
    <row r="28" spans="2:26" ht="19.7" customHeight="1" x14ac:dyDescent="0.2">
      <c r="B28" s="18" t="s">
        <v>392</v>
      </c>
      <c r="C28" s="19" t="s">
        <v>210</v>
      </c>
      <c r="D28" s="19" t="s">
        <v>291</v>
      </c>
      <c r="E28" s="20" t="s">
        <v>318</v>
      </c>
      <c r="F28" s="27"/>
      <c r="G28" s="19" t="s">
        <v>509</v>
      </c>
      <c r="H28" s="27">
        <v>114400</v>
      </c>
      <c r="I28" s="19" t="s">
        <v>74</v>
      </c>
      <c r="J28" s="27"/>
      <c r="K28" s="19" t="s">
        <v>509</v>
      </c>
      <c r="L28" s="27"/>
      <c r="M28" s="19" t="s">
        <v>509</v>
      </c>
      <c r="N28" s="27"/>
      <c r="O28" s="19" t="s">
        <v>509</v>
      </c>
      <c r="P28" s="27"/>
      <c r="Q28" s="19" t="s">
        <v>509</v>
      </c>
      <c r="R28" s="21">
        <f t="shared" si="0"/>
        <v>114400</v>
      </c>
      <c r="S28" s="22" t="s">
        <v>509</v>
      </c>
      <c r="Z28" s="17">
        <v>114400</v>
      </c>
    </row>
    <row r="29" spans="2:26" ht="19.7" customHeight="1" x14ac:dyDescent="0.2">
      <c r="B29" s="18" t="s">
        <v>172</v>
      </c>
      <c r="C29" s="19" t="s">
        <v>343</v>
      </c>
      <c r="D29" s="19" t="s">
        <v>216</v>
      </c>
      <c r="E29" s="20" t="s">
        <v>318</v>
      </c>
      <c r="F29" s="27"/>
      <c r="G29" s="19" t="s">
        <v>509</v>
      </c>
      <c r="H29" s="27">
        <v>14040</v>
      </c>
      <c r="I29" s="19" t="s">
        <v>131</v>
      </c>
      <c r="J29" s="27">
        <v>14040</v>
      </c>
      <c r="K29" s="19" t="s">
        <v>395</v>
      </c>
      <c r="L29" s="27">
        <v>14040</v>
      </c>
      <c r="M29" s="19" t="s">
        <v>378</v>
      </c>
      <c r="N29" s="27"/>
      <c r="O29" s="19" t="s">
        <v>509</v>
      </c>
      <c r="P29" s="27"/>
      <c r="Q29" s="19" t="s">
        <v>509</v>
      </c>
      <c r="R29" s="21">
        <f t="shared" si="0"/>
        <v>14040</v>
      </c>
      <c r="S29" s="22" t="s">
        <v>509</v>
      </c>
      <c r="Z29" s="17">
        <v>14040</v>
      </c>
    </row>
    <row r="30" spans="2:26" ht="19.7" customHeight="1" x14ac:dyDescent="0.2">
      <c r="B30" s="23" t="s">
        <v>461</v>
      </c>
      <c r="C30" s="24" t="s">
        <v>73</v>
      </c>
      <c r="D30" s="24" t="s">
        <v>216</v>
      </c>
      <c r="E30" s="25" t="s">
        <v>318</v>
      </c>
      <c r="F30" s="11"/>
      <c r="G30" s="24" t="s">
        <v>509</v>
      </c>
      <c r="H30" s="11"/>
      <c r="I30" s="24" t="s">
        <v>509</v>
      </c>
      <c r="J30" s="11">
        <v>10920</v>
      </c>
      <c r="K30" s="24" t="s">
        <v>395</v>
      </c>
      <c r="L30" s="11">
        <v>10920</v>
      </c>
      <c r="M30" s="24" t="s">
        <v>378</v>
      </c>
      <c r="N30" s="11"/>
      <c r="O30" s="24" t="s">
        <v>509</v>
      </c>
      <c r="P30" s="11"/>
      <c r="Q30" s="24" t="s">
        <v>509</v>
      </c>
      <c r="R30" s="12">
        <f t="shared" si="0"/>
        <v>10920</v>
      </c>
      <c r="S30" s="26" t="s">
        <v>509</v>
      </c>
      <c r="Z30" s="17">
        <v>10920</v>
      </c>
    </row>
    <row r="31" spans="2:26" ht="19.7" customHeight="1" x14ac:dyDescent="0.2">
      <c r="B31" s="18" t="s">
        <v>260</v>
      </c>
      <c r="C31" s="19" t="s">
        <v>88</v>
      </c>
      <c r="D31" s="19" t="s">
        <v>216</v>
      </c>
      <c r="E31" s="20" t="s">
        <v>318</v>
      </c>
      <c r="F31" s="27"/>
      <c r="G31" s="19" t="s">
        <v>509</v>
      </c>
      <c r="H31" s="27">
        <v>9980</v>
      </c>
      <c r="I31" s="19" t="s">
        <v>131</v>
      </c>
      <c r="J31" s="27">
        <v>9980</v>
      </c>
      <c r="K31" s="19" t="s">
        <v>395</v>
      </c>
      <c r="L31" s="27">
        <v>9980</v>
      </c>
      <c r="M31" s="19" t="s">
        <v>378</v>
      </c>
      <c r="N31" s="27"/>
      <c r="O31" s="19" t="s">
        <v>509</v>
      </c>
      <c r="P31" s="27"/>
      <c r="Q31" s="19" t="s">
        <v>509</v>
      </c>
      <c r="R31" s="21">
        <f t="shared" si="0"/>
        <v>9980</v>
      </c>
      <c r="S31" s="22" t="s">
        <v>509</v>
      </c>
      <c r="Z31" s="17">
        <v>9980</v>
      </c>
    </row>
    <row r="32" spans="2:26" ht="19.7" customHeight="1" x14ac:dyDescent="0.2">
      <c r="B32" s="18" t="s">
        <v>472</v>
      </c>
      <c r="C32" s="19" t="s">
        <v>481</v>
      </c>
      <c r="D32" s="19" t="s">
        <v>216</v>
      </c>
      <c r="E32" s="20" t="s">
        <v>302</v>
      </c>
      <c r="F32" s="27"/>
      <c r="G32" s="19" t="s">
        <v>509</v>
      </c>
      <c r="H32" s="27"/>
      <c r="I32" s="19" t="s">
        <v>509</v>
      </c>
      <c r="J32" s="27"/>
      <c r="K32" s="19" t="s">
        <v>509</v>
      </c>
      <c r="L32" s="27">
        <v>4340</v>
      </c>
      <c r="M32" s="19" t="s">
        <v>126</v>
      </c>
      <c r="N32" s="27"/>
      <c r="O32" s="19" t="s">
        <v>509</v>
      </c>
      <c r="P32" s="27"/>
      <c r="Q32" s="19" t="s">
        <v>509</v>
      </c>
      <c r="R32" s="21">
        <f t="shared" si="0"/>
        <v>4340</v>
      </c>
      <c r="S32" s="22" t="s">
        <v>509</v>
      </c>
      <c r="Z32" s="17">
        <v>4340</v>
      </c>
    </row>
    <row r="33" spans="2:26" ht="19.7" customHeight="1" x14ac:dyDescent="0.2">
      <c r="B33" s="18" t="s">
        <v>252</v>
      </c>
      <c r="C33" s="19" t="s">
        <v>481</v>
      </c>
      <c r="D33" s="19" t="s">
        <v>176</v>
      </c>
      <c r="E33" s="20" t="s">
        <v>302</v>
      </c>
      <c r="F33" s="27"/>
      <c r="G33" s="19" t="s">
        <v>509</v>
      </c>
      <c r="H33" s="27"/>
      <c r="I33" s="19" t="s">
        <v>509</v>
      </c>
      <c r="J33" s="27"/>
      <c r="K33" s="19" t="s">
        <v>509</v>
      </c>
      <c r="L33" s="27">
        <v>2860</v>
      </c>
      <c r="M33" s="19" t="s">
        <v>126</v>
      </c>
      <c r="N33" s="27"/>
      <c r="O33" s="19" t="s">
        <v>509</v>
      </c>
      <c r="P33" s="27"/>
      <c r="Q33" s="19" t="s">
        <v>509</v>
      </c>
      <c r="R33" s="21">
        <f t="shared" si="0"/>
        <v>2860</v>
      </c>
      <c r="S33" s="22" t="s">
        <v>509</v>
      </c>
      <c r="Z33" s="17">
        <v>2860</v>
      </c>
    </row>
    <row r="34" spans="2:26" ht="19.7" customHeight="1" x14ac:dyDescent="0.2">
      <c r="B34" s="18" t="s">
        <v>311</v>
      </c>
      <c r="C34" s="19" t="s">
        <v>234</v>
      </c>
      <c r="D34" s="19" t="s">
        <v>216</v>
      </c>
      <c r="E34" s="20" t="s">
        <v>318</v>
      </c>
      <c r="F34" s="27"/>
      <c r="G34" s="19" t="s">
        <v>509</v>
      </c>
      <c r="H34" s="27"/>
      <c r="I34" s="19" t="s">
        <v>509</v>
      </c>
      <c r="J34" s="27"/>
      <c r="K34" s="19" t="s">
        <v>509</v>
      </c>
      <c r="L34" s="27">
        <v>20320</v>
      </c>
      <c r="M34" s="19" t="s">
        <v>498</v>
      </c>
      <c r="N34" s="27"/>
      <c r="O34" s="19" t="s">
        <v>509</v>
      </c>
      <c r="P34" s="27"/>
      <c r="Q34" s="19" t="s">
        <v>509</v>
      </c>
      <c r="R34" s="21">
        <f t="shared" si="0"/>
        <v>20320</v>
      </c>
      <c r="S34" s="22" t="s">
        <v>509</v>
      </c>
      <c r="Z34" s="17">
        <v>20320</v>
      </c>
    </row>
    <row r="35" spans="2:26" ht="19.7" customHeight="1" x14ac:dyDescent="0.2">
      <c r="B35" s="18" t="s">
        <v>15</v>
      </c>
      <c r="C35" s="19" t="s">
        <v>120</v>
      </c>
      <c r="D35" s="19" t="s">
        <v>216</v>
      </c>
      <c r="E35" s="20" t="s">
        <v>318</v>
      </c>
      <c r="F35" s="27"/>
      <c r="G35" s="19" t="s">
        <v>509</v>
      </c>
      <c r="H35" s="27"/>
      <c r="I35" s="19" t="s">
        <v>509</v>
      </c>
      <c r="J35" s="27"/>
      <c r="K35" s="19" t="s">
        <v>509</v>
      </c>
      <c r="L35" s="27">
        <v>17040</v>
      </c>
      <c r="M35" s="19" t="s">
        <v>498</v>
      </c>
      <c r="N35" s="27"/>
      <c r="O35" s="19" t="s">
        <v>509</v>
      </c>
      <c r="P35" s="27"/>
      <c r="Q35" s="19" t="s">
        <v>509</v>
      </c>
      <c r="R35" s="21">
        <f t="shared" si="0"/>
        <v>17040</v>
      </c>
      <c r="S35" s="22" t="s">
        <v>509</v>
      </c>
      <c r="Z35" s="17">
        <v>17040</v>
      </c>
    </row>
    <row r="36" spans="2:26" ht="19.7" customHeight="1" x14ac:dyDescent="0.2">
      <c r="B36" s="18" t="s">
        <v>344</v>
      </c>
      <c r="C36" s="19" t="s">
        <v>375</v>
      </c>
      <c r="D36" s="19" t="s">
        <v>216</v>
      </c>
      <c r="E36" s="20" t="s">
        <v>302</v>
      </c>
      <c r="F36" s="27"/>
      <c r="G36" s="19" t="s">
        <v>509</v>
      </c>
      <c r="H36" s="27"/>
      <c r="I36" s="19" t="s">
        <v>509</v>
      </c>
      <c r="J36" s="27"/>
      <c r="K36" s="19" t="s">
        <v>509</v>
      </c>
      <c r="L36" s="27">
        <v>19560</v>
      </c>
      <c r="M36" s="19" t="s">
        <v>498</v>
      </c>
      <c r="N36" s="27"/>
      <c r="O36" s="19" t="s">
        <v>509</v>
      </c>
      <c r="P36" s="27"/>
      <c r="Q36" s="19" t="s">
        <v>509</v>
      </c>
      <c r="R36" s="21">
        <f t="shared" si="0"/>
        <v>19560</v>
      </c>
      <c r="S36" s="22" t="s">
        <v>509</v>
      </c>
      <c r="Z36" s="17">
        <v>19560</v>
      </c>
    </row>
    <row r="37" spans="2:26" ht="19.7" customHeight="1" x14ac:dyDescent="0.2">
      <c r="B37" s="18" t="s">
        <v>79</v>
      </c>
      <c r="C37" s="19" t="s">
        <v>102</v>
      </c>
      <c r="D37" s="19" t="s">
        <v>216</v>
      </c>
      <c r="E37" s="20" t="s">
        <v>318</v>
      </c>
      <c r="F37" s="27"/>
      <c r="G37" s="19" t="s">
        <v>509</v>
      </c>
      <c r="H37" s="27"/>
      <c r="I37" s="19" t="s">
        <v>509</v>
      </c>
      <c r="J37" s="27">
        <v>24220</v>
      </c>
      <c r="K37" s="19" t="s">
        <v>164</v>
      </c>
      <c r="L37" s="27"/>
      <c r="M37" s="19" t="s">
        <v>509</v>
      </c>
      <c r="N37" s="27"/>
      <c r="O37" s="19" t="s">
        <v>509</v>
      </c>
      <c r="P37" s="27"/>
      <c r="Q37" s="19" t="s">
        <v>509</v>
      </c>
      <c r="R37" s="21">
        <f t="shared" si="0"/>
        <v>24220</v>
      </c>
      <c r="S37" s="22" t="s">
        <v>509</v>
      </c>
      <c r="Z37" s="17">
        <v>24220</v>
      </c>
    </row>
    <row r="38" spans="2:26" ht="19.7" customHeight="1" x14ac:dyDescent="0.2">
      <c r="B38" s="18" t="s">
        <v>270</v>
      </c>
      <c r="C38" s="19" t="s">
        <v>136</v>
      </c>
      <c r="D38" s="19" t="s">
        <v>470</v>
      </c>
      <c r="E38" s="20" t="s">
        <v>318</v>
      </c>
      <c r="F38" s="27"/>
      <c r="G38" s="19" t="s">
        <v>509</v>
      </c>
      <c r="H38" s="27"/>
      <c r="I38" s="19" t="s">
        <v>509</v>
      </c>
      <c r="J38" s="27"/>
      <c r="K38" s="19" t="s">
        <v>509</v>
      </c>
      <c r="L38" s="27">
        <v>38860</v>
      </c>
      <c r="M38" s="19" t="s">
        <v>98</v>
      </c>
      <c r="N38" s="27"/>
      <c r="O38" s="19" t="s">
        <v>509</v>
      </c>
      <c r="P38" s="27"/>
      <c r="Q38" s="19" t="s">
        <v>509</v>
      </c>
      <c r="R38" s="21">
        <f t="shared" si="0"/>
        <v>38860</v>
      </c>
      <c r="S38" s="22" t="s">
        <v>509</v>
      </c>
      <c r="Z38" s="17">
        <v>38860</v>
      </c>
    </row>
    <row r="39" spans="2:26" ht="19.7" customHeight="1" x14ac:dyDescent="0.2">
      <c r="B39" s="18" t="s">
        <v>34</v>
      </c>
      <c r="C39" s="19" t="s">
        <v>233</v>
      </c>
      <c r="D39" s="19" t="s">
        <v>470</v>
      </c>
      <c r="E39" s="20" t="s">
        <v>318</v>
      </c>
      <c r="F39" s="27"/>
      <c r="G39" s="19" t="s">
        <v>509</v>
      </c>
      <c r="H39" s="27"/>
      <c r="I39" s="19" t="s">
        <v>509</v>
      </c>
      <c r="J39" s="27"/>
      <c r="K39" s="19" t="s">
        <v>509</v>
      </c>
      <c r="L39" s="27">
        <v>53310</v>
      </c>
      <c r="M39" s="19" t="s">
        <v>198</v>
      </c>
      <c r="N39" s="27"/>
      <c r="O39" s="19" t="s">
        <v>509</v>
      </c>
      <c r="P39" s="27"/>
      <c r="Q39" s="19" t="s">
        <v>509</v>
      </c>
      <c r="R39" s="21">
        <f t="shared" si="0"/>
        <v>53310</v>
      </c>
      <c r="S39" s="22" t="s">
        <v>509</v>
      </c>
      <c r="Z39" s="17">
        <v>53310</v>
      </c>
    </row>
    <row r="40" spans="2:26" ht="19.7" customHeight="1" x14ac:dyDescent="0.2">
      <c r="B40" s="18" t="s">
        <v>342</v>
      </c>
      <c r="C40" s="19" t="s">
        <v>486</v>
      </c>
      <c r="D40" s="19" t="s">
        <v>458</v>
      </c>
      <c r="E40" s="20" t="s">
        <v>368</v>
      </c>
      <c r="F40" s="27"/>
      <c r="G40" s="19" t="s">
        <v>509</v>
      </c>
      <c r="H40" s="27">
        <v>23000</v>
      </c>
      <c r="I40" s="19" t="s">
        <v>390</v>
      </c>
      <c r="J40" s="27">
        <v>19019</v>
      </c>
      <c r="K40" s="19" t="s">
        <v>123</v>
      </c>
      <c r="L40" s="27">
        <v>19000</v>
      </c>
      <c r="M40" s="19" t="s">
        <v>69</v>
      </c>
      <c r="N40" s="27">
        <v>23000</v>
      </c>
      <c r="O40" s="19" t="s">
        <v>68</v>
      </c>
      <c r="P40" s="27"/>
      <c r="Q40" s="19" t="s">
        <v>509</v>
      </c>
      <c r="R40" s="21">
        <f t="shared" si="0"/>
        <v>19000</v>
      </c>
      <c r="S40" s="22" t="s">
        <v>509</v>
      </c>
      <c r="Z40" s="17">
        <v>19000</v>
      </c>
    </row>
    <row r="41" spans="2:26" x14ac:dyDescent="0.2">
      <c r="B41" s="23" t="s">
        <v>133</v>
      </c>
      <c r="C41" s="24" t="s">
        <v>491</v>
      </c>
      <c r="D41" s="24" t="s">
        <v>298</v>
      </c>
      <c r="E41" s="25" t="s">
        <v>290</v>
      </c>
      <c r="F41" s="11"/>
      <c r="G41" s="24" t="s">
        <v>509</v>
      </c>
      <c r="H41" s="11">
        <v>4363</v>
      </c>
      <c r="I41" s="24" t="s">
        <v>219</v>
      </c>
      <c r="J41" s="11">
        <v>4363</v>
      </c>
      <c r="K41" s="24" t="s">
        <v>338</v>
      </c>
      <c r="L41" s="11">
        <v>4272</v>
      </c>
      <c r="M41" s="24" t="s">
        <v>171</v>
      </c>
      <c r="N41" s="11">
        <v>4363</v>
      </c>
      <c r="O41" s="24" t="s">
        <v>301</v>
      </c>
      <c r="P41" s="11"/>
      <c r="Q41" s="24" t="s">
        <v>509</v>
      </c>
      <c r="R41" s="12">
        <f t="shared" si="0"/>
        <v>4272</v>
      </c>
      <c r="S41" s="26"/>
      <c r="Z41" s="17">
        <v>4272</v>
      </c>
    </row>
    <row r="42" spans="2:26" x14ac:dyDescent="0.2"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</sheetData>
  <mergeCells count="13">
    <mergeCell ref="E3:E4"/>
    <mergeCell ref="F3:G3"/>
    <mergeCell ref="H3:I3"/>
    <mergeCell ref="B1:S2"/>
    <mergeCell ref="J3:K3"/>
    <mergeCell ref="L3:M3"/>
    <mergeCell ref="N3:O3"/>
    <mergeCell ref="P3:Q3"/>
    <mergeCell ref="R3:R4"/>
    <mergeCell ref="S3:S4"/>
    <mergeCell ref="B3:B4"/>
    <mergeCell ref="C3:C4"/>
    <mergeCell ref="D3:D4"/>
  </mergeCells>
  <phoneticPr fontId="6" type="noConversion"/>
  <pageMargins left="0.98425196850393704" right="7.874015748031496E-2" top="0.6692913385826772" bottom="0.59055118110236215" header="0.5" footer="0.5"/>
  <pageSetup paperSize="9" scale="85" orientation="landscape" r:id="rId1"/>
  <headerFooter alignWithMargins="0"/>
  <rowBreaks count="1" manualBreakCount="1">
    <brk id="30" min="2" max="19" man="1"/>
  </rowBreaks>
  <ignoredErrors>
    <ignoredError sqref="B5:B41 G5:G6" numberStoredAsText="1"/>
    <ignoredError sqref="R5:R41" emptyCellReference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AC34"/>
  <sheetViews>
    <sheetView zoomScaleNormal="100" zoomScaleSheetLayoutView="115" workbookViewId="0">
      <pane ySplit="3" topLeftCell="A4" activePane="bottomLeft" state="frozen"/>
      <selection pane="bottomLeft" activeCell="R13" sqref="R13"/>
    </sheetView>
  </sheetViews>
  <sheetFormatPr defaultRowHeight="12.75" x14ac:dyDescent="0.2"/>
  <cols>
    <col min="1" max="1" width="0.7109375" customWidth="1"/>
    <col min="2" max="2" width="3.42578125" customWidth="1"/>
    <col min="3" max="3" width="15" customWidth="1"/>
    <col min="4" max="4" width="9" customWidth="1"/>
    <col min="5" max="5" width="3.42578125" customWidth="1"/>
    <col min="6" max="6" width="8.85546875" customWidth="1"/>
    <col min="7" max="11" width="5.85546875" customWidth="1"/>
    <col min="12" max="12" width="9.28515625" customWidth="1"/>
    <col min="13" max="13" width="11.140625" customWidth="1"/>
    <col min="14" max="14" width="7.85546875" customWidth="1"/>
    <col min="15" max="15" width="11" customWidth="1"/>
  </cols>
  <sheetData>
    <row r="1" spans="2:29" ht="24.95" customHeight="1" x14ac:dyDescent="0.2">
      <c r="B1" s="118" t="s">
        <v>398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2:29" ht="9.9499999999999993" customHeight="1" x14ac:dyDescent="0.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</row>
    <row r="3" spans="2:29" ht="27.95" customHeight="1" x14ac:dyDescent="0.2">
      <c r="B3" s="14" t="s">
        <v>140</v>
      </c>
      <c r="C3" s="7" t="s">
        <v>483</v>
      </c>
      <c r="D3" s="7" t="s">
        <v>209</v>
      </c>
      <c r="E3" s="7" t="s">
        <v>204</v>
      </c>
      <c r="F3" s="7" t="s">
        <v>236</v>
      </c>
      <c r="G3" s="7" t="s">
        <v>347</v>
      </c>
      <c r="H3" s="7" t="s">
        <v>479</v>
      </c>
      <c r="I3" s="7" t="s">
        <v>112</v>
      </c>
      <c r="J3" s="7" t="s">
        <v>242</v>
      </c>
      <c r="K3" s="7" t="s">
        <v>359</v>
      </c>
      <c r="L3" s="7" t="s">
        <v>425</v>
      </c>
      <c r="M3" s="7" t="s">
        <v>125</v>
      </c>
      <c r="N3" s="7" t="s">
        <v>264</v>
      </c>
      <c r="O3" s="8" t="s">
        <v>166</v>
      </c>
      <c r="Z3" t="s">
        <v>331</v>
      </c>
      <c r="AA3" t="s">
        <v>370</v>
      </c>
      <c r="AB3" t="s">
        <v>502</v>
      </c>
      <c r="AC3" t="s">
        <v>345</v>
      </c>
    </row>
    <row r="4" spans="2:29" ht="22.35" customHeight="1" x14ac:dyDescent="0.2">
      <c r="B4" s="18" t="s">
        <v>151</v>
      </c>
      <c r="C4" s="19" t="s">
        <v>48</v>
      </c>
      <c r="D4" s="19" t="s">
        <v>509</v>
      </c>
      <c r="E4" s="20" t="s">
        <v>469</v>
      </c>
      <c r="F4" s="21">
        <v>166666</v>
      </c>
      <c r="G4" s="21"/>
      <c r="H4" s="21"/>
      <c r="I4" s="21"/>
      <c r="J4" s="21"/>
      <c r="K4" s="21"/>
      <c r="L4" s="21">
        <v>166666</v>
      </c>
      <c r="M4" s="19" t="s">
        <v>304</v>
      </c>
      <c r="N4" s="21" t="s">
        <v>70</v>
      </c>
      <c r="O4" s="22" t="s">
        <v>468</v>
      </c>
      <c r="Z4" s="17">
        <v>166666</v>
      </c>
    </row>
    <row r="5" spans="2:29" ht="22.35" customHeight="1" x14ac:dyDescent="0.2">
      <c r="B5" s="18" t="s">
        <v>476</v>
      </c>
      <c r="C5" s="19" t="s">
        <v>28</v>
      </c>
      <c r="D5" s="19" t="s">
        <v>509</v>
      </c>
      <c r="E5" s="20" t="s">
        <v>469</v>
      </c>
      <c r="F5" s="21">
        <v>125427</v>
      </c>
      <c r="G5" s="21"/>
      <c r="H5" s="21"/>
      <c r="I5" s="21"/>
      <c r="J5" s="21"/>
      <c r="K5" s="21"/>
      <c r="L5" s="21">
        <v>125427</v>
      </c>
      <c r="M5" s="19" t="s">
        <v>304</v>
      </c>
      <c r="N5" s="21" t="s">
        <v>70</v>
      </c>
      <c r="O5" s="22" t="s">
        <v>468</v>
      </c>
      <c r="Z5" s="17">
        <v>125427</v>
      </c>
    </row>
    <row r="6" spans="2:29" ht="22.35" customHeight="1" x14ac:dyDescent="0.2">
      <c r="B6" s="18" t="s">
        <v>220</v>
      </c>
      <c r="C6" s="19" t="s">
        <v>35</v>
      </c>
      <c r="D6" s="19" t="s">
        <v>509</v>
      </c>
      <c r="E6" s="20" t="s">
        <v>469</v>
      </c>
      <c r="F6" s="21">
        <v>158708</v>
      </c>
      <c r="G6" s="21"/>
      <c r="H6" s="21"/>
      <c r="I6" s="21"/>
      <c r="J6" s="21"/>
      <c r="K6" s="21"/>
      <c r="L6" s="21">
        <v>158708</v>
      </c>
      <c r="M6" s="19" t="s">
        <v>304</v>
      </c>
      <c r="N6" s="21" t="s">
        <v>70</v>
      </c>
      <c r="O6" s="22" t="s">
        <v>468</v>
      </c>
      <c r="Z6" s="17">
        <v>158708</v>
      </c>
    </row>
    <row r="7" spans="2:29" ht="22.35" customHeight="1" x14ac:dyDescent="0.2">
      <c r="B7" s="18" t="s">
        <v>396</v>
      </c>
      <c r="C7" s="19" t="s">
        <v>394</v>
      </c>
      <c r="D7" s="19" t="s">
        <v>509</v>
      </c>
      <c r="E7" s="20" t="s">
        <v>469</v>
      </c>
      <c r="F7" s="21">
        <v>173600</v>
      </c>
      <c r="G7" s="21"/>
      <c r="H7" s="21"/>
      <c r="I7" s="21"/>
      <c r="J7" s="21"/>
      <c r="K7" s="21"/>
      <c r="L7" s="21">
        <v>173600</v>
      </c>
      <c r="M7" s="19" t="s">
        <v>304</v>
      </c>
      <c r="N7" s="21" t="s">
        <v>70</v>
      </c>
      <c r="O7" s="22" t="s">
        <v>468</v>
      </c>
      <c r="Z7" s="17">
        <v>173600</v>
      </c>
    </row>
    <row r="8" spans="2:29" ht="22.35" customHeight="1" x14ac:dyDescent="0.2">
      <c r="B8" s="18" t="s">
        <v>165</v>
      </c>
      <c r="C8" s="19" t="s">
        <v>124</v>
      </c>
      <c r="D8" s="19" t="s">
        <v>509</v>
      </c>
      <c r="E8" s="20" t="s">
        <v>469</v>
      </c>
      <c r="F8" s="21">
        <v>187069</v>
      </c>
      <c r="G8" s="21"/>
      <c r="H8" s="21"/>
      <c r="I8" s="21"/>
      <c r="J8" s="21"/>
      <c r="K8" s="21"/>
      <c r="L8" s="21">
        <v>187069</v>
      </c>
      <c r="M8" s="19" t="s">
        <v>304</v>
      </c>
      <c r="N8" s="21" t="s">
        <v>70</v>
      </c>
      <c r="O8" s="22" t="s">
        <v>468</v>
      </c>
      <c r="Z8" s="17">
        <v>187069</v>
      </c>
    </row>
    <row r="9" spans="2:29" ht="22.35" customHeight="1" x14ac:dyDescent="0.2">
      <c r="B9" s="18" t="s">
        <v>464</v>
      </c>
      <c r="C9" s="19" t="s">
        <v>45</v>
      </c>
      <c r="D9" s="19" t="s">
        <v>509</v>
      </c>
      <c r="E9" s="20" t="s">
        <v>469</v>
      </c>
      <c r="F9" s="21">
        <v>207080</v>
      </c>
      <c r="G9" s="21"/>
      <c r="H9" s="21"/>
      <c r="I9" s="21"/>
      <c r="J9" s="21"/>
      <c r="K9" s="21"/>
      <c r="L9" s="21">
        <v>207080</v>
      </c>
      <c r="M9" s="19" t="s">
        <v>508</v>
      </c>
      <c r="N9" s="21" t="s">
        <v>70</v>
      </c>
      <c r="O9" s="22" t="s">
        <v>468</v>
      </c>
      <c r="Z9" s="17">
        <v>207080</v>
      </c>
    </row>
    <row r="10" spans="2:29" ht="22.35" customHeight="1" x14ac:dyDescent="0.2">
      <c r="B10" s="18" t="s">
        <v>259</v>
      </c>
      <c r="C10" s="19" t="s">
        <v>32</v>
      </c>
      <c r="D10" s="19" t="s">
        <v>509</v>
      </c>
      <c r="E10" s="20" t="s">
        <v>469</v>
      </c>
      <c r="F10" s="21">
        <v>169477</v>
      </c>
      <c r="G10" s="21"/>
      <c r="H10" s="21"/>
      <c r="I10" s="21"/>
      <c r="J10" s="21"/>
      <c r="K10" s="21"/>
      <c r="L10" s="21">
        <v>169477</v>
      </c>
      <c r="M10" s="19" t="s">
        <v>508</v>
      </c>
      <c r="N10" s="21" t="s">
        <v>70</v>
      </c>
      <c r="O10" s="22" t="s">
        <v>468</v>
      </c>
      <c r="Z10" s="17">
        <v>169477</v>
      </c>
    </row>
    <row r="11" spans="2:29" ht="22.35" customHeight="1" x14ac:dyDescent="0.2">
      <c r="B11" s="18" t="s">
        <v>467</v>
      </c>
      <c r="C11" s="19" t="s">
        <v>393</v>
      </c>
      <c r="D11" s="19" t="s">
        <v>509</v>
      </c>
      <c r="E11" s="20" t="s">
        <v>469</v>
      </c>
      <c r="F11" s="21">
        <v>161455</v>
      </c>
      <c r="G11" s="21"/>
      <c r="H11" s="21"/>
      <c r="I11" s="21"/>
      <c r="J11" s="21"/>
      <c r="K11" s="21"/>
      <c r="L11" s="21">
        <v>161455</v>
      </c>
      <c r="M11" s="19" t="s">
        <v>304</v>
      </c>
      <c r="N11" s="21" t="s">
        <v>70</v>
      </c>
      <c r="O11" s="22" t="s">
        <v>468</v>
      </c>
      <c r="Z11" s="17">
        <v>161455</v>
      </c>
    </row>
    <row r="12" spans="2:29" ht="22.35" customHeight="1" x14ac:dyDescent="0.2">
      <c r="B12" s="18" t="s">
        <v>255</v>
      </c>
      <c r="C12" s="19" t="s">
        <v>22</v>
      </c>
      <c r="D12" s="19" t="s">
        <v>509</v>
      </c>
      <c r="E12" s="20" t="s">
        <v>469</v>
      </c>
      <c r="F12" s="21">
        <v>152019</v>
      </c>
      <c r="G12" s="21"/>
      <c r="H12" s="21"/>
      <c r="I12" s="21"/>
      <c r="J12" s="21"/>
      <c r="K12" s="21"/>
      <c r="L12" s="21">
        <v>152019</v>
      </c>
      <c r="M12" s="19" t="s">
        <v>304</v>
      </c>
      <c r="N12" s="21" t="s">
        <v>70</v>
      </c>
      <c r="O12" s="22" t="s">
        <v>468</v>
      </c>
      <c r="Z12" s="17">
        <v>152019</v>
      </c>
    </row>
    <row r="13" spans="2:29" ht="22.35" customHeight="1" x14ac:dyDescent="0.2">
      <c r="B13" s="18" t="s">
        <v>57</v>
      </c>
      <c r="C13" s="19" t="s">
        <v>263</v>
      </c>
      <c r="D13" s="19" t="s">
        <v>509</v>
      </c>
      <c r="E13" s="20" t="s">
        <v>469</v>
      </c>
      <c r="F13" s="21">
        <v>123282</v>
      </c>
      <c r="G13" s="21"/>
      <c r="H13" s="21"/>
      <c r="I13" s="21"/>
      <c r="J13" s="21"/>
      <c r="K13" s="21"/>
      <c r="L13" s="21">
        <v>123282</v>
      </c>
      <c r="M13" s="19" t="s">
        <v>304</v>
      </c>
      <c r="N13" s="21" t="s">
        <v>70</v>
      </c>
      <c r="O13" s="22" t="s">
        <v>468</v>
      </c>
      <c r="Z13" s="17">
        <v>123282</v>
      </c>
    </row>
    <row r="14" spans="2:29" ht="22.35" customHeight="1" x14ac:dyDescent="0.2">
      <c r="B14" s="18" t="s">
        <v>276</v>
      </c>
      <c r="C14" s="19" t="s">
        <v>81</v>
      </c>
      <c r="D14" s="19" t="s">
        <v>509</v>
      </c>
      <c r="E14" s="20" t="s">
        <v>469</v>
      </c>
      <c r="F14" s="21">
        <v>198711</v>
      </c>
      <c r="G14" s="21"/>
      <c r="H14" s="21"/>
      <c r="I14" s="21"/>
      <c r="J14" s="21"/>
      <c r="K14" s="21"/>
      <c r="L14" s="21">
        <v>198711</v>
      </c>
      <c r="M14" s="19" t="s">
        <v>304</v>
      </c>
      <c r="N14" s="21" t="s">
        <v>70</v>
      </c>
      <c r="O14" s="22" t="s">
        <v>468</v>
      </c>
      <c r="Z14" s="17">
        <v>198711</v>
      </c>
    </row>
    <row r="15" spans="2:29" ht="22.35" customHeight="1" x14ac:dyDescent="0.2">
      <c r="B15" s="18"/>
      <c r="C15" s="19"/>
      <c r="D15" s="19"/>
      <c r="E15" s="20"/>
      <c r="F15" s="21"/>
      <c r="G15" s="21"/>
      <c r="H15" s="21"/>
      <c r="I15" s="21"/>
      <c r="J15" s="21"/>
      <c r="K15" s="21"/>
      <c r="L15" s="21"/>
      <c r="M15" s="19"/>
      <c r="N15" s="21"/>
      <c r="O15" s="22"/>
    </row>
    <row r="16" spans="2:29" ht="22.35" customHeight="1" x14ac:dyDescent="0.2">
      <c r="B16" s="18"/>
      <c r="C16" s="19"/>
      <c r="D16" s="19"/>
      <c r="E16" s="20"/>
      <c r="F16" s="21"/>
      <c r="G16" s="21"/>
      <c r="H16" s="21"/>
      <c r="I16" s="21"/>
      <c r="J16" s="21"/>
      <c r="K16" s="21"/>
      <c r="L16" s="21"/>
      <c r="M16" s="19"/>
      <c r="N16" s="21"/>
      <c r="O16" s="22"/>
    </row>
    <row r="17" spans="2:15" ht="22.35" customHeight="1" x14ac:dyDescent="0.2">
      <c r="B17" s="18"/>
      <c r="C17" s="19"/>
      <c r="D17" s="19"/>
      <c r="E17" s="20"/>
      <c r="F17" s="21"/>
      <c r="G17" s="21"/>
      <c r="H17" s="21"/>
      <c r="I17" s="21"/>
      <c r="J17" s="21"/>
      <c r="K17" s="21"/>
      <c r="L17" s="21"/>
      <c r="M17" s="19"/>
      <c r="N17" s="21"/>
      <c r="O17" s="22"/>
    </row>
    <row r="18" spans="2:15" ht="22.35" customHeight="1" x14ac:dyDescent="0.2">
      <c r="B18" s="18"/>
      <c r="C18" s="19"/>
      <c r="D18" s="19"/>
      <c r="E18" s="20"/>
      <c r="F18" s="21"/>
      <c r="G18" s="21"/>
      <c r="H18" s="21"/>
      <c r="I18" s="21"/>
      <c r="J18" s="21"/>
      <c r="K18" s="21"/>
      <c r="L18" s="21"/>
      <c r="M18" s="19"/>
      <c r="N18" s="21"/>
      <c r="O18" s="22"/>
    </row>
    <row r="19" spans="2:15" ht="22.35" customHeight="1" x14ac:dyDescent="0.2">
      <c r="B19" s="18"/>
      <c r="C19" s="19"/>
      <c r="D19" s="19"/>
      <c r="E19" s="20"/>
      <c r="F19" s="21"/>
      <c r="G19" s="21"/>
      <c r="H19" s="21"/>
      <c r="I19" s="21"/>
      <c r="J19" s="21"/>
      <c r="K19" s="21"/>
      <c r="L19" s="21"/>
      <c r="M19" s="19"/>
      <c r="N19" s="21"/>
      <c r="O19" s="22"/>
    </row>
    <row r="20" spans="2:15" ht="22.35" customHeight="1" x14ac:dyDescent="0.2">
      <c r="B20" s="18"/>
      <c r="C20" s="19"/>
      <c r="D20" s="19"/>
      <c r="E20" s="20"/>
      <c r="F20" s="21"/>
      <c r="G20" s="21"/>
      <c r="H20" s="21"/>
      <c r="I20" s="21"/>
      <c r="J20" s="21"/>
      <c r="K20" s="21"/>
      <c r="L20" s="21"/>
      <c r="M20" s="19"/>
      <c r="N20" s="21"/>
      <c r="O20" s="22"/>
    </row>
    <row r="21" spans="2:15" ht="22.35" customHeight="1" x14ac:dyDescent="0.2">
      <c r="B21" s="18"/>
      <c r="C21" s="19"/>
      <c r="D21" s="19"/>
      <c r="E21" s="20"/>
      <c r="F21" s="21"/>
      <c r="G21" s="21"/>
      <c r="H21" s="21"/>
      <c r="I21" s="21"/>
      <c r="J21" s="21"/>
      <c r="K21" s="21"/>
      <c r="L21" s="21"/>
      <c r="M21" s="19"/>
      <c r="N21" s="21"/>
      <c r="O21" s="22"/>
    </row>
    <row r="22" spans="2:15" ht="22.35" customHeight="1" x14ac:dyDescent="0.2">
      <c r="B22" s="18"/>
      <c r="C22" s="19"/>
      <c r="D22" s="19"/>
      <c r="E22" s="20"/>
      <c r="F22" s="21"/>
      <c r="G22" s="21"/>
      <c r="H22" s="21"/>
      <c r="I22" s="21"/>
      <c r="J22" s="21"/>
      <c r="K22" s="21"/>
      <c r="L22" s="21"/>
      <c r="M22" s="19"/>
      <c r="N22" s="21"/>
      <c r="O22" s="22"/>
    </row>
    <row r="23" spans="2:15" ht="22.35" customHeight="1" x14ac:dyDescent="0.2">
      <c r="B23" s="18"/>
      <c r="C23" s="19"/>
      <c r="D23" s="19"/>
      <c r="E23" s="20"/>
      <c r="F23" s="21"/>
      <c r="G23" s="21"/>
      <c r="H23" s="21"/>
      <c r="I23" s="21"/>
      <c r="J23" s="21"/>
      <c r="K23" s="21"/>
      <c r="L23" s="21"/>
      <c r="M23" s="19"/>
      <c r="N23" s="21"/>
      <c r="O23" s="22"/>
    </row>
    <row r="24" spans="2:15" ht="22.35" customHeight="1" x14ac:dyDescent="0.2">
      <c r="B24" s="18"/>
      <c r="C24" s="19"/>
      <c r="D24" s="19"/>
      <c r="E24" s="20"/>
      <c r="F24" s="21"/>
      <c r="G24" s="21"/>
      <c r="H24" s="21"/>
      <c r="I24" s="21"/>
      <c r="J24" s="21"/>
      <c r="K24" s="21"/>
      <c r="L24" s="21"/>
      <c r="M24" s="19"/>
      <c r="N24" s="21"/>
      <c r="O24" s="22"/>
    </row>
    <row r="25" spans="2:15" ht="22.35" customHeight="1" x14ac:dyDescent="0.2">
      <c r="B25" s="18"/>
      <c r="C25" s="19"/>
      <c r="D25" s="19"/>
      <c r="E25" s="20"/>
      <c r="F25" s="21"/>
      <c r="G25" s="21"/>
      <c r="H25" s="21"/>
      <c r="I25" s="21"/>
      <c r="J25" s="21"/>
      <c r="K25" s="21"/>
      <c r="L25" s="21"/>
      <c r="M25" s="19"/>
      <c r="N25" s="21"/>
      <c r="O25" s="22"/>
    </row>
    <row r="26" spans="2:15" ht="22.35" customHeight="1" x14ac:dyDescent="0.2">
      <c r="B26" s="18"/>
      <c r="C26" s="19"/>
      <c r="D26" s="19"/>
      <c r="E26" s="20"/>
      <c r="F26" s="21"/>
      <c r="G26" s="21"/>
      <c r="H26" s="21"/>
      <c r="I26" s="21"/>
      <c r="J26" s="21"/>
      <c r="K26" s="21"/>
      <c r="L26" s="21"/>
      <c r="M26" s="19"/>
      <c r="N26" s="21"/>
      <c r="O26" s="22"/>
    </row>
    <row r="27" spans="2:15" ht="22.35" customHeight="1" x14ac:dyDescent="0.2">
      <c r="B27" s="18"/>
      <c r="C27" s="19"/>
      <c r="D27" s="19"/>
      <c r="E27" s="20"/>
      <c r="F27" s="21"/>
      <c r="G27" s="21"/>
      <c r="H27" s="21"/>
      <c r="I27" s="21"/>
      <c r="J27" s="21"/>
      <c r="K27" s="21"/>
      <c r="L27" s="21"/>
      <c r="M27" s="19"/>
      <c r="N27" s="21"/>
      <c r="O27" s="22"/>
    </row>
    <row r="28" spans="2:15" ht="22.35" customHeight="1" x14ac:dyDescent="0.2">
      <c r="B28" s="18"/>
      <c r="C28" s="19"/>
      <c r="D28" s="19"/>
      <c r="E28" s="20"/>
      <c r="F28" s="21"/>
      <c r="G28" s="21"/>
      <c r="H28" s="21"/>
      <c r="I28" s="21"/>
      <c r="J28" s="21"/>
      <c r="K28" s="21"/>
      <c r="L28" s="21"/>
      <c r="M28" s="19"/>
      <c r="N28" s="21"/>
      <c r="O28" s="22"/>
    </row>
    <row r="29" spans="2:15" ht="22.35" customHeight="1" x14ac:dyDescent="0.2">
      <c r="B29" s="18"/>
      <c r="C29" s="19"/>
      <c r="D29" s="19"/>
      <c r="E29" s="20"/>
      <c r="F29" s="21"/>
      <c r="G29" s="21"/>
      <c r="H29" s="21"/>
      <c r="I29" s="21"/>
      <c r="J29" s="21"/>
      <c r="K29" s="21"/>
      <c r="L29" s="21"/>
      <c r="M29" s="19"/>
      <c r="N29" s="21"/>
      <c r="O29" s="22"/>
    </row>
    <row r="30" spans="2:15" ht="22.35" customHeight="1" x14ac:dyDescent="0.2">
      <c r="B30" s="18"/>
      <c r="C30" s="19"/>
      <c r="D30" s="19"/>
      <c r="E30" s="20"/>
      <c r="F30" s="21"/>
      <c r="G30" s="21"/>
      <c r="H30" s="21"/>
      <c r="I30" s="21"/>
      <c r="J30" s="21"/>
      <c r="K30" s="21"/>
      <c r="L30" s="21"/>
      <c r="M30" s="19"/>
      <c r="N30" s="21"/>
      <c r="O30" s="22"/>
    </row>
    <row r="31" spans="2:15" ht="22.35" customHeight="1" x14ac:dyDescent="0.2">
      <c r="B31" s="18"/>
      <c r="C31" s="19"/>
      <c r="D31" s="19"/>
      <c r="E31" s="20"/>
      <c r="F31" s="21"/>
      <c r="G31" s="21"/>
      <c r="H31" s="21"/>
      <c r="I31" s="21"/>
      <c r="J31" s="21"/>
      <c r="K31" s="21"/>
      <c r="L31" s="21"/>
      <c r="M31" s="19"/>
      <c r="N31" s="21"/>
      <c r="O31" s="22"/>
    </row>
    <row r="32" spans="2:15" ht="22.35" customHeight="1" x14ac:dyDescent="0.2">
      <c r="B32" s="18"/>
      <c r="C32" s="19"/>
      <c r="D32" s="19"/>
      <c r="E32" s="20"/>
      <c r="F32" s="21"/>
      <c r="G32" s="21"/>
      <c r="H32" s="21"/>
      <c r="I32" s="21"/>
      <c r="J32" s="21"/>
      <c r="K32" s="21"/>
      <c r="L32" s="21"/>
      <c r="M32" s="19"/>
      <c r="N32" s="21"/>
      <c r="O32" s="22"/>
    </row>
    <row r="33" spans="2:15" ht="22.35" customHeight="1" x14ac:dyDescent="0.2">
      <c r="B33" s="23"/>
      <c r="C33" s="24"/>
      <c r="D33" s="24"/>
      <c r="E33" s="25"/>
      <c r="F33" s="12"/>
      <c r="G33" s="12"/>
      <c r="H33" s="12"/>
      <c r="I33" s="12"/>
      <c r="J33" s="12"/>
      <c r="K33" s="12"/>
      <c r="L33" s="12"/>
      <c r="M33" s="24"/>
      <c r="N33" s="12"/>
      <c r="O33" s="26"/>
    </row>
    <row r="34" spans="2:15" x14ac:dyDescent="0.2"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</sheetData>
  <mergeCells count="1">
    <mergeCell ref="B1:O2"/>
  </mergeCells>
  <phoneticPr fontId="6" type="noConversion"/>
  <pageMargins left="0.78740157480314965" right="7.874015748031496E-2" top="0.94488188976377963" bottom="0.59055118110236215" header="0.5" footer="0.5"/>
  <pageSetup paperSize="9" scale="85" orientation="portrait" r:id="rId1"/>
  <headerFooter alignWithMargins="0"/>
  <ignoredErrors>
    <ignoredError sqref="B4:B1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28</vt:i4>
      </vt:variant>
    </vt:vector>
  </HeadingPairs>
  <TitlesOfParts>
    <vt:vector size="43" baseType="lpstr">
      <vt:lpstr>원가계산서</vt:lpstr>
      <vt:lpstr>내역서총괄표</vt:lpstr>
      <vt:lpstr>내역서</vt:lpstr>
      <vt:lpstr>계약원가계산서</vt:lpstr>
      <vt:lpstr>계약내역서총괄표</vt:lpstr>
      <vt:lpstr>계약내역서</vt:lpstr>
      <vt:lpstr>일위대가총괄표</vt:lpstr>
      <vt:lpstr>일위대가</vt:lpstr>
      <vt:lpstr>단가산출총괄표</vt:lpstr>
      <vt:lpstr>단가산출</vt:lpstr>
      <vt:lpstr>기계경비총괄표</vt:lpstr>
      <vt:lpstr>기계경비</vt:lpstr>
      <vt:lpstr>기계경비적용기준</vt:lpstr>
      <vt:lpstr>자재단가</vt:lpstr>
      <vt:lpstr>노임단가</vt:lpstr>
      <vt:lpstr>계약내역서!Print_Area</vt:lpstr>
      <vt:lpstr>계약내역서총괄표!Print_Area</vt:lpstr>
      <vt:lpstr>계약원가계산서!Print_Area</vt:lpstr>
      <vt:lpstr>기계경비!Print_Area</vt:lpstr>
      <vt:lpstr>기계경비총괄표!Print_Area</vt:lpstr>
      <vt:lpstr>내역서!Print_Area</vt:lpstr>
      <vt:lpstr>내역서총괄표!Print_Area</vt:lpstr>
      <vt:lpstr>노임단가!Print_Area</vt:lpstr>
      <vt:lpstr>단가산출!Print_Area</vt:lpstr>
      <vt:lpstr>단가산출총괄표!Print_Area</vt:lpstr>
      <vt:lpstr>원가계산서!Print_Area</vt:lpstr>
      <vt:lpstr>일위대가!Print_Area</vt:lpstr>
      <vt:lpstr>일위대가총괄표!Print_Area</vt:lpstr>
      <vt:lpstr>자재단가!Print_Area</vt:lpstr>
      <vt:lpstr>계약내역서!Print_Titles</vt:lpstr>
      <vt:lpstr>계약내역서총괄표!Print_Titles</vt:lpstr>
      <vt:lpstr>계약원가계산서!Print_Titles</vt:lpstr>
      <vt:lpstr>기계경비!Print_Titles</vt:lpstr>
      <vt:lpstr>기계경비총괄표!Print_Titles</vt:lpstr>
      <vt:lpstr>내역서!Print_Titles</vt:lpstr>
      <vt:lpstr>내역서총괄표!Print_Titles</vt:lpstr>
      <vt:lpstr>노임단가!Print_Titles</vt:lpstr>
      <vt:lpstr>단가산출!Print_Titles</vt:lpstr>
      <vt:lpstr>단가산출총괄표!Print_Titles</vt:lpstr>
      <vt:lpstr>원가계산서!Print_Titles</vt:lpstr>
      <vt:lpstr>일위대가!Print_Titles</vt:lpstr>
      <vt:lpstr>일위대가총괄표!Print_Titles</vt:lpstr>
      <vt:lpstr>자재단가!Print_Titles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minhwasoo</cp:lastModifiedBy>
  <cp:lastPrinted>2019-03-12T06:49:39Z</cp:lastPrinted>
  <dcterms:created xsi:type="dcterms:W3CDTF">2019-02-26T06:55:50Z</dcterms:created>
  <dcterms:modified xsi:type="dcterms:W3CDTF">2019-11-29T05:36:35Z</dcterms:modified>
</cp:coreProperties>
</file>