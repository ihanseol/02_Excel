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6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omments2.xml" ContentType="application/vnd.openxmlformats-officedocument.spreadsheetml.comments+xml"/>
  <Override PartName="/xl/drawings/drawing7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drawings/drawing8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drawings/drawing9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9_hardRain\05_ihanseol - 2020\00_data\06_excel reference\"/>
    </mc:Choice>
  </mc:AlternateContent>
  <xr:revisionPtr revIDLastSave="0" documentId="13_ncr:1_{6860067B-9C99-4D99-AF07-169353E5CD2A}" xr6:coauthVersionLast="45" xr6:coauthVersionMax="45" xr10:uidLastSave="{00000000-0000-0000-0000-000000000000}"/>
  <bookViews>
    <workbookView xWindow="-120" yWindow="-120" windowWidth="29040" windowHeight="15840" tabRatio="668" activeTab="9" xr2:uid="{00000000-000D-0000-FFFF-FFFF00000000}"/>
  </bookViews>
  <sheets>
    <sheet name="30Year" sheetId="54" r:id="rId1"/>
    <sheet name="Y" sheetId="25" r:id="rId2"/>
    <sheet name="M" sheetId="26" r:id="rId3"/>
    <sheet name="Recharge" sheetId="23" r:id="rId4"/>
    <sheet name="drastic" sheetId="84" state="hidden" r:id="rId5"/>
    <sheet name="Well" sheetId="52" r:id="rId6"/>
    <sheet name="1" sheetId="55" r:id="rId7"/>
    <sheet name="Q1" sheetId="114" r:id="rId8"/>
    <sheet name="Q2" sheetId="115" r:id="rId9"/>
    <sheet name="w1" sheetId="100" r:id="rId10"/>
  </sheets>
  <functionGroups builtInGroupCount="19"/>
  <externalReferences>
    <externalReference r:id="rId11"/>
    <externalReference r:id="rId12"/>
  </externalReferences>
  <definedNames>
    <definedName name="allow_ratio">Recharge!$C$27</definedName>
    <definedName name="baseTemp" localSheetId="7">'Q1'!$C$7</definedName>
    <definedName name="baseTemp" localSheetId="8">'Q2'!$C$7</definedName>
    <definedName name="baseTemp" localSheetId="9">'w1'!$C$7</definedName>
    <definedName name="baseTemp">#REF!</definedName>
    <definedName name="max" localSheetId="7">[1]지하수함양량!$C$27</definedName>
    <definedName name="max" localSheetId="8">[1]지하수함양량!$C$27</definedName>
    <definedName name="max" localSheetId="9">[2]지하수함양량!$C$30</definedName>
    <definedName name="max">Recharge!$C$26</definedName>
    <definedName name="min" localSheetId="7">[1]지하수함양량!$C$26</definedName>
    <definedName name="min" localSheetId="8">[1]지하수함양량!$C$26</definedName>
    <definedName name="min" localSheetId="9">[2]지하수함양량!$C$29</definedName>
    <definedName name="min">Recharge!$C$25</definedName>
    <definedName name="rf_1" localSheetId="7">[1]지하수함양량!$C$29</definedName>
    <definedName name="rf_1" localSheetId="8">[1]지하수함양량!$C$29</definedName>
    <definedName name="rf_1" localSheetId="9">[2]지하수함양량!$C$32</definedName>
    <definedName name="rf_1">Recharge!$C$29</definedName>
    <definedName name="rf_2" localSheetId="7">[1]지하수함양량!$D$29</definedName>
    <definedName name="rf_2" localSheetId="8">[1]지하수함양량!$D$29</definedName>
    <definedName name="rf_2" localSheetId="9">[2]지하수함양량!$D$32</definedName>
    <definedName name="rf_2">Recharge!$D$29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14" i="114" l="1"/>
  <c r="G25" i="114" s="1"/>
  <c r="G15" i="114"/>
  <c r="G16" i="114"/>
  <c r="G17" i="114"/>
  <c r="G18" i="114"/>
  <c r="G19" i="114"/>
  <c r="G20" i="114"/>
  <c r="G21" i="114"/>
  <c r="G22" i="114"/>
  <c r="G23" i="114"/>
  <c r="G24" i="114"/>
  <c r="G26" i="114" s="1"/>
  <c r="H19" i="100"/>
  <c r="I18" i="100"/>
  <c r="I16" i="100"/>
  <c r="I34" i="115"/>
  <c r="I32" i="115"/>
  <c r="L32" i="115"/>
  <c r="L34" i="115"/>
  <c r="L33" i="115"/>
  <c r="D36" i="115"/>
  <c r="D37" i="115"/>
  <c r="D40" i="115"/>
  <c r="D38" i="115"/>
  <c r="D39" i="115"/>
  <c r="L37" i="115"/>
  <c r="L38" i="115"/>
  <c r="J14" i="100"/>
  <c r="I19" i="100"/>
  <c r="I40" i="115"/>
  <c r="E31" i="115"/>
  <c r="H38" i="115"/>
  <c r="H39" i="115"/>
  <c r="H32" i="115"/>
  <c r="H22" i="100"/>
  <c r="J20" i="100"/>
  <c r="J16" i="100"/>
  <c r="H31" i="114"/>
  <c r="D39" i="114"/>
  <c r="E34" i="115"/>
  <c r="N35" i="115"/>
  <c r="E40" i="115"/>
  <c r="M36" i="115"/>
  <c r="F31" i="115"/>
  <c r="F35" i="115"/>
  <c r="E32" i="115"/>
  <c r="M39" i="115"/>
  <c r="F32" i="115"/>
  <c r="F38" i="115"/>
  <c r="I31" i="115"/>
  <c r="H31" i="115"/>
  <c r="H33" i="114"/>
  <c r="D32" i="114"/>
  <c r="D35" i="114"/>
  <c r="J21" i="100"/>
  <c r="L39" i="115"/>
  <c r="H23" i="100"/>
  <c r="I22" i="100"/>
  <c r="I17" i="100"/>
  <c r="I35" i="114"/>
  <c r="I31" i="114"/>
  <c r="M40" i="115"/>
  <c r="D31" i="114"/>
  <c r="M35" i="115"/>
  <c r="I33" i="115"/>
  <c r="F34" i="115"/>
  <c r="M34" i="115"/>
  <c r="E35" i="115"/>
  <c r="J34" i="115"/>
  <c r="E36" i="115"/>
  <c r="E37" i="115"/>
  <c r="M32" i="115"/>
  <c r="H16" i="100"/>
  <c r="E33" i="115"/>
  <c r="D36" i="114"/>
  <c r="L31" i="115"/>
  <c r="H36" i="115"/>
  <c r="H17" i="100"/>
  <c r="I23" i="100"/>
  <c r="J17" i="100"/>
  <c r="E39" i="114"/>
  <c r="I33" i="114"/>
  <c r="N38" i="115"/>
  <c r="I32" i="114"/>
  <c r="M33" i="115"/>
  <c r="H36" i="114"/>
  <c r="N31" i="115"/>
  <c r="D34" i="114"/>
  <c r="N37" i="115"/>
  <c r="H39" i="114"/>
  <c r="N34" i="115"/>
  <c r="I37" i="115"/>
  <c r="I21" i="100"/>
  <c r="H35" i="114"/>
  <c r="F37" i="115"/>
  <c r="H21" i="100"/>
  <c r="H40" i="114"/>
  <c r="H14" i="100"/>
  <c r="J18" i="100"/>
  <c r="D31" i="115"/>
  <c r="E38" i="114"/>
  <c r="F37" i="114"/>
  <c r="J32" i="115"/>
  <c r="E34" i="114"/>
  <c r="J38" i="115"/>
  <c r="I40" i="114"/>
  <c r="N33" i="115"/>
  <c r="J32" i="114"/>
  <c r="N36" i="115"/>
  <c r="J35" i="114"/>
  <c r="L36" i="115"/>
  <c r="D33" i="114"/>
  <c r="J37" i="114"/>
  <c r="H15" i="100"/>
  <c r="I15" i="100"/>
  <c r="L40" i="115"/>
  <c r="D32" i="115"/>
  <c r="F36" i="114"/>
  <c r="I35" i="115"/>
  <c r="F38" i="114"/>
  <c r="J36" i="115"/>
  <c r="J33" i="114"/>
  <c r="I39" i="115"/>
  <c r="F40" i="114"/>
  <c r="J39" i="115"/>
  <c r="H32" i="114"/>
  <c r="J35" i="115"/>
  <c r="J33" i="115"/>
  <c r="D33" i="115"/>
  <c r="M38" i="115"/>
  <c r="F35" i="114"/>
  <c r="J40" i="115"/>
  <c r="I14" i="100"/>
  <c r="J23" i="100"/>
  <c r="F36" i="115"/>
  <c r="F33" i="115"/>
  <c r="I38" i="115"/>
  <c r="J40" i="114"/>
  <c r="F39" i="115"/>
  <c r="I34" i="114"/>
  <c r="E36" i="114"/>
  <c r="I38" i="114"/>
  <c r="H34" i="114"/>
  <c r="I36" i="114"/>
  <c r="E33" i="114"/>
  <c r="J38" i="114"/>
  <c r="D37" i="114"/>
  <c r="J34" i="114"/>
  <c r="J36" i="114"/>
  <c r="F32" i="114"/>
  <c r="H34" i="115"/>
  <c r="H40" i="115"/>
  <c r="J39" i="114"/>
  <c r="H38" i="114"/>
  <c r="I20" i="100"/>
  <c r="J19" i="100"/>
  <c r="N39" i="115"/>
  <c r="M31" i="115"/>
  <c r="I36" i="115"/>
  <c r="F33" i="114"/>
  <c r="E32" i="114"/>
  <c r="F39" i="114"/>
  <c r="M37" i="115"/>
  <c r="N32" i="115"/>
  <c r="H33" i="115"/>
  <c r="I37" i="114"/>
  <c r="H35" i="115"/>
  <c r="E38" i="115"/>
  <c r="J31" i="114"/>
  <c r="J31" i="115"/>
  <c r="H18" i="100"/>
  <c r="J22" i="100"/>
  <c r="J15" i="100"/>
  <c r="J37" i="115"/>
  <c r="N40" i="115"/>
  <c r="D34" i="115"/>
  <c r="E37" i="114"/>
  <c r="D35" i="115"/>
  <c r="F31" i="114"/>
  <c r="D40" i="114"/>
  <c r="E40" i="114"/>
  <c r="I39" i="114"/>
  <c r="F34" i="114"/>
  <c r="E31" i="114"/>
  <c r="E35" i="114"/>
  <c r="H20" i="100"/>
  <c r="D38" i="114"/>
  <c r="F40" i="115"/>
  <c r="L35" i="115"/>
  <c r="H37" i="115"/>
  <c r="E39" i="115"/>
  <c r="H37" i="114"/>
  <c r="H17" i="114" l="1"/>
  <c r="H15" i="114"/>
  <c r="H23" i="114"/>
  <c r="H22" i="114"/>
  <c r="H21" i="114"/>
  <c r="H20" i="114"/>
  <c r="H19" i="114"/>
  <c r="H18" i="114"/>
  <c r="H16" i="114"/>
  <c r="H14" i="114"/>
  <c r="I23" i="114"/>
  <c r="I17" i="114"/>
  <c r="I22" i="114"/>
  <c r="I16" i="114"/>
  <c r="I18" i="114"/>
  <c r="I19" i="114"/>
  <c r="I21" i="114"/>
  <c r="I15" i="114"/>
  <c r="I20" i="114"/>
  <c r="I14" i="114"/>
  <c r="F14" i="114"/>
  <c r="E20" i="114"/>
  <c r="E14" i="114"/>
  <c r="F19" i="114"/>
  <c r="E21" i="114"/>
  <c r="E19" i="114"/>
  <c r="F18" i="114"/>
  <c r="E18" i="114"/>
  <c r="F23" i="114"/>
  <c r="F17" i="114"/>
  <c r="E23" i="114"/>
  <c r="E17" i="114"/>
  <c r="F22" i="114"/>
  <c r="F16" i="114"/>
  <c r="E15" i="114"/>
  <c r="F20" i="114"/>
  <c r="E22" i="114"/>
  <c r="E16" i="114"/>
  <c r="F21" i="114"/>
  <c r="F15" i="114"/>
  <c r="E21" i="55"/>
  <c r="F21" i="55"/>
  <c r="E17" i="55"/>
  <c r="C19" i="55"/>
  <c r="C18" i="55"/>
  <c r="C17" i="55"/>
  <c r="C16" i="55"/>
  <c r="C15" i="55"/>
  <c r="C8" i="55"/>
  <c r="C7" i="55"/>
  <c r="C6" i="55"/>
  <c r="C5" i="55"/>
  <c r="C4" i="55"/>
  <c r="C3" i="55"/>
  <c r="C2" i="55"/>
  <c r="I24" i="114" l="1"/>
  <c r="H24" i="114"/>
  <c r="H25" i="114"/>
  <c r="I25" i="114"/>
  <c r="E25" i="114"/>
  <c r="E24" i="114"/>
  <c r="F25" i="114"/>
  <c r="F24" i="114"/>
  <c r="B59" i="23"/>
  <c r="B65" i="23" s="1"/>
  <c r="I26" i="114" l="1"/>
  <c r="H26" i="114"/>
  <c r="E26" i="114"/>
  <c r="F26" i="114"/>
  <c r="B62" i="23"/>
  <c r="B63" i="23" s="1"/>
  <c r="B6" i="23" l="1"/>
  <c r="B7" i="23"/>
  <c r="B8" i="23"/>
  <c r="B9" i="23"/>
  <c r="B10" i="23"/>
  <c r="B11" i="23"/>
  <c r="B12" i="23"/>
  <c r="B13" i="23"/>
  <c r="B14" i="23"/>
  <c r="B5" i="23"/>
  <c r="C22" i="55" l="1"/>
  <c r="I5" i="52" l="1"/>
  <c r="B23" i="115" l="1"/>
  <c r="B22" i="115"/>
  <c r="B21" i="115"/>
  <c r="B20" i="115"/>
  <c r="B19" i="115"/>
  <c r="B18" i="115"/>
  <c r="B17" i="115"/>
  <c r="B16" i="115"/>
  <c r="B15" i="115"/>
  <c r="B14" i="115"/>
  <c r="E15" i="115" l="1"/>
  <c r="H16" i="115"/>
  <c r="G17" i="115"/>
  <c r="J18" i="115"/>
  <c r="D20" i="115"/>
  <c r="L20" i="115"/>
  <c r="K21" i="115"/>
  <c r="I23" i="115"/>
  <c r="G14" i="115"/>
  <c r="K14" i="115"/>
  <c r="F15" i="115"/>
  <c r="J15" i="115"/>
  <c r="E16" i="115"/>
  <c r="I16" i="115"/>
  <c r="D17" i="115"/>
  <c r="H17" i="115"/>
  <c r="L17" i="115"/>
  <c r="G18" i="115"/>
  <c r="K18" i="115"/>
  <c r="F19" i="115"/>
  <c r="J19" i="115"/>
  <c r="E20" i="115"/>
  <c r="I20" i="115"/>
  <c r="D21" i="115"/>
  <c r="H21" i="115"/>
  <c r="L21" i="115"/>
  <c r="G22" i="115"/>
  <c r="K22" i="115"/>
  <c r="F23" i="115"/>
  <c r="J23" i="115"/>
  <c r="J14" i="115"/>
  <c r="D16" i="115"/>
  <c r="K17" i="115"/>
  <c r="I19" i="115"/>
  <c r="J22" i="115"/>
  <c r="D14" i="115"/>
  <c r="H14" i="115"/>
  <c r="L14" i="115"/>
  <c r="G15" i="115"/>
  <c r="K15" i="115"/>
  <c r="F16" i="115"/>
  <c r="J16" i="115"/>
  <c r="E17" i="115"/>
  <c r="I17" i="115"/>
  <c r="D18" i="115"/>
  <c r="H18" i="115"/>
  <c r="L18" i="115"/>
  <c r="G19" i="115"/>
  <c r="K19" i="115"/>
  <c r="F20" i="115"/>
  <c r="J20" i="115"/>
  <c r="E21" i="115"/>
  <c r="I21" i="115"/>
  <c r="D22" i="115"/>
  <c r="H22" i="115"/>
  <c r="L22" i="115"/>
  <c r="G23" i="115"/>
  <c r="K23" i="115"/>
  <c r="F14" i="115"/>
  <c r="I15" i="115"/>
  <c r="L16" i="115"/>
  <c r="F18" i="115"/>
  <c r="E19" i="115"/>
  <c r="H20" i="115"/>
  <c r="G21" i="115"/>
  <c r="F22" i="115"/>
  <c r="E23" i="115"/>
  <c r="E14" i="115"/>
  <c r="I14" i="115"/>
  <c r="D15" i="115"/>
  <c r="H15" i="115"/>
  <c r="L15" i="115"/>
  <c r="G16" i="115"/>
  <c r="K16" i="115"/>
  <c r="F17" i="115"/>
  <c r="J17" i="115"/>
  <c r="E18" i="115"/>
  <c r="I18" i="115"/>
  <c r="D19" i="115"/>
  <c r="H19" i="115"/>
  <c r="L19" i="115"/>
  <c r="G20" i="115"/>
  <c r="K20" i="115"/>
  <c r="F21" i="115"/>
  <c r="J21" i="115"/>
  <c r="E22" i="115"/>
  <c r="I22" i="115"/>
  <c r="D23" i="115"/>
  <c r="H23" i="115"/>
  <c r="L23" i="115"/>
  <c r="E24" i="115" l="1"/>
  <c r="E25" i="115"/>
  <c r="D24" i="115"/>
  <c r="D25" i="115"/>
  <c r="F25" i="115"/>
  <c r="F24" i="115"/>
  <c r="J25" i="115"/>
  <c r="J24" i="115"/>
  <c r="L24" i="115"/>
  <c r="L25" i="115"/>
  <c r="K25" i="115"/>
  <c r="K24" i="115"/>
  <c r="I25" i="115"/>
  <c r="I24" i="115"/>
  <c r="H24" i="115"/>
  <c r="H25" i="115"/>
  <c r="G25" i="115"/>
  <c r="G24" i="115"/>
  <c r="L26" i="115" l="1"/>
  <c r="E26" i="115"/>
  <c r="D26" i="115"/>
  <c r="H26" i="115"/>
  <c r="K26" i="115"/>
  <c r="J26" i="115"/>
  <c r="G26" i="115"/>
  <c r="I26" i="115"/>
  <c r="F26" i="115"/>
  <c r="B23" i="114" l="1"/>
  <c r="B22" i="114"/>
  <c r="B21" i="114"/>
  <c r="B20" i="114"/>
  <c r="B19" i="114"/>
  <c r="B18" i="114"/>
  <c r="B17" i="114"/>
  <c r="B16" i="114"/>
  <c r="B15" i="114"/>
  <c r="B14" i="114"/>
  <c r="D14" i="114" l="1"/>
  <c r="D18" i="114"/>
  <c r="D20" i="114"/>
  <c r="D22" i="114"/>
  <c r="D16" i="114"/>
  <c r="D15" i="114"/>
  <c r="D17" i="114"/>
  <c r="D19" i="114"/>
  <c r="D21" i="114"/>
  <c r="D23" i="114"/>
  <c r="D24" i="114" l="1"/>
  <c r="D25" i="114"/>
  <c r="D26" i="114" l="1"/>
  <c r="B33" i="25" l="1"/>
  <c r="D56" i="54"/>
  <c r="E56" i="54"/>
  <c r="F56" i="54"/>
  <c r="G56" i="54"/>
  <c r="H56" i="54"/>
  <c r="I56" i="54"/>
  <c r="J56" i="54"/>
  <c r="K56" i="54"/>
  <c r="L56" i="54"/>
  <c r="M56" i="54"/>
  <c r="N56" i="54"/>
  <c r="C56" i="54"/>
  <c r="O7" i="54" l="1"/>
  <c r="O8" i="54"/>
  <c r="P8" i="54" s="1"/>
  <c r="O9" i="54"/>
  <c r="P9" i="54" s="1"/>
  <c r="O10" i="54"/>
  <c r="P10" i="54" s="1"/>
  <c r="O11" i="54"/>
  <c r="P11" i="54" s="1"/>
  <c r="O12" i="54"/>
  <c r="P12" i="54" s="1"/>
  <c r="O13" i="54"/>
  <c r="P13" i="54" s="1"/>
  <c r="O14" i="54"/>
  <c r="P14" i="54" s="1"/>
  <c r="O15" i="54"/>
  <c r="P15" i="54" s="1"/>
  <c r="O16" i="54"/>
  <c r="P16" i="54" s="1"/>
  <c r="O17" i="54"/>
  <c r="P17" i="54" s="1"/>
  <c r="O18" i="54"/>
  <c r="P18" i="54" s="1"/>
  <c r="O19" i="54"/>
  <c r="P19" i="54" s="1"/>
  <c r="O20" i="54"/>
  <c r="P20" i="54" s="1"/>
  <c r="O21" i="54"/>
  <c r="P21" i="54" s="1"/>
  <c r="O22" i="54"/>
  <c r="P22" i="54" s="1"/>
  <c r="O23" i="54"/>
  <c r="P23" i="54" s="1"/>
  <c r="O24" i="54"/>
  <c r="P24" i="54" s="1"/>
  <c r="O25" i="54"/>
  <c r="P25" i="54" s="1"/>
  <c r="O26" i="54"/>
  <c r="P26" i="54" s="1"/>
  <c r="O27" i="54"/>
  <c r="P27" i="54" s="1"/>
  <c r="O28" i="54"/>
  <c r="P28" i="54" s="1"/>
  <c r="O29" i="54"/>
  <c r="P29" i="54" s="1"/>
  <c r="O30" i="54"/>
  <c r="P30" i="54" s="1"/>
  <c r="O31" i="54"/>
  <c r="P31" i="54" s="1"/>
  <c r="O32" i="54"/>
  <c r="P32" i="54" s="1"/>
  <c r="O33" i="54"/>
  <c r="P33" i="54" s="1"/>
  <c r="O34" i="54"/>
  <c r="P34" i="54" s="1"/>
  <c r="O35" i="54"/>
  <c r="P35" i="54" s="1"/>
  <c r="O6" i="54"/>
  <c r="P6" i="54" s="1"/>
  <c r="D4" i="26"/>
  <c r="E4" i="26"/>
  <c r="F4" i="26"/>
  <c r="G4" i="26"/>
  <c r="H4" i="26"/>
  <c r="I4" i="26"/>
  <c r="J4" i="26"/>
  <c r="K4" i="26"/>
  <c r="L4" i="26"/>
  <c r="M4" i="26"/>
  <c r="N4" i="26"/>
  <c r="C4" i="26"/>
  <c r="D18" i="25"/>
  <c r="E18" i="25"/>
  <c r="F18" i="25"/>
  <c r="G18" i="25"/>
  <c r="H18" i="25"/>
  <c r="I18" i="25"/>
  <c r="J18" i="25"/>
  <c r="K18" i="25"/>
  <c r="L18" i="25"/>
  <c r="M18" i="25"/>
  <c r="N18" i="25"/>
  <c r="C18" i="25"/>
  <c r="B9" i="25"/>
  <c r="B24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25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26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27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28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29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30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31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32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C8" i="25"/>
  <c r="D8" i="25"/>
  <c r="E8" i="25"/>
  <c r="F8" i="25"/>
  <c r="G8" i="25"/>
  <c r="H8" i="25"/>
  <c r="I8" i="25"/>
  <c r="J8" i="25"/>
  <c r="K8" i="25"/>
  <c r="L8" i="25"/>
  <c r="M8" i="25"/>
  <c r="N8" i="25"/>
  <c r="O45" i="54"/>
  <c r="P45" i="54" s="1"/>
  <c r="O46" i="54"/>
  <c r="O10" i="25" s="1"/>
  <c r="C25" i="25" s="1"/>
  <c r="O47" i="54"/>
  <c r="O11" i="25" s="1"/>
  <c r="C26" i="25" s="1"/>
  <c r="O48" i="54"/>
  <c r="P48" i="54" s="1"/>
  <c r="O49" i="54"/>
  <c r="O13" i="25" s="1"/>
  <c r="C28" i="25" s="1"/>
  <c r="O50" i="54"/>
  <c r="O14" i="25" s="1"/>
  <c r="C29" i="25" s="1"/>
  <c r="O51" i="54"/>
  <c r="O15" i="25" s="1"/>
  <c r="C30" i="25" s="1"/>
  <c r="O52" i="54"/>
  <c r="O13" i="23" s="1"/>
  <c r="O53" i="54"/>
  <c r="O17" i="25" s="1"/>
  <c r="C32" i="25" s="1"/>
  <c r="O44" i="54"/>
  <c r="O8" i="25" s="1"/>
  <c r="C23" i="25" s="1"/>
  <c r="B8" i="25"/>
  <c r="B23" i="25" s="1"/>
  <c r="D38" i="54"/>
  <c r="D18" i="23" s="1"/>
  <c r="E38" i="54"/>
  <c r="E18" i="23" s="1"/>
  <c r="F38" i="54"/>
  <c r="F19" i="25" s="1"/>
  <c r="G38" i="54"/>
  <c r="G19" i="25" s="1"/>
  <c r="H38" i="54"/>
  <c r="H19" i="25" s="1"/>
  <c r="I38" i="54"/>
  <c r="I19" i="25" s="1"/>
  <c r="J38" i="54"/>
  <c r="J19" i="25" s="1"/>
  <c r="K38" i="54"/>
  <c r="K18" i="23" s="1"/>
  <c r="L38" i="54"/>
  <c r="L19" i="25" s="1"/>
  <c r="M38" i="54"/>
  <c r="M18" i="23" s="1"/>
  <c r="N38" i="54"/>
  <c r="N19" i="25" s="1"/>
  <c r="C38" i="54"/>
  <c r="C18" i="23" s="1"/>
  <c r="D37" i="54"/>
  <c r="E37" i="54"/>
  <c r="F37" i="54"/>
  <c r="G37" i="54"/>
  <c r="H37" i="54"/>
  <c r="I37" i="54"/>
  <c r="J37" i="54"/>
  <c r="K37" i="54"/>
  <c r="L37" i="54"/>
  <c r="M37" i="54"/>
  <c r="N37" i="54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C6" i="23"/>
  <c r="D6" i="23"/>
  <c r="E6" i="23"/>
  <c r="F6" i="23"/>
  <c r="G6" i="23"/>
  <c r="H6" i="23"/>
  <c r="I6" i="23"/>
  <c r="J6" i="23"/>
  <c r="K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O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O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D5" i="23"/>
  <c r="E5" i="23"/>
  <c r="F5" i="23"/>
  <c r="G5" i="23"/>
  <c r="H5" i="23"/>
  <c r="I5" i="23"/>
  <c r="J5" i="23"/>
  <c r="K5" i="23"/>
  <c r="L5" i="23"/>
  <c r="M5" i="23"/>
  <c r="N5" i="23"/>
  <c r="C5" i="23"/>
  <c r="O7" i="23" l="1"/>
  <c r="O14" i="23"/>
  <c r="O11" i="23"/>
  <c r="O8" i="23"/>
  <c r="N18" i="23"/>
  <c r="J18" i="23"/>
  <c r="F18" i="23"/>
  <c r="P44" i="54"/>
  <c r="P5" i="23" s="1"/>
  <c r="P49" i="54"/>
  <c r="I18" i="23"/>
  <c r="G18" i="23"/>
  <c r="O38" i="54"/>
  <c r="O18" i="23" s="1"/>
  <c r="H18" i="23"/>
  <c r="D21" i="23"/>
  <c r="O9" i="23"/>
  <c r="L18" i="23"/>
  <c r="P6" i="23"/>
  <c r="P9" i="25"/>
  <c r="P9" i="23"/>
  <c r="P12" i="25"/>
  <c r="P53" i="54"/>
  <c r="O9" i="25"/>
  <c r="C24" i="25" s="1"/>
  <c r="O56" i="54"/>
  <c r="O18" i="25" s="1"/>
  <c r="C33" i="25" s="1"/>
  <c r="P52" i="54"/>
  <c r="P51" i="54"/>
  <c r="E19" i="25"/>
  <c r="O6" i="23"/>
  <c r="P50" i="54"/>
  <c r="O16" i="25"/>
  <c r="C31" i="25" s="1"/>
  <c r="O12" i="25"/>
  <c r="C27" i="25" s="1"/>
  <c r="D19" i="25"/>
  <c r="C19" i="25"/>
  <c r="P7" i="54"/>
  <c r="P36" i="54" s="1"/>
  <c r="P47" i="54"/>
  <c r="M19" i="25"/>
  <c r="P46" i="54"/>
  <c r="K19" i="25"/>
  <c r="P8" i="25"/>
  <c r="O37" i="54"/>
  <c r="O36" i="54"/>
  <c r="O5" i="23"/>
  <c r="E11" i="55"/>
  <c r="P56" i="54" l="1"/>
  <c r="O4" i="26" s="1"/>
  <c r="O19" i="25"/>
  <c r="P13" i="25"/>
  <c r="P10" i="23"/>
  <c r="P38" i="54"/>
  <c r="P18" i="23" s="1"/>
  <c r="P37" i="54"/>
  <c r="P8" i="23"/>
  <c r="P11" i="25"/>
  <c r="P13" i="23"/>
  <c r="P16" i="25"/>
  <c r="P15" i="25"/>
  <c r="P12" i="23"/>
  <c r="P14" i="23"/>
  <c r="P17" i="25"/>
  <c r="P14" i="25"/>
  <c r="P11" i="23"/>
  <c r="P10" i="25"/>
  <c r="P7" i="23"/>
  <c r="F23" i="100"/>
  <c r="E23" i="100"/>
  <c r="D23" i="100"/>
  <c r="B23" i="100"/>
  <c r="F22" i="100"/>
  <c r="E22" i="100"/>
  <c r="D22" i="100"/>
  <c r="B22" i="100"/>
  <c r="F21" i="100"/>
  <c r="E21" i="100"/>
  <c r="D21" i="100"/>
  <c r="B21" i="100"/>
  <c r="F20" i="100"/>
  <c r="E20" i="100"/>
  <c r="D20" i="100"/>
  <c r="B20" i="100"/>
  <c r="F19" i="100"/>
  <c r="E19" i="100"/>
  <c r="D19" i="100"/>
  <c r="B19" i="100"/>
  <c r="F18" i="100"/>
  <c r="E18" i="100"/>
  <c r="D18" i="100"/>
  <c r="B18" i="100"/>
  <c r="F17" i="100"/>
  <c r="E17" i="100"/>
  <c r="D17" i="100"/>
  <c r="B17" i="100"/>
  <c r="F16" i="100"/>
  <c r="E16" i="100"/>
  <c r="D16" i="100"/>
  <c r="B16" i="100"/>
  <c r="F15" i="100"/>
  <c r="E15" i="100"/>
  <c r="D15" i="100"/>
  <c r="B15" i="100"/>
  <c r="F14" i="100"/>
  <c r="E14" i="100"/>
  <c r="D14" i="100"/>
  <c r="B14" i="100"/>
  <c r="P19" i="25" l="1"/>
  <c r="P18" i="25"/>
  <c r="E25" i="100"/>
  <c r="F25" i="100"/>
  <c r="F24" i="100"/>
  <c r="D25" i="100"/>
  <c r="D24" i="100"/>
  <c r="E24" i="100"/>
  <c r="E26" i="100" l="1"/>
  <c r="F26" i="100"/>
  <c r="D26" i="100"/>
  <c r="O17" i="23" l="1"/>
  <c r="D22" i="23" s="1"/>
  <c r="O55" i="54"/>
  <c r="O16" i="23" s="1"/>
  <c r="D55" i="54"/>
  <c r="D16" i="23" s="1"/>
  <c r="E55" i="54"/>
  <c r="E16" i="23" s="1"/>
  <c r="F55" i="54"/>
  <c r="F16" i="23" s="1"/>
  <c r="G55" i="54"/>
  <c r="G16" i="23" s="1"/>
  <c r="H55" i="54"/>
  <c r="H16" i="23" s="1"/>
  <c r="I55" i="54"/>
  <c r="I16" i="23" s="1"/>
  <c r="J55" i="54"/>
  <c r="J16" i="23" s="1"/>
  <c r="K55" i="54"/>
  <c r="K16" i="23" s="1"/>
  <c r="L55" i="54"/>
  <c r="L16" i="23" s="1"/>
  <c r="M55" i="54"/>
  <c r="M16" i="23" s="1"/>
  <c r="N55" i="54"/>
  <c r="N16" i="23" s="1"/>
  <c r="C55" i="54"/>
  <c r="C16" i="23" s="1"/>
  <c r="D54" i="54"/>
  <c r="D15" i="23" s="1"/>
  <c r="E54" i="54"/>
  <c r="E15" i="23" s="1"/>
  <c r="F54" i="54"/>
  <c r="F15" i="23" s="1"/>
  <c r="G54" i="54"/>
  <c r="G15" i="23" s="1"/>
  <c r="H54" i="54"/>
  <c r="H15" i="23" s="1"/>
  <c r="I54" i="54"/>
  <c r="I15" i="23" s="1"/>
  <c r="J54" i="54"/>
  <c r="J15" i="23" s="1"/>
  <c r="K54" i="54"/>
  <c r="K15" i="23" s="1"/>
  <c r="L54" i="54"/>
  <c r="L15" i="23" s="1"/>
  <c r="M54" i="54"/>
  <c r="M15" i="23" s="1"/>
  <c r="N54" i="54"/>
  <c r="N15" i="23" s="1"/>
  <c r="O54" i="54"/>
  <c r="O15" i="23" s="1"/>
  <c r="P54" i="54"/>
  <c r="P15" i="23" s="1"/>
  <c r="C54" i="54"/>
  <c r="C15" i="23" s="1"/>
  <c r="P17" i="23"/>
  <c r="P55" i="54" l="1"/>
  <c r="P16" i="23" s="1"/>
  <c r="F29" i="55"/>
  <c r="K16" i="55" l="1"/>
  <c r="K17" i="55" s="1"/>
  <c r="K18" i="55" s="1"/>
  <c r="L18" i="55" s="1"/>
  <c r="L12" i="55"/>
  <c r="H26" i="55" l="1"/>
  <c r="C9" i="55" l="1"/>
  <c r="C28" i="23" l="1"/>
  <c r="D26" i="55" l="1"/>
  <c r="J29" i="55"/>
  <c r="I29" i="55"/>
  <c r="H29" i="55"/>
  <c r="G29" i="55"/>
  <c r="E29" i="55"/>
  <c r="D29" i="55"/>
  <c r="K29" i="55" l="1"/>
  <c r="E19" i="55" l="1"/>
  <c r="C12" i="55" l="1"/>
  <c r="A13" i="55" s="1"/>
  <c r="A12" i="55" l="1"/>
  <c r="C14" i="55"/>
  <c r="G7" i="55"/>
  <c r="E7" i="55"/>
  <c r="J26" i="55" l="1"/>
  <c r="F5" i="55"/>
  <c r="F7" i="55"/>
  <c r="F6" i="55"/>
  <c r="C26" i="23"/>
  <c r="D31" i="23" l="1"/>
  <c r="C31" i="23"/>
  <c r="C33" i="23"/>
  <c r="C34" i="23" s="1"/>
  <c r="F17" i="55"/>
  <c r="G17" i="55" s="1"/>
  <c r="F19" i="55"/>
  <c r="G19" i="55" s="1"/>
  <c r="C25" i="23" l="1"/>
  <c r="C36" i="23" l="1"/>
  <c r="C37" i="23" s="1"/>
  <c r="C38" i="23" s="1"/>
  <c r="G21" i="55"/>
  <c r="D23" i="23"/>
  <c r="E26" i="55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G25" authorId="0" shapeId="0" xr:uid="{8BA14A94-CA24-41DA-81FC-7CB52062DB6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지금보니까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금강서해가</t>
        </r>
        <r>
          <rPr>
            <sz val="9"/>
            <color indexed="81"/>
            <rFont val="Tahoma"/>
            <family val="2"/>
          </rPr>
          <t xml:space="preserve"> 17.5 </t>
        </r>
        <r>
          <rPr>
            <sz val="9"/>
            <color indexed="81"/>
            <rFont val="돋움"/>
            <family val="3"/>
            <charset val="129"/>
          </rPr>
          <t>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C31" authorId="1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보령상부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rf_1 -- 0.1447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사용한값</t>
        </r>
      </text>
    </comment>
    <comment ref="D31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보령하부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rf_2 -- 0.1535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사용한값</t>
        </r>
      </text>
    </comment>
    <comment ref="C33" authorId="1" shapeId="0" xr:uid="{AF96B6B4-A60C-420E-B926-FFA0D9748C4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년평균강우량을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기준으로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삼는다</t>
        </r>
        <r>
          <rPr>
            <sz val="9"/>
            <color indexed="81"/>
            <rFont val="Tahoma"/>
            <family val="2"/>
          </rPr>
          <t>.</t>
        </r>
      </text>
    </comment>
    <comment ref="C36" authorId="1" shapeId="0" xr:uid="{21B28D38-3B13-4998-90B4-0535B745C6F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지하수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가능량은
</t>
        </r>
        <r>
          <rPr>
            <sz val="9"/>
            <color indexed="81"/>
            <rFont val="Tahoma"/>
            <family val="2"/>
          </rPr>
          <t>10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빈도시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강수량으로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잡는다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00000000-0006-0000-0600-000007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I22" authorId="0" shapeId="0" xr:uid="{63974DCB-2FF5-48E9-9A8D-DCEB933B200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25" authorId="0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sharedStrings.xml><?xml version="1.0" encoding="utf-8"?>
<sst xmlns="http://schemas.openxmlformats.org/spreadsheetml/2006/main" count="350" uniqueCount="226">
  <si>
    <t>순번</t>
    <phoneticPr fontId="7" type="noConversion"/>
  </si>
  <si>
    <t>착정구경
(㎜)</t>
    <phoneticPr fontId="7" type="noConversion"/>
  </si>
  <si>
    <t>착정심도
(m)</t>
    <phoneticPr fontId="7" type="noConversion"/>
  </si>
  <si>
    <t>수중모터
(HP)</t>
    <phoneticPr fontId="7" type="noConversion"/>
  </si>
  <si>
    <t>설치심도
(m)</t>
    <phoneticPr fontId="7" type="noConversion"/>
  </si>
  <si>
    <t>토출경
(㎜)</t>
    <phoneticPr fontId="7" type="noConversion"/>
  </si>
  <si>
    <t>허가번호</t>
    <phoneticPr fontId="7" type="noConversion"/>
  </si>
  <si>
    <t>1월</t>
    <phoneticPr fontId="14" type="noConversion"/>
  </si>
  <si>
    <t>2월</t>
    <phoneticPr fontId="14" type="noConversion"/>
  </si>
  <si>
    <t>3월</t>
    <phoneticPr fontId="14" type="noConversion"/>
  </si>
  <si>
    <t>4월</t>
    <phoneticPr fontId="14" type="noConversion"/>
  </si>
  <si>
    <t>5월</t>
    <phoneticPr fontId="1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</si>
  <si>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</si>
  <si>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</si>
  <si>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</si>
  <si>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</si>
  <si>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</si>
  <si>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</si>
  <si>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</si>
  <si>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14" type="noConversion"/>
  </si>
  <si>
    <t>평균</t>
    <phoneticPr fontId="14" type="noConversion"/>
  </si>
  <si>
    <t>최대</t>
    <phoneticPr fontId="14" type="noConversion"/>
  </si>
  <si>
    <t>최소</t>
    <phoneticPr fontId="14" type="noConversion"/>
  </si>
  <si>
    <t>30년평균</t>
    <phoneticPr fontId="14" type="noConversion"/>
  </si>
  <si>
    <t>5월 ~ 9월 강수량</t>
    <phoneticPr fontId="14" type="noConversion"/>
  </si>
  <si>
    <t>지하수함양량</t>
    <phoneticPr fontId="14" type="noConversion"/>
  </si>
  <si>
    <t>지하수개발가능량</t>
    <phoneticPr fontId="14" type="noConversion"/>
  </si>
  <si>
    <t>30년 평균강우량</t>
    <phoneticPr fontId="7" type="noConversion"/>
  </si>
  <si>
    <t>유역면적</t>
    <phoneticPr fontId="7" type="noConversion"/>
  </si>
  <si>
    <t>mm/year</t>
    <phoneticPr fontId="7" type="noConversion"/>
  </si>
  <si>
    <t>mm/year</t>
    <phoneticPr fontId="7" type="noConversion"/>
  </si>
  <si>
    <t>㎡</t>
    <phoneticPr fontId="7" type="noConversion"/>
  </si>
  <si>
    <t>적용함양계수</t>
    <phoneticPr fontId="7" type="noConversion"/>
  </si>
  <si>
    <t>㎥/day</t>
    <phoneticPr fontId="14" type="noConversion"/>
  </si>
  <si>
    <t>㎥/year</t>
    <phoneticPr fontId="14" type="noConversion"/>
  </si>
  <si>
    <t>㎥/day</t>
    <phoneticPr fontId="14" type="noConversion"/>
  </si>
  <si>
    <t>㎥/year</t>
    <phoneticPr fontId="14" type="noConversion"/>
  </si>
  <si>
    <t>조사지역 년도별 강수량 변화</t>
    <phoneticPr fontId="14" type="noConversion"/>
  </si>
  <si>
    <t>조사지역의 월평균 강수량 (2007-2016)</t>
    <phoneticPr fontId="14" type="noConversion"/>
  </si>
  <si>
    <t>강우량(mm)</t>
    <phoneticPr fontId="14" type="noConversion"/>
  </si>
  <si>
    <t>년도</t>
    <phoneticPr fontId="14" type="noConversion"/>
  </si>
  <si>
    <t>평균</t>
  </si>
  <si>
    <t>조사지역 월별 강우량 변화</t>
    <phoneticPr fontId="14" type="noConversion"/>
  </si>
  <si>
    <t>1월</t>
  </si>
  <si>
    <t>2월</t>
  </si>
  <si>
    <t>3월</t>
  </si>
  <si>
    <t>4월</t>
  </si>
  <si>
    <t>5월</t>
  </si>
  <si>
    <t>최대</t>
    <phoneticPr fontId="7" type="noConversion"/>
  </si>
  <si>
    <t>최소</t>
    <phoneticPr fontId="7" type="noConversion"/>
  </si>
  <si>
    <t>주소</t>
    <phoneticPr fontId="7" type="noConversion"/>
  </si>
  <si>
    <t>공사명</t>
    <phoneticPr fontId="7" type="noConversion"/>
  </si>
  <si>
    <t>회사명</t>
    <phoneticPr fontId="7" type="noConversion"/>
  </si>
  <si>
    <t>유역면적 (㎡)</t>
    <phoneticPr fontId="7" type="noConversion"/>
  </si>
  <si>
    <t>연도</t>
  </si>
  <si>
    <t>연도</t>
    <phoneticPr fontId="7" type="noConversion"/>
  </si>
  <si>
    <t>1월</t>
    <phoneticPr fontId="7" type="noConversion"/>
  </si>
  <si>
    <t>전년</t>
  </si>
  <si>
    <t>전년</t>
    <phoneticPr fontId="7" type="noConversion"/>
  </si>
  <si>
    <t>평균</t>
    <phoneticPr fontId="7" type="noConversion"/>
  </si>
  <si>
    <t>최대</t>
  </si>
  <si>
    <t>최소</t>
  </si>
  <si>
    <t>%</t>
    <phoneticPr fontId="7" type="noConversion"/>
  </si>
  <si>
    <t>허가번호</t>
    <phoneticPr fontId="7" type="noConversion"/>
  </si>
  <si>
    <t>W-1</t>
    <phoneticPr fontId="14" type="noConversion"/>
  </si>
  <si>
    <t>S</t>
    <phoneticPr fontId="14" type="noConversion"/>
  </si>
  <si>
    <t>동경</t>
    <phoneticPr fontId="14" type="noConversion"/>
  </si>
  <si>
    <t>단 계</t>
  </si>
  <si>
    <t>북위</t>
    <phoneticPr fontId="14" type="noConversion"/>
  </si>
  <si>
    <t>장 기</t>
  </si>
  <si>
    <t>주소</t>
    <phoneticPr fontId="14" type="noConversion"/>
  </si>
  <si>
    <t>심도</t>
    <phoneticPr fontId="14" type="noConversion"/>
  </si>
  <si>
    <t>회 복</t>
  </si>
  <si>
    <t>-</t>
  </si>
  <si>
    <t>굴착지름(정호경)</t>
    <phoneticPr fontId="14" type="noConversion"/>
  </si>
  <si>
    <t>평 균</t>
  </si>
  <si>
    <t>케이싱</t>
    <phoneticPr fontId="14" type="noConversion"/>
  </si>
  <si>
    <t>토사</t>
    <phoneticPr fontId="14" type="noConversion"/>
  </si>
  <si>
    <t>영향반경</t>
    <phoneticPr fontId="14" type="noConversion"/>
  </si>
  <si>
    <t>풍화암</t>
    <phoneticPr fontId="14" type="noConversion"/>
  </si>
  <si>
    <t>평균영향반경</t>
    <phoneticPr fontId="7" type="noConversion"/>
  </si>
  <si>
    <t>연암</t>
    <phoneticPr fontId="14" type="noConversion"/>
  </si>
  <si>
    <t>경암</t>
    <phoneticPr fontId="14" type="noConversion"/>
  </si>
  <si>
    <t>대수층 두께</t>
    <phoneticPr fontId="7" type="noConversion"/>
  </si>
  <si>
    <t>허가량(채수계획량)</t>
    <phoneticPr fontId="14" type="noConversion"/>
  </si>
  <si>
    <t>양수량</t>
    <phoneticPr fontId="14" type="noConversion"/>
  </si>
  <si>
    <t>마력</t>
    <phoneticPr fontId="14" type="noConversion"/>
  </si>
  <si>
    <t>수중모터 설치심도</t>
    <phoneticPr fontId="14" type="noConversion"/>
  </si>
  <si>
    <t>유역면적(㎡)</t>
    <phoneticPr fontId="14" type="noConversion"/>
  </si>
  <si>
    <t>함양량(㎥/day)</t>
    <phoneticPr fontId="14" type="noConversion"/>
  </si>
  <si>
    <t>개발가능량(㎥/day)</t>
    <phoneticPr fontId="7" type="noConversion"/>
  </si>
  <si>
    <t>토출관</t>
    <phoneticPr fontId="14" type="noConversion"/>
  </si>
  <si>
    <t>자연수위</t>
    <phoneticPr fontId="14" type="noConversion"/>
  </si>
  <si>
    <t>기사용량(㎥/day)</t>
    <phoneticPr fontId="14" type="noConversion"/>
  </si>
  <si>
    <t>잔량(㎥/day)</t>
    <phoneticPr fontId="14" type="noConversion"/>
  </si>
  <si>
    <t>안정수위</t>
    <phoneticPr fontId="14" type="noConversion"/>
  </si>
  <si>
    <t>양수정의 수질 변화기록</t>
    <phoneticPr fontId="7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</si>
  <si>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</si>
  <si>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</si>
  <si>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</si>
  <si>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</si>
  <si>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</si>
  <si>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W-1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</si>
  <si>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</si>
  <si>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</si>
  <si>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</si>
  <si>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</si>
  <si>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변화량</t>
    <phoneticPr fontId="7" type="noConversion"/>
  </si>
  <si>
    <t>경도</t>
    <phoneticPr fontId="7" type="noConversion"/>
  </si>
  <si>
    <t>수질 1번</t>
    <phoneticPr fontId="7" type="noConversion"/>
  </si>
  <si>
    <t>금회채수계획(㎥/day)</t>
    <phoneticPr fontId="14" type="noConversion"/>
  </si>
  <si>
    <t>10년빈도시최소강수량</t>
    <phoneticPr fontId="7" type="noConversion"/>
  </si>
  <si>
    <t>개발가능량(㎥/year)</t>
    <phoneticPr fontId="7" type="noConversion"/>
  </si>
  <si>
    <t>년함양량(㎥/year)</t>
    <phoneticPr fontId="14" type="noConversion"/>
  </si>
  <si>
    <t>1, 2, 3, 5, 7.5 마력</t>
    <phoneticPr fontId="7" type="noConversion"/>
  </si>
  <si>
    <t>양수능력(㎥/일)</t>
    <phoneticPr fontId="7" type="noConversion"/>
  </si>
  <si>
    <t>기사용량(㎥/일)</t>
    <phoneticPr fontId="7" type="noConversion"/>
  </si>
  <si>
    <t>채수계획
(㎥/일)</t>
    <phoneticPr fontId="7" type="noConversion"/>
  </si>
  <si>
    <t>양수량(㎥/일)</t>
    <phoneticPr fontId="7" type="noConversion"/>
  </si>
  <si>
    <t>cm/year</t>
    <phoneticPr fontId="7" type="noConversion"/>
  </si>
  <si>
    <t>구분</t>
    <phoneticPr fontId="14" type="noConversion"/>
  </si>
  <si>
    <t>Aquifer media
(대수층두께)</t>
    <phoneticPr fontId="14" type="noConversion"/>
  </si>
  <si>
    <t>Soil Media
(토질)</t>
    <phoneticPr fontId="14" type="noConversion"/>
  </si>
  <si>
    <t>Impact of the vadose zone media
(비포화대의구성물질)</t>
    <phoneticPr fontId="14" type="noConversion"/>
  </si>
  <si>
    <t>Hydraulic
Conductivity
of Acquifer
(수리전도도)</t>
    <phoneticPr fontId="14" type="noConversion"/>
  </si>
  <si>
    <t>Drastic Index</t>
    <phoneticPr fontId="14" type="noConversion"/>
  </si>
  <si>
    <t>W-1</t>
    <phoneticPr fontId="14" type="noConversion"/>
  </si>
  <si>
    <t>Range</t>
    <phoneticPr fontId="14" type="noConversion"/>
  </si>
  <si>
    <t>Rating</t>
    <phoneticPr fontId="14" type="noConversion"/>
  </si>
  <si>
    <t>Weight</t>
    <phoneticPr fontId="14" type="noConversion"/>
  </si>
  <si>
    <t>Index</t>
    <phoneticPr fontId="14" type="noConversion"/>
  </si>
  <si>
    <t>Depth of water
(자연수위, m)</t>
    <phoneticPr fontId="14" type="noConversion"/>
  </si>
  <si>
    <t>Net Recharge
(함양량,cm/year)</t>
    <phoneticPr fontId="14" type="noConversion"/>
  </si>
  <si>
    <t>K(m/day)</t>
    <phoneticPr fontId="14" type="noConversion"/>
  </si>
  <si>
    <t>Shultze</t>
    <phoneticPr fontId="7" type="noConversion"/>
  </si>
  <si>
    <t>Webber</t>
    <phoneticPr fontId="7" type="noConversion"/>
  </si>
  <si>
    <t>Jacob</t>
    <phoneticPr fontId="7" type="noConversion"/>
  </si>
  <si>
    <t>거리</t>
    <phoneticPr fontId="7" type="noConversion"/>
  </si>
  <si>
    <t>관정높이</t>
    <phoneticPr fontId="7" type="noConversion"/>
  </si>
  <si>
    <t>지표수표고</t>
    <phoneticPr fontId="7" type="noConversion"/>
  </si>
  <si>
    <t xml:space="preserve">높이차 </t>
    <phoneticPr fontId="7" type="noConversion"/>
  </si>
  <si>
    <t>동수구배</t>
    <phoneticPr fontId="7" type="noConversion"/>
  </si>
  <si>
    <t>지형구배</t>
    <phoneticPr fontId="7" type="noConversion"/>
  </si>
  <si>
    <t>시설명</t>
    <phoneticPr fontId="7" type="noConversion"/>
  </si>
  <si>
    <t>T(㎡/day)</t>
    <phoneticPr fontId="14" type="noConversion"/>
  </si>
  <si>
    <t>유향</t>
    <phoneticPr fontId="7" type="noConversion"/>
  </si>
  <si>
    <t>자연수위높이</t>
    <phoneticPr fontId="7" type="noConversion"/>
  </si>
  <si>
    <t>Topography
(지형구배 %)</t>
    <phoneticPr fontId="14" type="noConversion"/>
  </si>
  <si>
    <t xml:space="preserve"> </t>
    <phoneticPr fontId="7" type="noConversion"/>
  </si>
  <si>
    <t>Shale</t>
    <phoneticPr fontId="7" type="noConversion"/>
  </si>
  <si>
    <t>Metamorphic/Igneous</t>
    <phoneticPr fontId="7" type="noConversion"/>
  </si>
  <si>
    <t>Weathered Metamorphic / Igneous</t>
    <phoneticPr fontId="7" type="noConversion"/>
  </si>
  <si>
    <t>Glacial Till</t>
    <phoneticPr fontId="7" type="noConversion"/>
  </si>
  <si>
    <t>Bedded SandStone</t>
    <phoneticPr fontId="7" type="noConversion"/>
  </si>
  <si>
    <t>Limestone</t>
    <phoneticPr fontId="7" type="noConversion"/>
  </si>
  <si>
    <t>Sand and Gravel</t>
    <phoneticPr fontId="7" type="noConversion"/>
  </si>
  <si>
    <t>Basalt</t>
    <phoneticPr fontId="7" type="noConversion"/>
  </si>
  <si>
    <t>Karst Limestone</t>
    <phoneticPr fontId="7" type="noConversion"/>
  </si>
  <si>
    <t>Massive Limestone</t>
    <phoneticPr fontId="7" type="noConversion"/>
  </si>
  <si>
    <t>Massive Shale</t>
    <phoneticPr fontId="7" type="noConversion"/>
  </si>
  <si>
    <t>Massive Sandstone</t>
    <phoneticPr fontId="7" type="noConversion"/>
  </si>
  <si>
    <t>Thin or Absecnt</t>
    <phoneticPr fontId="7" type="noConversion"/>
  </si>
  <si>
    <t>Gravel</t>
    <phoneticPr fontId="7" type="noConversion"/>
  </si>
  <si>
    <t>Sand</t>
    <phoneticPr fontId="7" type="noConversion"/>
  </si>
  <si>
    <t>Peat</t>
    <phoneticPr fontId="7" type="noConversion"/>
  </si>
  <si>
    <t>Shringing or Aggregated Clay</t>
    <phoneticPr fontId="7" type="noConversion"/>
  </si>
  <si>
    <t>Sandy Loam</t>
    <phoneticPr fontId="7" type="noConversion"/>
  </si>
  <si>
    <t>Loam</t>
    <phoneticPr fontId="7" type="noConversion"/>
  </si>
  <si>
    <t>Silty Loam</t>
    <phoneticPr fontId="7" type="noConversion"/>
  </si>
  <si>
    <t>Clay Loam</t>
    <phoneticPr fontId="7" type="noConversion"/>
  </si>
  <si>
    <t>Mud</t>
    <phoneticPr fontId="7" type="noConversion"/>
  </si>
  <si>
    <t>Nonshrinking and Nonaggregated Clay</t>
    <phoneticPr fontId="7" type="noConversion"/>
  </si>
  <si>
    <t>Typical Rating</t>
    <phoneticPr fontId="7" type="noConversion"/>
  </si>
  <si>
    <t>Rating</t>
    <phoneticPr fontId="7" type="noConversion"/>
  </si>
  <si>
    <t>비포화대의 영향에 대한 등급 (Ir)</t>
    <phoneticPr fontId="7" type="noConversion"/>
  </si>
  <si>
    <t>토양특성에 대한 등급 Sr</t>
    <phoneticPr fontId="7" type="noConversion"/>
  </si>
  <si>
    <t>대수층 특성에 대한 등급 Ar</t>
    <phoneticPr fontId="7" type="noConversion"/>
  </si>
  <si>
    <t>Confining Layer</t>
    <phoneticPr fontId="7" type="noConversion"/>
  </si>
  <si>
    <t>Silt/Clay</t>
    <phoneticPr fontId="7" type="noConversion"/>
  </si>
  <si>
    <t>Sandstone</t>
    <phoneticPr fontId="7" type="noConversion"/>
  </si>
  <si>
    <t>Bedded Limestone, Sandstone, Shale</t>
    <phoneticPr fontId="7" type="noConversion"/>
  </si>
  <si>
    <t>Sand and Gravel with Significant Silt and Clay</t>
    <phoneticPr fontId="7" type="noConversion"/>
  </si>
  <si>
    <t>Metamorphic/Igneous</t>
  </si>
  <si>
    <t>W1</t>
    <phoneticPr fontId="7" type="noConversion"/>
  </si>
  <si>
    <t>W-1</t>
    <phoneticPr fontId="7" type="noConversion"/>
  </si>
  <si>
    <t>W-2</t>
    <phoneticPr fontId="7" type="noConversion"/>
  </si>
  <si>
    <t>W-3</t>
    <phoneticPr fontId="7" type="noConversion"/>
  </si>
  <si>
    <t>Silty Loam</t>
  </si>
  <si>
    <t xml:space="preserve">위도 </t>
    <phoneticPr fontId="7" type="noConversion"/>
  </si>
  <si>
    <t>펌프마력산정하는것</t>
  </si>
  <si>
    <t>굴착심도</t>
  </si>
  <si>
    <t>Q(물량)-양수량</t>
  </si>
  <si>
    <t>Depth(모터설치심도)</t>
  </si>
  <si>
    <t>Height(양정고)</t>
  </si>
  <si>
    <t>Sum (합계)</t>
  </si>
  <si>
    <t>E (효율)</t>
  </si>
  <si>
    <t>계산식</t>
  </si>
  <si>
    <t>허가필증의 마력</t>
  </si>
  <si>
    <t>이론상 양수능력</t>
  </si>
  <si>
    <t>W-1</t>
  </si>
  <si>
    <t>강우량</t>
    <phoneticPr fontId="7" type="noConversion"/>
  </si>
  <si>
    <t>온도(℃)</t>
    <phoneticPr fontId="7" type="noConversion"/>
  </si>
  <si>
    <t>온도</t>
    <phoneticPr fontId="7" type="noConversion"/>
  </si>
  <si>
    <t>EC</t>
    <phoneticPr fontId="7" type="noConversion"/>
  </si>
  <si>
    <t>수위강하량</t>
    <phoneticPr fontId="7" type="noConversion"/>
  </si>
  <si>
    <t>함양량대비개발가능량</t>
    <phoneticPr fontId="7" type="noConversion"/>
  </si>
  <si>
    <t>30년 부여 데이터, 2019/2/16  일날, 기상청 기상자료를 바탕으로 데이터 획득</t>
    <phoneticPr fontId="7" type="noConversion"/>
  </si>
  <si>
    <t>127, 9, 0</t>
    <phoneticPr fontId="7" type="noConversion"/>
  </si>
  <si>
    <t>36, 9, 11</t>
    <phoneticPr fontId="7" type="noConversion"/>
  </si>
  <si>
    <t>2020  논산시 노성면 장구리 436-3번지</t>
    <phoneticPr fontId="7" type="noConversion"/>
  </si>
  <si>
    <t>장구리 436-3</t>
    <phoneticPr fontId="7" type="noConversion"/>
  </si>
  <si>
    <t>동해엔지니어링</t>
    <phoneticPr fontId="7" type="noConversion"/>
  </si>
  <si>
    <t>금강공주</t>
    <phoneticPr fontId="7" type="noConversion"/>
  </si>
  <si>
    <t>조사지역의 월평균 강수량 (2009-2018)</t>
  </si>
  <si>
    <t>10년간 평균강수량</t>
  </si>
  <si>
    <t>30년평균함양량</t>
  </si>
  <si>
    <t xml:space="preserve">함양량의 약 </t>
  </si>
  <si>
    <t>q = 물량,양수량</t>
  </si>
  <si>
    <t>depth = 설치심도</t>
  </si>
  <si>
    <t>height = 양정고</t>
  </si>
  <si>
    <t>sum = depth + height</t>
  </si>
  <si>
    <t>e = 효율값</t>
  </si>
  <si>
    <t>결국 양정고를 결정하는것,</t>
  </si>
  <si>
    <t>양정고를 가지고 모터마력을 맟춘다.</t>
  </si>
  <si>
    <t>EC(μs/㎝)</t>
  </si>
  <si>
    <t>높음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</si>
</sst>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6">
    <numFmt numFmtId="41" formatCode="_-* #,##0_-;\-* #,##0_-;_-* &quot;-&quot;_-;_-@_-"/>
    <numFmt numFmtId="44" formatCode="_-&quot;₩&quot;* #,##0.00_-;\-&quot;₩&quot;* #,##0.00_-;_-&quot;₩&quot;* &quot;-&quot;??_-;_-@_-"/>
    <numFmt numFmtId="24" formatCode="\$#,##0_);[Red]\(\$#,##0\)"/>
    <numFmt numFmtId="176" formatCode="_(* #,##0.00_);_(* \(#,##0.00\);_(* &quot;-&quot;??_);_(@_)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#,##0.0_);[Red]\(#,##0.0\)"/>
    <numFmt numFmtId="185" formatCode="#,##0.0_ "/>
    <numFmt numFmtId="186" formatCode="0.0_ "/>
    <numFmt numFmtId="187" formatCode="#,##0_ "/>
    <numFmt numFmtId="188" formatCode="#,##0.0000_ "/>
    <numFmt numFmtId="189" formatCode="0.0"/>
    <numFmt numFmtId="190" formatCode="_(* #,##0.0_);_(* \(#,##0.0\);_(* &quot;-&quot;??_);_(@_)"/>
    <numFmt numFmtId="191" formatCode="#,##0_ ;[Red]\-#,##0\ "/>
    <numFmt numFmtId="192" formatCode="yy&quot;-&quot;m&quot;-&quot;d\ h:mm;@"/>
    <numFmt numFmtId="193" formatCode="#,##0.00_ "/>
    <numFmt numFmtId="194" formatCode="0.0000"/>
    <numFmt numFmtId="195" formatCode="0.00_ "/>
    <numFmt numFmtId="196" formatCode="0.0\ &quot;도&quot;"/>
    <numFmt numFmtId="197" formatCode="0.000\ &quot;%&quot;"/>
    <numFmt numFmtId="198" formatCode="yyyy&quot;-&quot;mm&quot;-&quot;dd\ h:mm;@"/>
  </numFmts>
  <fonts count="44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i/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i/>
      <sz val="14"/>
      <color theme="1"/>
      <name val="맑은 고딕"/>
      <family val="3"/>
      <charset val="129"/>
    </font>
    <font>
      <i/>
      <sz val="12"/>
      <color theme="1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1"/>
      <color rgb="FFFF0000"/>
      <name val="맑은 고딕"/>
      <family val="3"/>
      <charset val="129"/>
    </font>
    <font>
      <sz val="11"/>
      <color rgb="FF006100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sz val="12"/>
      <color theme="1"/>
      <name val="맑은 고딕"/>
      <family val="3"/>
      <charset val="129"/>
    </font>
    <font>
      <sz val="12"/>
      <color theme="1"/>
      <name val="맑은 고딕"/>
      <family val="3"/>
      <charset val="129"/>
    </font>
    <font>
      <b/>
      <i/>
      <sz val="12"/>
      <color rgb="FFFF0000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b/>
      <i/>
      <sz val="12"/>
      <name val="맑은 고딕"/>
      <family val="3"/>
      <charset val="129"/>
    </font>
    <font>
      <b/>
      <sz val="10"/>
      <name val="맑은 고딕"/>
      <family val="3"/>
      <charset val="129"/>
    </font>
    <font>
      <sz val="11"/>
      <color rgb="FFFF0000"/>
      <name val="맑은 고딕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</fonts>
  <fills count="22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6" tint="0.79995117038483843"/>
        <bgColor indexed="64"/>
      </patternFill>
    </fill>
    <fill>
      <patternFill patternType="solid">
        <fgColor theme="5" tint="0.7999511703848384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C6EFCE"/>
      </patternFill>
    </fill>
  </fills>
  <borders count="103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dashed">
        <color indexed="64"/>
      </right>
      <top/>
      <bottom/>
      <diagonal/>
    </border>
    <border>
      <left style="dashed">
        <color indexed="64"/>
      </left>
      <right style="dashed">
        <color indexed="64"/>
      </right>
      <top/>
      <bottom/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/>
      <diagonal/>
    </border>
    <border>
      <left style="medium">
        <color indexed="64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medium">
        <color indexed="64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/>
      <diagonal/>
    </border>
    <border>
      <left style="dashed">
        <color indexed="64"/>
      </left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medium">
        <color indexed="64"/>
      </right>
      <top style="dashed">
        <color auto="1"/>
      </top>
      <bottom style="dashed">
        <color auto="1"/>
      </bottom>
      <diagonal/>
    </border>
    <border>
      <left style="medium">
        <color indexed="64"/>
      </left>
      <right style="medium">
        <color indexed="64"/>
      </right>
      <top style="dashed">
        <color auto="1"/>
      </top>
      <bottom style="medium">
        <color indexed="64"/>
      </bottom>
      <diagonal/>
    </border>
    <border>
      <left/>
      <right style="dashed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/>
      <bottom style="medium">
        <color indexed="64"/>
      </bottom>
      <diagonal/>
    </border>
    <border>
      <left style="dashed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 style="dashed">
        <color auto="1"/>
      </right>
      <top/>
      <bottom/>
      <diagonal/>
    </border>
    <border>
      <left style="dashed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dotted">
        <color indexed="64"/>
      </bottom>
      <diagonal/>
    </border>
    <border>
      <left/>
      <right style="medium">
        <color indexed="64"/>
      </right>
      <top style="dotted">
        <color indexed="64"/>
      </top>
      <bottom style="dotted">
        <color indexed="64"/>
      </bottom>
      <diagonal/>
    </border>
    <border>
      <left/>
      <right style="medium">
        <color indexed="64"/>
      </right>
      <top style="dotted">
        <color indexed="64"/>
      </top>
      <bottom style="medium">
        <color indexed="64"/>
      </bottom>
      <diagonal/>
    </border>
    <border>
      <left/>
      <right style="medium">
        <color indexed="64"/>
      </right>
      <top style="dotted">
        <color indexed="64"/>
      </top>
      <bottom/>
      <diagonal/>
    </border>
    <border>
      <left style="medium">
        <color indexed="64"/>
      </left>
      <right style="dashed">
        <color indexed="64"/>
      </right>
      <top style="medium">
        <color indexed="64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7">
    <xf numFmtId="0" fontId="0" fillId="0" borderId="0"/>
    <xf numFmtId="24" fontId="8" fillId="0" borderId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0" fontId="10" fillId="0" borderId="0" applyNumberFormat="0" applyFill="0" applyBorder="0" applyAlignment="0" applyProtection="0"/>
    <xf numFmtId="180" fontId="9" fillId="0" borderId="0" applyFont="0" applyFill="0" applyBorder="0" applyAlignment="0" applyProtection="0"/>
    <xf numFmtId="183" fontId="11" fillId="0" borderId="0" applyFont="0" applyFill="0" applyBorder="0" applyAlignment="0" applyProtection="0"/>
    <xf numFmtId="182" fontId="6" fillId="0" borderId="0" applyFont="0" applyFill="0" applyBorder="0" applyAlignment="0" applyProtection="0"/>
    <xf numFmtId="49" fontId="12" fillId="0" borderId="1" applyNumberFormat="0" applyAlignment="0"/>
    <xf numFmtId="0" fontId="9" fillId="0" borderId="0"/>
    <xf numFmtId="177" fontId="9" fillId="0" borderId="0" applyFont="0" applyFill="0" applyBorder="0" applyAlignment="0" applyProtection="0"/>
    <xf numFmtId="181" fontId="9" fillId="0" borderId="0" applyFont="0" applyFill="0" applyBorder="0" applyAlignment="0" applyProtection="0"/>
    <xf numFmtId="0" fontId="13" fillId="0" borderId="2" applyNumberFormat="0" applyAlignment="0" applyProtection="0">
      <alignment horizontal="left" vertical="center"/>
    </xf>
    <xf numFmtId="0" fontId="13" fillId="0" borderId="3">
      <alignment horizontal="left" vertical="center"/>
    </xf>
    <xf numFmtId="0" fontId="5" fillId="2" borderId="0" applyNumberFormat="0" applyBorder="0" applyAlignment="0" applyProtection="0">
      <alignment vertical="center"/>
    </xf>
    <xf numFmtId="0" fontId="5" fillId="0" borderId="0">
      <alignment vertical="center"/>
    </xf>
    <xf numFmtId="176" fontId="6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2" borderId="0" applyNumberFormat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3" fillId="13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0" borderId="0">
      <alignment vertical="center"/>
    </xf>
    <xf numFmtId="0" fontId="32" fillId="21" borderId="0" applyNumberFormat="0" applyBorder="0" applyAlignment="0" applyProtection="0">
      <alignment vertical="center"/>
    </xf>
  </cellStyleXfs>
  <cellXfs count="375">
    <xf numFmtId="0" fontId="0" fillId="0" borderId="0" xfId="0"/>
    <xf numFmtId="0" fontId="15" fillId="0" borderId="0" xfId="19" applyFont="1">
      <alignment vertical="center"/>
    </xf>
    <xf numFmtId="0" fontId="15" fillId="0" borderId="45" xfId="19" applyFont="1" applyBorder="1" applyAlignment="1">
      <alignment horizontal="center" vertical="center"/>
    </xf>
    <xf numFmtId="0" fontId="15" fillId="0" borderId="46" xfId="19" applyFont="1" applyBorder="1" applyAlignment="1">
      <alignment horizontal="center" vertical="center"/>
    </xf>
    <xf numFmtId="0" fontId="15" fillId="0" borderId="47" xfId="19" applyFont="1" applyBorder="1" applyAlignment="1">
      <alignment horizontal="center" vertical="center"/>
    </xf>
    <xf numFmtId="191" fontId="15" fillId="0" borderId="15" xfId="19" applyNumberFormat="1" applyFont="1" applyBorder="1" applyAlignment="1">
      <alignment horizontal="center" vertical="center"/>
    </xf>
    <xf numFmtId="0" fontId="15" fillId="0" borderId="48" xfId="19" applyFont="1" applyBorder="1" applyAlignment="1">
      <alignment horizontal="center" vertical="center"/>
    </xf>
    <xf numFmtId="0" fontId="16" fillId="0" borderId="49" xfId="19" applyFont="1" applyBorder="1" applyAlignment="1">
      <alignment horizontal="center" vertical="center" wrapText="1"/>
    </xf>
    <xf numFmtId="0" fontId="16" fillId="0" borderId="14" xfId="19" applyFont="1" applyBorder="1" applyAlignment="1">
      <alignment horizontal="center" vertical="center" wrapText="1"/>
    </xf>
    <xf numFmtId="0" fontId="16" fillId="0" borderId="8" xfId="19" applyFont="1" applyBorder="1" applyAlignment="1">
      <alignment horizontal="center" vertical="center" wrapText="1"/>
    </xf>
    <xf numFmtId="0" fontId="16" fillId="0" borderId="48" xfId="19" applyFont="1" applyBorder="1" applyAlignment="1">
      <alignment horizontal="center" vertical="center" wrapText="1"/>
    </xf>
    <xf numFmtId="0" fontId="15" fillId="0" borderId="50" xfId="19" applyFont="1" applyBorder="1">
      <alignment vertical="center"/>
    </xf>
    <xf numFmtId="0" fontId="17" fillId="9" borderId="51" xfId="19" applyFont="1" applyFill="1" applyBorder="1" applyAlignment="1">
      <alignment horizontal="center" vertical="center" wrapText="1"/>
    </xf>
    <xf numFmtId="0" fontId="17" fillId="9" borderId="53" xfId="19" applyFont="1" applyFill="1" applyBorder="1" applyAlignment="1">
      <alignment horizontal="center" vertical="center" wrapText="1"/>
    </xf>
    <xf numFmtId="0" fontId="16" fillId="10" borderId="54" xfId="19" applyFont="1" applyFill="1" applyBorder="1" applyAlignment="1">
      <alignment horizontal="center" vertical="center" wrapText="1"/>
    </xf>
    <xf numFmtId="0" fontId="18" fillId="10" borderId="55" xfId="19" applyFont="1" applyFill="1" applyBorder="1" applyAlignment="1">
      <alignment horizontal="center" vertical="center" wrapText="1"/>
    </xf>
    <xf numFmtId="0" fontId="18" fillId="10" borderId="52" xfId="19" applyFont="1" applyFill="1" applyBorder="1" applyAlignment="1">
      <alignment horizontal="center" vertical="center" wrapText="1"/>
    </xf>
    <xf numFmtId="0" fontId="18" fillId="10" borderId="53" xfId="19" applyFont="1" applyFill="1" applyBorder="1" applyAlignment="1">
      <alignment horizontal="center" vertical="center" wrapText="1"/>
    </xf>
    <xf numFmtId="185" fontId="15" fillId="0" borderId="0" xfId="20" applyNumberFormat="1" applyFont="1" applyFill="1">
      <alignment vertical="center"/>
    </xf>
    <xf numFmtId="0" fontId="15" fillId="0" borderId="0" xfId="20" applyFont="1" applyFill="1">
      <alignment vertical="center"/>
    </xf>
    <xf numFmtId="0" fontId="15" fillId="0" borderId="0" xfId="19" applyFont="1" applyAlignment="1">
      <alignment horizontal="center" vertical="center"/>
    </xf>
    <xf numFmtId="0" fontId="19" fillId="0" borderId="0" xfId="19" applyFont="1">
      <alignment vertical="center"/>
    </xf>
    <xf numFmtId="184" fontId="15" fillId="0" borderId="0" xfId="19" applyNumberFormat="1" applyFont="1">
      <alignment vertical="center"/>
    </xf>
    <xf numFmtId="185" fontId="15" fillId="0" borderId="0" xfId="19" applyNumberFormat="1" applyFont="1">
      <alignment vertical="center"/>
    </xf>
    <xf numFmtId="0" fontId="16" fillId="0" borderId="0" xfId="19" applyFont="1" applyAlignment="1">
      <alignment horizontal="center" vertical="center" wrapText="1"/>
    </xf>
    <xf numFmtId="0" fontId="15" fillId="0" borderId="56" xfId="19" applyFont="1" applyBorder="1" applyAlignment="1">
      <alignment horizontal="center" vertical="center"/>
    </xf>
    <xf numFmtId="187" fontId="20" fillId="3" borderId="56" xfId="19" applyNumberFormat="1" applyFont="1" applyFill="1" applyBorder="1">
      <alignment vertical="center"/>
    </xf>
    <xf numFmtId="0" fontId="15" fillId="0" borderId="57" xfId="19" applyFont="1" applyBorder="1" applyAlignment="1">
      <alignment horizontal="center" vertical="center"/>
    </xf>
    <xf numFmtId="0" fontId="17" fillId="0" borderId="0" xfId="19" applyFont="1" applyAlignment="1">
      <alignment horizontal="center" vertical="center" wrapText="1"/>
    </xf>
    <xf numFmtId="0" fontId="22" fillId="0" borderId="0" xfId="19" applyFont="1" applyAlignment="1">
      <alignment horizontal="center" vertical="center"/>
    </xf>
    <xf numFmtId="0" fontId="15" fillId="0" borderId="11" xfId="19" applyFont="1" applyBorder="1" applyAlignment="1">
      <alignment horizontal="center" vertical="center"/>
    </xf>
    <xf numFmtId="0" fontId="15" fillId="0" borderId="9" xfId="19" applyFont="1" applyBorder="1" applyAlignment="1">
      <alignment horizontal="center" vertical="center"/>
    </xf>
    <xf numFmtId="0" fontId="15" fillId="0" borderId="10" xfId="19" applyFont="1" applyBorder="1" applyAlignment="1">
      <alignment horizontal="center" vertical="center"/>
    </xf>
    <xf numFmtId="181" fontId="15" fillId="0" borderId="0" xfId="13" applyFont="1" applyAlignment="1">
      <alignment vertical="center"/>
    </xf>
    <xf numFmtId="0" fontId="15" fillId="11" borderId="11" xfId="19" applyFont="1" applyFill="1" applyBorder="1" applyAlignment="1">
      <alignment horizontal="center" vertical="center"/>
    </xf>
    <xf numFmtId="185" fontId="23" fillId="11" borderId="39" xfId="19" applyNumberFormat="1" applyFont="1" applyFill="1" applyBorder="1">
      <alignment vertical="center"/>
    </xf>
    <xf numFmtId="0" fontId="15" fillId="12" borderId="11" xfId="19" applyFont="1" applyFill="1" applyBorder="1" applyAlignment="1">
      <alignment horizontal="center" vertical="center"/>
    </xf>
    <xf numFmtId="185" fontId="23" fillId="12" borderId="39" xfId="19" applyNumberFormat="1" applyFont="1" applyFill="1" applyBorder="1">
      <alignment vertical="center"/>
    </xf>
    <xf numFmtId="0" fontId="15" fillId="0" borderId="53" xfId="19" applyFont="1" applyBorder="1" applyAlignment="1">
      <alignment horizontal="center" vertical="center"/>
    </xf>
    <xf numFmtId="0" fontId="17" fillId="0" borderId="56" xfId="19" applyFont="1" applyBorder="1" applyAlignment="1">
      <alignment horizontal="center" vertical="center" wrapText="1"/>
    </xf>
    <xf numFmtId="0" fontId="17" fillId="0" borderId="61" xfId="19" applyFont="1" applyBorder="1" applyAlignment="1">
      <alignment horizontal="center" vertical="center" wrapText="1"/>
    </xf>
    <xf numFmtId="0" fontId="16" fillId="3" borderId="14" xfId="19" applyFont="1" applyFill="1" applyBorder="1" applyAlignment="1">
      <alignment horizontal="center" vertical="center" wrapText="1"/>
    </xf>
    <xf numFmtId="194" fontId="16" fillId="0" borderId="8" xfId="19" applyNumberFormat="1" applyFont="1" applyBorder="1" applyAlignment="1">
      <alignment horizontal="center" vertical="center" wrapText="1"/>
    </xf>
    <xf numFmtId="194" fontId="17" fillId="0" borderId="62" xfId="19" applyNumberFormat="1" applyFont="1" applyBorder="1" applyAlignment="1">
      <alignment horizontal="center" vertical="center" wrapText="1"/>
    </xf>
    <xf numFmtId="0" fontId="17" fillId="9" borderId="52" xfId="19" applyFont="1" applyFill="1" applyBorder="1" applyAlignment="1">
      <alignment horizontal="center" vertical="center" wrapText="1"/>
    </xf>
    <xf numFmtId="0" fontId="27" fillId="0" borderId="24" xfId="17" applyFont="1" applyBorder="1">
      <alignment vertical="center"/>
    </xf>
    <xf numFmtId="0" fontId="27" fillId="12" borderId="19" xfId="17" applyFont="1" applyFill="1" applyBorder="1">
      <alignment vertical="center"/>
    </xf>
    <xf numFmtId="0" fontId="27" fillId="0" borderId="18" xfId="17" applyFont="1" applyBorder="1">
      <alignment vertical="center"/>
    </xf>
    <xf numFmtId="0" fontId="27" fillId="12" borderId="21" xfId="17" applyFont="1" applyFill="1" applyBorder="1">
      <alignment vertical="center"/>
    </xf>
    <xf numFmtId="195" fontId="27" fillId="0" borderId="21" xfId="17" applyNumberFormat="1" applyFont="1" applyBorder="1">
      <alignment vertical="center"/>
    </xf>
    <xf numFmtId="0" fontId="27" fillId="0" borderId="25" xfId="17" applyFont="1" applyBorder="1">
      <alignment vertical="center"/>
    </xf>
    <xf numFmtId="0" fontId="27" fillId="0" borderId="23" xfId="17" applyFont="1" applyBorder="1">
      <alignment vertical="center"/>
    </xf>
    <xf numFmtId="0" fontId="27" fillId="0" borderId="0" xfId="0" applyFont="1" applyAlignment="1">
      <alignment horizontal="center" vertical="center"/>
    </xf>
    <xf numFmtId="0" fontId="27" fillId="0" borderId="0" xfId="0" applyFont="1" applyAlignment="1">
      <alignment vertical="center"/>
    </xf>
    <xf numFmtId="0" fontId="28" fillId="0" borderId="0" xfId="0" applyFont="1" applyAlignment="1">
      <alignment horizontal="left" vertical="center"/>
    </xf>
    <xf numFmtId="41" fontId="27" fillId="0" borderId="0" xfId="21" applyFont="1" applyAlignment="1">
      <alignment horizontal="center" vertical="center"/>
    </xf>
    <xf numFmtId="189" fontId="19" fillId="0" borderId="53" xfId="19" applyNumberFormat="1" applyFont="1" applyBorder="1" applyAlignment="1">
      <alignment horizontal="center" vertical="center"/>
    </xf>
    <xf numFmtId="0" fontId="29" fillId="0" borderId="0" xfId="19" applyFont="1">
      <alignment vertical="center"/>
    </xf>
    <xf numFmtId="0" fontId="27" fillId="0" borderId="53" xfId="17" applyFont="1" applyBorder="1">
      <alignment vertical="center"/>
    </xf>
    <xf numFmtId="196" fontId="27" fillId="12" borderId="54" xfId="17" applyNumberFormat="1" applyFont="1" applyFill="1" applyBorder="1">
      <alignment vertical="center"/>
    </xf>
    <xf numFmtId="0" fontId="27" fillId="0" borderId="0" xfId="17" applyFont="1">
      <alignment vertical="center"/>
    </xf>
    <xf numFmtId="197" fontId="27" fillId="0" borderId="0" xfId="17" applyNumberFormat="1" applyFont="1">
      <alignment vertical="center"/>
    </xf>
    <xf numFmtId="0" fontId="27" fillId="0" borderId="0" xfId="0" applyFont="1"/>
    <xf numFmtId="0" fontId="27" fillId="0" borderId="0" xfId="0" applyFont="1" applyAlignment="1">
      <alignment horizontal="center"/>
    </xf>
    <xf numFmtId="0" fontId="27" fillId="0" borderId="63" xfId="0" applyFont="1" applyBorder="1"/>
    <xf numFmtId="0" fontId="27" fillId="0" borderId="65" xfId="0" applyFont="1" applyBorder="1"/>
    <xf numFmtId="0" fontId="27" fillId="12" borderId="1" xfId="0" applyFont="1" applyFill="1" applyBorder="1"/>
    <xf numFmtId="0" fontId="27" fillId="12" borderId="0" xfId="0" applyFont="1" applyFill="1"/>
    <xf numFmtId="0" fontId="27" fillId="12" borderId="63" xfId="0" applyFont="1" applyFill="1" applyBorder="1"/>
    <xf numFmtId="0" fontId="27" fillId="12" borderId="0" xfId="0" applyFont="1" applyFill="1" applyAlignment="1">
      <alignment horizontal="center" vertical="center"/>
    </xf>
    <xf numFmtId="0" fontId="27" fillId="12" borderId="65" xfId="0" applyFont="1" applyFill="1" applyBorder="1"/>
    <xf numFmtId="0" fontId="30" fillId="0" borderId="0" xfId="0" applyFont="1"/>
    <xf numFmtId="0" fontId="30" fillId="0" borderId="0" xfId="0" applyFont="1" applyAlignment="1">
      <alignment horizontal="center" vertical="center"/>
    </xf>
    <xf numFmtId="0" fontId="30" fillId="0" borderId="0" xfId="0" applyFont="1" applyAlignment="1">
      <alignment horizontal="center"/>
    </xf>
    <xf numFmtId="0" fontId="30" fillId="12" borderId="6" xfId="0" applyFont="1" applyFill="1" applyBorder="1" applyAlignment="1">
      <alignment horizontal="center" vertical="center"/>
    </xf>
    <xf numFmtId="0" fontId="30" fillId="0" borderId="64" xfId="0" applyFont="1" applyBorder="1" applyAlignment="1">
      <alignment horizontal="center" vertical="center"/>
    </xf>
    <xf numFmtId="0" fontId="30" fillId="12" borderId="64" xfId="0" applyFont="1" applyFill="1" applyBorder="1" applyAlignment="1">
      <alignment horizontal="center" vertical="center"/>
    </xf>
    <xf numFmtId="0" fontId="30" fillId="0" borderId="17" xfId="0" applyFont="1" applyBorder="1" applyAlignment="1">
      <alignment horizontal="center" vertical="center"/>
    </xf>
    <xf numFmtId="0" fontId="30" fillId="12" borderId="6" xfId="0" applyFont="1" applyFill="1" applyBorder="1" applyAlignment="1">
      <alignment horizontal="center"/>
    </xf>
    <xf numFmtId="0" fontId="30" fillId="0" borderId="64" xfId="0" applyFont="1" applyBorder="1" applyAlignment="1">
      <alignment horizontal="center"/>
    </xf>
    <xf numFmtId="0" fontId="30" fillId="12" borderId="64" xfId="0" applyFont="1" applyFill="1" applyBorder="1" applyAlignment="1">
      <alignment horizontal="center"/>
    </xf>
    <xf numFmtId="0" fontId="30" fillId="12" borderId="17" xfId="0" applyFont="1" applyFill="1" applyBorder="1" applyAlignment="1">
      <alignment horizontal="center"/>
    </xf>
    <xf numFmtId="0" fontId="30" fillId="12" borderId="6" xfId="0" applyFont="1" applyFill="1" applyBorder="1"/>
    <xf numFmtId="0" fontId="30" fillId="0" borderId="64" xfId="0" applyFont="1" applyBorder="1"/>
    <xf numFmtId="0" fontId="30" fillId="12" borderId="64" xfId="0" applyFont="1" applyFill="1" applyBorder="1"/>
    <xf numFmtId="0" fontId="30" fillId="12" borderId="17" xfId="0" applyFont="1" applyFill="1" applyBorder="1"/>
    <xf numFmtId="0" fontId="28" fillId="0" borderId="0" xfId="0" applyFont="1" applyAlignment="1">
      <alignment horizontal="center" vertical="center"/>
    </xf>
    <xf numFmtId="0" fontId="3" fillId="15" borderId="0" xfId="22" applyFill="1" applyAlignment="1">
      <alignment horizontal="center" vertical="center"/>
    </xf>
    <xf numFmtId="196" fontId="31" fillId="0" borderId="0" xfId="17" applyNumberFormat="1" applyFont="1">
      <alignment vertical="center"/>
    </xf>
    <xf numFmtId="0" fontId="32" fillId="21" borderId="0" xfId="26" applyAlignment="1">
      <alignment horizontal="center" vertical="center"/>
    </xf>
    <xf numFmtId="0" fontId="27" fillId="0" borderId="100" xfId="0" applyFont="1" applyBorder="1" applyAlignment="1">
      <alignment horizontal="center" vertical="center"/>
    </xf>
    <xf numFmtId="0" fontId="27" fillId="0" borderId="101" xfId="0" applyFont="1" applyBorder="1" applyAlignment="1">
      <alignment horizontal="center" vertical="center"/>
    </xf>
    <xf numFmtId="0" fontId="3" fillId="15" borderId="101" xfId="22" applyFill="1" applyBorder="1" applyAlignment="1">
      <alignment horizontal="center" vertical="center"/>
    </xf>
    <xf numFmtId="0" fontId="19" fillId="0" borderId="101" xfId="0" applyFont="1" applyBorder="1" applyAlignment="1">
      <alignment horizontal="center" vertical="center" wrapText="1"/>
    </xf>
    <xf numFmtId="0" fontId="19" fillId="0" borderId="101" xfId="0" applyFont="1" applyBorder="1" applyAlignment="1">
      <alignment horizontal="center" vertical="center"/>
    </xf>
    <xf numFmtId="41" fontId="27" fillId="0" borderId="101" xfId="21" applyFont="1" applyBorder="1">
      <alignment vertical="center"/>
    </xf>
    <xf numFmtId="0" fontId="27" fillId="0" borderId="102" xfId="0" applyFont="1" applyBorder="1" applyAlignment="1">
      <alignment horizontal="center" vertical="center"/>
    </xf>
    <xf numFmtId="0" fontId="27" fillId="0" borderId="53" xfId="0" applyFont="1" applyBorder="1" applyAlignment="1">
      <alignment horizontal="center" vertical="center"/>
    </xf>
    <xf numFmtId="0" fontId="27" fillId="0" borderId="78" xfId="0" applyFont="1" applyBorder="1" applyAlignment="1">
      <alignment horizontal="center" vertical="center"/>
    </xf>
    <xf numFmtId="0" fontId="27" fillId="0" borderId="81" xfId="0" applyFont="1" applyBorder="1" applyAlignment="1">
      <alignment horizontal="center" vertical="center"/>
    </xf>
    <xf numFmtId="0" fontId="19" fillId="0" borderId="0" xfId="17" applyFont="1" applyAlignment="1">
      <alignment horizontal="left" vertical="center"/>
    </xf>
    <xf numFmtId="0" fontId="19" fillId="0" borderId="0" xfId="17" applyFont="1">
      <alignment vertical="center"/>
    </xf>
    <xf numFmtId="0" fontId="15" fillId="20" borderId="85" xfId="25" applyFont="1" applyFill="1" applyBorder="1" applyAlignment="1">
      <alignment horizontal="center" vertical="center"/>
    </xf>
    <xf numFmtId="0" fontId="19" fillId="20" borderId="83" xfId="25" applyFont="1" applyFill="1" applyBorder="1" applyAlignment="1">
      <alignment horizontal="center" vertical="center"/>
    </xf>
    <xf numFmtId="0" fontId="19" fillId="20" borderId="79" xfId="25" applyFont="1" applyFill="1" applyBorder="1" applyAlignment="1">
      <alignment horizontal="center" vertical="center"/>
    </xf>
    <xf numFmtId="0" fontId="19" fillId="20" borderId="80" xfId="25" applyFont="1" applyFill="1" applyBorder="1" applyAlignment="1">
      <alignment horizontal="center" vertical="center"/>
    </xf>
    <xf numFmtId="0" fontId="19" fillId="20" borderId="86" xfId="25" applyFont="1" applyFill="1" applyBorder="1" applyAlignment="1">
      <alignment horizontal="center" vertical="center"/>
    </xf>
    <xf numFmtId="0" fontId="19" fillId="0" borderId="31" xfId="25" applyFont="1" applyBorder="1" applyAlignment="1">
      <alignment horizontal="center" vertical="center"/>
    </xf>
    <xf numFmtId="0" fontId="19" fillId="0" borderId="30" xfId="25" applyFont="1" applyBorder="1" applyAlignment="1">
      <alignment horizontal="center" vertical="center"/>
    </xf>
    <xf numFmtId="0" fontId="19" fillId="0" borderId="74" xfId="25" applyFont="1" applyBorder="1" applyAlignment="1">
      <alignment horizontal="center" vertical="center"/>
    </xf>
    <xf numFmtId="0" fontId="19" fillId="0" borderId="84" xfId="25" applyFont="1" applyBorder="1" applyAlignment="1">
      <alignment horizontal="center" vertical="center"/>
    </xf>
    <xf numFmtId="0" fontId="19" fillId="0" borderId="76" xfId="25" applyFont="1" applyBorder="1" applyAlignment="1">
      <alignment horizontal="center" vertical="center"/>
    </xf>
    <xf numFmtId="0" fontId="19" fillId="0" borderId="77" xfId="25" applyFont="1" applyBorder="1" applyAlignment="1">
      <alignment horizontal="center" vertical="center"/>
    </xf>
    <xf numFmtId="0" fontId="19" fillId="20" borderId="85" xfId="25" applyFont="1" applyFill="1" applyBorder="1" applyAlignment="1">
      <alignment horizontal="center" vertical="center"/>
    </xf>
    <xf numFmtId="0" fontId="19" fillId="0" borderId="83" xfId="25" applyFont="1" applyBorder="1" applyAlignment="1">
      <alignment horizontal="center" vertical="center"/>
    </xf>
    <xf numFmtId="0" fontId="19" fillId="0" borderId="79" xfId="25" applyFont="1" applyBorder="1" applyAlignment="1">
      <alignment horizontal="center" vertical="center"/>
    </xf>
    <xf numFmtId="0" fontId="19" fillId="0" borderId="80" xfId="25" applyFont="1" applyBorder="1" applyAlignment="1">
      <alignment horizontal="center" vertical="center"/>
    </xf>
    <xf numFmtId="0" fontId="19" fillId="14" borderId="31" xfId="23" applyFont="1" applyBorder="1" applyAlignment="1">
      <alignment horizontal="center" vertical="center"/>
    </xf>
    <xf numFmtId="0" fontId="19" fillId="20" borderId="87" xfId="25" applyFont="1" applyFill="1" applyBorder="1" applyAlignment="1">
      <alignment horizontal="center" vertical="center"/>
    </xf>
    <xf numFmtId="0" fontId="19" fillId="0" borderId="34" xfId="25" applyFont="1" applyBorder="1" applyAlignment="1">
      <alignment horizontal="center" vertical="center"/>
    </xf>
    <xf numFmtId="0" fontId="19" fillId="0" borderId="32" xfId="25" applyFont="1" applyBorder="1" applyAlignment="1">
      <alignment horizontal="center" vertical="center"/>
    </xf>
    <xf numFmtId="0" fontId="19" fillId="14" borderId="32" xfId="23" applyFont="1" applyBorder="1" applyAlignment="1">
      <alignment horizontal="center" vertical="center"/>
    </xf>
    <xf numFmtId="0" fontId="19" fillId="0" borderId="82" xfId="25" applyFont="1" applyBorder="1" applyAlignment="1">
      <alignment horizontal="center" vertical="center"/>
    </xf>
    <xf numFmtId="0" fontId="19" fillId="20" borderId="25" xfId="25" applyFont="1" applyFill="1" applyBorder="1" applyAlignment="1">
      <alignment horizontal="center" vertical="center"/>
    </xf>
    <xf numFmtId="185" fontId="19" fillId="0" borderId="88" xfId="25" applyNumberFormat="1" applyFont="1" applyBorder="1" applyAlignment="1">
      <alignment horizontal="center" vertical="center"/>
    </xf>
    <xf numFmtId="185" fontId="19" fillId="0" borderId="89" xfId="25" applyNumberFormat="1" applyFont="1" applyBorder="1" applyAlignment="1">
      <alignment horizontal="center" vertical="center"/>
    </xf>
    <xf numFmtId="0" fontId="19" fillId="0" borderId="89" xfId="25" applyFont="1" applyBorder="1" applyAlignment="1">
      <alignment horizontal="center" vertical="center"/>
    </xf>
    <xf numFmtId="0" fontId="19" fillId="0" borderId="90" xfId="25" applyFont="1" applyBorder="1" applyAlignment="1">
      <alignment horizontal="center" vertical="center"/>
    </xf>
    <xf numFmtId="0" fontId="19" fillId="16" borderId="88" xfId="24" applyFont="1" applyBorder="1" applyAlignment="1">
      <alignment horizontal="center" vertical="center"/>
    </xf>
    <xf numFmtId="0" fontId="19" fillId="0" borderId="26" xfId="17" applyFont="1" applyBorder="1" applyAlignment="1">
      <alignment horizontal="center" vertical="center"/>
    </xf>
    <xf numFmtId="0" fontId="19" fillId="0" borderId="27" xfId="17" applyFont="1" applyBorder="1">
      <alignment vertical="center"/>
    </xf>
    <xf numFmtId="184" fontId="19" fillId="0" borderId="28" xfId="17" applyNumberFormat="1" applyFont="1" applyBorder="1">
      <alignment vertical="center"/>
    </xf>
    <xf numFmtId="190" fontId="19" fillId="0" borderId="0" xfId="17" applyNumberFormat="1" applyFont="1">
      <alignment vertical="center"/>
    </xf>
    <xf numFmtId="0" fontId="19" fillId="0" borderId="40" xfId="17" applyFont="1" applyBorder="1" applyAlignment="1">
      <alignment horizontal="center" vertical="center"/>
    </xf>
    <xf numFmtId="184" fontId="19" fillId="0" borderId="41" xfId="17" applyNumberFormat="1" applyFont="1" applyBorder="1">
      <alignment vertical="center"/>
    </xf>
    <xf numFmtId="0" fontId="19" fillId="0" borderId="42" xfId="17" applyFont="1" applyBorder="1">
      <alignment vertical="center"/>
    </xf>
    <xf numFmtId="0" fontId="19" fillId="0" borderId="43" xfId="17" applyFont="1" applyBorder="1">
      <alignment vertical="center"/>
    </xf>
    <xf numFmtId="10" fontId="19" fillId="0" borderId="44" xfId="17" applyNumberFormat="1" applyFont="1" applyBorder="1">
      <alignment vertical="center"/>
    </xf>
    <xf numFmtId="10" fontId="19" fillId="0" borderId="0" xfId="17" applyNumberFormat="1" applyFont="1">
      <alignment vertical="center"/>
    </xf>
    <xf numFmtId="0" fontId="33" fillId="0" borderId="16" xfId="17" applyFont="1" applyBorder="1" applyAlignment="1">
      <alignment horizontal="center" vertical="center"/>
    </xf>
    <xf numFmtId="184" fontId="19" fillId="6" borderId="24" xfId="17" applyNumberFormat="1" applyFont="1" applyFill="1" applyBorder="1">
      <alignment vertical="center"/>
    </xf>
    <xf numFmtId="0" fontId="19" fillId="0" borderId="19" xfId="17" applyFont="1" applyBorder="1">
      <alignment vertical="center"/>
    </xf>
    <xf numFmtId="0" fontId="33" fillId="0" borderId="20" xfId="17" applyFont="1" applyBorder="1" applyAlignment="1">
      <alignment horizontal="center" vertical="center"/>
    </xf>
    <xf numFmtId="185" fontId="19" fillId="5" borderId="18" xfId="17" applyNumberFormat="1" applyFont="1" applyFill="1" applyBorder="1">
      <alignment vertical="center"/>
    </xf>
    <xf numFmtId="0" fontId="19" fillId="0" borderId="21" xfId="17" applyFont="1" applyBorder="1">
      <alignment vertical="center"/>
    </xf>
    <xf numFmtId="0" fontId="19" fillId="12" borderId="0" xfId="17" applyFont="1" applyFill="1">
      <alignment vertical="center"/>
    </xf>
    <xf numFmtId="10" fontId="19" fillId="12" borderId="0" xfId="17" applyNumberFormat="1" applyFont="1" applyFill="1">
      <alignment vertical="center"/>
    </xf>
    <xf numFmtId="193" fontId="33" fillId="5" borderId="18" xfId="17" applyNumberFormat="1" applyFont="1" applyFill="1" applyBorder="1">
      <alignment vertical="center"/>
    </xf>
    <xf numFmtId="0" fontId="19" fillId="0" borderId="20" xfId="17" applyFont="1" applyBorder="1" applyAlignment="1">
      <alignment horizontal="center" vertical="center"/>
    </xf>
    <xf numFmtId="187" fontId="19" fillId="4" borderId="18" xfId="17" applyNumberFormat="1" applyFont="1" applyFill="1" applyBorder="1">
      <alignment vertical="center"/>
    </xf>
    <xf numFmtId="0" fontId="19" fillId="0" borderId="22" xfId="17" applyFont="1" applyBorder="1" applyAlignment="1">
      <alignment horizontal="center" vertical="center"/>
    </xf>
    <xf numFmtId="188" fontId="33" fillId="7" borderId="25" xfId="17" applyNumberFormat="1" applyFont="1" applyFill="1" applyBorder="1">
      <alignment vertical="center"/>
    </xf>
    <xf numFmtId="0" fontId="19" fillId="0" borderId="23" xfId="17" applyFont="1" applyBorder="1">
      <alignment vertical="center"/>
    </xf>
    <xf numFmtId="0" fontId="19" fillId="0" borderId="4" xfId="17" applyFont="1" applyBorder="1" applyAlignment="1">
      <alignment horizontal="center" vertical="center"/>
    </xf>
    <xf numFmtId="189" fontId="19" fillId="0" borderId="4" xfId="17" applyNumberFormat="1" applyFont="1" applyBorder="1" applyAlignment="1">
      <alignment horizontal="center" vertical="center"/>
    </xf>
    <xf numFmtId="0" fontId="19" fillId="0" borderId="4" xfId="17" applyFont="1" applyBorder="1">
      <alignment vertical="center"/>
    </xf>
    <xf numFmtId="0" fontId="33" fillId="4" borderId="9" xfId="16" applyFont="1" applyFill="1" applyBorder="1" applyAlignment="1">
      <alignment horizontal="center" vertical="center"/>
    </xf>
    <xf numFmtId="185" fontId="34" fillId="4" borderId="10" xfId="16" applyNumberFormat="1" applyFont="1" applyFill="1" applyBorder="1">
      <alignment vertical="center"/>
    </xf>
    <xf numFmtId="0" fontId="19" fillId="4" borderId="11" xfId="16" applyFont="1" applyFill="1" applyBorder="1">
      <alignment vertical="center"/>
    </xf>
    <xf numFmtId="185" fontId="19" fillId="0" borderId="0" xfId="17" applyNumberFormat="1" applyFont="1">
      <alignment vertical="center"/>
    </xf>
    <xf numFmtId="0" fontId="19" fillId="4" borderId="37" xfId="16" applyFont="1" applyFill="1" applyBorder="1">
      <alignment vertical="center"/>
    </xf>
    <xf numFmtId="186" fontId="34" fillId="4" borderId="38" xfId="16" applyNumberFormat="1" applyFont="1" applyFill="1" applyBorder="1">
      <alignment vertical="center"/>
    </xf>
    <xf numFmtId="0" fontId="19" fillId="4" borderId="39" xfId="16" applyFont="1" applyFill="1" applyBorder="1">
      <alignment vertical="center"/>
    </xf>
    <xf numFmtId="0" fontId="33" fillId="4" borderId="9" xfId="17" applyFont="1" applyFill="1" applyBorder="1" applyAlignment="1">
      <alignment horizontal="center" vertical="center"/>
    </xf>
    <xf numFmtId="185" fontId="34" fillId="4" borderId="10" xfId="17" applyNumberFormat="1" applyFont="1" applyFill="1" applyBorder="1">
      <alignment vertical="center"/>
    </xf>
    <xf numFmtId="0" fontId="19" fillId="4" borderId="11" xfId="17" applyFont="1" applyFill="1" applyBorder="1">
      <alignment vertical="center"/>
    </xf>
    <xf numFmtId="0" fontId="19" fillId="4" borderId="12" xfId="17" applyFont="1" applyFill="1" applyBorder="1">
      <alignment vertical="center"/>
    </xf>
    <xf numFmtId="185" fontId="34" fillId="4" borderId="5" xfId="17" applyNumberFormat="1" applyFont="1" applyFill="1" applyBorder="1">
      <alignment vertical="center"/>
    </xf>
    <xf numFmtId="0" fontId="19" fillId="4" borderId="13" xfId="17" applyFont="1" applyFill="1" applyBorder="1">
      <alignment vertical="center"/>
    </xf>
    <xf numFmtId="0" fontId="19" fillId="8" borderId="35" xfId="17" applyFont="1" applyFill="1" applyBorder="1" applyAlignment="1">
      <alignment horizontal="center" vertical="center"/>
    </xf>
    <xf numFmtId="189" fontId="19" fillId="8" borderId="36" xfId="17" applyNumberFormat="1" applyFont="1" applyFill="1" applyBorder="1">
      <alignment vertical="center"/>
    </xf>
    <xf numFmtId="0" fontId="19" fillId="8" borderId="29" xfId="17" applyFont="1" applyFill="1" applyBorder="1">
      <alignment vertical="center"/>
    </xf>
    <xf numFmtId="0" fontId="27" fillId="0" borderId="4" xfId="0" applyFont="1" applyBorder="1" applyAlignment="1">
      <alignment horizontal="center" vertical="center" wrapText="1"/>
    </xf>
    <xf numFmtId="0" fontId="27" fillId="0" borderId="4" xfId="0" applyFont="1" applyBorder="1" applyAlignment="1">
      <alignment horizontal="center" vertical="center"/>
    </xf>
    <xf numFmtId="0" fontId="27" fillId="0" borderId="7" xfId="0" applyFont="1" applyBorder="1" applyAlignment="1">
      <alignment horizontal="center" vertical="center" wrapText="1"/>
    </xf>
    <xf numFmtId="0" fontId="27" fillId="0" borderId="18" xfId="0" applyFont="1" applyBorder="1"/>
    <xf numFmtId="0" fontId="36" fillId="0" borderId="21" xfId="0" applyFont="1" applyBorder="1" applyAlignment="1">
      <alignment horizontal="right" vertical="center"/>
    </xf>
    <xf numFmtId="0" fontId="19" fillId="0" borderId="66" xfId="0" applyFont="1" applyBorder="1" applyAlignment="1">
      <alignment horizontal="center" vertical="center"/>
    </xf>
    <xf numFmtId="0" fontId="37" fillId="0" borderId="96" xfId="0" applyFont="1" applyBorder="1" applyAlignment="1">
      <alignment horizontal="right" vertical="center"/>
    </xf>
    <xf numFmtId="0" fontId="19" fillId="17" borderId="67" xfId="0" applyFont="1" applyFill="1" applyBorder="1" applyAlignment="1">
      <alignment horizontal="center" vertical="center"/>
    </xf>
    <xf numFmtId="0" fontId="38" fillId="17" borderId="97" xfId="0" applyFont="1" applyFill="1" applyBorder="1" applyAlignment="1">
      <alignment horizontal="right" vertical="center"/>
    </xf>
    <xf numFmtId="0" fontId="36" fillId="17" borderId="97" xfId="0" applyFont="1" applyFill="1" applyBorder="1" applyAlignment="1">
      <alignment horizontal="right" vertical="center"/>
    </xf>
    <xf numFmtId="0" fontId="19" fillId="0" borderId="67" xfId="0" applyFont="1" applyBorder="1" applyAlignment="1">
      <alignment horizontal="center" vertical="center"/>
    </xf>
    <xf numFmtId="0" fontId="36" fillId="0" borderId="97" xfId="0" applyFont="1" applyBorder="1" applyAlignment="1">
      <alignment horizontal="right" vertical="center"/>
    </xf>
    <xf numFmtId="0" fontId="38" fillId="0" borderId="97" xfId="0" applyFont="1" applyBorder="1" applyAlignment="1">
      <alignment horizontal="right" vertical="center"/>
    </xf>
    <xf numFmtId="2" fontId="36" fillId="0" borderId="97" xfId="0" applyNumberFormat="1" applyFont="1" applyBorder="1" applyAlignment="1">
      <alignment horizontal="right" vertical="center"/>
    </xf>
    <xf numFmtId="0" fontId="19" fillId="0" borderId="69" xfId="0" applyFont="1" applyBorder="1" applyAlignment="1">
      <alignment horizontal="center" vertical="center"/>
    </xf>
    <xf numFmtId="0" fontId="22" fillId="18" borderId="99" xfId="0" applyFont="1" applyFill="1" applyBorder="1" applyAlignment="1">
      <alignment horizontal="right" vertical="center"/>
    </xf>
    <xf numFmtId="0" fontId="19" fillId="0" borderId="68" xfId="0" applyFont="1" applyBorder="1" applyAlignment="1">
      <alignment horizontal="center" vertical="center"/>
    </xf>
    <xf numFmtId="0" fontId="37" fillId="0" borderId="98" xfId="0" applyFont="1" applyBorder="1" applyAlignment="1">
      <alignment horizontal="right" vertical="center"/>
    </xf>
    <xf numFmtId="0" fontId="19" fillId="20" borderId="78" xfId="17" applyFont="1" applyFill="1" applyBorder="1" applyAlignment="1">
      <alignment horizontal="center" vertical="center"/>
    </xf>
    <xf numFmtId="0" fontId="19" fillId="20" borderId="79" xfId="17" applyFont="1" applyFill="1" applyBorder="1" applyAlignment="1">
      <alignment horizontal="center" vertical="center"/>
    </xf>
    <xf numFmtId="0" fontId="19" fillId="20" borderId="80" xfId="17" applyFont="1" applyFill="1" applyBorder="1" applyAlignment="1">
      <alignment horizontal="center" vertical="center"/>
    </xf>
    <xf numFmtId="0" fontId="19" fillId="0" borderId="0" xfId="17" applyFont="1" applyAlignment="1">
      <alignment horizontal="center" vertical="center"/>
    </xf>
    <xf numFmtId="0" fontId="19" fillId="0" borderId="81" xfId="17" applyNumberFormat="1" applyFont="1" applyBorder="1" applyAlignment="1">
      <alignment horizontal="center" vertical="center"/>
    </xf>
    <xf numFmtId="0" fontId="19" fillId="0" borderId="32" xfId="18" applyNumberFormat="1" applyFont="1" applyBorder="1" applyAlignment="1">
      <alignment horizontal="center" vertical="center"/>
    </xf>
    <xf numFmtId="0" fontId="19" fillId="0" borderId="82" xfId="18" applyNumberFormat="1" applyFont="1" applyBorder="1" applyAlignment="1">
      <alignment horizontal="center" vertical="center"/>
    </xf>
    <xf numFmtId="0" fontId="19" fillId="19" borderId="78" xfId="25" applyFont="1" applyFill="1" applyBorder="1" applyAlignment="1">
      <alignment horizontal="center" vertical="center"/>
    </xf>
    <xf numFmtId="0" fontId="19" fillId="19" borderId="79" xfId="25" applyFont="1" applyFill="1" applyBorder="1" applyAlignment="1">
      <alignment horizontal="center" vertical="center"/>
    </xf>
    <xf numFmtId="0" fontId="19" fillId="19" borderId="80" xfId="25" applyFont="1" applyFill="1" applyBorder="1" applyAlignment="1">
      <alignment horizontal="center" vertical="center"/>
    </xf>
    <xf numFmtId="0" fontId="19" fillId="0" borderId="73" xfId="25" applyFont="1" applyBorder="1" applyAlignment="1">
      <alignment horizontal="center" vertical="center"/>
    </xf>
    <xf numFmtId="0" fontId="19" fillId="19" borderId="73" xfId="25" applyFont="1" applyFill="1" applyBorder="1" applyAlignment="1">
      <alignment horizontal="center" vertical="center"/>
    </xf>
    <xf numFmtId="0" fontId="19" fillId="19" borderId="30" xfId="25" applyFont="1" applyFill="1" applyBorder="1" applyAlignment="1">
      <alignment horizontal="center" vertical="center"/>
    </xf>
    <xf numFmtId="0" fontId="19" fillId="19" borderId="74" xfId="25" applyFont="1" applyFill="1" applyBorder="1" applyAlignment="1">
      <alignment horizontal="center" vertical="center"/>
    </xf>
    <xf numFmtId="0" fontId="19" fillId="19" borderId="81" xfId="25" applyFont="1" applyFill="1" applyBorder="1">
      <alignment vertical="center"/>
    </xf>
    <xf numFmtId="0" fontId="19" fillId="19" borderId="32" xfId="25" applyFont="1" applyFill="1" applyBorder="1" applyAlignment="1">
      <alignment horizontal="center" vertical="center"/>
    </xf>
    <xf numFmtId="0" fontId="19" fillId="19" borderId="82" xfId="25" applyFont="1" applyFill="1" applyBorder="1" applyAlignment="1">
      <alignment horizontal="center" vertical="center"/>
    </xf>
    <xf numFmtId="0" fontId="19" fillId="0" borderId="81" xfId="25" applyFont="1" applyBorder="1" applyAlignment="1">
      <alignment horizontal="center" vertical="center"/>
    </xf>
    <xf numFmtId="0" fontId="30" fillId="19" borderId="9" xfId="0" applyFont="1" applyFill="1" applyBorder="1" applyAlignment="1">
      <alignment horizontal="center" vertical="center"/>
    </xf>
    <xf numFmtId="0" fontId="30" fillId="19" borderId="10" xfId="0" applyFont="1" applyFill="1" applyBorder="1" applyAlignment="1">
      <alignment horizontal="center" vertical="center"/>
    </xf>
    <xf numFmtId="0" fontId="30" fillId="19" borderId="11" xfId="0" applyFont="1" applyFill="1" applyBorder="1" applyAlignment="1">
      <alignment horizontal="center" vertical="center"/>
    </xf>
    <xf numFmtId="0" fontId="40" fillId="0" borderId="0" xfId="0" applyFont="1" applyAlignment="1">
      <alignment horizontal="center" vertical="center"/>
    </xf>
    <xf numFmtId="0" fontId="27" fillId="0" borderId="70" xfId="0" applyFont="1" applyBorder="1" applyAlignment="1">
      <alignment horizontal="center" vertical="center"/>
    </xf>
    <xf numFmtId="190" fontId="27" fillId="0" borderId="71" xfId="18" applyNumberFormat="1" applyFont="1" applyBorder="1">
      <alignment vertical="center"/>
    </xf>
    <xf numFmtId="190" fontId="27" fillId="0" borderId="72" xfId="18" applyNumberFormat="1" applyFont="1" applyBorder="1">
      <alignment vertical="center"/>
    </xf>
    <xf numFmtId="190" fontId="27" fillId="0" borderId="70" xfId="0" applyNumberFormat="1" applyFont="1" applyBorder="1" applyAlignment="1">
      <alignment vertical="center"/>
    </xf>
    <xf numFmtId="190" fontId="27" fillId="0" borderId="72" xfId="0" applyNumberFormat="1" applyFont="1" applyBorder="1" applyAlignment="1">
      <alignment vertical="center"/>
    </xf>
    <xf numFmtId="44" fontId="27" fillId="0" borderId="0" xfId="0" applyNumberFormat="1" applyFont="1" applyAlignment="1">
      <alignment vertical="center"/>
    </xf>
    <xf numFmtId="0" fontId="27" fillId="0" borderId="73" xfId="0" applyFont="1" applyBorder="1" applyAlignment="1">
      <alignment horizontal="center" vertical="center"/>
    </xf>
    <xf numFmtId="190" fontId="27" fillId="0" borderId="30" xfId="18" applyNumberFormat="1" applyFont="1" applyBorder="1">
      <alignment vertical="center"/>
    </xf>
    <xf numFmtId="190" fontId="27" fillId="0" borderId="74" xfId="18" applyNumberFormat="1" applyFont="1" applyBorder="1">
      <alignment vertical="center"/>
    </xf>
    <xf numFmtId="190" fontId="27" fillId="0" borderId="73" xfId="0" applyNumberFormat="1" applyFont="1" applyBorder="1" applyAlignment="1">
      <alignment vertical="center"/>
    </xf>
    <xf numFmtId="190" fontId="27" fillId="0" borderId="74" xfId="0" applyNumberFormat="1" applyFont="1" applyBorder="1" applyAlignment="1">
      <alignment vertical="center"/>
    </xf>
    <xf numFmtId="0" fontId="27" fillId="0" borderId="75" xfId="0" applyFont="1" applyBorder="1" applyAlignment="1">
      <alignment horizontal="center" vertical="center"/>
    </xf>
    <xf numFmtId="190" fontId="27" fillId="0" borderId="75" xfId="0" applyNumberFormat="1" applyFont="1" applyBorder="1" applyAlignment="1">
      <alignment vertical="center"/>
    </xf>
    <xf numFmtId="190" fontId="27" fillId="0" borderId="77" xfId="0" applyNumberFormat="1" applyFont="1" applyBorder="1" applyAlignment="1">
      <alignment vertical="center"/>
    </xf>
    <xf numFmtId="190" fontId="27" fillId="0" borderId="79" xfId="0" applyNumberFormat="1" applyFont="1" applyBorder="1" applyAlignment="1">
      <alignment vertical="center"/>
    </xf>
    <xf numFmtId="190" fontId="27" fillId="0" borderId="80" xfId="0" applyNumberFormat="1" applyFont="1" applyBorder="1" applyAlignment="1">
      <alignment vertical="center"/>
    </xf>
    <xf numFmtId="190" fontId="27" fillId="0" borderId="78" xfId="18" applyNumberFormat="1" applyFont="1" applyBorder="1">
      <alignment vertical="center"/>
    </xf>
    <xf numFmtId="190" fontId="27" fillId="0" borderId="80" xfId="18" applyNumberFormat="1" applyFont="1" applyBorder="1">
      <alignment vertical="center"/>
    </xf>
    <xf numFmtId="190" fontId="27" fillId="0" borderId="30" xfId="0" applyNumberFormat="1" applyFont="1" applyBorder="1" applyAlignment="1">
      <alignment vertical="center"/>
    </xf>
    <xf numFmtId="190" fontId="27" fillId="0" borderId="73" xfId="18" applyNumberFormat="1" applyFont="1" applyBorder="1">
      <alignment vertical="center"/>
    </xf>
    <xf numFmtId="190" fontId="27" fillId="0" borderId="32" xfId="0" applyNumberFormat="1" applyFont="1" applyBorder="1" applyAlignment="1">
      <alignment vertical="center"/>
    </xf>
    <xf numFmtId="190" fontId="27" fillId="0" borderId="82" xfId="0" applyNumberFormat="1" applyFont="1" applyBorder="1" applyAlignment="1">
      <alignment vertical="center"/>
    </xf>
    <xf numFmtId="190" fontId="27" fillId="0" borderId="81" xfId="18" applyNumberFormat="1" applyFont="1" applyBorder="1">
      <alignment vertical="center"/>
    </xf>
    <xf numFmtId="190" fontId="27" fillId="0" borderId="82" xfId="18" applyNumberFormat="1" applyFont="1" applyBorder="1">
      <alignment vertical="center"/>
    </xf>
    <xf numFmtId="190" fontId="30" fillId="19" borderId="78" xfId="18" applyNumberFormat="1" applyFont="1" applyFill="1" applyBorder="1" applyAlignment="1">
      <alignment horizontal="center" vertical="center"/>
    </xf>
    <xf numFmtId="190" fontId="30" fillId="19" borderId="79" xfId="18" applyNumberFormat="1" applyFont="1" applyFill="1" applyBorder="1" applyAlignment="1">
      <alignment horizontal="center" vertical="center"/>
    </xf>
    <xf numFmtId="190" fontId="30" fillId="19" borderId="80" xfId="18" applyNumberFormat="1" applyFont="1" applyFill="1" applyBorder="1" applyAlignment="1">
      <alignment horizontal="center" vertical="center"/>
    </xf>
    <xf numFmtId="190" fontId="30" fillId="19" borderId="83" xfId="18" applyNumberFormat="1" applyFont="1" applyFill="1" applyBorder="1" applyAlignment="1">
      <alignment horizontal="center" vertical="center"/>
    </xf>
    <xf numFmtId="0" fontId="27" fillId="0" borderId="73" xfId="18" applyNumberFormat="1" applyFont="1" applyBorder="1" applyAlignment="1">
      <alignment horizontal="center" vertical="center"/>
    </xf>
    <xf numFmtId="190" fontId="27" fillId="0" borderId="31" xfId="18" applyNumberFormat="1" applyFont="1" applyBorder="1">
      <alignment vertical="center"/>
    </xf>
    <xf numFmtId="190" fontId="27" fillId="0" borderId="76" xfId="18" applyNumberFormat="1" applyFont="1" applyBorder="1">
      <alignment vertical="center"/>
    </xf>
    <xf numFmtId="190" fontId="27" fillId="0" borderId="77" xfId="18" applyNumberFormat="1" applyFont="1" applyBorder="1">
      <alignment vertical="center"/>
    </xf>
    <xf numFmtId="190" fontId="27" fillId="0" borderId="84" xfId="18" applyNumberFormat="1" applyFont="1" applyBorder="1">
      <alignment vertical="center"/>
    </xf>
    <xf numFmtId="190" fontId="27" fillId="0" borderId="78" xfId="18" applyNumberFormat="1" applyFont="1" applyBorder="1" applyAlignment="1">
      <alignment horizontal="center" vertical="center"/>
    </xf>
    <xf numFmtId="190" fontId="27" fillId="0" borderId="79" xfId="18" applyNumberFormat="1" applyFont="1" applyBorder="1">
      <alignment vertical="center"/>
    </xf>
    <xf numFmtId="190" fontId="27" fillId="0" borderId="83" xfId="18" applyNumberFormat="1" applyFont="1" applyBorder="1">
      <alignment vertical="center"/>
    </xf>
    <xf numFmtId="190" fontId="27" fillId="0" borderId="73" xfId="18" applyNumberFormat="1" applyFont="1" applyBorder="1" applyAlignment="1">
      <alignment horizontal="center" vertical="center"/>
    </xf>
    <xf numFmtId="190" fontId="27" fillId="0" borderId="81" xfId="18" applyNumberFormat="1" applyFont="1" applyBorder="1" applyAlignment="1">
      <alignment horizontal="center" vertical="center"/>
    </xf>
    <xf numFmtId="190" fontId="27" fillId="0" borderId="32" xfId="18" applyNumberFormat="1" applyFont="1" applyBorder="1">
      <alignment vertical="center"/>
    </xf>
    <xf numFmtId="190" fontId="27" fillId="0" borderId="34" xfId="18" applyNumberFormat="1" applyFont="1" applyBorder="1">
      <alignment vertical="center"/>
    </xf>
    <xf numFmtId="0" fontId="15" fillId="3" borderId="45" xfId="19" applyNumberFormat="1" applyFont="1" applyFill="1" applyBorder="1" applyAlignment="1">
      <alignment horizontal="center" vertical="center"/>
    </xf>
    <xf numFmtId="0" fontId="15" fillId="3" borderId="48" xfId="19" applyNumberFormat="1" applyFont="1" applyFill="1" applyBorder="1" applyAlignment="1">
      <alignment horizontal="center" vertical="center"/>
    </xf>
    <xf numFmtId="0" fontId="21" fillId="3" borderId="48" xfId="19" applyNumberFormat="1" applyFont="1" applyFill="1" applyBorder="1" applyAlignment="1">
      <alignment horizontal="center" vertical="center"/>
    </xf>
    <xf numFmtId="0" fontId="15" fillId="0" borderId="48" xfId="19" applyNumberFormat="1" applyFont="1" applyBorder="1" applyAlignment="1">
      <alignment horizontal="center" vertical="center"/>
    </xf>
    <xf numFmtId="0" fontId="15" fillId="11" borderId="48" xfId="19" applyNumberFormat="1" applyFont="1" applyFill="1" applyBorder="1" applyAlignment="1">
      <alignment horizontal="center" vertical="center"/>
    </xf>
    <xf numFmtId="0" fontId="15" fillId="12" borderId="48" xfId="19" applyNumberFormat="1" applyFont="1" applyFill="1" applyBorder="1" applyAlignment="1">
      <alignment horizontal="center" vertical="center"/>
    </xf>
    <xf numFmtId="0" fontId="15" fillId="0" borderId="56" xfId="19" applyNumberFormat="1" applyFont="1" applyBorder="1" applyAlignment="1">
      <alignment horizontal="center" vertical="center"/>
    </xf>
    <xf numFmtId="0" fontId="15" fillId="3" borderId="57" xfId="19" applyNumberFormat="1" applyFont="1" applyFill="1" applyBorder="1" applyAlignment="1">
      <alignment horizontal="center" vertical="center"/>
    </xf>
    <xf numFmtId="0" fontId="15" fillId="3" borderId="56" xfId="19" applyNumberFormat="1" applyFont="1" applyFill="1" applyBorder="1" applyAlignment="1">
      <alignment horizontal="center" vertical="center"/>
    </xf>
    <xf numFmtId="0" fontId="15" fillId="12" borderId="54" xfId="19" applyNumberFormat="1" applyFont="1" applyFill="1" applyBorder="1" applyAlignment="1">
      <alignment horizontal="center" vertical="center"/>
    </xf>
    <xf numFmtId="187" fontId="23" fillId="3" borderId="56" xfId="19" applyNumberFormat="1" applyFont="1" applyFill="1" applyBorder="1">
      <alignment vertical="center"/>
    </xf>
    <xf numFmtId="0" fontId="23" fillId="3" borderId="37" xfId="19" applyFont="1" applyFill="1" applyBorder="1">
      <alignment vertical="center"/>
    </xf>
    <xf numFmtId="0" fontId="23" fillId="3" borderId="38" xfId="19" applyFont="1" applyFill="1" applyBorder="1">
      <alignment vertical="center"/>
    </xf>
    <xf numFmtId="0" fontId="27" fillId="0" borderId="53" xfId="0" applyFont="1" applyBorder="1" applyAlignment="1">
      <alignment horizontal="center" vertical="center" wrapText="1"/>
    </xf>
    <xf numFmtId="0" fontId="27" fillId="3" borderId="53" xfId="0" applyFont="1" applyFill="1" applyBorder="1" applyAlignment="1">
      <alignment horizontal="center" vertical="center"/>
    </xf>
    <xf numFmtId="0" fontId="19" fillId="12" borderId="53" xfId="0" applyFont="1" applyFill="1" applyBorder="1" applyAlignment="1">
      <alignment horizontal="center" vertical="center"/>
    </xf>
    <xf numFmtId="189" fontId="19" fillId="12" borderId="53" xfId="0" applyNumberFormat="1" applyFont="1" applyFill="1" applyBorder="1" applyAlignment="1">
      <alignment horizontal="center" vertical="center"/>
    </xf>
    <xf numFmtId="0" fontId="19" fillId="12" borderId="53" xfId="0" applyFont="1" applyFill="1" applyBorder="1" applyAlignment="1">
      <alignment horizontal="center" vertical="center" wrapText="1"/>
    </xf>
    <xf numFmtId="197" fontId="19" fillId="12" borderId="53" xfId="0" applyNumberFormat="1" applyFont="1" applyFill="1" applyBorder="1" applyAlignment="1">
      <alignment horizontal="center" vertical="center"/>
    </xf>
    <xf numFmtId="0" fontId="19" fillId="0" borderId="53" xfId="0" applyFont="1" applyBorder="1" applyAlignment="1">
      <alignment horizontal="center" vertical="center"/>
    </xf>
    <xf numFmtId="0" fontId="19" fillId="3" borderId="53" xfId="0" applyFont="1" applyFill="1" applyBorder="1" applyAlignment="1">
      <alignment horizontal="center" vertical="center"/>
    </xf>
    <xf numFmtId="0" fontId="19" fillId="11" borderId="53" xfId="0" applyFont="1" applyFill="1" applyBorder="1" applyAlignment="1">
      <alignment horizontal="center" vertical="center"/>
    </xf>
    <xf numFmtId="0" fontId="41" fillId="4" borderId="58" xfId="0" applyFont="1" applyFill="1" applyBorder="1" applyAlignment="1">
      <alignment horizontal="center" vertical="center"/>
    </xf>
    <xf numFmtId="192" fontId="41" fillId="4" borderId="54" xfId="0" applyNumberFormat="1" applyFont="1" applyFill="1" applyBorder="1" applyAlignment="1">
      <alignment horizontal="center" vertical="center"/>
    </xf>
    <xf numFmtId="192" fontId="27" fillId="4" borderId="0" xfId="0" applyNumberFormat="1" applyFont="1" applyFill="1" applyAlignment="1">
      <alignment horizontal="center" vertical="center"/>
    </xf>
    <xf numFmtId="0" fontId="27" fillId="4" borderId="58" xfId="0" applyFont="1" applyFill="1" applyBorder="1" applyAlignment="1">
      <alignment horizontal="center" vertical="center"/>
    </xf>
    <xf numFmtId="184" fontId="27" fillId="4" borderId="54" xfId="0" applyNumberFormat="1" applyFont="1" applyFill="1" applyBorder="1" applyAlignment="1">
      <alignment horizontal="center" vertical="center"/>
    </xf>
    <xf numFmtId="0" fontId="27" fillId="4" borderId="0" xfId="0" applyFont="1" applyFill="1" applyAlignment="1">
      <alignment horizontal="center" vertical="center"/>
    </xf>
    <xf numFmtId="184" fontId="27" fillId="4" borderId="0" xfId="0" applyNumberFormat="1" applyFont="1" applyFill="1" applyAlignment="1">
      <alignment horizontal="center" vertical="center"/>
    </xf>
    <xf numFmtId="0" fontId="27" fillId="20" borderId="73" xfId="0" applyFont="1" applyFill="1" applyBorder="1" applyAlignment="1">
      <alignment horizontal="center" vertical="center"/>
    </xf>
    <xf numFmtId="0" fontId="27" fillId="20" borderId="74" xfId="0" applyFont="1" applyFill="1" applyBorder="1" applyAlignment="1">
      <alignment horizontal="center" vertical="center"/>
    </xf>
    <xf numFmtId="0" fontId="27" fillId="20" borderId="30" xfId="0" applyFont="1" applyFill="1" applyBorder="1" applyAlignment="1">
      <alignment horizontal="center" vertical="center"/>
    </xf>
    <xf numFmtId="192" fontId="27" fillId="0" borderId="91" xfId="0" applyNumberFormat="1" applyFont="1" applyBorder="1" applyAlignment="1">
      <alignment horizontal="center" vertical="center"/>
    </xf>
    <xf numFmtId="0" fontId="27" fillId="0" borderId="92" xfId="0" applyFont="1" applyBorder="1" applyAlignment="1">
      <alignment horizontal="center" vertical="center"/>
    </xf>
    <xf numFmtId="0" fontId="27" fillId="0" borderId="91" xfId="0" applyFont="1" applyBorder="1" applyAlignment="1">
      <alignment horizontal="center" vertical="center"/>
    </xf>
    <xf numFmtId="184" fontId="27" fillId="0" borderId="93" xfId="0" applyNumberFormat="1" applyFont="1" applyBorder="1" applyAlignment="1">
      <alignment horizontal="center" vertical="center"/>
    </xf>
    <xf numFmtId="193" fontId="27" fillId="0" borderId="92" xfId="0" applyNumberFormat="1" applyFont="1" applyBorder="1" applyAlignment="1">
      <alignment horizontal="center" vertical="center"/>
    </xf>
    <xf numFmtId="186" fontId="27" fillId="0" borderId="91" xfId="0" applyNumberFormat="1" applyFont="1" applyBorder="1" applyAlignment="1">
      <alignment horizontal="center" vertical="center"/>
    </xf>
    <xf numFmtId="192" fontId="27" fillId="0" borderId="73" xfId="0" applyNumberFormat="1" applyFont="1" applyBorder="1" applyAlignment="1">
      <alignment horizontal="center" vertical="center"/>
    </xf>
    <xf numFmtId="0" fontId="27" fillId="0" borderId="74" xfId="0" applyFont="1" applyBorder="1" applyAlignment="1">
      <alignment horizontal="center" vertical="center"/>
    </xf>
    <xf numFmtId="184" fontId="27" fillId="0" borderId="30" xfId="0" applyNumberFormat="1" applyFont="1" applyBorder="1" applyAlignment="1">
      <alignment horizontal="center" vertical="center"/>
    </xf>
    <xf numFmtId="193" fontId="27" fillId="0" borderId="74" xfId="0" applyNumberFormat="1" applyFont="1" applyBorder="1" applyAlignment="1">
      <alignment horizontal="center" vertical="center"/>
    </xf>
    <xf numFmtId="192" fontId="27" fillId="0" borderId="75" xfId="0" applyNumberFormat="1" applyFont="1" applyBorder="1" applyAlignment="1">
      <alignment horizontal="center" vertical="center"/>
    </xf>
    <xf numFmtId="0" fontId="27" fillId="0" borderId="77" xfId="0" applyFont="1" applyBorder="1" applyAlignment="1">
      <alignment horizontal="center" vertical="center"/>
    </xf>
    <xf numFmtId="184" fontId="27" fillId="0" borderId="76" xfId="0" applyNumberFormat="1" applyFont="1" applyBorder="1" applyAlignment="1">
      <alignment horizontal="center" vertical="center"/>
    </xf>
    <xf numFmtId="193" fontId="27" fillId="0" borderId="77" xfId="0" applyNumberFormat="1" applyFont="1" applyBorder="1" applyAlignment="1">
      <alignment horizontal="center" vertical="center"/>
    </xf>
    <xf numFmtId="186" fontId="27" fillId="0" borderId="94" xfId="0" applyNumberFormat="1" applyFont="1" applyBorder="1" applyAlignment="1">
      <alignment horizontal="center" vertical="center"/>
    </xf>
    <xf numFmtId="184" fontId="27" fillId="0" borderId="60" xfId="0" applyNumberFormat="1" applyFont="1" applyBorder="1" applyAlignment="1">
      <alignment horizontal="center" vertical="center"/>
    </xf>
    <xf numFmtId="0" fontId="27" fillId="20" borderId="81" xfId="0" applyFont="1" applyFill="1" applyBorder="1" applyAlignment="1">
      <alignment horizontal="center" vertical="center"/>
    </xf>
    <xf numFmtId="0" fontId="27" fillId="20" borderId="32" xfId="0" applyFont="1" applyFill="1" applyBorder="1" applyAlignment="1">
      <alignment horizontal="center" vertical="center"/>
    </xf>
    <xf numFmtId="0" fontId="27" fillId="20" borderId="82" xfId="0" applyFont="1" applyFill="1" applyBorder="1" applyAlignment="1">
      <alignment horizontal="center" vertical="center"/>
    </xf>
    <xf numFmtId="189" fontId="27" fillId="0" borderId="73" xfId="0" applyNumberFormat="1" applyFont="1" applyBorder="1" applyAlignment="1">
      <alignment horizontal="center" vertical="center"/>
    </xf>
    <xf numFmtId="0" fontId="27" fillId="0" borderId="30" xfId="0" applyFont="1" applyBorder="1" applyAlignment="1">
      <alignment horizontal="center" vertical="center"/>
    </xf>
    <xf numFmtId="189" fontId="27" fillId="0" borderId="91" xfId="0" applyNumberFormat="1" applyFont="1" applyBorder="1" applyAlignment="1">
      <alignment horizontal="center" vertical="center"/>
    </xf>
    <xf numFmtId="189" fontId="27" fillId="0" borderId="81" xfId="0" applyNumberFormat="1" applyFont="1" applyBorder="1" applyAlignment="1">
      <alignment horizontal="center" vertical="center"/>
    </xf>
    <xf numFmtId="0" fontId="27" fillId="4" borderId="0" xfId="0" applyNumberFormat="1" applyFont="1" applyFill="1" applyAlignment="1">
      <alignment horizontal="center" vertical="center"/>
    </xf>
    <xf numFmtId="0" fontId="27" fillId="20" borderId="31" xfId="0" applyFont="1" applyFill="1" applyBorder="1" applyAlignment="1">
      <alignment horizontal="center" vertical="center"/>
    </xf>
    <xf numFmtId="186" fontId="27" fillId="0" borderId="33" xfId="0" applyNumberFormat="1" applyFont="1" applyBorder="1" applyAlignment="1">
      <alignment horizontal="center" vertical="center"/>
    </xf>
    <xf numFmtId="193" fontId="27" fillId="0" borderId="95" xfId="0" applyNumberFormat="1" applyFont="1" applyBorder="1" applyAlignment="1">
      <alignment horizontal="center" vertical="center"/>
    </xf>
    <xf numFmtId="186" fontId="27" fillId="0" borderId="59" xfId="0" applyNumberFormat="1" applyFont="1" applyBorder="1" applyAlignment="1">
      <alignment horizontal="center" vertical="center"/>
    </xf>
    <xf numFmtId="0" fontId="27" fillId="20" borderId="34" xfId="0" applyFont="1" applyFill="1" applyBorder="1" applyAlignment="1">
      <alignment horizontal="center" vertical="center"/>
    </xf>
    <xf numFmtId="0" fontId="42" fillId="0" borderId="0" xfId="0" applyFont="1" applyAlignment="1">
      <alignment horizontal="center" vertical="center"/>
    </xf>
    <xf numFmtId="0" fontId="43" fillId="0" borderId="0" xfId="0" applyFont="1" applyAlignment="1">
      <alignment horizontal="center" vertical="center"/>
    </xf>
    <xf numFmtId="0" fontId="43" fillId="0" borderId="0" xfId="0" applyFont="1" applyAlignment="1">
      <alignment vertical="center"/>
    </xf>
    <xf numFmtId="192" fontId="27" fillId="4" borderId="54" xfId="0" applyNumberFormat="1" applyFont="1" applyFill="1" applyBorder="1" applyAlignment="1">
      <alignment horizontal="center" vertical="center"/>
    </xf>
    <xf numFmtId="40" fontId="27" fillId="4" borderId="0" xfId="0" applyNumberFormat="1" applyFont="1" applyFill="1" applyAlignment="1">
      <alignment horizontal="center" vertical="center"/>
    </xf>
    <xf numFmtId="0" fontId="27" fillId="19" borderId="73" xfId="0" applyFont="1" applyFill="1" applyBorder="1" applyAlignment="1">
      <alignment horizontal="center" vertical="center"/>
    </xf>
    <xf numFmtId="0" fontId="27" fillId="19" borderId="74" xfId="0" applyFont="1" applyFill="1" applyBorder="1" applyAlignment="1">
      <alignment horizontal="center" vertical="center"/>
    </xf>
    <xf numFmtId="0" fontId="27" fillId="19" borderId="31" xfId="0" applyFont="1" applyFill="1" applyBorder="1" applyAlignment="1">
      <alignment horizontal="center" vertical="center"/>
    </xf>
    <xf numFmtId="0" fontId="27" fillId="19" borderId="30" xfId="0" applyFont="1" applyFill="1" applyBorder="1" applyAlignment="1">
      <alignment horizontal="center" vertical="center"/>
    </xf>
    <xf numFmtId="198" fontId="27" fillId="0" borderId="91" xfId="0" applyNumberFormat="1" applyFont="1" applyBorder="1" applyAlignment="1">
      <alignment horizontal="center" vertical="center"/>
    </xf>
    <xf numFmtId="0" fontId="27" fillId="0" borderId="33" xfId="0" applyFont="1" applyBorder="1" applyAlignment="1">
      <alignment horizontal="center" vertical="center"/>
    </xf>
    <xf numFmtId="38" fontId="27" fillId="0" borderId="93" xfId="0" applyNumberFormat="1" applyFont="1" applyBorder="1" applyAlignment="1">
      <alignment horizontal="center" vertical="center"/>
    </xf>
    <xf numFmtId="198" fontId="27" fillId="0" borderId="73" xfId="0" applyNumberFormat="1" applyFont="1" applyBorder="1" applyAlignment="1">
      <alignment horizontal="center" vertical="center"/>
    </xf>
    <xf numFmtId="0" fontId="27" fillId="0" borderId="31" xfId="0" applyFont="1" applyBorder="1" applyAlignment="1">
      <alignment horizontal="center" vertical="center"/>
    </xf>
    <xf numFmtId="38" fontId="27" fillId="0" borderId="30" xfId="0" applyNumberFormat="1" applyFont="1" applyBorder="1" applyAlignment="1">
      <alignment horizontal="center" vertical="center"/>
    </xf>
    <xf numFmtId="189" fontId="27" fillId="0" borderId="31" xfId="0" applyNumberFormat="1" applyFont="1" applyBorder="1" applyAlignment="1">
      <alignment horizontal="center" vertical="center"/>
    </xf>
    <xf numFmtId="0" fontId="27" fillId="19" borderId="34" xfId="0" applyFont="1" applyFill="1" applyBorder="1" applyAlignment="1">
      <alignment horizontal="center" vertical="center"/>
    </xf>
    <xf numFmtId="0" fontId="27" fillId="19" borderId="32" xfId="0" applyFont="1" applyFill="1" applyBorder="1" applyAlignment="1">
      <alignment horizontal="center" vertical="center"/>
    </xf>
    <xf numFmtId="0" fontId="27" fillId="19" borderId="82" xfId="0" applyFont="1" applyFill="1" applyBorder="1" applyAlignment="1">
      <alignment horizontal="center" vertical="center"/>
    </xf>
    <xf numFmtId="0" fontId="27" fillId="20" borderId="73" xfId="0" applyFont="1" applyFill="1" applyBorder="1" applyAlignment="1">
      <alignment horizontal="center" vertical="center"/>
    </xf>
    <xf numFmtId="0" fontId="27" fillId="20" borderId="74" xfId="0" applyFont="1" applyFill="1" applyBorder="1" applyAlignment="1">
      <alignment horizontal="center" vertical="center"/>
    </xf>
    <xf numFmtId="0" fontId="27" fillId="20" borderId="81" xfId="0" applyFont="1" applyFill="1" applyBorder="1" applyAlignment="1">
      <alignment horizontal="center" vertical="center"/>
    </xf>
    <xf numFmtId="0" fontId="27" fillId="20" borderId="82" xfId="0" applyFont="1" applyFill="1" applyBorder="1" applyAlignment="1">
      <alignment horizontal="center" vertical="center"/>
    </xf>
    <xf numFmtId="189" fontId="27" fillId="0" borderId="30" xfId="0" applyNumberFormat="1" applyFont="1" applyBorder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35" fillId="0" borderId="16" xfId="0" applyFont="1" applyBorder="1" applyAlignment="1">
      <alignment horizontal="center" vertical="center"/>
    </xf>
    <xf numFmtId="0" fontId="35" fillId="0" borderId="19" xfId="0" applyFont="1" applyBorder="1" applyAlignment="1">
      <alignment horizontal="center" vertical="center"/>
    </xf>
    <xf numFmtId="0" fontId="27" fillId="0" borderId="78" xfId="0" applyFont="1" applyBorder="1" applyAlignment="1">
      <alignment horizontal="center" vertical="center"/>
    </xf>
    <xf numFmtId="0" fontId="27" fillId="0" borderId="81" xfId="0" applyFont="1" applyBorder="1" applyAlignment="1">
      <alignment horizontal="center" vertical="center"/>
    </xf>
    <xf numFmtId="0" fontId="27" fillId="0" borderId="79" xfId="0" applyFont="1" applyBorder="1" applyAlignment="1">
      <alignment horizontal="center" vertical="center"/>
    </xf>
    <xf numFmtId="0" fontId="27" fillId="0" borderId="32" xfId="0" applyFont="1" applyBorder="1" applyAlignment="1">
      <alignment horizontal="center" vertical="center"/>
    </xf>
    <xf numFmtId="0" fontId="3" fillId="15" borderId="79" xfId="22" applyFill="1" applyBorder="1" applyAlignment="1">
      <alignment horizontal="center" vertical="center" wrapText="1"/>
    </xf>
    <xf numFmtId="0" fontId="3" fillId="15" borderId="32" xfId="22" applyFill="1" applyBorder="1" applyAlignment="1">
      <alignment horizontal="center" vertical="center" wrapText="1"/>
    </xf>
    <xf numFmtId="0" fontId="27" fillId="0" borderId="80" xfId="0" applyFont="1" applyBorder="1" applyAlignment="1">
      <alignment horizontal="center" vertical="center"/>
    </xf>
    <xf numFmtId="0" fontId="27" fillId="0" borderId="82" xfId="0" applyFont="1" applyBorder="1" applyAlignment="1">
      <alignment horizontal="center" vertical="center"/>
    </xf>
    <xf numFmtId="0" fontId="27" fillId="0" borderId="79" xfId="0" applyFont="1" applyBorder="1" applyAlignment="1">
      <alignment horizontal="center" vertical="center" wrapText="1"/>
    </xf>
    <xf numFmtId="0" fontId="27" fillId="0" borderId="32" xfId="0" applyFont="1" applyBorder="1" applyAlignment="1">
      <alignment horizontal="center" vertical="center" wrapText="1"/>
    </xf>
    <xf numFmtId="41" fontId="27" fillId="0" borderId="79" xfId="21" applyFont="1" applyBorder="1" applyAlignment="1">
      <alignment horizontal="center" vertical="center" wrapText="1"/>
    </xf>
    <xf numFmtId="41" fontId="27" fillId="0" borderId="32" xfId="21" applyFont="1" applyBorder="1" applyAlignment="1">
      <alignment horizontal="center" vertical="center" wrapText="1"/>
    </xf>
    <xf numFmtId="0" fontId="27" fillId="0" borderId="58" xfId="0" applyFont="1" applyBorder="1" applyAlignment="1">
      <alignment horizontal="center" vertical="center"/>
    </xf>
    <xf numFmtId="0" fontId="27" fillId="0" borderId="54" xfId="0" applyFont="1" applyBorder="1" applyAlignment="1">
      <alignment horizontal="center" vertical="center"/>
    </xf>
    <xf numFmtId="0" fontId="27" fillId="0" borderId="24" xfId="0" applyFont="1" applyBorder="1" applyAlignment="1">
      <alignment horizontal="center" vertical="center"/>
    </xf>
    <xf numFmtId="0" fontId="27" fillId="0" borderId="18" xfId="0" applyFont="1" applyBorder="1" applyAlignment="1">
      <alignment horizontal="center" vertical="center"/>
    </xf>
    <xf numFmtId="0" fontId="27" fillId="0" borderId="25" xfId="0" applyFont="1" applyBorder="1" applyAlignment="1">
      <alignment horizontal="center" vertical="center"/>
    </xf>
    <xf numFmtId="0" fontId="27" fillId="0" borderId="58" xfId="17" applyFont="1" applyBorder="1" applyAlignment="1">
      <alignment horizontal="center" vertical="center"/>
    </xf>
    <xf numFmtId="0" fontId="27" fillId="0" borderId="54" xfId="17" applyFont="1" applyBorder="1" applyAlignment="1">
      <alignment horizontal="center" vertical="center"/>
    </xf>
    <xf numFmtId="0" fontId="27" fillId="20" borderId="78" xfId="0" applyFont="1" applyFill="1" applyBorder="1" applyAlignment="1">
      <alignment horizontal="center" vertical="center"/>
    </xf>
    <xf numFmtId="0" fontId="27" fillId="20" borderId="79" xfId="0" applyFont="1" applyFill="1" applyBorder="1" applyAlignment="1">
      <alignment horizontal="center" vertical="center"/>
    </xf>
    <xf numFmtId="0" fontId="27" fillId="20" borderId="80" xfId="0" applyFont="1" applyFill="1" applyBorder="1" applyAlignment="1">
      <alignment horizontal="center" vertical="center"/>
    </xf>
    <xf numFmtId="0" fontId="27" fillId="20" borderId="73" xfId="0" applyFont="1" applyFill="1" applyBorder="1" applyAlignment="1">
      <alignment horizontal="center" vertical="center"/>
    </xf>
    <xf numFmtId="0" fontId="27" fillId="20" borderId="74" xfId="0" applyFont="1" applyFill="1" applyBorder="1" applyAlignment="1">
      <alignment horizontal="center" vertical="center"/>
    </xf>
    <xf numFmtId="0" fontId="27" fillId="20" borderId="81" xfId="0" applyFont="1" applyFill="1" applyBorder="1" applyAlignment="1">
      <alignment horizontal="center" vertical="center"/>
    </xf>
    <xf numFmtId="0" fontId="27" fillId="20" borderId="82" xfId="0" applyFont="1" applyFill="1" applyBorder="1" applyAlignment="1">
      <alignment horizontal="center" vertical="center"/>
    </xf>
    <xf numFmtId="0" fontId="27" fillId="20" borderId="83" xfId="0" applyFont="1" applyFill="1" applyBorder="1" applyAlignment="1">
      <alignment horizontal="center" vertical="center"/>
    </xf>
    <xf numFmtId="0" fontId="27" fillId="19" borderId="81" xfId="0" applyFont="1" applyFill="1" applyBorder="1" applyAlignment="1">
      <alignment horizontal="center" vertical="center"/>
    </xf>
    <xf numFmtId="0" fontId="27" fillId="19" borderId="82" xfId="0" applyFont="1" applyFill="1" applyBorder="1" applyAlignment="1">
      <alignment horizontal="center" vertical="center"/>
    </xf>
    <xf numFmtId="0" fontId="27" fillId="19" borderId="78" xfId="0" applyFont="1" applyFill="1" applyBorder="1" applyAlignment="1">
      <alignment horizontal="center" vertical="center"/>
    </xf>
    <xf numFmtId="0" fontId="27" fillId="19" borderId="80" xfId="0" applyFont="1" applyFill="1" applyBorder="1" applyAlignment="1">
      <alignment horizontal="center" vertical="center"/>
    </xf>
    <xf numFmtId="0" fontId="27" fillId="19" borderId="83" xfId="0" applyFont="1" applyFill="1" applyBorder="1" applyAlignment="1">
      <alignment horizontal="center" vertical="center"/>
    </xf>
    <xf numFmtId="0" fontId="27" fillId="19" borderId="79" xfId="0" applyFont="1" applyFill="1" applyBorder="1" applyAlignment="1">
      <alignment horizontal="center" vertical="center"/>
    </xf>
    <xf numFmtId="0" fontId="27" fillId="19" borderId="73" xfId="0" applyFont="1" applyFill="1" applyBorder="1" applyAlignment="1">
      <alignment horizontal="center" vertical="center"/>
    </xf>
    <xf numFmtId="0" fontId="27" fillId="19" borderId="74" xfId="0" applyFont="1" applyFill="1" applyBorder="1" applyAlignment="1">
      <alignment horizontal="center" vertical="center"/>
    </xf>
  </cellXfs>
  <cellStyles count="27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Accent1" xfId="22" builtinId="30"/>
    <cellStyle name="20% - Accent4" xfId="16" builtinId="42"/>
    <cellStyle name="20% - Accent5" xfId="24" builtinId="46"/>
    <cellStyle name="20% - Accent6" xfId="23" builtinId="50"/>
    <cellStyle name="20% - 강조색4 2" xfId="20" xr:uid="{00000000-0005-0000-0000-000006000000}"/>
    <cellStyle name="Comma" xfId="18" builtinId="3"/>
    <cellStyle name="Comma [0]" xfId="21" builtinId="6"/>
    <cellStyle name="Good" xfId="26" builtinId="26"/>
    <cellStyle name="Header1" xfId="14" xr:uid="{00000000-0005-0000-0000-000007000000}"/>
    <cellStyle name="Header2" xfId="15" xr:uid="{00000000-0005-0000-0000-000008000000}"/>
    <cellStyle name="Normal" xfId="0" builtinId="0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 2" xfId="17" xr:uid="{00000000-0005-0000-0000-000015000000}"/>
    <cellStyle name="표준 2 2" xfId="19" xr:uid="{00000000-0005-0000-0000-000016000000}"/>
    <cellStyle name="표준 2 3" xfId="25" xr:uid="{A7DBD823-682A-4501-80AC-3335D0232F49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0.11296131806656048"/>
          <c:w val="0.91972937775338648"/>
          <c:h val="0.7387822432494142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Y!$C$22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Y!$B$23:$B$33</c:f>
              <c:strCache>
                <c:ptCount val="11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평균</c:v>
                </c:pt>
              </c:strCache>
            </c:strRef>
          </c:cat>
          <c:val>
            <c:numRef>
              <c:f>Y!$C$23:$C$33</c:f>
              <c:numCache>
                <c:formatCode>General</c:formatCode>
                <c:ptCount val="11"/>
                <c:pt idx="0">
                  <c:v>1378.3</c:v>
                </c:pt>
                <c:pt idx="1">
                  <c:v>2014.7</c:v>
                </c:pt>
                <c:pt idx="2">
                  <c:v>1545.8</c:v>
                </c:pt>
                <c:pt idx="3">
                  <c:v>1237.4000000000001</c:v>
                </c:pt>
                <c:pt idx="4">
                  <c:v>1142.0999999999999</c:v>
                </c:pt>
                <c:pt idx="5">
                  <c:v>844.9</c:v>
                </c:pt>
                <c:pt idx="6">
                  <c:v>1129.3</c:v>
                </c:pt>
                <c:pt idx="7">
                  <c:v>1109.9000000000001</c:v>
                </c:pt>
                <c:pt idx="8">
                  <c:v>1457.9</c:v>
                </c:pt>
                <c:pt idx="9">
                  <c:v>992</c:v>
                </c:pt>
                <c:pt idx="10">
                  <c:v>1285.2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67"/>
        <c:overlap val="-43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1425679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118765737472085"/>
          <c:y val="0.11362326425388469"/>
          <c:w val="0.8667055465142397"/>
          <c:h val="0.7898361914246885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M!$B$4</c:f>
              <c:strCache>
                <c:ptCount val="1"/>
                <c:pt idx="0">
                  <c:v>평균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M!$C$3:$O$3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M!$C$4:$O$4</c:f>
              <c:numCache>
                <c:formatCode>General</c:formatCode>
                <c:ptCount val="13"/>
                <c:pt idx="0">
                  <c:v>18.8</c:v>
                </c:pt>
                <c:pt idx="1">
                  <c:v>43.2</c:v>
                </c:pt>
                <c:pt idx="2">
                  <c:v>49.5</c:v>
                </c:pt>
                <c:pt idx="3">
                  <c:v>100.9</c:v>
                </c:pt>
                <c:pt idx="4">
                  <c:v>86.3</c:v>
                </c:pt>
                <c:pt idx="5">
                  <c:v>101.3</c:v>
                </c:pt>
                <c:pt idx="6">
                  <c:v>286.3</c:v>
                </c:pt>
                <c:pt idx="7">
                  <c:v>279.5</c:v>
                </c:pt>
                <c:pt idx="8">
                  <c:v>132.6</c:v>
                </c:pt>
                <c:pt idx="9">
                  <c:v>83.7</c:v>
                </c:pt>
                <c:pt idx="10">
                  <c:v>62.7</c:v>
                </c:pt>
                <c:pt idx="11">
                  <c:v>40.5</c:v>
                </c:pt>
                <c:pt idx="12">
                  <c:v>107.1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63-4527-AE20-5CFDAA2BB803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267"/>
        <c:overlap val="-43"/>
        <c:axId val="1759972207"/>
        <c:axId val="1759973455"/>
      </c:barChart>
      <c:catAx>
        <c:axId val="17599722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59973455"/>
        <c:crosses val="autoZero"/>
        <c:auto val="1"/>
        <c:lblAlgn val="ctr"/>
        <c:lblOffset val="100"/>
        <c:noMultiLvlLbl val="0"/>
      </c:catAx>
      <c:valAx>
        <c:axId val="17599734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/>
                  <a:t>강우량 </a:t>
                </a:r>
                <a:r>
                  <a:rPr lang="en-US"/>
                  <a:t>(mm)</a:t>
                </a:r>
                <a:endParaRPr lang="ko-KR"/>
              </a:p>
            </c:rich>
          </c:tx>
          <c:layout>
            <c:manualLayout>
              <c:xMode val="edge"/>
              <c:yMode val="edge"/>
              <c:x val="1.6895170210981345E-2"/>
              <c:y val="0.3684845443165599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59972207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8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8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JPEG"/><Relationship Id="rId1" Type="http://schemas.openxmlformats.org/officeDocument/2006/relationships/image" Target="../media/image3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542925</xdr:colOff>
          <xdr:row>4</xdr:row>
          <xdr:rowOff>9525</xdr:rowOff>
        </xdr:from>
        <xdr:to>
          <xdr:col>18</xdr:col>
          <xdr:colOff>428625</xdr:colOff>
          <xdr:row>5</xdr:row>
          <xdr:rowOff>152400</xdr:rowOff>
        </xdr:to>
        <xdr:sp macro="" textlink="">
          <xdr:nvSpPr>
            <xdr:cNvPr id="83969" name="CommandButton1" hidden="1">
              <a:extLst>
                <a:ext uri="{63B3BB69-23CF-44E3-9099-C40C66FF867C}">
                  <a14:compatExt spid="_x0000_s83969"/>
                </a:ext>
                <a:ext uri="{FF2B5EF4-FFF2-40B4-BE49-F238E27FC236}">
                  <a16:creationId xmlns:a16="http://schemas.microsoft.com/office/drawing/2014/main" id="{00000000-0008-0000-0000-000001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333375</xdr:colOff>
      <xdr:row>22</xdr:row>
      <xdr:rowOff>142876</xdr:rowOff>
    </xdr:from>
    <xdr:to>
      <xdr:col>15</xdr:col>
      <xdr:colOff>238125</xdr:colOff>
      <xdr:row>44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204785</xdr:colOff>
      <xdr:row>7</xdr:row>
      <xdr:rowOff>9526</xdr:rowOff>
    </xdr:from>
    <xdr:to>
      <xdr:col>13</xdr:col>
      <xdr:colOff>600075</xdr:colOff>
      <xdr:row>28</xdr:row>
      <xdr:rowOff>76200</xdr:rowOff>
    </xdr:to>
    <xdr:graphicFrame macro="">
      <xdr:nvGraphicFramePr>
        <xdr:cNvPr id="2" name="차트 1" title="dfas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152400</xdr:colOff>
      <xdr:row>32</xdr:row>
      <xdr:rowOff>171450</xdr:rowOff>
    </xdr:from>
    <xdr:to>
      <xdr:col>15</xdr:col>
      <xdr:colOff>838200</xdr:colOff>
      <xdr:row>39</xdr:row>
      <xdr:rowOff>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1975" y="7943850"/>
          <a:ext cx="7620000" cy="1695450"/>
        </a:xfrm>
        <a:prstGeom prst="rect">
          <a:avLst/>
        </a:prstGeom>
      </xdr:spPr>
    </xdr:pic>
    <xdr:clientData/>
  </xdr:twoCellAnchor>
  <xdr:twoCellAnchor editAs="oneCell">
    <xdr:from>
      <xdr:col>4</xdr:col>
      <xdr:colOff>228600</xdr:colOff>
      <xdr:row>41</xdr:row>
      <xdr:rowOff>200025</xdr:rowOff>
    </xdr:from>
    <xdr:to>
      <xdr:col>6</xdr:col>
      <xdr:colOff>190500</xdr:colOff>
      <xdr:row>48</xdr:row>
      <xdr:rowOff>114300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95875" y="10220325"/>
          <a:ext cx="1695450" cy="15240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47</xdr:row>
          <xdr:rowOff>9525</xdr:rowOff>
        </xdr:from>
        <xdr:to>
          <xdr:col>9</xdr:col>
          <xdr:colOff>257175</xdr:colOff>
          <xdr:row>49</xdr:row>
          <xdr:rowOff>104775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3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228600</xdr:colOff>
          <xdr:row>0</xdr:row>
          <xdr:rowOff>76200</xdr:rowOff>
        </xdr:from>
        <xdr:to>
          <xdr:col>2</xdr:col>
          <xdr:colOff>885825</xdr:colOff>
          <xdr:row>0</xdr:row>
          <xdr:rowOff>533400</xdr:rowOff>
        </xdr:to>
        <xdr:sp macro="" textlink="">
          <xdr:nvSpPr>
            <xdr:cNvPr id="99329" name="CommandButton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5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981075</xdr:colOff>
          <xdr:row>0</xdr:row>
          <xdr:rowOff>76200</xdr:rowOff>
        </xdr:from>
        <xdr:to>
          <xdr:col>4</xdr:col>
          <xdr:colOff>342900</xdr:colOff>
          <xdr:row>0</xdr:row>
          <xdr:rowOff>533400</xdr:rowOff>
        </xdr:to>
        <xdr:sp macro="" textlink="">
          <xdr:nvSpPr>
            <xdr:cNvPr id="99330" name="CommandButton2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5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371475</xdr:colOff>
          <xdr:row>10</xdr:row>
          <xdr:rowOff>76200</xdr:rowOff>
        </xdr:from>
        <xdr:to>
          <xdr:col>8</xdr:col>
          <xdr:colOff>1333500</xdr:colOff>
          <xdr:row>11</xdr:row>
          <xdr:rowOff>171450</xdr:rowOff>
        </xdr:to>
        <xdr:sp macro="" textlink="">
          <xdr:nvSpPr>
            <xdr:cNvPr id="3092" name="CommandButton1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6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371475</xdr:colOff>
          <xdr:row>11</xdr:row>
          <xdr:rowOff>247650</xdr:rowOff>
        </xdr:from>
        <xdr:to>
          <xdr:col>8</xdr:col>
          <xdr:colOff>1333500</xdr:colOff>
          <xdr:row>13</xdr:row>
          <xdr:rowOff>19050</xdr:rowOff>
        </xdr:to>
        <xdr:sp macro="" textlink="">
          <xdr:nvSpPr>
            <xdr:cNvPr id="3093" name="CommandButton2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6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371475</xdr:colOff>
          <xdr:row>13</xdr:row>
          <xdr:rowOff>95250</xdr:rowOff>
        </xdr:from>
        <xdr:to>
          <xdr:col>8</xdr:col>
          <xdr:colOff>1333500</xdr:colOff>
          <xdr:row>14</xdr:row>
          <xdr:rowOff>190500</xdr:rowOff>
        </xdr:to>
        <xdr:sp macro="" textlink="">
          <xdr:nvSpPr>
            <xdr:cNvPr id="3094" name="CommandButton3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600-00001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5</xdr:row>
          <xdr:rowOff>0</xdr:rowOff>
        </xdr:from>
        <xdr:to>
          <xdr:col>5</xdr:col>
          <xdr:colOff>257175</xdr:colOff>
          <xdr:row>6</xdr:row>
          <xdr:rowOff>95250</xdr:rowOff>
        </xdr:to>
        <xdr:sp macro="" textlink="">
          <xdr:nvSpPr>
            <xdr:cNvPr id="104449" name="CommandButton1" hidden="1">
              <a:extLst>
                <a:ext uri="{63B3BB69-23CF-44E3-9099-C40C66FF867C}">
                  <a14:compatExt spid="_x0000_s104449"/>
                </a:ext>
                <a:ext uri="{FF2B5EF4-FFF2-40B4-BE49-F238E27FC236}">
                  <a16:creationId xmlns:a16="http://schemas.microsoft.com/office/drawing/2014/main" id="{00000000-0008-0000-0700-0000019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428625</xdr:colOff>
          <xdr:row>4</xdr:row>
          <xdr:rowOff>209550</xdr:rowOff>
        </xdr:from>
        <xdr:to>
          <xdr:col>5</xdr:col>
          <xdr:colOff>609600</xdr:colOff>
          <xdr:row>6</xdr:row>
          <xdr:rowOff>76200</xdr:rowOff>
        </xdr:to>
        <xdr:sp macro="" textlink="">
          <xdr:nvSpPr>
            <xdr:cNvPr id="105473" name="CommandButton1" hidden="1">
              <a:extLst>
                <a:ext uri="{63B3BB69-23CF-44E3-9099-C40C66FF867C}">
                  <a14:compatExt spid="_x0000_s105473"/>
                </a:ext>
                <a:ext uri="{FF2B5EF4-FFF2-40B4-BE49-F238E27FC236}">
                  <a16:creationId xmlns:a16="http://schemas.microsoft.com/office/drawing/2014/main" id="{00000000-0008-0000-0800-000001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5</xdr:row>
          <xdr:rowOff>19050</xdr:rowOff>
        </xdr:from>
        <xdr:to>
          <xdr:col>4</xdr:col>
          <xdr:colOff>523875</xdr:colOff>
          <xdr:row>6</xdr:row>
          <xdr:rowOff>114300</xdr:rowOff>
        </xdr:to>
        <xdr:sp macro="" textlink="">
          <xdr:nvSpPr>
            <xdr:cNvPr id="101377" name="CommandButton1" hidden="1">
              <a:extLst>
                <a:ext uri="{63B3BB69-23CF-44E3-9099-C40C66FF867C}">
                  <a14:compatExt spid="_x0000_s101377"/>
                </a:ext>
                <a:ext uri="{FF2B5EF4-FFF2-40B4-BE49-F238E27FC236}">
                  <a16:creationId xmlns:a16="http://schemas.microsoft.com/office/drawing/2014/main" id="{00000000-0008-0000-0900-000001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&#45224;&#54984;&#51060;&#54805;/03.%20ihanseol%20-%202018/01.%20GS%20&#44148;&#49444;%20-%20&#44305;&#51652;/02.%20GS%20&#44148;&#49444;%20&#44592;&#48376;&#44288;&#51221;%20&#45936;&#51060;&#53440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&#45224;&#54984;&#51060;&#54805;/03.%20ihanseol%20-%202018/07.%20&#44228;&#47329;&#49884;/01.%202018%20&#44228;&#47329;&#49884;%20&#44592;&#48376;&#44288;&#51221;%20&#45936;&#51060;&#53440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0년보령데이타"/>
      <sheetName val="년"/>
      <sheetName val="월"/>
      <sheetName val="지하수함양량"/>
      <sheetName val="drastic"/>
      <sheetName val="관정현황"/>
      <sheetName val="1"/>
      <sheetName val="2"/>
      <sheetName val="SUM"/>
      <sheetName val="수질1"/>
    </sheetNames>
    <sheetDataSet>
      <sheetData sheetId="0"/>
      <sheetData sheetId="1"/>
      <sheetData sheetId="2"/>
      <sheetData sheetId="3">
        <row r="26">
          <cell r="C26">
            <v>782.5</v>
          </cell>
        </row>
        <row r="27">
          <cell r="C27">
            <v>1191.8</v>
          </cell>
        </row>
        <row r="29">
          <cell r="C29">
            <v>0.1447</v>
          </cell>
          <cell r="D29">
            <v>0.1535</v>
          </cell>
        </row>
      </sheetData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0년 대전 관측데이타"/>
      <sheetName val="년"/>
      <sheetName val="월"/>
      <sheetName val="지하수함양량"/>
      <sheetName val="drastic"/>
      <sheetName val="관정현황"/>
      <sheetName val="1"/>
      <sheetName val="2"/>
      <sheetName val="w1"/>
      <sheetName val="w2"/>
    </sheetNames>
    <sheetDataSet>
      <sheetData sheetId="0" refreshError="1"/>
      <sheetData sheetId="1" refreshError="1"/>
      <sheetData sheetId="2" refreshError="1"/>
      <sheetData sheetId="3">
        <row r="29">
          <cell r="C29">
            <v>822.60000000000014</v>
          </cell>
        </row>
        <row r="30">
          <cell r="C30">
            <v>1345.0733333333335</v>
          </cell>
        </row>
        <row r="32">
          <cell r="C32">
            <v>9.1700000000000004E-2</v>
          </cell>
          <cell r="D32">
            <v>0.1172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1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5" Type="http://schemas.openxmlformats.org/officeDocument/2006/relationships/image" Target="../media/image5.emf"/><Relationship Id="rId4" Type="http://schemas.openxmlformats.org/officeDocument/2006/relationships/control" Target="../activeX/activeX3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8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6.xml"/><Relationship Id="rId5" Type="http://schemas.openxmlformats.org/officeDocument/2006/relationships/image" Target="../media/image7.emf"/><Relationship Id="rId10" Type="http://schemas.openxmlformats.org/officeDocument/2006/relationships/comments" Target="../comments2.xml"/><Relationship Id="rId4" Type="http://schemas.openxmlformats.org/officeDocument/2006/relationships/control" Target="../activeX/activeX5.xml"/><Relationship Id="rId9" Type="http://schemas.openxmlformats.org/officeDocument/2006/relationships/image" Target="../media/image9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10.emf"/><Relationship Id="rId4" Type="http://schemas.openxmlformats.org/officeDocument/2006/relationships/control" Target="../activeX/activeX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11.emf"/><Relationship Id="rId4" Type="http://schemas.openxmlformats.org/officeDocument/2006/relationships/control" Target="../activeX/activeX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Relationship Id="rId5" Type="http://schemas.openxmlformats.org/officeDocument/2006/relationships/image" Target="../media/image12.emf"/><Relationship Id="rId4" Type="http://schemas.openxmlformats.org/officeDocument/2006/relationships/control" Target="../activeX/activeX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Q57"/>
  <sheetViews>
    <sheetView topLeftCell="A10" zoomScaleNormal="100" workbookViewId="0">
      <selection activeCell="J41" sqref="J41"/>
    </sheetView>
  </sheetViews>
  <sheetFormatPr defaultRowHeight="16.5"/>
  <cols>
    <col min="1" max="1" width="8.88671875" style="53"/>
    <col min="2" max="2" width="5.88671875" style="52" customWidth="1"/>
    <col min="3" max="11" width="5.77734375" style="53" customWidth="1"/>
    <col min="12" max="12" width="5.6640625" style="53" customWidth="1"/>
    <col min="13" max="14" width="5.77734375" style="53" customWidth="1"/>
    <col min="15" max="15" width="8.109375" style="53" customWidth="1"/>
    <col min="16" max="16" width="6.44140625" style="53" customWidth="1"/>
    <col min="17" max="17" width="12.21875" style="53" bestFit="1" customWidth="1"/>
    <col min="18" max="16384" width="8.88671875" style="53"/>
  </cols>
  <sheetData>
    <row r="2" spans="2:17" ht="26.25" customHeight="1">
      <c r="B2" s="337" t="s">
        <v>206</v>
      </c>
      <c r="C2" s="337"/>
      <c r="D2" s="337"/>
      <c r="E2" s="337"/>
      <c r="F2" s="337"/>
      <c r="G2" s="337"/>
      <c r="H2" s="337"/>
      <c r="I2" s="337"/>
      <c r="J2" s="337"/>
      <c r="K2" s="337"/>
      <c r="L2" s="337"/>
    </row>
    <row r="4" spans="2:17" ht="17.25" thickBot="1"/>
    <row r="5" spans="2:17" s="211" customFormat="1" ht="21.95" customHeight="1">
      <c r="B5" s="208" t="s">
        <v>55</v>
      </c>
      <c r="C5" s="209" t="s">
        <v>56</v>
      </c>
      <c r="D5" s="209" t="s">
        <v>44</v>
      </c>
      <c r="E5" s="209" t="s">
        <v>45</v>
      </c>
      <c r="F5" s="209" t="s">
        <v>46</v>
      </c>
      <c r="G5" s="209" t="s">
        <v>47</v>
      </c>
      <c r="H5" s="209" t="s">
        <v>12</v>
      </c>
      <c r="I5" s="209" t="s">
        <v>13</v>
      </c>
      <c r="J5" s="209" t="s">
        <v>14</v>
      </c>
      <c r="K5" s="209" t="s">
        <v>15</v>
      </c>
      <c r="L5" s="209" t="s">
        <v>16</v>
      </c>
      <c r="M5" s="209" t="s">
        <v>17</v>
      </c>
      <c r="N5" s="210" t="s">
        <v>18</v>
      </c>
      <c r="O5" s="208" t="s">
        <v>58</v>
      </c>
      <c r="P5" s="210" t="s">
        <v>59</v>
      </c>
    </row>
    <row r="6" spans="2:17" ht="21.95" customHeight="1">
      <c r="B6" s="212">
        <v>1990</v>
      </c>
      <c r="C6" s="213">
        <v>68.900000000000006</v>
      </c>
      <c r="D6" s="213">
        <v>108.1</v>
      </c>
      <c r="E6" s="213">
        <v>94.6</v>
      </c>
      <c r="F6" s="213">
        <v>94.4</v>
      </c>
      <c r="G6" s="213">
        <v>118.6</v>
      </c>
      <c r="H6" s="213">
        <v>329.8</v>
      </c>
      <c r="I6" s="213">
        <v>390.7</v>
      </c>
      <c r="J6" s="213">
        <v>195.4</v>
      </c>
      <c r="K6" s="213">
        <v>152.19999999999999</v>
      </c>
      <c r="L6" s="213">
        <v>3.9</v>
      </c>
      <c r="M6" s="213">
        <v>55.5</v>
      </c>
      <c r="N6" s="214">
        <v>27.3</v>
      </c>
      <c r="O6" s="215">
        <f>ROUND(SUM(C6:N6),1)</f>
        <v>1639.4</v>
      </c>
      <c r="P6" s="216">
        <f>ROUND(O6/12,1)</f>
        <v>136.6</v>
      </c>
      <c r="Q6" s="217"/>
    </row>
    <row r="7" spans="2:17" ht="21.95" customHeight="1">
      <c r="B7" s="218">
        <v>1991</v>
      </c>
      <c r="C7" s="219">
        <v>11.7</v>
      </c>
      <c r="D7" s="219">
        <v>45.2</v>
      </c>
      <c r="E7" s="219">
        <v>96.6</v>
      </c>
      <c r="F7" s="219">
        <v>80.599999999999994</v>
      </c>
      <c r="G7" s="219">
        <v>95.8</v>
      </c>
      <c r="H7" s="219">
        <v>140.5</v>
      </c>
      <c r="I7" s="219">
        <v>267.39999999999998</v>
      </c>
      <c r="J7" s="219">
        <v>125.7</v>
      </c>
      <c r="K7" s="219">
        <v>212.2</v>
      </c>
      <c r="L7" s="219">
        <v>19.5</v>
      </c>
      <c r="M7" s="219">
        <v>30.2</v>
      </c>
      <c r="N7" s="220">
        <v>46.6</v>
      </c>
      <c r="O7" s="221">
        <f t="shared" ref="O7:O35" si="0">ROUND(SUM(C7:N7),1)</f>
        <v>1172</v>
      </c>
      <c r="P7" s="222">
        <f t="shared" ref="P7:P35" si="1">ROUND(O7/12,1)</f>
        <v>97.7</v>
      </c>
      <c r="Q7" s="217"/>
    </row>
    <row r="8" spans="2:17" ht="21.95" customHeight="1">
      <c r="B8" s="218">
        <v>1992</v>
      </c>
      <c r="C8" s="219">
        <v>13.2</v>
      </c>
      <c r="D8" s="219">
        <v>18.7</v>
      </c>
      <c r="E8" s="219">
        <v>46.1</v>
      </c>
      <c r="F8" s="219">
        <v>102.9</v>
      </c>
      <c r="G8" s="219">
        <v>109.1</v>
      </c>
      <c r="H8" s="219">
        <v>46.7</v>
      </c>
      <c r="I8" s="219">
        <v>161.5</v>
      </c>
      <c r="J8" s="219">
        <v>415.4</v>
      </c>
      <c r="K8" s="219">
        <v>179</v>
      </c>
      <c r="L8" s="219">
        <v>15.5</v>
      </c>
      <c r="M8" s="219">
        <v>60</v>
      </c>
      <c r="N8" s="220">
        <v>54.5</v>
      </c>
      <c r="O8" s="221">
        <f t="shared" si="0"/>
        <v>1222.5999999999999</v>
      </c>
      <c r="P8" s="222">
        <f t="shared" si="1"/>
        <v>101.9</v>
      </c>
      <c r="Q8" s="217"/>
    </row>
    <row r="9" spans="2:17" ht="21.95" customHeight="1">
      <c r="B9" s="218">
        <v>1993</v>
      </c>
      <c r="C9" s="219">
        <v>4.8</v>
      </c>
      <c r="D9" s="219">
        <v>73</v>
      </c>
      <c r="E9" s="219">
        <v>25.5</v>
      </c>
      <c r="F9" s="219">
        <v>34.5</v>
      </c>
      <c r="G9" s="219">
        <v>116</v>
      </c>
      <c r="H9" s="219">
        <v>260</v>
      </c>
      <c r="I9" s="219">
        <v>273.5</v>
      </c>
      <c r="J9" s="219">
        <v>284</v>
      </c>
      <c r="K9" s="219">
        <v>98.5</v>
      </c>
      <c r="L9" s="219">
        <v>34</v>
      </c>
      <c r="M9" s="219">
        <v>89.5</v>
      </c>
      <c r="N9" s="220">
        <v>21.9</v>
      </c>
      <c r="O9" s="221">
        <f t="shared" si="0"/>
        <v>1315.2</v>
      </c>
      <c r="P9" s="222">
        <f t="shared" si="1"/>
        <v>109.6</v>
      </c>
      <c r="Q9" s="217"/>
    </row>
    <row r="10" spans="2:17" ht="21.95" customHeight="1">
      <c r="B10" s="218">
        <v>1994</v>
      </c>
      <c r="C10" s="219">
        <v>18.5</v>
      </c>
      <c r="D10" s="219">
        <v>14.4</v>
      </c>
      <c r="E10" s="219">
        <v>54.4</v>
      </c>
      <c r="F10" s="219">
        <v>41</v>
      </c>
      <c r="G10" s="219">
        <v>137</v>
      </c>
      <c r="H10" s="219">
        <v>137.5</v>
      </c>
      <c r="I10" s="219">
        <v>96.5</v>
      </c>
      <c r="J10" s="219">
        <v>286.5</v>
      </c>
      <c r="K10" s="219">
        <v>34</v>
      </c>
      <c r="L10" s="219">
        <v>162</v>
      </c>
      <c r="M10" s="219">
        <v>23</v>
      </c>
      <c r="N10" s="220">
        <v>25</v>
      </c>
      <c r="O10" s="221">
        <f t="shared" si="0"/>
        <v>1029.8</v>
      </c>
      <c r="P10" s="222">
        <f t="shared" si="1"/>
        <v>85.8</v>
      </c>
      <c r="Q10" s="217"/>
    </row>
    <row r="11" spans="2:17" ht="21.95" customHeight="1">
      <c r="B11" s="218">
        <v>1995</v>
      </c>
      <c r="C11" s="219">
        <v>22.6</v>
      </c>
      <c r="D11" s="219">
        <v>23.5</v>
      </c>
      <c r="E11" s="219">
        <v>24.4</v>
      </c>
      <c r="F11" s="219">
        <v>62</v>
      </c>
      <c r="G11" s="219">
        <v>59.5</v>
      </c>
      <c r="H11" s="219">
        <v>34.5</v>
      </c>
      <c r="I11" s="219">
        <v>171.5</v>
      </c>
      <c r="J11" s="219">
        <v>839</v>
      </c>
      <c r="K11" s="219">
        <v>46.5</v>
      </c>
      <c r="L11" s="219">
        <v>22</v>
      </c>
      <c r="M11" s="219">
        <v>15</v>
      </c>
      <c r="N11" s="220">
        <v>5.7</v>
      </c>
      <c r="O11" s="221">
        <f t="shared" si="0"/>
        <v>1326.2</v>
      </c>
      <c r="P11" s="222">
        <f t="shared" si="1"/>
        <v>110.5</v>
      </c>
      <c r="Q11" s="217"/>
    </row>
    <row r="12" spans="2:17" ht="21.95" customHeight="1">
      <c r="B12" s="218">
        <v>1996</v>
      </c>
      <c r="C12" s="219">
        <v>26.4</v>
      </c>
      <c r="D12" s="219">
        <v>2.8</v>
      </c>
      <c r="E12" s="219">
        <v>131</v>
      </c>
      <c r="F12" s="219">
        <v>45</v>
      </c>
      <c r="G12" s="219">
        <v>33</v>
      </c>
      <c r="H12" s="219">
        <v>289</v>
      </c>
      <c r="I12" s="219">
        <v>235</v>
      </c>
      <c r="J12" s="219">
        <v>67</v>
      </c>
      <c r="K12" s="219">
        <v>16</v>
      </c>
      <c r="L12" s="219">
        <v>90.5</v>
      </c>
      <c r="M12" s="219">
        <v>76</v>
      </c>
      <c r="N12" s="220">
        <v>35</v>
      </c>
      <c r="O12" s="221">
        <f t="shared" si="0"/>
        <v>1046.7</v>
      </c>
      <c r="P12" s="222">
        <f t="shared" si="1"/>
        <v>87.2</v>
      </c>
    </row>
    <row r="13" spans="2:17" ht="21.95" customHeight="1">
      <c r="B13" s="218">
        <v>1997</v>
      </c>
      <c r="C13" s="219">
        <v>9</v>
      </c>
      <c r="D13" s="219">
        <v>54.9</v>
      </c>
      <c r="E13" s="219">
        <v>44</v>
      </c>
      <c r="F13" s="219">
        <v>70</v>
      </c>
      <c r="G13" s="219">
        <v>229.5</v>
      </c>
      <c r="H13" s="219">
        <v>236.5</v>
      </c>
      <c r="I13" s="219">
        <v>404.5</v>
      </c>
      <c r="J13" s="219">
        <v>263</v>
      </c>
      <c r="K13" s="219">
        <v>24.5</v>
      </c>
      <c r="L13" s="219">
        <v>8</v>
      </c>
      <c r="M13" s="219">
        <v>219.5</v>
      </c>
      <c r="N13" s="220">
        <v>39.5</v>
      </c>
      <c r="O13" s="221">
        <f t="shared" si="0"/>
        <v>1602.9</v>
      </c>
      <c r="P13" s="222">
        <f t="shared" si="1"/>
        <v>133.6</v>
      </c>
    </row>
    <row r="14" spans="2:17" ht="21.95" customHeight="1">
      <c r="B14" s="218">
        <v>1998</v>
      </c>
      <c r="C14" s="219">
        <v>40.6</v>
      </c>
      <c r="D14" s="219">
        <v>47</v>
      </c>
      <c r="E14" s="219">
        <v>45</v>
      </c>
      <c r="F14" s="219">
        <v>200.5</v>
      </c>
      <c r="G14" s="219">
        <v>130.5</v>
      </c>
      <c r="H14" s="219">
        <v>324</v>
      </c>
      <c r="I14" s="219">
        <v>323</v>
      </c>
      <c r="J14" s="219">
        <v>451.3</v>
      </c>
      <c r="K14" s="219">
        <v>313.10000000000002</v>
      </c>
      <c r="L14" s="219">
        <v>75.5</v>
      </c>
      <c r="M14" s="219">
        <v>46.3</v>
      </c>
      <c r="N14" s="220">
        <v>3.5</v>
      </c>
      <c r="O14" s="221">
        <f t="shared" si="0"/>
        <v>2000.3</v>
      </c>
      <c r="P14" s="222">
        <f t="shared" si="1"/>
        <v>166.7</v>
      </c>
    </row>
    <row r="15" spans="2:17" ht="21.95" customHeight="1">
      <c r="B15" s="218">
        <v>1999</v>
      </c>
      <c r="C15" s="219">
        <v>3.5</v>
      </c>
      <c r="D15" s="219">
        <v>10</v>
      </c>
      <c r="E15" s="219">
        <v>75.7</v>
      </c>
      <c r="F15" s="219">
        <v>92.5</v>
      </c>
      <c r="G15" s="219">
        <v>127.5</v>
      </c>
      <c r="H15" s="219">
        <v>203</v>
      </c>
      <c r="I15" s="219">
        <v>149</v>
      </c>
      <c r="J15" s="219">
        <v>119.5</v>
      </c>
      <c r="K15" s="219">
        <v>426</v>
      </c>
      <c r="L15" s="219">
        <v>290</v>
      </c>
      <c r="M15" s="219">
        <v>15.5</v>
      </c>
      <c r="N15" s="220">
        <v>17.399999999999999</v>
      </c>
      <c r="O15" s="221">
        <f t="shared" si="0"/>
        <v>1529.6</v>
      </c>
      <c r="P15" s="222">
        <f t="shared" si="1"/>
        <v>127.5</v>
      </c>
    </row>
    <row r="16" spans="2:17" ht="21.95" customHeight="1">
      <c r="B16" s="218">
        <v>2000</v>
      </c>
      <c r="C16" s="219">
        <v>41.4</v>
      </c>
      <c r="D16" s="219">
        <v>2.2999999999999998</v>
      </c>
      <c r="E16" s="219">
        <v>14.1</v>
      </c>
      <c r="F16" s="219">
        <v>62</v>
      </c>
      <c r="G16" s="219">
        <v>40</v>
      </c>
      <c r="H16" s="219">
        <v>248.5</v>
      </c>
      <c r="I16" s="219">
        <v>248.5</v>
      </c>
      <c r="J16" s="219">
        <v>543</v>
      </c>
      <c r="K16" s="219">
        <v>238.5</v>
      </c>
      <c r="L16" s="219">
        <v>39</v>
      </c>
      <c r="M16" s="219">
        <v>29.5</v>
      </c>
      <c r="N16" s="220">
        <v>13.8</v>
      </c>
      <c r="O16" s="221">
        <f t="shared" si="0"/>
        <v>1520.6</v>
      </c>
      <c r="P16" s="222">
        <f t="shared" si="1"/>
        <v>126.7</v>
      </c>
    </row>
    <row r="17" spans="2:16" ht="21.95" customHeight="1">
      <c r="B17" s="218">
        <v>2001</v>
      </c>
      <c r="C17" s="219">
        <v>65</v>
      </c>
      <c r="D17" s="219">
        <v>69.5</v>
      </c>
      <c r="E17" s="219">
        <v>9.8000000000000007</v>
      </c>
      <c r="F17" s="219">
        <v>25</v>
      </c>
      <c r="G17" s="219">
        <v>23.5</v>
      </c>
      <c r="H17" s="219">
        <v>132</v>
      </c>
      <c r="I17" s="219">
        <v>216</v>
      </c>
      <c r="J17" s="219">
        <v>98</v>
      </c>
      <c r="K17" s="219">
        <v>10.5</v>
      </c>
      <c r="L17" s="219">
        <v>76.5</v>
      </c>
      <c r="M17" s="219">
        <v>10.5</v>
      </c>
      <c r="N17" s="220">
        <v>16.3</v>
      </c>
      <c r="O17" s="221">
        <f t="shared" si="0"/>
        <v>752.6</v>
      </c>
      <c r="P17" s="222">
        <f t="shared" si="1"/>
        <v>62.7</v>
      </c>
    </row>
    <row r="18" spans="2:16" ht="21.95" customHeight="1">
      <c r="B18" s="218">
        <v>2002</v>
      </c>
      <c r="C18" s="219">
        <v>72.3</v>
      </c>
      <c r="D18" s="219">
        <v>6</v>
      </c>
      <c r="E18" s="219">
        <v>32.5</v>
      </c>
      <c r="F18" s="219">
        <v>142.5</v>
      </c>
      <c r="G18" s="219">
        <v>159</v>
      </c>
      <c r="H18" s="219">
        <v>70.5</v>
      </c>
      <c r="I18" s="219">
        <v>208</v>
      </c>
      <c r="J18" s="219">
        <v>358.5</v>
      </c>
      <c r="K18" s="219">
        <v>57.5</v>
      </c>
      <c r="L18" s="219">
        <v>78.5</v>
      </c>
      <c r="M18" s="219">
        <v>31.5</v>
      </c>
      <c r="N18" s="220">
        <v>57.2</v>
      </c>
      <c r="O18" s="221">
        <f t="shared" si="0"/>
        <v>1274</v>
      </c>
      <c r="P18" s="222">
        <f t="shared" si="1"/>
        <v>106.2</v>
      </c>
    </row>
    <row r="19" spans="2:16" ht="21.95" customHeight="1">
      <c r="B19" s="218">
        <v>2003</v>
      </c>
      <c r="C19" s="219">
        <v>24.2</v>
      </c>
      <c r="D19" s="219">
        <v>59</v>
      </c>
      <c r="E19" s="219">
        <v>52</v>
      </c>
      <c r="F19" s="219">
        <v>208.5</v>
      </c>
      <c r="G19" s="219">
        <v>144.5</v>
      </c>
      <c r="H19" s="219">
        <v>228</v>
      </c>
      <c r="I19" s="219">
        <v>626.5</v>
      </c>
      <c r="J19" s="219">
        <v>202</v>
      </c>
      <c r="K19" s="219">
        <v>167.5</v>
      </c>
      <c r="L19" s="219">
        <v>24.5</v>
      </c>
      <c r="M19" s="219">
        <v>29.5</v>
      </c>
      <c r="N19" s="220">
        <v>13.8</v>
      </c>
      <c r="O19" s="221">
        <f t="shared" si="0"/>
        <v>1780</v>
      </c>
      <c r="P19" s="222">
        <f t="shared" si="1"/>
        <v>148.30000000000001</v>
      </c>
    </row>
    <row r="20" spans="2:16" ht="21.95" customHeight="1">
      <c r="B20" s="218">
        <v>2004</v>
      </c>
      <c r="C20" s="219">
        <v>18.100000000000001</v>
      </c>
      <c r="D20" s="219">
        <v>26.2</v>
      </c>
      <c r="E20" s="219">
        <v>63.1</v>
      </c>
      <c r="F20" s="219">
        <v>73.5</v>
      </c>
      <c r="G20" s="219">
        <v>109</v>
      </c>
      <c r="H20" s="219">
        <v>388</v>
      </c>
      <c r="I20" s="219">
        <v>296</v>
      </c>
      <c r="J20" s="219">
        <v>249</v>
      </c>
      <c r="K20" s="219">
        <v>176.5</v>
      </c>
      <c r="L20" s="219">
        <v>1</v>
      </c>
      <c r="M20" s="219">
        <v>50.5</v>
      </c>
      <c r="N20" s="220">
        <v>43</v>
      </c>
      <c r="O20" s="221">
        <f t="shared" si="0"/>
        <v>1493.9</v>
      </c>
      <c r="P20" s="222">
        <f t="shared" si="1"/>
        <v>124.5</v>
      </c>
    </row>
    <row r="21" spans="2:16" ht="21.95" customHeight="1">
      <c r="B21" s="218">
        <v>2005</v>
      </c>
      <c r="C21" s="219">
        <v>6</v>
      </c>
      <c r="D21" s="219">
        <v>39</v>
      </c>
      <c r="E21" s="219">
        <v>26.5</v>
      </c>
      <c r="F21" s="219">
        <v>75</v>
      </c>
      <c r="G21" s="219">
        <v>65.5</v>
      </c>
      <c r="H21" s="219">
        <v>186</v>
      </c>
      <c r="I21" s="219">
        <v>448.5</v>
      </c>
      <c r="J21" s="219">
        <v>381.5</v>
      </c>
      <c r="K21" s="219">
        <v>225.5</v>
      </c>
      <c r="L21" s="219">
        <v>30.5</v>
      </c>
      <c r="M21" s="219">
        <v>21</v>
      </c>
      <c r="N21" s="220">
        <v>22</v>
      </c>
      <c r="O21" s="221">
        <f t="shared" si="0"/>
        <v>1527</v>
      </c>
      <c r="P21" s="222">
        <f t="shared" si="1"/>
        <v>127.3</v>
      </c>
    </row>
    <row r="22" spans="2:16" ht="21.95" customHeight="1">
      <c r="B22" s="218">
        <v>2006</v>
      </c>
      <c r="C22" s="219">
        <v>30.2</v>
      </c>
      <c r="D22" s="219">
        <v>29.5</v>
      </c>
      <c r="E22" s="219">
        <v>7.8</v>
      </c>
      <c r="F22" s="219">
        <v>99</v>
      </c>
      <c r="G22" s="219">
        <v>81.5</v>
      </c>
      <c r="H22" s="219">
        <v>111</v>
      </c>
      <c r="I22" s="219">
        <v>503</v>
      </c>
      <c r="J22" s="219">
        <v>83.5</v>
      </c>
      <c r="K22" s="219">
        <v>37.5</v>
      </c>
      <c r="L22" s="219">
        <v>15</v>
      </c>
      <c r="M22" s="219">
        <v>51</v>
      </c>
      <c r="N22" s="220">
        <v>27.5</v>
      </c>
      <c r="O22" s="221">
        <f t="shared" si="0"/>
        <v>1076.5</v>
      </c>
      <c r="P22" s="222">
        <f t="shared" si="1"/>
        <v>89.7</v>
      </c>
    </row>
    <row r="23" spans="2:16" ht="21.95" customHeight="1">
      <c r="B23" s="218">
        <v>2007</v>
      </c>
      <c r="C23" s="219">
        <v>21.8</v>
      </c>
      <c r="D23" s="219">
        <v>47.8</v>
      </c>
      <c r="E23" s="219">
        <v>159</v>
      </c>
      <c r="F23" s="219">
        <v>28</v>
      </c>
      <c r="G23" s="219">
        <v>104</v>
      </c>
      <c r="H23" s="219">
        <v>101</v>
      </c>
      <c r="I23" s="219">
        <v>286</v>
      </c>
      <c r="J23" s="219">
        <v>319.5</v>
      </c>
      <c r="K23" s="219">
        <v>502.5</v>
      </c>
      <c r="L23" s="219">
        <v>37</v>
      </c>
      <c r="M23" s="219">
        <v>13</v>
      </c>
      <c r="N23" s="220">
        <v>31.7</v>
      </c>
      <c r="O23" s="221">
        <f t="shared" si="0"/>
        <v>1651.3</v>
      </c>
      <c r="P23" s="222">
        <f t="shared" si="1"/>
        <v>137.6</v>
      </c>
    </row>
    <row r="24" spans="2:16" ht="21.95" customHeight="1">
      <c r="B24" s="218">
        <v>2008</v>
      </c>
      <c r="C24" s="219">
        <v>39.6</v>
      </c>
      <c r="D24" s="219">
        <v>11.2</v>
      </c>
      <c r="E24" s="219">
        <v>42.2</v>
      </c>
      <c r="F24" s="219">
        <v>38.799999999999997</v>
      </c>
      <c r="G24" s="219">
        <v>51.6</v>
      </c>
      <c r="H24" s="219">
        <v>260</v>
      </c>
      <c r="I24" s="219">
        <v>194.3</v>
      </c>
      <c r="J24" s="219">
        <v>154</v>
      </c>
      <c r="K24" s="219">
        <v>48.8</v>
      </c>
      <c r="L24" s="219">
        <v>24.1</v>
      </c>
      <c r="M24" s="219">
        <v>14.1</v>
      </c>
      <c r="N24" s="220">
        <v>23.4</v>
      </c>
      <c r="O24" s="221">
        <f t="shared" si="0"/>
        <v>902.1</v>
      </c>
      <c r="P24" s="222">
        <f t="shared" si="1"/>
        <v>75.2</v>
      </c>
    </row>
    <row r="25" spans="2:16" ht="21.95" customHeight="1">
      <c r="B25" s="218">
        <v>2009</v>
      </c>
      <c r="C25" s="219">
        <v>10.6</v>
      </c>
      <c r="D25" s="219">
        <v>23.6</v>
      </c>
      <c r="E25" s="219">
        <v>63.9</v>
      </c>
      <c r="F25" s="219">
        <v>51</v>
      </c>
      <c r="G25" s="219">
        <v>135.5</v>
      </c>
      <c r="H25" s="219">
        <v>113.2</v>
      </c>
      <c r="I25" s="219">
        <v>408</v>
      </c>
      <c r="J25" s="219">
        <v>140.19999999999999</v>
      </c>
      <c r="K25" s="219">
        <v>30.5</v>
      </c>
      <c r="L25" s="219">
        <v>23.7</v>
      </c>
      <c r="M25" s="219">
        <v>54.5</v>
      </c>
      <c r="N25" s="220">
        <v>34.9</v>
      </c>
      <c r="O25" s="221">
        <f t="shared" si="0"/>
        <v>1089.5999999999999</v>
      </c>
      <c r="P25" s="222">
        <f t="shared" si="1"/>
        <v>90.8</v>
      </c>
    </row>
    <row r="26" spans="2:16" ht="21.95" customHeight="1">
      <c r="B26" s="218">
        <v>2010</v>
      </c>
      <c r="C26" s="219">
        <v>37.1</v>
      </c>
      <c r="D26" s="219">
        <v>89.5</v>
      </c>
      <c r="E26" s="219">
        <v>94.9</v>
      </c>
      <c r="F26" s="219">
        <v>69.599999999999994</v>
      </c>
      <c r="G26" s="219">
        <v>140.69999999999999</v>
      </c>
      <c r="H26" s="219">
        <v>36.1</v>
      </c>
      <c r="I26" s="219">
        <v>262.10000000000002</v>
      </c>
      <c r="J26" s="219">
        <v>431.1</v>
      </c>
      <c r="K26" s="219">
        <v>149.80000000000001</v>
      </c>
      <c r="L26" s="219">
        <v>17.8</v>
      </c>
      <c r="M26" s="219">
        <v>18.600000000000001</v>
      </c>
      <c r="N26" s="220">
        <v>31</v>
      </c>
      <c r="O26" s="221">
        <f t="shared" si="0"/>
        <v>1378.3</v>
      </c>
      <c r="P26" s="222">
        <f t="shared" si="1"/>
        <v>114.9</v>
      </c>
    </row>
    <row r="27" spans="2:16" ht="21.95" customHeight="1">
      <c r="B27" s="218">
        <v>2011</v>
      </c>
      <c r="C27" s="219">
        <v>3.7</v>
      </c>
      <c r="D27" s="219">
        <v>60.7</v>
      </c>
      <c r="E27" s="219">
        <v>16</v>
      </c>
      <c r="F27" s="219">
        <v>70</v>
      </c>
      <c r="G27" s="219">
        <v>111.2</v>
      </c>
      <c r="H27" s="219">
        <v>316</v>
      </c>
      <c r="I27" s="219">
        <v>599.6</v>
      </c>
      <c r="J27" s="219">
        <v>618.1</v>
      </c>
      <c r="K27" s="219">
        <v>104.2</v>
      </c>
      <c r="L27" s="219">
        <v>26.6</v>
      </c>
      <c r="M27" s="219">
        <v>81.599999999999994</v>
      </c>
      <c r="N27" s="220">
        <v>7</v>
      </c>
      <c r="O27" s="221">
        <f t="shared" si="0"/>
        <v>2014.7</v>
      </c>
      <c r="P27" s="222">
        <f t="shared" si="1"/>
        <v>167.9</v>
      </c>
    </row>
    <row r="28" spans="2:16" ht="21.95" customHeight="1">
      <c r="B28" s="218">
        <v>2012</v>
      </c>
      <c r="C28" s="219">
        <v>16</v>
      </c>
      <c r="D28" s="219">
        <v>3.2</v>
      </c>
      <c r="E28" s="219">
        <v>60.2</v>
      </c>
      <c r="F28" s="219">
        <v>109.3</v>
      </c>
      <c r="G28" s="219">
        <v>19.5</v>
      </c>
      <c r="H28" s="219">
        <v>71.3</v>
      </c>
      <c r="I28" s="219">
        <v>302.89999999999998</v>
      </c>
      <c r="J28" s="219">
        <v>573.29999999999995</v>
      </c>
      <c r="K28" s="219">
        <v>186.2</v>
      </c>
      <c r="L28" s="219">
        <v>83</v>
      </c>
      <c r="M28" s="219">
        <v>60.7</v>
      </c>
      <c r="N28" s="220">
        <v>60.2</v>
      </c>
      <c r="O28" s="221">
        <f t="shared" si="0"/>
        <v>1545.8</v>
      </c>
      <c r="P28" s="222">
        <f t="shared" si="1"/>
        <v>128.80000000000001</v>
      </c>
    </row>
    <row r="29" spans="2:16" ht="21.95" customHeight="1">
      <c r="B29" s="218">
        <v>2013</v>
      </c>
      <c r="C29" s="219">
        <v>45.4</v>
      </c>
      <c r="D29" s="219">
        <v>58.7</v>
      </c>
      <c r="E29" s="219">
        <v>50.3</v>
      </c>
      <c r="F29" s="219">
        <v>93.7</v>
      </c>
      <c r="G29" s="219">
        <v>159</v>
      </c>
      <c r="H29" s="219">
        <v>151.69999999999999</v>
      </c>
      <c r="I29" s="219">
        <v>240.4</v>
      </c>
      <c r="J29" s="219">
        <v>119.5</v>
      </c>
      <c r="K29" s="219">
        <v>184.8</v>
      </c>
      <c r="L29" s="219">
        <v>18.100000000000001</v>
      </c>
      <c r="M29" s="219">
        <v>79.900000000000006</v>
      </c>
      <c r="N29" s="220">
        <v>35.9</v>
      </c>
      <c r="O29" s="221">
        <f t="shared" si="0"/>
        <v>1237.4000000000001</v>
      </c>
      <c r="P29" s="222">
        <f t="shared" si="1"/>
        <v>103.1</v>
      </c>
    </row>
    <row r="30" spans="2:16" ht="21.95" customHeight="1">
      <c r="B30" s="218">
        <v>2014</v>
      </c>
      <c r="C30" s="219">
        <v>2.2000000000000002</v>
      </c>
      <c r="D30" s="219">
        <v>15.3</v>
      </c>
      <c r="E30" s="219">
        <v>69.3</v>
      </c>
      <c r="F30" s="219">
        <v>94.1</v>
      </c>
      <c r="G30" s="219">
        <v>61.5</v>
      </c>
      <c r="H30" s="219">
        <v>77.8</v>
      </c>
      <c r="I30" s="219">
        <v>174.7</v>
      </c>
      <c r="J30" s="219">
        <v>225.1</v>
      </c>
      <c r="K30" s="219">
        <v>157.5</v>
      </c>
      <c r="L30" s="219">
        <v>170.5</v>
      </c>
      <c r="M30" s="219">
        <v>42.4</v>
      </c>
      <c r="N30" s="220">
        <v>51.7</v>
      </c>
      <c r="O30" s="221">
        <f t="shared" si="0"/>
        <v>1142.0999999999999</v>
      </c>
      <c r="P30" s="222">
        <f t="shared" si="1"/>
        <v>95.2</v>
      </c>
    </row>
    <row r="31" spans="2:16" ht="21.95" customHeight="1">
      <c r="B31" s="218">
        <v>2015</v>
      </c>
      <c r="C31" s="219">
        <v>35.4</v>
      </c>
      <c r="D31" s="219">
        <v>35.6</v>
      </c>
      <c r="E31" s="219">
        <v>42.4</v>
      </c>
      <c r="F31" s="219">
        <v>99.5</v>
      </c>
      <c r="G31" s="219">
        <v>53.5</v>
      </c>
      <c r="H31" s="219">
        <v>92.7</v>
      </c>
      <c r="I31" s="219">
        <v>119.9</v>
      </c>
      <c r="J31" s="219">
        <v>56.9</v>
      </c>
      <c r="K31" s="219">
        <v>22</v>
      </c>
      <c r="L31" s="219">
        <v>104</v>
      </c>
      <c r="M31" s="219">
        <v>126.1</v>
      </c>
      <c r="N31" s="220">
        <v>56.9</v>
      </c>
      <c r="O31" s="221">
        <f t="shared" si="0"/>
        <v>844.9</v>
      </c>
      <c r="P31" s="222">
        <f t="shared" si="1"/>
        <v>70.400000000000006</v>
      </c>
    </row>
    <row r="32" spans="2:16" ht="21.95" customHeight="1">
      <c r="B32" s="218">
        <v>2016</v>
      </c>
      <c r="C32" s="219">
        <v>6.6</v>
      </c>
      <c r="D32" s="219">
        <v>59.6</v>
      </c>
      <c r="E32" s="219">
        <v>19</v>
      </c>
      <c r="F32" s="219">
        <v>164.6</v>
      </c>
      <c r="G32" s="219">
        <v>121.6</v>
      </c>
      <c r="H32" s="219">
        <v>49.4</v>
      </c>
      <c r="I32" s="219">
        <v>341.1</v>
      </c>
      <c r="J32" s="219">
        <v>33.4</v>
      </c>
      <c r="K32" s="219">
        <v>133.69999999999999</v>
      </c>
      <c r="L32" s="219">
        <v>120.1</v>
      </c>
      <c r="M32" s="219">
        <v>17.100000000000001</v>
      </c>
      <c r="N32" s="220">
        <v>63.1</v>
      </c>
      <c r="O32" s="221">
        <f t="shared" si="0"/>
        <v>1129.3</v>
      </c>
      <c r="P32" s="222">
        <f t="shared" si="1"/>
        <v>94.1</v>
      </c>
    </row>
    <row r="33" spans="2:16" ht="21.95" customHeight="1">
      <c r="B33" s="218">
        <v>2017</v>
      </c>
      <c r="C33" s="219">
        <v>16</v>
      </c>
      <c r="D33" s="219">
        <v>28.5</v>
      </c>
      <c r="E33" s="219">
        <v>8.8000000000000007</v>
      </c>
      <c r="F33" s="219">
        <v>78.400000000000006</v>
      </c>
      <c r="G33" s="219">
        <v>35.799999999999997</v>
      </c>
      <c r="H33" s="219">
        <v>51.4</v>
      </c>
      <c r="I33" s="219">
        <v>326.7</v>
      </c>
      <c r="J33" s="219">
        <v>358.4</v>
      </c>
      <c r="K33" s="219">
        <v>97.1</v>
      </c>
      <c r="L33" s="219">
        <v>51.9</v>
      </c>
      <c r="M33" s="219">
        <v>20.8</v>
      </c>
      <c r="N33" s="220">
        <v>36.1</v>
      </c>
      <c r="O33" s="221">
        <f t="shared" si="0"/>
        <v>1109.9000000000001</v>
      </c>
      <c r="P33" s="222">
        <f t="shared" si="1"/>
        <v>92.5</v>
      </c>
    </row>
    <row r="34" spans="2:16" ht="21.95" customHeight="1">
      <c r="B34" s="218">
        <v>2018</v>
      </c>
      <c r="C34" s="219">
        <v>25</v>
      </c>
      <c r="D34" s="219">
        <v>43.1</v>
      </c>
      <c r="E34" s="219">
        <v>99.3</v>
      </c>
      <c r="F34" s="219">
        <v>156.5</v>
      </c>
      <c r="G34" s="219">
        <v>116.1</v>
      </c>
      <c r="H34" s="219">
        <v>107.1</v>
      </c>
      <c r="I34" s="219">
        <v>278.8</v>
      </c>
      <c r="J34" s="219">
        <v>277</v>
      </c>
      <c r="K34" s="219">
        <v>98.3</v>
      </c>
      <c r="L34" s="219">
        <v>159.19999999999999</v>
      </c>
      <c r="M34" s="219">
        <v>66</v>
      </c>
      <c r="N34" s="220">
        <v>31.5</v>
      </c>
      <c r="O34" s="221">
        <f t="shared" si="0"/>
        <v>1457.9</v>
      </c>
      <c r="P34" s="222">
        <f t="shared" si="1"/>
        <v>121.5</v>
      </c>
    </row>
    <row r="35" spans="2:16" ht="21.95" customHeight="1" thickBot="1">
      <c r="B35" s="223">
        <v>2019</v>
      </c>
      <c r="C35" s="219">
        <v>0.5</v>
      </c>
      <c r="D35" s="219">
        <v>37.6</v>
      </c>
      <c r="E35" s="219">
        <v>35</v>
      </c>
      <c r="F35" s="219">
        <v>73.7</v>
      </c>
      <c r="G35" s="219">
        <v>44.3</v>
      </c>
      <c r="H35" s="219">
        <v>59.9</v>
      </c>
      <c r="I35" s="219">
        <v>216.7</v>
      </c>
      <c r="J35" s="219">
        <v>102.1</v>
      </c>
      <c r="K35" s="219">
        <v>191.9</v>
      </c>
      <c r="L35" s="219">
        <v>85.6</v>
      </c>
      <c r="M35" s="219">
        <v>113.5</v>
      </c>
      <c r="N35" s="219">
        <v>31.2</v>
      </c>
      <c r="O35" s="224">
        <f t="shared" si="0"/>
        <v>992</v>
      </c>
      <c r="P35" s="225">
        <f t="shared" si="1"/>
        <v>82.7</v>
      </c>
    </row>
    <row r="36" spans="2:16" ht="21.95" customHeight="1">
      <c r="B36" s="98" t="s">
        <v>48</v>
      </c>
      <c r="C36" s="226">
        <f>ROUND(MAX(C6:C35),1)</f>
        <v>72.3</v>
      </c>
      <c r="D36" s="226">
        <f t="shared" ref="D36:N36" si="2">ROUND(MAX(D6:D35),1)</f>
        <v>108.1</v>
      </c>
      <c r="E36" s="226">
        <f t="shared" si="2"/>
        <v>159</v>
      </c>
      <c r="F36" s="226">
        <f t="shared" si="2"/>
        <v>208.5</v>
      </c>
      <c r="G36" s="226">
        <f t="shared" si="2"/>
        <v>229.5</v>
      </c>
      <c r="H36" s="226">
        <f t="shared" si="2"/>
        <v>388</v>
      </c>
      <c r="I36" s="226">
        <f t="shared" si="2"/>
        <v>626.5</v>
      </c>
      <c r="J36" s="226">
        <f t="shared" si="2"/>
        <v>839</v>
      </c>
      <c r="K36" s="226">
        <f t="shared" si="2"/>
        <v>502.5</v>
      </c>
      <c r="L36" s="226">
        <f t="shared" si="2"/>
        <v>290</v>
      </c>
      <c r="M36" s="226">
        <f t="shared" si="2"/>
        <v>219.5</v>
      </c>
      <c r="N36" s="227">
        <f t="shared" si="2"/>
        <v>63.1</v>
      </c>
      <c r="O36" s="228">
        <f>ROUND(MAX(O6:O35),1)</f>
        <v>2014.7</v>
      </c>
      <c r="P36" s="229">
        <f>ROUND(MAX(P6:P35),1)</f>
        <v>167.9</v>
      </c>
    </row>
    <row r="37" spans="2:16" ht="21.95" customHeight="1">
      <c r="B37" s="218" t="s">
        <v>49</v>
      </c>
      <c r="C37" s="230">
        <f>ROUND(MIN(C6:C35),1)</f>
        <v>0.5</v>
      </c>
      <c r="D37" s="230">
        <f t="shared" ref="D37:N37" si="3">ROUND(MIN(D6:D35),1)</f>
        <v>2.2999999999999998</v>
      </c>
      <c r="E37" s="230">
        <f t="shared" si="3"/>
        <v>7.8</v>
      </c>
      <c r="F37" s="230">
        <f t="shared" si="3"/>
        <v>25</v>
      </c>
      <c r="G37" s="230">
        <f t="shared" si="3"/>
        <v>19.5</v>
      </c>
      <c r="H37" s="230">
        <f t="shared" si="3"/>
        <v>34.5</v>
      </c>
      <c r="I37" s="230">
        <f t="shared" si="3"/>
        <v>96.5</v>
      </c>
      <c r="J37" s="230">
        <f t="shared" si="3"/>
        <v>33.4</v>
      </c>
      <c r="K37" s="230">
        <f t="shared" si="3"/>
        <v>10.5</v>
      </c>
      <c r="L37" s="230">
        <f t="shared" si="3"/>
        <v>1</v>
      </c>
      <c r="M37" s="230">
        <f t="shared" si="3"/>
        <v>10.5</v>
      </c>
      <c r="N37" s="222">
        <f t="shared" si="3"/>
        <v>3.5</v>
      </c>
      <c r="O37" s="231">
        <f>ROUND(MIN(O6:O35),1)</f>
        <v>752.6</v>
      </c>
      <c r="P37" s="220">
        <f>ROUND(MIN(P6:P35),1)</f>
        <v>62.7</v>
      </c>
    </row>
    <row r="38" spans="2:16" ht="21.95" customHeight="1" thickBot="1">
      <c r="B38" s="99" t="s">
        <v>59</v>
      </c>
      <c r="C38" s="232">
        <f>ROUND(AVERAGE(C6:C35),1)</f>
        <v>24.5</v>
      </c>
      <c r="D38" s="232">
        <f t="shared" ref="D38:N38" si="4">ROUND(AVERAGE(D6:D35),1)</f>
        <v>38.1</v>
      </c>
      <c r="E38" s="232">
        <f t="shared" si="4"/>
        <v>53.4</v>
      </c>
      <c r="F38" s="232">
        <f t="shared" si="4"/>
        <v>87.9</v>
      </c>
      <c r="G38" s="232">
        <f t="shared" si="4"/>
        <v>97.8</v>
      </c>
      <c r="H38" s="232">
        <f t="shared" si="4"/>
        <v>161.80000000000001</v>
      </c>
      <c r="I38" s="232">
        <f t="shared" si="4"/>
        <v>292.3</v>
      </c>
      <c r="J38" s="232">
        <f t="shared" si="4"/>
        <v>279</v>
      </c>
      <c r="K38" s="232">
        <f t="shared" si="4"/>
        <v>144.1</v>
      </c>
      <c r="L38" s="232">
        <f t="shared" si="4"/>
        <v>63.6</v>
      </c>
      <c r="M38" s="232">
        <f t="shared" si="4"/>
        <v>52.1</v>
      </c>
      <c r="N38" s="233">
        <f t="shared" si="4"/>
        <v>32.200000000000003</v>
      </c>
      <c r="O38" s="234">
        <f>ROUND(AVERAGE(O6:O35),1)</f>
        <v>1326.8</v>
      </c>
      <c r="P38" s="235">
        <f>ROUND(AVERAGE(P6:P35),1)</f>
        <v>110.6</v>
      </c>
    </row>
    <row r="39" spans="2:16" ht="21.95" customHeight="1"/>
    <row r="40" spans="2:16" ht="21.95" customHeight="1"/>
    <row r="41" spans="2:16" ht="21.95" customHeight="1"/>
    <row r="42" spans="2:16" ht="21.95" customHeight="1" thickBot="1"/>
    <row r="43" spans="2:16" ht="21.95" customHeight="1">
      <c r="B43" s="236" t="s">
        <v>54</v>
      </c>
      <c r="C43" s="237" t="s">
        <v>43</v>
      </c>
      <c r="D43" s="237" t="s">
        <v>44</v>
      </c>
      <c r="E43" s="237" t="s">
        <v>45</v>
      </c>
      <c r="F43" s="237" t="s">
        <v>46</v>
      </c>
      <c r="G43" s="237" t="s">
        <v>47</v>
      </c>
      <c r="H43" s="237" t="s">
        <v>12</v>
      </c>
      <c r="I43" s="237" t="s">
        <v>13</v>
      </c>
      <c r="J43" s="237" t="s">
        <v>14</v>
      </c>
      <c r="K43" s="237" t="s">
        <v>15</v>
      </c>
      <c r="L43" s="237" t="s">
        <v>16</v>
      </c>
      <c r="M43" s="237" t="s">
        <v>17</v>
      </c>
      <c r="N43" s="238" t="s">
        <v>18</v>
      </c>
      <c r="O43" s="239" t="s">
        <v>57</v>
      </c>
      <c r="P43" s="238" t="s">
        <v>41</v>
      </c>
    </row>
    <row r="44" spans="2:16" ht="21.95" customHeight="1">
      <c r="B44" s="240">
        <v>2010</v>
      </c>
      <c r="C44" s="219">
        <v>37.1</v>
      </c>
      <c r="D44" s="219">
        <v>89.5</v>
      </c>
      <c r="E44" s="219">
        <v>94.9</v>
      </c>
      <c r="F44" s="219">
        <v>69.599999999999994</v>
      </c>
      <c r="G44" s="219">
        <v>140.69999999999999</v>
      </c>
      <c r="H44" s="219">
        <v>36.1</v>
      </c>
      <c r="I44" s="219">
        <v>262.10000000000002</v>
      </c>
      <c r="J44" s="219">
        <v>431.1</v>
      </c>
      <c r="K44" s="219">
        <v>149.80000000000001</v>
      </c>
      <c r="L44" s="219">
        <v>17.8</v>
      </c>
      <c r="M44" s="219">
        <v>18.600000000000001</v>
      </c>
      <c r="N44" s="220">
        <v>31</v>
      </c>
      <c r="O44" s="241">
        <f>ROUND(SUM(C44:N44),1)</f>
        <v>1378.3</v>
      </c>
      <c r="P44" s="220">
        <f>ROUND(O44/12,1)</f>
        <v>114.9</v>
      </c>
    </row>
    <row r="45" spans="2:16" ht="21.95" customHeight="1">
      <c r="B45" s="240">
        <v>2011</v>
      </c>
      <c r="C45" s="219">
        <v>3.7</v>
      </c>
      <c r="D45" s="219">
        <v>60.7</v>
      </c>
      <c r="E45" s="219">
        <v>16</v>
      </c>
      <c r="F45" s="219">
        <v>70</v>
      </c>
      <c r="G45" s="219">
        <v>111.2</v>
      </c>
      <c r="H45" s="219">
        <v>316</v>
      </c>
      <c r="I45" s="219">
        <v>599.6</v>
      </c>
      <c r="J45" s="219">
        <v>618.1</v>
      </c>
      <c r="K45" s="219">
        <v>104.2</v>
      </c>
      <c r="L45" s="219">
        <v>26.6</v>
      </c>
      <c r="M45" s="219">
        <v>81.599999999999994</v>
      </c>
      <c r="N45" s="220">
        <v>7</v>
      </c>
      <c r="O45" s="241">
        <f t="shared" ref="O45:O53" si="5">ROUND(SUM(C45:N45),1)</f>
        <v>2014.7</v>
      </c>
      <c r="P45" s="220">
        <f t="shared" ref="P45:P53" si="6">ROUND(O45/12,1)</f>
        <v>167.9</v>
      </c>
    </row>
    <row r="46" spans="2:16" ht="21.95" customHeight="1">
      <c r="B46" s="240">
        <v>2012</v>
      </c>
      <c r="C46" s="219">
        <v>16</v>
      </c>
      <c r="D46" s="219">
        <v>3.2</v>
      </c>
      <c r="E46" s="219">
        <v>60.2</v>
      </c>
      <c r="F46" s="219">
        <v>109.3</v>
      </c>
      <c r="G46" s="219">
        <v>19.5</v>
      </c>
      <c r="H46" s="219">
        <v>71.3</v>
      </c>
      <c r="I46" s="219">
        <v>302.89999999999998</v>
      </c>
      <c r="J46" s="219">
        <v>573.29999999999995</v>
      </c>
      <c r="K46" s="219">
        <v>186.2</v>
      </c>
      <c r="L46" s="219">
        <v>83</v>
      </c>
      <c r="M46" s="219">
        <v>60.7</v>
      </c>
      <c r="N46" s="220">
        <v>60.2</v>
      </c>
      <c r="O46" s="241">
        <f t="shared" si="5"/>
        <v>1545.8</v>
      </c>
      <c r="P46" s="220">
        <f t="shared" si="6"/>
        <v>128.80000000000001</v>
      </c>
    </row>
    <row r="47" spans="2:16" ht="21.95" customHeight="1">
      <c r="B47" s="240">
        <v>2013</v>
      </c>
      <c r="C47" s="219">
        <v>45.4</v>
      </c>
      <c r="D47" s="219">
        <v>58.7</v>
      </c>
      <c r="E47" s="219">
        <v>50.3</v>
      </c>
      <c r="F47" s="219">
        <v>93.7</v>
      </c>
      <c r="G47" s="219">
        <v>159</v>
      </c>
      <c r="H47" s="219">
        <v>151.69999999999999</v>
      </c>
      <c r="I47" s="219">
        <v>240.4</v>
      </c>
      <c r="J47" s="219">
        <v>119.5</v>
      </c>
      <c r="K47" s="219">
        <v>184.8</v>
      </c>
      <c r="L47" s="219">
        <v>18.100000000000001</v>
      </c>
      <c r="M47" s="219">
        <v>79.900000000000006</v>
      </c>
      <c r="N47" s="220">
        <v>35.9</v>
      </c>
      <c r="O47" s="241">
        <f t="shared" si="5"/>
        <v>1237.4000000000001</v>
      </c>
      <c r="P47" s="220">
        <f t="shared" si="6"/>
        <v>103.1</v>
      </c>
    </row>
    <row r="48" spans="2:16" ht="21.95" customHeight="1">
      <c r="B48" s="240">
        <v>2014</v>
      </c>
      <c r="C48" s="219">
        <v>2.2000000000000002</v>
      </c>
      <c r="D48" s="219">
        <v>15.3</v>
      </c>
      <c r="E48" s="219">
        <v>69.3</v>
      </c>
      <c r="F48" s="219">
        <v>94.1</v>
      </c>
      <c r="G48" s="219">
        <v>61.5</v>
      </c>
      <c r="H48" s="219">
        <v>77.8</v>
      </c>
      <c r="I48" s="219">
        <v>174.7</v>
      </c>
      <c r="J48" s="219">
        <v>225.1</v>
      </c>
      <c r="K48" s="219">
        <v>157.5</v>
      </c>
      <c r="L48" s="219">
        <v>170.5</v>
      </c>
      <c r="M48" s="219">
        <v>42.4</v>
      </c>
      <c r="N48" s="220">
        <v>51.7</v>
      </c>
      <c r="O48" s="241">
        <f t="shared" si="5"/>
        <v>1142.0999999999999</v>
      </c>
      <c r="P48" s="220">
        <f t="shared" si="6"/>
        <v>95.2</v>
      </c>
    </row>
    <row r="49" spans="2:16" ht="21.95" customHeight="1">
      <c r="B49" s="240">
        <v>2015</v>
      </c>
      <c r="C49" s="219">
        <v>35.4</v>
      </c>
      <c r="D49" s="219">
        <v>35.6</v>
      </c>
      <c r="E49" s="219">
        <v>42.4</v>
      </c>
      <c r="F49" s="219">
        <v>99.5</v>
      </c>
      <c r="G49" s="219">
        <v>53.5</v>
      </c>
      <c r="H49" s="219">
        <v>92.7</v>
      </c>
      <c r="I49" s="219">
        <v>119.9</v>
      </c>
      <c r="J49" s="219">
        <v>56.9</v>
      </c>
      <c r="K49" s="219">
        <v>22</v>
      </c>
      <c r="L49" s="219">
        <v>104</v>
      </c>
      <c r="M49" s="219">
        <v>126.1</v>
      </c>
      <c r="N49" s="220">
        <v>56.9</v>
      </c>
      <c r="O49" s="241">
        <f t="shared" si="5"/>
        <v>844.9</v>
      </c>
      <c r="P49" s="220">
        <f t="shared" si="6"/>
        <v>70.400000000000006</v>
      </c>
    </row>
    <row r="50" spans="2:16" ht="21.95" customHeight="1">
      <c r="B50" s="240">
        <v>2016</v>
      </c>
      <c r="C50" s="219">
        <v>6.6</v>
      </c>
      <c r="D50" s="219">
        <v>59.6</v>
      </c>
      <c r="E50" s="219">
        <v>19</v>
      </c>
      <c r="F50" s="219">
        <v>164.6</v>
      </c>
      <c r="G50" s="219">
        <v>121.6</v>
      </c>
      <c r="H50" s="219">
        <v>49.4</v>
      </c>
      <c r="I50" s="219">
        <v>341.1</v>
      </c>
      <c r="J50" s="219">
        <v>33.4</v>
      </c>
      <c r="K50" s="219">
        <v>133.69999999999999</v>
      </c>
      <c r="L50" s="219">
        <v>120.1</v>
      </c>
      <c r="M50" s="219">
        <v>17.100000000000001</v>
      </c>
      <c r="N50" s="220">
        <v>63.1</v>
      </c>
      <c r="O50" s="241">
        <f t="shared" si="5"/>
        <v>1129.3</v>
      </c>
      <c r="P50" s="220">
        <f t="shared" si="6"/>
        <v>94.1</v>
      </c>
    </row>
    <row r="51" spans="2:16" ht="21.95" customHeight="1">
      <c r="B51" s="240">
        <v>2017</v>
      </c>
      <c r="C51" s="219">
        <v>16</v>
      </c>
      <c r="D51" s="219">
        <v>28.5</v>
      </c>
      <c r="E51" s="219">
        <v>8.8000000000000007</v>
      </c>
      <c r="F51" s="219">
        <v>78.400000000000006</v>
      </c>
      <c r="G51" s="219">
        <v>35.799999999999997</v>
      </c>
      <c r="H51" s="219">
        <v>51.4</v>
      </c>
      <c r="I51" s="219">
        <v>326.7</v>
      </c>
      <c r="J51" s="219">
        <v>358.4</v>
      </c>
      <c r="K51" s="219">
        <v>97.1</v>
      </c>
      <c r="L51" s="219">
        <v>51.9</v>
      </c>
      <c r="M51" s="219">
        <v>20.8</v>
      </c>
      <c r="N51" s="220">
        <v>36.1</v>
      </c>
      <c r="O51" s="241">
        <f t="shared" si="5"/>
        <v>1109.9000000000001</v>
      </c>
      <c r="P51" s="220">
        <f t="shared" si="6"/>
        <v>92.5</v>
      </c>
    </row>
    <row r="52" spans="2:16" ht="21.95" customHeight="1">
      <c r="B52" s="240">
        <v>2018</v>
      </c>
      <c r="C52" s="219">
        <v>25</v>
      </c>
      <c r="D52" s="219">
        <v>43.1</v>
      </c>
      <c r="E52" s="219">
        <v>99.3</v>
      </c>
      <c r="F52" s="219">
        <v>156.5</v>
      </c>
      <c r="G52" s="219">
        <v>116.1</v>
      </c>
      <c r="H52" s="219">
        <v>107.1</v>
      </c>
      <c r="I52" s="219">
        <v>278.8</v>
      </c>
      <c r="J52" s="219">
        <v>277</v>
      </c>
      <c r="K52" s="219">
        <v>98.3</v>
      </c>
      <c r="L52" s="219">
        <v>159.19999999999999</v>
      </c>
      <c r="M52" s="219">
        <v>66</v>
      </c>
      <c r="N52" s="220">
        <v>31.5</v>
      </c>
      <c r="O52" s="241">
        <f t="shared" si="5"/>
        <v>1457.9</v>
      </c>
      <c r="P52" s="220">
        <f t="shared" si="6"/>
        <v>121.5</v>
      </c>
    </row>
    <row r="53" spans="2:16" ht="21.95" customHeight="1" thickBot="1">
      <c r="B53" s="223">
        <v>2019</v>
      </c>
      <c r="C53" s="242">
        <v>0.5</v>
      </c>
      <c r="D53" s="242">
        <v>37.6</v>
      </c>
      <c r="E53" s="242">
        <v>35</v>
      </c>
      <c r="F53" s="242">
        <v>73.7</v>
      </c>
      <c r="G53" s="242">
        <v>44.3</v>
      </c>
      <c r="H53" s="242">
        <v>59.9</v>
      </c>
      <c r="I53" s="242">
        <v>216.7</v>
      </c>
      <c r="J53" s="242">
        <v>102.1</v>
      </c>
      <c r="K53" s="242">
        <v>191.9</v>
      </c>
      <c r="L53" s="242">
        <v>85.6</v>
      </c>
      <c r="M53" s="242">
        <v>113.5</v>
      </c>
      <c r="N53" s="243">
        <v>31.2</v>
      </c>
      <c r="O53" s="244">
        <f t="shared" si="5"/>
        <v>992</v>
      </c>
      <c r="P53" s="243">
        <f t="shared" si="6"/>
        <v>82.7</v>
      </c>
    </row>
    <row r="54" spans="2:16" ht="21.95" customHeight="1">
      <c r="B54" s="245" t="s">
        <v>60</v>
      </c>
      <c r="C54" s="246">
        <f>MAX(C44:C53)</f>
        <v>45.4</v>
      </c>
      <c r="D54" s="246">
        <f t="shared" ref="D54:P54" si="7">MAX(D44:D53)</f>
        <v>89.5</v>
      </c>
      <c r="E54" s="246">
        <f t="shared" si="7"/>
        <v>99.3</v>
      </c>
      <c r="F54" s="246">
        <f t="shared" si="7"/>
        <v>164.6</v>
      </c>
      <c r="G54" s="246">
        <f t="shared" si="7"/>
        <v>159</v>
      </c>
      <c r="H54" s="246">
        <f t="shared" si="7"/>
        <v>316</v>
      </c>
      <c r="I54" s="246">
        <f t="shared" si="7"/>
        <v>599.6</v>
      </c>
      <c r="J54" s="246">
        <f t="shared" si="7"/>
        <v>618.1</v>
      </c>
      <c r="K54" s="246">
        <f t="shared" si="7"/>
        <v>191.9</v>
      </c>
      <c r="L54" s="246">
        <f t="shared" si="7"/>
        <v>170.5</v>
      </c>
      <c r="M54" s="246">
        <f t="shared" si="7"/>
        <v>126.1</v>
      </c>
      <c r="N54" s="229">
        <f t="shared" si="7"/>
        <v>63.1</v>
      </c>
      <c r="O54" s="247">
        <f t="shared" si="7"/>
        <v>2014.7</v>
      </c>
      <c r="P54" s="229">
        <f t="shared" si="7"/>
        <v>167.9</v>
      </c>
    </row>
    <row r="55" spans="2:16" ht="21.95" customHeight="1">
      <c r="B55" s="248" t="s">
        <v>61</v>
      </c>
      <c r="C55" s="219">
        <f>MIN(C44:C53)</f>
        <v>0.5</v>
      </c>
      <c r="D55" s="219">
        <f t="shared" ref="D55:P55" si="8">MIN(D44:D53)</f>
        <v>3.2</v>
      </c>
      <c r="E55" s="219">
        <f t="shared" si="8"/>
        <v>8.8000000000000007</v>
      </c>
      <c r="F55" s="219">
        <f t="shared" si="8"/>
        <v>69.599999999999994</v>
      </c>
      <c r="G55" s="219">
        <f t="shared" si="8"/>
        <v>19.5</v>
      </c>
      <c r="H55" s="219">
        <f t="shared" si="8"/>
        <v>36.1</v>
      </c>
      <c r="I55" s="219">
        <f t="shared" si="8"/>
        <v>119.9</v>
      </c>
      <c r="J55" s="219">
        <f t="shared" si="8"/>
        <v>33.4</v>
      </c>
      <c r="K55" s="219">
        <f t="shared" si="8"/>
        <v>22</v>
      </c>
      <c r="L55" s="219">
        <f t="shared" si="8"/>
        <v>17.8</v>
      </c>
      <c r="M55" s="219">
        <f t="shared" si="8"/>
        <v>17.100000000000001</v>
      </c>
      <c r="N55" s="220">
        <f t="shared" si="8"/>
        <v>7</v>
      </c>
      <c r="O55" s="241">
        <f>MIN(O44:O53)</f>
        <v>844.9</v>
      </c>
      <c r="P55" s="220">
        <f t="shared" si="8"/>
        <v>70.400000000000006</v>
      </c>
    </row>
    <row r="56" spans="2:16" ht="21.95" customHeight="1" thickBot="1">
      <c r="B56" s="249" t="s">
        <v>41</v>
      </c>
      <c r="C56" s="250">
        <f>ROUND(AVERAGE(C44:C53),1)</f>
        <v>18.8</v>
      </c>
      <c r="D56" s="250">
        <f t="shared" ref="D56:N56" si="9">ROUND(AVERAGE(D44:D53),1)</f>
        <v>43.2</v>
      </c>
      <c r="E56" s="250">
        <f t="shared" si="9"/>
        <v>49.5</v>
      </c>
      <c r="F56" s="250">
        <f t="shared" si="9"/>
        <v>100.9</v>
      </c>
      <c r="G56" s="250">
        <f t="shared" si="9"/>
        <v>86.3</v>
      </c>
      <c r="H56" s="250">
        <f t="shared" si="9"/>
        <v>101.3</v>
      </c>
      <c r="I56" s="250">
        <f t="shared" si="9"/>
        <v>286.3</v>
      </c>
      <c r="J56" s="250">
        <f t="shared" si="9"/>
        <v>279.5</v>
      </c>
      <c r="K56" s="250">
        <f t="shared" si="9"/>
        <v>132.6</v>
      </c>
      <c r="L56" s="250">
        <f t="shared" si="9"/>
        <v>83.7</v>
      </c>
      <c r="M56" s="250">
        <f t="shared" si="9"/>
        <v>62.7</v>
      </c>
      <c r="N56" s="235">
        <f t="shared" si="9"/>
        <v>40.5</v>
      </c>
      <c r="O56" s="251">
        <f>ROUND(AVERAGE(O44:O53),1)</f>
        <v>1285.2</v>
      </c>
      <c r="P56" s="235">
        <f>ROUND(AVERAGE(P44:P53),1)</f>
        <v>107.1</v>
      </c>
    </row>
    <row r="57" spans="2:16" ht="24" customHeight="1"/>
  </sheetData>
  <mergeCells count="1">
    <mergeCell ref="B2:L2"/>
  </mergeCells>
  <phoneticPr fontId="7" type="noConversion"/>
  <pageMargins left="0.7" right="0.7" top="0.75" bottom="0.75" header="0.3" footer="0.3"/>
  <pageSetup paperSize="9" orientation="portrait" r:id="rId1"/>
  <ignoredErrors>
    <ignoredError sqref="O44:O53 O6:O35" formulaRange="1"/>
  </ignoredErrors>
  <drawing r:id="rId2"/>
  <legacyDrawing r:id="rId3"/>
  <controls>
    <mc:AlternateContent xmlns:mc="http://schemas.openxmlformats.org/markup-compatibility/2006">
      <mc:Choice Requires="x14">
        <control shapeId="83969" r:id="rId4" name="CommandButton1">
          <controlPr defaultSize="0" autoLine="0" r:id="rId5">
            <anchor moveWithCells="1">
              <from>
                <xdr:col>16</xdr:col>
                <xdr:colOff>542925</xdr:colOff>
                <xdr:row>4</xdr:row>
                <xdr:rowOff>9525</xdr:rowOff>
              </from>
              <to>
                <xdr:col>18</xdr:col>
                <xdr:colOff>428625</xdr:colOff>
                <xdr:row>5</xdr:row>
                <xdr:rowOff>152400</xdr:rowOff>
              </to>
            </anchor>
          </controlPr>
        </control>
      </mc:Choice>
      <mc:Fallback>
        <control shapeId="83969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2:P33"/>
  <sheetViews>
    <sheetView topLeftCell="A10" workbookViewId="0">
      <selection activeCell="C52" sqref="C52"/>
    </sheetView>
  </sheetViews>
  <sheetFormatPr defaultColWidth="8.88671875" defaultRowHeight="16.5"/>
  <cols>
    <col min="1" max="2" width="8.88671875" style="101"/>
    <col min="3" max="3" width="8" style="101" customWidth="1"/>
    <col min="4" max="16384" width="8.88671875" style="101"/>
  </cols>
  <sheetData>
    <row r="2" spans="2:16">
      <c r="B2" s="101" t="s">
        <v>37</v>
      </c>
    </row>
    <row r="4" spans="2:16">
      <c r="B4" s="100" t="s">
        <v>38</v>
      </c>
    </row>
    <row r="6" spans="2:16" ht="17.25" thickBot="1">
      <c r="O6" s="101" t="s">
        <v>39</v>
      </c>
    </row>
    <row r="7" spans="2:16">
      <c r="B7" s="197"/>
      <c r="C7" s="198" t="s">
        <v>7</v>
      </c>
      <c r="D7" s="198" t="s">
        <v>8</v>
      </c>
      <c r="E7" s="198" t="s">
        <v>9</v>
      </c>
      <c r="F7" s="198" t="s">
        <v>10</v>
      </c>
      <c r="G7" s="198" t="s">
        <v>11</v>
      </c>
      <c r="H7" s="198" t="s">
        <v>12</v>
      </c>
      <c r="I7" s="198" t="s">
        <v>13</v>
      </c>
      <c r="J7" s="198" t="s">
        <v>14</v>
      </c>
      <c r="K7" s="198" t="s">
        <v>15</v>
      </c>
      <c r="L7" s="198" t="s">
        <v>16</v>
      </c>
      <c r="M7" s="198" t="s">
        <v>17</v>
      </c>
      <c r="N7" s="198" t="s">
        <v>18</v>
      </c>
      <c r="O7" s="198" t="s">
        <v>39</v>
      </c>
      <c r="P7" s="199" t="s">
        <v>20</v>
      </c>
    </row>
    <row r="8" spans="2:16">
      <c r="B8" s="200">
        <f>'30Year'!B44</f>
        <v>2010</v>
      </c>
      <c r="C8" s="108">
        <f>'30Year'!C44</f>
        <v>37.1</v>
      </c>
      <c r="D8" s="108">
        <f>'30Year'!D44</f>
        <v>89.5</v>
      </c>
      <c r="E8" s="108">
        <f>'30Year'!E44</f>
        <v>94.9</v>
      </c>
      <c r="F8" s="108">
        <f>'30Year'!F44</f>
        <v>69.599999999999994</v>
      </c>
      <c r="G8" s="108">
        <f>'30Year'!G44</f>
        <v>140.69999999999999</v>
      </c>
      <c r="H8" s="108">
        <f>'30Year'!H44</f>
        <v>36.1</v>
      </c>
      <c r="I8" s="108">
        <f>'30Year'!I44</f>
        <v>262.10000000000002</v>
      </c>
      <c r="J8" s="108">
        <f>'30Year'!J44</f>
        <v>431.1</v>
      </c>
      <c r="K8" s="108">
        <f>'30Year'!K44</f>
        <v>149.80000000000001</v>
      </c>
      <c r="L8" s="108">
        <f>'30Year'!L44</f>
        <v>17.8</v>
      </c>
      <c r="M8" s="108">
        <f>'30Year'!M44</f>
        <v>18.600000000000001</v>
      </c>
      <c r="N8" s="108">
        <f>'30Year'!N44</f>
        <v>31</v>
      </c>
      <c r="O8" s="108">
        <f>'30Year'!O44</f>
        <v>1378.3</v>
      </c>
      <c r="P8" s="109">
        <f>'30Year'!P44</f>
        <v>114.9</v>
      </c>
    </row>
    <row r="9" spans="2:16">
      <c r="B9" s="200">
        <f>'30Year'!B45</f>
        <v>2011</v>
      </c>
      <c r="C9" s="108">
        <f>'30Year'!C45</f>
        <v>3.7</v>
      </c>
      <c r="D9" s="108">
        <f>'30Year'!D45</f>
        <v>60.7</v>
      </c>
      <c r="E9" s="108">
        <f>'30Year'!E45</f>
        <v>16</v>
      </c>
      <c r="F9" s="108">
        <f>'30Year'!F45</f>
        <v>70</v>
      </c>
      <c r="G9" s="108">
        <f>'30Year'!G45</f>
        <v>111.2</v>
      </c>
      <c r="H9" s="108">
        <f>'30Year'!H45</f>
        <v>316</v>
      </c>
      <c r="I9" s="108">
        <f>'30Year'!I45</f>
        <v>599.6</v>
      </c>
      <c r="J9" s="108">
        <f>'30Year'!J45</f>
        <v>618.1</v>
      </c>
      <c r="K9" s="108">
        <f>'30Year'!K45</f>
        <v>104.2</v>
      </c>
      <c r="L9" s="108">
        <f>'30Year'!L45</f>
        <v>26.6</v>
      </c>
      <c r="M9" s="108">
        <f>'30Year'!M45</f>
        <v>81.599999999999994</v>
      </c>
      <c r="N9" s="108">
        <f>'30Year'!N45</f>
        <v>7</v>
      </c>
      <c r="O9" s="108">
        <f>'30Year'!O45</f>
        <v>2014.7</v>
      </c>
      <c r="P9" s="109">
        <f>'30Year'!P45</f>
        <v>167.9</v>
      </c>
    </row>
    <row r="10" spans="2:16">
      <c r="B10" s="200">
        <f>'30Year'!B46</f>
        <v>2012</v>
      </c>
      <c r="C10" s="108">
        <f>'30Year'!C46</f>
        <v>16</v>
      </c>
      <c r="D10" s="108">
        <f>'30Year'!D46</f>
        <v>3.2</v>
      </c>
      <c r="E10" s="108">
        <f>'30Year'!E46</f>
        <v>60.2</v>
      </c>
      <c r="F10" s="108">
        <f>'30Year'!F46</f>
        <v>109.3</v>
      </c>
      <c r="G10" s="108">
        <f>'30Year'!G46</f>
        <v>19.5</v>
      </c>
      <c r="H10" s="108">
        <f>'30Year'!H46</f>
        <v>71.3</v>
      </c>
      <c r="I10" s="108">
        <f>'30Year'!I46</f>
        <v>302.89999999999998</v>
      </c>
      <c r="J10" s="108">
        <f>'30Year'!J46</f>
        <v>573.29999999999995</v>
      </c>
      <c r="K10" s="108">
        <f>'30Year'!K46</f>
        <v>186.2</v>
      </c>
      <c r="L10" s="108">
        <f>'30Year'!L46</f>
        <v>83</v>
      </c>
      <c r="M10" s="108">
        <f>'30Year'!M46</f>
        <v>60.7</v>
      </c>
      <c r="N10" s="108">
        <f>'30Year'!N46</f>
        <v>60.2</v>
      </c>
      <c r="O10" s="108">
        <f>'30Year'!O46</f>
        <v>1545.8</v>
      </c>
      <c r="P10" s="109">
        <f>'30Year'!P46</f>
        <v>128.80000000000001</v>
      </c>
    </row>
    <row r="11" spans="2:16">
      <c r="B11" s="200">
        <f>'30Year'!B47</f>
        <v>2013</v>
      </c>
      <c r="C11" s="108">
        <f>'30Year'!C47</f>
        <v>45.4</v>
      </c>
      <c r="D11" s="108">
        <f>'30Year'!D47</f>
        <v>58.7</v>
      </c>
      <c r="E11" s="108">
        <f>'30Year'!E47</f>
        <v>50.3</v>
      </c>
      <c r="F11" s="108">
        <f>'30Year'!F47</f>
        <v>93.7</v>
      </c>
      <c r="G11" s="108">
        <f>'30Year'!G47</f>
        <v>159</v>
      </c>
      <c r="H11" s="108">
        <f>'30Year'!H47</f>
        <v>151.69999999999999</v>
      </c>
      <c r="I11" s="108">
        <f>'30Year'!I47</f>
        <v>240.4</v>
      </c>
      <c r="J11" s="108">
        <f>'30Year'!J47</f>
        <v>119.5</v>
      </c>
      <c r="K11" s="108">
        <f>'30Year'!K47</f>
        <v>184.8</v>
      </c>
      <c r="L11" s="108">
        <f>'30Year'!L47</f>
        <v>18.100000000000001</v>
      </c>
      <c r="M11" s="108">
        <f>'30Year'!M47</f>
        <v>79.900000000000006</v>
      </c>
      <c r="N11" s="108">
        <f>'30Year'!N47</f>
        <v>35.9</v>
      </c>
      <c r="O11" s="108">
        <f>'30Year'!O47</f>
        <v>1237.4000000000001</v>
      </c>
      <c r="P11" s="109">
        <f>'30Year'!P47</f>
        <v>103.1</v>
      </c>
    </row>
    <row r="12" spans="2:16">
      <c r="B12" s="200">
        <f>'30Year'!B48</f>
        <v>2014</v>
      </c>
      <c r="C12" s="108">
        <f>'30Year'!C48</f>
        <v>2.2000000000000002</v>
      </c>
      <c r="D12" s="108">
        <f>'30Year'!D48</f>
        <v>15.3</v>
      </c>
      <c r="E12" s="108">
        <f>'30Year'!E48</f>
        <v>69.3</v>
      </c>
      <c r="F12" s="108">
        <f>'30Year'!F48</f>
        <v>94.1</v>
      </c>
      <c r="G12" s="108">
        <f>'30Year'!G48</f>
        <v>61.5</v>
      </c>
      <c r="H12" s="108">
        <f>'30Year'!H48</f>
        <v>77.8</v>
      </c>
      <c r="I12" s="108">
        <f>'30Year'!I48</f>
        <v>174.7</v>
      </c>
      <c r="J12" s="108">
        <f>'30Year'!J48</f>
        <v>225.1</v>
      </c>
      <c r="K12" s="108">
        <f>'30Year'!K48</f>
        <v>157.5</v>
      </c>
      <c r="L12" s="108">
        <f>'30Year'!L48</f>
        <v>170.5</v>
      </c>
      <c r="M12" s="108">
        <f>'30Year'!M48</f>
        <v>42.4</v>
      </c>
      <c r="N12" s="108">
        <f>'30Year'!N48</f>
        <v>51.7</v>
      </c>
      <c r="O12" s="108">
        <f>'30Year'!O48</f>
        <v>1142.0999999999999</v>
      </c>
      <c r="P12" s="109">
        <f>'30Year'!P48</f>
        <v>95.2</v>
      </c>
    </row>
    <row r="13" spans="2:16">
      <c r="B13" s="200">
        <f>'30Year'!B49</f>
        <v>2015</v>
      </c>
      <c r="C13" s="108">
        <f>'30Year'!C49</f>
        <v>35.4</v>
      </c>
      <c r="D13" s="108">
        <f>'30Year'!D49</f>
        <v>35.6</v>
      </c>
      <c r="E13" s="108">
        <f>'30Year'!E49</f>
        <v>42.4</v>
      </c>
      <c r="F13" s="108">
        <f>'30Year'!F49</f>
        <v>99.5</v>
      </c>
      <c r="G13" s="108">
        <f>'30Year'!G49</f>
        <v>53.5</v>
      </c>
      <c r="H13" s="108">
        <f>'30Year'!H49</f>
        <v>92.7</v>
      </c>
      <c r="I13" s="108">
        <f>'30Year'!I49</f>
        <v>119.9</v>
      </c>
      <c r="J13" s="108">
        <f>'30Year'!J49</f>
        <v>56.9</v>
      </c>
      <c r="K13" s="108">
        <f>'30Year'!K49</f>
        <v>22</v>
      </c>
      <c r="L13" s="108">
        <f>'30Year'!L49</f>
        <v>104</v>
      </c>
      <c r="M13" s="108">
        <f>'30Year'!M49</f>
        <v>126.1</v>
      </c>
      <c r="N13" s="108">
        <f>'30Year'!N49</f>
        <v>56.9</v>
      </c>
      <c r="O13" s="108">
        <f>'30Year'!O49</f>
        <v>844.9</v>
      </c>
      <c r="P13" s="109">
        <f>'30Year'!P49</f>
        <v>70.400000000000006</v>
      </c>
    </row>
    <row r="14" spans="2:16">
      <c r="B14" s="200">
        <f>'30Year'!B50</f>
        <v>2016</v>
      </c>
      <c r="C14" s="108">
        <f>'30Year'!C50</f>
        <v>6.6</v>
      </c>
      <c r="D14" s="108">
        <f>'30Year'!D50</f>
        <v>59.6</v>
      </c>
      <c r="E14" s="108">
        <f>'30Year'!E50</f>
        <v>19</v>
      </c>
      <c r="F14" s="108">
        <f>'30Year'!F50</f>
        <v>164.6</v>
      </c>
      <c r="G14" s="108">
        <f>'30Year'!G50</f>
        <v>121.6</v>
      </c>
      <c r="H14" s="108">
        <f>'30Year'!H50</f>
        <v>49.4</v>
      </c>
      <c r="I14" s="108">
        <f>'30Year'!I50</f>
        <v>341.1</v>
      </c>
      <c r="J14" s="108">
        <f>'30Year'!J50</f>
        <v>33.4</v>
      </c>
      <c r="K14" s="108">
        <f>'30Year'!K50</f>
        <v>133.69999999999999</v>
      </c>
      <c r="L14" s="108">
        <f>'30Year'!L50</f>
        <v>120.1</v>
      </c>
      <c r="M14" s="108">
        <f>'30Year'!M50</f>
        <v>17.100000000000001</v>
      </c>
      <c r="N14" s="108">
        <f>'30Year'!N50</f>
        <v>63.1</v>
      </c>
      <c r="O14" s="108">
        <f>'30Year'!O50</f>
        <v>1129.3</v>
      </c>
      <c r="P14" s="109">
        <f>'30Year'!P50</f>
        <v>94.1</v>
      </c>
    </row>
    <row r="15" spans="2:16">
      <c r="B15" s="200">
        <f>'30Year'!B51</f>
        <v>2017</v>
      </c>
      <c r="C15" s="108">
        <f>'30Year'!C51</f>
        <v>16</v>
      </c>
      <c r="D15" s="108">
        <f>'30Year'!D51</f>
        <v>28.5</v>
      </c>
      <c r="E15" s="108">
        <f>'30Year'!E51</f>
        <v>8.8000000000000007</v>
      </c>
      <c r="F15" s="108">
        <f>'30Year'!F51</f>
        <v>78.400000000000006</v>
      </c>
      <c r="G15" s="108">
        <f>'30Year'!G51</f>
        <v>35.799999999999997</v>
      </c>
      <c r="H15" s="108">
        <f>'30Year'!H51</f>
        <v>51.4</v>
      </c>
      <c r="I15" s="108">
        <f>'30Year'!I51</f>
        <v>326.7</v>
      </c>
      <c r="J15" s="108">
        <f>'30Year'!J51</f>
        <v>358.4</v>
      </c>
      <c r="K15" s="108">
        <f>'30Year'!K51</f>
        <v>97.1</v>
      </c>
      <c r="L15" s="108">
        <f>'30Year'!L51</f>
        <v>51.9</v>
      </c>
      <c r="M15" s="108">
        <f>'30Year'!M51</f>
        <v>20.8</v>
      </c>
      <c r="N15" s="108">
        <f>'30Year'!N51</f>
        <v>36.1</v>
      </c>
      <c r="O15" s="108">
        <f>'30Year'!O51</f>
        <v>1109.9000000000001</v>
      </c>
      <c r="P15" s="109">
        <f>'30Year'!P51</f>
        <v>92.5</v>
      </c>
    </row>
    <row r="16" spans="2:16">
      <c r="B16" s="200">
        <f>'30Year'!B52</f>
        <v>2018</v>
      </c>
      <c r="C16" s="108">
        <f>'30Year'!C52</f>
        <v>25</v>
      </c>
      <c r="D16" s="108">
        <f>'30Year'!D52</f>
        <v>43.1</v>
      </c>
      <c r="E16" s="108">
        <f>'30Year'!E52</f>
        <v>99.3</v>
      </c>
      <c r="F16" s="108">
        <f>'30Year'!F52</f>
        <v>156.5</v>
      </c>
      <c r="G16" s="108">
        <f>'30Year'!G52</f>
        <v>116.1</v>
      </c>
      <c r="H16" s="108">
        <f>'30Year'!H52</f>
        <v>107.1</v>
      </c>
      <c r="I16" s="108">
        <f>'30Year'!I52</f>
        <v>278.8</v>
      </c>
      <c r="J16" s="108">
        <f>'30Year'!J52</f>
        <v>277</v>
      </c>
      <c r="K16" s="108">
        <f>'30Year'!K52</f>
        <v>98.3</v>
      </c>
      <c r="L16" s="108">
        <f>'30Year'!L52</f>
        <v>159.19999999999999</v>
      </c>
      <c r="M16" s="108">
        <f>'30Year'!M52</f>
        <v>66</v>
      </c>
      <c r="N16" s="108">
        <f>'30Year'!N52</f>
        <v>31.5</v>
      </c>
      <c r="O16" s="108">
        <f>'30Year'!O52</f>
        <v>1457.9</v>
      </c>
      <c r="P16" s="109">
        <f>'30Year'!P52</f>
        <v>121.5</v>
      </c>
    </row>
    <row r="17" spans="2:16">
      <c r="B17" s="200">
        <f>'30Year'!B53</f>
        <v>2019</v>
      </c>
      <c r="C17" s="108">
        <f>'30Year'!C53</f>
        <v>0.5</v>
      </c>
      <c r="D17" s="108">
        <f>'30Year'!D53</f>
        <v>37.6</v>
      </c>
      <c r="E17" s="108">
        <f>'30Year'!E53</f>
        <v>35</v>
      </c>
      <c r="F17" s="108">
        <f>'30Year'!F53</f>
        <v>73.7</v>
      </c>
      <c r="G17" s="108">
        <f>'30Year'!G53</f>
        <v>44.3</v>
      </c>
      <c r="H17" s="108">
        <f>'30Year'!H53</f>
        <v>59.9</v>
      </c>
      <c r="I17" s="108">
        <f>'30Year'!I53</f>
        <v>216.7</v>
      </c>
      <c r="J17" s="108">
        <f>'30Year'!J53</f>
        <v>102.1</v>
      </c>
      <c r="K17" s="108">
        <f>'30Year'!K53</f>
        <v>191.9</v>
      </c>
      <c r="L17" s="108">
        <f>'30Year'!L53</f>
        <v>85.6</v>
      </c>
      <c r="M17" s="108">
        <f>'30Year'!M53</f>
        <v>113.5</v>
      </c>
      <c r="N17" s="108">
        <f>'30Year'!N53</f>
        <v>31.2</v>
      </c>
      <c r="O17" s="108">
        <f>'30Year'!O53</f>
        <v>992</v>
      </c>
      <c r="P17" s="109">
        <f>'30Year'!P53</f>
        <v>82.7</v>
      </c>
    </row>
    <row r="18" spans="2:16">
      <c r="B18" s="201" t="s">
        <v>20</v>
      </c>
      <c r="C18" s="202">
        <f>'30Year'!C56</f>
        <v>18.8</v>
      </c>
      <c r="D18" s="202">
        <f>'30Year'!D56</f>
        <v>43.2</v>
      </c>
      <c r="E18" s="202">
        <f>'30Year'!E56</f>
        <v>49.5</v>
      </c>
      <c r="F18" s="202">
        <f>'30Year'!F56</f>
        <v>100.9</v>
      </c>
      <c r="G18" s="202">
        <f>'30Year'!G56</f>
        <v>86.3</v>
      </c>
      <c r="H18" s="202">
        <f>'30Year'!H56</f>
        <v>101.3</v>
      </c>
      <c r="I18" s="202">
        <f>'30Year'!I56</f>
        <v>286.3</v>
      </c>
      <c r="J18" s="202">
        <f>'30Year'!J56</f>
        <v>279.5</v>
      </c>
      <c r="K18" s="202">
        <f>'30Year'!K56</f>
        <v>132.6</v>
      </c>
      <c r="L18" s="202">
        <f>'30Year'!L56</f>
        <v>83.7</v>
      </c>
      <c r="M18" s="202">
        <f>'30Year'!M56</f>
        <v>62.7</v>
      </c>
      <c r="N18" s="202">
        <f>'30Year'!N56</f>
        <v>40.5</v>
      </c>
      <c r="O18" s="202">
        <f>'30Year'!O56</f>
        <v>1285.2</v>
      </c>
      <c r="P18" s="203">
        <f>'30Year'!P56</f>
        <v>107.1</v>
      </c>
    </row>
    <row r="19" spans="2:16" ht="17.25" thickBot="1">
      <c r="B19" s="204" t="s">
        <v>23</v>
      </c>
      <c r="C19" s="205">
        <f>'30Year'!C38</f>
        <v>24.5</v>
      </c>
      <c r="D19" s="205">
        <f>'30Year'!D38</f>
        <v>38.1</v>
      </c>
      <c r="E19" s="205">
        <f>'30Year'!E38</f>
        <v>53.4</v>
      </c>
      <c r="F19" s="205">
        <f>'30Year'!F38</f>
        <v>87.9</v>
      </c>
      <c r="G19" s="205">
        <f>'30Year'!G38</f>
        <v>97.8</v>
      </c>
      <c r="H19" s="205">
        <f>'30Year'!H38</f>
        <v>161.80000000000001</v>
      </c>
      <c r="I19" s="205">
        <f>'30Year'!I38</f>
        <v>292.3</v>
      </c>
      <c r="J19" s="205">
        <f>'30Year'!J38</f>
        <v>279</v>
      </c>
      <c r="K19" s="205">
        <f>'30Year'!K38</f>
        <v>144.1</v>
      </c>
      <c r="L19" s="205">
        <f>'30Year'!L38</f>
        <v>63.6</v>
      </c>
      <c r="M19" s="205">
        <f>'30Year'!M38</f>
        <v>52.1</v>
      </c>
      <c r="N19" s="205">
        <f>'30Year'!N38</f>
        <v>32.200000000000003</v>
      </c>
      <c r="O19" s="205">
        <f>'30Year'!O38</f>
        <v>1326.8</v>
      </c>
      <c r="P19" s="206">
        <f>'30Year'!P38</f>
        <v>110.6</v>
      </c>
    </row>
    <row r="21" spans="2:16" ht="17.25" thickBot="1"/>
    <row r="22" spans="2:16">
      <c r="B22" s="197" t="s">
        <v>40</v>
      </c>
      <c r="C22" s="199" t="s">
        <v>200</v>
      </c>
    </row>
    <row r="23" spans="2:16">
      <c r="B23" s="200">
        <f>B8</f>
        <v>2010</v>
      </c>
      <c r="C23" s="109">
        <f>O8</f>
        <v>1378.3</v>
      </c>
    </row>
    <row r="24" spans="2:16">
      <c r="B24" s="200">
        <f t="shared" ref="B24:B33" si="0">B9</f>
        <v>2011</v>
      </c>
      <c r="C24" s="109">
        <f t="shared" ref="C24:C33" si="1">O9</f>
        <v>2014.7</v>
      </c>
    </row>
    <row r="25" spans="2:16">
      <c r="B25" s="200">
        <f t="shared" si="0"/>
        <v>2012</v>
      </c>
      <c r="C25" s="109">
        <f t="shared" si="1"/>
        <v>1545.8</v>
      </c>
    </row>
    <row r="26" spans="2:16">
      <c r="B26" s="200">
        <f t="shared" si="0"/>
        <v>2013</v>
      </c>
      <c r="C26" s="109">
        <f t="shared" si="1"/>
        <v>1237.4000000000001</v>
      </c>
    </row>
    <row r="27" spans="2:16">
      <c r="B27" s="200">
        <f t="shared" si="0"/>
        <v>2014</v>
      </c>
      <c r="C27" s="109">
        <f t="shared" si="1"/>
        <v>1142.0999999999999</v>
      </c>
    </row>
    <row r="28" spans="2:16">
      <c r="B28" s="200">
        <f t="shared" si="0"/>
        <v>2015</v>
      </c>
      <c r="C28" s="109">
        <f t="shared" si="1"/>
        <v>844.9</v>
      </c>
    </row>
    <row r="29" spans="2:16">
      <c r="B29" s="200">
        <f t="shared" si="0"/>
        <v>2016</v>
      </c>
      <c r="C29" s="109">
        <f t="shared" si="1"/>
        <v>1129.3</v>
      </c>
    </row>
    <row r="30" spans="2:16">
      <c r="B30" s="200">
        <f t="shared" si="0"/>
        <v>2017</v>
      </c>
      <c r="C30" s="109">
        <f t="shared" si="1"/>
        <v>1109.9000000000001</v>
      </c>
    </row>
    <row r="31" spans="2:16">
      <c r="B31" s="200">
        <f t="shared" si="0"/>
        <v>2018</v>
      </c>
      <c r="C31" s="109">
        <f t="shared" si="1"/>
        <v>1457.9</v>
      </c>
    </row>
    <row r="32" spans="2:16">
      <c r="B32" s="200">
        <f t="shared" si="0"/>
        <v>2019</v>
      </c>
      <c r="C32" s="109">
        <f t="shared" si="1"/>
        <v>992</v>
      </c>
    </row>
    <row r="33" spans="2:3" ht="17.25" thickBot="1">
      <c r="B33" s="207" t="str">
        <f t="shared" si="0"/>
        <v>평균</v>
      </c>
      <c r="C33" s="122">
        <f t="shared" si="1"/>
        <v>1285.2</v>
      </c>
    </row>
  </sheetData>
  <phoneticPr fontId="7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1:O32"/>
  <sheetViews>
    <sheetView workbookViewId="0">
      <selection activeCell="C17" sqref="C17"/>
    </sheetView>
  </sheetViews>
  <sheetFormatPr defaultColWidth="8.88671875" defaultRowHeight="16.5"/>
  <cols>
    <col min="1" max="2" width="8.88671875" style="101"/>
    <col min="3" max="14" width="9" style="101" bestFit="1" customWidth="1"/>
    <col min="15" max="15" width="9.33203125" style="101" bestFit="1" customWidth="1"/>
    <col min="16" max="16" width="9" style="101" bestFit="1" customWidth="1"/>
    <col min="17" max="16384" width="8.88671875" style="101"/>
  </cols>
  <sheetData>
    <row r="1" spans="2:15">
      <c r="B1" s="101" t="s">
        <v>42</v>
      </c>
    </row>
    <row r="2" spans="2:15" ht="17.25" thickBot="1"/>
    <row r="3" spans="2:15" s="193" customFormat="1" ht="18" customHeight="1">
      <c r="B3" s="190"/>
      <c r="C3" s="191" t="s">
        <v>43</v>
      </c>
      <c r="D3" s="191" t="s">
        <v>44</v>
      </c>
      <c r="E3" s="191" t="s">
        <v>45</v>
      </c>
      <c r="F3" s="191" t="s">
        <v>46</v>
      </c>
      <c r="G3" s="191" t="s">
        <v>47</v>
      </c>
      <c r="H3" s="191" t="s">
        <v>12</v>
      </c>
      <c r="I3" s="191" t="s">
        <v>13</v>
      </c>
      <c r="J3" s="191" t="s">
        <v>14</v>
      </c>
      <c r="K3" s="191" t="s">
        <v>15</v>
      </c>
      <c r="L3" s="191" t="s">
        <v>16</v>
      </c>
      <c r="M3" s="191" t="s">
        <v>17</v>
      </c>
      <c r="N3" s="191" t="s">
        <v>18</v>
      </c>
      <c r="O3" s="192" t="s">
        <v>41</v>
      </c>
    </row>
    <row r="4" spans="2:15" ht="18" customHeight="1" thickBot="1">
      <c r="B4" s="194" t="s">
        <v>41</v>
      </c>
      <c r="C4" s="195">
        <f>'30Year'!C56</f>
        <v>18.8</v>
      </c>
      <c r="D4" s="195">
        <f>'30Year'!D56</f>
        <v>43.2</v>
      </c>
      <c r="E4" s="195">
        <f>'30Year'!E56</f>
        <v>49.5</v>
      </c>
      <c r="F4" s="195">
        <f>'30Year'!F56</f>
        <v>100.9</v>
      </c>
      <c r="G4" s="195">
        <f>'30Year'!G56</f>
        <v>86.3</v>
      </c>
      <c r="H4" s="195">
        <f>'30Year'!H56</f>
        <v>101.3</v>
      </c>
      <c r="I4" s="195">
        <f>'30Year'!I56</f>
        <v>286.3</v>
      </c>
      <c r="J4" s="195">
        <f>'30Year'!J56</f>
        <v>279.5</v>
      </c>
      <c r="K4" s="195">
        <f>'30Year'!K56</f>
        <v>132.6</v>
      </c>
      <c r="L4" s="195">
        <f>'30Year'!L56</f>
        <v>83.7</v>
      </c>
      <c r="M4" s="195">
        <f>'30Year'!M56</f>
        <v>62.7</v>
      </c>
      <c r="N4" s="195">
        <f>'30Year'!N56</f>
        <v>40.5</v>
      </c>
      <c r="O4" s="196">
        <f>'30Year'!P56</f>
        <v>107.1</v>
      </c>
    </row>
    <row r="5" spans="2:15" ht="18" customHeight="1"/>
    <row r="6" spans="2:15" ht="18" customHeight="1"/>
    <row r="7" spans="2:15" ht="18" customHeight="1"/>
    <row r="8" spans="2:15" ht="18" customHeight="1"/>
    <row r="9" spans="2:15" ht="18" customHeight="1"/>
    <row r="10" spans="2:15" ht="18" customHeight="1"/>
    <row r="11" spans="2:15" ht="18" customHeight="1"/>
    <row r="12" spans="2:15" ht="18" customHeight="1"/>
    <row r="13" spans="2:15" ht="18" customHeight="1"/>
    <row r="14" spans="2:15" ht="18" customHeight="1"/>
    <row r="15" spans="2:15" ht="18" customHeight="1"/>
    <row r="16" spans="2:15" ht="18" customHeight="1"/>
    <row r="17" ht="18" customHeight="1"/>
    <row r="18" ht="18" customHeight="1"/>
    <row r="19" ht="18" customHeight="1"/>
    <row r="20" ht="18" customHeight="1"/>
    <row r="21" ht="18" customHeight="1"/>
    <row r="22" ht="18" customHeight="1"/>
    <row r="23" ht="18" customHeight="1"/>
    <row r="24" ht="18" customHeight="1"/>
    <row r="25" ht="18" customHeight="1"/>
    <row r="26" ht="18" customHeight="1"/>
    <row r="27" ht="18" customHeight="1"/>
    <row r="28" ht="18" customHeight="1"/>
    <row r="29" ht="18" customHeight="1"/>
    <row r="30" ht="18" customHeight="1"/>
    <row r="31" ht="18" customHeight="1"/>
    <row r="32" ht="18" customHeight="1"/>
  </sheetData>
  <phoneticPr fontId="7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9" tint="0.39997558519241921"/>
  </sheetPr>
  <dimension ref="A2:P82"/>
  <sheetViews>
    <sheetView topLeftCell="A22" zoomScaleNormal="100" workbookViewId="0">
      <selection activeCell="F24" sqref="F24"/>
    </sheetView>
  </sheetViews>
  <sheetFormatPr defaultColWidth="8.88671875" defaultRowHeight="16.5"/>
  <cols>
    <col min="1" max="1" width="17" style="101" customWidth="1"/>
    <col min="2" max="2" width="19.5546875" style="101" customWidth="1"/>
    <col min="3" max="16" width="10.109375" style="101" customWidth="1"/>
    <col min="17" max="16384" width="8.88671875" style="101"/>
  </cols>
  <sheetData>
    <row r="2" spans="2:16">
      <c r="B2" s="100" t="s">
        <v>213</v>
      </c>
    </row>
    <row r="3" spans="2:16" ht="17.25" thickBot="1"/>
    <row r="4" spans="2:16" ht="23.25" customHeight="1">
      <c r="B4" s="102"/>
      <c r="C4" s="103" t="s">
        <v>7</v>
      </c>
      <c r="D4" s="104" t="s">
        <v>8</v>
      </c>
      <c r="E4" s="104" t="s">
        <v>9</v>
      </c>
      <c r="F4" s="104" t="s">
        <v>10</v>
      </c>
      <c r="G4" s="104" t="s">
        <v>11</v>
      </c>
      <c r="H4" s="104" t="s">
        <v>12</v>
      </c>
      <c r="I4" s="104" t="s">
        <v>13</v>
      </c>
      <c r="J4" s="104" t="s">
        <v>14</v>
      </c>
      <c r="K4" s="104" t="s">
        <v>15</v>
      </c>
      <c r="L4" s="104" t="s">
        <v>16</v>
      </c>
      <c r="M4" s="104" t="s">
        <v>17</v>
      </c>
      <c r="N4" s="105" t="s">
        <v>18</v>
      </c>
      <c r="O4" s="103" t="s">
        <v>19</v>
      </c>
      <c r="P4" s="105" t="s">
        <v>20</v>
      </c>
    </row>
    <row r="5" spans="2:16" ht="22.15" customHeight="1">
      <c r="B5" s="106">
        <f>'30Year'!B44</f>
        <v>2010</v>
      </c>
      <c r="C5" s="107">
        <f>'30Year'!C44</f>
        <v>37.1</v>
      </c>
      <c r="D5" s="108">
        <f>'30Year'!D44</f>
        <v>89.5</v>
      </c>
      <c r="E5" s="108">
        <f>'30Year'!E44</f>
        <v>94.9</v>
      </c>
      <c r="F5" s="108">
        <f>'30Year'!F44</f>
        <v>69.599999999999994</v>
      </c>
      <c r="G5" s="108">
        <f>'30Year'!G44</f>
        <v>140.69999999999999</v>
      </c>
      <c r="H5" s="108">
        <f>'30Year'!H44</f>
        <v>36.1</v>
      </c>
      <c r="I5" s="108">
        <f>'30Year'!I44</f>
        <v>262.10000000000002</v>
      </c>
      <c r="J5" s="108">
        <f>'30Year'!J44</f>
        <v>431.1</v>
      </c>
      <c r="K5" s="108">
        <f>'30Year'!K44</f>
        <v>149.80000000000001</v>
      </c>
      <c r="L5" s="108">
        <f>'30Year'!L44</f>
        <v>17.8</v>
      </c>
      <c r="M5" s="108">
        <f>'30Year'!M44</f>
        <v>18.600000000000001</v>
      </c>
      <c r="N5" s="109">
        <f>'30Year'!N44</f>
        <v>31</v>
      </c>
      <c r="O5" s="107">
        <f>'30Year'!O44</f>
        <v>1378.3</v>
      </c>
      <c r="P5" s="109">
        <f>'30Year'!P44</f>
        <v>114.9</v>
      </c>
    </row>
    <row r="6" spans="2:16" ht="22.15" customHeight="1">
      <c r="B6" s="106">
        <f>'30Year'!B45</f>
        <v>2011</v>
      </c>
      <c r="C6" s="107">
        <f>'30Year'!C45</f>
        <v>3.7</v>
      </c>
      <c r="D6" s="108">
        <f>'30Year'!D45</f>
        <v>60.7</v>
      </c>
      <c r="E6" s="108">
        <f>'30Year'!E45</f>
        <v>16</v>
      </c>
      <c r="F6" s="108">
        <f>'30Year'!F45</f>
        <v>70</v>
      </c>
      <c r="G6" s="108">
        <f>'30Year'!G45</f>
        <v>111.2</v>
      </c>
      <c r="H6" s="108">
        <f>'30Year'!H45</f>
        <v>316</v>
      </c>
      <c r="I6" s="108">
        <f>'30Year'!I45</f>
        <v>599.6</v>
      </c>
      <c r="J6" s="108">
        <f>'30Year'!J45</f>
        <v>618.1</v>
      </c>
      <c r="K6" s="108">
        <f>'30Year'!K45</f>
        <v>104.2</v>
      </c>
      <c r="L6" s="108">
        <f>'30Year'!L45</f>
        <v>26.6</v>
      </c>
      <c r="M6" s="108">
        <f>'30Year'!M45</f>
        <v>81.599999999999994</v>
      </c>
      <c r="N6" s="109">
        <f>'30Year'!N45</f>
        <v>7</v>
      </c>
      <c r="O6" s="107">
        <f>'30Year'!O45</f>
        <v>2014.7</v>
      </c>
      <c r="P6" s="109">
        <f>'30Year'!P45</f>
        <v>167.9</v>
      </c>
    </row>
    <row r="7" spans="2:16" ht="22.15" customHeight="1">
      <c r="B7" s="106">
        <f>'30Year'!B46</f>
        <v>2012</v>
      </c>
      <c r="C7" s="107">
        <f>'30Year'!C46</f>
        <v>16</v>
      </c>
      <c r="D7" s="108">
        <f>'30Year'!D46</f>
        <v>3.2</v>
      </c>
      <c r="E7" s="108">
        <f>'30Year'!E46</f>
        <v>60.2</v>
      </c>
      <c r="F7" s="108">
        <f>'30Year'!F46</f>
        <v>109.3</v>
      </c>
      <c r="G7" s="108">
        <f>'30Year'!G46</f>
        <v>19.5</v>
      </c>
      <c r="H7" s="108">
        <f>'30Year'!H46</f>
        <v>71.3</v>
      </c>
      <c r="I7" s="108">
        <f>'30Year'!I46</f>
        <v>302.89999999999998</v>
      </c>
      <c r="J7" s="108">
        <f>'30Year'!J46</f>
        <v>573.29999999999995</v>
      </c>
      <c r="K7" s="108">
        <f>'30Year'!K46</f>
        <v>186.2</v>
      </c>
      <c r="L7" s="108">
        <f>'30Year'!L46</f>
        <v>83</v>
      </c>
      <c r="M7" s="108">
        <f>'30Year'!M46</f>
        <v>60.7</v>
      </c>
      <c r="N7" s="109">
        <f>'30Year'!N46</f>
        <v>60.2</v>
      </c>
      <c r="O7" s="107">
        <f>'30Year'!O46</f>
        <v>1545.8</v>
      </c>
      <c r="P7" s="109">
        <f>'30Year'!P46</f>
        <v>128.80000000000001</v>
      </c>
    </row>
    <row r="8" spans="2:16" ht="22.15" customHeight="1">
      <c r="B8" s="106">
        <f>'30Year'!B47</f>
        <v>2013</v>
      </c>
      <c r="C8" s="107">
        <f>'30Year'!C47</f>
        <v>45.4</v>
      </c>
      <c r="D8" s="108">
        <f>'30Year'!D47</f>
        <v>58.7</v>
      </c>
      <c r="E8" s="108">
        <f>'30Year'!E47</f>
        <v>50.3</v>
      </c>
      <c r="F8" s="108">
        <f>'30Year'!F47</f>
        <v>93.7</v>
      </c>
      <c r="G8" s="108">
        <f>'30Year'!G47</f>
        <v>159</v>
      </c>
      <c r="H8" s="108">
        <f>'30Year'!H47</f>
        <v>151.69999999999999</v>
      </c>
      <c r="I8" s="108">
        <f>'30Year'!I47</f>
        <v>240.4</v>
      </c>
      <c r="J8" s="108">
        <f>'30Year'!J47</f>
        <v>119.5</v>
      </c>
      <c r="K8" s="108">
        <f>'30Year'!K47</f>
        <v>184.8</v>
      </c>
      <c r="L8" s="108">
        <f>'30Year'!L47</f>
        <v>18.100000000000001</v>
      </c>
      <c r="M8" s="108">
        <f>'30Year'!M47</f>
        <v>79.900000000000006</v>
      </c>
      <c r="N8" s="109">
        <f>'30Year'!N47</f>
        <v>35.9</v>
      </c>
      <c r="O8" s="107">
        <f>'30Year'!O47</f>
        <v>1237.4000000000001</v>
      </c>
      <c r="P8" s="109">
        <f>'30Year'!P47</f>
        <v>103.1</v>
      </c>
    </row>
    <row r="9" spans="2:16" ht="22.15" customHeight="1">
      <c r="B9" s="106">
        <f>'30Year'!B48</f>
        <v>2014</v>
      </c>
      <c r="C9" s="107">
        <f>'30Year'!C48</f>
        <v>2.2000000000000002</v>
      </c>
      <c r="D9" s="108">
        <f>'30Year'!D48</f>
        <v>15.3</v>
      </c>
      <c r="E9" s="108">
        <f>'30Year'!E48</f>
        <v>69.3</v>
      </c>
      <c r="F9" s="108">
        <f>'30Year'!F48</f>
        <v>94.1</v>
      </c>
      <c r="G9" s="108">
        <f>'30Year'!G48</f>
        <v>61.5</v>
      </c>
      <c r="H9" s="108">
        <f>'30Year'!H48</f>
        <v>77.8</v>
      </c>
      <c r="I9" s="108">
        <f>'30Year'!I48</f>
        <v>174.7</v>
      </c>
      <c r="J9" s="108">
        <f>'30Year'!J48</f>
        <v>225.1</v>
      </c>
      <c r="K9" s="108">
        <f>'30Year'!K48</f>
        <v>157.5</v>
      </c>
      <c r="L9" s="108">
        <f>'30Year'!L48</f>
        <v>170.5</v>
      </c>
      <c r="M9" s="108">
        <f>'30Year'!M48</f>
        <v>42.4</v>
      </c>
      <c r="N9" s="109">
        <f>'30Year'!N48</f>
        <v>51.7</v>
      </c>
      <c r="O9" s="107">
        <f>'30Year'!O48</f>
        <v>1142.0999999999999</v>
      </c>
      <c r="P9" s="109">
        <f>'30Year'!P48</f>
        <v>95.2</v>
      </c>
    </row>
    <row r="10" spans="2:16" ht="22.15" customHeight="1">
      <c r="B10" s="106">
        <f>'30Year'!B49</f>
        <v>2015</v>
      </c>
      <c r="C10" s="107">
        <f>'30Year'!C49</f>
        <v>35.4</v>
      </c>
      <c r="D10" s="108">
        <f>'30Year'!D49</f>
        <v>35.6</v>
      </c>
      <c r="E10" s="108">
        <f>'30Year'!E49</f>
        <v>42.4</v>
      </c>
      <c r="F10" s="108">
        <f>'30Year'!F49</f>
        <v>99.5</v>
      </c>
      <c r="G10" s="108">
        <f>'30Year'!G49</f>
        <v>53.5</v>
      </c>
      <c r="H10" s="108">
        <f>'30Year'!H49</f>
        <v>92.7</v>
      </c>
      <c r="I10" s="108">
        <f>'30Year'!I49</f>
        <v>119.9</v>
      </c>
      <c r="J10" s="108">
        <f>'30Year'!J49</f>
        <v>56.9</v>
      </c>
      <c r="K10" s="108">
        <f>'30Year'!K49</f>
        <v>22</v>
      </c>
      <c r="L10" s="108">
        <f>'30Year'!L49</f>
        <v>104</v>
      </c>
      <c r="M10" s="108">
        <f>'30Year'!M49</f>
        <v>126.1</v>
      </c>
      <c r="N10" s="109">
        <f>'30Year'!N49</f>
        <v>56.9</v>
      </c>
      <c r="O10" s="107">
        <f>'30Year'!O49</f>
        <v>844.9</v>
      </c>
      <c r="P10" s="109">
        <f>'30Year'!P49</f>
        <v>70.400000000000006</v>
      </c>
    </row>
    <row r="11" spans="2:16" ht="22.15" customHeight="1">
      <c r="B11" s="106">
        <f>'30Year'!B50</f>
        <v>2016</v>
      </c>
      <c r="C11" s="107">
        <f>'30Year'!C50</f>
        <v>6.6</v>
      </c>
      <c r="D11" s="108">
        <f>'30Year'!D50</f>
        <v>59.6</v>
      </c>
      <c r="E11" s="108">
        <f>'30Year'!E50</f>
        <v>19</v>
      </c>
      <c r="F11" s="108">
        <f>'30Year'!F50</f>
        <v>164.6</v>
      </c>
      <c r="G11" s="108">
        <f>'30Year'!G50</f>
        <v>121.6</v>
      </c>
      <c r="H11" s="108">
        <f>'30Year'!H50</f>
        <v>49.4</v>
      </c>
      <c r="I11" s="108">
        <f>'30Year'!I50</f>
        <v>341.1</v>
      </c>
      <c r="J11" s="108">
        <f>'30Year'!J50</f>
        <v>33.4</v>
      </c>
      <c r="K11" s="108">
        <f>'30Year'!K50</f>
        <v>133.69999999999999</v>
      </c>
      <c r="L11" s="108">
        <f>'30Year'!L50</f>
        <v>120.1</v>
      </c>
      <c r="M11" s="108">
        <f>'30Year'!M50</f>
        <v>17.100000000000001</v>
      </c>
      <c r="N11" s="109">
        <f>'30Year'!N50</f>
        <v>63.1</v>
      </c>
      <c r="O11" s="107">
        <f>'30Year'!O50</f>
        <v>1129.3</v>
      </c>
      <c r="P11" s="109">
        <f>'30Year'!P50</f>
        <v>94.1</v>
      </c>
    </row>
    <row r="12" spans="2:16" ht="22.15" customHeight="1">
      <c r="B12" s="106">
        <f>'30Year'!B51</f>
        <v>2017</v>
      </c>
      <c r="C12" s="107">
        <f>'30Year'!C51</f>
        <v>16</v>
      </c>
      <c r="D12" s="108">
        <f>'30Year'!D51</f>
        <v>28.5</v>
      </c>
      <c r="E12" s="108">
        <f>'30Year'!E51</f>
        <v>8.8000000000000007</v>
      </c>
      <c r="F12" s="108">
        <f>'30Year'!F51</f>
        <v>78.400000000000006</v>
      </c>
      <c r="G12" s="108">
        <f>'30Year'!G51</f>
        <v>35.799999999999997</v>
      </c>
      <c r="H12" s="108">
        <f>'30Year'!H51</f>
        <v>51.4</v>
      </c>
      <c r="I12" s="108">
        <f>'30Year'!I51</f>
        <v>326.7</v>
      </c>
      <c r="J12" s="108">
        <f>'30Year'!J51</f>
        <v>358.4</v>
      </c>
      <c r="K12" s="108">
        <f>'30Year'!K51</f>
        <v>97.1</v>
      </c>
      <c r="L12" s="108">
        <f>'30Year'!L51</f>
        <v>51.9</v>
      </c>
      <c r="M12" s="108">
        <f>'30Year'!M51</f>
        <v>20.8</v>
      </c>
      <c r="N12" s="109">
        <f>'30Year'!N51</f>
        <v>36.1</v>
      </c>
      <c r="O12" s="107">
        <f>'30Year'!O51</f>
        <v>1109.9000000000001</v>
      </c>
      <c r="P12" s="109">
        <f>'30Year'!P51</f>
        <v>92.5</v>
      </c>
    </row>
    <row r="13" spans="2:16" ht="22.15" customHeight="1">
      <c r="B13" s="106">
        <f>'30Year'!B52</f>
        <v>2018</v>
      </c>
      <c r="C13" s="107">
        <f>'30Year'!C52</f>
        <v>25</v>
      </c>
      <c r="D13" s="108">
        <f>'30Year'!D52</f>
        <v>43.1</v>
      </c>
      <c r="E13" s="108">
        <f>'30Year'!E52</f>
        <v>99.3</v>
      </c>
      <c r="F13" s="108">
        <f>'30Year'!F52</f>
        <v>156.5</v>
      </c>
      <c r="G13" s="108">
        <f>'30Year'!G52</f>
        <v>116.1</v>
      </c>
      <c r="H13" s="108">
        <f>'30Year'!H52</f>
        <v>107.1</v>
      </c>
      <c r="I13" s="108">
        <f>'30Year'!I52</f>
        <v>278.8</v>
      </c>
      <c r="J13" s="108">
        <f>'30Year'!J52</f>
        <v>277</v>
      </c>
      <c r="K13" s="108">
        <f>'30Year'!K52</f>
        <v>98.3</v>
      </c>
      <c r="L13" s="108">
        <f>'30Year'!L52</f>
        <v>159.19999999999999</v>
      </c>
      <c r="M13" s="108">
        <f>'30Year'!M52</f>
        <v>66</v>
      </c>
      <c r="N13" s="109">
        <f>'30Year'!N52</f>
        <v>31.5</v>
      </c>
      <c r="O13" s="107">
        <f>'30Year'!O52</f>
        <v>1457.9</v>
      </c>
      <c r="P13" s="109">
        <f>'30Year'!P52</f>
        <v>121.5</v>
      </c>
    </row>
    <row r="14" spans="2:16" ht="22.15" customHeight="1" thickBot="1">
      <c r="B14" s="106">
        <f>'30Year'!B53</f>
        <v>2019</v>
      </c>
      <c r="C14" s="110">
        <f>'30Year'!C53</f>
        <v>0.5</v>
      </c>
      <c r="D14" s="111">
        <f>'30Year'!D53</f>
        <v>37.6</v>
      </c>
      <c r="E14" s="111">
        <f>'30Year'!E53</f>
        <v>35</v>
      </c>
      <c r="F14" s="111">
        <f>'30Year'!F53</f>
        <v>73.7</v>
      </c>
      <c r="G14" s="111">
        <f>'30Year'!G53</f>
        <v>44.3</v>
      </c>
      <c r="H14" s="111">
        <f>'30Year'!H53</f>
        <v>59.9</v>
      </c>
      <c r="I14" s="111">
        <f>'30Year'!I53</f>
        <v>216.7</v>
      </c>
      <c r="J14" s="111">
        <f>'30Year'!J53</f>
        <v>102.1</v>
      </c>
      <c r="K14" s="111">
        <f>'30Year'!K53</f>
        <v>191.9</v>
      </c>
      <c r="L14" s="111">
        <f>'30Year'!L53</f>
        <v>85.6</v>
      </c>
      <c r="M14" s="111">
        <f>'30Year'!M53</f>
        <v>113.5</v>
      </c>
      <c r="N14" s="112">
        <f>'30Year'!N53</f>
        <v>31.2</v>
      </c>
      <c r="O14" s="110">
        <f>'30Year'!O53</f>
        <v>992</v>
      </c>
      <c r="P14" s="112">
        <f>'30Year'!P53</f>
        <v>82.7</v>
      </c>
    </row>
    <row r="15" spans="2:16" ht="22.15" customHeight="1">
      <c r="B15" s="113" t="s">
        <v>21</v>
      </c>
      <c r="C15" s="114">
        <f>'30Year'!C54</f>
        <v>45.4</v>
      </c>
      <c r="D15" s="115">
        <f>'30Year'!D54</f>
        <v>89.5</v>
      </c>
      <c r="E15" s="115">
        <f>'30Year'!E54</f>
        <v>99.3</v>
      </c>
      <c r="F15" s="115">
        <f>'30Year'!F54</f>
        <v>164.6</v>
      </c>
      <c r="G15" s="115">
        <f>'30Year'!G54</f>
        <v>159</v>
      </c>
      <c r="H15" s="115">
        <f>'30Year'!H54</f>
        <v>316</v>
      </c>
      <c r="I15" s="115">
        <f>'30Year'!I54</f>
        <v>599.6</v>
      </c>
      <c r="J15" s="115">
        <f>'30Year'!J54</f>
        <v>618.1</v>
      </c>
      <c r="K15" s="115">
        <f>'30Year'!K54</f>
        <v>191.9</v>
      </c>
      <c r="L15" s="115">
        <f>'30Year'!L54</f>
        <v>170.5</v>
      </c>
      <c r="M15" s="115">
        <f>'30Year'!M54</f>
        <v>126.1</v>
      </c>
      <c r="N15" s="116">
        <f>'30Year'!N54</f>
        <v>63.1</v>
      </c>
      <c r="O15" s="114">
        <f>'30Year'!O54</f>
        <v>2014.7</v>
      </c>
      <c r="P15" s="116">
        <f>'30Year'!P54</f>
        <v>167.9</v>
      </c>
    </row>
    <row r="16" spans="2:16" ht="22.15" customHeight="1">
      <c r="B16" s="106" t="s">
        <v>22</v>
      </c>
      <c r="C16" s="107">
        <f>'30Year'!C55</f>
        <v>0.5</v>
      </c>
      <c r="D16" s="108">
        <f>'30Year'!D55</f>
        <v>3.2</v>
      </c>
      <c r="E16" s="108">
        <f>'30Year'!E55</f>
        <v>8.8000000000000007</v>
      </c>
      <c r="F16" s="108">
        <f>'30Year'!F55</f>
        <v>69.599999999999994</v>
      </c>
      <c r="G16" s="108">
        <f>'30Year'!G55</f>
        <v>19.5</v>
      </c>
      <c r="H16" s="108">
        <f>'30Year'!H55</f>
        <v>36.1</v>
      </c>
      <c r="I16" s="108">
        <f>'30Year'!I55</f>
        <v>119.9</v>
      </c>
      <c r="J16" s="108">
        <f>'30Year'!J55</f>
        <v>33.4</v>
      </c>
      <c r="K16" s="108">
        <f>'30Year'!K55</f>
        <v>22</v>
      </c>
      <c r="L16" s="108">
        <f>'30Year'!L55</f>
        <v>17.8</v>
      </c>
      <c r="M16" s="108">
        <f>'30Year'!M55</f>
        <v>17.100000000000001</v>
      </c>
      <c r="N16" s="109">
        <f>'30Year'!N55</f>
        <v>7</v>
      </c>
      <c r="O16" s="117">
        <f>'30Year'!O55</f>
        <v>844.9</v>
      </c>
      <c r="P16" s="109">
        <f>'30Year'!P55</f>
        <v>70.400000000000006</v>
      </c>
    </row>
    <row r="17" spans="1:16" ht="22.15" customHeight="1" thickBot="1">
      <c r="B17" s="118" t="s">
        <v>20</v>
      </c>
      <c r="C17" s="119">
        <f>'30Year'!C56</f>
        <v>18.8</v>
      </c>
      <c r="D17" s="120">
        <f>'30Year'!D56</f>
        <v>43.2</v>
      </c>
      <c r="E17" s="120">
        <f>'30Year'!E56</f>
        <v>49.5</v>
      </c>
      <c r="F17" s="120">
        <f>'30Year'!F56</f>
        <v>100.9</v>
      </c>
      <c r="G17" s="121">
        <f>'30Year'!G56</f>
        <v>86.3</v>
      </c>
      <c r="H17" s="121">
        <f>'30Year'!H56</f>
        <v>101.3</v>
      </c>
      <c r="I17" s="121">
        <f>'30Year'!I56</f>
        <v>286.3</v>
      </c>
      <c r="J17" s="121">
        <f>'30Year'!J56</f>
        <v>279.5</v>
      </c>
      <c r="K17" s="121">
        <f>'30Year'!K56</f>
        <v>132.6</v>
      </c>
      <c r="L17" s="120">
        <f>'30Year'!L56</f>
        <v>83.7</v>
      </c>
      <c r="M17" s="120">
        <f>'30Year'!M56</f>
        <v>62.7</v>
      </c>
      <c r="N17" s="122">
        <f>'30Year'!N56</f>
        <v>40.5</v>
      </c>
      <c r="O17" s="119">
        <f>'30Year'!O56</f>
        <v>1285.2</v>
      </c>
      <c r="P17" s="122">
        <f>'30Year'!P56</f>
        <v>107.1</v>
      </c>
    </row>
    <row r="18" spans="1:16" ht="22.15" customHeight="1" thickBot="1">
      <c r="B18" s="123" t="s">
        <v>23</v>
      </c>
      <c r="C18" s="124">
        <f>'30Year'!C38</f>
        <v>24.5</v>
      </c>
      <c r="D18" s="125">
        <f>'30Year'!D38</f>
        <v>38.1</v>
      </c>
      <c r="E18" s="125">
        <f>'30Year'!E38</f>
        <v>53.4</v>
      </c>
      <c r="F18" s="125">
        <f>'30Year'!F38</f>
        <v>87.9</v>
      </c>
      <c r="G18" s="125">
        <f>'30Year'!G38</f>
        <v>97.8</v>
      </c>
      <c r="H18" s="125">
        <f>'30Year'!H38</f>
        <v>161.80000000000001</v>
      </c>
      <c r="I18" s="126">
        <f>'30Year'!I38</f>
        <v>292.3</v>
      </c>
      <c r="J18" s="126">
        <f>'30Year'!J38</f>
        <v>279</v>
      </c>
      <c r="K18" s="126">
        <f>'30Year'!K38</f>
        <v>144.1</v>
      </c>
      <c r="L18" s="126">
        <f>'30Year'!L38</f>
        <v>63.6</v>
      </c>
      <c r="M18" s="126">
        <f>'30Year'!M38</f>
        <v>52.1</v>
      </c>
      <c r="N18" s="127">
        <f>'30Year'!N38</f>
        <v>32.200000000000003</v>
      </c>
      <c r="O18" s="128">
        <f>'30Year'!O38</f>
        <v>1326.8</v>
      </c>
      <c r="P18" s="127">
        <f>'30Year'!P38</f>
        <v>110.6</v>
      </c>
    </row>
    <row r="19" spans="1:16" ht="22.15" customHeight="1"/>
    <row r="20" spans="1:16" ht="17.25" thickBot="1"/>
    <row r="21" spans="1:16" ht="17.25" thickTop="1">
      <c r="B21" s="129" t="s">
        <v>24</v>
      </c>
      <c r="C21" s="130"/>
      <c r="D21" s="131">
        <f>SUM(G17:K17)</f>
        <v>886</v>
      </c>
      <c r="F21" s="132"/>
    </row>
    <row r="22" spans="1:16">
      <c r="B22" s="133" t="s">
        <v>214</v>
      </c>
      <c r="D22" s="134">
        <f>O17</f>
        <v>1285.2</v>
      </c>
    </row>
    <row r="23" spans="1:16" ht="17.25" thickBot="1">
      <c r="B23" s="135"/>
      <c r="C23" s="136"/>
      <c r="D23" s="137">
        <f>D21/D22</f>
        <v>0.68938686585745412</v>
      </c>
    </row>
    <row r="24" spans="1:16" ht="18" thickTop="1" thickBot="1">
      <c r="D24" s="138"/>
    </row>
    <row r="25" spans="1:16">
      <c r="A25" s="101" t="s">
        <v>199</v>
      </c>
      <c r="B25" s="139" t="s">
        <v>111</v>
      </c>
      <c r="C25" s="140">
        <f>O16</f>
        <v>844.9</v>
      </c>
      <c r="D25" s="141" t="s">
        <v>30</v>
      </c>
    </row>
    <row r="26" spans="1:16">
      <c r="B26" s="142" t="s">
        <v>27</v>
      </c>
      <c r="C26" s="143">
        <f>O18</f>
        <v>1326.8</v>
      </c>
      <c r="D26" s="144" t="s">
        <v>29</v>
      </c>
      <c r="G26" s="145" t="s">
        <v>212</v>
      </c>
      <c r="H26" s="146">
        <v>0.16300000000000001</v>
      </c>
    </row>
    <row r="27" spans="1:16">
      <c r="B27" s="142" t="s">
        <v>205</v>
      </c>
      <c r="C27" s="147">
        <v>0.67</v>
      </c>
      <c r="D27" s="144"/>
      <c r="G27" s="62"/>
      <c r="H27" s="62"/>
    </row>
    <row r="28" spans="1:16">
      <c r="B28" s="148" t="s">
        <v>28</v>
      </c>
      <c r="C28" s="149">
        <f>Well!P4</f>
        <v>1437991</v>
      </c>
      <c r="D28" s="144" t="s">
        <v>31</v>
      </c>
    </row>
    <row r="29" spans="1:16" ht="16.5" customHeight="1" thickBot="1">
      <c r="B29" s="150" t="s">
        <v>32</v>
      </c>
      <c r="C29" s="151">
        <v>0.16300000000000001</v>
      </c>
      <c r="D29" s="152">
        <v>0.14369999999999999</v>
      </c>
    </row>
    <row r="30" spans="1:16">
      <c r="E30" s="138"/>
    </row>
    <row r="31" spans="1:16" ht="22.15" customHeight="1">
      <c r="B31" s="153" t="s">
        <v>215</v>
      </c>
      <c r="C31" s="154">
        <f>max*rf_1/10</f>
        <v>21.626840000000001</v>
      </c>
      <c r="D31" s="154">
        <f>max*rf_2/10</f>
        <v>19.066116000000001</v>
      </c>
      <c r="E31" s="155" t="s">
        <v>119</v>
      </c>
    </row>
    <row r="32" spans="1:16" ht="22.15" customHeight="1" thickBot="1">
      <c r="E32" s="138"/>
    </row>
    <row r="33" spans="1:6" ht="22.15" customHeight="1">
      <c r="B33" s="156" t="s">
        <v>25</v>
      </c>
      <c r="C33" s="157">
        <f>(C26*C28*C29)/1000</f>
        <v>310992.01278439997</v>
      </c>
      <c r="D33" s="158" t="s">
        <v>36</v>
      </c>
      <c r="F33" s="159"/>
    </row>
    <row r="34" spans="1:6" ht="22.15" customHeight="1" thickBot="1">
      <c r="B34" s="160"/>
      <c r="C34" s="161">
        <f>C33/365</f>
        <v>852.03291173808213</v>
      </c>
      <c r="D34" s="162" t="s">
        <v>33</v>
      </c>
    </row>
    <row r="35" spans="1:6" ht="22.15" customHeight="1" thickBot="1"/>
    <row r="36" spans="1:6" ht="22.15" customHeight="1">
      <c r="B36" s="163" t="s">
        <v>26</v>
      </c>
      <c r="C36" s="164">
        <f>C25*C28*C29/1000</f>
        <v>198038.25113169997</v>
      </c>
      <c r="D36" s="165" t="s">
        <v>34</v>
      </c>
    </row>
    <row r="37" spans="1:6" ht="22.15" customHeight="1" thickBot="1">
      <c r="B37" s="166"/>
      <c r="C37" s="167">
        <f>C36/365</f>
        <v>542.5705510457534</v>
      </c>
      <c r="D37" s="168" t="s">
        <v>35</v>
      </c>
    </row>
    <row r="38" spans="1:6" ht="18" thickTop="1" thickBot="1">
      <c r="B38" s="169" t="s">
        <v>216</v>
      </c>
      <c r="C38" s="170">
        <f>(C37/C34)*100</f>
        <v>63.679529695507988</v>
      </c>
      <c r="D38" s="171" t="s">
        <v>62</v>
      </c>
    </row>
    <row r="39" spans="1:6" ht="17.25" thickTop="1"/>
    <row r="40" spans="1:6">
      <c r="A40" s="101" t="s">
        <v>217</v>
      </c>
      <c r="C40" s="172">
        <v>115</v>
      </c>
      <c r="D40" s="173">
        <v>120</v>
      </c>
    </row>
    <row r="41" spans="1:6">
      <c r="A41" s="101" t="s">
        <v>218</v>
      </c>
      <c r="C41" s="174">
        <v>75</v>
      </c>
      <c r="D41" s="174">
        <v>80</v>
      </c>
    </row>
    <row r="42" spans="1:6">
      <c r="A42" s="101" t="s">
        <v>219</v>
      </c>
      <c r="C42" s="172">
        <v>95</v>
      </c>
      <c r="D42" s="173">
        <v>100</v>
      </c>
    </row>
    <row r="43" spans="1:6">
      <c r="A43" s="101" t="s">
        <v>220</v>
      </c>
      <c r="C43" s="172">
        <v>90</v>
      </c>
      <c r="D43" s="173">
        <v>95</v>
      </c>
    </row>
    <row r="44" spans="1:6">
      <c r="A44" s="101" t="s">
        <v>221</v>
      </c>
    </row>
    <row r="46" spans="1:6">
      <c r="A46" s="101" t="s">
        <v>114</v>
      </c>
    </row>
    <row r="48" spans="1:6">
      <c r="A48" s="101" t="s">
        <v>222</v>
      </c>
    </row>
    <row r="49" spans="1:12">
      <c r="A49" s="101" t="s">
        <v>223</v>
      </c>
    </row>
    <row r="51" spans="1:12">
      <c r="A51" s="62"/>
      <c r="B51" s="62"/>
      <c r="C51" s="62"/>
      <c r="D51" s="62"/>
      <c r="E51" s="62"/>
      <c r="F51" s="62"/>
      <c r="G51" s="62"/>
      <c r="H51" s="62"/>
      <c r="I51" s="62"/>
      <c r="J51" s="62"/>
      <c r="K51" s="62"/>
      <c r="L51" s="62"/>
    </row>
    <row r="52" spans="1:12" ht="17.25" thickBot="1">
      <c r="A52" s="62"/>
      <c r="B52" s="62"/>
      <c r="C52" s="62"/>
      <c r="D52" s="62"/>
      <c r="E52" s="62"/>
      <c r="F52" s="62"/>
      <c r="G52" s="62"/>
      <c r="H52" s="62"/>
      <c r="I52" s="62"/>
      <c r="J52" s="62"/>
      <c r="K52" s="62"/>
      <c r="L52" s="62"/>
    </row>
    <row r="53" spans="1:12" s="62" customFormat="1" ht="18" customHeight="1">
      <c r="A53" s="338" t="s">
        <v>189</v>
      </c>
      <c r="B53" s="339"/>
    </row>
    <row r="54" spans="1:12" s="62" customFormat="1" ht="18" customHeight="1" thickBot="1">
      <c r="A54" s="175"/>
      <c r="B54" s="176" t="s">
        <v>199</v>
      </c>
    </row>
    <row r="55" spans="1:12" s="62" customFormat="1" ht="18" customHeight="1">
      <c r="A55" s="177" t="s">
        <v>190</v>
      </c>
      <c r="B55" s="178">
        <v>83</v>
      </c>
    </row>
    <row r="56" spans="1:12" s="62" customFormat="1" ht="18" customHeight="1">
      <c r="A56" s="179" t="s">
        <v>191</v>
      </c>
      <c r="B56" s="180">
        <v>160</v>
      </c>
    </row>
    <row r="57" spans="1:12" s="62" customFormat="1" ht="18" customHeight="1">
      <c r="A57" s="179" t="s">
        <v>192</v>
      </c>
      <c r="B57" s="181">
        <v>60</v>
      </c>
    </row>
    <row r="58" spans="1:12" s="62" customFormat="1" ht="18" customHeight="1">
      <c r="A58" s="182" t="s">
        <v>193</v>
      </c>
      <c r="B58" s="183">
        <v>10</v>
      </c>
    </row>
    <row r="59" spans="1:12" s="62" customFormat="1" ht="18" customHeight="1">
      <c r="A59" s="182" t="s">
        <v>194</v>
      </c>
      <c r="B59" s="184">
        <f>B57+B58</f>
        <v>70</v>
      </c>
    </row>
    <row r="60" spans="1:12" s="62" customFormat="1" ht="18" customHeight="1">
      <c r="A60" s="182" t="s">
        <v>195</v>
      </c>
      <c r="B60" s="185">
        <v>0.47</v>
      </c>
    </row>
    <row r="61" spans="1:12" s="62" customFormat="1" ht="18" customHeight="1">
      <c r="A61" s="182"/>
      <c r="B61" s="183"/>
    </row>
    <row r="62" spans="1:12" s="62" customFormat="1" ht="18" customHeight="1">
      <c r="A62" s="182" t="s">
        <v>196</v>
      </c>
      <c r="B62" s="183">
        <f>ROUND((B56*B59)/(6572.5*B60),4)</f>
        <v>3.6257000000000001</v>
      </c>
    </row>
    <row r="63" spans="1:12" s="62" customFormat="1" ht="18" customHeight="1" thickBot="1">
      <c r="A63" s="186"/>
      <c r="B63" s="187">
        <f>ROUNDUP(B62,0)</f>
        <v>4</v>
      </c>
    </row>
    <row r="64" spans="1:12" s="62" customFormat="1" ht="18" customHeight="1">
      <c r="A64" s="177" t="s">
        <v>197</v>
      </c>
      <c r="B64" s="178">
        <v>5</v>
      </c>
    </row>
    <row r="65" spans="1:2" s="62" customFormat="1" ht="18" customHeight="1" thickBot="1">
      <c r="A65" s="188" t="s">
        <v>198</v>
      </c>
      <c r="B65" s="189">
        <f>ROUND((B64*B60*6572.5)/B59,1)</f>
        <v>220.6</v>
      </c>
    </row>
    <row r="66" spans="1:2" s="62" customFormat="1" ht="18" customHeight="1"/>
    <row r="67" spans="1:2" s="62" customFormat="1" ht="18" customHeight="1"/>
    <row r="68" spans="1:2" s="62" customFormat="1" ht="18" customHeight="1"/>
    <row r="69" spans="1:2" s="62" customFormat="1" ht="18" customHeight="1"/>
    <row r="70" spans="1:2" s="62" customFormat="1" ht="18" customHeight="1"/>
    <row r="71" spans="1:2" s="62" customFormat="1" ht="18" customHeight="1"/>
    <row r="72" spans="1:2" s="62" customFormat="1" ht="18" customHeight="1"/>
    <row r="73" spans="1:2" s="62" customFormat="1" ht="18" customHeight="1"/>
    <row r="74" spans="1:2" s="62" customFormat="1" ht="18" customHeight="1"/>
    <row r="75" spans="1:2" s="62" customFormat="1" ht="18" customHeight="1"/>
    <row r="76" spans="1:2" s="62" customFormat="1" ht="18" customHeight="1"/>
    <row r="77" spans="1:2" s="62" customFormat="1" ht="18" customHeight="1"/>
    <row r="78" spans="1:2" s="62" customFormat="1" ht="18" customHeight="1"/>
    <row r="79" spans="1:2" s="62" customFormat="1" ht="18" customHeight="1"/>
    <row r="80" spans="1:2" s="62" customFormat="1" ht="18" customHeight="1"/>
    <row r="81" s="62" customFormat="1" ht="18" customHeight="1"/>
    <row r="82" s="62" customFormat="1" ht="18" customHeight="1"/>
  </sheetData>
  <mergeCells count="1">
    <mergeCell ref="A53:B53"/>
  </mergeCells>
  <phoneticPr fontId="7" type="noConversion"/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81" r:id="rId4" name="CommandButton1">
          <controlPr defaultSize="0" autoLine="0" r:id="rId5">
            <anchor moveWithCells="1">
              <from>
                <xdr:col>6</xdr:col>
                <xdr:colOff>314325</xdr:colOff>
                <xdr:row>47</xdr:row>
                <xdr:rowOff>9525</xdr:rowOff>
              </from>
              <to>
                <xdr:col>9</xdr:col>
                <xdr:colOff>257175</xdr:colOff>
                <xdr:row>49</xdr:row>
                <xdr:rowOff>104775</xdr:rowOff>
              </to>
            </anchor>
          </controlPr>
        </control>
      </mc:Choice>
      <mc:Fallback>
        <control shapeId="50181" r:id="rId4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6"/>
  <dimension ref="A2:H14"/>
  <sheetViews>
    <sheetView workbookViewId="0">
      <selection activeCell="G18" sqref="G18"/>
    </sheetView>
  </sheetViews>
  <sheetFormatPr defaultRowHeight="16.5"/>
  <cols>
    <col min="1" max="1" width="28.5546875" style="62" customWidth="1"/>
    <col min="2" max="2" width="14.5546875" style="52" customWidth="1"/>
    <col min="3" max="3" width="4.77734375" style="62" customWidth="1"/>
    <col min="4" max="4" width="31.5546875" style="62" customWidth="1"/>
    <col min="5" max="5" width="8.88671875" style="63"/>
    <col min="6" max="6" width="8.88671875" style="62"/>
    <col min="7" max="7" width="36" style="62" customWidth="1"/>
    <col min="8" max="16384" width="8.88671875" style="62"/>
  </cols>
  <sheetData>
    <row r="2" spans="1:8" s="71" customFormat="1">
      <c r="A2" s="71" t="s">
        <v>176</v>
      </c>
      <c r="B2" s="72" t="s">
        <v>172</v>
      </c>
      <c r="D2" s="71" t="s">
        <v>175</v>
      </c>
      <c r="E2" s="73" t="s">
        <v>173</v>
      </c>
      <c r="G2" s="71" t="s">
        <v>174</v>
      </c>
    </row>
    <row r="3" spans="1:8">
      <c r="A3" s="62" t="s">
        <v>148</v>
      </c>
    </row>
    <row r="4" spans="1:8" s="67" customFormat="1">
      <c r="A4" s="66" t="s">
        <v>159</v>
      </c>
      <c r="B4" s="74">
        <v>2</v>
      </c>
      <c r="D4" s="66" t="s">
        <v>161</v>
      </c>
      <c r="E4" s="78">
        <v>10</v>
      </c>
      <c r="G4" s="66" t="s">
        <v>177</v>
      </c>
      <c r="H4" s="82">
        <v>1</v>
      </c>
    </row>
    <row r="5" spans="1:8">
      <c r="A5" s="64" t="s">
        <v>150</v>
      </c>
      <c r="B5" s="75">
        <v>3</v>
      </c>
      <c r="D5" s="64" t="s">
        <v>162</v>
      </c>
      <c r="E5" s="79">
        <v>10</v>
      </c>
      <c r="G5" s="64" t="s">
        <v>178</v>
      </c>
      <c r="H5" s="83">
        <v>3</v>
      </c>
    </row>
    <row r="6" spans="1:8" s="67" customFormat="1">
      <c r="A6" s="68" t="s">
        <v>151</v>
      </c>
      <c r="B6" s="76">
        <v>4</v>
      </c>
      <c r="D6" s="68" t="s">
        <v>163</v>
      </c>
      <c r="E6" s="80">
        <v>9</v>
      </c>
      <c r="G6" s="68" t="s">
        <v>149</v>
      </c>
      <c r="H6" s="84">
        <v>3</v>
      </c>
    </row>
    <row r="7" spans="1:8">
      <c r="A7" s="64" t="s">
        <v>152</v>
      </c>
      <c r="B7" s="75">
        <v>5</v>
      </c>
      <c r="D7" s="64" t="s">
        <v>164</v>
      </c>
      <c r="E7" s="79">
        <v>8</v>
      </c>
      <c r="G7" s="64" t="s">
        <v>154</v>
      </c>
      <c r="H7" s="83">
        <v>6</v>
      </c>
    </row>
    <row r="8" spans="1:8" s="67" customFormat="1">
      <c r="A8" s="68" t="s">
        <v>153</v>
      </c>
      <c r="B8" s="76">
        <v>6</v>
      </c>
      <c r="D8" s="68" t="s">
        <v>165</v>
      </c>
      <c r="E8" s="80">
        <v>7</v>
      </c>
      <c r="G8" s="68" t="s">
        <v>179</v>
      </c>
      <c r="H8" s="84">
        <v>6</v>
      </c>
    </row>
    <row r="9" spans="1:8">
      <c r="A9" s="64" t="s">
        <v>160</v>
      </c>
      <c r="B9" s="75">
        <v>6</v>
      </c>
      <c r="D9" s="64" t="s">
        <v>166</v>
      </c>
      <c r="E9" s="79">
        <v>6</v>
      </c>
      <c r="G9" s="64" t="s">
        <v>180</v>
      </c>
      <c r="H9" s="83">
        <v>6</v>
      </c>
    </row>
    <row r="10" spans="1:8" s="67" customFormat="1">
      <c r="A10" s="68" t="s">
        <v>158</v>
      </c>
      <c r="B10" s="76">
        <v>6</v>
      </c>
      <c r="D10" s="68" t="s">
        <v>167</v>
      </c>
      <c r="E10" s="80">
        <v>5</v>
      </c>
      <c r="G10" s="68" t="s">
        <v>181</v>
      </c>
      <c r="H10" s="84">
        <v>6</v>
      </c>
    </row>
    <row r="11" spans="1:8">
      <c r="A11" s="64" t="s">
        <v>155</v>
      </c>
      <c r="B11" s="75">
        <v>8</v>
      </c>
      <c r="D11" s="64" t="s">
        <v>168</v>
      </c>
      <c r="E11" s="79">
        <v>4</v>
      </c>
      <c r="G11" s="64" t="s">
        <v>150</v>
      </c>
      <c r="H11" s="83">
        <v>4</v>
      </c>
    </row>
    <row r="12" spans="1:8" s="67" customFormat="1">
      <c r="A12" s="68" t="s">
        <v>156</v>
      </c>
      <c r="B12" s="76">
        <v>9</v>
      </c>
      <c r="D12" s="68" t="s">
        <v>169</v>
      </c>
      <c r="E12" s="80">
        <v>3</v>
      </c>
      <c r="G12" s="68" t="s">
        <v>155</v>
      </c>
      <c r="H12" s="84">
        <v>8</v>
      </c>
    </row>
    <row r="13" spans="1:8">
      <c r="A13" s="65" t="s">
        <v>157</v>
      </c>
      <c r="B13" s="77">
        <v>10</v>
      </c>
      <c r="D13" s="64" t="s">
        <v>170</v>
      </c>
      <c r="E13" s="79">
        <v>2</v>
      </c>
      <c r="G13" s="64" t="s">
        <v>156</v>
      </c>
      <c r="H13" s="83">
        <v>9</v>
      </c>
    </row>
    <row r="14" spans="1:8" s="67" customFormat="1">
      <c r="B14" s="69"/>
      <c r="D14" s="70" t="s">
        <v>171</v>
      </c>
      <c r="E14" s="81">
        <v>1</v>
      </c>
      <c r="G14" s="70" t="s">
        <v>157</v>
      </c>
      <c r="H14" s="85">
        <v>10</v>
      </c>
    </row>
  </sheetData>
  <phoneticPr fontId="7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rgb="FF7030A0"/>
  </sheetPr>
  <dimension ref="A1:R72"/>
  <sheetViews>
    <sheetView workbookViewId="0">
      <selection activeCell="F23" sqref="F23"/>
    </sheetView>
  </sheetViews>
  <sheetFormatPr defaultColWidth="8.88671875" defaultRowHeight="16.5"/>
  <cols>
    <col min="1" max="1" width="5.21875" style="53" customWidth="1"/>
    <col min="2" max="2" width="14.5546875" style="52" customWidth="1"/>
    <col min="3" max="3" width="15.5546875" style="52" customWidth="1"/>
    <col min="4" max="4" width="14.109375" style="52" customWidth="1"/>
    <col min="5" max="5" width="9.6640625" style="52" customWidth="1"/>
    <col min="6" max="6" width="9.21875" style="52" customWidth="1"/>
    <col min="7" max="7" width="8.109375" style="52" customWidth="1"/>
    <col min="8" max="8" width="9.33203125" style="52" customWidth="1"/>
    <col min="9" max="9" width="7.77734375" style="52" customWidth="1"/>
    <col min="10" max="10" width="7.77734375" style="87" customWidth="1"/>
    <col min="11" max="11" width="8.109375" style="52" customWidth="1"/>
    <col min="12" max="12" width="5.33203125" style="52" customWidth="1"/>
    <col min="13" max="13" width="6.33203125" style="52" customWidth="1"/>
    <col min="14" max="14" width="6.5546875" style="52" customWidth="1"/>
    <col min="15" max="15" width="8.44140625" style="52" customWidth="1"/>
    <col min="16" max="16" width="12.21875" style="55" customWidth="1"/>
    <col min="17" max="17" width="15.6640625" style="52" customWidth="1"/>
    <col min="18" max="18" width="15" style="52" customWidth="1"/>
    <col min="19" max="16384" width="8.88671875" style="53"/>
  </cols>
  <sheetData>
    <row r="1" spans="1:18" ht="49.5" customHeight="1" thickBot="1">
      <c r="D1" s="86"/>
      <c r="E1" s="86"/>
      <c r="F1" s="54" t="s">
        <v>209</v>
      </c>
    </row>
    <row r="2" spans="1:18" s="52" customFormat="1" ht="30" customHeight="1">
      <c r="A2" s="340" t="s">
        <v>0</v>
      </c>
      <c r="B2" s="342" t="s">
        <v>52</v>
      </c>
      <c r="C2" s="342" t="s">
        <v>6</v>
      </c>
      <c r="D2" s="342" t="s">
        <v>50</v>
      </c>
      <c r="E2" s="342" t="s">
        <v>143</v>
      </c>
      <c r="F2" s="342" t="s">
        <v>51</v>
      </c>
      <c r="G2" s="348" t="s">
        <v>1</v>
      </c>
      <c r="H2" s="348" t="s">
        <v>2</v>
      </c>
      <c r="I2" s="348" t="s">
        <v>117</v>
      </c>
      <c r="J2" s="344" t="s">
        <v>118</v>
      </c>
      <c r="K2" s="348" t="s">
        <v>115</v>
      </c>
      <c r="L2" s="348" t="s">
        <v>3</v>
      </c>
      <c r="M2" s="348" t="s">
        <v>4</v>
      </c>
      <c r="N2" s="348" t="s">
        <v>5</v>
      </c>
      <c r="O2" s="348" t="s">
        <v>116</v>
      </c>
      <c r="P2" s="350" t="s">
        <v>53</v>
      </c>
      <c r="Q2" s="342" t="s">
        <v>188</v>
      </c>
      <c r="R2" s="346" t="s">
        <v>108</v>
      </c>
    </row>
    <row r="3" spans="1:18" s="52" customFormat="1" ht="30" customHeight="1" thickBot="1">
      <c r="A3" s="341"/>
      <c r="B3" s="343"/>
      <c r="C3" s="343"/>
      <c r="D3" s="343"/>
      <c r="E3" s="343"/>
      <c r="F3" s="343"/>
      <c r="G3" s="349"/>
      <c r="H3" s="349"/>
      <c r="I3" s="349"/>
      <c r="J3" s="345"/>
      <c r="K3" s="349"/>
      <c r="L3" s="349"/>
      <c r="M3" s="349"/>
      <c r="N3" s="349"/>
      <c r="O3" s="349"/>
      <c r="P3" s="351"/>
      <c r="Q3" s="343"/>
      <c r="R3" s="347"/>
    </row>
    <row r="4" spans="1:18" ht="30.75" customHeight="1" thickBot="1">
      <c r="A4" s="97" t="s">
        <v>183</v>
      </c>
      <c r="B4" s="90" t="s">
        <v>211</v>
      </c>
      <c r="C4" s="91"/>
      <c r="D4" s="91" t="s">
        <v>210</v>
      </c>
      <c r="E4" s="91"/>
      <c r="F4" s="91"/>
      <c r="G4" s="91">
        <v>250</v>
      </c>
      <c r="H4" s="91">
        <v>83</v>
      </c>
      <c r="I4" s="91">
        <v>150</v>
      </c>
      <c r="J4" s="92">
        <v>160</v>
      </c>
      <c r="K4" s="91">
        <v>150</v>
      </c>
      <c r="L4" s="91">
        <v>5</v>
      </c>
      <c r="M4" s="91">
        <v>60</v>
      </c>
      <c r="N4" s="93">
        <v>50</v>
      </c>
      <c r="O4" s="94">
        <v>265.3</v>
      </c>
      <c r="P4" s="95">
        <v>1437991</v>
      </c>
      <c r="Q4" s="91" t="s">
        <v>208</v>
      </c>
      <c r="R4" s="96" t="s">
        <v>207</v>
      </c>
    </row>
    <row r="5" spans="1:18" ht="23.25" customHeight="1">
      <c r="I5" s="89">
        <f>SUM(I4:I4)</f>
        <v>150</v>
      </c>
      <c r="J5"/>
    </row>
    <row r="6" spans="1:18">
      <c r="J6"/>
    </row>
    <row r="7" spans="1:18">
      <c r="J7"/>
    </row>
    <row r="8" spans="1:18">
      <c r="J8"/>
    </row>
    <row r="9" spans="1:18">
      <c r="J9"/>
    </row>
    <row r="10" spans="1:18">
      <c r="J10"/>
    </row>
    <row r="11" spans="1:18">
      <c r="J11"/>
    </row>
    <row r="12" spans="1:18">
      <c r="J12"/>
    </row>
    <row r="13" spans="1:18">
      <c r="J13"/>
    </row>
    <row r="14" spans="1:18">
      <c r="J14"/>
    </row>
    <row r="15" spans="1:18">
      <c r="J15"/>
    </row>
    <row r="16" spans="1:18">
      <c r="J16"/>
    </row>
    <row r="17" spans="10:10">
      <c r="J17"/>
    </row>
    <row r="18" spans="10:10">
      <c r="J18"/>
    </row>
    <row r="19" spans="10:10">
      <c r="J19"/>
    </row>
    <row r="20" spans="10:10">
      <c r="J20"/>
    </row>
    <row r="21" spans="10:10">
      <c r="J21"/>
    </row>
    <row r="22" spans="10:10">
      <c r="J22"/>
    </row>
    <row r="23" spans="10:10">
      <c r="J23"/>
    </row>
    <row r="24" spans="10:10">
      <c r="J24"/>
    </row>
    <row r="25" spans="10:10">
      <c r="J25"/>
    </row>
    <row r="26" spans="10:10">
      <c r="J26"/>
    </row>
    <row r="27" spans="10:10">
      <c r="J27"/>
    </row>
    <row r="28" spans="10:10">
      <c r="J28"/>
    </row>
    <row r="29" spans="10:10">
      <c r="J29"/>
    </row>
    <row r="30" spans="10:10">
      <c r="J30"/>
    </row>
    <row r="31" spans="10:10">
      <c r="J31"/>
    </row>
    <row r="32" spans="10:10">
      <c r="J32"/>
    </row>
    <row r="33" spans="10:10">
      <c r="J33"/>
    </row>
    <row r="34" spans="10:10">
      <c r="J34"/>
    </row>
    <row r="35" spans="10:10">
      <c r="J35"/>
    </row>
    <row r="36" spans="10:10">
      <c r="J36"/>
    </row>
    <row r="37" spans="10:10">
      <c r="J37"/>
    </row>
    <row r="38" spans="10:10">
      <c r="J38"/>
    </row>
    <row r="39" spans="10:10">
      <c r="J39"/>
    </row>
    <row r="40" spans="10:10">
      <c r="J40"/>
    </row>
    <row r="41" spans="10:10">
      <c r="J41"/>
    </row>
    <row r="42" spans="10:10">
      <c r="J42"/>
    </row>
    <row r="43" spans="10:10">
      <c r="J43"/>
    </row>
    <row r="44" spans="10:10">
      <c r="J44"/>
    </row>
    <row r="45" spans="10:10">
      <c r="J45"/>
    </row>
    <row r="46" spans="10:10">
      <c r="J46"/>
    </row>
    <row r="47" spans="10:10">
      <c r="J47"/>
    </row>
    <row r="48" spans="10:10">
      <c r="J48"/>
    </row>
    <row r="49" spans="10:10">
      <c r="J49"/>
    </row>
    <row r="50" spans="10:10">
      <c r="J50"/>
    </row>
    <row r="51" spans="10:10">
      <c r="J51"/>
    </row>
    <row r="52" spans="10:10">
      <c r="J52"/>
    </row>
    <row r="53" spans="10:10">
      <c r="J53"/>
    </row>
    <row r="54" spans="10:10">
      <c r="J54"/>
    </row>
    <row r="55" spans="10:10">
      <c r="J55"/>
    </row>
    <row r="56" spans="10:10">
      <c r="J56"/>
    </row>
    <row r="57" spans="10:10">
      <c r="J57"/>
    </row>
    <row r="58" spans="10:10">
      <c r="J58"/>
    </row>
    <row r="59" spans="10:10">
      <c r="J59"/>
    </row>
    <row r="60" spans="10:10">
      <c r="J60"/>
    </row>
    <row r="61" spans="10:10">
      <c r="J61"/>
    </row>
    <row r="62" spans="10:10">
      <c r="J62"/>
    </row>
    <row r="63" spans="10:10">
      <c r="J63"/>
    </row>
    <row r="64" spans="10:10">
      <c r="J64"/>
    </row>
    <row r="65" spans="10:10">
      <c r="J65"/>
    </row>
    <row r="66" spans="10:10">
      <c r="J66"/>
    </row>
    <row r="67" spans="10:10">
      <c r="J67"/>
    </row>
    <row r="68" spans="10:10">
      <c r="J68"/>
    </row>
    <row r="69" spans="10:10">
      <c r="J69"/>
    </row>
    <row r="70" spans="10:10">
      <c r="J70"/>
    </row>
    <row r="71" spans="10:10">
      <c r="J71"/>
    </row>
    <row r="72" spans="10:10">
      <c r="J72"/>
    </row>
  </sheetData>
  <mergeCells count="18">
    <mergeCell ref="Q2:Q3"/>
    <mergeCell ref="R2:R3"/>
    <mergeCell ref="O2:O3"/>
    <mergeCell ref="P2:P3"/>
    <mergeCell ref="B2:B3"/>
    <mergeCell ref="H2:H3"/>
    <mergeCell ref="I2:I3"/>
    <mergeCell ref="K2:K3"/>
    <mergeCell ref="L2:L3"/>
    <mergeCell ref="M2:M3"/>
    <mergeCell ref="N2:N3"/>
    <mergeCell ref="G2:G3"/>
    <mergeCell ref="A2:A3"/>
    <mergeCell ref="C2:C3"/>
    <mergeCell ref="D2:D3"/>
    <mergeCell ref="F2:F3"/>
    <mergeCell ref="J2:J3"/>
    <mergeCell ref="E2:E3"/>
  </mergeCells>
  <phoneticPr fontId="7" type="noConversion"/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330" r:id="rId4" name="CommandButton2">
          <controlPr defaultSize="0" autoLine="0" r:id="rId5">
            <anchor moveWithCells="1">
              <from>
                <xdr:col>2</xdr:col>
                <xdr:colOff>981075</xdr:colOff>
                <xdr:row>0</xdr:row>
                <xdr:rowOff>76200</xdr:rowOff>
              </from>
              <to>
                <xdr:col>4</xdr:col>
                <xdr:colOff>342900</xdr:colOff>
                <xdr:row>0</xdr:row>
                <xdr:rowOff>533400</xdr:rowOff>
              </to>
            </anchor>
          </controlPr>
        </control>
      </mc:Choice>
      <mc:Fallback>
        <control shapeId="99330" r:id="rId4" name="CommandButton2"/>
      </mc:Fallback>
    </mc:AlternateContent>
    <mc:AlternateContent xmlns:mc="http://schemas.openxmlformats.org/markup-compatibility/2006">
      <mc:Choice Requires="x14">
        <control shapeId="99329" r:id="rId6" name="CommandButton1">
          <controlPr defaultSize="0" autoLine="0" r:id="rId7">
            <anchor moveWithCells="1">
              <from>
                <xdr:col>1</xdr:col>
                <xdr:colOff>228600</xdr:colOff>
                <xdr:row>0</xdr:row>
                <xdr:rowOff>76200</xdr:rowOff>
              </from>
              <to>
                <xdr:col>2</xdr:col>
                <xdr:colOff>885825</xdr:colOff>
                <xdr:row>0</xdr:row>
                <xdr:rowOff>533400</xdr:rowOff>
              </to>
            </anchor>
          </controlPr>
        </control>
      </mc:Choice>
      <mc:Fallback>
        <control shapeId="99329" r:id="rId6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>
    <tabColor rgb="FFFF0000"/>
  </sheetPr>
  <dimension ref="A2:M39"/>
  <sheetViews>
    <sheetView workbookViewId="0">
      <selection activeCell="I18" sqref="I18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19.109375" style="1" customWidth="1"/>
    <col min="4" max="4" width="17.109375" style="1" customWidth="1"/>
    <col min="5" max="5" width="15" style="1" customWidth="1"/>
    <col min="6" max="6" width="14.44140625" style="1" customWidth="1"/>
    <col min="7" max="7" width="14.21875" style="1" customWidth="1"/>
    <col min="8" max="8" width="14" style="1" customWidth="1"/>
    <col min="9" max="9" width="20" style="1" customWidth="1"/>
    <col min="10" max="10" width="14.5546875" style="1" customWidth="1"/>
    <col min="11" max="11" width="15.21875" style="1" customWidth="1"/>
    <col min="12" max="16384" width="8.88671875" style="1"/>
  </cols>
  <sheetData>
    <row r="2" spans="1:13" ht="33" customHeight="1" thickBot="1">
      <c r="B2" s="29" t="s">
        <v>184</v>
      </c>
      <c r="C2" s="1" t="str">
        <f>Well!D4</f>
        <v>장구리 436-3</v>
      </c>
      <c r="I2"/>
      <c r="J2"/>
      <c r="K2"/>
      <c r="L2"/>
      <c r="M2"/>
    </row>
    <row r="3" spans="1:13" ht="26.1" customHeight="1">
      <c r="B3" s="2" t="s">
        <v>63</v>
      </c>
      <c r="C3" s="252">
        <f>Well!C4</f>
        <v>0</v>
      </c>
      <c r="D3" s="3" t="s">
        <v>64</v>
      </c>
      <c r="E3" s="4" t="s">
        <v>144</v>
      </c>
      <c r="F3" s="5" t="s">
        <v>133</v>
      </c>
      <c r="G3" s="2" t="s">
        <v>65</v>
      </c>
      <c r="I3"/>
      <c r="J3"/>
      <c r="K3"/>
      <c r="L3"/>
      <c r="M3"/>
    </row>
    <row r="4" spans="1:13" ht="26.1" customHeight="1">
      <c r="B4" s="6" t="s">
        <v>66</v>
      </c>
      <c r="C4" s="253" t="str">
        <f>Well!R4</f>
        <v>127, 9, 0</v>
      </c>
      <c r="D4" s="7" t="s">
        <v>67</v>
      </c>
      <c r="E4" s="8">
        <v>0</v>
      </c>
      <c r="F4" s="9"/>
      <c r="G4" s="10"/>
      <c r="I4"/>
      <c r="J4"/>
      <c r="K4"/>
      <c r="L4"/>
      <c r="M4"/>
    </row>
    <row r="5" spans="1:13" ht="26.1" customHeight="1">
      <c r="B5" s="6" t="s">
        <v>68</v>
      </c>
      <c r="C5" s="253" t="str">
        <f>Well!Q4</f>
        <v>36, 9, 11</v>
      </c>
      <c r="D5" s="7" t="s">
        <v>69</v>
      </c>
      <c r="E5" s="41">
        <v>15.64</v>
      </c>
      <c r="F5" s="42">
        <f>$E$5/$C$14</f>
        <v>0.21722222222222223</v>
      </c>
      <c r="G5" s="10">
        <v>6.2330000000000003E-4</v>
      </c>
      <c r="I5"/>
      <c r="J5"/>
      <c r="K5"/>
      <c r="L5"/>
      <c r="M5"/>
    </row>
    <row r="6" spans="1:13" ht="26.1" customHeight="1">
      <c r="B6" s="6" t="s">
        <v>70</v>
      </c>
      <c r="C6" s="254" t="str">
        <f>Well!D4</f>
        <v>장구리 436-3</v>
      </c>
      <c r="D6" s="7" t="s">
        <v>72</v>
      </c>
      <c r="E6" s="8">
        <v>9.8019999999999996</v>
      </c>
      <c r="F6" s="42">
        <f>$E$6/$C$14</f>
        <v>0.13613888888888889</v>
      </c>
      <c r="G6" s="10" t="s">
        <v>73</v>
      </c>
      <c r="I6"/>
      <c r="J6"/>
      <c r="K6"/>
      <c r="L6"/>
      <c r="M6"/>
    </row>
    <row r="7" spans="1:13" ht="26.1" customHeight="1" thickBot="1">
      <c r="B7" s="6" t="s">
        <v>71</v>
      </c>
      <c r="C7" s="255">
        <f>Well!H4</f>
        <v>83</v>
      </c>
      <c r="D7" s="39" t="s">
        <v>75</v>
      </c>
      <c r="E7" s="40">
        <f>(E5+E6)/2</f>
        <v>12.721</v>
      </c>
      <c r="F7" s="43">
        <f>$E$7/$C$14</f>
        <v>0.17668055555555556</v>
      </c>
      <c r="G7" s="39">
        <f>G5</f>
        <v>6.2330000000000003E-4</v>
      </c>
      <c r="I7"/>
      <c r="J7"/>
      <c r="K7"/>
      <c r="L7"/>
      <c r="M7"/>
    </row>
    <row r="8" spans="1:13" ht="26.1" customHeight="1" thickBot="1">
      <c r="B8" s="6" t="s">
        <v>74</v>
      </c>
      <c r="C8" s="255">
        <f>Well!G4</f>
        <v>250</v>
      </c>
      <c r="I8"/>
      <c r="J8"/>
      <c r="K8"/>
      <c r="L8"/>
    </row>
    <row r="9" spans="1:13" ht="26.1" customHeight="1" thickBot="1">
      <c r="B9" s="6" t="s">
        <v>76</v>
      </c>
      <c r="C9" s="255">
        <f>C10+C11</f>
        <v>11</v>
      </c>
      <c r="D9" s="11"/>
      <c r="E9" s="12" t="s">
        <v>134</v>
      </c>
      <c r="F9" s="44" t="s">
        <v>135</v>
      </c>
      <c r="G9" s="13" t="s">
        <v>136</v>
      </c>
    </row>
    <row r="10" spans="1:13" ht="26.1" customHeight="1" thickBot="1">
      <c r="B10" s="6" t="s">
        <v>77</v>
      </c>
      <c r="C10" s="253">
        <v>3</v>
      </c>
      <c r="D10" s="14" t="s">
        <v>78</v>
      </c>
      <c r="E10" s="15">
        <v>117.9</v>
      </c>
      <c r="F10" s="16">
        <v>144.5</v>
      </c>
      <c r="G10" s="17">
        <v>214.3</v>
      </c>
      <c r="H10" s="18"/>
      <c r="I10" s="19"/>
    </row>
    <row r="11" spans="1:13" ht="26.1" customHeight="1" thickBot="1">
      <c r="B11" s="6" t="s">
        <v>79</v>
      </c>
      <c r="C11" s="253">
        <v>8</v>
      </c>
      <c r="D11" s="38" t="s">
        <v>80</v>
      </c>
      <c r="E11" s="56">
        <f>ROUND(AVERAGE(E10:G10),1)</f>
        <v>158.9</v>
      </c>
      <c r="F11" s="21"/>
      <c r="G11" s="21"/>
      <c r="H11" s="18"/>
      <c r="I11" s="19"/>
      <c r="J11" s="357" t="s">
        <v>142</v>
      </c>
      <c r="K11" s="358"/>
    </row>
    <row r="12" spans="1:13" ht="26.1" customHeight="1" thickBot="1">
      <c r="A12" s="20" t="str">
        <f>IF(A13&lt;&gt;C7,"CHECK","OK")</f>
        <v>OK</v>
      </c>
      <c r="B12" s="6" t="s">
        <v>81</v>
      </c>
      <c r="C12" s="253">
        <f>C7-C9</f>
        <v>72</v>
      </c>
      <c r="H12" s="22"/>
      <c r="J12" s="58" t="s">
        <v>145</v>
      </c>
      <c r="K12" s="59">
        <v>8</v>
      </c>
      <c r="L12" s="88">
        <f>K12+180</f>
        <v>188</v>
      </c>
    </row>
    <row r="13" spans="1:13" ht="26.1" customHeight="1">
      <c r="A13" s="20">
        <f>C10+C11+C12+C13</f>
        <v>83</v>
      </c>
      <c r="B13" s="6" t="s">
        <v>82</v>
      </c>
      <c r="C13" s="253"/>
      <c r="H13" s="23"/>
      <c r="J13" s="45" t="s">
        <v>137</v>
      </c>
      <c r="K13" s="46">
        <v>958</v>
      </c>
      <c r="L13" s="60"/>
    </row>
    <row r="14" spans="1:13" ht="26.1" customHeight="1">
      <c r="B14" s="6" t="s">
        <v>83</v>
      </c>
      <c r="C14" s="256">
        <f>C7-IF(C20&gt;C9,C20,C9)</f>
        <v>72</v>
      </c>
      <c r="H14" s="23"/>
      <c r="J14" s="47" t="s">
        <v>138</v>
      </c>
      <c r="K14" s="48">
        <v>16</v>
      </c>
      <c r="L14" s="60"/>
    </row>
    <row r="15" spans="1:13" ht="26.1" customHeight="1" thickBot="1">
      <c r="B15" s="6" t="s">
        <v>84</v>
      </c>
      <c r="C15" s="255">
        <f>Well!I4</f>
        <v>150</v>
      </c>
      <c r="E15" s="57">
        <v>1</v>
      </c>
      <c r="J15" s="47" t="s">
        <v>139</v>
      </c>
      <c r="K15" s="48">
        <v>6</v>
      </c>
      <c r="L15" s="60"/>
    </row>
    <row r="16" spans="1:13" ht="26.1" customHeight="1">
      <c r="B16" s="6" t="s">
        <v>85</v>
      </c>
      <c r="C16" s="257">
        <f>Well!J4</f>
        <v>160</v>
      </c>
      <c r="E16" s="2" t="s">
        <v>88</v>
      </c>
      <c r="F16" s="36" t="s">
        <v>113</v>
      </c>
      <c r="G16" s="34" t="s">
        <v>112</v>
      </c>
      <c r="H16" s="23"/>
      <c r="J16" s="47" t="s">
        <v>146</v>
      </c>
      <c r="K16" s="49">
        <f>K14-C20</f>
        <v>12.1</v>
      </c>
      <c r="L16" s="60"/>
    </row>
    <row r="17" spans="2:12" ht="26.1" customHeight="1" thickBot="1">
      <c r="B17" s="6" t="s">
        <v>86</v>
      </c>
      <c r="C17" s="255">
        <f>Well!L4</f>
        <v>5</v>
      </c>
      <c r="E17" s="26">
        <f>Well!P4</f>
        <v>1437991</v>
      </c>
      <c r="F17" s="37">
        <f>(max*rf_1*E17/1000)</f>
        <v>310992.01278440002</v>
      </c>
      <c r="G17" s="35">
        <f>F17*allow_ratio</f>
        <v>208364.64856554804</v>
      </c>
      <c r="J17" s="47" t="s">
        <v>140</v>
      </c>
      <c r="K17" s="49">
        <f>K16-K15</f>
        <v>6.1</v>
      </c>
      <c r="L17" s="60"/>
    </row>
    <row r="18" spans="2:12" ht="26.1" customHeight="1" thickBot="1">
      <c r="B18" s="6" t="s">
        <v>87</v>
      </c>
      <c r="C18" s="255">
        <f>Well!M4</f>
        <v>60</v>
      </c>
      <c r="E18" s="2" t="s">
        <v>88</v>
      </c>
      <c r="F18" s="36" t="s">
        <v>89</v>
      </c>
      <c r="G18" s="34" t="s">
        <v>90</v>
      </c>
      <c r="I18" s="33"/>
      <c r="J18" s="50" t="s">
        <v>141</v>
      </c>
      <c r="K18" s="51">
        <f>(K17/K13)</f>
        <v>6.3674321503131518E-3</v>
      </c>
      <c r="L18" s="61">
        <f>K18*100</f>
        <v>0.63674321503131515</v>
      </c>
    </row>
    <row r="19" spans="2:12" ht="26.1" customHeight="1" thickBot="1">
      <c r="B19" s="25" t="s">
        <v>91</v>
      </c>
      <c r="C19" s="258">
        <f>Well!N4</f>
        <v>50</v>
      </c>
      <c r="E19" s="262">
        <f>E17</f>
        <v>1437991</v>
      </c>
      <c r="F19" s="37">
        <f>(max*rf_1*E19/1000)/365</f>
        <v>852.03291173808225</v>
      </c>
      <c r="G19" s="35">
        <f>F19*allow_ratio</f>
        <v>570.86205086451514</v>
      </c>
    </row>
    <row r="20" spans="2:12" ht="26.1" customHeight="1">
      <c r="B20" s="27" t="s">
        <v>92</v>
      </c>
      <c r="C20" s="259">
        <v>3.9</v>
      </c>
      <c r="D20" s="20"/>
      <c r="E20" s="31" t="s">
        <v>110</v>
      </c>
      <c r="F20" s="32" t="s">
        <v>93</v>
      </c>
      <c r="G20" s="30" t="s">
        <v>94</v>
      </c>
    </row>
    <row r="21" spans="2:12" ht="26.1" customHeight="1" thickBot="1">
      <c r="B21" s="25" t="s">
        <v>95</v>
      </c>
      <c r="C21" s="260">
        <v>12.08</v>
      </c>
      <c r="D21" s="20"/>
      <c r="E21" s="263">
        <f>Well!$I$4</f>
        <v>150</v>
      </c>
      <c r="F21" s="264">
        <f>Well!O4</f>
        <v>265.3</v>
      </c>
      <c r="G21" s="35">
        <f>G19-E21-F21</f>
        <v>155.56205086451513</v>
      </c>
    </row>
    <row r="22" spans="2:12" ht="26.1" customHeight="1" thickBot="1">
      <c r="B22" s="38" t="s">
        <v>204</v>
      </c>
      <c r="C22" s="261">
        <f>C21-C20</f>
        <v>8.18</v>
      </c>
      <c r="E22" s="24"/>
      <c r="F22" s="24"/>
      <c r="G22" s="24"/>
      <c r="I22" s="23"/>
    </row>
    <row r="23" spans="2:12" ht="16.149999999999999" customHeight="1">
      <c r="E23" s="24"/>
      <c r="F23" s="24"/>
      <c r="G23" s="24"/>
    </row>
    <row r="24" spans="2:12" ht="16.149999999999999" customHeight="1" thickBot="1">
      <c r="E24" s="28"/>
      <c r="F24" s="28"/>
      <c r="G24" s="28"/>
      <c r="H24" s="28"/>
    </row>
    <row r="25" spans="2:12" ht="69" customHeight="1" thickBot="1">
      <c r="B25" s="352" t="s">
        <v>120</v>
      </c>
      <c r="C25" s="353"/>
      <c r="D25" s="265" t="s">
        <v>131</v>
      </c>
      <c r="E25" s="265" t="s">
        <v>132</v>
      </c>
      <c r="F25" s="265" t="s">
        <v>121</v>
      </c>
      <c r="G25" s="265" t="s">
        <v>122</v>
      </c>
      <c r="H25" s="265" t="s">
        <v>147</v>
      </c>
      <c r="I25" s="265" t="s">
        <v>123</v>
      </c>
      <c r="J25" s="265" t="s">
        <v>124</v>
      </c>
      <c r="K25" s="265" t="s">
        <v>125</v>
      </c>
    </row>
    <row r="26" spans="2:12" ht="55.5" customHeight="1" thickBot="1">
      <c r="B26" s="354" t="s">
        <v>126</v>
      </c>
      <c r="C26" s="97" t="s">
        <v>127</v>
      </c>
      <c r="D26" s="267">
        <f>C20</f>
        <v>3.9</v>
      </c>
      <c r="E26" s="268">
        <f>Recharge!C31</f>
        <v>21.626840000000001</v>
      </c>
      <c r="F26" s="269" t="s">
        <v>182</v>
      </c>
      <c r="G26" s="267" t="s">
        <v>187</v>
      </c>
      <c r="H26" s="270">
        <f>L18</f>
        <v>0.63674321503131515</v>
      </c>
      <c r="I26" s="267" t="s">
        <v>182</v>
      </c>
      <c r="J26" s="267">
        <f>(E7/C14)/864</f>
        <v>2.0449138374485596E-4</v>
      </c>
      <c r="K26" s="267" t="s">
        <v>225</v>
      </c>
    </row>
    <row r="27" spans="2:12" ht="36.75" customHeight="1" thickBot="1">
      <c r="B27" s="355"/>
      <c r="C27" s="97" t="s">
        <v>128</v>
      </c>
      <c r="D27" s="52">
        <v>9</v>
      </c>
      <c r="E27" s="52">
        <v>8</v>
      </c>
      <c r="F27" s="52">
        <v>3</v>
      </c>
      <c r="G27" s="52">
        <v>4</v>
      </c>
      <c r="H27" s="52">
        <v>10</v>
      </c>
      <c r="I27" s="52">
        <v>4</v>
      </c>
      <c r="J27" s="52">
        <v>4</v>
      </c>
      <c r="K27" s="271"/>
    </row>
    <row r="28" spans="2:12" ht="36.75" customHeight="1" thickBot="1">
      <c r="B28" s="355"/>
      <c r="C28" s="266" t="s">
        <v>129</v>
      </c>
      <c r="D28" s="272">
        <v>5</v>
      </c>
      <c r="E28" s="272">
        <v>4</v>
      </c>
      <c r="F28" s="272">
        <v>3</v>
      </c>
      <c r="G28" s="272">
        <v>5</v>
      </c>
      <c r="H28" s="272">
        <v>3</v>
      </c>
      <c r="I28" s="272">
        <v>4</v>
      </c>
      <c r="J28" s="272">
        <v>2</v>
      </c>
      <c r="K28" s="272"/>
    </row>
    <row r="29" spans="2:12" ht="36.75" customHeight="1" thickBot="1">
      <c r="B29" s="356"/>
      <c r="C29" s="97" t="s">
        <v>130</v>
      </c>
      <c r="D29" s="273">
        <f>D27*D28</f>
        <v>45</v>
      </c>
      <c r="E29" s="273">
        <f t="shared" ref="E29:J29" si="0">E27*E28</f>
        <v>32</v>
      </c>
      <c r="F29" s="273">
        <f t="shared" si="0"/>
        <v>9</v>
      </c>
      <c r="G29" s="273">
        <f t="shared" si="0"/>
        <v>20</v>
      </c>
      <c r="H29" s="273">
        <f t="shared" si="0"/>
        <v>30</v>
      </c>
      <c r="I29" s="273">
        <f t="shared" si="0"/>
        <v>16</v>
      </c>
      <c r="J29" s="273">
        <f t="shared" si="0"/>
        <v>8</v>
      </c>
      <c r="K29" s="273">
        <f>SUM(D29:J29)</f>
        <v>160</v>
      </c>
    </row>
    <row r="30" spans="2:12" ht="20.100000000000001" customHeight="1"/>
    <row r="31" spans="2:12" ht="20.100000000000001" customHeight="1"/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B25:C25"/>
    <mergeCell ref="B26:B29"/>
    <mergeCell ref="J11:K1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092" r:id="rId4" name="CommandButton1">
          <controlPr defaultSize="0" autoLine="0" r:id="rId5">
            <anchor moveWithCells="1">
              <from>
                <xdr:col>7</xdr:col>
                <xdr:colOff>371475</xdr:colOff>
                <xdr:row>10</xdr:row>
                <xdr:rowOff>76200</xdr:rowOff>
              </from>
              <to>
                <xdr:col>8</xdr:col>
                <xdr:colOff>1333500</xdr:colOff>
                <xdr:row>11</xdr:row>
                <xdr:rowOff>171450</xdr:rowOff>
              </to>
            </anchor>
          </controlPr>
        </control>
      </mc:Choice>
      <mc:Fallback>
        <control shapeId="3092" r:id="rId4" name="CommandButton1"/>
      </mc:Fallback>
    </mc:AlternateContent>
    <mc:AlternateContent xmlns:mc="http://schemas.openxmlformats.org/markup-compatibility/2006">
      <mc:Choice Requires="x14">
        <control shapeId="3093" r:id="rId6" name="CommandButton2">
          <controlPr defaultSize="0" autoLine="0" r:id="rId7">
            <anchor moveWithCells="1">
              <from>
                <xdr:col>7</xdr:col>
                <xdr:colOff>371475</xdr:colOff>
                <xdr:row>11</xdr:row>
                <xdr:rowOff>247650</xdr:rowOff>
              </from>
              <to>
                <xdr:col>8</xdr:col>
                <xdr:colOff>1333500</xdr:colOff>
                <xdr:row>13</xdr:row>
                <xdr:rowOff>19050</xdr:rowOff>
              </to>
            </anchor>
          </controlPr>
        </control>
      </mc:Choice>
      <mc:Fallback>
        <control shapeId="3093" r:id="rId6" name="CommandButton2"/>
      </mc:Fallback>
    </mc:AlternateContent>
    <mc:AlternateContent xmlns:mc="http://schemas.openxmlformats.org/markup-compatibility/2006">
      <mc:Choice Requires="x14">
        <control shapeId="3094" r:id="rId8" name="CommandButton3">
          <controlPr defaultSize="0" autoLine="0" r:id="rId9">
            <anchor moveWithCells="1">
              <from>
                <xdr:col>7</xdr:col>
                <xdr:colOff>371475</xdr:colOff>
                <xdr:row>13</xdr:row>
                <xdr:rowOff>95250</xdr:rowOff>
              </from>
              <to>
                <xdr:col>8</xdr:col>
                <xdr:colOff>1333500</xdr:colOff>
                <xdr:row>14</xdr:row>
                <xdr:rowOff>190500</xdr:rowOff>
              </to>
            </anchor>
          </controlPr>
        </control>
      </mc:Choice>
      <mc:Fallback>
        <control shapeId="3094" r:id="rId8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CFBEA2-85E7-4BA5-9A67-A905C0ED0A98}">
  <sheetPr codeName="Sheet30"/>
  <dimension ref="B1:J44"/>
  <sheetViews>
    <sheetView topLeftCell="A10" workbookViewId="0">
      <selection activeCell="Q20" sqref="Q20"/>
    </sheetView>
  </sheetViews>
  <sheetFormatPr defaultColWidth="8.88671875" defaultRowHeight="16.5"/>
  <cols>
    <col min="1" max="1" width="8.88671875" style="62"/>
    <col min="2" max="2" width="13.109375" style="62" customWidth="1"/>
    <col min="3" max="3" width="10" style="62" customWidth="1"/>
    <col min="4" max="4" width="8.77734375" style="62" customWidth="1"/>
    <col min="5" max="6" width="8.77734375" style="63" customWidth="1"/>
    <col min="7" max="7" width="8.77734375" style="62" customWidth="1"/>
    <col min="8" max="8" width="10.109375" style="62" customWidth="1"/>
    <col min="9" max="9" width="10.5546875" style="62" customWidth="1"/>
    <col min="10" max="13" width="8.77734375" style="62" customWidth="1"/>
    <col min="14" max="16384" width="8.88671875" style="62"/>
  </cols>
  <sheetData>
    <row r="1" spans="2:9" s="53" customFormat="1" ht="18" customHeight="1">
      <c r="E1" s="52"/>
      <c r="F1" s="52"/>
    </row>
    <row r="2" spans="2:9" s="53" customFormat="1" ht="18" customHeight="1">
      <c r="B2" s="53" t="s">
        <v>96</v>
      </c>
      <c r="E2" s="52"/>
      <c r="F2" s="52"/>
    </row>
    <row r="3" spans="2:9" s="53" customFormat="1" ht="18" customHeight="1">
      <c r="E3" s="52"/>
      <c r="F3" s="52"/>
    </row>
    <row r="4" spans="2:9" s="53" customFormat="1" ht="18" customHeight="1">
      <c r="B4" s="72" t="s">
        <v>109</v>
      </c>
      <c r="E4" s="52"/>
      <c r="F4" s="52"/>
    </row>
    <row r="5" spans="2:9" s="53" customFormat="1" ht="18" customHeight="1" thickBot="1">
      <c r="E5" s="52"/>
      <c r="F5" s="52"/>
    </row>
    <row r="6" spans="2:9" s="53" customFormat="1" ht="26.1" customHeight="1" thickBot="1">
      <c r="B6" s="274" t="s">
        <v>97</v>
      </c>
      <c r="C6" s="275">
        <v>43577.375</v>
      </c>
      <c r="D6" s="276"/>
      <c r="E6" s="52"/>
      <c r="F6" s="52"/>
    </row>
    <row r="7" spans="2:9" s="53" customFormat="1" ht="26.1" customHeight="1" thickBot="1">
      <c r="B7" s="277" t="s">
        <v>98</v>
      </c>
      <c r="C7" s="278">
        <v>15</v>
      </c>
      <c r="D7" s="276"/>
      <c r="E7" s="52"/>
      <c r="F7" s="52"/>
    </row>
    <row r="8" spans="2:9" s="53" customFormat="1" ht="26.1" customHeight="1">
      <c r="B8" s="279" t="s">
        <v>99</v>
      </c>
      <c r="C8" s="280">
        <v>226</v>
      </c>
      <c r="D8" s="279">
        <v>229</v>
      </c>
      <c r="E8" s="52"/>
      <c r="F8" s="52"/>
    </row>
    <row r="9" spans="2:9" s="53" customFormat="1" ht="26.1" customHeight="1">
      <c r="B9" s="279" t="s">
        <v>100</v>
      </c>
      <c r="C9" s="280">
        <v>7.9</v>
      </c>
      <c r="D9" s="279">
        <v>7.8</v>
      </c>
      <c r="E9" s="52"/>
      <c r="F9" s="52"/>
    </row>
    <row r="10" spans="2:9" s="53" customFormat="1" ht="26.1" customHeight="1">
      <c r="B10" s="279"/>
      <c r="C10" s="280"/>
      <c r="D10" s="276"/>
      <c r="E10" s="52"/>
      <c r="F10" s="52"/>
    </row>
    <row r="11" spans="2:9" s="53" customFormat="1" ht="18" customHeight="1" thickBot="1">
      <c r="E11" s="52"/>
      <c r="F11" s="52"/>
    </row>
    <row r="12" spans="2:9" s="52" customFormat="1" ht="26.1" customHeight="1">
      <c r="B12" s="359" t="s">
        <v>101</v>
      </c>
      <c r="C12" s="361"/>
      <c r="D12" s="359" t="s">
        <v>102</v>
      </c>
      <c r="E12" s="360"/>
      <c r="F12" s="361"/>
      <c r="G12" s="359" t="s">
        <v>185</v>
      </c>
      <c r="H12" s="360"/>
      <c r="I12" s="361"/>
    </row>
    <row r="13" spans="2:9" s="52" customFormat="1" ht="26.1" customHeight="1">
      <c r="B13" s="281" t="s">
        <v>97</v>
      </c>
      <c r="C13" s="282" t="s">
        <v>103</v>
      </c>
      <c r="D13" s="332" t="s">
        <v>104</v>
      </c>
      <c r="E13" s="283" t="s">
        <v>105</v>
      </c>
      <c r="F13" s="333" t="s">
        <v>106</v>
      </c>
      <c r="G13" s="332" t="s">
        <v>104</v>
      </c>
      <c r="H13" s="283" t="s">
        <v>105</v>
      </c>
      <c r="I13" s="333" t="s">
        <v>106</v>
      </c>
    </row>
    <row r="14" spans="2:9" s="52" customFormat="1" ht="26.1" customHeight="1">
      <c r="B14" s="284">
        <f>$C$6+C14/1440</f>
        <v>43577.378472222219</v>
      </c>
      <c r="C14" s="285">
        <v>5</v>
      </c>
      <c r="D14" s="218">
        <f t="shared" ref="D14:I23" ca="1" si="0">baseTemp+D31</f>
        <v>15.3</v>
      </c>
      <c r="E14" s="304">
        <f t="shared" ca="1" si="0"/>
        <v>14.9</v>
      </c>
      <c r="F14" s="291">
        <f t="shared" ca="1" si="0"/>
        <v>15.1</v>
      </c>
      <c r="G14" s="218">
        <f t="shared" si="0"/>
        <v>15</v>
      </c>
      <c r="H14" s="304">
        <f t="shared" ca="1" si="0"/>
        <v>15.3</v>
      </c>
      <c r="I14" s="291">
        <f t="shared" ca="1" si="0"/>
        <v>14.9</v>
      </c>
    </row>
    <row r="15" spans="2:9" s="52" customFormat="1" ht="26.1" customHeight="1">
      <c r="B15" s="290">
        <f t="shared" ref="B15:B23" si="1">$C$6+C15/1440</f>
        <v>43577.395833333336</v>
      </c>
      <c r="C15" s="291">
        <v>30</v>
      </c>
      <c r="D15" s="218">
        <f t="shared" ca="1" si="0"/>
        <v>15.2</v>
      </c>
      <c r="E15" s="304">
        <f t="shared" ca="1" si="0"/>
        <v>14.7</v>
      </c>
      <c r="F15" s="291">
        <f t="shared" ca="1" si="0"/>
        <v>14.7</v>
      </c>
      <c r="G15" s="218">
        <f t="shared" si="0"/>
        <v>15</v>
      </c>
      <c r="H15" s="304">
        <f t="shared" ca="1" si="0"/>
        <v>14.9</v>
      </c>
      <c r="I15" s="291">
        <f t="shared" ca="1" si="0"/>
        <v>15.2</v>
      </c>
    </row>
    <row r="16" spans="2:9" s="52" customFormat="1" ht="26.1" customHeight="1">
      <c r="B16" s="290">
        <f t="shared" si="1"/>
        <v>43577.416666666664</v>
      </c>
      <c r="C16" s="291">
        <v>60</v>
      </c>
      <c r="D16" s="218">
        <f t="shared" ca="1" si="0"/>
        <v>15.1</v>
      </c>
      <c r="E16" s="304">
        <f t="shared" ca="1" si="0"/>
        <v>14.7</v>
      </c>
      <c r="F16" s="291">
        <f t="shared" ca="1" si="0"/>
        <v>15.2</v>
      </c>
      <c r="G16" s="218">
        <f t="shared" si="0"/>
        <v>15</v>
      </c>
      <c r="H16" s="304">
        <f t="shared" ca="1" si="0"/>
        <v>14.9</v>
      </c>
      <c r="I16" s="291">
        <f t="shared" ca="1" si="0"/>
        <v>14.9</v>
      </c>
    </row>
    <row r="17" spans="2:10" s="52" customFormat="1" ht="26.1" customHeight="1">
      <c r="B17" s="290">
        <f t="shared" si="1"/>
        <v>43577.458333333336</v>
      </c>
      <c r="C17" s="291">
        <v>120</v>
      </c>
      <c r="D17" s="218">
        <f t="shared" ca="1" si="0"/>
        <v>14.9</v>
      </c>
      <c r="E17" s="304">
        <f t="shared" ca="1" si="0"/>
        <v>14.9</v>
      </c>
      <c r="F17" s="291">
        <f t="shared" ca="1" si="0"/>
        <v>15.3</v>
      </c>
      <c r="G17" s="218">
        <f t="shared" si="0"/>
        <v>15</v>
      </c>
      <c r="H17" s="304">
        <f t="shared" ca="1" si="0"/>
        <v>15.2</v>
      </c>
      <c r="I17" s="291">
        <f t="shared" ca="1" si="0"/>
        <v>15.3</v>
      </c>
    </row>
    <row r="18" spans="2:10" s="52" customFormat="1" ht="26.1" customHeight="1">
      <c r="B18" s="290">
        <f t="shared" si="1"/>
        <v>43577.541666666664</v>
      </c>
      <c r="C18" s="291">
        <v>240</v>
      </c>
      <c r="D18" s="218">
        <f t="shared" ca="1" si="0"/>
        <v>15.2</v>
      </c>
      <c r="E18" s="304">
        <f t="shared" ca="1" si="0"/>
        <v>15.3</v>
      </c>
      <c r="F18" s="291">
        <f t="shared" ca="1" si="0"/>
        <v>14.9</v>
      </c>
      <c r="G18" s="218">
        <f t="shared" si="0"/>
        <v>15</v>
      </c>
      <c r="H18" s="304">
        <f t="shared" ca="1" si="0"/>
        <v>14.7</v>
      </c>
      <c r="I18" s="291">
        <f t="shared" ca="1" si="0"/>
        <v>14.7</v>
      </c>
    </row>
    <row r="19" spans="2:10" s="52" customFormat="1" ht="26.1" customHeight="1">
      <c r="B19" s="290">
        <f t="shared" si="1"/>
        <v>43577.708333333336</v>
      </c>
      <c r="C19" s="291">
        <v>480</v>
      </c>
      <c r="D19" s="218">
        <f t="shared" ca="1" si="0"/>
        <v>15.2</v>
      </c>
      <c r="E19" s="304">
        <f t="shared" ca="1" si="0"/>
        <v>15.3</v>
      </c>
      <c r="F19" s="291">
        <f t="shared" ca="1" si="0"/>
        <v>14.9</v>
      </c>
      <c r="G19" s="218">
        <f t="shared" si="0"/>
        <v>15</v>
      </c>
      <c r="H19" s="304">
        <f t="shared" ca="1" si="0"/>
        <v>14.9</v>
      </c>
      <c r="I19" s="291">
        <f t="shared" ca="1" si="0"/>
        <v>14.7</v>
      </c>
    </row>
    <row r="20" spans="2:10" s="53" customFormat="1" ht="26.1" customHeight="1">
      <c r="B20" s="290">
        <f t="shared" si="1"/>
        <v>43578.375</v>
      </c>
      <c r="C20" s="291">
        <v>1440</v>
      </c>
      <c r="D20" s="218">
        <f t="shared" ca="1" si="0"/>
        <v>14.9</v>
      </c>
      <c r="E20" s="304">
        <f t="shared" ca="1" si="0"/>
        <v>14.8</v>
      </c>
      <c r="F20" s="291">
        <f t="shared" ca="1" si="0"/>
        <v>14.9</v>
      </c>
      <c r="G20" s="218">
        <f t="shared" si="0"/>
        <v>15</v>
      </c>
      <c r="H20" s="304">
        <f t="shared" ca="1" si="0"/>
        <v>14.8</v>
      </c>
      <c r="I20" s="291">
        <f t="shared" ca="1" si="0"/>
        <v>14.7</v>
      </c>
    </row>
    <row r="21" spans="2:10" s="53" customFormat="1" ht="26.1" customHeight="1">
      <c r="B21" s="290">
        <f t="shared" si="1"/>
        <v>43578.541666666664</v>
      </c>
      <c r="C21" s="291">
        <v>1680</v>
      </c>
      <c r="D21" s="218">
        <f t="shared" ca="1" si="0"/>
        <v>14.7</v>
      </c>
      <c r="E21" s="304">
        <f t="shared" ca="1" si="0"/>
        <v>14.8</v>
      </c>
      <c r="F21" s="291">
        <f t="shared" ca="1" si="0"/>
        <v>15.2</v>
      </c>
      <c r="G21" s="218">
        <f t="shared" si="0"/>
        <v>15</v>
      </c>
      <c r="H21" s="304">
        <f t="shared" ca="1" si="0"/>
        <v>14.8</v>
      </c>
      <c r="I21" s="291">
        <f t="shared" ca="1" si="0"/>
        <v>14.8</v>
      </c>
    </row>
    <row r="22" spans="2:10" s="53" customFormat="1" ht="26.1" customHeight="1">
      <c r="B22" s="290">
        <f t="shared" si="1"/>
        <v>43578.708333333336</v>
      </c>
      <c r="C22" s="291">
        <v>1920</v>
      </c>
      <c r="D22" s="218">
        <f t="shared" ca="1" si="0"/>
        <v>15.1</v>
      </c>
      <c r="E22" s="304">
        <f t="shared" ca="1" si="0"/>
        <v>15.3</v>
      </c>
      <c r="F22" s="291">
        <f t="shared" ca="1" si="0"/>
        <v>14.9</v>
      </c>
      <c r="G22" s="218">
        <f t="shared" si="0"/>
        <v>15</v>
      </c>
      <c r="H22" s="304">
        <f t="shared" ca="1" si="0"/>
        <v>14.8</v>
      </c>
      <c r="I22" s="291">
        <f t="shared" ca="1" si="0"/>
        <v>14.8</v>
      </c>
    </row>
    <row r="23" spans="2:10" s="53" customFormat="1" ht="26.1" customHeight="1">
      <c r="B23" s="294">
        <f t="shared" si="1"/>
        <v>43579.375</v>
      </c>
      <c r="C23" s="295">
        <v>2880</v>
      </c>
      <c r="D23" s="218">
        <f t="shared" ca="1" si="0"/>
        <v>14.8</v>
      </c>
      <c r="E23" s="304">
        <f t="shared" ca="1" si="0"/>
        <v>14.7</v>
      </c>
      <c r="F23" s="291">
        <f t="shared" ca="1" si="0"/>
        <v>14.7</v>
      </c>
      <c r="G23" s="218">
        <f t="shared" si="0"/>
        <v>15</v>
      </c>
      <c r="H23" s="304">
        <f t="shared" ca="1" si="0"/>
        <v>14.8</v>
      </c>
      <c r="I23" s="291">
        <f t="shared" ca="1" si="0"/>
        <v>15.2</v>
      </c>
    </row>
    <row r="24" spans="2:10" s="53" customFormat="1" ht="26.1" customHeight="1">
      <c r="B24" s="362" t="s">
        <v>48</v>
      </c>
      <c r="C24" s="363"/>
      <c r="D24" s="332">
        <f ca="1">MAX(D14:D23)</f>
        <v>15.3</v>
      </c>
      <c r="E24" s="283">
        <f t="shared" ref="E24:I24" ca="1" si="2">MAX(E14:E23)</f>
        <v>15.3</v>
      </c>
      <c r="F24" s="333">
        <f t="shared" ca="1" si="2"/>
        <v>15.3</v>
      </c>
      <c r="G24" s="332">
        <f t="shared" si="2"/>
        <v>15</v>
      </c>
      <c r="H24" s="283">
        <f t="shared" ca="1" si="2"/>
        <v>15.3</v>
      </c>
      <c r="I24" s="333">
        <f t="shared" ca="1" si="2"/>
        <v>15.3</v>
      </c>
      <c r="J24" s="52"/>
    </row>
    <row r="25" spans="2:10" s="53" customFormat="1" ht="26.1" customHeight="1">
      <c r="B25" s="362" t="s">
        <v>49</v>
      </c>
      <c r="C25" s="363"/>
      <c r="D25" s="332">
        <f ca="1">MIN(D14:D23)</f>
        <v>14.7</v>
      </c>
      <c r="E25" s="283">
        <f t="shared" ref="E25:I25" ca="1" si="3">MIN(E14:E23)</f>
        <v>14.7</v>
      </c>
      <c r="F25" s="333">
        <f t="shared" ca="1" si="3"/>
        <v>14.7</v>
      </c>
      <c r="G25" s="332">
        <f t="shared" si="3"/>
        <v>15</v>
      </c>
      <c r="H25" s="283">
        <f t="shared" ca="1" si="3"/>
        <v>14.7</v>
      </c>
      <c r="I25" s="333">
        <f t="shared" ca="1" si="3"/>
        <v>14.7</v>
      </c>
      <c r="J25" s="52"/>
    </row>
    <row r="26" spans="2:10" s="53" customFormat="1" ht="26.1" customHeight="1" thickBot="1">
      <c r="B26" s="364" t="s">
        <v>107</v>
      </c>
      <c r="C26" s="365"/>
      <c r="D26" s="334">
        <f ca="1">D24-D25</f>
        <v>0.60000000000000142</v>
      </c>
      <c r="E26" s="301">
        <f t="shared" ref="E26:I26" ca="1" si="4">E24-E25</f>
        <v>0.60000000000000142</v>
      </c>
      <c r="F26" s="335">
        <f t="shared" ca="1" si="4"/>
        <v>0.60000000000000142</v>
      </c>
      <c r="G26" s="334">
        <f t="shared" si="4"/>
        <v>0</v>
      </c>
      <c r="H26" s="301">
        <f t="shared" ca="1" si="4"/>
        <v>0.60000000000000142</v>
      </c>
      <c r="I26" s="335">
        <f t="shared" ca="1" si="4"/>
        <v>0.60000000000000142</v>
      </c>
      <c r="J26" s="52"/>
    </row>
    <row r="27" spans="2:10" s="53" customFormat="1" ht="18" customHeight="1">
      <c r="E27" s="52"/>
      <c r="F27" s="52"/>
    </row>
    <row r="28" spans="2:10" s="53" customFormat="1" ht="18" customHeight="1" thickBot="1">
      <c r="E28" s="52"/>
      <c r="F28" s="52"/>
    </row>
    <row r="29" spans="2:10" s="53" customFormat="1" ht="18" customHeight="1">
      <c r="D29" s="359" t="s">
        <v>102</v>
      </c>
      <c r="E29" s="360"/>
      <c r="F29" s="361"/>
      <c r="H29" s="359" t="s">
        <v>185</v>
      </c>
      <c r="I29" s="360"/>
      <c r="J29" s="361"/>
    </row>
    <row r="30" spans="2:10" s="53" customFormat="1" ht="18" customHeight="1">
      <c r="D30" s="281" t="s">
        <v>104</v>
      </c>
      <c r="E30" s="283" t="s">
        <v>105</v>
      </c>
      <c r="F30" s="282" t="s">
        <v>106</v>
      </c>
      <c r="H30" s="281" t="s">
        <v>104</v>
      </c>
      <c r="I30" s="283" t="s">
        <v>105</v>
      </c>
      <c r="J30" s="282" t="s">
        <v>106</v>
      </c>
    </row>
    <row r="31" spans="2:10" s="53" customFormat="1" ht="18" customHeight="1">
      <c r="D31" s="303">
        <f t="shared" ref="D31:D40" ca="1" si="5">ROUND(myRandBetween(1,3,10), 1)</f>
        <v>0.3</v>
      </c>
      <c r="E31" s="303">
        <f t="shared" ref="E31:F31" ca="1" si="6">ROUND(myRandBetween(1,3,10), 1)</f>
        <v>-0.1</v>
      </c>
      <c r="F31" s="303">
        <f t="shared" ca="1" si="6"/>
        <v>0.1</v>
      </c>
      <c r="H31" s="303">
        <f ca="1">ROUND(myRandBetween(1,3,10), 1)</f>
        <v>0.3</v>
      </c>
      <c r="I31" s="305">
        <f t="shared" ref="I31:J31" ca="1" si="7">ROUND(myRandBetween(1,3,10), 1)</f>
        <v>-0.1</v>
      </c>
      <c r="J31" s="305">
        <f t="shared" ca="1" si="7"/>
        <v>-0.3</v>
      </c>
    </row>
    <row r="32" spans="2:10" s="53" customFormat="1" ht="18" customHeight="1">
      <c r="D32" s="303">
        <f t="shared" ca="1" si="5"/>
        <v>0.2</v>
      </c>
      <c r="E32" s="303">
        <f t="shared" ref="E32:F40" ca="1" si="8">ROUND(myRandBetween(1,3,10), 1)</f>
        <v>-0.3</v>
      </c>
      <c r="F32" s="303">
        <f t="shared" ca="1" si="8"/>
        <v>-0.3</v>
      </c>
      <c r="H32" s="303">
        <f t="shared" ref="H32:H40" ca="1" si="9">ROUND(myRandBetween(1,3,10), 1)</f>
        <v>-0.1</v>
      </c>
      <c r="I32" s="303">
        <f t="shared" ref="I32:J40" ca="1" si="10">ROUND(myRandBetween(1,3,10), 1)</f>
        <v>0.2</v>
      </c>
      <c r="J32" s="303">
        <f t="shared" ca="1" si="10"/>
        <v>-0.1</v>
      </c>
    </row>
    <row r="33" spans="4:10" s="53" customFormat="1" ht="18" customHeight="1">
      <c r="D33" s="303">
        <f t="shared" ca="1" si="5"/>
        <v>0.1</v>
      </c>
      <c r="E33" s="303">
        <f t="shared" ca="1" si="8"/>
        <v>-0.3</v>
      </c>
      <c r="F33" s="303">
        <f t="shared" ca="1" si="8"/>
        <v>0.2</v>
      </c>
      <c r="H33" s="303">
        <f t="shared" ca="1" si="9"/>
        <v>-0.1</v>
      </c>
      <c r="I33" s="303">
        <f t="shared" ca="1" si="10"/>
        <v>-0.1</v>
      </c>
      <c r="J33" s="303">
        <f t="shared" ca="1" si="10"/>
        <v>-0.1</v>
      </c>
    </row>
    <row r="34" spans="4:10" s="53" customFormat="1" ht="18" customHeight="1">
      <c r="D34" s="303">
        <f t="shared" ca="1" si="5"/>
        <v>-0.1</v>
      </c>
      <c r="E34" s="303">
        <f t="shared" ca="1" si="8"/>
        <v>-0.1</v>
      </c>
      <c r="F34" s="303">
        <f t="shared" ca="1" si="8"/>
        <v>0.3</v>
      </c>
      <c r="H34" s="303">
        <f t="shared" ca="1" si="9"/>
        <v>0.2</v>
      </c>
      <c r="I34" s="303">
        <f t="shared" ca="1" si="10"/>
        <v>0.3</v>
      </c>
      <c r="J34" s="303">
        <f t="shared" ca="1" si="10"/>
        <v>-0.2</v>
      </c>
    </row>
    <row r="35" spans="4:10" s="53" customFormat="1" ht="18" customHeight="1">
      <c r="D35" s="303">
        <f t="shared" ca="1" si="5"/>
        <v>0.2</v>
      </c>
      <c r="E35" s="303">
        <f t="shared" ca="1" si="8"/>
        <v>0.3</v>
      </c>
      <c r="F35" s="303">
        <f t="shared" ca="1" si="8"/>
        <v>-0.1</v>
      </c>
      <c r="H35" s="303">
        <f t="shared" ca="1" si="9"/>
        <v>-0.3</v>
      </c>
      <c r="I35" s="303">
        <f t="shared" ca="1" si="10"/>
        <v>-0.3</v>
      </c>
      <c r="J35" s="303">
        <f t="shared" ca="1" si="10"/>
        <v>-0.3</v>
      </c>
    </row>
    <row r="36" spans="4:10" s="53" customFormat="1" ht="18" customHeight="1">
      <c r="D36" s="303">
        <f t="shared" ca="1" si="5"/>
        <v>0.2</v>
      </c>
      <c r="E36" s="303">
        <f t="shared" ca="1" si="8"/>
        <v>0.3</v>
      </c>
      <c r="F36" s="303">
        <f t="shared" ca="1" si="8"/>
        <v>-0.1</v>
      </c>
      <c r="H36" s="303">
        <f t="shared" ca="1" si="9"/>
        <v>-0.1</v>
      </c>
      <c r="I36" s="303">
        <f t="shared" ca="1" si="10"/>
        <v>-0.3</v>
      </c>
      <c r="J36" s="303">
        <f t="shared" ca="1" si="10"/>
        <v>0.2</v>
      </c>
    </row>
    <row r="37" spans="4:10" s="53" customFormat="1" ht="18" customHeight="1">
      <c r="D37" s="303">
        <f t="shared" ca="1" si="5"/>
        <v>-0.1</v>
      </c>
      <c r="E37" s="303">
        <f t="shared" ca="1" si="8"/>
        <v>-0.2</v>
      </c>
      <c r="F37" s="303">
        <f t="shared" ca="1" si="8"/>
        <v>-0.1</v>
      </c>
      <c r="H37" s="303">
        <f t="shared" ca="1" si="9"/>
        <v>-0.2</v>
      </c>
      <c r="I37" s="303">
        <f t="shared" ca="1" si="10"/>
        <v>-0.3</v>
      </c>
      <c r="J37" s="303">
        <f t="shared" ca="1" si="10"/>
        <v>0.3</v>
      </c>
    </row>
    <row r="38" spans="4:10" ht="18" customHeight="1">
      <c r="D38" s="303">
        <f t="shared" ca="1" si="5"/>
        <v>-0.3</v>
      </c>
      <c r="E38" s="303">
        <f t="shared" ca="1" si="8"/>
        <v>-0.2</v>
      </c>
      <c r="F38" s="303">
        <f t="shared" ca="1" si="8"/>
        <v>0.2</v>
      </c>
      <c r="H38" s="303">
        <f t="shared" ca="1" si="9"/>
        <v>-0.2</v>
      </c>
      <c r="I38" s="303">
        <f t="shared" ca="1" si="10"/>
        <v>-0.2</v>
      </c>
      <c r="J38" s="303">
        <f t="shared" ca="1" si="10"/>
        <v>-0.3</v>
      </c>
    </row>
    <row r="39" spans="4:10" ht="18" customHeight="1">
      <c r="D39" s="303">
        <f t="shared" ca="1" si="5"/>
        <v>0.1</v>
      </c>
      <c r="E39" s="303">
        <f t="shared" ca="1" si="8"/>
        <v>0.3</v>
      </c>
      <c r="F39" s="303">
        <f t="shared" ca="1" si="8"/>
        <v>-0.1</v>
      </c>
      <c r="H39" s="303">
        <f t="shared" ca="1" si="9"/>
        <v>-0.2</v>
      </c>
      <c r="I39" s="303">
        <f t="shared" ca="1" si="10"/>
        <v>-0.2</v>
      </c>
      <c r="J39" s="303">
        <f t="shared" ca="1" si="10"/>
        <v>-0.3</v>
      </c>
    </row>
    <row r="40" spans="4:10" ht="18" customHeight="1" thickBot="1">
      <c r="D40" s="303">
        <f t="shared" ca="1" si="5"/>
        <v>-0.2</v>
      </c>
      <c r="E40" s="306">
        <f t="shared" ca="1" si="8"/>
        <v>-0.3</v>
      </c>
      <c r="F40" s="306">
        <f t="shared" ca="1" si="8"/>
        <v>-0.3</v>
      </c>
      <c r="H40" s="303">
        <f t="shared" ca="1" si="9"/>
        <v>-0.2</v>
      </c>
      <c r="I40" s="306">
        <f t="shared" ca="1" si="10"/>
        <v>0.2</v>
      </c>
      <c r="J40" s="306">
        <f t="shared" ca="1" si="10"/>
        <v>-0.2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4449" r:id="rId4" name="CommandButton1">
          <controlPr defaultSize="0" autoLine="0" r:id="rId5">
            <anchor moveWithCells="1">
              <from>
                <xdr:col>3</xdr:col>
                <xdr:colOff>323850</xdr:colOff>
                <xdr:row>5</xdr:row>
                <xdr:rowOff>0</xdr:rowOff>
              </from>
              <to>
                <xdr:col>5</xdr:col>
                <xdr:colOff>257175</xdr:colOff>
                <xdr:row>6</xdr:row>
                <xdr:rowOff>95250</xdr:rowOff>
              </to>
            </anchor>
          </controlPr>
        </control>
      </mc:Choice>
      <mc:Fallback>
        <control shapeId="104449" r:id="rId4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B297-66F3-47E5-817C-85E87D53E034}">
  <sheetPr codeName="Sheet31"/>
  <dimension ref="B1:N44"/>
  <sheetViews>
    <sheetView topLeftCell="A22" workbookViewId="0">
      <selection activeCell="P42" sqref="P42"/>
    </sheetView>
  </sheetViews>
  <sheetFormatPr defaultColWidth="8.88671875" defaultRowHeight="16.5"/>
  <cols>
    <col min="1" max="1" width="8.88671875" style="62"/>
    <col min="2" max="2" width="13.109375" style="62" customWidth="1"/>
    <col min="3" max="3" width="10.77734375" style="62" bestFit="1" customWidth="1"/>
    <col min="4" max="4" width="7.33203125" style="62" customWidth="1"/>
    <col min="5" max="6" width="7.33203125" style="63" customWidth="1"/>
    <col min="7" max="12" width="7.33203125" style="62" customWidth="1"/>
    <col min="13" max="23" width="6.77734375" style="62" customWidth="1"/>
    <col min="24" max="16384" width="8.88671875" style="62"/>
  </cols>
  <sheetData>
    <row r="1" spans="2:12" s="53" customFormat="1" ht="18" customHeight="1">
      <c r="E1" s="52"/>
      <c r="F1" s="52"/>
    </row>
    <row r="2" spans="2:12" s="53" customFormat="1" ht="18" customHeight="1">
      <c r="B2" s="53" t="s">
        <v>96</v>
      </c>
      <c r="E2" s="52"/>
      <c r="F2" s="52"/>
    </row>
    <row r="3" spans="2:12" s="53" customFormat="1" ht="18" customHeight="1">
      <c r="E3" s="52"/>
      <c r="F3" s="52"/>
    </row>
    <row r="4" spans="2:12" s="53" customFormat="1" ht="18" customHeight="1">
      <c r="B4" s="72" t="s">
        <v>109</v>
      </c>
      <c r="E4" s="52"/>
      <c r="F4" s="52"/>
    </row>
    <row r="5" spans="2:12" s="53" customFormat="1" ht="18" customHeight="1" thickBot="1">
      <c r="E5" s="52"/>
      <c r="F5" s="52"/>
    </row>
    <row r="6" spans="2:12" s="53" customFormat="1" ht="26.1" customHeight="1" thickBot="1">
      <c r="B6" s="274" t="s">
        <v>97</v>
      </c>
      <c r="C6" s="275">
        <v>43973.416666666664</v>
      </c>
      <c r="D6" s="276"/>
      <c r="E6" s="276"/>
      <c r="F6" s="52"/>
    </row>
    <row r="7" spans="2:12" s="53" customFormat="1" ht="26.1" customHeight="1" thickBot="1">
      <c r="B7" s="277" t="s">
        <v>98</v>
      </c>
      <c r="C7" s="278">
        <v>14</v>
      </c>
      <c r="D7" s="276"/>
      <c r="E7" s="276"/>
      <c r="F7" s="52"/>
    </row>
    <row r="8" spans="2:12" s="53" customFormat="1" ht="26.1" customHeight="1">
      <c r="B8" s="279" t="s">
        <v>99</v>
      </c>
      <c r="C8" s="280">
        <v>233</v>
      </c>
      <c r="D8" s="279">
        <v>238</v>
      </c>
      <c r="E8" s="307">
        <v>231</v>
      </c>
      <c r="F8" s="52"/>
    </row>
    <row r="9" spans="2:12" s="53" customFormat="1" ht="26.1" customHeight="1">
      <c r="B9" s="279" t="s">
        <v>100</v>
      </c>
      <c r="C9" s="280">
        <v>6.2</v>
      </c>
      <c r="D9" s="279">
        <v>6.3</v>
      </c>
      <c r="E9" s="307">
        <v>6.7</v>
      </c>
      <c r="F9" s="52"/>
    </row>
    <row r="10" spans="2:12" s="53" customFormat="1" ht="26.1" customHeight="1">
      <c r="B10" s="279"/>
      <c r="C10" s="280"/>
      <c r="D10" s="276"/>
      <c r="E10" s="276"/>
      <c r="F10" s="52"/>
    </row>
    <row r="11" spans="2:12" s="53" customFormat="1" ht="18" customHeight="1" thickBot="1">
      <c r="E11" s="52"/>
      <c r="F11" s="52"/>
    </row>
    <row r="12" spans="2:12" s="52" customFormat="1" ht="27" customHeight="1">
      <c r="B12" s="359" t="s">
        <v>101</v>
      </c>
      <c r="C12" s="361"/>
      <c r="D12" s="359" t="s">
        <v>102</v>
      </c>
      <c r="E12" s="360"/>
      <c r="F12" s="361"/>
      <c r="G12" s="359" t="s">
        <v>185</v>
      </c>
      <c r="H12" s="360"/>
      <c r="I12" s="361"/>
      <c r="J12" s="366" t="s">
        <v>186</v>
      </c>
      <c r="K12" s="360"/>
      <c r="L12" s="361"/>
    </row>
    <row r="13" spans="2:12" s="52" customFormat="1" ht="27" customHeight="1">
      <c r="B13" s="281" t="s">
        <v>97</v>
      </c>
      <c r="C13" s="282" t="s">
        <v>103</v>
      </c>
      <c r="D13" s="281" t="s">
        <v>201</v>
      </c>
      <c r="E13" s="283" t="s">
        <v>224</v>
      </c>
      <c r="F13" s="282" t="s">
        <v>106</v>
      </c>
      <c r="G13" s="281" t="s">
        <v>201</v>
      </c>
      <c r="H13" s="283" t="s">
        <v>224</v>
      </c>
      <c r="I13" s="282" t="s">
        <v>106</v>
      </c>
      <c r="J13" s="308" t="s">
        <v>201</v>
      </c>
      <c r="K13" s="283" t="s">
        <v>224</v>
      </c>
      <c r="L13" s="282" t="s">
        <v>106</v>
      </c>
    </row>
    <row r="14" spans="2:12" s="52" customFormat="1" ht="27" customHeight="1">
      <c r="B14" s="284">
        <f>$C$6+C14/1440</f>
        <v>43973.420138888883</v>
      </c>
      <c r="C14" s="285">
        <v>5</v>
      </c>
      <c r="D14" s="286">
        <f t="shared" ref="D14:D23" ca="1" si="0">baseTemp+D31</f>
        <v>14.3</v>
      </c>
      <c r="E14" s="287">
        <f t="shared" ref="E14:E23" ca="1" si="1">$C$8+E31</f>
        <v>233.1</v>
      </c>
      <c r="F14" s="288">
        <f t="shared" ref="F14:F23" ca="1" si="2">$C$9+F31</f>
        <v>6.5</v>
      </c>
      <c r="G14" s="289">
        <f t="shared" ref="G14:G23" ca="1" si="3">baseTemp+H31</f>
        <v>13.9</v>
      </c>
      <c r="H14" s="287">
        <f ca="1">$D$8+I31</f>
        <v>238.3</v>
      </c>
      <c r="I14" s="288">
        <f ca="1">$D$9+J31</f>
        <v>6</v>
      </c>
      <c r="J14" s="309">
        <f t="shared" ref="J14:J23" ca="1" si="4">baseTemp+L31</f>
        <v>13.7</v>
      </c>
      <c r="K14" s="287">
        <f ca="1">$E$8+M31</f>
        <v>230.7</v>
      </c>
      <c r="L14" s="288">
        <f ca="1">$E$9+N31</f>
        <v>6.6000000000000005</v>
      </c>
    </row>
    <row r="15" spans="2:12" s="52" customFormat="1" ht="27" customHeight="1">
      <c r="B15" s="290">
        <f t="shared" ref="B15:B23" si="5">$C$6+C15/1440</f>
        <v>43973.4375</v>
      </c>
      <c r="C15" s="291">
        <v>30</v>
      </c>
      <c r="D15" s="218">
        <f t="shared" ca="1" si="0"/>
        <v>13.8</v>
      </c>
      <c r="E15" s="292">
        <f t="shared" ca="1" si="1"/>
        <v>232.9</v>
      </c>
      <c r="F15" s="293">
        <f t="shared" ca="1" si="2"/>
        <v>6.5</v>
      </c>
      <c r="G15" s="289">
        <f t="shared" ca="1" si="3"/>
        <v>13.8</v>
      </c>
      <c r="H15" s="287">
        <f t="shared" ref="H15:H23" ca="1" si="6">$D$8+I32</f>
        <v>237.9</v>
      </c>
      <c r="I15" s="288">
        <f t="shared" ref="I15:I23" ca="1" si="7">$D$9+J32</f>
        <v>6.3999999999999995</v>
      </c>
      <c r="J15" s="309">
        <f t="shared" ca="1" si="4"/>
        <v>14.2</v>
      </c>
      <c r="K15" s="287">
        <f t="shared" ref="K15:K23" ca="1" si="8">$E$8+M32</f>
        <v>230.7</v>
      </c>
      <c r="L15" s="288">
        <f t="shared" ref="L15:L23" ca="1" si="9">$E$9+N32</f>
        <v>6.5</v>
      </c>
    </row>
    <row r="16" spans="2:12" s="52" customFormat="1" ht="27" customHeight="1">
      <c r="B16" s="290">
        <f t="shared" si="5"/>
        <v>43973.458333333328</v>
      </c>
      <c r="C16" s="291">
        <v>60</v>
      </c>
      <c r="D16" s="218">
        <f t="shared" ca="1" si="0"/>
        <v>14.2</v>
      </c>
      <c r="E16" s="292">
        <f t="shared" ca="1" si="1"/>
        <v>232.9</v>
      </c>
      <c r="F16" s="293">
        <f t="shared" ca="1" si="2"/>
        <v>6.3</v>
      </c>
      <c r="G16" s="289">
        <f t="shared" ca="1" si="3"/>
        <v>13.9</v>
      </c>
      <c r="H16" s="287">
        <f t="shared" ca="1" si="6"/>
        <v>237.8</v>
      </c>
      <c r="I16" s="288">
        <f t="shared" ca="1" si="7"/>
        <v>6.1</v>
      </c>
      <c r="J16" s="309">
        <f t="shared" ca="1" si="4"/>
        <v>14.2</v>
      </c>
      <c r="K16" s="287">
        <f t="shared" ca="1" si="8"/>
        <v>230.9</v>
      </c>
      <c r="L16" s="288">
        <f t="shared" ca="1" si="9"/>
        <v>6.4</v>
      </c>
    </row>
    <row r="17" spans="2:14" s="52" customFormat="1" ht="27" customHeight="1">
      <c r="B17" s="290">
        <f t="shared" si="5"/>
        <v>43973.5</v>
      </c>
      <c r="C17" s="291">
        <v>120</v>
      </c>
      <c r="D17" s="218">
        <f t="shared" ca="1" si="0"/>
        <v>13.9</v>
      </c>
      <c r="E17" s="292">
        <f t="shared" ca="1" si="1"/>
        <v>232.7</v>
      </c>
      <c r="F17" s="293">
        <f t="shared" ca="1" si="2"/>
        <v>6</v>
      </c>
      <c r="G17" s="289">
        <f t="shared" ca="1" si="3"/>
        <v>13.8</v>
      </c>
      <c r="H17" s="287">
        <f t="shared" ca="1" si="6"/>
        <v>238.1</v>
      </c>
      <c r="I17" s="288">
        <f t="shared" ca="1" si="7"/>
        <v>6</v>
      </c>
      <c r="J17" s="309">
        <f t="shared" ca="1" si="4"/>
        <v>13.7</v>
      </c>
      <c r="K17" s="287">
        <f t="shared" ca="1" si="8"/>
        <v>230.8</v>
      </c>
      <c r="L17" s="288">
        <f t="shared" ca="1" si="9"/>
        <v>6.5</v>
      </c>
    </row>
    <row r="18" spans="2:14" s="52" customFormat="1" ht="27" customHeight="1">
      <c r="B18" s="290">
        <f t="shared" si="5"/>
        <v>43973.583333333328</v>
      </c>
      <c r="C18" s="291">
        <v>240</v>
      </c>
      <c r="D18" s="218">
        <f t="shared" ca="1" si="0"/>
        <v>13.7</v>
      </c>
      <c r="E18" s="292">
        <f t="shared" ca="1" si="1"/>
        <v>232.8</v>
      </c>
      <c r="F18" s="293">
        <f t="shared" ca="1" si="2"/>
        <v>6.4</v>
      </c>
      <c r="G18" s="289">
        <f t="shared" ca="1" si="3"/>
        <v>13.7</v>
      </c>
      <c r="H18" s="287">
        <f t="shared" ca="1" si="6"/>
        <v>237.9</v>
      </c>
      <c r="I18" s="288">
        <f t="shared" ca="1" si="7"/>
        <v>6</v>
      </c>
      <c r="J18" s="309">
        <f t="shared" ca="1" si="4"/>
        <v>14.1</v>
      </c>
      <c r="K18" s="287">
        <f t="shared" ca="1" si="8"/>
        <v>230.8</v>
      </c>
      <c r="L18" s="288">
        <f t="shared" ca="1" si="9"/>
        <v>6.8</v>
      </c>
    </row>
    <row r="19" spans="2:14" s="52" customFormat="1" ht="27" customHeight="1">
      <c r="B19" s="290">
        <f t="shared" si="5"/>
        <v>43973.75</v>
      </c>
      <c r="C19" s="291">
        <v>480</v>
      </c>
      <c r="D19" s="218">
        <f t="shared" ca="1" si="0"/>
        <v>14.1</v>
      </c>
      <c r="E19" s="292">
        <f t="shared" ca="1" si="1"/>
        <v>232.7</v>
      </c>
      <c r="F19" s="293">
        <f t="shared" ca="1" si="2"/>
        <v>6</v>
      </c>
      <c r="G19" s="289">
        <f t="shared" ca="1" si="3"/>
        <v>14.3</v>
      </c>
      <c r="H19" s="287">
        <f t="shared" ca="1" si="6"/>
        <v>237.8</v>
      </c>
      <c r="I19" s="288">
        <f t="shared" ca="1" si="7"/>
        <v>6.2</v>
      </c>
      <c r="J19" s="309">
        <f t="shared" ca="1" si="4"/>
        <v>13.8</v>
      </c>
      <c r="K19" s="287">
        <f t="shared" ca="1" si="8"/>
        <v>230.9</v>
      </c>
      <c r="L19" s="288">
        <f t="shared" ca="1" si="9"/>
        <v>6.4</v>
      </c>
    </row>
    <row r="20" spans="2:14" s="53" customFormat="1" ht="27" customHeight="1">
      <c r="B20" s="290">
        <f t="shared" si="5"/>
        <v>43974.416666666664</v>
      </c>
      <c r="C20" s="291">
        <v>1440</v>
      </c>
      <c r="D20" s="218">
        <f t="shared" ca="1" si="0"/>
        <v>13.8</v>
      </c>
      <c r="E20" s="292">
        <f t="shared" ca="1" si="1"/>
        <v>233.2</v>
      </c>
      <c r="F20" s="293">
        <f t="shared" ca="1" si="2"/>
        <v>6.4</v>
      </c>
      <c r="G20" s="289">
        <f t="shared" ca="1" si="3"/>
        <v>13.9</v>
      </c>
      <c r="H20" s="287">
        <f t="shared" ca="1" si="6"/>
        <v>237.7</v>
      </c>
      <c r="I20" s="288">
        <f t="shared" ca="1" si="7"/>
        <v>6.3999999999999995</v>
      </c>
      <c r="J20" s="309">
        <f t="shared" ca="1" si="4"/>
        <v>13.7</v>
      </c>
      <c r="K20" s="287">
        <f t="shared" ca="1" si="8"/>
        <v>231.3</v>
      </c>
      <c r="L20" s="288">
        <f t="shared" ca="1" si="9"/>
        <v>6.5</v>
      </c>
    </row>
    <row r="21" spans="2:14" s="53" customFormat="1" ht="27" customHeight="1">
      <c r="B21" s="290">
        <f t="shared" si="5"/>
        <v>43974.583333333328</v>
      </c>
      <c r="C21" s="291">
        <v>1680</v>
      </c>
      <c r="D21" s="218">
        <f t="shared" ca="1" si="0"/>
        <v>13.8</v>
      </c>
      <c r="E21" s="292">
        <f t="shared" ca="1" si="1"/>
        <v>232.8</v>
      </c>
      <c r="F21" s="293">
        <f t="shared" ca="1" si="2"/>
        <v>6.3</v>
      </c>
      <c r="G21" s="289">
        <f t="shared" ca="1" si="3"/>
        <v>14.2</v>
      </c>
      <c r="H21" s="287">
        <f t="shared" ca="1" si="6"/>
        <v>237.8</v>
      </c>
      <c r="I21" s="288">
        <f t="shared" ca="1" si="7"/>
        <v>6.2</v>
      </c>
      <c r="J21" s="309">
        <f t="shared" ca="1" si="4"/>
        <v>13.9</v>
      </c>
      <c r="K21" s="287">
        <f t="shared" ca="1" si="8"/>
        <v>230.9</v>
      </c>
      <c r="L21" s="288">
        <f t="shared" ca="1" si="9"/>
        <v>6.5</v>
      </c>
    </row>
    <row r="22" spans="2:14" s="53" customFormat="1" ht="27" customHeight="1">
      <c r="B22" s="290">
        <f t="shared" si="5"/>
        <v>43974.75</v>
      </c>
      <c r="C22" s="291">
        <v>1920</v>
      </c>
      <c r="D22" s="218">
        <f t="shared" ca="1" si="0"/>
        <v>14.1</v>
      </c>
      <c r="E22" s="292">
        <f t="shared" ca="1" si="1"/>
        <v>232.9</v>
      </c>
      <c r="F22" s="293">
        <f t="shared" ca="1" si="2"/>
        <v>6.4</v>
      </c>
      <c r="G22" s="289">
        <f t="shared" ca="1" si="3"/>
        <v>14.2</v>
      </c>
      <c r="H22" s="287">
        <f t="shared" ca="1" si="6"/>
        <v>237.7</v>
      </c>
      <c r="I22" s="288">
        <f t="shared" ca="1" si="7"/>
        <v>6.3999999999999995</v>
      </c>
      <c r="J22" s="309">
        <f t="shared" ca="1" si="4"/>
        <v>13.7</v>
      </c>
      <c r="K22" s="287">
        <f t="shared" ca="1" si="8"/>
        <v>231.3</v>
      </c>
      <c r="L22" s="288">
        <f t="shared" ca="1" si="9"/>
        <v>7</v>
      </c>
    </row>
    <row r="23" spans="2:14" s="53" customFormat="1" ht="27" customHeight="1">
      <c r="B23" s="294">
        <f t="shared" si="5"/>
        <v>43975.416666666664</v>
      </c>
      <c r="C23" s="295">
        <v>2880</v>
      </c>
      <c r="D23" s="223">
        <f t="shared" ca="1" si="0"/>
        <v>13.8</v>
      </c>
      <c r="E23" s="296">
        <f t="shared" ca="1" si="1"/>
        <v>232.8</v>
      </c>
      <c r="F23" s="297">
        <f t="shared" ca="1" si="2"/>
        <v>6.5</v>
      </c>
      <c r="G23" s="298">
        <f t="shared" ca="1" si="3"/>
        <v>14.1</v>
      </c>
      <c r="H23" s="299">
        <f t="shared" ca="1" si="6"/>
        <v>237.8</v>
      </c>
      <c r="I23" s="310">
        <f t="shared" ca="1" si="7"/>
        <v>6.3999999999999995</v>
      </c>
      <c r="J23" s="311">
        <f t="shared" ca="1" si="4"/>
        <v>13.7</v>
      </c>
      <c r="K23" s="299">
        <f t="shared" ca="1" si="8"/>
        <v>231.2</v>
      </c>
      <c r="L23" s="310">
        <f t="shared" ca="1" si="9"/>
        <v>6.4</v>
      </c>
    </row>
    <row r="24" spans="2:14" s="53" customFormat="1" ht="27" customHeight="1">
      <c r="B24" s="362" t="s">
        <v>48</v>
      </c>
      <c r="C24" s="363"/>
      <c r="D24" s="281">
        <f ca="1">MAX(D14:D23)</f>
        <v>14.3</v>
      </c>
      <c r="E24" s="283">
        <f t="shared" ref="E24:F24" ca="1" si="10">MAX(E14:E23)</f>
        <v>233.2</v>
      </c>
      <c r="F24" s="282">
        <f t="shared" ca="1" si="10"/>
        <v>6.5</v>
      </c>
      <c r="G24" s="281">
        <f ca="1">MAX(G14:G23)</f>
        <v>14.3</v>
      </c>
      <c r="H24" s="283">
        <f t="shared" ref="H24:I24" ca="1" si="11">MAX(H14:H23)</f>
        <v>238.3</v>
      </c>
      <c r="I24" s="282">
        <f t="shared" ca="1" si="11"/>
        <v>6.3999999999999995</v>
      </c>
      <c r="J24" s="308">
        <f ca="1">MAX(J14:J23)</f>
        <v>14.2</v>
      </c>
      <c r="K24" s="283">
        <f t="shared" ref="K24:L24" ca="1" si="12">MAX(K14:K23)</f>
        <v>231.3</v>
      </c>
      <c r="L24" s="282">
        <f t="shared" ca="1" si="12"/>
        <v>7</v>
      </c>
    </row>
    <row r="25" spans="2:14" s="53" customFormat="1" ht="27" customHeight="1">
      <c r="B25" s="362" t="s">
        <v>49</v>
      </c>
      <c r="C25" s="363"/>
      <c r="D25" s="281">
        <f ca="1">MIN(D14:D23)</f>
        <v>13.7</v>
      </c>
      <c r="E25" s="283">
        <f t="shared" ref="E25:F25" ca="1" si="13">MIN(E14:E23)</f>
        <v>232.7</v>
      </c>
      <c r="F25" s="282">
        <f t="shared" ca="1" si="13"/>
        <v>6</v>
      </c>
      <c r="G25" s="281">
        <f ca="1">MIN(G14:G23)</f>
        <v>13.7</v>
      </c>
      <c r="H25" s="283">
        <f t="shared" ref="H25:I25" ca="1" si="14">MIN(H14:H23)</f>
        <v>237.7</v>
      </c>
      <c r="I25" s="282">
        <f t="shared" ca="1" si="14"/>
        <v>6</v>
      </c>
      <c r="J25" s="308">
        <f ca="1">MIN(J14:J23)</f>
        <v>13.7</v>
      </c>
      <c r="K25" s="283">
        <f t="shared" ref="K25:L25" ca="1" si="15">MIN(K14:K23)</f>
        <v>230.7</v>
      </c>
      <c r="L25" s="282">
        <f t="shared" ca="1" si="15"/>
        <v>6.4</v>
      </c>
    </row>
    <row r="26" spans="2:14" s="53" customFormat="1" ht="27" customHeight="1" thickBot="1">
      <c r="B26" s="364" t="s">
        <v>107</v>
      </c>
      <c r="C26" s="365"/>
      <c r="D26" s="300">
        <f ca="1">D24-D25</f>
        <v>0.60000000000000142</v>
      </c>
      <c r="E26" s="301">
        <f t="shared" ref="E26:F26" ca="1" si="16">E24-E25</f>
        <v>0.5</v>
      </c>
      <c r="F26" s="302">
        <f t="shared" ca="1" si="16"/>
        <v>0.5</v>
      </c>
      <c r="G26" s="300">
        <f ca="1">G24-G25</f>
        <v>0.60000000000000142</v>
      </c>
      <c r="H26" s="301">
        <f t="shared" ref="H26:I26" ca="1" si="17">H24-H25</f>
        <v>0.60000000000002274</v>
      </c>
      <c r="I26" s="302">
        <f t="shared" ca="1" si="17"/>
        <v>0.39999999999999947</v>
      </c>
      <c r="J26" s="312">
        <f ca="1">J24-J25</f>
        <v>0.5</v>
      </c>
      <c r="K26" s="301">
        <f t="shared" ref="K26:L26" ca="1" si="18">K24-K25</f>
        <v>0.60000000000002274</v>
      </c>
      <c r="L26" s="302">
        <f t="shared" ca="1" si="18"/>
        <v>0.59999999999999964</v>
      </c>
    </row>
    <row r="27" spans="2:14" s="53" customFormat="1" ht="18" customHeight="1">
      <c r="E27" s="52"/>
      <c r="F27" s="52"/>
    </row>
    <row r="28" spans="2:14" s="53" customFormat="1" ht="18" customHeight="1" thickBot="1">
      <c r="E28" s="52"/>
      <c r="F28" s="52"/>
    </row>
    <row r="29" spans="2:14" s="53" customFormat="1" ht="18" customHeight="1">
      <c r="D29" s="359" t="s">
        <v>102</v>
      </c>
      <c r="E29" s="360"/>
      <c r="F29" s="361"/>
      <c r="H29" s="359" t="s">
        <v>185</v>
      </c>
      <c r="I29" s="360"/>
      <c r="J29" s="361"/>
      <c r="L29" s="359" t="s">
        <v>186</v>
      </c>
      <c r="M29" s="360"/>
      <c r="N29" s="361"/>
    </row>
    <row r="30" spans="2:14" s="53" customFormat="1" ht="18" customHeight="1">
      <c r="D30" s="281" t="s">
        <v>202</v>
      </c>
      <c r="E30" s="283" t="s">
        <v>203</v>
      </c>
      <c r="F30" s="282" t="s">
        <v>106</v>
      </c>
      <c r="H30" s="281" t="s">
        <v>202</v>
      </c>
      <c r="I30" s="283" t="s">
        <v>203</v>
      </c>
      <c r="J30" s="282" t="s">
        <v>106</v>
      </c>
      <c r="L30" s="281" t="s">
        <v>202</v>
      </c>
      <c r="M30" s="283" t="s">
        <v>203</v>
      </c>
      <c r="N30" s="282" t="s">
        <v>106</v>
      </c>
    </row>
    <row r="31" spans="2:14" s="53" customFormat="1" ht="18" customHeight="1">
      <c r="D31" s="336">
        <f t="shared" ref="D31:F40" ca="1" si="19">ROUND(myRandBetween(1,3,10), 1)</f>
        <v>0.3</v>
      </c>
      <c r="E31" s="336">
        <f t="shared" ca="1" si="19"/>
        <v>0.1</v>
      </c>
      <c r="F31" s="336">
        <f t="shared" ca="1" si="19"/>
        <v>0.3</v>
      </c>
      <c r="H31" s="336">
        <f ca="1">ROUND(myRandBetween(1,3,10), 1)</f>
        <v>-0.1</v>
      </c>
      <c r="I31" s="336">
        <f t="shared" ref="I31:J31" ca="1" si="20">ROUND(myRandBetween(1,3,10), 1)</f>
        <v>0.3</v>
      </c>
      <c r="J31" s="336">
        <f t="shared" ca="1" si="20"/>
        <v>-0.3</v>
      </c>
      <c r="L31" s="336">
        <f ca="1">ROUND(myRandBetween(1,3,10), 1)</f>
        <v>-0.3</v>
      </c>
      <c r="M31" s="336">
        <f t="shared" ref="M31:N31" ca="1" si="21">ROUND(myRandBetween(1,3,10), 1)</f>
        <v>-0.3</v>
      </c>
      <c r="N31" s="336">
        <f t="shared" ca="1" si="21"/>
        <v>-0.1</v>
      </c>
    </row>
    <row r="32" spans="2:14" s="53" customFormat="1" ht="18" customHeight="1">
      <c r="D32" s="336">
        <f t="shared" ca="1" si="19"/>
        <v>-0.2</v>
      </c>
      <c r="E32" s="336">
        <f t="shared" ca="1" si="19"/>
        <v>-0.1</v>
      </c>
      <c r="F32" s="336">
        <f t="shared" ca="1" si="19"/>
        <v>0.3</v>
      </c>
      <c r="H32" s="336">
        <f t="shared" ref="H32:J40" ca="1" si="22">ROUND(myRandBetween(1,3,10), 1)</f>
        <v>-0.2</v>
      </c>
      <c r="I32" s="336">
        <f t="shared" ca="1" si="22"/>
        <v>-0.1</v>
      </c>
      <c r="J32" s="336">
        <f t="shared" ca="1" si="22"/>
        <v>0.1</v>
      </c>
      <c r="L32" s="336">
        <f t="shared" ref="L32:N40" ca="1" si="23">ROUND(myRandBetween(1,3,10), 1)</f>
        <v>0.2</v>
      </c>
      <c r="M32" s="336">
        <f t="shared" ca="1" si="23"/>
        <v>-0.3</v>
      </c>
      <c r="N32" s="336">
        <f t="shared" ca="1" si="23"/>
        <v>-0.2</v>
      </c>
    </row>
    <row r="33" spans="4:14" s="53" customFormat="1" ht="18" customHeight="1">
      <c r="D33" s="336">
        <f t="shared" ca="1" si="19"/>
        <v>0.2</v>
      </c>
      <c r="E33" s="336">
        <f t="shared" ca="1" si="19"/>
        <v>-0.1</v>
      </c>
      <c r="F33" s="336">
        <f t="shared" ca="1" si="19"/>
        <v>0.1</v>
      </c>
      <c r="H33" s="336">
        <f t="shared" ca="1" si="22"/>
        <v>-0.1</v>
      </c>
      <c r="I33" s="336">
        <f t="shared" ca="1" si="22"/>
        <v>-0.2</v>
      </c>
      <c r="J33" s="336">
        <f t="shared" ca="1" si="22"/>
        <v>-0.2</v>
      </c>
      <c r="L33" s="336">
        <f t="shared" ca="1" si="23"/>
        <v>0.2</v>
      </c>
      <c r="M33" s="336">
        <f t="shared" ca="1" si="23"/>
        <v>-0.1</v>
      </c>
      <c r="N33" s="336">
        <f t="shared" ca="1" si="23"/>
        <v>-0.3</v>
      </c>
    </row>
    <row r="34" spans="4:14" s="53" customFormat="1" ht="18" customHeight="1">
      <c r="D34" s="336">
        <f t="shared" ca="1" si="19"/>
        <v>-0.1</v>
      </c>
      <c r="E34" s="336">
        <f t="shared" ca="1" si="19"/>
        <v>-0.3</v>
      </c>
      <c r="F34" s="336">
        <f t="shared" ca="1" si="19"/>
        <v>-0.2</v>
      </c>
      <c r="H34" s="336">
        <f t="shared" ca="1" si="22"/>
        <v>-0.2</v>
      </c>
      <c r="I34" s="336">
        <f t="shared" ca="1" si="22"/>
        <v>0.1</v>
      </c>
      <c r="J34" s="336">
        <f t="shared" ca="1" si="22"/>
        <v>-0.3</v>
      </c>
      <c r="L34" s="336">
        <f t="shared" ca="1" si="23"/>
        <v>-0.3</v>
      </c>
      <c r="M34" s="336">
        <f t="shared" ca="1" si="23"/>
        <v>-0.2</v>
      </c>
      <c r="N34" s="336">
        <f t="shared" ca="1" si="23"/>
        <v>-0.2</v>
      </c>
    </row>
    <row r="35" spans="4:14" s="53" customFormat="1" ht="18" customHeight="1">
      <c r="D35" s="336">
        <f t="shared" ca="1" si="19"/>
        <v>-0.3</v>
      </c>
      <c r="E35" s="336">
        <f t="shared" ca="1" si="19"/>
        <v>-0.2</v>
      </c>
      <c r="F35" s="336">
        <f t="shared" ca="1" si="19"/>
        <v>0.2</v>
      </c>
      <c r="H35" s="336">
        <f t="shared" ca="1" si="22"/>
        <v>-0.3</v>
      </c>
      <c r="I35" s="336">
        <f t="shared" ca="1" si="22"/>
        <v>-0.1</v>
      </c>
      <c r="J35" s="336">
        <f t="shared" ca="1" si="22"/>
        <v>-0.3</v>
      </c>
      <c r="L35" s="336">
        <f t="shared" ca="1" si="23"/>
        <v>0.1</v>
      </c>
      <c r="M35" s="336">
        <f t="shared" ca="1" si="23"/>
        <v>-0.2</v>
      </c>
      <c r="N35" s="336">
        <f t="shared" ca="1" si="23"/>
        <v>0.1</v>
      </c>
    </row>
    <row r="36" spans="4:14" s="53" customFormat="1" ht="18" customHeight="1">
      <c r="D36" s="336">
        <f t="shared" ca="1" si="19"/>
        <v>0.1</v>
      </c>
      <c r="E36" s="336">
        <f t="shared" ca="1" si="19"/>
        <v>-0.3</v>
      </c>
      <c r="F36" s="336">
        <f t="shared" ca="1" si="19"/>
        <v>-0.2</v>
      </c>
      <c r="H36" s="336">
        <f t="shared" ca="1" si="22"/>
        <v>0.3</v>
      </c>
      <c r="I36" s="336">
        <f t="shared" ca="1" si="22"/>
        <v>-0.2</v>
      </c>
      <c r="J36" s="336">
        <f t="shared" ca="1" si="22"/>
        <v>-0.1</v>
      </c>
      <c r="L36" s="336">
        <f t="shared" ca="1" si="23"/>
        <v>-0.2</v>
      </c>
      <c r="M36" s="336">
        <f t="shared" ca="1" si="23"/>
        <v>-0.1</v>
      </c>
      <c r="N36" s="336">
        <f t="shared" ca="1" si="23"/>
        <v>-0.3</v>
      </c>
    </row>
    <row r="37" spans="4:14" s="53" customFormat="1" ht="18" customHeight="1">
      <c r="D37" s="336">
        <f t="shared" ca="1" si="19"/>
        <v>-0.2</v>
      </c>
      <c r="E37" s="336">
        <f t="shared" ca="1" si="19"/>
        <v>0.2</v>
      </c>
      <c r="F37" s="336">
        <f t="shared" ca="1" si="19"/>
        <v>0.2</v>
      </c>
      <c r="H37" s="336">
        <f t="shared" ca="1" si="22"/>
        <v>-0.1</v>
      </c>
      <c r="I37" s="336">
        <f t="shared" ca="1" si="22"/>
        <v>-0.3</v>
      </c>
      <c r="J37" s="336">
        <f t="shared" ca="1" si="22"/>
        <v>0.1</v>
      </c>
      <c r="L37" s="336">
        <f t="shared" ca="1" si="23"/>
        <v>-0.3</v>
      </c>
      <c r="M37" s="336">
        <f t="shared" ca="1" si="23"/>
        <v>0.3</v>
      </c>
      <c r="N37" s="336">
        <f t="shared" ca="1" si="23"/>
        <v>-0.2</v>
      </c>
    </row>
    <row r="38" spans="4:14" ht="18" customHeight="1">
      <c r="D38" s="336">
        <f t="shared" ca="1" si="19"/>
        <v>-0.2</v>
      </c>
      <c r="E38" s="336">
        <f t="shared" ca="1" si="19"/>
        <v>-0.2</v>
      </c>
      <c r="F38" s="336">
        <f t="shared" ca="1" si="19"/>
        <v>0.1</v>
      </c>
      <c r="H38" s="336">
        <f t="shared" ca="1" si="22"/>
        <v>0.2</v>
      </c>
      <c r="I38" s="336">
        <f t="shared" ca="1" si="22"/>
        <v>-0.2</v>
      </c>
      <c r="J38" s="336">
        <f t="shared" ca="1" si="22"/>
        <v>-0.1</v>
      </c>
      <c r="L38" s="336">
        <f t="shared" ca="1" si="23"/>
        <v>-0.1</v>
      </c>
      <c r="M38" s="336">
        <f t="shared" ca="1" si="23"/>
        <v>-0.1</v>
      </c>
      <c r="N38" s="336">
        <f t="shared" ca="1" si="23"/>
        <v>-0.2</v>
      </c>
    </row>
    <row r="39" spans="4:14" ht="18" customHeight="1">
      <c r="D39" s="336">
        <f t="shared" ca="1" si="19"/>
        <v>0.1</v>
      </c>
      <c r="E39" s="336">
        <f t="shared" ca="1" si="19"/>
        <v>-0.1</v>
      </c>
      <c r="F39" s="336">
        <f t="shared" ca="1" si="19"/>
        <v>0.2</v>
      </c>
      <c r="H39" s="336">
        <f t="shared" ca="1" si="22"/>
        <v>0.2</v>
      </c>
      <c r="I39" s="336">
        <f t="shared" ca="1" si="22"/>
        <v>-0.3</v>
      </c>
      <c r="J39" s="336">
        <f t="shared" ca="1" si="22"/>
        <v>0.1</v>
      </c>
      <c r="L39" s="336">
        <f t="shared" ca="1" si="23"/>
        <v>-0.3</v>
      </c>
      <c r="M39" s="336">
        <f t="shared" ca="1" si="23"/>
        <v>0.3</v>
      </c>
      <c r="N39" s="336">
        <f t="shared" ca="1" si="23"/>
        <v>0.3</v>
      </c>
    </row>
    <row r="40" spans="4:14" ht="18" customHeight="1">
      <c r="D40" s="336">
        <f t="shared" ca="1" si="19"/>
        <v>-0.2</v>
      </c>
      <c r="E40" s="336">
        <f t="shared" ca="1" si="19"/>
        <v>-0.2</v>
      </c>
      <c r="F40" s="336">
        <f t="shared" ca="1" si="19"/>
        <v>0.3</v>
      </c>
      <c r="H40" s="336">
        <f t="shared" ca="1" si="22"/>
        <v>0.1</v>
      </c>
      <c r="I40" s="336">
        <f t="shared" ca="1" si="22"/>
        <v>-0.2</v>
      </c>
      <c r="J40" s="336">
        <f t="shared" ca="1" si="22"/>
        <v>0.1</v>
      </c>
      <c r="L40" s="336">
        <f t="shared" ca="1" si="23"/>
        <v>-0.3</v>
      </c>
      <c r="M40" s="336">
        <f t="shared" ca="1" si="23"/>
        <v>0.2</v>
      </c>
      <c r="N40" s="336">
        <f t="shared" ca="1" si="23"/>
        <v>-0.3</v>
      </c>
    </row>
    <row r="41" spans="4:14" ht="18" customHeight="1"/>
    <row r="42" spans="4:14" ht="18" customHeight="1"/>
    <row r="43" spans="4:14" ht="18" customHeight="1"/>
    <row r="44" spans="4:14" ht="18" customHeight="1"/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5473" r:id="rId4" name="CommandButton1">
          <controlPr defaultSize="0" autoLine="0" r:id="rId5">
            <anchor moveWithCells="1">
              <from>
                <xdr:col>3</xdr:col>
                <xdr:colOff>428625</xdr:colOff>
                <xdr:row>4</xdr:row>
                <xdr:rowOff>209550</xdr:rowOff>
              </from>
              <to>
                <xdr:col>5</xdr:col>
                <xdr:colOff>609600</xdr:colOff>
                <xdr:row>6</xdr:row>
                <xdr:rowOff>76200</xdr:rowOff>
              </to>
            </anchor>
          </controlPr>
        </control>
      </mc:Choice>
      <mc:Fallback>
        <control shapeId="105473" r:id="rId4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04F4-D327-4576-B96B-4B6194C22D91}">
  <sheetPr codeName="Sheet15"/>
  <dimension ref="B1:J44"/>
  <sheetViews>
    <sheetView tabSelected="1" topLeftCell="A7" workbookViewId="0">
      <selection activeCell="H25" sqref="H25"/>
    </sheetView>
  </sheetViews>
  <sheetFormatPr defaultColWidth="8.88671875" defaultRowHeight="16.5"/>
  <cols>
    <col min="1" max="1" width="8.88671875" style="62"/>
    <col min="2" max="2" width="16.6640625" style="62" customWidth="1"/>
    <col min="3" max="4" width="14.6640625" style="62" customWidth="1"/>
    <col min="5" max="5" width="12" style="63" customWidth="1"/>
    <col min="6" max="6" width="12.33203125" style="63" customWidth="1"/>
    <col min="7" max="7" width="8.88671875" style="62"/>
    <col min="8" max="10" width="12.44140625" style="62" customWidth="1"/>
    <col min="11" max="16384" width="8.88671875" style="62"/>
  </cols>
  <sheetData>
    <row r="1" spans="2:10" s="53" customFormat="1" ht="18" customHeight="1">
      <c r="E1" s="52"/>
      <c r="F1" s="52"/>
    </row>
    <row r="2" spans="2:10" s="53" customFormat="1" ht="18" customHeight="1">
      <c r="B2" s="53" t="s">
        <v>96</v>
      </c>
      <c r="E2" s="52"/>
      <c r="F2" s="52"/>
    </row>
    <row r="3" spans="2:10" s="53" customFormat="1" ht="18" customHeight="1">
      <c r="E3" s="52"/>
      <c r="F3" s="52"/>
    </row>
    <row r="4" spans="2:10" s="315" customFormat="1" ht="26.25" customHeight="1">
      <c r="B4" s="313" t="s">
        <v>109</v>
      </c>
      <c r="C4" s="314" t="s">
        <v>102</v>
      </c>
      <c r="E4" s="314"/>
      <c r="F4" s="314"/>
    </row>
    <row r="5" spans="2:10" s="53" customFormat="1" ht="18" customHeight="1" thickBot="1">
      <c r="E5" s="52"/>
      <c r="F5" s="52"/>
    </row>
    <row r="6" spans="2:10" s="53" customFormat="1" ht="26.1" customHeight="1" thickBot="1">
      <c r="B6" s="277" t="s">
        <v>97</v>
      </c>
      <c r="C6" s="316">
        <v>43949.416666666664</v>
      </c>
      <c r="D6" s="276"/>
      <c r="E6" s="52"/>
      <c r="F6" s="52"/>
    </row>
    <row r="7" spans="2:10" s="53" customFormat="1" ht="26.1" customHeight="1" thickBot="1">
      <c r="B7" s="277" t="s">
        <v>98</v>
      </c>
      <c r="C7" s="278">
        <v>14.6</v>
      </c>
      <c r="D7" s="276"/>
      <c r="E7" s="52"/>
      <c r="F7" s="52"/>
    </row>
    <row r="8" spans="2:10" s="53" customFormat="1" ht="26.1" customHeight="1">
      <c r="B8" s="279" t="s">
        <v>99</v>
      </c>
      <c r="C8" s="280">
        <v>234</v>
      </c>
      <c r="D8" s="276"/>
      <c r="E8" s="52"/>
      <c r="F8" s="52"/>
    </row>
    <row r="9" spans="2:10" s="53" customFormat="1" ht="26.1" customHeight="1">
      <c r="B9" s="279" t="s">
        <v>100</v>
      </c>
      <c r="C9" s="317">
        <v>7.4</v>
      </c>
      <c r="D9" s="276"/>
      <c r="E9" s="52"/>
      <c r="F9" s="52"/>
    </row>
    <row r="10" spans="2:10" s="53" customFormat="1" ht="26.1" customHeight="1">
      <c r="B10" s="279"/>
      <c r="C10" s="280"/>
      <c r="D10" s="276"/>
      <c r="E10" s="52"/>
      <c r="F10" s="52"/>
    </row>
    <row r="11" spans="2:10" s="53" customFormat="1" ht="18" customHeight="1" thickBot="1">
      <c r="E11" s="52"/>
      <c r="F11" s="52"/>
    </row>
    <row r="12" spans="2:10" s="52" customFormat="1" ht="26.1" customHeight="1">
      <c r="B12" s="369" t="s">
        <v>101</v>
      </c>
      <c r="C12" s="370"/>
      <c r="D12" s="371" t="s">
        <v>102</v>
      </c>
      <c r="E12" s="372"/>
      <c r="F12" s="370"/>
      <c r="H12" s="359" t="s">
        <v>102</v>
      </c>
      <c r="I12" s="360"/>
      <c r="J12" s="361"/>
    </row>
    <row r="13" spans="2:10" s="52" customFormat="1" ht="26.1" customHeight="1">
      <c r="B13" s="318" t="s">
        <v>97</v>
      </c>
      <c r="C13" s="319" t="s">
        <v>103</v>
      </c>
      <c r="D13" s="320" t="s">
        <v>104</v>
      </c>
      <c r="E13" s="321" t="s">
        <v>105</v>
      </c>
      <c r="F13" s="319" t="s">
        <v>106</v>
      </c>
      <c r="H13" s="281" t="s">
        <v>104</v>
      </c>
      <c r="I13" s="283" t="s">
        <v>105</v>
      </c>
      <c r="J13" s="282" t="s">
        <v>106</v>
      </c>
    </row>
    <row r="14" spans="2:10" s="52" customFormat="1" ht="26.1" customHeight="1">
      <c r="B14" s="322">
        <f>$C$6+C14/1440</f>
        <v>43949.420138888883</v>
      </c>
      <c r="C14" s="285">
        <v>5</v>
      </c>
      <c r="D14" s="323">
        <f t="shared" ref="D14:D23" ca="1" si="0">baseTemp+H14</f>
        <v>14.799999999999999</v>
      </c>
      <c r="E14" s="324">
        <f ca="1">$C$8+I14</f>
        <v>233.9</v>
      </c>
      <c r="F14" s="288">
        <f ca="1">$C$9+J14</f>
        <v>7.6000000000000005</v>
      </c>
      <c r="H14" s="304">
        <f ca="1">ROUND(myRandBetween(1,3,10), 1)</f>
        <v>0.2</v>
      </c>
      <c r="I14" s="304">
        <f t="shared" ref="I14:J14" ca="1" si="1">ROUND(myRandBetween(1,3,10), 1)</f>
        <v>-0.1</v>
      </c>
      <c r="J14" s="304">
        <f t="shared" ca="1" si="1"/>
        <v>0.2</v>
      </c>
    </row>
    <row r="15" spans="2:10" s="52" customFormat="1" ht="26.1" customHeight="1">
      <c r="B15" s="325">
        <f t="shared" ref="B15:B23" si="2">$C$6+C15/1440</f>
        <v>43949.4375</v>
      </c>
      <c r="C15" s="291">
        <v>30</v>
      </c>
      <c r="D15" s="326">
        <f t="shared" ca="1" si="0"/>
        <v>14.9</v>
      </c>
      <c r="E15" s="327">
        <f t="shared" ref="E15:E23" ca="1" si="3">$C$8+I15</f>
        <v>234.3</v>
      </c>
      <c r="F15" s="293">
        <f t="shared" ref="F15:F23" ca="1" si="4">$C$9+J15</f>
        <v>7.7</v>
      </c>
      <c r="H15" s="304">
        <f t="shared" ref="H15:J23" ca="1" si="5">ROUND(myRandBetween(1,3,10), 1)</f>
        <v>0.3</v>
      </c>
      <c r="I15" s="304">
        <f t="shared" ca="1" si="5"/>
        <v>0.3</v>
      </c>
      <c r="J15" s="304">
        <f t="shared" ca="1" si="5"/>
        <v>0.3</v>
      </c>
    </row>
    <row r="16" spans="2:10" s="52" customFormat="1" ht="26.1" customHeight="1">
      <c r="B16" s="325">
        <f t="shared" si="2"/>
        <v>43949.458333333328</v>
      </c>
      <c r="C16" s="291">
        <v>60</v>
      </c>
      <c r="D16" s="326">
        <f t="shared" ca="1" si="0"/>
        <v>14.4</v>
      </c>
      <c r="E16" s="327">
        <f t="shared" ca="1" si="3"/>
        <v>233.9</v>
      </c>
      <c r="F16" s="293">
        <f t="shared" ca="1" si="4"/>
        <v>7.5</v>
      </c>
      <c r="H16" s="304">
        <f t="shared" ca="1" si="5"/>
        <v>-0.2</v>
      </c>
      <c r="I16" s="304">
        <f t="shared" ca="1" si="5"/>
        <v>-0.1</v>
      </c>
      <c r="J16" s="304">
        <f t="shared" ca="1" si="5"/>
        <v>0.1</v>
      </c>
    </row>
    <row r="17" spans="2:10" s="52" customFormat="1" ht="26.1" customHeight="1">
      <c r="B17" s="325">
        <f t="shared" si="2"/>
        <v>43949.5</v>
      </c>
      <c r="C17" s="291">
        <v>120</v>
      </c>
      <c r="D17" s="326">
        <f t="shared" ca="1" si="0"/>
        <v>14.5</v>
      </c>
      <c r="E17" s="327">
        <f t="shared" ca="1" si="3"/>
        <v>233.9</v>
      </c>
      <c r="F17" s="293">
        <f t="shared" ca="1" si="4"/>
        <v>7.2</v>
      </c>
      <c r="H17" s="304">
        <f t="shared" ca="1" si="5"/>
        <v>-0.1</v>
      </c>
      <c r="I17" s="304">
        <f t="shared" ca="1" si="5"/>
        <v>-0.1</v>
      </c>
      <c r="J17" s="304">
        <f t="shared" ca="1" si="5"/>
        <v>-0.2</v>
      </c>
    </row>
    <row r="18" spans="2:10" s="52" customFormat="1" ht="26.1" customHeight="1">
      <c r="B18" s="325">
        <f t="shared" si="2"/>
        <v>43949.583333333328</v>
      </c>
      <c r="C18" s="291">
        <v>240</v>
      </c>
      <c r="D18" s="326">
        <f t="shared" ca="1" si="0"/>
        <v>14.799999999999999</v>
      </c>
      <c r="E18" s="327">
        <f t="shared" ca="1" si="3"/>
        <v>233.7</v>
      </c>
      <c r="F18" s="293">
        <f t="shared" ca="1" si="4"/>
        <v>7.6000000000000005</v>
      </c>
      <c r="H18" s="304">
        <f t="shared" ca="1" si="5"/>
        <v>0.2</v>
      </c>
      <c r="I18" s="304">
        <f t="shared" ca="1" si="5"/>
        <v>-0.3</v>
      </c>
      <c r="J18" s="304">
        <f t="shared" ca="1" si="5"/>
        <v>0.2</v>
      </c>
    </row>
    <row r="19" spans="2:10" s="52" customFormat="1" ht="26.1" customHeight="1">
      <c r="B19" s="325">
        <f t="shared" si="2"/>
        <v>43949.75</v>
      </c>
      <c r="C19" s="291">
        <v>480</v>
      </c>
      <c r="D19" s="328">
        <f t="shared" ca="1" si="0"/>
        <v>14.7</v>
      </c>
      <c r="E19" s="327">
        <f t="shared" ca="1" si="3"/>
        <v>233.7</v>
      </c>
      <c r="F19" s="293">
        <f t="shared" ca="1" si="4"/>
        <v>7.6000000000000005</v>
      </c>
      <c r="H19" s="304">
        <f t="shared" ca="1" si="5"/>
        <v>0.1</v>
      </c>
      <c r="I19" s="304">
        <f t="shared" ca="1" si="5"/>
        <v>-0.3</v>
      </c>
      <c r="J19" s="304">
        <f t="shared" ca="1" si="5"/>
        <v>0.2</v>
      </c>
    </row>
    <row r="20" spans="2:10" s="53" customFormat="1" ht="26.1" customHeight="1">
      <c r="B20" s="325">
        <f t="shared" si="2"/>
        <v>43950.416666666664</v>
      </c>
      <c r="C20" s="291">
        <v>1440</v>
      </c>
      <c r="D20" s="326">
        <f t="shared" ca="1" si="0"/>
        <v>14.4</v>
      </c>
      <c r="E20" s="327">
        <f t="shared" ca="1" si="3"/>
        <v>233.7</v>
      </c>
      <c r="F20" s="293">
        <f t="shared" ca="1" si="4"/>
        <v>7.1000000000000005</v>
      </c>
      <c r="H20" s="304">
        <f t="shared" ca="1" si="5"/>
        <v>-0.2</v>
      </c>
      <c r="I20" s="304">
        <f t="shared" ca="1" si="5"/>
        <v>-0.3</v>
      </c>
      <c r="J20" s="304">
        <f t="shared" ca="1" si="5"/>
        <v>-0.3</v>
      </c>
    </row>
    <row r="21" spans="2:10" s="53" customFormat="1" ht="26.1" customHeight="1">
      <c r="B21" s="325">
        <f t="shared" si="2"/>
        <v>43950.583333333328</v>
      </c>
      <c r="C21" s="291">
        <v>1680</v>
      </c>
      <c r="D21" s="326">
        <f t="shared" ca="1" si="0"/>
        <v>14.799999999999999</v>
      </c>
      <c r="E21" s="327">
        <f t="shared" ca="1" si="3"/>
        <v>233.9</v>
      </c>
      <c r="F21" s="293">
        <f t="shared" ca="1" si="4"/>
        <v>7.1000000000000005</v>
      </c>
      <c r="H21" s="304">
        <f t="shared" ca="1" si="5"/>
        <v>0.2</v>
      </c>
      <c r="I21" s="304">
        <f t="shared" ca="1" si="5"/>
        <v>-0.1</v>
      </c>
      <c r="J21" s="304">
        <f t="shared" ca="1" si="5"/>
        <v>-0.3</v>
      </c>
    </row>
    <row r="22" spans="2:10" s="53" customFormat="1" ht="26.1" customHeight="1">
      <c r="B22" s="325">
        <f t="shared" si="2"/>
        <v>43950.75</v>
      </c>
      <c r="C22" s="291">
        <v>1920</v>
      </c>
      <c r="D22" s="326">
        <f t="shared" ca="1" si="0"/>
        <v>14.9</v>
      </c>
      <c r="E22" s="327">
        <f t="shared" ca="1" si="3"/>
        <v>234.1</v>
      </c>
      <c r="F22" s="293">
        <f t="shared" ca="1" si="4"/>
        <v>7.2</v>
      </c>
      <c r="H22" s="304">
        <f t="shared" ca="1" si="5"/>
        <v>0.3</v>
      </c>
      <c r="I22" s="304">
        <f t="shared" ca="1" si="5"/>
        <v>0.1</v>
      </c>
      <c r="J22" s="304">
        <f t="shared" ca="1" si="5"/>
        <v>-0.2</v>
      </c>
    </row>
    <row r="23" spans="2:10" s="53" customFormat="1" ht="26.1" customHeight="1">
      <c r="B23" s="325">
        <f t="shared" si="2"/>
        <v>43951.416666666664</v>
      </c>
      <c r="C23" s="291">
        <v>2880</v>
      </c>
      <c r="D23" s="326">
        <f t="shared" ca="1" si="0"/>
        <v>14.5</v>
      </c>
      <c r="E23" s="327">
        <f t="shared" ca="1" si="3"/>
        <v>233.9</v>
      </c>
      <c r="F23" s="293">
        <f t="shared" ca="1" si="4"/>
        <v>7.7</v>
      </c>
      <c r="H23" s="304">
        <f t="shared" ca="1" si="5"/>
        <v>-0.1</v>
      </c>
      <c r="I23" s="304">
        <f t="shared" ca="1" si="5"/>
        <v>-0.1</v>
      </c>
      <c r="J23" s="304">
        <f t="shared" ca="1" si="5"/>
        <v>0.3</v>
      </c>
    </row>
    <row r="24" spans="2:10" s="53" customFormat="1" ht="26.1" customHeight="1">
      <c r="B24" s="373" t="s">
        <v>48</v>
      </c>
      <c r="C24" s="374"/>
      <c r="D24" s="320">
        <f ca="1">MAX(D14:D23)</f>
        <v>14.9</v>
      </c>
      <c r="E24" s="321">
        <f t="shared" ref="E24:F24" ca="1" si="6">MAX(E14:E23)</f>
        <v>234.3</v>
      </c>
      <c r="F24" s="319">
        <f t="shared" ca="1" si="6"/>
        <v>7.7</v>
      </c>
      <c r="H24" s="52"/>
      <c r="I24" s="52"/>
      <c r="J24" s="52"/>
    </row>
    <row r="25" spans="2:10" s="53" customFormat="1" ht="26.1" customHeight="1">
      <c r="B25" s="373" t="s">
        <v>49</v>
      </c>
      <c r="C25" s="374"/>
      <c r="D25" s="320">
        <f ca="1">MIN(D14:D23)</f>
        <v>14.4</v>
      </c>
      <c r="E25" s="321">
        <f t="shared" ref="E25:F25" ca="1" si="7">MIN(E14:E23)</f>
        <v>233.7</v>
      </c>
      <c r="F25" s="319">
        <f t="shared" ca="1" si="7"/>
        <v>7.1000000000000005</v>
      </c>
      <c r="H25" s="52"/>
      <c r="I25" s="52"/>
      <c r="J25" s="52"/>
    </row>
    <row r="26" spans="2:10" s="53" customFormat="1" ht="26.1" customHeight="1" thickBot="1">
      <c r="B26" s="367" t="s">
        <v>107</v>
      </c>
      <c r="C26" s="368"/>
      <c r="D26" s="329">
        <f ca="1">D24-D25</f>
        <v>0.5</v>
      </c>
      <c r="E26" s="330">
        <f t="shared" ref="E26:F26" ca="1" si="8">E24-E25</f>
        <v>0.60000000000002274</v>
      </c>
      <c r="F26" s="331">
        <f t="shared" ca="1" si="8"/>
        <v>0.59999999999999964</v>
      </c>
      <c r="H26" s="52"/>
      <c r="I26" s="52"/>
      <c r="J26" s="52"/>
    </row>
    <row r="27" spans="2:10" s="53" customFormat="1" ht="18" customHeight="1">
      <c r="E27" s="52"/>
      <c r="F27" s="52"/>
    </row>
    <row r="28" spans="2:10" s="53" customFormat="1" ht="18" customHeight="1">
      <c r="E28" s="52"/>
      <c r="F28" s="52"/>
    </row>
    <row r="29" spans="2:10" s="53" customFormat="1" ht="18" customHeight="1">
      <c r="E29" s="52"/>
      <c r="F29" s="52"/>
    </row>
    <row r="30" spans="2:10" s="53" customFormat="1" ht="18" customHeight="1">
      <c r="E30" s="52"/>
      <c r="F30" s="52"/>
    </row>
    <row r="31" spans="2:10" s="53" customFormat="1" ht="18" customHeight="1">
      <c r="E31" s="52"/>
      <c r="F31" s="52"/>
    </row>
    <row r="32" spans="2:10" s="53" customFormat="1" ht="18" customHeight="1">
      <c r="E32" s="52"/>
      <c r="F32" s="52"/>
    </row>
    <row r="33" spans="5:6" s="53" customFormat="1" ht="18" customHeight="1">
      <c r="E33" s="52"/>
      <c r="F33" s="52"/>
    </row>
    <row r="34" spans="5:6" s="53" customFormat="1" ht="18" customHeight="1">
      <c r="E34" s="52"/>
      <c r="F34" s="52"/>
    </row>
    <row r="35" spans="5:6" s="53" customFormat="1" ht="18" customHeight="1">
      <c r="E35" s="52"/>
      <c r="F35" s="52"/>
    </row>
    <row r="36" spans="5:6" s="53" customFormat="1" ht="18" customHeight="1">
      <c r="E36" s="52"/>
      <c r="F36" s="52"/>
    </row>
    <row r="37" spans="5:6" s="53" customFormat="1" ht="18" customHeight="1">
      <c r="E37" s="52"/>
      <c r="F37" s="52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1377" r:id="rId4" name="CommandButton1">
          <controlPr defaultSize="0" autoLine="0" r:id="rId5">
            <anchor moveWithCells="1">
              <from>
                <xdr:col>3</xdr:col>
                <xdr:colOff>342900</xdr:colOff>
                <xdr:row>5</xdr:row>
                <xdr:rowOff>19050</xdr:rowOff>
              </from>
              <to>
                <xdr:col>4</xdr:col>
                <xdr:colOff>523875</xdr:colOff>
                <xdr:row>6</xdr:row>
                <xdr:rowOff>114300</xdr:rowOff>
              </to>
            </anchor>
          </controlPr>
        </control>
      </mc:Choice>
      <mc:Fallback>
        <control shapeId="101377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8</vt:i4>
      </vt:variant>
    </vt:vector>
  </HeadingPairs>
  <TitlesOfParts>
    <vt:vector size="18" baseType="lpstr">
      <vt:lpstr>30Year</vt:lpstr>
      <vt:lpstr>Y</vt:lpstr>
      <vt:lpstr>M</vt:lpstr>
      <vt:lpstr>Recharge</vt:lpstr>
      <vt:lpstr>drastic</vt:lpstr>
      <vt:lpstr>Well</vt:lpstr>
      <vt:lpstr>1</vt:lpstr>
      <vt:lpstr>Q1</vt:lpstr>
      <vt:lpstr>Q2</vt:lpstr>
      <vt:lpstr>w1</vt:lpstr>
      <vt:lpstr>allow_ratio</vt:lpstr>
      <vt:lpstr>'Q1'!baseTemp</vt:lpstr>
      <vt:lpstr>'Q2'!baseTemp</vt:lpstr>
      <vt:lpstr>'w1'!baseTemp</vt:lpstr>
      <vt:lpstr>max</vt:lpstr>
      <vt:lpstr>min</vt:lpstr>
      <vt:lpstr>rf_1</vt:lpstr>
      <vt:lpstr>rf_2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2009-04-26T05:41:25Z</cp:lastPrinted>
  <dcterms:created xsi:type="dcterms:W3CDTF">2006-03-22T01:28:03Z</dcterms:created>
  <dcterms:modified xsi:type="dcterms:W3CDTF">2020-05-30T08:36:09Z</dcterms:modified>
</cp:coreProperties>
</file>