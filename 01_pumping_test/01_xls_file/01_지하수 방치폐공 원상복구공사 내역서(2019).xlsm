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A1_소소한 작업들\19_설계내역서 매크로 작업\"/>
    </mc:Choice>
  </mc:AlternateContent>
  <xr:revisionPtr revIDLastSave="0" documentId="13_ncr:1_{0F89482F-674F-4C4F-8C6E-0227D08BE755}" xr6:coauthVersionLast="45" xr6:coauthVersionMax="45" xr10:uidLastSave="{00000000-0000-0000-0000-000000000000}"/>
  <bookViews>
    <workbookView xWindow="-120" yWindow="-120" windowWidth="29040" windowHeight="15840" tabRatio="751" activeTab="5" xr2:uid="{00000000-000D-0000-FFFF-FFFF00000000}"/>
  </bookViews>
  <sheets>
    <sheet name="표지" sheetId="1" r:id="rId1"/>
    <sheet name="갑지" sheetId="2" r:id="rId2"/>
    <sheet name="원가계산서" sheetId="3" r:id="rId3"/>
    <sheet name="내역서총괄표" sheetId="4" r:id="rId4"/>
    <sheet name="내역서" sheetId="5" r:id="rId5"/>
    <sheet name="일위대가총괄표" sheetId="6" r:id="rId6"/>
    <sheet name="일위대가" sheetId="7" r:id="rId7"/>
    <sheet name="단가산출총괄표" sheetId="8" r:id="rId8"/>
    <sheet name="단가산출" sheetId="9" r:id="rId9"/>
    <sheet name="기계경비총괄표" sheetId="10" r:id="rId10"/>
    <sheet name="기계경비" sheetId="11" r:id="rId11"/>
    <sheet name="기계경비적용기준" sheetId="12" r:id="rId12"/>
    <sheet name="자재단가" sheetId="13" r:id="rId13"/>
    <sheet name="노임단가" sheetId="14" r:id="rId14"/>
  </sheets>
  <definedNames>
    <definedName name="_xlnm.Print_Area" localSheetId="10">기계경비!$B$1:$AD$38</definedName>
    <definedName name="_xlnm.Print_Area" localSheetId="9">기계경비총괄표!$B$1:$I$4</definedName>
    <definedName name="_xlnm.Print_Area" localSheetId="4">내역서!$B$2:$O$121</definedName>
    <definedName name="_xlnm.Print_Area" localSheetId="3">내역서총괄표!$B$1:$K$23</definedName>
    <definedName name="_xlnm.Print_Area" localSheetId="13">노임단가!$B$1:$O$10</definedName>
    <definedName name="_xlnm.Print_Area" localSheetId="8">단가산출!$B$2:$DA$93</definedName>
    <definedName name="_xlnm.Print_Area" localSheetId="7">단가산출총괄표!$B$1:$J$4</definedName>
    <definedName name="_xlnm.Print_Area" localSheetId="2">원가계산서!$B$1:$H$33</definedName>
    <definedName name="_xlnm.Print_Area" localSheetId="6">일위대가!$B$2:$O$58</definedName>
    <definedName name="_xlnm.Print_Area" localSheetId="5">일위대가총괄표!$B$1:$J$16</definedName>
    <definedName name="_xlnm.Print_Area" localSheetId="12">자재단가!$B$2:$V$34</definedName>
    <definedName name="_xlnm.Print_Titles" localSheetId="10">기계경비!$1:$3</definedName>
    <definedName name="_xlnm.Print_Titles" localSheetId="9">기계경비총괄표!$1:$3</definedName>
    <definedName name="_xlnm.Print_Titles" localSheetId="4">내역서!$1:$4</definedName>
    <definedName name="_xlnm.Print_Titles" localSheetId="3">내역서총괄표!$1:$3</definedName>
    <definedName name="_xlnm.Print_Titles" localSheetId="13">노임단가!$1:$3</definedName>
    <definedName name="_xlnm.Print_Titles" localSheetId="8">단가산출!$1:$3</definedName>
    <definedName name="_xlnm.Print_Titles" localSheetId="7">단가산출총괄표!$1:$3</definedName>
    <definedName name="_xlnm.Print_Titles" localSheetId="2">원가계산서!$1:$3</definedName>
    <definedName name="_xlnm.Print_Titles" localSheetId="6">일위대가!$1:$4</definedName>
    <definedName name="_xlnm.Print_Titles" localSheetId="5">일위대가총괄표!$1:$3</definedName>
    <definedName name="_xlnm.Print_Titles" localSheetId="12">자재단가!$1:$4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7" i="5" l="1"/>
  <c r="V9" i="5" s="1"/>
  <c r="E25" i="5" s="1"/>
  <c r="W7" i="5"/>
  <c r="W9" i="5" s="1"/>
  <c r="E38" i="5" s="1"/>
  <c r="X7" i="5"/>
  <c r="X8" i="5" s="1"/>
  <c r="E50" i="5" s="1"/>
  <c r="Y7" i="5"/>
  <c r="Y9" i="5" s="1"/>
  <c r="E64" i="5" s="1"/>
  <c r="Z7" i="5"/>
  <c r="Z9" i="5" s="1"/>
  <c r="E77" i="5" s="1"/>
  <c r="AA7" i="5"/>
  <c r="AA9" i="5" s="1"/>
  <c r="E90" i="5" s="1"/>
  <c r="U7" i="5"/>
  <c r="U9" i="5" s="1"/>
  <c r="E12" i="5" s="1"/>
  <c r="M94" i="5"/>
  <c r="N94" i="5" s="1"/>
  <c r="K94" i="5"/>
  <c r="L94" i="5" s="1"/>
  <c r="M93" i="5"/>
  <c r="N93" i="5" s="1"/>
  <c r="K93" i="5"/>
  <c r="L93" i="5" s="1"/>
  <c r="M92" i="5"/>
  <c r="N92" i="5" s="1"/>
  <c r="M90" i="5"/>
  <c r="I90" i="5"/>
  <c r="M89" i="5"/>
  <c r="I89" i="5"/>
  <c r="M87" i="5"/>
  <c r="N87" i="5" s="1"/>
  <c r="K87" i="5"/>
  <c r="L87" i="5" s="1"/>
  <c r="M86" i="5"/>
  <c r="N86" i="5" s="1"/>
  <c r="K86" i="5"/>
  <c r="L86" i="5"/>
  <c r="M85" i="5"/>
  <c r="N85" i="5" s="1"/>
  <c r="K85" i="5"/>
  <c r="L85" i="5" s="1"/>
  <c r="L84" i="5"/>
  <c r="J84" i="5"/>
  <c r="M81" i="5"/>
  <c r="N81" i="5" s="1"/>
  <c r="K81" i="5"/>
  <c r="L81" i="5" s="1"/>
  <c r="M80" i="5"/>
  <c r="N80" i="5" s="1"/>
  <c r="K80" i="5"/>
  <c r="L80" i="5" s="1"/>
  <c r="M79" i="5"/>
  <c r="N79" i="5" s="1"/>
  <c r="M77" i="5"/>
  <c r="I77" i="5"/>
  <c r="M76" i="5"/>
  <c r="I76" i="5"/>
  <c r="M74" i="5"/>
  <c r="N74" i="5"/>
  <c r="K74" i="5"/>
  <c r="L74" i="5" s="1"/>
  <c r="M73" i="5"/>
  <c r="N73" i="5"/>
  <c r="K73" i="5"/>
  <c r="L73" i="5"/>
  <c r="M72" i="5"/>
  <c r="N72" i="5" s="1"/>
  <c r="K72" i="5"/>
  <c r="L72" i="5" s="1"/>
  <c r="L71" i="5"/>
  <c r="J71" i="5"/>
  <c r="M68" i="5"/>
  <c r="N68" i="5" s="1"/>
  <c r="K68" i="5"/>
  <c r="M67" i="5"/>
  <c r="N67" i="5" s="1"/>
  <c r="K67" i="5"/>
  <c r="L67" i="5" s="1"/>
  <c r="M66" i="5"/>
  <c r="N66" i="5"/>
  <c r="M64" i="5"/>
  <c r="I64" i="5"/>
  <c r="M63" i="5"/>
  <c r="I63" i="5"/>
  <c r="M61" i="5"/>
  <c r="N61" i="5" s="1"/>
  <c r="K61" i="5"/>
  <c r="L61" i="5" s="1"/>
  <c r="M60" i="5"/>
  <c r="N60" i="5" s="1"/>
  <c r="K60" i="5"/>
  <c r="L60" i="5" s="1"/>
  <c r="M59" i="5"/>
  <c r="N59" i="5" s="1"/>
  <c r="K59" i="5"/>
  <c r="L59" i="5" s="1"/>
  <c r="L58" i="5"/>
  <c r="J58" i="5"/>
  <c r="M55" i="5"/>
  <c r="N55" i="5" s="1"/>
  <c r="K55" i="5"/>
  <c r="L55" i="5"/>
  <c r="M54" i="5"/>
  <c r="N54" i="5" s="1"/>
  <c r="K54" i="5"/>
  <c r="L54" i="5" s="1"/>
  <c r="M53" i="5"/>
  <c r="N53" i="5"/>
  <c r="M51" i="5"/>
  <c r="I51" i="5"/>
  <c r="M50" i="5"/>
  <c r="I50" i="5"/>
  <c r="M48" i="5"/>
  <c r="N48" i="5" s="1"/>
  <c r="K48" i="5"/>
  <c r="L48" i="5" s="1"/>
  <c r="M47" i="5"/>
  <c r="N47" i="5"/>
  <c r="K47" i="5"/>
  <c r="L47" i="5" s="1"/>
  <c r="M46" i="5"/>
  <c r="N46" i="5" s="1"/>
  <c r="K46" i="5"/>
  <c r="L46" i="5" s="1"/>
  <c r="L45" i="5"/>
  <c r="J45" i="5"/>
  <c r="L5" i="14"/>
  <c r="L6" i="14"/>
  <c r="L7" i="14"/>
  <c r="L8" i="14"/>
  <c r="L9" i="14"/>
  <c r="I23" i="7" s="1"/>
  <c r="J23" i="7" s="1"/>
  <c r="L10" i="14"/>
  <c r="I8" i="11" s="1"/>
  <c r="AA8" i="11" s="1"/>
  <c r="AA4" i="11" s="1"/>
  <c r="L4" i="14"/>
  <c r="AC5" i="11"/>
  <c r="AC4" i="11" s="1"/>
  <c r="I4" i="10" s="1"/>
  <c r="P20" i="9" s="1"/>
  <c r="E21" i="12"/>
  <c r="E22" i="12"/>
  <c r="E23" i="12"/>
  <c r="E24" i="12"/>
  <c r="E25" i="12"/>
  <c r="J6" i="5"/>
  <c r="L6" i="5"/>
  <c r="I11" i="5"/>
  <c r="M11" i="5"/>
  <c r="I12" i="5"/>
  <c r="M12" i="5"/>
  <c r="J19" i="5"/>
  <c r="L19" i="5"/>
  <c r="I24" i="5"/>
  <c r="M24" i="5"/>
  <c r="I25" i="5"/>
  <c r="M25" i="5"/>
  <c r="J32" i="5"/>
  <c r="L32" i="5"/>
  <c r="I37" i="5"/>
  <c r="M37" i="5"/>
  <c r="I38" i="5"/>
  <c r="M38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K10" i="9"/>
  <c r="Z10" i="9"/>
  <c r="AK10" i="9" s="1"/>
  <c r="AZ14" i="9" s="1"/>
  <c r="AD10" i="9"/>
  <c r="AZ10" i="9"/>
  <c r="AU14" i="9" s="1"/>
  <c r="L12" i="9"/>
  <c r="P12" i="9"/>
  <c r="U12" i="9"/>
  <c r="W12" i="9"/>
  <c r="AS12" i="9"/>
  <c r="AU16" i="9" s="1"/>
  <c r="L14" i="9"/>
  <c r="AI14" i="9" s="1"/>
  <c r="AK18" i="9"/>
  <c r="AK19" i="9"/>
  <c r="AK20" i="9"/>
  <c r="T25" i="9"/>
  <c r="AF25" i="9"/>
  <c r="AJ25" i="9"/>
  <c r="AO25" i="9"/>
  <c r="AU25" i="9"/>
  <c r="BB25" i="9"/>
  <c r="I6" i="7"/>
  <c r="J6" i="7" s="1"/>
  <c r="K6" i="7"/>
  <c r="L6" i="7"/>
  <c r="M6" i="7"/>
  <c r="I7" i="7"/>
  <c r="K7" i="7"/>
  <c r="L7" i="7"/>
  <c r="M7" i="7"/>
  <c r="N7" i="7" s="1"/>
  <c r="J8" i="7"/>
  <c r="L8" i="7"/>
  <c r="N8" i="7"/>
  <c r="I10" i="7"/>
  <c r="K10" i="7"/>
  <c r="L10" i="7" s="1"/>
  <c r="M10" i="7"/>
  <c r="N10" i="7" s="1"/>
  <c r="N9" i="7" s="1"/>
  <c r="I5" i="6" s="1"/>
  <c r="M17" i="7" s="1"/>
  <c r="N17" i="7" s="1"/>
  <c r="N16" i="7" s="1"/>
  <c r="I7" i="6" s="1"/>
  <c r="M33" i="5" s="1"/>
  <c r="N33" i="5" s="1"/>
  <c r="I11" i="7"/>
  <c r="G11" i="7" s="1"/>
  <c r="K11" i="7"/>
  <c r="L11" i="7" s="1"/>
  <c r="M11" i="7"/>
  <c r="N11" i="7"/>
  <c r="J12" i="7"/>
  <c r="L12" i="7"/>
  <c r="N12" i="7"/>
  <c r="J15" i="7"/>
  <c r="L15" i="7"/>
  <c r="N15" i="7"/>
  <c r="J18" i="7"/>
  <c r="L18" i="7"/>
  <c r="N18" i="7"/>
  <c r="K20" i="7"/>
  <c r="L20" i="7" s="1"/>
  <c r="M20" i="7"/>
  <c r="N20" i="7"/>
  <c r="I21" i="7"/>
  <c r="K21" i="7"/>
  <c r="M21" i="7"/>
  <c r="N21" i="7" s="1"/>
  <c r="I22" i="7"/>
  <c r="J22" i="7"/>
  <c r="K22" i="7"/>
  <c r="L22" i="7" s="1"/>
  <c r="M22" i="7"/>
  <c r="N22" i="7" s="1"/>
  <c r="K23" i="7"/>
  <c r="L23" i="7" s="1"/>
  <c r="H23" i="7" s="1"/>
  <c r="M23" i="7"/>
  <c r="N23" i="7" s="1"/>
  <c r="I24" i="7"/>
  <c r="J24" i="7"/>
  <c r="K24" i="7"/>
  <c r="L24" i="7" s="1"/>
  <c r="M24" i="7"/>
  <c r="N24" i="7" s="1"/>
  <c r="J25" i="7"/>
  <c r="L25" i="7"/>
  <c r="N25" i="7"/>
  <c r="J28" i="7"/>
  <c r="L28" i="7"/>
  <c r="N28" i="7"/>
  <c r="J31" i="7"/>
  <c r="L31" i="7"/>
  <c r="N31" i="7"/>
  <c r="K33" i="7"/>
  <c r="L33" i="7" s="1"/>
  <c r="M33" i="7"/>
  <c r="N33" i="7" s="1"/>
  <c r="N32" i="7" s="1"/>
  <c r="I11" i="6" s="1"/>
  <c r="I34" i="7"/>
  <c r="J34" i="7"/>
  <c r="K34" i="7"/>
  <c r="G34" i="7" s="1"/>
  <c r="L34" i="7"/>
  <c r="M34" i="7"/>
  <c r="N34" i="7"/>
  <c r="I35" i="7"/>
  <c r="J35" i="7" s="1"/>
  <c r="H35" i="7" s="1"/>
  <c r="K35" i="7"/>
  <c r="M35" i="7"/>
  <c r="N35" i="7"/>
  <c r="I36" i="7"/>
  <c r="J36" i="7" s="1"/>
  <c r="K36" i="7"/>
  <c r="L36" i="7" s="1"/>
  <c r="M36" i="7"/>
  <c r="N36" i="7" s="1"/>
  <c r="J37" i="7"/>
  <c r="L37" i="7"/>
  <c r="N37" i="7"/>
  <c r="J40" i="7"/>
  <c r="L40" i="7"/>
  <c r="N40" i="7"/>
  <c r="J43" i="7"/>
  <c r="L43" i="7"/>
  <c r="N43" i="7"/>
  <c r="I45" i="7"/>
  <c r="J45" i="7" s="1"/>
  <c r="M45" i="7"/>
  <c r="N45" i="7" s="1"/>
  <c r="I46" i="7"/>
  <c r="M46" i="7"/>
  <c r="N46" i="7" s="1"/>
  <c r="I47" i="7"/>
  <c r="G47" i="7" s="1"/>
  <c r="K47" i="7"/>
  <c r="L47" i="7"/>
  <c r="M47" i="7"/>
  <c r="N47" i="7" s="1"/>
  <c r="J48" i="7"/>
  <c r="L48" i="7"/>
  <c r="N48" i="7"/>
  <c r="I50" i="7"/>
  <c r="J50" i="7" s="1"/>
  <c r="J49" i="7" s="1"/>
  <c r="K50" i="7"/>
  <c r="M50" i="7"/>
  <c r="N50" i="7" s="1"/>
  <c r="N49" i="7" s="1"/>
  <c r="I15" i="6" s="1"/>
  <c r="J51" i="7"/>
  <c r="L51" i="7"/>
  <c r="N51" i="7"/>
  <c r="I53" i="7"/>
  <c r="K53" i="7"/>
  <c r="L53" i="7"/>
  <c r="L52" i="7" s="1"/>
  <c r="H16" i="6" s="1"/>
  <c r="M53" i="7"/>
  <c r="N53" i="7" s="1"/>
  <c r="N52" i="7" s="1"/>
  <c r="I16" i="6" s="1"/>
  <c r="J54" i="7"/>
  <c r="L54" i="7"/>
  <c r="N54" i="7"/>
  <c r="J55" i="7"/>
  <c r="L55" i="7"/>
  <c r="N55" i="7"/>
  <c r="J56" i="7"/>
  <c r="L56" i="7"/>
  <c r="N56" i="7"/>
  <c r="J57" i="7"/>
  <c r="L57" i="7"/>
  <c r="N57" i="7"/>
  <c r="J58" i="7"/>
  <c r="L58" i="7"/>
  <c r="N58" i="7"/>
  <c r="R5" i="13"/>
  <c r="M6" i="5" s="1"/>
  <c r="N6" i="5" s="1"/>
  <c r="H6" i="5" s="1"/>
  <c r="R6" i="13"/>
  <c r="K45" i="7" s="1"/>
  <c r="L45" i="7" s="1"/>
  <c r="R7" i="13"/>
  <c r="K77" i="5" s="1"/>
  <c r="G77" i="5" s="1"/>
  <c r="R8" i="13"/>
  <c r="J6" i="11" s="1"/>
  <c r="AB6" i="11" s="1"/>
  <c r="J7" i="11" s="1"/>
  <c r="AB7" i="11" s="1"/>
  <c r="R9" i="13"/>
  <c r="M45" i="5" s="1"/>
  <c r="N45" i="5" s="1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L21" i="7"/>
  <c r="AP14" i="9"/>
  <c r="J10" i="7"/>
  <c r="H10" i="7" s="1"/>
  <c r="J47" i="7"/>
  <c r="H47" i="7" s="1"/>
  <c r="K46" i="7"/>
  <c r="K12" i="5"/>
  <c r="G12" i="5" s="1"/>
  <c r="L35" i="7"/>
  <c r="G10" i="7"/>
  <c r="L46" i="7"/>
  <c r="G4" i="10"/>
  <c r="G23" i="7"/>
  <c r="W8" i="5"/>
  <c r="E37" i="5"/>
  <c r="J37" i="5" s="1"/>
  <c r="U8" i="5"/>
  <c r="E11" i="5"/>
  <c r="J11" i="5" s="1"/>
  <c r="N12" i="5"/>
  <c r="AA8" i="5"/>
  <c r="E89" i="5" s="1"/>
  <c r="V8" i="5"/>
  <c r="E24" i="5"/>
  <c r="J24" i="5" s="1"/>
  <c r="X9" i="5"/>
  <c r="E51" i="5" s="1"/>
  <c r="J51" i="5" s="1"/>
  <c r="N38" i="5"/>
  <c r="N25" i="5"/>
  <c r="J25" i="5"/>
  <c r="Z8" i="5"/>
  <c r="E76" i="5"/>
  <c r="J76" i="5" s="1"/>
  <c r="N90" i="5"/>
  <c r="J90" i="5"/>
  <c r="J64" i="5"/>
  <c r="N64" i="5"/>
  <c r="Y8" i="5"/>
  <c r="E63" i="5" s="1"/>
  <c r="N63" i="5" s="1"/>
  <c r="G45" i="5"/>
  <c r="L68" i="5"/>
  <c r="H45" i="5"/>
  <c r="J12" i="5"/>
  <c r="G6" i="5"/>
  <c r="P18" i="9"/>
  <c r="N24" i="5"/>
  <c r="N76" i="5"/>
  <c r="J63" i="5"/>
  <c r="M16" i="5" l="1"/>
  <c r="N16" i="5" s="1"/>
  <c r="M29" i="5"/>
  <c r="N29" i="5" s="1"/>
  <c r="M42" i="5"/>
  <c r="N42" i="5" s="1"/>
  <c r="N77" i="5"/>
  <c r="J77" i="5"/>
  <c r="J50" i="5"/>
  <c r="N50" i="5"/>
  <c r="AB4" i="11"/>
  <c r="Z4" i="11" s="1"/>
  <c r="H24" i="7"/>
  <c r="L5" i="7"/>
  <c r="H4" i="6" s="1"/>
  <c r="K14" i="7" s="1"/>
  <c r="L14" i="7" s="1"/>
  <c r="L13" i="7" s="1"/>
  <c r="H6" i="6" s="1"/>
  <c r="K7" i="5" s="1"/>
  <c r="L7" i="5" s="1"/>
  <c r="N44" i="7"/>
  <c r="I14" i="6" s="1"/>
  <c r="M14" i="5" s="1"/>
  <c r="N14" i="5" s="1"/>
  <c r="G50" i="7"/>
  <c r="K7" i="12"/>
  <c r="N37" i="5"/>
  <c r="K38" i="5"/>
  <c r="G38" i="5" s="1"/>
  <c r="L9" i="7"/>
  <c r="H5" i="6" s="1"/>
  <c r="K17" i="7" s="1"/>
  <c r="L17" i="7" s="1"/>
  <c r="L16" i="7" s="1"/>
  <c r="H7" i="6" s="1"/>
  <c r="K8" i="5" s="1"/>
  <c r="L8" i="5" s="1"/>
  <c r="K25" i="5"/>
  <c r="L25" i="5" s="1"/>
  <c r="L50" i="7"/>
  <c r="L49" i="7" s="1"/>
  <c r="H15" i="6" s="1"/>
  <c r="BH25" i="9"/>
  <c r="CY25" i="9" s="1"/>
  <c r="M40" i="5"/>
  <c r="N40" i="5" s="1"/>
  <c r="M27" i="5"/>
  <c r="N27" i="5" s="1"/>
  <c r="L44" i="7"/>
  <c r="H14" i="6" s="1"/>
  <c r="H45" i="7"/>
  <c r="K16" i="5"/>
  <c r="L16" i="5" s="1"/>
  <c r="K42" i="5"/>
  <c r="L42" i="5" s="1"/>
  <c r="K29" i="5"/>
  <c r="L29" i="5" s="1"/>
  <c r="K41" i="5"/>
  <c r="L41" i="5" s="1"/>
  <c r="K28" i="5"/>
  <c r="L28" i="5" s="1"/>
  <c r="K15" i="5"/>
  <c r="L15" i="5" s="1"/>
  <c r="N51" i="5"/>
  <c r="L51" i="5"/>
  <c r="H51" i="5" s="1"/>
  <c r="L32" i="7"/>
  <c r="H11" i="6" s="1"/>
  <c r="G21" i="7"/>
  <c r="J21" i="7"/>
  <c r="H21" i="7" s="1"/>
  <c r="N11" i="5"/>
  <c r="H4" i="10"/>
  <c r="J11" i="7"/>
  <c r="H11" i="7" s="1"/>
  <c r="M15" i="5"/>
  <c r="N15" i="5" s="1"/>
  <c r="M41" i="5"/>
  <c r="N41" i="5" s="1"/>
  <c r="M28" i="5"/>
  <c r="N28" i="5" s="1"/>
  <c r="N19" i="7"/>
  <c r="I8" i="6" s="1"/>
  <c r="M27" i="7" s="1"/>
  <c r="N27" i="7" s="1"/>
  <c r="N26" i="7" s="1"/>
  <c r="I9" i="6" s="1"/>
  <c r="G36" i="7"/>
  <c r="G15" i="6"/>
  <c r="H49" i="7"/>
  <c r="G22" i="7"/>
  <c r="M20" i="5"/>
  <c r="N20" i="5" s="1"/>
  <c r="M8" i="5"/>
  <c r="H36" i="7"/>
  <c r="H34" i="7"/>
  <c r="H22" i="7"/>
  <c r="L19" i="7"/>
  <c r="H8" i="6" s="1"/>
  <c r="K27" i="7" s="1"/>
  <c r="L27" i="7" s="1"/>
  <c r="L26" i="7" s="1"/>
  <c r="H9" i="6" s="1"/>
  <c r="J89" i="5"/>
  <c r="N89" i="5"/>
  <c r="G35" i="7"/>
  <c r="K76" i="5"/>
  <c r="K63" i="5"/>
  <c r="K37" i="5"/>
  <c r="K50" i="5"/>
  <c r="G50" i="5" s="1"/>
  <c r="K24" i="5"/>
  <c r="G24" i="5" s="1"/>
  <c r="K89" i="5"/>
  <c r="G89" i="5" s="1"/>
  <c r="K11" i="5"/>
  <c r="L11" i="5" s="1"/>
  <c r="J53" i="7"/>
  <c r="G53" i="7"/>
  <c r="M39" i="7"/>
  <c r="N39" i="7" s="1"/>
  <c r="N38" i="7" s="1"/>
  <c r="I12" i="6" s="1"/>
  <c r="M42" i="7"/>
  <c r="N42" i="7" s="1"/>
  <c r="N41" i="7" s="1"/>
  <c r="I13" i="6" s="1"/>
  <c r="J7" i="7"/>
  <c r="G7" i="7"/>
  <c r="G25" i="5"/>
  <c r="N6" i="7"/>
  <c r="N5" i="7" s="1"/>
  <c r="I4" i="6" s="1"/>
  <c r="M14" i="7" s="1"/>
  <c r="N14" i="7" s="1"/>
  <c r="N13" i="7" s="1"/>
  <c r="I6" i="6" s="1"/>
  <c r="M7" i="5" s="1"/>
  <c r="N7" i="5" s="1"/>
  <c r="G6" i="7"/>
  <c r="G11" i="5"/>
  <c r="L90" i="5"/>
  <c r="H90" i="5" s="1"/>
  <c r="L77" i="5"/>
  <c r="H77" i="5" s="1"/>
  <c r="G24" i="7"/>
  <c r="M58" i="5"/>
  <c r="M19" i="5"/>
  <c r="M84" i="5"/>
  <c r="G45" i="7"/>
  <c r="L12" i="5"/>
  <c r="H12" i="5" s="1"/>
  <c r="L64" i="5"/>
  <c r="H64" i="5" s="1"/>
  <c r="M71" i="5"/>
  <c r="L50" i="5"/>
  <c r="H25" i="5"/>
  <c r="J46" i="7"/>
  <c r="G46" i="7"/>
  <c r="AD12" i="9"/>
  <c r="BF14" i="9" s="1"/>
  <c r="J38" i="5"/>
  <c r="L38" i="5"/>
  <c r="I20" i="7"/>
  <c r="I33" i="7"/>
  <c r="M32" i="5"/>
  <c r="K90" i="5"/>
  <c r="G90" i="5" s="1"/>
  <c r="K51" i="5"/>
  <c r="G51" i="5" s="1"/>
  <c r="K64" i="5"/>
  <c r="G64" i="5" s="1"/>
  <c r="H38" i="5" l="1"/>
  <c r="H11" i="5"/>
  <c r="H50" i="7"/>
  <c r="K20" i="5"/>
  <c r="L20" i="5" s="1"/>
  <c r="CX25" i="9"/>
  <c r="AA29" i="9"/>
  <c r="L24" i="5"/>
  <c r="H24" i="5" s="1"/>
  <c r="K33" i="5"/>
  <c r="L33" i="5" s="1"/>
  <c r="H50" i="5"/>
  <c r="G20" i="7"/>
  <c r="J20" i="7"/>
  <c r="N84" i="5"/>
  <c r="G84" i="5"/>
  <c r="M22" i="5"/>
  <c r="N22" i="5" s="1"/>
  <c r="M35" i="5"/>
  <c r="N35" i="5" s="1"/>
  <c r="M9" i="5"/>
  <c r="N9" i="5" s="1"/>
  <c r="G63" i="5"/>
  <c r="L63" i="5"/>
  <c r="I54" i="5"/>
  <c r="I93" i="5"/>
  <c r="I15" i="5"/>
  <c r="F15" i="6"/>
  <c r="I28" i="5"/>
  <c r="I67" i="5"/>
  <c r="I80" i="5"/>
  <c r="I41" i="5"/>
  <c r="N71" i="5"/>
  <c r="G71" i="5"/>
  <c r="N19" i="5"/>
  <c r="G19" i="5"/>
  <c r="G76" i="5"/>
  <c r="L76" i="5"/>
  <c r="K39" i="7"/>
  <c r="L39" i="7" s="1"/>
  <c r="L38" i="7" s="1"/>
  <c r="H12" i="6" s="1"/>
  <c r="K42" i="7"/>
  <c r="L42" i="7" s="1"/>
  <c r="L41" i="7" s="1"/>
  <c r="H13" i="6" s="1"/>
  <c r="J33" i="7"/>
  <c r="G33" i="7"/>
  <c r="G37" i="5"/>
  <c r="L37" i="5"/>
  <c r="H37" i="5" s="1"/>
  <c r="N58" i="5"/>
  <c r="G58" i="5"/>
  <c r="J9" i="7"/>
  <c r="M34" i="5"/>
  <c r="N34" i="5" s="1"/>
  <c r="M21" i="5"/>
  <c r="N21" i="5" s="1"/>
  <c r="M30" i="7"/>
  <c r="N30" i="7" s="1"/>
  <c r="N29" i="7" s="1"/>
  <c r="I10" i="6" s="1"/>
  <c r="Q19" i="9"/>
  <c r="F4" i="10"/>
  <c r="K66" i="5"/>
  <c r="L66" i="5" s="1"/>
  <c r="K53" i="5"/>
  <c r="L53" i="5" s="1"/>
  <c r="K92" i="5"/>
  <c r="L92" i="5" s="1"/>
  <c r="K27" i="5"/>
  <c r="L27" i="5" s="1"/>
  <c r="K79" i="5"/>
  <c r="L79" i="5" s="1"/>
  <c r="K14" i="5"/>
  <c r="L14" i="5" s="1"/>
  <c r="K40" i="5"/>
  <c r="L40" i="5" s="1"/>
  <c r="J52" i="7"/>
  <c r="H53" i="7"/>
  <c r="BL15" i="9"/>
  <c r="N32" i="5"/>
  <c r="G32" i="5"/>
  <c r="J44" i="7"/>
  <c r="H46" i="7"/>
  <c r="H6" i="7"/>
  <c r="J5" i="7"/>
  <c r="H7" i="7"/>
  <c r="K34" i="5"/>
  <c r="L34" i="5" s="1"/>
  <c r="K30" i="7"/>
  <c r="L30" i="7" s="1"/>
  <c r="L29" i="7" s="1"/>
  <c r="H10" i="6" s="1"/>
  <c r="K21" i="5"/>
  <c r="L21" i="5" s="1"/>
  <c r="L89" i="5"/>
  <c r="AR19" i="9" l="1"/>
  <c r="CZ21" i="9" s="1"/>
  <c r="Q30" i="9" s="1"/>
  <c r="CZ32" i="9" s="1"/>
  <c r="CZ4" i="9" s="1"/>
  <c r="H4" i="8" s="1"/>
  <c r="K65" i="5" s="1"/>
  <c r="L65" i="5" s="1"/>
  <c r="L57" i="5" s="1"/>
  <c r="K39" i="5"/>
  <c r="L39" i="5" s="1"/>
  <c r="G28" i="5"/>
  <c r="J28" i="5"/>
  <c r="H28" i="5" s="1"/>
  <c r="H19" i="5"/>
  <c r="H44" i="7"/>
  <c r="G14" i="6"/>
  <c r="H32" i="5"/>
  <c r="J32" i="7"/>
  <c r="H33" i="7"/>
  <c r="J15" i="5"/>
  <c r="H15" i="5" s="1"/>
  <c r="G15" i="5"/>
  <c r="AB18" i="9"/>
  <c r="AB20" i="9"/>
  <c r="AB19" i="9"/>
  <c r="AR18" i="9"/>
  <c r="AR20" i="9"/>
  <c r="DA21" i="9" s="1"/>
  <c r="Q31" i="9" s="1"/>
  <c r="DA32" i="9" s="1"/>
  <c r="DA4" i="9" s="1"/>
  <c r="I4" i="8" s="1"/>
  <c r="G5" i="6"/>
  <c r="H9" i="7"/>
  <c r="K22" i="5"/>
  <c r="L22" i="5" s="1"/>
  <c r="K9" i="5"/>
  <c r="L9" i="5" s="1"/>
  <c r="K35" i="5"/>
  <c r="L35" i="5" s="1"/>
  <c r="J54" i="5"/>
  <c r="H54" i="5" s="1"/>
  <c r="G54" i="5"/>
  <c r="H20" i="7"/>
  <c r="J19" i="7"/>
  <c r="H89" i="5"/>
  <c r="J93" i="5"/>
  <c r="H93" i="5" s="1"/>
  <c r="G93" i="5"/>
  <c r="H84" i="5"/>
  <c r="G4" i="6"/>
  <c r="H5" i="7"/>
  <c r="H76" i="5"/>
  <c r="G41" i="5"/>
  <c r="J41" i="5"/>
  <c r="H41" i="5" s="1"/>
  <c r="H63" i="5"/>
  <c r="H71" i="5"/>
  <c r="H58" i="5"/>
  <c r="J80" i="5"/>
  <c r="H80" i="5" s="1"/>
  <c r="G80" i="5"/>
  <c r="H52" i="7"/>
  <c r="G16" i="6"/>
  <c r="G67" i="5"/>
  <c r="J67" i="5"/>
  <c r="H67" i="5" s="1"/>
  <c r="K13" i="5" l="1"/>
  <c r="L13" i="5" s="1"/>
  <c r="K78" i="5"/>
  <c r="L78" i="5" s="1"/>
  <c r="L70" i="5" s="1"/>
  <c r="L31" i="5"/>
  <c r="I6" i="4" s="1"/>
  <c r="K52" i="5"/>
  <c r="L52" i="5" s="1"/>
  <c r="L44" i="5" s="1"/>
  <c r="K26" i="5"/>
  <c r="L26" i="5" s="1"/>
  <c r="L18" i="5" s="1"/>
  <c r="I5" i="4" s="1"/>
  <c r="K91" i="5"/>
  <c r="L91" i="5" s="1"/>
  <c r="L83" i="5" s="1"/>
  <c r="L5" i="5"/>
  <c r="F14" i="6"/>
  <c r="I27" i="5"/>
  <c r="I66" i="5"/>
  <c r="I40" i="5"/>
  <c r="I92" i="5"/>
  <c r="I53" i="5"/>
  <c r="I79" i="5"/>
  <c r="I14" i="5"/>
  <c r="H19" i="7"/>
  <c r="G8" i="6"/>
  <c r="F5" i="6"/>
  <c r="I17" i="7"/>
  <c r="M65" i="5"/>
  <c r="N65" i="5" s="1"/>
  <c r="N57" i="5" s="1"/>
  <c r="M91" i="5"/>
  <c r="N91" i="5" s="1"/>
  <c r="N83" i="5" s="1"/>
  <c r="M52" i="5"/>
  <c r="N52" i="5" s="1"/>
  <c r="N44" i="5" s="1"/>
  <c r="M78" i="5"/>
  <c r="N78" i="5" s="1"/>
  <c r="N70" i="5" s="1"/>
  <c r="M39" i="5"/>
  <c r="N39" i="5" s="1"/>
  <c r="N31" i="5" s="1"/>
  <c r="J6" i="4" s="1"/>
  <c r="M26" i="5"/>
  <c r="N26" i="5" s="1"/>
  <c r="N18" i="5" s="1"/>
  <c r="J5" i="4" s="1"/>
  <c r="M13" i="5"/>
  <c r="N13" i="5" s="1"/>
  <c r="N5" i="5" s="1"/>
  <c r="G11" i="6"/>
  <c r="H32" i="7"/>
  <c r="F4" i="6"/>
  <c r="I14" i="7"/>
  <c r="AM21" i="9"/>
  <c r="CY21" i="9"/>
  <c r="I94" i="5"/>
  <c r="I81" i="5"/>
  <c r="F16" i="6"/>
  <c r="I16" i="5"/>
  <c r="I68" i="5"/>
  <c r="I29" i="5"/>
  <c r="I42" i="5"/>
  <c r="I55" i="5"/>
  <c r="J79" i="5" l="1"/>
  <c r="H79" i="5" s="1"/>
  <c r="G79" i="5"/>
  <c r="J53" i="5"/>
  <c r="H53" i="5" s="1"/>
  <c r="G53" i="5"/>
  <c r="AL29" i="9"/>
  <c r="Q29" i="9"/>
  <c r="CX21" i="9"/>
  <c r="G29" i="5"/>
  <c r="J29" i="5"/>
  <c r="H29" i="5" s="1"/>
  <c r="J14" i="7"/>
  <c r="G14" i="7"/>
  <c r="G68" i="5"/>
  <c r="J68" i="5"/>
  <c r="H68" i="5" s="1"/>
  <c r="J16" i="5"/>
  <c r="H16" i="5" s="1"/>
  <c r="G16" i="5"/>
  <c r="J92" i="5"/>
  <c r="H92" i="5" s="1"/>
  <c r="G92" i="5"/>
  <c r="J55" i="5"/>
  <c r="H55" i="5" s="1"/>
  <c r="G55" i="5"/>
  <c r="J42" i="5"/>
  <c r="H42" i="5" s="1"/>
  <c r="G42" i="5"/>
  <c r="I42" i="7"/>
  <c r="F11" i="6"/>
  <c r="I39" i="7"/>
  <c r="G17" i="7"/>
  <c r="J17" i="7"/>
  <c r="J40" i="5"/>
  <c r="H40" i="5" s="1"/>
  <c r="G40" i="5"/>
  <c r="J81" i="5"/>
  <c r="H81" i="5" s="1"/>
  <c r="G81" i="5"/>
  <c r="J66" i="5"/>
  <c r="H66" i="5" s="1"/>
  <c r="G66" i="5"/>
  <c r="N96" i="5"/>
  <c r="J4" i="4"/>
  <c r="J94" i="5"/>
  <c r="H94" i="5" s="1"/>
  <c r="G94" i="5"/>
  <c r="F8" i="6"/>
  <c r="I27" i="7"/>
  <c r="J27" i="5"/>
  <c r="H27" i="5" s="1"/>
  <c r="G27" i="5"/>
  <c r="J14" i="5"/>
  <c r="H14" i="5" s="1"/>
  <c r="G14" i="5"/>
  <c r="I4" i="4"/>
  <c r="L96" i="5"/>
  <c r="J39" i="7" l="1"/>
  <c r="G39" i="7"/>
  <c r="J7" i="4"/>
  <c r="F11" i="3"/>
  <c r="G27" i="7"/>
  <c r="J27" i="7"/>
  <c r="G42" i="7"/>
  <c r="J42" i="7"/>
  <c r="R32" i="9"/>
  <c r="CY32" i="9"/>
  <c r="F5" i="3"/>
  <c r="F7" i="3" s="1"/>
  <c r="I7" i="4"/>
  <c r="H17" i="7"/>
  <c r="J16" i="7"/>
  <c r="H14" i="7"/>
  <c r="J13" i="7"/>
  <c r="H39" i="7" l="1"/>
  <c r="J38" i="7"/>
  <c r="H42" i="7"/>
  <c r="J41" i="7"/>
  <c r="H16" i="7"/>
  <c r="G7" i="6"/>
  <c r="F7" i="6" s="1"/>
  <c r="J26" i="7"/>
  <c r="H27" i="7"/>
  <c r="G6" i="6"/>
  <c r="H13" i="7"/>
  <c r="CY4" i="9"/>
  <c r="G4" i="8" s="1"/>
  <c r="CX32" i="9"/>
  <c r="CX4" i="9" s="1"/>
  <c r="H38" i="7" l="1"/>
  <c r="G12" i="6"/>
  <c r="H26" i="7"/>
  <c r="G9" i="6"/>
  <c r="F4" i="8"/>
  <c r="I52" i="5"/>
  <c r="I39" i="5"/>
  <c r="I91" i="5"/>
  <c r="I78" i="5"/>
  <c r="I65" i="5"/>
  <c r="I26" i="5"/>
  <c r="I13" i="5"/>
  <c r="G13" i="6"/>
  <c r="F13" i="6" s="1"/>
  <c r="H41" i="7"/>
  <c r="I85" i="5"/>
  <c r="I7" i="5"/>
  <c r="I33" i="5"/>
  <c r="I20" i="5"/>
  <c r="I46" i="5"/>
  <c r="F6" i="6"/>
  <c r="I59" i="5"/>
  <c r="I72" i="5"/>
  <c r="G7" i="5" l="1"/>
  <c r="J7" i="5"/>
  <c r="J91" i="5"/>
  <c r="H91" i="5" s="1"/>
  <c r="G91" i="5"/>
  <c r="J52" i="5"/>
  <c r="H52" i="5" s="1"/>
  <c r="G52" i="5"/>
  <c r="J13" i="5"/>
  <c r="H13" i="5" s="1"/>
  <c r="G13" i="5"/>
  <c r="I30" i="7"/>
  <c r="I8" i="5"/>
  <c r="F9" i="6"/>
  <c r="I34" i="5"/>
  <c r="I60" i="5"/>
  <c r="I86" i="5"/>
  <c r="J46" i="5"/>
  <c r="G46" i="5"/>
  <c r="G26" i="5"/>
  <c r="J26" i="5"/>
  <c r="H26" i="5" s="1"/>
  <c r="G20" i="5"/>
  <c r="J20" i="5"/>
  <c r="J65" i="5"/>
  <c r="H65" i="5" s="1"/>
  <c r="G65" i="5"/>
  <c r="I35" i="5"/>
  <c r="I74" i="5"/>
  <c r="I87" i="5"/>
  <c r="F12" i="6"/>
  <c r="I48" i="5"/>
  <c r="I22" i="5"/>
  <c r="I9" i="5"/>
  <c r="I61" i="5"/>
  <c r="J85" i="5"/>
  <c r="G85" i="5"/>
  <c r="J39" i="5"/>
  <c r="H39" i="5" s="1"/>
  <c r="G39" i="5"/>
  <c r="J72" i="5"/>
  <c r="G72" i="5"/>
  <c r="G59" i="5"/>
  <c r="J59" i="5"/>
  <c r="J33" i="5"/>
  <c r="G33" i="5"/>
  <c r="J78" i="5"/>
  <c r="H78" i="5" s="1"/>
  <c r="G78" i="5"/>
  <c r="J74" i="5" l="1"/>
  <c r="H74" i="5" s="1"/>
  <c r="G74" i="5"/>
  <c r="H33" i="5"/>
  <c r="H85" i="5"/>
  <c r="J35" i="5"/>
  <c r="H35" i="5" s="1"/>
  <c r="G35" i="5"/>
  <c r="H46" i="5"/>
  <c r="G86" i="5"/>
  <c r="J86" i="5"/>
  <c r="H86" i="5" s="1"/>
  <c r="J60" i="5"/>
  <c r="H60" i="5" s="1"/>
  <c r="G60" i="5"/>
  <c r="H59" i="5"/>
  <c r="J57" i="5"/>
  <c r="H57" i="5" s="1"/>
  <c r="J61" i="5"/>
  <c r="H61" i="5" s="1"/>
  <c r="G61" i="5"/>
  <c r="J9" i="5"/>
  <c r="H9" i="5" s="1"/>
  <c r="G9" i="5"/>
  <c r="G22" i="5"/>
  <c r="J22" i="5"/>
  <c r="H22" i="5" s="1"/>
  <c r="H20" i="5"/>
  <c r="G34" i="5"/>
  <c r="J34" i="5"/>
  <c r="H34" i="5" s="1"/>
  <c r="H72" i="5"/>
  <c r="G48" i="5"/>
  <c r="J48" i="5"/>
  <c r="H48" i="5" s="1"/>
  <c r="J8" i="5"/>
  <c r="H8" i="5" s="1"/>
  <c r="G8" i="5"/>
  <c r="H7" i="5"/>
  <c r="J87" i="5"/>
  <c r="H87" i="5" s="1"/>
  <c r="G87" i="5"/>
  <c r="J30" i="7"/>
  <c r="G30" i="7"/>
  <c r="J29" i="7" l="1"/>
  <c r="H30" i="7"/>
  <c r="J83" i="5"/>
  <c r="H83" i="5" s="1"/>
  <c r="J31" i="5"/>
  <c r="J5" i="5"/>
  <c r="H29" i="7" l="1"/>
  <c r="G10" i="6"/>
  <c r="H4" i="4"/>
  <c r="G4" i="4" s="1"/>
  <c r="H5" i="5"/>
  <c r="H6" i="4"/>
  <c r="G6" i="4" s="1"/>
  <c r="H31" i="5"/>
  <c r="F10" i="6" l="1"/>
  <c r="I73" i="5"/>
  <c r="I21" i="5"/>
  <c r="I47" i="5"/>
  <c r="J73" i="5" l="1"/>
  <c r="G73" i="5"/>
  <c r="J47" i="5"/>
  <c r="G47" i="5"/>
  <c r="G21" i="5"/>
  <c r="J21" i="5"/>
  <c r="H47" i="5" l="1"/>
  <c r="J44" i="5"/>
  <c r="H44" i="5" s="1"/>
  <c r="H21" i="5"/>
  <c r="J18" i="5"/>
  <c r="H73" i="5"/>
  <c r="J70" i="5"/>
  <c r="H70" i="5" s="1"/>
  <c r="H18" i="5" l="1"/>
  <c r="H5" i="4"/>
  <c r="G5" i="4" s="1"/>
  <c r="J96" i="5"/>
  <c r="H96" i="5" l="1"/>
  <c r="F8" i="3"/>
  <c r="H7" i="4"/>
  <c r="G7" i="4" s="1"/>
  <c r="F9" i="3" l="1"/>
  <c r="F20" i="3"/>
  <c r="F18" i="3"/>
  <c r="F22" i="3"/>
  <c r="F19" i="3"/>
  <c r="H101" i="5" l="1"/>
  <c r="G12" i="4"/>
  <c r="H103" i="5"/>
  <c r="G14" i="4"/>
  <c r="H100" i="5"/>
  <c r="G11" i="4"/>
  <c r="H102" i="5"/>
  <c r="G13" i="4"/>
  <c r="G8" i="4"/>
  <c r="H97" i="5"/>
  <c r="F10" i="3"/>
  <c r="F13" i="3" l="1"/>
  <c r="F12" i="3"/>
  <c r="F23" i="3"/>
  <c r="H98" i="5" l="1"/>
  <c r="G9" i="4"/>
  <c r="F24" i="3"/>
  <c r="G15" i="4"/>
  <c r="H104" i="5"/>
  <c r="H99" i="5"/>
  <c r="G10" i="4"/>
  <c r="F25" i="3" l="1"/>
  <c r="F26" i="3" l="1"/>
  <c r="H105" i="5"/>
  <c r="G16" i="4"/>
  <c r="H106" i="5" l="1"/>
  <c r="G17" i="4"/>
  <c r="F27" i="3"/>
  <c r="H107" i="5" l="1"/>
  <c r="G18" i="4"/>
  <c r="F28" i="3"/>
  <c r="H108" i="5" l="1"/>
  <c r="G19" i="4"/>
  <c r="B52" i="3"/>
  <c r="F29" i="3" s="1"/>
  <c r="F30" i="3" s="1"/>
  <c r="G21" i="4" l="1"/>
  <c r="F33" i="3"/>
  <c r="H110" i="5"/>
  <c r="H109" i="5"/>
  <c r="G20" i="4"/>
  <c r="G22" i="4" l="1"/>
  <c r="H111" i="5"/>
</calcChain>
</file>

<file path=xl/sharedStrings.xml><?xml version="1.0" encoding="utf-8"?>
<sst xmlns="http://schemas.openxmlformats.org/spreadsheetml/2006/main" count="2142" uniqueCount="385">
  <si>
    <t>규  격</t>
  </si>
  <si>
    <t>단  가</t>
  </si>
  <si>
    <t>제6호표의 50%적용</t>
  </si>
  <si>
    <t>도급액</t>
  </si>
  <si>
    <t>비     고</t>
  </si>
  <si>
    <t>제13호표</t>
  </si>
  <si>
    <t>-</t>
  </si>
  <si>
    <t>14</t>
  </si>
  <si>
    <t>(A + 4 + J/1.1) × 0.0293</t>
  </si>
  <si>
    <t>자</t>
  </si>
  <si>
    <t>1. 굴삭기(무한궤도)</t>
  </si>
  <si>
    <t>재료비 소수 1 미만 절하</t>
  </si>
  <si>
    <t>제11호표</t>
  </si>
  <si>
    <t>특별인부</t>
  </si>
  <si>
    <t>Q</t>
  </si>
  <si>
    <t>수중펌프 제거(2.2kw이하)</t>
  </si>
  <si>
    <t>경유</t>
  </si>
  <si>
    <t>보통인부</t>
  </si>
  <si>
    <t>경    비</t>
  </si>
  <si>
    <t>지하수</t>
  </si>
  <si>
    <t>일위13참조</t>
  </si>
  <si>
    <t>부189(06.1)</t>
  </si>
  <si>
    <t>(G + H)</t>
  </si>
  <si>
    <t>0.8%</t>
  </si>
  <si>
    <t>잡    품</t>
  </si>
  <si>
    <t>부가가치세</t>
  </si>
  <si>
    <t>구분</t>
  </si>
  <si>
    <t>중급기술자</t>
  </si>
  <si>
    <t>이                  윤</t>
  </si>
  <si>
    <t>일위11참조</t>
  </si>
  <si>
    <t>기계설비공</t>
  </si>
  <si>
    <t>제8호표 120%적용</t>
  </si>
  <si>
    <t>일위대가</t>
  </si>
  <si>
    <t>기</t>
  </si>
  <si>
    <t>)</t>
  </si>
  <si>
    <t>10</t>
  </si>
  <si>
    <t>내역서</t>
  </si>
  <si>
    <t>f</t>
  </si>
  <si>
    <t>1/8*16/12*25/20*12/10</t>
  </si>
  <si>
    <t>제9호표</t>
  </si>
  <si>
    <t>중급숙련기술자</t>
  </si>
  <si>
    <t>물가정보</t>
  </si>
  <si>
    <t>Cm</t>
  </si>
  <si>
    <t>93(16.12)</t>
  </si>
  <si>
    <t>최저단가</t>
  </si>
  <si>
    <t>기계경비</t>
  </si>
  <si>
    <t>기본재료비</t>
  </si>
  <si>
    <t>화   폐</t>
  </si>
  <si>
    <t>B × 0.0087</t>
  </si>
  <si>
    <t>유로(E)</t>
  </si>
  <si>
    <t>비            목</t>
  </si>
  <si>
    <t>퇴 직  공 제  부 금 비</t>
  </si>
  <si>
    <t>경    유</t>
  </si>
  <si>
    <t>/</t>
  </si>
  <si>
    <t>환  율</t>
  </si>
  <si>
    <t>16</t>
  </si>
  <si>
    <t>케이싱 인발 제거(D50mm이하)</t>
  </si>
  <si>
    <t>18</t>
  </si>
  <si>
    <t>단산1참조</t>
  </si>
  <si>
    <t>비   고</t>
  </si>
  <si>
    <t>엔(100￥)</t>
  </si>
  <si>
    <t>6%</t>
  </si>
  <si>
    <t>0.87%</t>
  </si>
  <si>
    <t>+</t>
  </si>
  <si>
    <t>￦×</t>
  </si>
  <si>
    <t>노임계수</t>
  </si>
  <si>
    <t>12</t>
  </si>
  <si>
    <t>부   가   가   치   세</t>
  </si>
  <si>
    <t>1 : 1</t>
  </si>
  <si>
    <t>단가4</t>
  </si>
  <si>
    <t>%</t>
  </si>
  <si>
    <t>(A + B + C)</t>
  </si>
  <si>
    <t>대</t>
  </si>
  <si>
    <t>경</t>
  </si>
  <si>
    <t>'16年 개정</t>
  </si>
  <si>
    <t>(A + 4 + 6) ×0.00081</t>
  </si>
  <si>
    <t>D150mm 기준</t>
  </si>
  <si>
    <t>공</t>
  </si>
  <si>
    <t>건설기계운전사</t>
  </si>
  <si>
    <t>비    고</t>
  </si>
  <si>
    <t>1권133(16.12)</t>
  </si>
  <si>
    <t>총     공    사     비</t>
  </si>
  <si>
    <t>잔토처리</t>
  </si>
  <si>
    <t>0.2㎥</t>
  </si>
  <si>
    <t>,경질토</t>
  </si>
  <si>
    <t>일위8참조</t>
  </si>
  <si>
    <t>③대리점상차도</t>
  </si>
  <si>
    <t>G</t>
  </si>
  <si>
    <t>2017-07-03</t>
  </si>
  <si>
    <t>보통토</t>
  </si>
  <si>
    <t>No</t>
  </si>
  <si>
    <t>4 × 0.116</t>
  </si>
  <si>
    <t>일위4참조</t>
  </si>
  <si>
    <t>제3호표</t>
  </si>
  <si>
    <t>I</t>
  </si>
  <si>
    <t>견적가1</t>
  </si>
  <si>
    <t>산     출     경    비</t>
  </si>
  <si>
    <t>,자갈토</t>
  </si>
  <si>
    <t>─</t>
  </si>
  <si>
    <t>노무비 소수 1 미만 절하</t>
  </si>
  <si>
    <t>1</t>
  </si>
  <si>
    <t>폐공되메우기(D200mm이상)</t>
  </si>
  <si>
    <t>보령시</t>
  </si>
  <si>
    <t>3-2</t>
  </si>
  <si>
    <t>21</t>
  </si>
  <si>
    <t>손    료</t>
  </si>
  <si>
    <t>환경보호과</t>
  </si>
  <si>
    <t>일위6참조</t>
  </si>
  <si>
    <t>제1호표</t>
  </si>
  <si>
    <t>의</t>
  </si>
  <si>
    <t>굴삭기(무한궤도)</t>
  </si>
  <si>
    <t>5</t>
  </si>
  <si>
    <t>적용일자</t>
  </si>
  <si>
    <t>거래가격</t>
  </si>
  <si>
    <t>제7호표</t>
  </si>
  <si>
    <t>25</t>
  </si>
  <si>
    <t>D × 0.06</t>
  </si>
  <si>
    <t>(A + 4 + 6) × 0.0041</t>
  </si>
  <si>
    <t>( 4 + 5 )</t>
  </si>
  <si>
    <t>사</t>
  </si>
  <si>
    <t>자재단가</t>
  </si>
  <si>
    <t>C</t>
  </si>
  <si>
    <t>이윤</t>
  </si>
  <si>
    <t>제5호표</t>
  </si>
  <si>
    <t>일위2참조</t>
  </si>
  <si>
    <t>력</t>
  </si>
  <si>
    <t>135</t>
  </si>
  <si>
    <t>백호(0.2㎥)70%+인력30%</t>
  </si>
  <si>
    <t>2016-12-01</t>
  </si>
  <si>
    <t>요율</t>
  </si>
  <si>
    <t>고용보험료</t>
  </si>
  <si>
    <t>단위</t>
  </si>
  <si>
    <t>2.2kw이하</t>
  </si>
  <si>
    <t>규    격</t>
  </si>
  <si>
    <t>2.93%</t>
  </si>
  <si>
    <t>소</t>
  </si>
  <si>
    <t>=</t>
  </si>
  <si>
    <t>1/8*16/12*25/20*24/5</t>
  </si>
  <si>
    <t>단가산출총괄표</t>
  </si>
  <si>
    <t>3</t>
  </si>
  <si>
    <t>23</t>
  </si>
  <si>
    <t>노 무 비</t>
  </si>
  <si>
    <t>기     타     경    비</t>
  </si>
  <si>
    <t>K</t>
  </si>
  <si>
    <t>석유공사</t>
  </si>
  <si>
    <t>모 래, 천안, 도착도</t>
  </si>
  <si>
    <t>62(16.12)</t>
  </si>
  <si>
    <t>작업설.부산물등(△)</t>
  </si>
  <si>
    <t>총공사비</t>
  </si>
  <si>
    <t>E</t>
  </si>
  <si>
    <t>B × 0.039</t>
  </si>
  <si>
    <t>98年고시단가(경비)</t>
  </si>
  <si>
    <t>단가1</t>
  </si>
  <si>
    <t>과</t>
  </si>
  <si>
    <t>A</t>
  </si>
  <si>
    <t>산재보험료</t>
  </si>
  <si>
    <t>단가5</t>
  </si>
  <si>
    <t>가격정보</t>
  </si>
  <si>
    <t>관   급   자   재   대</t>
  </si>
  <si>
    <t>금    액</t>
  </si>
  <si>
    <t>산    출    근    거</t>
  </si>
  <si>
    <t>하도급대금지급보증수수료</t>
  </si>
  <si>
    <t>(0.2㎥)</t>
  </si>
  <si>
    <t>2016.12.1. 매매기준율</t>
  </si>
  <si>
    <t>29</t>
  </si>
  <si>
    <t>÷</t>
  </si>
  <si>
    <t>9</t>
  </si>
  <si>
    <t>기계경비총괄표</t>
  </si>
  <si>
    <t>2-2</t>
  </si>
  <si>
    <t>심</t>
  </si>
  <si>
    <t>1.</t>
  </si>
  <si>
    <t>7</t>
  </si>
  <si>
    <t>27</t>
  </si>
  <si>
    <t>설</t>
  </si>
  <si>
    <t>건설기계대여금지급보증서발급액</t>
  </si>
  <si>
    <t>적용방법</t>
  </si>
  <si>
    <t>환   경   보   전   비</t>
  </si>
  <si>
    <t>금   액</t>
  </si>
  <si>
    <t>G × 0.1</t>
  </si>
  <si>
    <t>연   금   보   험   료</t>
  </si>
  <si>
    <t>제8호표 80%적용</t>
  </si>
  <si>
    <t>계산결과값 자리수</t>
  </si>
  <si>
    <t>제8호표</t>
  </si>
  <si>
    <t>(</t>
  </si>
  <si>
    <t>11</t>
  </si>
  <si>
    <t>계</t>
  </si>
  <si>
    <t>총        원        가</t>
  </si>
  <si>
    <t>비</t>
  </si>
  <si>
    <t>수  량</t>
  </si>
  <si>
    <t>품   명</t>
  </si>
  <si>
    <t>원가계산서</t>
  </si>
  <si>
    <t>일   반   관   리   비</t>
  </si>
  <si>
    <t>(D + E + F)</t>
  </si>
  <si>
    <t>15</t>
  </si>
  <si>
    <t>건   강   보   험   료</t>
  </si>
  <si>
    <t>노인장기요양  보 험 료</t>
  </si>
  <si>
    <t>주연료의</t>
  </si>
  <si>
    <t>되메움 재료</t>
  </si>
  <si>
    <t>m</t>
  </si>
  <si>
    <t>kg</t>
  </si>
  <si>
    <t>70</t>
  </si>
  <si>
    <t>2015-01-01</t>
  </si>
  <si>
    <t>원</t>
  </si>
  <si>
    <t>직   접   재   료   비</t>
  </si>
  <si>
    <t>일위9참조</t>
  </si>
  <si>
    <t>산  출  근  거</t>
  </si>
  <si>
    <t>되메우기</t>
  </si>
  <si>
    <t>30</t>
  </si>
  <si>
    <t>단가산출</t>
  </si>
  <si>
    <t>재료비</t>
  </si>
  <si>
    <t>원상복구공사</t>
  </si>
  <si>
    <t>순   공  사    원   가</t>
  </si>
  <si>
    <t>산 업 안 전 보건관리비</t>
  </si>
  <si>
    <t>소                  계</t>
  </si>
  <si>
    <t>집수정 수중펌프설치</t>
  </si>
  <si>
    <t>1/8*16/12*25/20*24/15</t>
  </si>
  <si>
    <t>당초합계</t>
  </si>
  <si>
    <t>제12호표</t>
  </si>
  <si>
    <t>계산값</t>
  </si>
  <si>
    <t>13</t>
  </si>
  <si>
    <t>일위대가총괄표</t>
  </si>
  <si>
    <t>품    명</t>
  </si>
  <si>
    <t>회</t>
  </si>
  <si>
    <t>(I + J + K)</t>
  </si>
  <si>
    <t>제10호표</t>
  </si>
  <si>
    <t>기계경비적용기준</t>
  </si>
  <si>
    <t>5.0톤, 30km</t>
  </si>
  <si>
    <t>61(16.5)</t>
  </si>
  <si>
    <t>케이싱 인발 제거(D250mm)</t>
  </si>
  <si>
    <t>재 료 비</t>
  </si>
  <si>
    <t>당초경비</t>
  </si>
  <si>
    <t>단가2</t>
  </si>
  <si>
    <t>달러($)</t>
  </si>
  <si>
    <t>명    칭</t>
  </si>
  <si>
    <t>합</t>
  </si>
  <si>
    <t>직   접   노   무   비</t>
  </si>
  <si>
    <t>일위12참조</t>
  </si>
  <si>
    <t>단가6</t>
  </si>
  <si>
    <t>구역화물</t>
  </si>
  <si>
    <t>1/8*16/12*25/20</t>
  </si>
  <si>
    <t>˚</t>
  </si>
  <si>
    <t xml:space="preserve"> </t>
  </si>
  <si>
    <t>19</t>
  </si>
  <si>
    <t>㎥</t>
  </si>
  <si>
    <t>당초노무비</t>
  </si>
  <si>
    <t>3.9%</t>
  </si>
  <si>
    <t>호  표</t>
  </si>
  <si>
    <t>마르크(M)</t>
  </si>
  <si>
    <t>17</t>
  </si>
  <si>
    <t>2.</t>
  </si>
  <si>
    <t>평균</t>
  </si>
  <si>
    <t>hr</t>
  </si>
  <si>
    <t>장</t>
  </si>
  <si>
    <t>:</t>
  </si>
  <si>
    <t>산   재   보   험   료</t>
  </si>
  <si>
    <t>순</t>
  </si>
  <si>
    <t>유통물가</t>
  </si>
  <si>
    <t>가</t>
  </si>
  <si>
    <t>24</t>
  </si>
  <si>
    <t>보 링 공</t>
  </si>
  <si>
    <t>106(16.12)</t>
  </si>
  <si>
    <t>2-1</t>
  </si>
  <si>
    <t>4</t>
  </si>
  <si>
    <t>11.6%</t>
  </si>
  <si>
    <t>노임단가</t>
  </si>
  <si>
    <t>규   격</t>
  </si>
  <si>
    <t>L</t>
  </si>
  <si>
    <t>D250mm 기준</t>
  </si>
  <si>
    <t>내역서총괄표</t>
  </si>
  <si>
    <t>ℓ</t>
  </si>
  <si>
    <t>B</t>
  </si>
  <si>
    <t>도        급        액</t>
  </si>
  <si>
    <t>H</t>
  </si>
  <si>
    <t>0.41%</t>
  </si>
  <si>
    <t>설치품의 30%</t>
  </si>
  <si>
    <t>경     비</t>
  </si>
  <si>
    <t>1/8*16/12*25/20*14/12</t>
  </si>
  <si>
    <t>공 사 이 행 보증수수료</t>
  </si>
  <si>
    <t>(A + 4 + 6) ×0.008</t>
  </si>
  <si>
    <t>고   용   보   험   료</t>
  </si>
  <si>
    <t>(1 + 2 + 3 )</t>
  </si>
  <si>
    <t>적용단가</t>
  </si>
  <si>
    <t>(6:18)</t>
  </si>
  <si>
    <t>폐공되메우기(D100mm미만)</t>
  </si>
  <si>
    <t>주연료</t>
  </si>
  <si>
    <t>5.0톤, 10km</t>
  </si>
  <si>
    <t>환경보전비</t>
  </si>
  <si>
    <t>터파기</t>
  </si>
  <si>
    <t>시멘트 몰탈 되메움</t>
  </si>
  <si>
    <t>1.터파기 (백호(0.2㎥)70%+인력30%) [㎥]</t>
  </si>
  <si>
    <t>폐  기  물  처  리  비</t>
  </si>
  <si>
    <t>F</t>
  </si>
  <si>
    <t>간접노무비</t>
  </si>
  <si>
    <t>q</t>
  </si>
  <si>
    <t>×</t>
  </si>
  <si>
    <t>노무비</t>
  </si>
  <si>
    <t>총원가</t>
  </si>
  <si>
    <t>일반관리비</t>
  </si>
  <si>
    <t>합     계</t>
  </si>
  <si>
    <t>(A + B) × 0.06</t>
  </si>
  <si>
    <t>간   접   노   무   비</t>
  </si>
  <si>
    <t>20</t>
  </si>
  <si>
    <t>경  비 소수 1 미만 절하</t>
  </si>
  <si>
    <t>page</t>
  </si>
  <si>
    <t>일위5참조</t>
  </si>
  <si>
    <t>제2호표</t>
  </si>
  <si>
    <t>노</t>
  </si>
  <si>
    <t>sec</t>
  </si>
  <si>
    <t>산업안전보건관리비</t>
  </si>
  <si>
    <t>환 율 (/￦)</t>
  </si>
  <si>
    <t>5.5kw이하</t>
  </si>
  <si>
    <t>0.081%</t>
  </si>
  <si>
    <t>10(-7)</t>
  </si>
  <si>
    <t>26</t>
  </si>
  <si>
    <t>수중펌프 제거(5.5kw이하)</t>
  </si>
  <si>
    <t>6</t>
  </si>
  <si>
    <t>8</t>
  </si>
  <si>
    <t>인</t>
  </si>
  <si>
    <t>폐공되메우기</t>
  </si>
  <si>
    <t>28</t>
  </si>
  <si>
    <t>케이싱 설치</t>
  </si>
  <si>
    <t>간   접   재   료   비</t>
  </si>
  <si>
    <t>3-1</t>
  </si>
  <si>
    <t>22</t>
  </si>
  <si>
    <t>강모래</t>
  </si>
  <si>
    <t>2</t>
  </si>
  <si>
    <t>무</t>
  </si>
  <si>
    <t>순공사원가</t>
  </si>
  <si>
    <t>단가3</t>
  </si>
  <si>
    <t>물가자료</t>
  </si>
  <si>
    <t>재</t>
  </si>
  <si>
    <t>품     명</t>
  </si>
  <si>
    <t>제6호표</t>
  </si>
  <si>
    <t>일위1참조</t>
  </si>
  <si>
    <t>합    계</t>
  </si>
  <si>
    <t>시멘트, 대전</t>
  </si>
  <si>
    <t>D</t>
  </si>
  <si>
    <t>J</t>
  </si>
  <si>
    <t>료</t>
  </si>
  <si>
    <t>기타경비</t>
  </si>
  <si>
    <t>일위3참조</t>
  </si>
  <si>
    <t>제4호표</t>
  </si>
  <si>
    <t>일반</t>
  </si>
  <si>
    <t>산   출   근   거</t>
  </si>
  <si>
    <t>당초재료비</t>
  </si>
  <si>
    <t>10%</t>
  </si>
  <si>
    <t>공종</t>
  </si>
  <si>
    <t>순 공 사 비</t>
  </si>
  <si>
    <t>3.</t>
  </si>
  <si>
    <t>파운드(L)</t>
  </si>
  <si>
    <t/>
  </si>
  <si>
    <t>미산면 남심리 45-6</t>
    <phoneticPr fontId="6" type="noConversion"/>
  </si>
  <si>
    <t>지하수 방치공 원상복구</t>
    <phoneticPr fontId="6" type="noConversion"/>
  </si>
  <si>
    <t>청라면 소양리 607-1</t>
    <phoneticPr fontId="6" type="noConversion"/>
  </si>
  <si>
    <t>청라면 소양리 607-3</t>
    <phoneticPr fontId="6" type="noConversion"/>
  </si>
  <si>
    <t>케이싱 인발 제거(D250mm)</t>
    <phoneticPr fontId="6" type="noConversion"/>
  </si>
  <si>
    <t>방치공</t>
    <phoneticPr fontId="6" type="noConversion"/>
  </si>
  <si>
    <t>원상복구공사</t>
    <phoneticPr fontId="6" type="noConversion"/>
  </si>
  <si>
    <t>방치공</t>
    <phoneticPr fontId="6" type="noConversion"/>
  </si>
  <si>
    <t>2018.11</t>
    <phoneticPr fontId="6" type="noConversion"/>
  </si>
  <si>
    <t>케이싱 인발 제거(D100mm)</t>
    <phoneticPr fontId="6" type="noConversion"/>
  </si>
  <si>
    <t>(B + C + E)  ×0.05</t>
    <phoneticPr fontId="6" type="noConversion"/>
  </si>
  <si>
    <t>웅천읍 관당리 555-5</t>
    <phoneticPr fontId="6" type="noConversion"/>
  </si>
  <si>
    <t>케이싱 인발 제거(D70mm)</t>
    <phoneticPr fontId="6" type="noConversion"/>
  </si>
  <si>
    <t>시멘트</t>
    <phoneticPr fontId="6" type="noConversion"/>
  </si>
  <si>
    <t>모래</t>
    <phoneticPr fontId="6" type="noConversion"/>
  </si>
  <si>
    <t>체적</t>
    <phoneticPr fontId="6" type="noConversion"/>
  </si>
  <si>
    <t>심도</t>
    <phoneticPr fontId="6" type="noConversion"/>
  </si>
  <si>
    <t>공경</t>
    <phoneticPr fontId="6" type="noConversion"/>
  </si>
  <si>
    <t>케이싱 인발 제거(D50mm)</t>
    <phoneticPr fontId="6" type="noConversion"/>
  </si>
  <si>
    <t>일위3참조</t>
    <phoneticPr fontId="6" type="noConversion"/>
  </si>
  <si>
    <t>웅천읍 독산리 81-11</t>
    <phoneticPr fontId="6" type="noConversion"/>
  </si>
  <si>
    <t>일위7참조</t>
    <phoneticPr fontId="6" type="noConversion"/>
  </si>
  <si>
    <t>주교면 신대리 58-1</t>
    <phoneticPr fontId="6" type="noConversion"/>
  </si>
  <si>
    <t>주교면 신대리 산128-2</t>
    <phoneticPr fontId="6" type="noConversion"/>
  </si>
  <si>
    <t>5.0톤, 30km</t>
    <phoneticPr fontId="6" type="noConversion"/>
  </si>
  <si>
    <t>케이싱 인발 제거(D60mm)</t>
    <phoneticPr fontId="6" type="noConversion"/>
  </si>
  <si>
    <t>케이싱 인발 제거(D25mm)</t>
    <phoneticPr fontId="6" type="noConversion"/>
  </si>
  <si>
    <t>오천면 원산도리 1439</t>
    <phoneticPr fontId="6" type="noConversion"/>
  </si>
  <si>
    <t>오천면 원산도리 1058</t>
    <phoneticPr fontId="6" type="noConversion"/>
  </si>
  <si>
    <t>오천면 원산도리 1430-1</t>
    <phoneticPr fontId="6" type="noConversion"/>
  </si>
  <si>
    <t>2019년도</t>
    <phoneticPr fontId="6" type="noConversion"/>
  </si>
  <si>
    <t>2019년도</t>
    <phoneticPr fontId="6" type="noConversion"/>
  </si>
  <si>
    <t>2019년 11월   일 설계</t>
    <phoneticPr fontId="6" type="noConversion"/>
  </si>
  <si>
    <t>2019년(하)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</si>
</sst>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########"/>
    <numFmt numFmtId="177" formatCode="#,##0.##"/>
    <numFmt numFmtId="178" formatCode="#,##0.#######"/>
    <numFmt numFmtId="179" formatCode="#,##0.#########"/>
    <numFmt numFmtId="180" formatCode="0.000"/>
    <numFmt numFmtId="181" formatCode="0.00000"/>
    <numFmt numFmtId="182" formatCode="#,##0.000"/>
  </numFmts>
  <fonts count="15" x14ac:knownFonts="1">
    <font>
      <sz val="10"/>
      <color indexed="8"/>
      <name val="Arial"/>
      <family val="2"/>
    </font>
    <font>
      <sz val="11"/>
      <color indexed="8"/>
      <name val="굴림체"/>
      <family val="3"/>
    </font>
    <font>
      <b/>
      <sz val="20"/>
      <color indexed="8"/>
      <name val="Arial"/>
      <family val="2"/>
    </font>
    <font>
      <b/>
      <sz val="9"/>
      <color indexed="8"/>
      <name val="굴림체"/>
      <family val="3"/>
    </font>
    <font>
      <sz val="9"/>
      <color indexed="8"/>
      <name val="굴림체"/>
      <family val="3"/>
    </font>
    <font>
      <b/>
      <sz val="13"/>
      <color indexed="8"/>
      <name val="Arial"/>
      <family val="2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b/>
      <sz val="14"/>
      <color indexed="8"/>
      <name val="맑은 고딕"/>
      <family val="3"/>
      <charset val="129"/>
      <scheme val="major"/>
    </font>
    <font>
      <b/>
      <sz val="32"/>
      <color indexed="8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sz val="16"/>
      <color indexed="8"/>
      <name val="맑은 고딕"/>
      <family val="3"/>
      <charset val="129"/>
      <scheme val="major"/>
    </font>
    <font>
      <b/>
      <sz val="16"/>
      <color indexed="8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b/>
      <sz val="15"/>
      <color indexed="8"/>
      <name val="맑은 고딕"/>
      <family val="3"/>
      <charset val="129"/>
      <scheme val="maj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0"/>
      </bottom>
      <diagonal/>
    </border>
    <border>
      <left style="hair">
        <color indexed="64"/>
      </left>
      <right style="hair">
        <color indexed="64"/>
      </right>
      <top/>
      <bottom style="thin">
        <color indexed="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0"/>
      </bottom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4" fillId="0" borderId="21" xfId="0" applyNumberFormat="1" applyFont="1" applyBorder="1" applyAlignment="1">
      <alignment vertical="center"/>
    </xf>
    <xf numFmtId="3" fontId="4" fillId="0" borderId="10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3" fontId="4" fillId="0" borderId="23" xfId="0" applyNumberFormat="1" applyFont="1" applyBorder="1" applyAlignment="1">
      <alignment vertical="center"/>
    </xf>
    <xf numFmtId="3" fontId="4" fillId="0" borderId="14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3" fontId="3" fillId="0" borderId="24" xfId="0" applyNumberFormat="1" applyFont="1" applyBorder="1" applyAlignment="1">
      <alignment horizontal="center" vertical="center"/>
    </xf>
    <xf numFmtId="3" fontId="4" fillId="0" borderId="25" xfId="0" applyNumberFormat="1" applyFont="1" applyBorder="1" applyAlignment="1">
      <alignment vertical="center"/>
    </xf>
    <xf numFmtId="3" fontId="3" fillId="0" borderId="26" xfId="0" applyNumberFormat="1" applyFont="1" applyBorder="1" applyAlignment="1">
      <alignment horizontal="center" vertical="center"/>
    </xf>
    <xf numFmtId="3" fontId="3" fillId="0" borderId="27" xfId="0" applyNumberFormat="1" applyFont="1" applyBorder="1" applyAlignment="1">
      <alignment horizontal="center" vertical="center"/>
    </xf>
    <xf numFmtId="3" fontId="0" fillId="0" borderId="0" xfId="0" applyNumberFormat="1"/>
    <xf numFmtId="3" fontId="4" fillId="0" borderId="28" xfId="0" applyNumberFormat="1" applyFont="1" applyBorder="1" applyAlignment="1">
      <alignment horizontal="center" vertical="center"/>
    </xf>
    <xf numFmtId="3" fontId="4" fillId="0" borderId="29" xfId="0" applyNumberFormat="1" applyFont="1" applyBorder="1" applyAlignment="1">
      <alignment horizontal="left" vertical="center"/>
    </xf>
    <xf numFmtId="3" fontId="4" fillId="0" borderId="29" xfId="0" applyNumberFormat="1" applyFont="1" applyBorder="1" applyAlignment="1">
      <alignment horizontal="center" vertical="center"/>
    </xf>
    <xf numFmtId="3" fontId="4" fillId="0" borderId="29" xfId="0" applyNumberFormat="1" applyFont="1" applyBorder="1" applyAlignment="1">
      <alignment vertical="center"/>
    </xf>
    <xf numFmtId="3" fontId="4" fillId="0" borderId="30" xfId="0" applyNumberFormat="1" applyFont="1" applyBorder="1" applyAlignment="1">
      <alignment horizontal="left" vertical="center"/>
    </xf>
    <xf numFmtId="3" fontId="4" fillId="0" borderId="25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left" vertical="center"/>
    </xf>
    <xf numFmtId="3" fontId="4" fillId="0" borderId="23" xfId="0" applyNumberFormat="1" applyFont="1" applyBorder="1" applyAlignment="1">
      <alignment horizontal="center" vertical="center"/>
    </xf>
    <xf numFmtId="3" fontId="4" fillId="0" borderId="14" xfId="0" applyNumberFormat="1" applyFont="1" applyBorder="1" applyAlignment="1">
      <alignment horizontal="left" vertical="center"/>
    </xf>
    <xf numFmtId="3" fontId="4" fillId="0" borderId="31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/>
    <xf numFmtId="3" fontId="0" fillId="0" borderId="33" xfId="0" applyNumberFormat="1" applyBorder="1"/>
    <xf numFmtId="176" fontId="0" fillId="0" borderId="33" xfId="0" applyNumberFormat="1" applyBorder="1"/>
    <xf numFmtId="0" fontId="0" fillId="0" borderId="34" xfId="0" applyBorder="1"/>
    <xf numFmtId="0" fontId="0" fillId="0" borderId="33" xfId="0" applyBorder="1" applyAlignment="1">
      <alignment horizontal="center"/>
    </xf>
    <xf numFmtId="3" fontId="0" fillId="0" borderId="33" xfId="0" applyNumberFormat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3" fontId="3" fillId="0" borderId="28" xfId="0" applyNumberFormat="1" applyFont="1" applyBorder="1" applyAlignment="1">
      <alignment horizontal="left" vertical="center"/>
    </xf>
    <xf numFmtId="3" fontId="3" fillId="0" borderId="29" xfId="0" applyNumberFormat="1" applyFont="1" applyBorder="1" applyAlignment="1">
      <alignment horizontal="left" vertical="center"/>
    </xf>
    <xf numFmtId="3" fontId="4" fillId="0" borderId="37" xfId="0" applyNumberFormat="1" applyFont="1" applyBorder="1" applyAlignment="1">
      <alignment vertical="center"/>
    </xf>
    <xf numFmtId="3" fontId="4" fillId="0" borderId="31" xfId="0" applyNumberFormat="1" applyFont="1" applyBorder="1" applyAlignment="1">
      <alignment horizontal="right" vertical="center"/>
    </xf>
    <xf numFmtId="3" fontId="4" fillId="0" borderId="29" xfId="0" applyNumberFormat="1" applyFont="1" applyBorder="1" applyAlignment="1">
      <alignment horizontal="right" vertical="center"/>
    </xf>
    <xf numFmtId="3" fontId="4" fillId="0" borderId="30" xfId="0" applyNumberFormat="1" applyFont="1" applyBorder="1" applyAlignment="1">
      <alignment vertical="center"/>
    </xf>
    <xf numFmtId="3" fontId="4" fillId="0" borderId="28" xfId="0" applyNumberFormat="1" applyFont="1" applyBorder="1" applyAlignment="1">
      <alignment horizontal="left" vertical="center"/>
    </xf>
    <xf numFmtId="177" fontId="4" fillId="0" borderId="29" xfId="0" applyNumberFormat="1" applyFont="1" applyBorder="1" applyAlignment="1">
      <alignment vertical="center"/>
    </xf>
    <xf numFmtId="3" fontId="4" fillId="0" borderId="25" xfId="0" applyNumberFormat="1" applyFont="1" applyBorder="1" applyAlignment="1">
      <alignment horizontal="left" vertical="center"/>
    </xf>
    <xf numFmtId="3" fontId="4" fillId="0" borderId="23" xfId="0" applyNumberFormat="1" applyFont="1" applyBorder="1" applyAlignment="1">
      <alignment horizontal="right" vertical="center"/>
    </xf>
    <xf numFmtId="3" fontId="4" fillId="0" borderId="14" xfId="0" applyNumberFormat="1" applyFont="1" applyBorder="1" applyAlignment="1">
      <alignment horizontal="right" vertical="center"/>
    </xf>
    <xf numFmtId="178" fontId="3" fillId="0" borderId="18" xfId="0" applyNumberFormat="1" applyFont="1" applyBorder="1" applyAlignment="1">
      <alignment horizontal="center" vertical="center"/>
    </xf>
    <xf numFmtId="178" fontId="3" fillId="0" borderId="43" xfId="0" applyNumberFormat="1" applyFont="1" applyBorder="1" applyAlignment="1">
      <alignment horizontal="center" vertical="center"/>
    </xf>
    <xf numFmtId="178" fontId="4" fillId="0" borderId="16" xfId="0" applyNumberFormat="1" applyFont="1" applyBorder="1" applyAlignment="1">
      <alignment vertical="center"/>
    </xf>
    <xf numFmtId="178" fontId="4" fillId="0" borderId="0" xfId="0" applyNumberFormat="1" applyFont="1" applyAlignment="1">
      <alignment vertical="center"/>
    </xf>
    <xf numFmtId="178" fontId="4" fillId="0" borderId="17" xfId="0" applyNumberFormat="1" applyFont="1" applyBorder="1" applyAlignment="1">
      <alignment vertical="center"/>
    </xf>
    <xf numFmtId="178" fontId="4" fillId="0" borderId="10" xfId="0" applyNumberFormat="1" applyFont="1" applyBorder="1" applyAlignment="1">
      <alignment vertical="center"/>
    </xf>
    <xf numFmtId="178" fontId="3" fillId="0" borderId="16" xfId="0" applyNumberFormat="1" applyFont="1" applyBorder="1" applyAlignment="1">
      <alignment horizontal="left" vertical="center"/>
    </xf>
    <xf numFmtId="3" fontId="3" fillId="0" borderId="44" xfId="0" applyNumberFormat="1" applyFont="1" applyBorder="1" applyAlignment="1">
      <alignment horizontal="right" vertical="center"/>
    </xf>
    <xf numFmtId="3" fontId="3" fillId="0" borderId="41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8" fontId="4" fillId="0" borderId="44" xfId="0" applyNumberFormat="1" applyFont="1" applyBorder="1" applyAlignment="1">
      <alignment horizontal="right" vertical="center"/>
    </xf>
    <xf numFmtId="178" fontId="4" fillId="0" borderId="41" xfId="0" applyNumberFormat="1" applyFont="1" applyBorder="1" applyAlignment="1">
      <alignment horizontal="right" vertical="center"/>
    </xf>
    <xf numFmtId="3" fontId="4" fillId="0" borderId="44" xfId="0" applyNumberFormat="1" applyFont="1" applyBorder="1" applyAlignment="1">
      <alignment horizontal="right" vertical="center"/>
    </xf>
    <xf numFmtId="178" fontId="4" fillId="0" borderId="22" xfId="0" applyNumberFormat="1" applyFont="1" applyBorder="1" applyAlignment="1">
      <alignment horizontal="right" vertical="center"/>
    </xf>
    <xf numFmtId="178" fontId="4" fillId="0" borderId="45" xfId="0" applyNumberFormat="1" applyFont="1" applyBorder="1" applyAlignment="1">
      <alignment horizontal="right" vertical="center"/>
    </xf>
    <xf numFmtId="3" fontId="3" fillId="0" borderId="28" xfId="0" applyNumberFormat="1" applyFont="1" applyBorder="1" applyAlignment="1">
      <alignment horizontal="center" vertical="center"/>
    </xf>
    <xf numFmtId="3" fontId="3" fillId="0" borderId="29" xfId="0" applyNumberFormat="1" applyFont="1" applyBorder="1" applyAlignment="1">
      <alignment horizontal="center" vertical="center"/>
    </xf>
    <xf numFmtId="3" fontId="3" fillId="0" borderId="29" xfId="0" applyNumberFormat="1" applyFont="1" applyBorder="1" applyAlignment="1">
      <alignment horizontal="right" vertical="center"/>
    </xf>
    <xf numFmtId="3" fontId="3" fillId="0" borderId="30" xfId="0" applyNumberFormat="1" applyFont="1" applyBorder="1" applyAlignment="1">
      <alignment horizontal="left" vertical="center"/>
    </xf>
    <xf numFmtId="176" fontId="4" fillId="0" borderId="29" xfId="0" applyNumberFormat="1" applyFont="1" applyBorder="1" applyAlignment="1">
      <alignment vertical="center"/>
    </xf>
    <xf numFmtId="179" fontId="4" fillId="0" borderId="29" xfId="0" applyNumberFormat="1" applyFont="1" applyBorder="1" applyAlignment="1">
      <alignment horizontal="right" vertical="center"/>
    </xf>
    <xf numFmtId="176" fontId="4" fillId="0" borderId="23" xfId="0" applyNumberFormat="1" applyFont="1" applyBorder="1" applyAlignment="1">
      <alignment vertical="center"/>
    </xf>
    <xf numFmtId="179" fontId="4" fillId="0" borderId="23" xfId="0" applyNumberFormat="1" applyFont="1" applyBorder="1" applyAlignment="1">
      <alignment horizontal="right" vertical="center"/>
    </xf>
    <xf numFmtId="3" fontId="4" fillId="0" borderId="22" xfId="0" applyNumberFormat="1" applyFont="1" applyBorder="1" applyAlignment="1">
      <alignment horizontal="right" vertical="center"/>
    </xf>
    <xf numFmtId="3" fontId="4" fillId="0" borderId="46" xfId="0" applyNumberFormat="1" applyFont="1" applyBorder="1" applyAlignment="1">
      <alignment horizontal="left" vertical="center"/>
    </xf>
    <xf numFmtId="3" fontId="4" fillId="0" borderId="21" xfId="0" applyNumberFormat="1" applyFont="1" applyBorder="1" applyAlignment="1">
      <alignment horizontal="left" vertical="center"/>
    </xf>
    <xf numFmtId="3" fontId="4" fillId="0" borderId="0" xfId="0" applyNumberFormat="1" applyFont="1" applyAlignment="1">
      <alignment horizontal="left" vertical="center"/>
    </xf>
    <xf numFmtId="3" fontId="4" fillId="0" borderId="44" xfId="0" applyNumberFormat="1" applyFont="1" applyBorder="1" applyAlignment="1">
      <alignment horizontal="left" vertical="center"/>
    </xf>
    <xf numFmtId="3" fontId="4" fillId="0" borderId="21" xfId="0" applyNumberFormat="1" applyFont="1" applyBorder="1" applyAlignment="1">
      <alignment horizontal="right" vertical="center"/>
    </xf>
    <xf numFmtId="3" fontId="4" fillId="0" borderId="13" xfId="0" applyNumberFormat="1" applyFont="1" applyBorder="1" applyAlignment="1">
      <alignment horizontal="left" vertical="center"/>
    </xf>
    <xf numFmtId="3" fontId="4" fillId="0" borderId="37" xfId="0" applyNumberFormat="1" applyFont="1" applyBorder="1" applyAlignment="1">
      <alignment horizontal="left" vertical="center"/>
    </xf>
    <xf numFmtId="3" fontId="4" fillId="0" borderId="31" xfId="0" applyNumberFormat="1" applyFont="1" applyBorder="1" applyAlignment="1">
      <alignment horizontal="left" vertical="center"/>
    </xf>
    <xf numFmtId="3" fontId="4" fillId="0" borderId="47" xfId="0" applyNumberFormat="1" applyFont="1" applyBorder="1" applyAlignment="1">
      <alignment horizontal="left" vertical="center"/>
    </xf>
    <xf numFmtId="3" fontId="4" fillId="0" borderId="17" xfId="0" applyNumberFormat="1" applyFont="1" applyBorder="1" applyAlignment="1">
      <alignment horizontal="left" vertical="center"/>
    </xf>
    <xf numFmtId="3" fontId="4" fillId="0" borderId="10" xfId="0" applyNumberFormat="1" applyFont="1" applyBorder="1" applyAlignment="1">
      <alignment horizontal="left" vertical="center"/>
    </xf>
    <xf numFmtId="3" fontId="4" fillId="0" borderId="22" xfId="0" applyNumberFormat="1" applyFont="1" applyBorder="1" applyAlignment="1">
      <alignment horizontal="left" vertical="center"/>
    </xf>
    <xf numFmtId="14" fontId="4" fillId="0" borderId="30" xfId="0" applyNumberFormat="1" applyFont="1" applyBorder="1" applyAlignment="1">
      <alignment horizontal="left" vertical="center"/>
    </xf>
    <xf numFmtId="3" fontId="4" fillId="0" borderId="28" xfId="0" applyNumberFormat="1" applyFont="1" applyFill="1" applyBorder="1" applyAlignment="1">
      <alignment horizontal="center" vertical="center"/>
    </xf>
    <xf numFmtId="3" fontId="4" fillId="0" borderId="29" xfId="0" applyNumberFormat="1" applyFont="1" applyFill="1" applyBorder="1" applyAlignment="1">
      <alignment horizontal="left" vertical="center"/>
    </xf>
    <xf numFmtId="3" fontId="4" fillId="0" borderId="29" xfId="0" applyNumberFormat="1" applyFont="1" applyFill="1" applyBorder="1" applyAlignment="1">
      <alignment horizontal="center" vertical="center"/>
    </xf>
    <xf numFmtId="3" fontId="4" fillId="0" borderId="29" xfId="0" applyNumberFormat="1" applyFont="1" applyFill="1" applyBorder="1" applyAlignment="1">
      <alignment vertical="center"/>
    </xf>
    <xf numFmtId="0" fontId="0" fillId="0" borderId="0" xfId="0" applyFill="1"/>
    <xf numFmtId="3" fontId="0" fillId="0" borderId="0" xfId="0" applyNumberFormat="1" applyFill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vertical="center"/>
    </xf>
    <xf numFmtId="0" fontId="13" fillId="0" borderId="0" xfId="0" applyFont="1"/>
    <xf numFmtId="0" fontId="14" fillId="0" borderId="0" xfId="0" applyFont="1" applyAlignment="1">
      <alignment vertical="center"/>
    </xf>
    <xf numFmtId="3" fontId="4" fillId="0" borderId="29" xfId="0" quotePrefix="1" applyNumberFormat="1" applyFont="1" applyBorder="1" applyAlignment="1">
      <alignment horizontal="left" vertical="center"/>
    </xf>
    <xf numFmtId="9" fontId="4" fillId="0" borderId="29" xfId="0" applyNumberFormat="1" applyFont="1" applyBorder="1" applyAlignment="1">
      <alignment horizontal="right" vertical="center"/>
    </xf>
    <xf numFmtId="0" fontId="7" fillId="0" borderId="0" xfId="0" applyFont="1"/>
    <xf numFmtId="180" fontId="0" fillId="0" borderId="0" xfId="0" applyNumberFormat="1"/>
    <xf numFmtId="181" fontId="0" fillId="0" borderId="0" xfId="0" applyNumberFormat="1"/>
    <xf numFmtId="182" fontId="4" fillId="0" borderId="29" xfId="0" applyNumberFormat="1" applyFont="1" applyBorder="1" applyAlignment="1">
      <alignment vertical="center"/>
    </xf>
    <xf numFmtId="14" fontId="4" fillId="0" borderId="1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3" fontId="3" fillId="0" borderId="48" xfId="0" applyNumberFormat="1" applyFont="1" applyBorder="1" applyAlignment="1">
      <alignment horizontal="center" vertical="center"/>
    </xf>
    <xf numFmtId="3" fontId="3" fillId="0" borderId="4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/>
    <xf numFmtId="3" fontId="3" fillId="0" borderId="53" xfId="0" applyNumberFormat="1" applyFont="1" applyBorder="1" applyAlignment="1">
      <alignment horizontal="center" vertical="center"/>
    </xf>
    <xf numFmtId="3" fontId="3" fillId="0" borderId="54" xfId="0" applyNumberFormat="1" applyFont="1" applyBorder="1" applyAlignment="1">
      <alignment horizontal="center" vertical="center"/>
    </xf>
    <xf numFmtId="3" fontId="3" fillId="0" borderId="55" xfId="0" applyNumberFormat="1" applyFont="1" applyBorder="1" applyAlignment="1">
      <alignment horizontal="center" vertical="center"/>
    </xf>
    <xf numFmtId="3" fontId="3" fillId="0" borderId="26" xfId="0" applyNumberFormat="1" applyFont="1" applyBorder="1" applyAlignment="1">
      <alignment horizontal="center" vertical="center"/>
    </xf>
    <xf numFmtId="3" fontId="3" fillId="0" borderId="50" xfId="0" applyNumberFormat="1" applyFont="1" applyBorder="1" applyAlignment="1">
      <alignment horizontal="center" vertical="center"/>
    </xf>
    <xf numFmtId="3" fontId="3" fillId="0" borderId="51" xfId="0" applyNumberFormat="1" applyFont="1" applyBorder="1" applyAlignment="1">
      <alignment horizontal="center" vertical="center"/>
    </xf>
    <xf numFmtId="3" fontId="3" fillId="0" borderId="40" xfId="0" applyNumberFormat="1" applyFont="1" applyBorder="1" applyAlignment="1">
      <alignment horizontal="center" vertical="center"/>
    </xf>
    <xf numFmtId="3" fontId="3" fillId="0" borderId="52" xfId="0" applyNumberFormat="1" applyFont="1" applyBorder="1" applyAlignment="1">
      <alignment horizontal="center" vertical="center"/>
    </xf>
    <xf numFmtId="178" fontId="3" fillId="0" borderId="48" xfId="0" applyNumberFormat="1" applyFont="1" applyBorder="1" applyAlignment="1">
      <alignment horizontal="center" vertical="center"/>
    </xf>
    <xf numFmtId="178" fontId="3" fillId="0" borderId="49" xfId="0" applyNumberFormat="1" applyFont="1" applyBorder="1" applyAlignment="1">
      <alignment horizontal="center" vertical="center"/>
    </xf>
    <xf numFmtId="3" fontId="4" fillId="0" borderId="37" xfId="0" applyNumberFormat="1" applyFont="1" applyBorder="1" applyAlignment="1">
      <alignment vertical="center"/>
    </xf>
    <xf numFmtId="178" fontId="4" fillId="0" borderId="37" xfId="0" applyNumberFormat="1" applyFont="1" applyBorder="1" applyAlignment="1">
      <alignment vertical="center"/>
    </xf>
    <xf numFmtId="177" fontId="4" fillId="0" borderId="37" xfId="0" applyNumberFormat="1" applyFont="1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M41"/>
  <sheetViews>
    <sheetView showGridLines="0" topLeftCell="A22" workbookViewId="0">
      <selection activeCell="F7" sqref="F7"/>
    </sheetView>
  </sheetViews>
  <sheetFormatPr defaultRowHeight="12.75" x14ac:dyDescent="0.2"/>
  <cols>
    <col min="1" max="141" width="1.140625" customWidth="1"/>
    <col min="142" max="163" width="0.85546875" customWidth="1"/>
  </cols>
  <sheetData>
    <row r="1" spans="2:117" ht="12.6" customHeight="1" x14ac:dyDescent="0.2"/>
    <row r="2" spans="2:117" ht="12.6" customHeight="1" x14ac:dyDescent="0.2"/>
    <row r="3" spans="2:117" ht="12.6" customHeight="1" x14ac:dyDescent="0.2"/>
    <row r="4" spans="2:117" ht="12.6" customHeight="1" x14ac:dyDescent="0.2"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6"/>
    </row>
    <row r="5" spans="2:117" ht="12.6" customHeight="1" x14ac:dyDescent="0.2">
      <c r="B5" s="4"/>
      <c r="DM5" s="7"/>
    </row>
    <row r="6" spans="2:117" ht="15" customHeight="1" x14ac:dyDescent="0.2">
      <c r="B6" s="4"/>
      <c r="F6" s="119" t="s">
        <v>381</v>
      </c>
      <c r="DM6" s="7"/>
    </row>
    <row r="7" spans="2:117" ht="12.6" customHeight="1" x14ac:dyDescent="0.2">
      <c r="B7" s="4"/>
      <c r="DM7" s="7"/>
    </row>
    <row r="8" spans="2:117" ht="12.6" customHeight="1" x14ac:dyDescent="0.2">
      <c r="B8" s="4"/>
      <c r="DM8" s="7"/>
    </row>
    <row r="9" spans="2:117" ht="12.6" customHeight="1" x14ac:dyDescent="0.2">
      <c r="B9" s="4"/>
      <c r="DM9" s="7"/>
    </row>
    <row r="10" spans="2:117" ht="12.6" customHeight="1" x14ac:dyDescent="0.2">
      <c r="B10" s="4"/>
      <c r="DM10" s="7"/>
    </row>
    <row r="11" spans="2:117" ht="12.6" customHeight="1" x14ac:dyDescent="0.2">
      <c r="B11" s="4"/>
      <c r="DM11" s="7"/>
    </row>
    <row r="12" spans="2:117" ht="12.6" customHeight="1" x14ac:dyDescent="0.2">
      <c r="B12" s="4"/>
      <c r="DM12" s="7"/>
    </row>
    <row r="13" spans="2:117" ht="12.6" customHeight="1" x14ac:dyDescent="0.2">
      <c r="B13" s="4"/>
      <c r="DM13" s="7"/>
    </row>
    <row r="14" spans="2:117" ht="12.6" customHeight="1" x14ac:dyDescent="0.2">
      <c r="B14" s="4"/>
      <c r="DM14" s="7"/>
    </row>
    <row r="15" spans="2:117" ht="12.6" customHeight="1" x14ac:dyDescent="0.25">
      <c r="B15" s="4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1"/>
      <c r="CF15" s="121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DM15" s="7"/>
    </row>
    <row r="16" spans="2:117" ht="35.1" customHeight="1" x14ac:dyDescent="0.25">
      <c r="B16" s="4"/>
      <c r="S16" s="121"/>
      <c r="T16" s="121"/>
      <c r="U16" s="120" t="s">
        <v>19</v>
      </c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0" t="s">
        <v>356</v>
      </c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0" t="s">
        <v>357</v>
      </c>
      <c r="BI16" s="121"/>
      <c r="BJ16" s="121"/>
      <c r="BK16" s="121"/>
      <c r="BL16" s="121"/>
      <c r="BM16" s="120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DM16" s="7"/>
    </row>
    <row r="17" spans="2:117" ht="12.6" customHeight="1" x14ac:dyDescent="0.25">
      <c r="B17" s="4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  <c r="CV17" s="121"/>
      <c r="CW17" s="121"/>
      <c r="DM17" s="7"/>
    </row>
    <row r="18" spans="2:117" ht="12.6" customHeight="1" x14ac:dyDescent="0.2">
      <c r="B18" s="4"/>
      <c r="DM18" s="7"/>
    </row>
    <row r="19" spans="2:117" ht="12.6" customHeight="1" x14ac:dyDescent="0.2">
      <c r="B19" s="4"/>
      <c r="DM19" s="7"/>
    </row>
    <row r="20" spans="2:117" ht="12.6" customHeight="1" x14ac:dyDescent="0.2">
      <c r="B20" s="4"/>
      <c r="DM20" s="7"/>
    </row>
    <row r="21" spans="2:117" ht="12.6" customHeight="1" x14ac:dyDescent="0.2">
      <c r="B21" s="4"/>
      <c r="DM21" s="7"/>
    </row>
    <row r="22" spans="2:117" ht="12.6" customHeight="1" x14ac:dyDescent="0.2">
      <c r="B22" s="4"/>
      <c r="DM22" s="7"/>
    </row>
    <row r="23" spans="2:117" ht="12.6" customHeight="1" x14ac:dyDescent="0.2">
      <c r="B23" s="4"/>
      <c r="DM23" s="7"/>
    </row>
    <row r="24" spans="2:117" ht="12.6" customHeight="1" x14ac:dyDescent="0.2">
      <c r="B24" s="4"/>
      <c r="DM24" s="7"/>
    </row>
    <row r="25" spans="2:117" ht="12.6" customHeight="1" x14ac:dyDescent="0.2">
      <c r="B25" s="4"/>
      <c r="DM25" s="7"/>
    </row>
    <row r="26" spans="2:117" ht="12.6" customHeight="1" x14ac:dyDescent="0.2">
      <c r="B26" s="4"/>
      <c r="DM26" s="7"/>
    </row>
    <row r="27" spans="2:117" ht="12.6" customHeight="1" x14ac:dyDescent="0.2">
      <c r="B27" s="4"/>
      <c r="DM27" s="7"/>
    </row>
    <row r="28" spans="2:117" ht="12.6" customHeight="1" x14ac:dyDescent="0.5">
      <c r="B28" s="4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2"/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2"/>
      <c r="BE28" s="122"/>
      <c r="BF28" s="122"/>
      <c r="BG28" s="122"/>
      <c r="BH28" s="122"/>
      <c r="BI28" s="122"/>
      <c r="BJ28" s="122"/>
      <c r="BK28" s="122"/>
      <c r="BL28" s="122"/>
      <c r="BM28" s="122"/>
      <c r="BN28" s="122"/>
      <c r="BO28" s="122"/>
      <c r="BP28" s="122"/>
      <c r="BQ28" s="122"/>
      <c r="BR28" s="122"/>
      <c r="BS28" s="122"/>
      <c r="BT28" s="122"/>
      <c r="BU28" s="122"/>
      <c r="BV28" s="122"/>
      <c r="BW28" s="122"/>
      <c r="BX28" s="122"/>
      <c r="BY28" s="122"/>
      <c r="BZ28" s="122"/>
      <c r="CA28" s="122"/>
      <c r="CB28" s="122"/>
      <c r="CC28" s="122"/>
      <c r="CD28" s="122"/>
      <c r="DM28" s="7"/>
    </row>
    <row r="29" spans="2:117" ht="15" customHeight="1" x14ac:dyDescent="0.5">
      <c r="B29" s="4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3" t="s">
        <v>102</v>
      </c>
      <c r="AX29" s="122"/>
      <c r="AY29" s="122"/>
      <c r="AZ29" s="122"/>
      <c r="BA29" s="122"/>
      <c r="BB29" s="122"/>
      <c r="BC29" s="122"/>
      <c r="BD29" s="122"/>
      <c r="BE29" s="122"/>
      <c r="BF29" s="123" t="s">
        <v>106</v>
      </c>
      <c r="BG29" s="122"/>
      <c r="BH29" s="122"/>
      <c r="BI29" s="122"/>
      <c r="BJ29" s="122"/>
      <c r="BK29" s="122"/>
      <c r="BL29" s="122"/>
      <c r="BM29" s="122"/>
      <c r="BN29" s="122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DM29" s="7"/>
    </row>
    <row r="30" spans="2:117" ht="12.6" customHeight="1" x14ac:dyDescent="0.5">
      <c r="B30" s="4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  <c r="AP30" s="122"/>
      <c r="AQ30" s="122"/>
      <c r="AR30" s="122"/>
      <c r="AS30" s="122"/>
      <c r="AT30" s="122"/>
      <c r="AU30" s="122"/>
      <c r="AV30" s="122"/>
      <c r="AW30" s="122"/>
      <c r="AX30" s="122"/>
      <c r="AY30" s="122"/>
      <c r="AZ30" s="122"/>
      <c r="BA30" s="122"/>
      <c r="BB30" s="122"/>
      <c r="BC30" s="122"/>
      <c r="BD30" s="122"/>
      <c r="BE30" s="122"/>
      <c r="BF30" s="122"/>
      <c r="BG30" s="122"/>
      <c r="BH30" s="122"/>
      <c r="BI30" s="122"/>
      <c r="BJ30" s="122"/>
      <c r="BK30" s="122"/>
      <c r="BL30" s="122"/>
      <c r="BM30" s="122"/>
      <c r="BN30" s="122"/>
      <c r="BO30" s="122"/>
      <c r="BP30" s="122"/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22"/>
      <c r="CC30" s="122"/>
      <c r="CD30" s="122"/>
      <c r="DM30" s="7"/>
    </row>
    <row r="31" spans="2:117" ht="12.6" customHeight="1" x14ac:dyDescent="0.5">
      <c r="B31" s="4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2"/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2"/>
      <c r="BE31" s="122"/>
      <c r="BF31" s="122"/>
      <c r="BG31" s="122"/>
      <c r="BH31" s="122"/>
      <c r="BI31" s="122"/>
      <c r="BJ31" s="122"/>
      <c r="BK31" s="122"/>
      <c r="BL31" s="122"/>
      <c r="BM31" s="122"/>
      <c r="BN31" s="122"/>
      <c r="BO31" s="122"/>
      <c r="BP31" s="122"/>
      <c r="BQ31" s="122"/>
      <c r="BR31" s="122"/>
      <c r="BS31" s="122"/>
      <c r="BT31" s="122"/>
      <c r="BU31" s="122"/>
      <c r="BV31" s="122"/>
      <c r="BW31" s="122"/>
      <c r="BX31" s="122"/>
      <c r="BY31" s="122"/>
      <c r="BZ31" s="122"/>
      <c r="CA31" s="122"/>
      <c r="CB31" s="122"/>
      <c r="CC31" s="122"/>
      <c r="CD31" s="122"/>
      <c r="DM31" s="7"/>
    </row>
    <row r="32" spans="2:117" ht="12.6" customHeight="1" x14ac:dyDescent="0.5">
      <c r="B32" s="4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DM32" s="7"/>
    </row>
    <row r="33" spans="2:117" ht="12.6" customHeight="1" x14ac:dyDescent="0.5">
      <c r="B33" s="4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DM33" s="7"/>
    </row>
    <row r="34" spans="2:117" ht="12.6" customHeight="1" x14ac:dyDescent="0.2">
      <c r="B34" s="4"/>
      <c r="DM34" s="7"/>
    </row>
    <row r="35" spans="2:117" ht="12.6" customHeight="1" x14ac:dyDescent="0.2">
      <c r="B35" s="4"/>
      <c r="DM35" s="7"/>
    </row>
    <row r="36" spans="2:117" ht="12.6" customHeight="1" x14ac:dyDescent="0.2">
      <c r="B36" s="4"/>
      <c r="DM36" s="7"/>
    </row>
    <row r="37" spans="2:117" ht="12.6" customHeight="1" x14ac:dyDescent="0.2">
      <c r="B37" s="4"/>
      <c r="DM37" s="7"/>
    </row>
    <row r="38" spans="2:117" ht="12.6" customHeight="1" x14ac:dyDescent="0.2">
      <c r="B38" s="4"/>
      <c r="DM38" s="7"/>
    </row>
    <row r="39" spans="2:117" ht="12.6" customHeight="1" x14ac:dyDescent="0.2">
      <c r="B39" s="4"/>
      <c r="DM39" s="7"/>
    </row>
    <row r="40" spans="2:117" ht="12.6" customHeight="1" x14ac:dyDescent="0.2"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8"/>
    </row>
    <row r="41" spans="2:117" ht="12.6" customHeight="1" x14ac:dyDescent="0.2"/>
  </sheetData>
  <phoneticPr fontId="6" type="noConversion"/>
  <pageMargins left="0.98425196850393704" right="7.874015748031496E-2" top="0.27559055118110237" bottom="0.78740157480314965" header="0.5" footer="0.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DN41"/>
  <sheetViews>
    <sheetView showGridLines="0" topLeftCell="A25" workbookViewId="0">
      <selection activeCell="BX6" sqref="BX6"/>
    </sheetView>
  </sheetViews>
  <sheetFormatPr defaultRowHeight="12.75" x14ac:dyDescent="0.2"/>
  <cols>
    <col min="1" max="141" width="1.140625" customWidth="1"/>
  </cols>
  <sheetData>
    <row r="1" spans="3:118" ht="12.6" customHeight="1" x14ac:dyDescent="0.2"/>
    <row r="2" spans="3:118" ht="12.6" customHeight="1" x14ac:dyDescent="0.2"/>
    <row r="3" spans="3:118" ht="12.6" customHeight="1" x14ac:dyDescent="0.2">
      <c r="C3" s="3" t="s">
        <v>153</v>
      </c>
      <c r="D3" s="1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5" t="s">
        <v>185</v>
      </c>
      <c r="V3" s="12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5" t="s">
        <v>169</v>
      </c>
      <c r="AN3" s="12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5" t="s">
        <v>173</v>
      </c>
      <c r="BF3" s="12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2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6"/>
    </row>
    <row r="4" spans="3:118" ht="12.6" customHeight="1" x14ac:dyDescent="0.2">
      <c r="C4" s="4"/>
      <c r="D4" s="13"/>
      <c r="U4" s="16"/>
      <c r="V4" s="13"/>
      <c r="AM4" s="16"/>
      <c r="AN4" s="13"/>
      <c r="BE4" s="16"/>
      <c r="BF4" s="13"/>
      <c r="BW4" s="13"/>
      <c r="DN4" s="7"/>
    </row>
    <row r="5" spans="3:118" ht="12.6" customHeight="1" x14ac:dyDescent="0.2">
      <c r="C5" s="4"/>
      <c r="D5" s="13"/>
      <c r="U5" s="16"/>
      <c r="V5" s="13"/>
      <c r="AM5" s="16" t="s">
        <v>119</v>
      </c>
      <c r="AN5" s="13"/>
      <c r="BE5" s="16" t="s">
        <v>185</v>
      </c>
      <c r="BF5" s="13"/>
      <c r="BW5" s="13"/>
      <c r="BX5" s="133" t="s">
        <v>383</v>
      </c>
      <c r="BY5" s="133"/>
      <c r="BZ5" s="133"/>
      <c r="CA5" s="133"/>
      <c r="CB5" s="133"/>
      <c r="CC5" s="133"/>
      <c r="CD5" s="133"/>
      <c r="CE5" s="133"/>
      <c r="CF5" s="133"/>
      <c r="CG5" s="133"/>
      <c r="CH5" s="133"/>
      <c r="CI5" s="133"/>
      <c r="CJ5" s="133"/>
      <c r="CK5" s="133"/>
      <c r="CL5" s="133"/>
      <c r="CM5" s="133"/>
      <c r="CN5" s="133"/>
      <c r="CO5" s="133"/>
      <c r="CP5" s="133"/>
      <c r="CQ5" s="133"/>
      <c r="CR5" s="133"/>
      <c r="CS5" s="133"/>
      <c r="CT5" s="133"/>
      <c r="CU5" s="133"/>
      <c r="CV5" s="133"/>
      <c r="CW5" s="133"/>
      <c r="CX5" s="133"/>
      <c r="CY5" s="133"/>
      <c r="CZ5" s="133"/>
      <c r="DA5" s="133"/>
      <c r="DB5" s="133"/>
      <c r="DC5" s="133"/>
      <c r="DD5" s="133"/>
      <c r="DE5" s="133"/>
      <c r="DF5" s="133"/>
      <c r="DG5" s="133"/>
      <c r="DH5" s="133"/>
      <c r="DI5" s="133"/>
      <c r="DJ5" s="133"/>
      <c r="DK5" s="133"/>
      <c r="DL5" s="133"/>
      <c r="DM5" s="133"/>
      <c r="DN5" s="134"/>
    </row>
    <row r="6" spans="3:118" ht="12.6" customHeight="1" x14ac:dyDescent="0.2">
      <c r="C6" s="4"/>
      <c r="D6" s="13"/>
      <c r="U6" s="16"/>
      <c r="V6" s="13"/>
      <c r="AM6" s="16"/>
      <c r="AN6" s="13"/>
      <c r="BE6" s="16"/>
      <c r="BF6" s="13"/>
      <c r="BW6" s="13"/>
      <c r="DN6" s="7"/>
    </row>
    <row r="7" spans="3:118" ht="12.6" customHeight="1" x14ac:dyDescent="0.2">
      <c r="C7" s="9" t="s">
        <v>252</v>
      </c>
      <c r="D7" s="14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7" t="s">
        <v>252</v>
      </c>
      <c r="V7" s="14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7" t="s">
        <v>9</v>
      </c>
      <c r="AN7" s="14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7" t="s">
        <v>9</v>
      </c>
      <c r="BF7" s="14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4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1"/>
    </row>
    <row r="8" spans="3:118" ht="12.6" customHeight="1" x14ac:dyDescent="0.2">
      <c r="C8" s="4"/>
      <c r="DN8" s="7"/>
    </row>
    <row r="9" spans="3:118" ht="12.6" customHeight="1" x14ac:dyDescent="0.2">
      <c r="C9" s="4"/>
      <c r="DN9" s="7"/>
    </row>
    <row r="10" spans="3:118" ht="12.6" customHeight="1" x14ac:dyDescent="0.25">
      <c r="C10" s="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24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N10" s="7"/>
    </row>
    <row r="11" spans="3:118" ht="17.100000000000001" customHeight="1" x14ac:dyDescent="0.25">
      <c r="C11" s="4"/>
      <c r="E11" s="124"/>
      <c r="F11" s="125" t="s">
        <v>382</v>
      </c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4"/>
      <c r="BN11" s="124"/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N11" s="7"/>
    </row>
    <row r="12" spans="3:118" ht="12.6" customHeight="1" x14ac:dyDescent="0.25">
      <c r="C12" s="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/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N12" s="7"/>
    </row>
    <row r="13" spans="3:118" ht="12.6" customHeight="1" x14ac:dyDescent="0.25">
      <c r="C13" s="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24"/>
      <c r="BZ13" s="124"/>
      <c r="CA13" s="124"/>
      <c r="CB13" s="124"/>
      <c r="CC13" s="124"/>
      <c r="CD13" s="124"/>
      <c r="CE13" s="124"/>
      <c r="CF13" s="124"/>
      <c r="CG13" s="124"/>
      <c r="CH13" s="124"/>
      <c r="CI13" s="124"/>
      <c r="CJ13" s="124"/>
      <c r="CK13" s="124"/>
      <c r="CL13" s="124"/>
      <c r="CM13" s="124"/>
      <c r="CN13" s="124"/>
      <c r="CO13" s="124"/>
      <c r="CP13" s="124"/>
      <c r="CQ13" s="124"/>
      <c r="CR13" s="124"/>
      <c r="CS13" s="124"/>
      <c r="CT13" s="124"/>
      <c r="CU13" s="124"/>
      <c r="CV13" s="124"/>
      <c r="CW13" s="124"/>
      <c r="CX13" s="124"/>
      <c r="CY13" s="124"/>
      <c r="CZ13" s="124"/>
      <c r="DA13" s="124"/>
      <c r="DB13" s="124"/>
      <c r="DC13" s="124"/>
      <c r="DN13" s="7"/>
    </row>
    <row r="14" spans="3:118" ht="12.6" customHeight="1" x14ac:dyDescent="0.25">
      <c r="C14" s="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N14" s="7"/>
    </row>
    <row r="15" spans="3:118" ht="12.6" customHeight="1" x14ac:dyDescent="0.25">
      <c r="C15" s="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N15" s="7"/>
    </row>
    <row r="16" spans="3:118" ht="35.1" customHeight="1" x14ac:dyDescent="0.25">
      <c r="C16" s="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0" t="s">
        <v>19</v>
      </c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0" t="s">
        <v>358</v>
      </c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0" t="s">
        <v>210</v>
      </c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4"/>
      <c r="CF16" s="124"/>
      <c r="CG16" s="124"/>
      <c r="CH16" s="124"/>
      <c r="CI16" s="124"/>
      <c r="CJ16" s="124"/>
      <c r="CK16" s="124"/>
      <c r="CL16" s="124"/>
      <c r="CM16" s="124"/>
      <c r="CN16" s="124"/>
      <c r="CO16" s="124"/>
      <c r="CP16" s="124"/>
      <c r="CQ16" s="124"/>
      <c r="CR16" s="124"/>
      <c r="CS16" s="124"/>
      <c r="CT16" s="124"/>
      <c r="CU16" s="124"/>
      <c r="CV16" s="124"/>
      <c r="CW16" s="124"/>
      <c r="CX16" s="124"/>
      <c r="CY16" s="124"/>
      <c r="CZ16" s="124"/>
      <c r="DA16" s="124"/>
      <c r="DB16" s="124"/>
      <c r="DC16" s="124"/>
      <c r="DN16" s="7"/>
    </row>
    <row r="17" spans="3:118" ht="15" customHeight="1" x14ac:dyDescent="0.25">
      <c r="C17" s="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24"/>
      <c r="CV17" s="124"/>
      <c r="CW17" s="124"/>
      <c r="CX17" s="124"/>
      <c r="CY17" s="124"/>
      <c r="CZ17" s="124"/>
      <c r="DA17" s="124"/>
      <c r="DB17" s="124"/>
      <c r="DC17" s="124"/>
      <c r="DN17" s="7"/>
    </row>
    <row r="18" spans="3:118" ht="12.6" customHeight="1" x14ac:dyDescent="0.25">
      <c r="C18" s="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N18" s="7"/>
    </row>
    <row r="19" spans="3:118" ht="12.6" customHeight="1" x14ac:dyDescent="0.25">
      <c r="C19" s="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24"/>
      <c r="CV19" s="124"/>
      <c r="CW19" s="124"/>
      <c r="CX19" s="124"/>
      <c r="CY19" s="124"/>
      <c r="CZ19" s="124"/>
      <c r="DA19" s="124"/>
      <c r="DB19" s="124"/>
      <c r="DC19" s="124"/>
      <c r="DN19" s="7"/>
    </row>
    <row r="20" spans="3:118" ht="12.6" customHeight="1" x14ac:dyDescent="0.25">
      <c r="C20" s="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N20" s="7"/>
    </row>
    <row r="21" spans="3:118" ht="12.6" customHeight="1" x14ac:dyDescent="0.25">
      <c r="C21" s="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24"/>
      <c r="BL21" s="124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24"/>
      <c r="BZ21" s="124"/>
      <c r="CA21" s="124"/>
      <c r="CB21" s="124"/>
      <c r="CC21" s="124"/>
      <c r="CD21" s="124"/>
      <c r="CE21" s="124"/>
      <c r="CF21" s="124"/>
      <c r="CG21" s="124"/>
      <c r="CH21" s="124"/>
      <c r="CI21" s="124"/>
      <c r="CJ21" s="124"/>
      <c r="CK21" s="124"/>
      <c r="CL21" s="124"/>
      <c r="CM21" s="124"/>
      <c r="CN21" s="124"/>
      <c r="CO21" s="124"/>
      <c r="CP21" s="124"/>
      <c r="CQ21" s="124"/>
      <c r="CR21" s="124"/>
      <c r="CS21" s="124"/>
      <c r="CT21" s="124"/>
      <c r="CU21" s="124"/>
      <c r="CV21" s="124"/>
      <c r="CW21" s="124"/>
      <c r="CX21" s="124"/>
      <c r="CY21" s="124"/>
      <c r="CZ21" s="124"/>
      <c r="DA21" s="124"/>
      <c r="DB21" s="124"/>
      <c r="DC21" s="124"/>
      <c r="DN21" s="7"/>
    </row>
    <row r="22" spans="3:118" ht="12.6" customHeight="1" x14ac:dyDescent="0.25">
      <c r="C22" s="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N22" s="7"/>
    </row>
    <row r="23" spans="3:118" ht="12.6" customHeight="1" x14ac:dyDescent="0.25">
      <c r="C23" s="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/>
      <c r="CS23" s="124"/>
      <c r="CT23" s="124"/>
      <c r="CU23" s="124"/>
      <c r="CV23" s="124"/>
      <c r="CW23" s="124"/>
      <c r="CX23" s="124"/>
      <c r="CY23" s="124"/>
      <c r="CZ23" s="124"/>
      <c r="DA23" s="124"/>
      <c r="DB23" s="124"/>
      <c r="DC23" s="124"/>
      <c r="DN23" s="7"/>
    </row>
    <row r="24" spans="3:118" ht="12.6" customHeight="1" x14ac:dyDescent="0.25">
      <c r="C24" s="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N24" s="7"/>
    </row>
    <row r="25" spans="3:118" ht="12.6" customHeight="1" x14ac:dyDescent="0.25">
      <c r="C25" s="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Y25" s="124"/>
      <c r="CZ25" s="124"/>
      <c r="DA25" s="124"/>
      <c r="DB25" s="124"/>
      <c r="DC25" s="124"/>
      <c r="DN25" s="7"/>
    </row>
    <row r="26" spans="3:118" ht="12.6" customHeight="1" x14ac:dyDescent="0.25">
      <c r="C26" s="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N26" s="7"/>
    </row>
    <row r="27" spans="3:118" ht="12.6" customHeight="1" x14ac:dyDescent="0.25">
      <c r="C27" s="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4"/>
      <c r="CJ27" s="124"/>
      <c r="CK27" s="124"/>
      <c r="CL27" s="124"/>
      <c r="CM27" s="124"/>
      <c r="CN27" s="124"/>
      <c r="CO27" s="124"/>
      <c r="CP27" s="124"/>
      <c r="CQ27" s="124"/>
      <c r="CR27" s="124"/>
      <c r="CS27" s="124"/>
      <c r="CT27" s="124"/>
      <c r="CU27" s="124"/>
      <c r="CV27" s="124"/>
      <c r="CW27" s="124"/>
      <c r="CX27" s="124"/>
      <c r="CY27" s="124"/>
      <c r="CZ27" s="124"/>
      <c r="DA27" s="124"/>
      <c r="DB27" s="124"/>
      <c r="DC27" s="124"/>
      <c r="DN27" s="7"/>
    </row>
    <row r="28" spans="3:118" ht="12.6" customHeight="1" x14ac:dyDescent="0.25">
      <c r="C28" s="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N28" s="7"/>
    </row>
    <row r="29" spans="3:118" ht="12.6" customHeight="1" x14ac:dyDescent="0.25">
      <c r="C29" s="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4"/>
      <c r="CJ29" s="124"/>
      <c r="CK29" s="124"/>
      <c r="CL29" s="124"/>
      <c r="CM29" s="124"/>
      <c r="CN29" s="124"/>
      <c r="CO29" s="124"/>
      <c r="CP29" s="124"/>
      <c r="CQ29" s="124"/>
      <c r="CR29" s="124"/>
      <c r="CS29" s="124"/>
      <c r="CT29" s="124"/>
      <c r="CU29" s="124"/>
      <c r="CV29" s="124"/>
      <c r="CW29" s="124"/>
      <c r="CX29" s="124"/>
      <c r="CY29" s="124"/>
      <c r="CZ29" s="124"/>
      <c r="DA29" s="124"/>
      <c r="DB29" s="124"/>
      <c r="DC29" s="124"/>
      <c r="DN29" s="7"/>
    </row>
    <row r="30" spans="3:118" ht="20.25" x14ac:dyDescent="0.25">
      <c r="C30" s="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19" t="s">
        <v>102</v>
      </c>
      <c r="AX30" s="124"/>
      <c r="AY30" s="124"/>
      <c r="AZ30" s="124"/>
      <c r="BA30" s="124"/>
      <c r="BB30" s="124"/>
      <c r="BC30" s="124"/>
      <c r="BD30" s="124"/>
      <c r="BE30" s="124"/>
      <c r="BF30" s="119" t="s">
        <v>106</v>
      </c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N30" s="7"/>
    </row>
    <row r="31" spans="3:118" ht="12.6" customHeight="1" x14ac:dyDescent="0.25">
      <c r="C31" s="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N31" s="7"/>
    </row>
    <row r="32" spans="3:118" ht="12.6" customHeight="1" x14ac:dyDescent="0.25">
      <c r="C32" s="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N32" s="7"/>
    </row>
    <row r="33" spans="3:118" ht="12.6" customHeight="1" x14ac:dyDescent="0.25">
      <c r="C33" s="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24"/>
      <c r="BZ33" s="124"/>
      <c r="CA33" s="124"/>
      <c r="CB33" s="124"/>
      <c r="CC33" s="124"/>
      <c r="CD33" s="124"/>
      <c r="CE33" s="124"/>
      <c r="CF33" s="124"/>
      <c r="CG33" s="124"/>
      <c r="CH33" s="124"/>
      <c r="CI33" s="124"/>
      <c r="CJ33" s="124"/>
      <c r="CK33" s="124"/>
      <c r="CL33" s="124"/>
      <c r="CM33" s="124"/>
      <c r="CN33" s="124"/>
      <c r="CO33" s="124"/>
      <c r="CP33" s="124"/>
      <c r="CQ33" s="124"/>
      <c r="CR33" s="124"/>
      <c r="CS33" s="124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N33" s="7"/>
    </row>
    <row r="34" spans="3:118" ht="12.6" customHeight="1" x14ac:dyDescent="0.25">
      <c r="C34" s="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4"/>
      <c r="CF34" s="124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Q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N34" s="7"/>
    </row>
    <row r="35" spans="3:118" ht="12.6" customHeight="1" x14ac:dyDescent="0.25">
      <c r="C35" s="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24"/>
      <c r="CA35" s="124"/>
      <c r="CB35" s="124"/>
      <c r="CC35" s="124"/>
      <c r="CD35" s="124"/>
      <c r="CE35" s="124"/>
      <c r="CF35" s="124"/>
      <c r="CG35" s="124"/>
      <c r="CH35" s="124"/>
      <c r="CI35" s="124"/>
      <c r="CJ35" s="124"/>
      <c r="CK35" s="124"/>
      <c r="CL35" s="124"/>
      <c r="CM35" s="124"/>
      <c r="CN35" s="124"/>
      <c r="CO35" s="124"/>
      <c r="CP35" s="124"/>
      <c r="CQ35" s="124"/>
      <c r="CR35" s="124"/>
      <c r="CS35" s="124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N35" s="7"/>
    </row>
    <row r="36" spans="3:118" ht="12.6" customHeight="1" x14ac:dyDescent="0.2">
      <c r="C36" s="4"/>
      <c r="DN36" s="7"/>
    </row>
    <row r="37" spans="3:118" ht="12.6" customHeight="1" x14ac:dyDescent="0.2">
      <c r="C37" s="4"/>
      <c r="DN37" s="7"/>
    </row>
    <row r="38" spans="3:118" ht="12.6" customHeight="1" x14ac:dyDescent="0.2">
      <c r="C38" s="4"/>
      <c r="DN38" s="7"/>
    </row>
    <row r="39" spans="3:118" ht="12.6" customHeight="1" x14ac:dyDescent="0.2">
      <c r="C39" s="5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8"/>
    </row>
    <row r="40" spans="3:118" ht="12.6" customHeight="1" x14ac:dyDescent="0.2"/>
    <row r="41" spans="3:118" ht="12.6" customHeight="1" x14ac:dyDescent="0.2"/>
  </sheetData>
  <mergeCells count="1">
    <mergeCell ref="BX5:DN5"/>
  </mergeCells>
  <phoneticPr fontId="6" type="noConversion"/>
  <pageMargins left="0.78740157480314965" right="7.874015748031496E-2" top="0.27559055118110237" bottom="0.78740157480314965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52"/>
  <sheetViews>
    <sheetView workbookViewId="0">
      <pane ySplit="3" topLeftCell="A13" activePane="bottomLeft" state="frozen"/>
      <selection pane="bottomLeft" activeCell="B1" sqref="B1:H33"/>
    </sheetView>
  </sheetViews>
  <sheetFormatPr defaultRowHeight="12.75" x14ac:dyDescent="0.2"/>
  <cols>
    <col min="1" max="1" width="0.7109375" customWidth="1"/>
    <col min="2" max="3" width="2.7109375" customWidth="1"/>
    <col min="4" max="4" width="19.28515625" customWidth="1"/>
    <col min="5" max="5" width="4.7109375" customWidth="1"/>
    <col min="6" max="6" width="15.42578125" customWidth="1"/>
    <col min="7" max="7" width="5.42578125" customWidth="1"/>
    <col min="8" max="8" width="35.5703125" customWidth="1"/>
  </cols>
  <sheetData>
    <row r="1" spans="2:8" ht="24.95" customHeight="1" x14ac:dyDescent="0.2">
      <c r="B1" s="137" t="s">
        <v>190</v>
      </c>
      <c r="C1" s="137"/>
      <c r="D1" s="137"/>
      <c r="E1" s="137"/>
      <c r="F1" s="137"/>
      <c r="G1" s="137"/>
      <c r="H1" s="137"/>
    </row>
    <row r="2" spans="2:8" ht="9.9499999999999993" customHeight="1" x14ac:dyDescent="0.2">
      <c r="B2" s="138"/>
      <c r="C2" s="138"/>
      <c r="D2" s="138"/>
      <c r="E2" s="138"/>
      <c r="F2" s="138"/>
      <c r="G2" s="138"/>
      <c r="H2" s="138"/>
    </row>
    <row r="3" spans="2:8" ht="33.6" customHeight="1" x14ac:dyDescent="0.2">
      <c r="B3" s="135" t="s">
        <v>50</v>
      </c>
      <c r="C3" s="136"/>
      <c r="D3" s="136"/>
      <c r="E3" s="18" t="s">
        <v>26</v>
      </c>
      <c r="F3" s="19" t="s">
        <v>159</v>
      </c>
      <c r="G3" s="19" t="s">
        <v>129</v>
      </c>
      <c r="H3" s="20" t="s">
        <v>343</v>
      </c>
    </row>
    <row r="4" spans="2:8" ht="22.35" customHeight="1" x14ac:dyDescent="0.2">
      <c r="B4" s="100" t="s">
        <v>350</v>
      </c>
      <c r="C4" s="101" t="s">
        <v>330</v>
      </c>
      <c r="D4" s="102" t="s">
        <v>203</v>
      </c>
      <c r="E4" s="103" t="s">
        <v>100</v>
      </c>
      <c r="F4" s="21"/>
      <c r="G4" s="104" t="s">
        <v>350</v>
      </c>
      <c r="H4" s="105" t="s">
        <v>350</v>
      </c>
    </row>
    <row r="5" spans="2:8" ht="22.35" customHeight="1" x14ac:dyDescent="0.2">
      <c r="B5" s="100" t="s">
        <v>350</v>
      </c>
      <c r="C5" s="101" t="s">
        <v>338</v>
      </c>
      <c r="D5" s="102" t="s">
        <v>321</v>
      </c>
      <c r="E5" s="103" t="s">
        <v>325</v>
      </c>
      <c r="F5" s="104" t="str">
        <f>내역서!L96</f>
        <v>511,395</v>
      </c>
      <c r="G5" s="104" t="s">
        <v>350</v>
      </c>
      <c r="H5" s="105" t="s">
        <v>350</v>
      </c>
    </row>
    <row r="6" spans="2:8" ht="22.35" customHeight="1" x14ac:dyDescent="0.2">
      <c r="B6" s="100" t="s">
        <v>350</v>
      </c>
      <c r="C6" s="101" t="s">
        <v>187</v>
      </c>
      <c r="D6" s="106" t="s">
        <v>147</v>
      </c>
      <c r="E6" s="107" t="s">
        <v>139</v>
      </c>
      <c r="F6" s="35"/>
      <c r="G6" s="69" t="s">
        <v>350</v>
      </c>
      <c r="H6" s="36" t="s">
        <v>350</v>
      </c>
    </row>
    <row r="7" spans="2:8" ht="22.35" customHeight="1" x14ac:dyDescent="0.2">
      <c r="B7" s="100" t="s">
        <v>350</v>
      </c>
      <c r="C7" s="33" t="s">
        <v>350</v>
      </c>
      <c r="D7" s="106" t="s">
        <v>213</v>
      </c>
      <c r="E7" s="107" t="s">
        <v>154</v>
      </c>
      <c r="F7" s="35">
        <f>TRUNC((F4+F5+F6),0)</f>
        <v>511395</v>
      </c>
      <c r="G7" s="69" t="s">
        <v>350</v>
      </c>
      <c r="H7" s="36" t="s">
        <v>280</v>
      </c>
    </row>
    <row r="8" spans="2:8" ht="22.35" customHeight="1" x14ac:dyDescent="0.2">
      <c r="B8" s="100" t="s">
        <v>241</v>
      </c>
      <c r="C8" s="101" t="s">
        <v>306</v>
      </c>
      <c r="D8" s="102" t="s">
        <v>235</v>
      </c>
      <c r="E8" s="103" t="s">
        <v>262</v>
      </c>
      <c r="F8" s="104" t="str">
        <f>내역서!J96</f>
        <v>8,064,800</v>
      </c>
      <c r="G8" s="104" t="s">
        <v>350</v>
      </c>
      <c r="H8" s="105" t="s">
        <v>350</v>
      </c>
    </row>
    <row r="9" spans="2:8" ht="22.35" customHeight="1" x14ac:dyDescent="0.2">
      <c r="B9" s="100" t="s">
        <v>255</v>
      </c>
      <c r="C9" s="101" t="s">
        <v>326</v>
      </c>
      <c r="D9" s="106" t="s">
        <v>300</v>
      </c>
      <c r="E9" s="107" t="s">
        <v>111</v>
      </c>
      <c r="F9" s="35">
        <f>TRUNC(F8*0.116,0)</f>
        <v>935516</v>
      </c>
      <c r="G9" s="69" t="s">
        <v>263</v>
      </c>
      <c r="H9" s="36" t="s">
        <v>91</v>
      </c>
    </row>
    <row r="10" spans="2:8" ht="22.35" customHeight="1" x14ac:dyDescent="0.2">
      <c r="B10" s="100" t="s">
        <v>241</v>
      </c>
      <c r="C10" s="33" t="s">
        <v>187</v>
      </c>
      <c r="D10" s="106" t="s">
        <v>213</v>
      </c>
      <c r="E10" s="107" t="s">
        <v>270</v>
      </c>
      <c r="F10" s="35">
        <f>TRUNC((F8+F9),0)</f>
        <v>9000316</v>
      </c>
      <c r="G10" s="69" t="s">
        <v>350</v>
      </c>
      <c r="H10" s="36" t="s">
        <v>118</v>
      </c>
    </row>
    <row r="11" spans="2:8" ht="22.35" customHeight="1" x14ac:dyDescent="0.2">
      <c r="B11" s="100" t="s">
        <v>77</v>
      </c>
      <c r="C11" s="101" t="s">
        <v>350</v>
      </c>
      <c r="D11" s="102" t="s">
        <v>96</v>
      </c>
      <c r="E11" s="103" t="s">
        <v>315</v>
      </c>
      <c r="F11" s="104" t="str">
        <f>내역서!N96</f>
        <v>474,126</v>
      </c>
      <c r="G11" s="104" t="s">
        <v>350</v>
      </c>
      <c r="H11" s="105" t="s">
        <v>350</v>
      </c>
    </row>
    <row r="12" spans="2:8" ht="22.35" customHeight="1" x14ac:dyDescent="0.2">
      <c r="B12" s="100" t="s">
        <v>241</v>
      </c>
      <c r="C12" s="101" t="s">
        <v>350</v>
      </c>
      <c r="D12" s="102" t="s">
        <v>254</v>
      </c>
      <c r="E12" s="103" t="s">
        <v>171</v>
      </c>
      <c r="F12" s="21">
        <f>TRUNC(F10*0.039,0)</f>
        <v>351012</v>
      </c>
      <c r="G12" s="104" t="s">
        <v>245</v>
      </c>
      <c r="H12" s="105" t="s">
        <v>150</v>
      </c>
    </row>
    <row r="13" spans="2:8" ht="22.35" customHeight="1" x14ac:dyDescent="0.2">
      <c r="B13" s="100" t="s">
        <v>119</v>
      </c>
      <c r="C13" s="101" t="s">
        <v>350</v>
      </c>
      <c r="D13" s="102" t="s">
        <v>279</v>
      </c>
      <c r="E13" s="103" t="s">
        <v>316</v>
      </c>
      <c r="F13" s="21">
        <f>TRUNC(F10*0.0087,0)</f>
        <v>78302</v>
      </c>
      <c r="G13" s="104" t="s">
        <v>62</v>
      </c>
      <c r="H13" s="105" t="s">
        <v>48</v>
      </c>
    </row>
    <row r="14" spans="2:8" ht="22.35" customHeight="1" x14ac:dyDescent="0.2">
      <c r="B14" s="100" t="s">
        <v>241</v>
      </c>
      <c r="C14" s="101" t="s">
        <v>73</v>
      </c>
      <c r="D14" s="102" t="s">
        <v>194</v>
      </c>
      <c r="E14" s="103" t="s">
        <v>166</v>
      </c>
      <c r="F14" s="21"/>
      <c r="G14" s="104" t="s">
        <v>350</v>
      </c>
      <c r="H14" s="105" t="s">
        <v>350</v>
      </c>
    </row>
    <row r="15" spans="2:8" ht="22.35" customHeight="1" x14ac:dyDescent="0.2">
      <c r="B15" s="100" t="s">
        <v>202</v>
      </c>
      <c r="C15" s="101" t="s">
        <v>350</v>
      </c>
      <c r="D15" s="102" t="s">
        <v>179</v>
      </c>
      <c r="E15" s="103" t="s">
        <v>35</v>
      </c>
      <c r="F15" s="21"/>
      <c r="G15" s="104" t="s">
        <v>350</v>
      </c>
      <c r="H15" s="105" t="s">
        <v>350</v>
      </c>
    </row>
    <row r="16" spans="2:8" ht="22.35" customHeight="1" x14ac:dyDescent="0.2">
      <c r="B16" s="100" t="s">
        <v>350</v>
      </c>
      <c r="C16" s="101" t="s">
        <v>350</v>
      </c>
      <c r="D16" s="102" t="s">
        <v>195</v>
      </c>
      <c r="E16" s="103" t="s">
        <v>184</v>
      </c>
      <c r="F16" s="21"/>
      <c r="G16" s="104" t="s">
        <v>350</v>
      </c>
      <c r="H16" s="105" t="s">
        <v>350</v>
      </c>
    </row>
    <row r="17" spans="2:10" ht="22.35" customHeight="1" x14ac:dyDescent="0.2">
      <c r="B17" s="100" t="s">
        <v>257</v>
      </c>
      <c r="C17" s="101" t="s">
        <v>350</v>
      </c>
      <c r="D17" s="102" t="s">
        <v>51</v>
      </c>
      <c r="E17" s="103" t="s">
        <v>66</v>
      </c>
      <c r="F17" s="21"/>
      <c r="G17" s="104" t="s">
        <v>350</v>
      </c>
      <c r="H17" s="105" t="s">
        <v>350</v>
      </c>
    </row>
    <row r="18" spans="2:10" ht="22.35" customHeight="1" x14ac:dyDescent="0.2">
      <c r="B18" s="100" t="s">
        <v>350</v>
      </c>
      <c r="C18" s="101" t="s">
        <v>350</v>
      </c>
      <c r="D18" s="102" t="s">
        <v>174</v>
      </c>
      <c r="E18" s="103" t="s">
        <v>219</v>
      </c>
      <c r="F18" s="21">
        <f>TRUNC((F7+F8+F11)*0.0041,0)</f>
        <v>37106</v>
      </c>
      <c r="G18" s="104" t="s">
        <v>273</v>
      </c>
      <c r="H18" s="105" t="s">
        <v>117</v>
      </c>
    </row>
    <row r="19" spans="2:10" ht="22.35" customHeight="1" x14ac:dyDescent="0.2">
      <c r="B19" s="100" t="s">
        <v>241</v>
      </c>
      <c r="C19" s="101" t="s">
        <v>350</v>
      </c>
      <c r="D19" s="102" t="s">
        <v>212</v>
      </c>
      <c r="E19" s="103" t="s">
        <v>7</v>
      </c>
      <c r="F19" s="21">
        <f>TRUNC((F7+F8+F31/1.1)*0.0293,0)</f>
        <v>251282</v>
      </c>
      <c r="G19" s="104" t="s">
        <v>134</v>
      </c>
      <c r="H19" s="105" t="s">
        <v>8</v>
      </c>
    </row>
    <row r="20" spans="2:10" ht="22.35" customHeight="1" x14ac:dyDescent="0.2">
      <c r="B20" s="100" t="s">
        <v>350</v>
      </c>
      <c r="C20" s="101" t="s">
        <v>350</v>
      </c>
      <c r="D20" s="102" t="s">
        <v>176</v>
      </c>
      <c r="E20" s="103" t="s">
        <v>193</v>
      </c>
      <c r="F20" s="21">
        <f>TRUNC((F7+F8+F11)*0.008,0)</f>
        <v>72402</v>
      </c>
      <c r="G20" s="104" t="s">
        <v>23</v>
      </c>
      <c r="H20" s="105" t="s">
        <v>278</v>
      </c>
    </row>
    <row r="21" spans="2:10" ht="22.35" customHeight="1" x14ac:dyDescent="0.2">
      <c r="B21" s="100" t="s">
        <v>350</v>
      </c>
      <c r="C21" s="101" t="s">
        <v>350</v>
      </c>
      <c r="D21" s="102" t="s">
        <v>277</v>
      </c>
      <c r="E21" s="103" t="s">
        <v>55</v>
      </c>
      <c r="F21" s="21"/>
      <c r="G21" s="104" t="s">
        <v>350</v>
      </c>
      <c r="H21" s="105" t="s">
        <v>350</v>
      </c>
    </row>
    <row r="22" spans="2:10" ht="22.35" customHeight="1" x14ac:dyDescent="0.2">
      <c r="B22" s="100" t="s">
        <v>350</v>
      </c>
      <c r="C22" s="101" t="s">
        <v>187</v>
      </c>
      <c r="D22" s="102" t="s">
        <v>161</v>
      </c>
      <c r="E22" s="103" t="s">
        <v>248</v>
      </c>
      <c r="F22" s="21">
        <f>TRUNC((F7+F8+F11)*0.00081,0)</f>
        <v>7330</v>
      </c>
      <c r="G22" s="104" t="s">
        <v>311</v>
      </c>
      <c r="H22" s="105" t="s">
        <v>75</v>
      </c>
    </row>
    <row r="23" spans="2:10" ht="22.35" customHeight="1" x14ac:dyDescent="0.2">
      <c r="B23" s="100" t="s">
        <v>350</v>
      </c>
      <c r="C23" s="101" t="s">
        <v>350</v>
      </c>
      <c r="D23" s="106" t="s">
        <v>142</v>
      </c>
      <c r="E23" s="107" t="s">
        <v>57</v>
      </c>
      <c r="F23" s="35">
        <f>TRUNC((F7+F10)*0.06,0)</f>
        <v>570702</v>
      </c>
      <c r="G23" s="69" t="s">
        <v>61</v>
      </c>
      <c r="H23" s="36" t="s">
        <v>299</v>
      </c>
    </row>
    <row r="24" spans="2:10" ht="22.35" customHeight="1" x14ac:dyDescent="0.2">
      <c r="B24" s="71" t="s">
        <v>350</v>
      </c>
      <c r="C24" s="33" t="s">
        <v>350</v>
      </c>
      <c r="D24" s="106" t="s">
        <v>213</v>
      </c>
      <c r="E24" s="107" t="s">
        <v>121</v>
      </c>
      <c r="F24" s="35">
        <f>TRUNC((F11+F12+F13+F14+F15+F16+F17+F18+F19+F20+F21+F22+F23),0)</f>
        <v>1842262</v>
      </c>
      <c r="G24" s="69" t="s">
        <v>350</v>
      </c>
      <c r="H24" s="36" t="s">
        <v>282</v>
      </c>
    </row>
    <row r="25" spans="2:10" ht="22.35" customHeight="1" x14ac:dyDescent="0.2">
      <c r="B25" s="108" t="s">
        <v>350</v>
      </c>
      <c r="C25" s="106" t="s">
        <v>350</v>
      </c>
      <c r="D25" s="106" t="s">
        <v>211</v>
      </c>
      <c r="E25" s="107" t="s">
        <v>336</v>
      </c>
      <c r="F25" s="35">
        <f>TRUNC((F7+F10+F24),0)</f>
        <v>11353973</v>
      </c>
      <c r="G25" s="69" t="s">
        <v>350</v>
      </c>
      <c r="H25" s="36" t="s">
        <v>71</v>
      </c>
    </row>
    <row r="26" spans="2:10" ht="22.35" customHeight="1" x14ac:dyDescent="0.2">
      <c r="B26" s="108" t="s">
        <v>350</v>
      </c>
      <c r="C26" s="106" t="s">
        <v>350</v>
      </c>
      <c r="D26" s="106" t="s">
        <v>191</v>
      </c>
      <c r="E26" s="107" t="s">
        <v>149</v>
      </c>
      <c r="F26" s="35">
        <f>TRUNC(F25*0.06,0)</f>
        <v>681238</v>
      </c>
      <c r="G26" s="69" t="s">
        <v>61</v>
      </c>
      <c r="H26" s="36" t="s">
        <v>116</v>
      </c>
    </row>
    <row r="27" spans="2:10" ht="22.35" customHeight="1" x14ac:dyDescent="0.2">
      <c r="B27" s="108" t="s">
        <v>350</v>
      </c>
      <c r="C27" s="106" t="s">
        <v>350</v>
      </c>
      <c r="D27" s="106" t="s">
        <v>28</v>
      </c>
      <c r="E27" s="107" t="s">
        <v>291</v>
      </c>
      <c r="F27" s="35">
        <f>(F10+F24+F26)*G27</f>
        <v>622286.06400000001</v>
      </c>
      <c r="G27" s="127">
        <v>5.3999999999999999E-2</v>
      </c>
      <c r="H27" s="36" t="s">
        <v>361</v>
      </c>
      <c r="J27" s="35"/>
    </row>
    <row r="28" spans="2:10" ht="22.35" customHeight="1" x14ac:dyDescent="0.2">
      <c r="B28" s="108" t="s">
        <v>350</v>
      </c>
      <c r="C28" s="106" t="s">
        <v>350</v>
      </c>
      <c r="D28" s="106" t="s">
        <v>186</v>
      </c>
      <c r="E28" s="107" t="s">
        <v>87</v>
      </c>
      <c r="F28" s="35">
        <f>TRUNC((F25+F26+F27),0)</f>
        <v>12657497</v>
      </c>
      <c r="G28" s="69" t="s">
        <v>350</v>
      </c>
      <c r="H28" s="36" t="s">
        <v>192</v>
      </c>
    </row>
    <row r="29" spans="2:10" ht="22.35" customHeight="1" x14ac:dyDescent="0.2">
      <c r="B29" s="108" t="s">
        <v>350</v>
      </c>
      <c r="C29" s="106" t="s">
        <v>350</v>
      </c>
      <c r="D29" s="106" t="s">
        <v>67</v>
      </c>
      <c r="E29" s="107" t="s">
        <v>272</v>
      </c>
      <c r="F29" s="35">
        <f>IF(B52&lt;&gt; "0.9",TRUNC(F28*0.1,0),TRUNC(F28*0.1,0)+1)</f>
        <v>1265749</v>
      </c>
      <c r="G29" s="69" t="s">
        <v>345</v>
      </c>
      <c r="H29" s="36" t="s">
        <v>178</v>
      </c>
    </row>
    <row r="30" spans="2:10" ht="22.35" customHeight="1" x14ac:dyDescent="0.2">
      <c r="B30" s="108" t="s">
        <v>350</v>
      </c>
      <c r="C30" s="106" t="s">
        <v>350</v>
      </c>
      <c r="D30" s="106" t="s">
        <v>271</v>
      </c>
      <c r="E30" s="107" t="s">
        <v>94</v>
      </c>
      <c r="F30" s="35">
        <f>TRUNC((F28+F29),0)</f>
        <v>13923246</v>
      </c>
      <c r="G30" s="69" t="s">
        <v>350</v>
      </c>
      <c r="H30" s="36" t="s">
        <v>22</v>
      </c>
    </row>
    <row r="31" spans="2:10" ht="22.35" customHeight="1" x14ac:dyDescent="0.2">
      <c r="B31" s="108" t="s">
        <v>350</v>
      </c>
      <c r="C31" s="106" t="s">
        <v>350</v>
      </c>
      <c r="D31" s="106" t="s">
        <v>158</v>
      </c>
      <c r="E31" s="107" t="s">
        <v>337</v>
      </c>
      <c r="F31" s="35"/>
      <c r="G31" s="69" t="s">
        <v>350</v>
      </c>
      <c r="H31" s="36" t="s">
        <v>350</v>
      </c>
    </row>
    <row r="32" spans="2:10" ht="22.35" customHeight="1" x14ac:dyDescent="0.2">
      <c r="B32" s="108" t="s">
        <v>350</v>
      </c>
      <c r="C32" s="106" t="s">
        <v>350</v>
      </c>
      <c r="D32" s="106" t="s">
        <v>290</v>
      </c>
      <c r="E32" s="107" t="s">
        <v>143</v>
      </c>
      <c r="F32" s="35"/>
      <c r="G32" s="69" t="s">
        <v>350</v>
      </c>
      <c r="H32" s="36" t="s">
        <v>350</v>
      </c>
    </row>
    <row r="33" spans="2:8" ht="22.35" customHeight="1" x14ac:dyDescent="0.2">
      <c r="B33" s="109" t="s">
        <v>350</v>
      </c>
      <c r="C33" s="110" t="s">
        <v>350</v>
      </c>
      <c r="D33" s="110" t="s">
        <v>81</v>
      </c>
      <c r="E33" s="111" t="s">
        <v>266</v>
      </c>
      <c r="F33" s="24">
        <f>ROUNDUP((F30+F31+F32),-3)</f>
        <v>13924000</v>
      </c>
      <c r="G33" s="74" t="s">
        <v>350</v>
      </c>
      <c r="H33" s="40" t="s">
        <v>223</v>
      </c>
    </row>
    <row r="34" spans="2:8" x14ac:dyDescent="0.2">
      <c r="B34" s="26"/>
      <c r="C34" s="26"/>
      <c r="D34" s="26"/>
      <c r="E34" s="26"/>
      <c r="F34" s="26"/>
      <c r="G34" s="26"/>
      <c r="H34" s="26"/>
    </row>
    <row r="52" spans="2:2" x14ac:dyDescent="0.2">
      <c r="B52" t="str">
        <f>RIGHT(F28*0.1,3)</f>
        <v>9.7</v>
      </c>
    </row>
  </sheetData>
  <mergeCells count="2">
    <mergeCell ref="B3:D3"/>
    <mergeCell ref="B1:H2"/>
  </mergeCells>
  <phoneticPr fontId="6" type="noConversion"/>
  <pageMargins left="0.78740157480314965" right="7.874015748031496E-2" top="0.94488188976377963" bottom="0.59055118110236215" header="0.5" footer="0.5"/>
  <pageSetup paperSize="9" orientation="portrait" r:id="rId1"/>
  <headerFooter alignWithMargins="0"/>
  <ignoredErrors>
    <ignoredError sqref="E4:E6 E8:E9 G9 E11:E23 G12:G13 G18:G20 G22:G23 G26 G29" numberStoredAsText="1"/>
    <ignoredError sqref="F7 F19 F24 F33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K24"/>
  <sheetViews>
    <sheetView workbookViewId="0">
      <pane ySplit="3" topLeftCell="A4" activePane="bottomLeft" state="frozen"/>
      <selection pane="bottomLeft" activeCell="E18" sqref="E18"/>
    </sheetView>
  </sheetViews>
  <sheetFormatPr defaultRowHeight="12.75" x14ac:dyDescent="0.2"/>
  <cols>
    <col min="1" max="1" width="0.7109375" customWidth="1"/>
    <col min="2" max="2" width="7.7109375" customWidth="1"/>
    <col min="3" max="3" width="23.28515625" customWidth="1"/>
    <col min="4" max="4" width="21.42578125" customWidth="1"/>
    <col min="5" max="5" width="13.5703125" customWidth="1"/>
    <col min="6" max="6" width="7.7109375" customWidth="1"/>
    <col min="7" max="7" width="18.42578125" customWidth="1"/>
    <col min="8" max="8" width="16.140625" customWidth="1"/>
    <col min="9" max="9" width="15.5703125" customWidth="1"/>
    <col min="10" max="10" width="16.28515625" customWidth="1"/>
    <col min="11" max="11" width="13.5703125" customWidth="1"/>
  </cols>
  <sheetData>
    <row r="1" spans="2:11" ht="24.95" customHeight="1" x14ac:dyDescent="0.2">
      <c r="B1" s="137" t="s">
        <v>268</v>
      </c>
      <c r="C1" s="137"/>
      <c r="D1" s="137"/>
      <c r="E1" s="137"/>
      <c r="F1" s="137"/>
      <c r="G1" s="137"/>
      <c r="H1" s="137"/>
      <c r="I1" s="137"/>
      <c r="J1" s="137"/>
      <c r="K1" s="137"/>
    </row>
    <row r="2" spans="2:11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</row>
    <row r="3" spans="2:11" ht="30.75" customHeight="1" x14ac:dyDescent="0.2">
      <c r="B3" s="27" t="s">
        <v>346</v>
      </c>
      <c r="C3" s="19" t="s">
        <v>221</v>
      </c>
      <c r="D3" s="19" t="s">
        <v>265</v>
      </c>
      <c r="E3" s="19" t="s">
        <v>188</v>
      </c>
      <c r="F3" s="19" t="s">
        <v>131</v>
      </c>
      <c r="G3" s="19" t="s">
        <v>334</v>
      </c>
      <c r="H3" s="19" t="s">
        <v>295</v>
      </c>
      <c r="I3" s="19" t="s">
        <v>209</v>
      </c>
      <c r="J3" s="19" t="s">
        <v>18</v>
      </c>
      <c r="K3" s="20" t="s">
        <v>79</v>
      </c>
    </row>
    <row r="4" spans="2:11" ht="19.7" customHeight="1" x14ac:dyDescent="0.2">
      <c r="B4" s="71" t="s">
        <v>170</v>
      </c>
      <c r="C4" s="33" t="s">
        <v>352</v>
      </c>
      <c r="D4" s="33" t="s">
        <v>351</v>
      </c>
      <c r="E4" s="35"/>
      <c r="F4" s="34" t="s">
        <v>350</v>
      </c>
      <c r="G4" s="69" t="str">
        <f>TEXT(H4+I4+J4,"#,##0")</f>
        <v>1,325,457</v>
      </c>
      <c r="H4" s="69" t="str">
        <f>내역서!J5</f>
        <v>1,182,784</v>
      </c>
      <c r="I4" s="69" t="str">
        <f>내역서!L5</f>
        <v>66,535</v>
      </c>
      <c r="J4" s="69" t="str">
        <f>내역서!N5</f>
        <v>76,138</v>
      </c>
      <c r="K4" s="36" t="s">
        <v>350</v>
      </c>
    </row>
    <row r="5" spans="2:11" ht="19.7" customHeight="1" x14ac:dyDescent="0.2">
      <c r="B5" s="71" t="s">
        <v>249</v>
      </c>
      <c r="C5" s="33" t="s">
        <v>352</v>
      </c>
      <c r="D5" s="33" t="s">
        <v>353</v>
      </c>
      <c r="E5" s="35"/>
      <c r="F5" s="34" t="s">
        <v>350</v>
      </c>
      <c r="G5" s="69" t="str">
        <f>TEXT(H5+I5+J5,"#,##0")</f>
        <v>1,133,877</v>
      </c>
      <c r="H5" s="69" t="str">
        <f>내역서!J18</f>
        <v>1,005,072</v>
      </c>
      <c r="I5" s="69" t="str">
        <f>내역서!L18</f>
        <v>52,667</v>
      </c>
      <c r="J5" s="69" t="str">
        <f>내역서!N18</f>
        <v>76,138</v>
      </c>
      <c r="K5" s="36" t="s">
        <v>350</v>
      </c>
    </row>
    <row r="6" spans="2:11" ht="19.7" customHeight="1" x14ac:dyDescent="0.2">
      <c r="B6" s="71" t="s">
        <v>348</v>
      </c>
      <c r="C6" s="33" t="s">
        <v>352</v>
      </c>
      <c r="D6" s="33" t="s">
        <v>354</v>
      </c>
      <c r="E6" s="35"/>
      <c r="F6" s="34" t="s">
        <v>350</v>
      </c>
      <c r="G6" s="69" t="str">
        <f>TEXT(H6+I6+J6,"#,##0")</f>
        <v>1,418,266</v>
      </c>
      <c r="H6" s="69" t="str">
        <f>내역서!J31</f>
        <v>1,312,315</v>
      </c>
      <c r="I6" s="69" t="str">
        <f>내역서!L31</f>
        <v>59,233</v>
      </c>
      <c r="J6" s="69" t="str">
        <f>내역서!N31</f>
        <v>46,718</v>
      </c>
      <c r="K6" s="36" t="s">
        <v>350</v>
      </c>
    </row>
    <row r="7" spans="2:11" ht="19.7" customHeight="1" x14ac:dyDescent="0.2">
      <c r="B7" s="71" t="s">
        <v>350</v>
      </c>
      <c r="C7" s="33" t="s">
        <v>347</v>
      </c>
      <c r="D7" s="33" t="s">
        <v>350</v>
      </c>
      <c r="E7" s="35"/>
      <c r="F7" s="34" t="s">
        <v>350</v>
      </c>
      <c r="G7" s="69" t="str">
        <f>TEXT(H7+I7+J7,"#,##0")</f>
        <v>9,050,321</v>
      </c>
      <c r="H7" s="69" t="str">
        <f>내역서!J96</f>
        <v>8,064,800</v>
      </c>
      <c r="I7" s="69" t="str">
        <f>내역서!L96</f>
        <v>511,395</v>
      </c>
      <c r="J7" s="69" t="str">
        <f>내역서!N96</f>
        <v>474,126</v>
      </c>
      <c r="K7" s="36" t="s">
        <v>350</v>
      </c>
    </row>
    <row r="8" spans="2:11" ht="19.7" customHeight="1" x14ac:dyDescent="0.2">
      <c r="B8" s="71" t="s">
        <v>350</v>
      </c>
      <c r="C8" s="33" t="s">
        <v>292</v>
      </c>
      <c r="D8" s="33" t="s">
        <v>350</v>
      </c>
      <c r="E8" s="95">
        <v>11.6</v>
      </c>
      <c r="F8" s="34" t="s">
        <v>70</v>
      </c>
      <c r="G8" s="69">
        <f>원가계산서!F9</f>
        <v>935516</v>
      </c>
      <c r="H8" s="35"/>
      <c r="I8" s="35"/>
      <c r="J8" s="35"/>
      <c r="K8" s="36" t="s">
        <v>350</v>
      </c>
    </row>
    <row r="9" spans="2:11" ht="19.7" customHeight="1" x14ac:dyDescent="0.2">
      <c r="B9" s="71" t="s">
        <v>350</v>
      </c>
      <c r="C9" s="33" t="s">
        <v>155</v>
      </c>
      <c r="D9" s="33" t="s">
        <v>350</v>
      </c>
      <c r="E9" s="95">
        <v>3.9</v>
      </c>
      <c r="F9" s="34" t="s">
        <v>70</v>
      </c>
      <c r="G9" s="69">
        <f>원가계산서!F12</f>
        <v>351012</v>
      </c>
      <c r="H9" s="35"/>
      <c r="I9" s="35"/>
      <c r="J9" s="35"/>
      <c r="K9" s="36" t="s">
        <v>350</v>
      </c>
    </row>
    <row r="10" spans="2:11" ht="19.7" customHeight="1" x14ac:dyDescent="0.2">
      <c r="B10" s="71" t="s">
        <v>350</v>
      </c>
      <c r="C10" s="33" t="s">
        <v>130</v>
      </c>
      <c r="D10" s="33" t="s">
        <v>350</v>
      </c>
      <c r="E10" s="95">
        <v>0.87</v>
      </c>
      <c r="F10" s="34" t="s">
        <v>70</v>
      </c>
      <c r="G10" s="69">
        <f>원가계산서!F13</f>
        <v>78302</v>
      </c>
      <c r="H10" s="35"/>
      <c r="I10" s="35"/>
      <c r="J10" s="35"/>
      <c r="K10" s="36" t="s">
        <v>350</v>
      </c>
    </row>
    <row r="11" spans="2:11" ht="19.7" customHeight="1" x14ac:dyDescent="0.2">
      <c r="B11" s="71" t="s">
        <v>350</v>
      </c>
      <c r="C11" s="33" t="s">
        <v>174</v>
      </c>
      <c r="D11" s="33" t="s">
        <v>350</v>
      </c>
      <c r="E11" s="95">
        <v>0.41</v>
      </c>
      <c r="F11" s="34" t="s">
        <v>70</v>
      </c>
      <c r="G11" s="69">
        <f>원가계산서!F18</f>
        <v>37106</v>
      </c>
      <c r="H11" s="35"/>
      <c r="I11" s="35"/>
      <c r="J11" s="35"/>
      <c r="K11" s="36" t="s">
        <v>350</v>
      </c>
    </row>
    <row r="12" spans="2:11" ht="19.7" customHeight="1" x14ac:dyDescent="0.2">
      <c r="B12" s="71" t="s">
        <v>350</v>
      </c>
      <c r="C12" s="33" t="s">
        <v>308</v>
      </c>
      <c r="D12" s="33" t="s">
        <v>350</v>
      </c>
      <c r="E12" s="95">
        <v>2.93</v>
      </c>
      <c r="F12" s="34" t="s">
        <v>70</v>
      </c>
      <c r="G12" s="69">
        <f>원가계산서!F19</f>
        <v>251282</v>
      </c>
      <c r="H12" s="35"/>
      <c r="I12" s="35"/>
      <c r="J12" s="35"/>
      <c r="K12" s="36" t="s">
        <v>350</v>
      </c>
    </row>
    <row r="13" spans="2:11" ht="19.7" customHeight="1" x14ac:dyDescent="0.2">
      <c r="B13" s="71" t="s">
        <v>350</v>
      </c>
      <c r="C13" s="33" t="s">
        <v>286</v>
      </c>
      <c r="D13" s="33" t="s">
        <v>350</v>
      </c>
      <c r="E13" s="95">
        <v>0.8</v>
      </c>
      <c r="F13" s="34" t="s">
        <v>70</v>
      </c>
      <c r="G13" s="69">
        <f>원가계산서!F20</f>
        <v>72402</v>
      </c>
      <c r="H13" s="35"/>
      <c r="I13" s="35"/>
      <c r="J13" s="35"/>
      <c r="K13" s="36" t="s">
        <v>350</v>
      </c>
    </row>
    <row r="14" spans="2:11" ht="19.7" customHeight="1" x14ac:dyDescent="0.2">
      <c r="B14" s="71" t="s">
        <v>350</v>
      </c>
      <c r="C14" s="33" t="s">
        <v>161</v>
      </c>
      <c r="D14" s="33" t="s">
        <v>350</v>
      </c>
      <c r="E14" s="95">
        <v>8.1000000000000003E-2</v>
      </c>
      <c r="F14" s="34" t="s">
        <v>70</v>
      </c>
      <c r="G14" s="69">
        <f>원가계산서!F22</f>
        <v>7330</v>
      </c>
      <c r="H14" s="35"/>
      <c r="I14" s="35"/>
      <c r="J14" s="35"/>
      <c r="K14" s="36" t="s">
        <v>350</v>
      </c>
    </row>
    <row r="15" spans="2:11" ht="19.7" customHeight="1" x14ac:dyDescent="0.2">
      <c r="B15" s="71" t="s">
        <v>350</v>
      </c>
      <c r="C15" s="33" t="s">
        <v>339</v>
      </c>
      <c r="D15" s="33" t="s">
        <v>350</v>
      </c>
      <c r="E15" s="35">
        <v>6</v>
      </c>
      <c r="F15" s="34" t="s">
        <v>70</v>
      </c>
      <c r="G15" s="69">
        <f>원가계산서!F23</f>
        <v>570702</v>
      </c>
      <c r="H15" s="35"/>
      <c r="I15" s="35"/>
      <c r="J15" s="35"/>
      <c r="K15" s="36" t="s">
        <v>350</v>
      </c>
    </row>
    <row r="16" spans="2:11" ht="19.7" customHeight="1" x14ac:dyDescent="0.2">
      <c r="B16" s="71" t="s">
        <v>350</v>
      </c>
      <c r="C16" s="33" t="s">
        <v>327</v>
      </c>
      <c r="D16" s="33" t="s">
        <v>350</v>
      </c>
      <c r="E16" s="35"/>
      <c r="F16" s="34" t="s">
        <v>350</v>
      </c>
      <c r="G16" s="69">
        <f>원가계산서!F25</f>
        <v>11353973</v>
      </c>
      <c r="H16" s="35"/>
      <c r="I16" s="35"/>
      <c r="J16" s="35"/>
      <c r="K16" s="36" t="s">
        <v>350</v>
      </c>
    </row>
    <row r="17" spans="2:11" ht="19.7" customHeight="1" x14ac:dyDescent="0.2">
      <c r="B17" s="71" t="s">
        <v>350</v>
      </c>
      <c r="C17" s="33" t="s">
        <v>297</v>
      </c>
      <c r="D17" s="33" t="s">
        <v>350</v>
      </c>
      <c r="E17" s="35">
        <v>6</v>
      </c>
      <c r="F17" s="34" t="s">
        <v>70</v>
      </c>
      <c r="G17" s="69">
        <f>원가계산서!F26</f>
        <v>681238</v>
      </c>
      <c r="H17" s="35"/>
      <c r="I17" s="35"/>
      <c r="J17" s="35"/>
      <c r="K17" s="36" t="s">
        <v>350</v>
      </c>
    </row>
    <row r="18" spans="2:11" ht="19.7" customHeight="1" x14ac:dyDescent="0.2">
      <c r="B18" s="71" t="s">
        <v>350</v>
      </c>
      <c r="C18" s="33" t="s">
        <v>122</v>
      </c>
      <c r="D18" s="33" t="s">
        <v>350</v>
      </c>
      <c r="E18" s="95">
        <v>5</v>
      </c>
      <c r="F18" s="34" t="s">
        <v>70</v>
      </c>
      <c r="G18" s="69">
        <f>원가계산서!F27</f>
        <v>622286.06400000001</v>
      </c>
      <c r="H18" s="35"/>
      <c r="I18" s="35"/>
      <c r="J18" s="35"/>
      <c r="K18" s="36" t="s">
        <v>350</v>
      </c>
    </row>
    <row r="19" spans="2:11" ht="19.7" customHeight="1" x14ac:dyDescent="0.2">
      <c r="B19" s="71" t="s">
        <v>350</v>
      </c>
      <c r="C19" s="33" t="s">
        <v>296</v>
      </c>
      <c r="D19" s="33" t="s">
        <v>350</v>
      </c>
      <c r="E19" s="35"/>
      <c r="F19" s="34" t="s">
        <v>350</v>
      </c>
      <c r="G19" s="69">
        <f>원가계산서!F28</f>
        <v>12657497</v>
      </c>
      <c r="H19" s="35"/>
      <c r="I19" s="35"/>
      <c r="J19" s="35"/>
      <c r="K19" s="36" t="s">
        <v>350</v>
      </c>
    </row>
    <row r="20" spans="2:11" ht="19.7" customHeight="1" x14ac:dyDescent="0.2">
      <c r="B20" s="71" t="s">
        <v>350</v>
      </c>
      <c r="C20" s="33" t="s">
        <v>25</v>
      </c>
      <c r="D20" s="33" t="s">
        <v>350</v>
      </c>
      <c r="E20" s="35">
        <v>10</v>
      </c>
      <c r="F20" s="34" t="s">
        <v>70</v>
      </c>
      <c r="G20" s="69">
        <f>원가계산서!F29</f>
        <v>1265749</v>
      </c>
      <c r="H20" s="35"/>
      <c r="I20" s="35"/>
      <c r="J20" s="35"/>
      <c r="K20" s="36" t="s">
        <v>350</v>
      </c>
    </row>
    <row r="21" spans="2:11" ht="19.7" customHeight="1" x14ac:dyDescent="0.2">
      <c r="B21" s="71" t="s">
        <v>350</v>
      </c>
      <c r="C21" s="33" t="s">
        <v>3</v>
      </c>
      <c r="D21" s="33" t="s">
        <v>350</v>
      </c>
      <c r="E21" s="35"/>
      <c r="F21" s="34" t="s">
        <v>350</v>
      </c>
      <c r="G21" s="69">
        <f>원가계산서!F30</f>
        <v>13923246</v>
      </c>
      <c r="H21" s="35"/>
      <c r="I21" s="35"/>
      <c r="J21" s="35"/>
      <c r="K21" s="36" t="s">
        <v>350</v>
      </c>
    </row>
    <row r="22" spans="2:11" ht="19.7" customHeight="1" x14ac:dyDescent="0.2">
      <c r="B22" s="71" t="s">
        <v>350</v>
      </c>
      <c r="C22" s="33" t="s">
        <v>148</v>
      </c>
      <c r="D22" s="33" t="s">
        <v>350</v>
      </c>
      <c r="E22" s="35"/>
      <c r="F22" s="34" t="s">
        <v>350</v>
      </c>
      <c r="G22" s="69">
        <f>원가계산서!F33</f>
        <v>13924000</v>
      </c>
      <c r="H22" s="35"/>
      <c r="I22" s="35"/>
      <c r="J22" s="35"/>
      <c r="K22" s="36" t="s">
        <v>350</v>
      </c>
    </row>
    <row r="23" spans="2:11" ht="19.7" customHeight="1" x14ac:dyDescent="0.2">
      <c r="B23" s="28"/>
      <c r="C23" s="24"/>
      <c r="D23" s="24"/>
      <c r="E23" s="24"/>
      <c r="F23" s="24"/>
      <c r="G23" s="24"/>
      <c r="H23" s="24"/>
      <c r="I23" s="24"/>
      <c r="J23" s="24"/>
      <c r="K23" s="25"/>
    </row>
    <row r="24" spans="2:11" x14ac:dyDescent="0.2">
      <c r="B24" s="26"/>
      <c r="C24" s="26"/>
      <c r="D24" s="26"/>
      <c r="E24" s="26"/>
      <c r="F24" s="26"/>
      <c r="G24" s="26"/>
      <c r="H24" s="26"/>
      <c r="I24" s="26"/>
      <c r="J24" s="26"/>
      <c r="K24" s="26"/>
    </row>
  </sheetData>
  <mergeCells count="1">
    <mergeCell ref="B1:K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A122"/>
  <sheetViews>
    <sheetView workbookViewId="0">
      <pane ySplit="4" topLeftCell="A5" activePane="bottomLeft" state="frozen"/>
      <selection pane="bottomLeft" activeCell="G12" sqref="G12"/>
    </sheetView>
  </sheetViews>
  <sheetFormatPr defaultRowHeight="12.75" x14ac:dyDescent="0.2"/>
  <cols>
    <col min="1" max="1" width="0.7109375" customWidth="1"/>
    <col min="2" max="2" width="4.28515625" customWidth="1"/>
    <col min="3" max="3" width="23.28515625" customWidth="1"/>
    <col min="4" max="4" width="20" customWidth="1"/>
    <col min="5" max="5" width="6.85546875" customWidth="1"/>
    <col min="6" max="6" width="3.7109375" customWidth="1"/>
    <col min="7" max="7" width="10.85546875" customWidth="1"/>
    <col min="8" max="8" width="11.7109375" customWidth="1"/>
    <col min="9" max="9" width="10.42578125" customWidth="1"/>
    <col min="10" max="10" width="11.5703125" customWidth="1"/>
    <col min="11" max="11" width="10.28515625" customWidth="1"/>
    <col min="12" max="12" width="11.42578125" customWidth="1"/>
    <col min="13" max="13" width="10.5703125" customWidth="1"/>
    <col min="14" max="14" width="11.42578125" customWidth="1"/>
    <col min="15" max="15" width="9.42578125" bestFit="1" customWidth="1"/>
  </cols>
  <sheetData>
    <row r="1" spans="2:27" ht="24.95" customHeight="1" x14ac:dyDescent="0.2">
      <c r="B1" s="137" t="s">
        <v>36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2:27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</row>
    <row r="3" spans="2:27" ht="15.4" customHeight="1" x14ac:dyDescent="0.2">
      <c r="B3" s="139" t="s">
        <v>346</v>
      </c>
      <c r="C3" s="141" t="s">
        <v>221</v>
      </c>
      <c r="D3" s="141" t="s">
        <v>265</v>
      </c>
      <c r="E3" s="141" t="s">
        <v>188</v>
      </c>
      <c r="F3" s="141" t="s">
        <v>131</v>
      </c>
      <c r="G3" s="143" t="s">
        <v>298</v>
      </c>
      <c r="H3" s="144"/>
      <c r="I3" s="143" t="s">
        <v>141</v>
      </c>
      <c r="J3" s="144"/>
      <c r="K3" s="143" t="s">
        <v>229</v>
      </c>
      <c r="L3" s="144"/>
      <c r="M3" s="143" t="s">
        <v>275</v>
      </c>
      <c r="N3" s="144"/>
      <c r="O3" s="145" t="s">
        <v>79</v>
      </c>
      <c r="U3">
        <v>1</v>
      </c>
      <c r="V3">
        <v>2</v>
      </c>
      <c r="W3">
        <v>3</v>
      </c>
      <c r="X3">
        <v>4</v>
      </c>
      <c r="Y3">
        <v>5</v>
      </c>
      <c r="Z3">
        <v>6</v>
      </c>
      <c r="AA3">
        <v>7</v>
      </c>
    </row>
    <row r="4" spans="2:27" ht="19.7" customHeight="1" x14ac:dyDescent="0.2">
      <c r="B4" s="140"/>
      <c r="C4" s="142"/>
      <c r="D4" s="142"/>
      <c r="E4" s="142"/>
      <c r="F4" s="142"/>
      <c r="G4" s="30" t="s">
        <v>1</v>
      </c>
      <c r="H4" s="29" t="s">
        <v>177</v>
      </c>
      <c r="I4" s="30" t="s">
        <v>1</v>
      </c>
      <c r="J4" s="29" t="s">
        <v>177</v>
      </c>
      <c r="K4" s="30" t="s">
        <v>1</v>
      </c>
      <c r="L4" s="29" t="s">
        <v>177</v>
      </c>
      <c r="M4" s="30" t="s">
        <v>1</v>
      </c>
      <c r="N4" s="29" t="s">
        <v>177</v>
      </c>
      <c r="O4" s="146"/>
      <c r="R4" s="128" t="s">
        <v>367</v>
      </c>
      <c r="U4" s="31">
        <v>51</v>
      </c>
      <c r="V4" s="31">
        <v>47</v>
      </c>
      <c r="W4" s="31">
        <v>50</v>
      </c>
      <c r="X4" s="31">
        <v>32</v>
      </c>
      <c r="Y4" s="31">
        <v>74</v>
      </c>
      <c r="Z4" s="31">
        <v>48</v>
      </c>
      <c r="AA4" s="31">
        <v>76</v>
      </c>
    </row>
    <row r="5" spans="2:27" ht="19.7" customHeight="1" x14ac:dyDescent="0.2">
      <c r="B5" s="65" t="s">
        <v>170</v>
      </c>
      <c r="C5" s="66" t="s">
        <v>352</v>
      </c>
      <c r="D5" s="66" t="s">
        <v>362</v>
      </c>
      <c r="E5" s="35"/>
      <c r="F5" s="92" t="s">
        <v>350</v>
      </c>
      <c r="G5" s="41"/>
      <c r="H5" s="93" t="str">
        <f>TEXT(J5+L5+N5,"#,##0")</f>
        <v>1,325,457</v>
      </c>
      <c r="I5" s="41"/>
      <c r="J5" s="93" t="str">
        <f>TEXT(J6+J7+J8+J9+J11+J12+J13+J14+J15+J16,"#,##0")</f>
        <v>1,182,784</v>
      </c>
      <c r="K5" s="41"/>
      <c r="L5" s="93" t="str">
        <f>TEXT(L6+L7+L8+L9+L11+L12+L13+L14+L15+L16,"#,##0")</f>
        <v>66,535</v>
      </c>
      <c r="M5" s="41"/>
      <c r="N5" s="93" t="str">
        <f>TEXT(N6+N7+N8+N9+N11+N12+N13+N14+N15+N16,"#,##0")</f>
        <v>76,138</v>
      </c>
      <c r="O5" s="94" t="s">
        <v>350</v>
      </c>
      <c r="R5" s="128" t="s">
        <v>368</v>
      </c>
      <c r="U5">
        <v>70</v>
      </c>
      <c r="V5">
        <v>50</v>
      </c>
      <c r="W5">
        <v>60</v>
      </c>
      <c r="X5">
        <v>25</v>
      </c>
      <c r="Y5">
        <v>100</v>
      </c>
      <c r="Z5">
        <v>50</v>
      </c>
      <c r="AA5">
        <v>100</v>
      </c>
    </row>
    <row r="6" spans="2:27" ht="19.7" customHeight="1" x14ac:dyDescent="0.2">
      <c r="B6" s="71" t="s">
        <v>350</v>
      </c>
      <c r="C6" s="33" t="s">
        <v>238</v>
      </c>
      <c r="D6" s="33" t="s">
        <v>226</v>
      </c>
      <c r="E6" s="35">
        <v>1</v>
      </c>
      <c r="F6" s="34" t="s">
        <v>222</v>
      </c>
      <c r="G6" s="41">
        <f t="shared" ref="G6:G35" si="0">I6+K6+M6</f>
        <v>75410</v>
      </c>
      <c r="H6" s="69" t="str">
        <f>TEXT(J6+L6+N6,"#,##0")</f>
        <v>75,410</v>
      </c>
      <c r="I6" s="68"/>
      <c r="J6" s="69">
        <f>TRUNC(E6*I6,0)</f>
        <v>0</v>
      </c>
      <c r="K6" s="68"/>
      <c r="L6" s="69">
        <f>TRUNC(E6*K6,0)</f>
        <v>0</v>
      </c>
      <c r="M6" s="68">
        <f>자재단가!R5</f>
        <v>75410</v>
      </c>
      <c r="N6" s="69">
        <f>TRUNC(E6*M6,0)</f>
        <v>75410</v>
      </c>
      <c r="O6" s="36" t="s">
        <v>350</v>
      </c>
    </row>
    <row r="7" spans="2:27" ht="19.7" customHeight="1" x14ac:dyDescent="0.2">
      <c r="B7" s="71" t="s">
        <v>350</v>
      </c>
      <c r="C7" s="33" t="s">
        <v>15</v>
      </c>
      <c r="D7" s="33" t="s">
        <v>274</v>
      </c>
      <c r="E7" s="35">
        <v>1</v>
      </c>
      <c r="F7" s="34" t="s">
        <v>72</v>
      </c>
      <c r="G7" s="41">
        <f t="shared" si="0"/>
        <v>133528</v>
      </c>
      <c r="H7" s="69" t="str">
        <f>TEXT(J7+L7+N7,"#,##0")</f>
        <v>133,528</v>
      </c>
      <c r="I7" s="68">
        <f>일위대가총괄표!G6</f>
        <v>133528</v>
      </c>
      <c r="J7" s="69">
        <f>TRUNC(E7*I7,0)</f>
        <v>133528</v>
      </c>
      <c r="K7" s="68">
        <f>일위대가총괄표!H6</f>
        <v>0</v>
      </c>
      <c r="L7" s="69">
        <f>TRUNC(E7*K7,0)</f>
        <v>0</v>
      </c>
      <c r="M7" s="68">
        <f>일위대가총괄표!I6</f>
        <v>0</v>
      </c>
      <c r="N7" s="69">
        <f>TRUNC(E7*M7,0)</f>
        <v>0</v>
      </c>
      <c r="O7" s="36" t="s">
        <v>340</v>
      </c>
      <c r="R7" s="128" t="s">
        <v>366</v>
      </c>
      <c r="S7">
        <v>1</v>
      </c>
      <c r="T7" t="s">
        <v>243</v>
      </c>
      <c r="U7" s="130">
        <f>3.14*((U5/2)/1000)*((U5/2)/1000)*U4</f>
        <v>0.19617150000000005</v>
      </c>
      <c r="V7" s="130">
        <f t="shared" ref="V7:AA7" si="1">3.14*((V5/2)/1000)*((V5/2)/1000)*V4</f>
        <v>9.2237500000000014E-2</v>
      </c>
      <c r="W7" s="130">
        <f t="shared" si="1"/>
        <v>0.14130000000000001</v>
      </c>
      <c r="X7" s="130">
        <f t="shared" si="1"/>
        <v>1.5700000000000002E-2</v>
      </c>
      <c r="Y7" s="130">
        <f t="shared" si="1"/>
        <v>0.58090000000000008</v>
      </c>
      <c r="Z7" s="130">
        <f t="shared" si="1"/>
        <v>9.4200000000000006E-2</v>
      </c>
      <c r="AA7" s="130">
        <f t="shared" si="1"/>
        <v>0.59660000000000013</v>
      </c>
    </row>
    <row r="8" spans="2:27" ht="19.7" customHeight="1" x14ac:dyDescent="0.2">
      <c r="B8" s="71" t="s">
        <v>350</v>
      </c>
      <c r="C8" s="33" t="s">
        <v>363</v>
      </c>
      <c r="D8" s="33" t="s">
        <v>274</v>
      </c>
      <c r="E8" s="35">
        <v>8</v>
      </c>
      <c r="F8" s="34" t="s">
        <v>198</v>
      </c>
      <c r="G8" s="41">
        <f t="shared" si="0"/>
        <v>29187</v>
      </c>
      <c r="H8" s="69" t="str">
        <f>TEXT(J8+L8+N8,"#,##0")</f>
        <v>233,496</v>
      </c>
      <c r="I8" s="68">
        <f>일위대가총괄표!G9</f>
        <v>29187</v>
      </c>
      <c r="J8" s="69">
        <f>TRUNC(E8*I8,0)</f>
        <v>233496</v>
      </c>
      <c r="K8" s="68">
        <f>일위대가총괄표!H7</f>
        <v>0</v>
      </c>
      <c r="L8" s="69">
        <f>TRUNC(E8*K8,0)</f>
        <v>0</v>
      </c>
      <c r="M8" s="68">
        <f>일위대가총괄표!I7</f>
        <v>0</v>
      </c>
      <c r="N8" s="69">
        <v>0</v>
      </c>
      <c r="O8" s="36" t="s">
        <v>107</v>
      </c>
      <c r="R8" s="128" t="s">
        <v>364</v>
      </c>
      <c r="S8">
        <v>1093</v>
      </c>
      <c r="T8" t="s">
        <v>199</v>
      </c>
      <c r="U8">
        <f>INT($S$8*U7)</f>
        <v>214</v>
      </c>
      <c r="V8">
        <f t="shared" ref="V8:AA8" si="2">INT($S$8*V7)</f>
        <v>100</v>
      </c>
      <c r="W8">
        <f t="shared" si="2"/>
        <v>154</v>
      </c>
      <c r="X8">
        <f t="shared" si="2"/>
        <v>17</v>
      </c>
      <c r="Y8">
        <f t="shared" si="2"/>
        <v>634</v>
      </c>
      <c r="Z8">
        <f t="shared" si="2"/>
        <v>102</v>
      </c>
      <c r="AA8">
        <f t="shared" si="2"/>
        <v>652</v>
      </c>
    </row>
    <row r="9" spans="2:27" ht="19.7" customHeight="1" x14ac:dyDescent="0.2">
      <c r="B9" s="71" t="s">
        <v>350</v>
      </c>
      <c r="C9" s="33" t="s">
        <v>283</v>
      </c>
      <c r="D9" s="33" t="s">
        <v>180</v>
      </c>
      <c r="E9" s="35">
        <v>82</v>
      </c>
      <c r="F9" s="34" t="s">
        <v>198</v>
      </c>
      <c r="G9" s="41">
        <f>I9+K9+M9</f>
        <v>9071</v>
      </c>
      <c r="H9" s="69" t="str">
        <f>TEXT(J9+L9+N9,"#,##0")</f>
        <v>743,822</v>
      </c>
      <c r="I9" s="68">
        <f>일위대가총괄표!G12</f>
        <v>9071</v>
      </c>
      <c r="J9" s="69">
        <f>TRUNC(E9*I9,0)</f>
        <v>743822</v>
      </c>
      <c r="K9" s="68">
        <f>일위대가총괄표!H12</f>
        <v>0</v>
      </c>
      <c r="L9" s="69">
        <f>TRUNC(E9*K9,0)</f>
        <v>0</v>
      </c>
      <c r="M9" s="68">
        <f>일위대가총괄표!I12</f>
        <v>0</v>
      </c>
      <c r="N9" s="69">
        <f>TRUNC(E9*M9,0)</f>
        <v>0</v>
      </c>
      <c r="O9" s="36" t="s">
        <v>204</v>
      </c>
      <c r="R9" s="128" t="s">
        <v>365</v>
      </c>
      <c r="S9">
        <v>0.78</v>
      </c>
      <c r="T9" t="s">
        <v>243</v>
      </c>
      <c r="U9" s="129">
        <f>$S$9*U7</f>
        <v>0.15301377000000005</v>
      </c>
      <c r="V9" s="129">
        <f t="shared" ref="V9:AA9" si="3">$S$9*V7</f>
        <v>7.1945250000000016E-2</v>
      </c>
      <c r="W9" s="129">
        <f t="shared" si="3"/>
        <v>0.11021400000000001</v>
      </c>
      <c r="X9" s="129">
        <f t="shared" si="3"/>
        <v>1.2246000000000002E-2</v>
      </c>
      <c r="Y9" s="129">
        <f t="shared" si="3"/>
        <v>0.45310200000000006</v>
      </c>
      <c r="Z9" s="129">
        <f t="shared" si="3"/>
        <v>7.3476000000000014E-2</v>
      </c>
      <c r="AA9" s="129">
        <f t="shared" si="3"/>
        <v>0.46534800000000009</v>
      </c>
    </row>
    <row r="10" spans="2:27" ht="19.7" customHeight="1" x14ac:dyDescent="0.2">
      <c r="B10" s="71" t="s">
        <v>249</v>
      </c>
      <c r="C10" s="33" t="s">
        <v>197</v>
      </c>
      <c r="D10" s="33" t="s">
        <v>350</v>
      </c>
      <c r="E10" s="35"/>
      <c r="F10" s="34" t="s">
        <v>350</v>
      </c>
      <c r="G10" s="41"/>
      <c r="H10" s="69"/>
      <c r="I10" s="41"/>
      <c r="J10" s="35"/>
      <c r="K10" s="41"/>
      <c r="L10" s="35"/>
      <c r="M10" s="41"/>
      <c r="N10" s="35"/>
      <c r="O10" s="36" t="s">
        <v>350</v>
      </c>
    </row>
    <row r="11" spans="2:27" ht="19.7" customHeight="1" x14ac:dyDescent="0.2">
      <c r="B11" s="71" t="s">
        <v>350</v>
      </c>
      <c r="C11" s="33" t="s">
        <v>335</v>
      </c>
      <c r="D11" s="33" t="s">
        <v>350</v>
      </c>
      <c r="E11" s="35">
        <f>U8</f>
        <v>214</v>
      </c>
      <c r="F11" s="34" t="s">
        <v>199</v>
      </c>
      <c r="G11" s="41">
        <f>I11+K11+M11</f>
        <v>106</v>
      </c>
      <c r="H11" s="69" t="str">
        <f t="shared" ref="H11:H16" si="4">TEXT(J11+L11+N11,"#,##0")</f>
        <v>22,684</v>
      </c>
      <c r="I11" s="68">
        <f>자재단가!AA6</f>
        <v>0</v>
      </c>
      <c r="J11" s="69">
        <f t="shared" ref="J11:J16" si="5">TRUNC(E11*I11,0)</f>
        <v>0</v>
      </c>
      <c r="K11" s="68">
        <f>자재단가!R6</f>
        <v>106</v>
      </c>
      <c r="L11" s="69">
        <f t="shared" ref="L11:L16" si="6">TRUNC(E11*K11,0)</f>
        <v>22684</v>
      </c>
      <c r="M11" s="68">
        <f>자재단가!AC6</f>
        <v>0</v>
      </c>
      <c r="N11" s="69">
        <f t="shared" ref="N11:N16" si="7">TRUNC(E11*M11,0)</f>
        <v>0</v>
      </c>
      <c r="O11" s="36" t="s">
        <v>350</v>
      </c>
    </row>
    <row r="12" spans="2:27" ht="19.7" customHeight="1" x14ac:dyDescent="0.2">
      <c r="B12" s="71" t="s">
        <v>350</v>
      </c>
      <c r="C12" s="33" t="s">
        <v>145</v>
      </c>
      <c r="D12" s="33" t="s">
        <v>324</v>
      </c>
      <c r="E12" s="131">
        <f>U9</f>
        <v>0.15301377000000005</v>
      </c>
      <c r="F12" s="34" t="s">
        <v>243</v>
      </c>
      <c r="G12" s="41">
        <f t="shared" si="0"/>
        <v>22000</v>
      </c>
      <c r="H12" s="69" t="str">
        <f t="shared" si="4"/>
        <v>3,366</v>
      </c>
      <c r="I12" s="68">
        <f>자재단가!AA7</f>
        <v>0</v>
      </c>
      <c r="J12" s="69">
        <f t="shared" si="5"/>
        <v>0</v>
      </c>
      <c r="K12" s="68">
        <f>자재단가!R7</f>
        <v>22000</v>
      </c>
      <c r="L12" s="69">
        <f t="shared" si="6"/>
        <v>3366</v>
      </c>
      <c r="M12" s="68">
        <f>자재단가!AC7</f>
        <v>0</v>
      </c>
      <c r="N12" s="69">
        <f t="shared" si="7"/>
        <v>0</v>
      </c>
      <c r="O12" s="36" t="s">
        <v>350</v>
      </c>
    </row>
    <row r="13" spans="2:27" ht="19.7" customHeight="1" x14ac:dyDescent="0.2">
      <c r="B13" s="71" t="s">
        <v>348</v>
      </c>
      <c r="C13" s="33" t="s">
        <v>287</v>
      </c>
      <c r="D13" s="33" t="s">
        <v>127</v>
      </c>
      <c r="E13" s="95">
        <v>1.6</v>
      </c>
      <c r="F13" s="34" t="s">
        <v>243</v>
      </c>
      <c r="G13" s="41">
        <f t="shared" si="0"/>
        <v>12563</v>
      </c>
      <c r="H13" s="69" t="str">
        <f t="shared" si="4"/>
        <v>20,100</v>
      </c>
      <c r="I13" s="68" t="str">
        <f>단가산출총괄표!G4</f>
        <v>11,745</v>
      </c>
      <c r="J13" s="69">
        <f t="shared" si="5"/>
        <v>18792</v>
      </c>
      <c r="K13" s="68" t="str">
        <f>단가산출총괄표!H4</f>
        <v>363</v>
      </c>
      <c r="L13" s="69">
        <f t="shared" si="6"/>
        <v>580</v>
      </c>
      <c r="M13" s="68" t="str">
        <f>단가산출총괄표!I4</f>
        <v>455</v>
      </c>
      <c r="N13" s="69">
        <f t="shared" si="7"/>
        <v>728</v>
      </c>
      <c r="O13" s="36" t="s">
        <v>58</v>
      </c>
    </row>
    <row r="14" spans="2:27" ht="19.7" customHeight="1" x14ac:dyDescent="0.2">
      <c r="B14" s="71" t="s">
        <v>350</v>
      </c>
      <c r="C14" s="33" t="s">
        <v>288</v>
      </c>
      <c r="D14" s="33" t="s">
        <v>68</v>
      </c>
      <c r="E14" s="95">
        <v>0.3</v>
      </c>
      <c r="F14" s="34" t="s">
        <v>243</v>
      </c>
      <c r="G14" s="41">
        <f t="shared" si="0"/>
        <v>218992</v>
      </c>
      <c r="H14" s="69" t="str">
        <f t="shared" si="4"/>
        <v>65,697</v>
      </c>
      <c r="I14" s="68">
        <f>일위대가총괄표!G14</f>
        <v>85974</v>
      </c>
      <c r="J14" s="69">
        <f t="shared" si="5"/>
        <v>25792</v>
      </c>
      <c r="K14" s="68">
        <f>일위대가총괄표!H14</f>
        <v>133018</v>
      </c>
      <c r="L14" s="69">
        <f t="shared" si="6"/>
        <v>39905</v>
      </c>
      <c r="M14" s="68">
        <f>일위대가총괄표!I14</f>
        <v>0</v>
      </c>
      <c r="N14" s="69">
        <f t="shared" si="7"/>
        <v>0</v>
      </c>
      <c r="O14" s="36" t="s">
        <v>29</v>
      </c>
    </row>
    <row r="15" spans="2:27" ht="19.7" customHeight="1" x14ac:dyDescent="0.2">
      <c r="B15" s="71" t="s">
        <v>350</v>
      </c>
      <c r="C15" s="33" t="s">
        <v>206</v>
      </c>
      <c r="D15" s="33" t="s">
        <v>350</v>
      </c>
      <c r="E15" s="95">
        <v>1.1000000000000001</v>
      </c>
      <c r="F15" s="34" t="s">
        <v>243</v>
      </c>
      <c r="G15" s="41">
        <f t="shared" si="0"/>
        <v>13026</v>
      </c>
      <c r="H15" s="69" t="str">
        <f t="shared" si="4"/>
        <v>14,328</v>
      </c>
      <c r="I15" s="68">
        <f>일위대가총괄표!G15</f>
        <v>13026</v>
      </c>
      <c r="J15" s="69">
        <f t="shared" si="5"/>
        <v>14328</v>
      </c>
      <c r="K15" s="68">
        <f>일위대가총괄표!H15</f>
        <v>0</v>
      </c>
      <c r="L15" s="69">
        <f t="shared" si="6"/>
        <v>0</v>
      </c>
      <c r="M15" s="68">
        <f>일위대가총괄표!I15</f>
        <v>0</v>
      </c>
      <c r="N15" s="69">
        <f t="shared" si="7"/>
        <v>0</v>
      </c>
      <c r="O15" s="36" t="s">
        <v>236</v>
      </c>
    </row>
    <row r="16" spans="2:27" ht="19.7" customHeight="1" x14ac:dyDescent="0.2">
      <c r="B16" s="71" t="s">
        <v>350</v>
      </c>
      <c r="C16" s="33" t="s">
        <v>82</v>
      </c>
      <c r="D16" s="33" t="s">
        <v>350</v>
      </c>
      <c r="E16" s="95">
        <v>0.5</v>
      </c>
      <c r="F16" s="34" t="s">
        <v>243</v>
      </c>
      <c r="G16" s="41">
        <f t="shared" si="0"/>
        <v>26052</v>
      </c>
      <c r="H16" s="69" t="str">
        <f t="shared" si="4"/>
        <v>13,026</v>
      </c>
      <c r="I16" s="68">
        <f>일위대가총괄표!G16</f>
        <v>26052</v>
      </c>
      <c r="J16" s="69">
        <f t="shared" si="5"/>
        <v>13026</v>
      </c>
      <c r="K16" s="68">
        <f>일위대가총괄표!H16</f>
        <v>0</v>
      </c>
      <c r="L16" s="69">
        <f t="shared" si="6"/>
        <v>0</v>
      </c>
      <c r="M16" s="68">
        <f>일위대가총괄표!I16</f>
        <v>0</v>
      </c>
      <c r="N16" s="69">
        <f t="shared" si="7"/>
        <v>0</v>
      </c>
      <c r="O16" s="36" t="s">
        <v>20</v>
      </c>
    </row>
    <row r="17" spans="2:15" ht="19.7" customHeight="1" x14ac:dyDescent="0.2">
      <c r="B17" s="71" t="s">
        <v>350</v>
      </c>
      <c r="C17" s="33" t="s">
        <v>350</v>
      </c>
      <c r="D17" s="33" t="s">
        <v>350</v>
      </c>
      <c r="E17" s="35"/>
      <c r="F17" s="34" t="s">
        <v>350</v>
      </c>
      <c r="G17" s="41"/>
      <c r="H17" s="69"/>
      <c r="I17" s="41"/>
      <c r="J17" s="35"/>
      <c r="K17" s="41"/>
      <c r="L17" s="35"/>
      <c r="M17" s="41"/>
      <c r="N17" s="35"/>
      <c r="O17" s="36" t="s">
        <v>350</v>
      </c>
    </row>
    <row r="18" spans="2:15" ht="19.7" customHeight="1" x14ac:dyDescent="0.2">
      <c r="B18" s="65" t="s">
        <v>249</v>
      </c>
      <c r="C18" s="66" t="s">
        <v>352</v>
      </c>
      <c r="D18" s="66" t="s">
        <v>371</v>
      </c>
      <c r="E18" s="35"/>
      <c r="F18" s="92" t="s">
        <v>350</v>
      </c>
      <c r="G18" s="41"/>
      <c r="H18" s="93" t="str">
        <f>TEXT(J18+L18+N18,"#,##0")</f>
        <v>1,133,877</v>
      </c>
      <c r="I18" s="41"/>
      <c r="J18" s="93" t="str">
        <f>TEXT(J19+J20+J21+J22+J24+J25+J26+J27+J28+J29,"#,##0")</f>
        <v>1,005,072</v>
      </c>
      <c r="K18" s="41"/>
      <c r="L18" s="93" t="str">
        <f>TEXT(L19+L20+L21+L22+L24+L25+L26+L27+L28+L29,"#,##0")</f>
        <v>52,667</v>
      </c>
      <c r="M18" s="41"/>
      <c r="N18" s="93" t="str">
        <f>TEXT(N19+N20+N21+N22+N24+N25+N26+N27+N28+N29,"#,##0")</f>
        <v>76,138</v>
      </c>
      <c r="O18" s="94" t="s">
        <v>350</v>
      </c>
    </row>
    <row r="19" spans="2:15" ht="19.7" customHeight="1" x14ac:dyDescent="0.2">
      <c r="B19" s="71" t="s">
        <v>350</v>
      </c>
      <c r="C19" s="33" t="s">
        <v>238</v>
      </c>
      <c r="D19" s="33" t="s">
        <v>375</v>
      </c>
      <c r="E19" s="35">
        <v>1</v>
      </c>
      <c r="F19" s="34" t="s">
        <v>222</v>
      </c>
      <c r="G19" s="41">
        <f t="shared" si="0"/>
        <v>75410</v>
      </c>
      <c r="H19" s="69" t="str">
        <f>TEXT(J19+L19+N19,"#,##0")</f>
        <v>75,410</v>
      </c>
      <c r="I19" s="68"/>
      <c r="J19" s="69">
        <f>TRUNC(E19*I19,0)</f>
        <v>0</v>
      </c>
      <c r="K19" s="68"/>
      <c r="L19" s="69">
        <f>TRUNC(E19*K19,0)</f>
        <v>0</v>
      </c>
      <c r="M19" s="68">
        <f>자재단가!R5</f>
        <v>75410</v>
      </c>
      <c r="N19" s="69">
        <f>TRUNC(E19*M19,0)</f>
        <v>75410</v>
      </c>
      <c r="O19" s="36" t="s">
        <v>350</v>
      </c>
    </row>
    <row r="20" spans="2:15" ht="19.7" customHeight="1" x14ac:dyDescent="0.2">
      <c r="B20" s="71" t="s">
        <v>350</v>
      </c>
      <c r="C20" s="33" t="s">
        <v>15</v>
      </c>
      <c r="D20" s="33" t="s">
        <v>274</v>
      </c>
      <c r="E20" s="35">
        <v>0</v>
      </c>
      <c r="F20" s="34" t="s">
        <v>72</v>
      </c>
      <c r="G20" s="41">
        <f t="shared" si="0"/>
        <v>133528</v>
      </c>
      <c r="H20" s="69" t="str">
        <f>TEXT(J20+L20+N20,"#,##0")</f>
        <v>0</v>
      </c>
      <c r="I20" s="68">
        <f>일위대가총괄표!G6</f>
        <v>133528</v>
      </c>
      <c r="J20" s="69">
        <f>TRUNC(E20*I20,0)</f>
        <v>0</v>
      </c>
      <c r="K20" s="68">
        <f>일위대가총괄표!H7</f>
        <v>0</v>
      </c>
      <c r="L20" s="69">
        <f>TRUNC(E20*K20,0)</f>
        <v>0</v>
      </c>
      <c r="M20" s="68">
        <f>일위대가총괄표!I7</f>
        <v>0</v>
      </c>
      <c r="N20" s="69">
        <f>TRUNC(E20*M20,0)</f>
        <v>0</v>
      </c>
      <c r="O20" s="36" t="s">
        <v>370</v>
      </c>
    </row>
    <row r="21" spans="2:15" ht="19.7" customHeight="1" x14ac:dyDescent="0.2">
      <c r="B21" s="71" t="s">
        <v>350</v>
      </c>
      <c r="C21" s="33" t="s">
        <v>369</v>
      </c>
      <c r="D21" s="33" t="s">
        <v>2</v>
      </c>
      <c r="E21" s="35">
        <v>8</v>
      </c>
      <c r="F21" s="34" t="s">
        <v>198</v>
      </c>
      <c r="G21" s="41">
        <f t="shared" si="0"/>
        <v>14593</v>
      </c>
      <c r="H21" s="69" t="str">
        <f>TEXT(J21+L21+N21,"#,##0")</f>
        <v>116,744</v>
      </c>
      <c r="I21" s="68">
        <f>일위대가총괄표!G10</f>
        <v>14593</v>
      </c>
      <c r="J21" s="69">
        <f>TRUNC(E21*I21,0)</f>
        <v>116744</v>
      </c>
      <c r="K21" s="68">
        <f>일위대가총괄표!H9</f>
        <v>0</v>
      </c>
      <c r="L21" s="69">
        <f>TRUNC(E21*K21,0)</f>
        <v>0</v>
      </c>
      <c r="M21" s="68">
        <f>일위대가총괄표!I9</f>
        <v>0</v>
      </c>
      <c r="N21" s="69">
        <f>TRUNC(E21*M21,0)</f>
        <v>0</v>
      </c>
      <c r="O21" s="36" t="s">
        <v>372</v>
      </c>
    </row>
    <row r="22" spans="2:15" ht="19.7" customHeight="1" x14ac:dyDescent="0.2">
      <c r="B22" s="71" t="s">
        <v>350</v>
      </c>
      <c r="C22" s="33" t="s">
        <v>283</v>
      </c>
      <c r="D22" s="33" t="s">
        <v>180</v>
      </c>
      <c r="E22" s="35">
        <v>90</v>
      </c>
      <c r="F22" s="34" t="s">
        <v>198</v>
      </c>
      <c r="G22" s="41">
        <f t="shared" si="0"/>
        <v>9071</v>
      </c>
      <c r="H22" s="69" t="str">
        <f>TEXT(J22+L22+N22,"#,##0")</f>
        <v>816,390</v>
      </c>
      <c r="I22" s="68">
        <f>일위대가총괄표!G12</f>
        <v>9071</v>
      </c>
      <c r="J22" s="69">
        <f>TRUNC(E22*I22,0)</f>
        <v>816390</v>
      </c>
      <c r="K22" s="68">
        <f>일위대가총괄표!H12</f>
        <v>0</v>
      </c>
      <c r="L22" s="69">
        <f>TRUNC(E22*K22,0)</f>
        <v>0</v>
      </c>
      <c r="M22" s="68">
        <f>일위대가총괄표!I12</f>
        <v>0</v>
      </c>
      <c r="N22" s="69">
        <f>TRUNC(E22*M22,0)</f>
        <v>0</v>
      </c>
      <c r="O22" s="36" t="s">
        <v>204</v>
      </c>
    </row>
    <row r="23" spans="2:15" ht="19.7" customHeight="1" x14ac:dyDescent="0.2">
      <c r="B23" s="71" t="s">
        <v>261</v>
      </c>
      <c r="C23" s="33" t="s">
        <v>197</v>
      </c>
      <c r="D23" s="33" t="s">
        <v>350</v>
      </c>
      <c r="E23" s="35"/>
      <c r="F23" s="34"/>
      <c r="G23" s="41"/>
      <c r="H23" s="69"/>
      <c r="I23" s="41"/>
      <c r="J23" s="35"/>
      <c r="K23" s="41"/>
      <c r="L23" s="35"/>
      <c r="M23" s="41"/>
      <c r="N23" s="35"/>
      <c r="O23" s="36" t="s">
        <v>350</v>
      </c>
    </row>
    <row r="24" spans="2:15" ht="19.7" customHeight="1" x14ac:dyDescent="0.2">
      <c r="B24" s="71" t="s">
        <v>350</v>
      </c>
      <c r="C24" s="33" t="s">
        <v>335</v>
      </c>
      <c r="D24" s="33" t="s">
        <v>350</v>
      </c>
      <c r="E24" s="35">
        <f>V8</f>
        <v>100</v>
      </c>
      <c r="F24" s="34" t="s">
        <v>199</v>
      </c>
      <c r="G24" s="41">
        <f t="shared" si="0"/>
        <v>106</v>
      </c>
      <c r="H24" s="69" t="str">
        <f t="shared" ref="H24:H29" si="8">TEXT(J24+L24+N24,"#,##0")</f>
        <v>10,600</v>
      </c>
      <c r="I24" s="68">
        <f>자재단가!AA6</f>
        <v>0</v>
      </c>
      <c r="J24" s="69">
        <f t="shared" ref="J24:J29" si="9">TRUNC(E24*I24,0)</f>
        <v>0</v>
      </c>
      <c r="K24" s="68">
        <f>자재단가!R6</f>
        <v>106</v>
      </c>
      <c r="L24" s="69">
        <f t="shared" ref="L24:L29" si="10">TRUNC(E24*K24,0)</f>
        <v>10600</v>
      </c>
      <c r="M24" s="68">
        <f>자재단가!AC6</f>
        <v>0</v>
      </c>
      <c r="N24" s="69">
        <f t="shared" ref="N24:N29" si="11">TRUNC(E24*M24,0)</f>
        <v>0</v>
      </c>
      <c r="O24" s="36" t="s">
        <v>350</v>
      </c>
    </row>
    <row r="25" spans="2:15" ht="19.7" customHeight="1" x14ac:dyDescent="0.2">
      <c r="B25" s="71" t="s">
        <v>350</v>
      </c>
      <c r="C25" s="33" t="s">
        <v>145</v>
      </c>
      <c r="D25" s="33" t="s">
        <v>324</v>
      </c>
      <c r="E25" s="131">
        <f>V9</f>
        <v>7.1945250000000016E-2</v>
      </c>
      <c r="F25" s="34" t="s">
        <v>243</v>
      </c>
      <c r="G25" s="41">
        <f t="shared" si="0"/>
        <v>22000</v>
      </c>
      <c r="H25" s="69" t="str">
        <f t="shared" si="8"/>
        <v>1,582</v>
      </c>
      <c r="I25" s="68">
        <f>자재단가!AA7</f>
        <v>0</v>
      </c>
      <c r="J25" s="69">
        <f t="shared" si="9"/>
        <v>0</v>
      </c>
      <c r="K25" s="68">
        <f>자재단가!R7</f>
        <v>22000</v>
      </c>
      <c r="L25" s="69">
        <f t="shared" si="10"/>
        <v>1582</v>
      </c>
      <c r="M25" s="68">
        <f>자재단가!AC7</f>
        <v>0</v>
      </c>
      <c r="N25" s="69">
        <f t="shared" si="11"/>
        <v>0</v>
      </c>
      <c r="O25" s="36" t="s">
        <v>350</v>
      </c>
    </row>
    <row r="26" spans="2:15" ht="19.7" customHeight="1" x14ac:dyDescent="0.2">
      <c r="B26" s="71" t="s">
        <v>168</v>
      </c>
      <c r="C26" s="33" t="s">
        <v>287</v>
      </c>
      <c r="D26" s="33" t="s">
        <v>127</v>
      </c>
      <c r="E26" s="95">
        <v>1.6</v>
      </c>
      <c r="F26" s="34" t="s">
        <v>243</v>
      </c>
      <c r="G26" s="41">
        <f t="shared" si="0"/>
        <v>12563</v>
      </c>
      <c r="H26" s="69" t="str">
        <f t="shared" si="8"/>
        <v>20,100</v>
      </c>
      <c r="I26" s="68" t="str">
        <f>단가산출총괄표!G4</f>
        <v>11,745</v>
      </c>
      <c r="J26" s="69">
        <f t="shared" si="9"/>
        <v>18792</v>
      </c>
      <c r="K26" s="68" t="str">
        <f>단가산출총괄표!H4</f>
        <v>363</v>
      </c>
      <c r="L26" s="69">
        <f t="shared" si="10"/>
        <v>580</v>
      </c>
      <c r="M26" s="68" t="str">
        <f>단가산출총괄표!I4</f>
        <v>455</v>
      </c>
      <c r="N26" s="69">
        <f t="shared" si="11"/>
        <v>728</v>
      </c>
      <c r="O26" s="36" t="s">
        <v>58</v>
      </c>
    </row>
    <row r="27" spans="2:15" ht="19.7" customHeight="1" x14ac:dyDescent="0.2">
      <c r="B27" s="71" t="s">
        <v>350</v>
      </c>
      <c r="C27" s="33" t="s">
        <v>288</v>
      </c>
      <c r="D27" s="33" t="s">
        <v>68</v>
      </c>
      <c r="E27" s="95">
        <v>0.3</v>
      </c>
      <c r="F27" s="34" t="s">
        <v>243</v>
      </c>
      <c r="G27" s="41">
        <f t="shared" si="0"/>
        <v>218992</v>
      </c>
      <c r="H27" s="69" t="str">
        <f t="shared" si="8"/>
        <v>65,697</v>
      </c>
      <c r="I27" s="68">
        <f>일위대가총괄표!G14</f>
        <v>85974</v>
      </c>
      <c r="J27" s="69">
        <f t="shared" si="9"/>
        <v>25792</v>
      </c>
      <c r="K27" s="68">
        <f>일위대가총괄표!H14</f>
        <v>133018</v>
      </c>
      <c r="L27" s="69">
        <f t="shared" si="10"/>
        <v>39905</v>
      </c>
      <c r="M27" s="68">
        <f>일위대가총괄표!I14</f>
        <v>0</v>
      </c>
      <c r="N27" s="69">
        <f t="shared" si="11"/>
        <v>0</v>
      </c>
      <c r="O27" s="36" t="s">
        <v>29</v>
      </c>
    </row>
    <row r="28" spans="2:15" ht="19.7" customHeight="1" x14ac:dyDescent="0.2">
      <c r="B28" s="71" t="s">
        <v>350</v>
      </c>
      <c r="C28" s="33" t="s">
        <v>206</v>
      </c>
      <c r="D28" s="33" t="s">
        <v>350</v>
      </c>
      <c r="E28" s="95">
        <v>1.1000000000000001</v>
      </c>
      <c r="F28" s="34" t="s">
        <v>243</v>
      </c>
      <c r="G28" s="41">
        <f t="shared" si="0"/>
        <v>13026</v>
      </c>
      <c r="H28" s="69" t="str">
        <f t="shared" si="8"/>
        <v>14,328</v>
      </c>
      <c r="I28" s="68">
        <f>일위대가총괄표!G15</f>
        <v>13026</v>
      </c>
      <c r="J28" s="69">
        <f t="shared" si="9"/>
        <v>14328</v>
      </c>
      <c r="K28" s="68">
        <f>일위대가총괄표!H15</f>
        <v>0</v>
      </c>
      <c r="L28" s="69">
        <f t="shared" si="10"/>
        <v>0</v>
      </c>
      <c r="M28" s="68">
        <f>일위대가총괄표!I15</f>
        <v>0</v>
      </c>
      <c r="N28" s="69">
        <f t="shared" si="11"/>
        <v>0</v>
      </c>
      <c r="O28" s="36" t="s">
        <v>236</v>
      </c>
    </row>
    <row r="29" spans="2:15" ht="19.7" customHeight="1" x14ac:dyDescent="0.2">
      <c r="B29" s="71" t="s">
        <v>350</v>
      </c>
      <c r="C29" s="33" t="s">
        <v>82</v>
      </c>
      <c r="D29" s="33" t="s">
        <v>350</v>
      </c>
      <c r="E29" s="95">
        <v>0.5</v>
      </c>
      <c r="F29" s="34" t="s">
        <v>243</v>
      </c>
      <c r="G29" s="41">
        <f t="shared" si="0"/>
        <v>26052</v>
      </c>
      <c r="H29" s="69" t="str">
        <f t="shared" si="8"/>
        <v>13,026</v>
      </c>
      <c r="I29" s="68">
        <f>일위대가총괄표!G16</f>
        <v>26052</v>
      </c>
      <c r="J29" s="69">
        <f t="shared" si="9"/>
        <v>13026</v>
      </c>
      <c r="K29" s="68">
        <f>일위대가총괄표!H16</f>
        <v>0</v>
      </c>
      <c r="L29" s="69">
        <f t="shared" si="10"/>
        <v>0</v>
      </c>
      <c r="M29" s="68">
        <f>일위대가총괄표!I16</f>
        <v>0</v>
      </c>
      <c r="N29" s="69">
        <f t="shared" si="11"/>
        <v>0</v>
      </c>
      <c r="O29" s="36" t="s">
        <v>20</v>
      </c>
    </row>
    <row r="30" spans="2:15" ht="19.7" customHeight="1" x14ac:dyDescent="0.2">
      <c r="B30" s="73" t="s">
        <v>350</v>
      </c>
      <c r="C30" s="38" t="s">
        <v>350</v>
      </c>
      <c r="D30" s="38" t="s">
        <v>350</v>
      </c>
      <c r="E30" s="24"/>
      <c r="F30" s="39" t="s">
        <v>350</v>
      </c>
      <c r="G30" s="23"/>
      <c r="H30" s="74"/>
      <c r="I30" s="23"/>
      <c r="J30" s="24"/>
      <c r="K30" s="23"/>
      <c r="L30" s="24"/>
      <c r="M30" s="23"/>
      <c r="N30" s="24"/>
      <c r="O30" s="40" t="s">
        <v>350</v>
      </c>
    </row>
    <row r="31" spans="2:15" ht="19.7" customHeight="1" x14ac:dyDescent="0.2">
      <c r="B31" s="65" t="s">
        <v>348</v>
      </c>
      <c r="C31" s="66" t="s">
        <v>352</v>
      </c>
      <c r="D31" s="66" t="s">
        <v>373</v>
      </c>
      <c r="E31" s="35"/>
      <c r="F31" s="92" t="s">
        <v>350</v>
      </c>
      <c r="G31" s="41"/>
      <c r="H31" s="93" t="str">
        <f>TEXT(J31+L31+N31,"#,##0")</f>
        <v>1,418,266</v>
      </c>
      <c r="I31" s="41"/>
      <c r="J31" s="93" t="str">
        <f>TEXT(J32+J33+J34+J35+J37+J38+J39+J40+J41+J42,"#,##0")</f>
        <v>1,312,315</v>
      </c>
      <c r="K31" s="41"/>
      <c r="L31" s="93" t="str">
        <f>TEXT(L32+L33+L34+L35+L37+L38+L39+L40+L41+L42,"#,##0")</f>
        <v>59,233</v>
      </c>
      <c r="M31" s="41"/>
      <c r="N31" s="93" t="str">
        <f>TEXT(N32+N33+N34+N35+N37+N38+N39+N40+N41+N42,"#,##0")</f>
        <v>46,718</v>
      </c>
      <c r="O31" s="94" t="s">
        <v>350</v>
      </c>
    </row>
    <row r="32" spans="2:15" ht="19.7" customHeight="1" x14ac:dyDescent="0.2">
      <c r="B32" s="71" t="s">
        <v>350</v>
      </c>
      <c r="C32" s="33" t="s">
        <v>238</v>
      </c>
      <c r="D32" s="33" t="s">
        <v>285</v>
      </c>
      <c r="E32" s="35">
        <v>1</v>
      </c>
      <c r="F32" s="34" t="s">
        <v>222</v>
      </c>
      <c r="G32" s="41">
        <f t="shared" si="0"/>
        <v>45990</v>
      </c>
      <c r="H32" s="69" t="str">
        <f>TEXT(J32+L32+N32,"#,##0")</f>
        <v>45,990</v>
      </c>
      <c r="I32" s="68"/>
      <c r="J32" s="69">
        <f>TRUNC(E32*I32,0)</f>
        <v>0</v>
      </c>
      <c r="K32" s="68"/>
      <c r="L32" s="69">
        <f>TRUNC(E32*K32,0)</f>
        <v>0</v>
      </c>
      <c r="M32" s="68">
        <f>자재단가!R9</f>
        <v>45990</v>
      </c>
      <c r="N32" s="69">
        <f>TRUNC(E32*M32,0)</f>
        <v>45990</v>
      </c>
      <c r="O32" s="36" t="s">
        <v>350</v>
      </c>
    </row>
    <row r="33" spans="2:15" ht="19.7" customHeight="1" x14ac:dyDescent="0.2">
      <c r="B33" s="71" t="s">
        <v>350</v>
      </c>
      <c r="C33" s="33" t="s">
        <v>15</v>
      </c>
      <c r="D33" s="33" t="s">
        <v>274</v>
      </c>
      <c r="E33" s="35">
        <v>0</v>
      </c>
      <c r="F33" s="34" t="s">
        <v>72</v>
      </c>
      <c r="G33" s="41">
        <f t="shared" si="0"/>
        <v>133528</v>
      </c>
      <c r="H33" s="69" t="str">
        <f>TEXT(J33+L33+N33,"#,##0")</f>
        <v>0</v>
      </c>
      <c r="I33" s="68">
        <f>일위대가총괄표!G6</f>
        <v>133528</v>
      </c>
      <c r="J33" s="69">
        <f>TRUNC(E33*I33,0)</f>
        <v>0</v>
      </c>
      <c r="K33" s="68">
        <f>일위대가총괄표!H7</f>
        <v>0</v>
      </c>
      <c r="L33" s="69">
        <f>TRUNC(E33*K33,0)</f>
        <v>0</v>
      </c>
      <c r="M33" s="68">
        <f>일위대가총괄표!I7</f>
        <v>0</v>
      </c>
      <c r="N33" s="69">
        <f>TRUNC(E33*M33,0)</f>
        <v>0</v>
      </c>
      <c r="O33" s="36" t="s">
        <v>92</v>
      </c>
    </row>
    <row r="34" spans="2:15" ht="19.7" customHeight="1" x14ac:dyDescent="0.2">
      <c r="B34" s="71" t="s">
        <v>350</v>
      </c>
      <c r="C34" s="33" t="s">
        <v>376</v>
      </c>
      <c r="D34" s="33" t="s">
        <v>274</v>
      </c>
      <c r="E34" s="35">
        <v>8</v>
      </c>
      <c r="F34" s="34" t="s">
        <v>198</v>
      </c>
      <c r="G34" s="41">
        <f t="shared" si="0"/>
        <v>29187</v>
      </c>
      <c r="H34" s="69" t="str">
        <f>TEXT(J34+L34+N34,"#,##0")</f>
        <v>233,496</v>
      </c>
      <c r="I34" s="68">
        <f>일위대가총괄표!G9</f>
        <v>29187</v>
      </c>
      <c r="J34" s="69">
        <f>TRUNC(E34*I34,0)</f>
        <v>233496</v>
      </c>
      <c r="K34" s="68">
        <f>일위대가총괄표!H9</f>
        <v>0</v>
      </c>
      <c r="L34" s="69">
        <f>TRUNC(E34*K34,0)</f>
        <v>0</v>
      </c>
      <c r="M34" s="68">
        <f>일위대가총괄표!I9</f>
        <v>0</v>
      </c>
      <c r="N34" s="69">
        <f>TRUNC(E34*M34,0)</f>
        <v>0</v>
      </c>
      <c r="O34" s="36" t="s">
        <v>107</v>
      </c>
    </row>
    <row r="35" spans="2:15" ht="19.7" customHeight="1" x14ac:dyDescent="0.2">
      <c r="B35" s="71" t="s">
        <v>350</v>
      </c>
      <c r="C35" s="33" t="s">
        <v>283</v>
      </c>
      <c r="D35" s="33" t="s">
        <v>180</v>
      </c>
      <c r="E35" s="35">
        <v>111</v>
      </c>
      <c r="F35" s="34" t="s">
        <v>198</v>
      </c>
      <c r="G35" s="41">
        <f t="shared" si="0"/>
        <v>9071</v>
      </c>
      <c r="H35" s="69" t="str">
        <f>TEXT(J35+L35+N35,"#,##0")</f>
        <v>1,006,881</v>
      </c>
      <c r="I35" s="68">
        <f>일위대가총괄표!G12</f>
        <v>9071</v>
      </c>
      <c r="J35" s="69">
        <f>TRUNC(E35*I35,0)</f>
        <v>1006881</v>
      </c>
      <c r="K35" s="68">
        <f>일위대가총괄표!H12</f>
        <v>0</v>
      </c>
      <c r="L35" s="69">
        <f>TRUNC(E35*K35,0)</f>
        <v>0</v>
      </c>
      <c r="M35" s="68">
        <f>일위대가총괄표!I12</f>
        <v>0</v>
      </c>
      <c r="N35" s="69">
        <f>TRUNC(E35*M35,0)</f>
        <v>0</v>
      </c>
      <c r="O35" s="36" t="s">
        <v>204</v>
      </c>
    </row>
    <row r="36" spans="2:15" ht="19.7" customHeight="1" x14ac:dyDescent="0.2">
      <c r="B36" s="71" t="s">
        <v>322</v>
      </c>
      <c r="C36" s="33" t="s">
        <v>197</v>
      </c>
      <c r="D36" s="33" t="s">
        <v>350</v>
      </c>
      <c r="E36" s="35"/>
      <c r="F36" s="34" t="s">
        <v>350</v>
      </c>
      <c r="G36" s="41"/>
      <c r="H36" s="69"/>
      <c r="I36" s="41"/>
      <c r="J36" s="35"/>
      <c r="K36" s="41"/>
      <c r="L36" s="35"/>
      <c r="M36" s="41"/>
      <c r="N36" s="35"/>
      <c r="O36" s="36" t="s">
        <v>350</v>
      </c>
    </row>
    <row r="37" spans="2:15" ht="19.7" customHeight="1" x14ac:dyDescent="0.2">
      <c r="B37" s="71" t="s">
        <v>350</v>
      </c>
      <c r="C37" s="33" t="s">
        <v>335</v>
      </c>
      <c r="D37" s="33" t="s">
        <v>350</v>
      </c>
      <c r="E37" s="35">
        <f>W8</f>
        <v>154</v>
      </c>
      <c r="F37" s="34" t="s">
        <v>199</v>
      </c>
      <c r="G37" s="41">
        <f t="shared" ref="G37:G111" si="12">I37+K37+M37</f>
        <v>106</v>
      </c>
      <c r="H37" s="69" t="str">
        <f t="shared" ref="H37:H42" si="13">TEXT(J37+L37+N37,"#,##0")</f>
        <v>16,324</v>
      </c>
      <c r="I37" s="68">
        <f>자재단가!AA6</f>
        <v>0</v>
      </c>
      <c r="J37" s="69">
        <f t="shared" ref="J37:J42" si="14">TRUNC(E37*I37,0)</f>
        <v>0</v>
      </c>
      <c r="K37" s="68">
        <f>자재단가!R6</f>
        <v>106</v>
      </c>
      <c r="L37" s="69">
        <f t="shared" ref="L37:L42" si="15">TRUNC(E37*K37,0)</f>
        <v>16324</v>
      </c>
      <c r="M37" s="68">
        <f>자재단가!AC6</f>
        <v>0</v>
      </c>
      <c r="N37" s="69">
        <f t="shared" ref="N37:N42" si="16">TRUNC(E37*M37,0)</f>
        <v>0</v>
      </c>
      <c r="O37" s="36" t="s">
        <v>350</v>
      </c>
    </row>
    <row r="38" spans="2:15" ht="19.7" customHeight="1" x14ac:dyDescent="0.2">
      <c r="B38" s="71" t="s">
        <v>350</v>
      </c>
      <c r="C38" s="33" t="s">
        <v>145</v>
      </c>
      <c r="D38" s="33" t="s">
        <v>324</v>
      </c>
      <c r="E38" s="131">
        <f>W9</f>
        <v>0.11021400000000001</v>
      </c>
      <c r="F38" s="34" t="s">
        <v>243</v>
      </c>
      <c r="G38" s="41">
        <f t="shared" si="12"/>
        <v>22000</v>
      </c>
      <c r="H38" s="69" t="str">
        <f t="shared" si="13"/>
        <v>2,424</v>
      </c>
      <c r="I38" s="68">
        <f>자재단가!AA7</f>
        <v>0</v>
      </c>
      <c r="J38" s="69">
        <f t="shared" si="14"/>
        <v>0</v>
      </c>
      <c r="K38" s="68">
        <f>자재단가!R7</f>
        <v>22000</v>
      </c>
      <c r="L38" s="69">
        <f t="shared" si="15"/>
        <v>2424</v>
      </c>
      <c r="M38" s="68">
        <f>자재단가!AC7</f>
        <v>0</v>
      </c>
      <c r="N38" s="69">
        <f t="shared" si="16"/>
        <v>0</v>
      </c>
      <c r="O38" s="36" t="s">
        <v>350</v>
      </c>
    </row>
    <row r="39" spans="2:15" ht="19.7" customHeight="1" x14ac:dyDescent="0.2">
      <c r="B39" s="71" t="s">
        <v>103</v>
      </c>
      <c r="C39" s="33" t="s">
        <v>287</v>
      </c>
      <c r="D39" s="33" t="s">
        <v>127</v>
      </c>
      <c r="E39" s="95">
        <v>1.6</v>
      </c>
      <c r="F39" s="34" t="s">
        <v>243</v>
      </c>
      <c r="G39" s="41">
        <f t="shared" si="12"/>
        <v>12563</v>
      </c>
      <c r="H39" s="69" t="str">
        <f t="shared" si="13"/>
        <v>20,100</v>
      </c>
      <c r="I39" s="68" t="str">
        <f>단가산출총괄표!G4</f>
        <v>11,745</v>
      </c>
      <c r="J39" s="69">
        <f t="shared" si="14"/>
        <v>18792</v>
      </c>
      <c r="K39" s="68" t="str">
        <f>단가산출총괄표!H4</f>
        <v>363</v>
      </c>
      <c r="L39" s="69">
        <f t="shared" si="15"/>
        <v>580</v>
      </c>
      <c r="M39" s="68" t="str">
        <f>단가산출총괄표!I4</f>
        <v>455</v>
      </c>
      <c r="N39" s="69">
        <f t="shared" si="16"/>
        <v>728</v>
      </c>
      <c r="O39" s="36" t="s">
        <v>58</v>
      </c>
    </row>
    <row r="40" spans="2:15" ht="19.7" customHeight="1" x14ac:dyDescent="0.2">
      <c r="B40" s="71" t="s">
        <v>350</v>
      </c>
      <c r="C40" s="33" t="s">
        <v>288</v>
      </c>
      <c r="D40" s="33" t="s">
        <v>68</v>
      </c>
      <c r="E40" s="95">
        <v>0.3</v>
      </c>
      <c r="F40" s="34" t="s">
        <v>243</v>
      </c>
      <c r="G40" s="41">
        <f t="shared" si="12"/>
        <v>218992</v>
      </c>
      <c r="H40" s="69" t="str">
        <f t="shared" si="13"/>
        <v>65,697</v>
      </c>
      <c r="I40" s="68">
        <f>일위대가총괄표!G14</f>
        <v>85974</v>
      </c>
      <c r="J40" s="69">
        <f t="shared" si="14"/>
        <v>25792</v>
      </c>
      <c r="K40" s="68">
        <f>일위대가총괄표!H14</f>
        <v>133018</v>
      </c>
      <c r="L40" s="69">
        <f t="shared" si="15"/>
        <v>39905</v>
      </c>
      <c r="M40" s="68">
        <f>일위대가총괄표!I14</f>
        <v>0</v>
      </c>
      <c r="N40" s="69">
        <f t="shared" si="16"/>
        <v>0</v>
      </c>
      <c r="O40" s="36" t="s">
        <v>29</v>
      </c>
    </row>
    <row r="41" spans="2:15" ht="19.7" customHeight="1" x14ac:dyDescent="0.2">
      <c r="B41" s="71" t="s">
        <v>350</v>
      </c>
      <c r="C41" s="33" t="s">
        <v>206</v>
      </c>
      <c r="D41" s="33" t="s">
        <v>350</v>
      </c>
      <c r="E41" s="95">
        <v>1.1000000000000001</v>
      </c>
      <c r="F41" s="34" t="s">
        <v>243</v>
      </c>
      <c r="G41" s="41">
        <f t="shared" si="12"/>
        <v>13026</v>
      </c>
      <c r="H41" s="69" t="str">
        <f t="shared" si="13"/>
        <v>14,328</v>
      </c>
      <c r="I41" s="68">
        <f>일위대가총괄표!G15</f>
        <v>13026</v>
      </c>
      <c r="J41" s="69">
        <f t="shared" si="14"/>
        <v>14328</v>
      </c>
      <c r="K41" s="68">
        <f>일위대가총괄표!H15</f>
        <v>0</v>
      </c>
      <c r="L41" s="69">
        <f t="shared" si="15"/>
        <v>0</v>
      </c>
      <c r="M41" s="68">
        <f>일위대가총괄표!I15</f>
        <v>0</v>
      </c>
      <c r="N41" s="69">
        <f t="shared" si="16"/>
        <v>0</v>
      </c>
      <c r="O41" s="36" t="s">
        <v>236</v>
      </c>
    </row>
    <row r="42" spans="2:15" ht="19.7" customHeight="1" x14ac:dyDescent="0.2">
      <c r="B42" s="71" t="s">
        <v>350</v>
      </c>
      <c r="C42" s="33" t="s">
        <v>82</v>
      </c>
      <c r="D42" s="33" t="s">
        <v>350</v>
      </c>
      <c r="E42" s="95">
        <v>0.5</v>
      </c>
      <c r="F42" s="34" t="s">
        <v>243</v>
      </c>
      <c r="G42" s="41">
        <f t="shared" si="12"/>
        <v>26052</v>
      </c>
      <c r="H42" s="69" t="str">
        <f t="shared" si="13"/>
        <v>13,026</v>
      </c>
      <c r="I42" s="68">
        <f>일위대가총괄표!G16</f>
        <v>26052</v>
      </c>
      <c r="J42" s="69">
        <f t="shared" si="14"/>
        <v>13026</v>
      </c>
      <c r="K42" s="68">
        <f>일위대가총괄표!H16</f>
        <v>0</v>
      </c>
      <c r="L42" s="69">
        <f t="shared" si="15"/>
        <v>0</v>
      </c>
      <c r="M42" s="68">
        <f>일위대가총괄표!I16</f>
        <v>0</v>
      </c>
      <c r="N42" s="69">
        <f t="shared" si="16"/>
        <v>0</v>
      </c>
      <c r="O42" s="36" t="s">
        <v>20</v>
      </c>
    </row>
    <row r="43" spans="2:15" ht="19.7" customHeight="1" x14ac:dyDescent="0.2">
      <c r="B43" s="71" t="s">
        <v>350</v>
      </c>
      <c r="C43" s="33" t="s">
        <v>350</v>
      </c>
      <c r="D43" s="33" t="s">
        <v>350</v>
      </c>
      <c r="E43" s="35"/>
      <c r="F43" s="34" t="s">
        <v>350</v>
      </c>
      <c r="G43" s="41"/>
      <c r="H43" s="69"/>
      <c r="I43" s="41"/>
      <c r="J43" s="35"/>
      <c r="K43" s="41"/>
      <c r="L43" s="35"/>
      <c r="M43" s="41"/>
      <c r="N43" s="35"/>
      <c r="O43" s="36" t="s">
        <v>350</v>
      </c>
    </row>
    <row r="44" spans="2:15" ht="19.7" customHeight="1" x14ac:dyDescent="0.2">
      <c r="B44" s="65">
        <v>4</v>
      </c>
      <c r="C44" s="66" t="s">
        <v>352</v>
      </c>
      <c r="D44" s="66" t="s">
        <v>374</v>
      </c>
      <c r="E44" s="35"/>
      <c r="F44" s="92" t="s">
        <v>350</v>
      </c>
      <c r="G44" s="41"/>
      <c r="H44" s="93" t="str">
        <f t="shared" ref="H44:H55" si="17">TEXT(J44+L44+N44,"#,##0")</f>
        <v>1,079,753</v>
      </c>
      <c r="I44" s="41"/>
      <c r="J44" s="93" t="str">
        <f>TEXT(J45+J46+J47+J48+J50+J51+J52+J53+J54+J55,"#,##0")</f>
        <v>990,479</v>
      </c>
      <c r="K44" s="41"/>
      <c r="L44" s="93" t="str">
        <f>TEXT(L45+L46+L47+L48+L50+L51+L52+L53+L54+L55,"#,##0")</f>
        <v>42,556</v>
      </c>
      <c r="M44" s="41"/>
      <c r="N44" s="93" t="str">
        <f>TEXT(N45+N46+N47+N48+N50+N51+N52+N53+N54+N55,"#,##0")</f>
        <v>46,718</v>
      </c>
      <c r="O44" s="94" t="s">
        <v>350</v>
      </c>
    </row>
    <row r="45" spans="2:15" ht="19.7" customHeight="1" x14ac:dyDescent="0.2">
      <c r="B45" s="71" t="s">
        <v>350</v>
      </c>
      <c r="C45" s="33" t="s">
        <v>238</v>
      </c>
      <c r="D45" s="33" t="s">
        <v>285</v>
      </c>
      <c r="E45" s="35">
        <v>1</v>
      </c>
      <c r="F45" s="34" t="s">
        <v>222</v>
      </c>
      <c r="G45" s="41">
        <f t="shared" si="12"/>
        <v>45990</v>
      </c>
      <c r="H45" s="69" t="str">
        <f t="shared" si="17"/>
        <v>45,990</v>
      </c>
      <c r="I45" s="68"/>
      <c r="J45" s="69">
        <f>TRUNC(E45*I45,0)</f>
        <v>0</v>
      </c>
      <c r="K45" s="68"/>
      <c r="L45" s="69">
        <f>TRUNC(E45*K45,0)</f>
        <v>0</v>
      </c>
      <c r="M45" s="68">
        <f>자재단가!R9</f>
        <v>45990</v>
      </c>
      <c r="N45" s="69">
        <f>TRUNC(E45*M45,0)</f>
        <v>45990</v>
      </c>
      <c r="O45" s="36" t="s">
        <v>350</v>
      </c>
    </row>
    <row r="46" spans="2:15" ht="19.7" customHeight="1" x14ac:dyDescent="0.2">
      <c r="B46" s="71" t="s">
        <v>350</v>
      </c>
      <c r="C46" s="33" t="s">
        <v>15</v>
      </c>
      <c r="D46" s="33" t="s">
        <v>274</v>
      </c>
      <c r="E46" s="35">
        <v>0</v>
      </c>
      <c r="F46" s="34" t="s">
        <v>72</v>
      </c>
      <c r="G46" s="41">
        <f t="shared" si="12"/>
        <v>133528</v>
      </c>
      <c r="H46" s="69" t="str">
        <f t="shared" si="17"/>
        <v>0</v>
      </c>
      <c r="I46" s="68">
        <f>일위대가총괄표!G6</f>
        <v>133528</v>
      </c>
      <c r="J46" s="69">
        <f>TRUNC(E46*I46,0)</f>
        <v>0</v>
      </c>
      <c r="K46" s="68">
        <f>일위대가총괄표!H33</f>
        <v>0</v>
      </c>
      <c r="L46" s="69">
        <f>TRUNC(E46*K46,0)</f>
        <v>0</v>
      </c>
      <c r="M46" s="68">
        <f>일위대가총괄표!I33</f>
        <v>0</v>
      </c>
      <c r="N46" s="69">
        <f>TRUNC(E46*M46,0)</f>
        <v>0</v>
      </c>
      <c r="O46" s="36" t="s">
        <v>92</v>
      </c>
    </row>
    <row r="47" spans="2:15" ht="19.7" customHeight="1" x14ac:dyDescent="0.2">
      <c r="B47" s="71" t="s">
        <v>350</v>
      </c>
      <c r="C47" s="33" t="s">
        <v>377</v>
      </c>
      <c r="D47" s="33" t="s">
        <v>2</v>
      </c>
      <c r="E47" s="35">
        <v>7</v>
      </c>
      <c r="F47" s="34" t="s">
        <v>198</v>
      </c>
      <c r="G47" s="41">
        <f t="shared" si="12"/>
        <v>14593</v>
      </c>
      <c r="H47" s="69" t="str">
        <f t="shared" si="17"/>
        <v>102,151</v>
      </c>
      <c r="I47" s="68">
        <f>일위대가총괄표!G10</f>
        <v>14593</v>
      </c>
      <c r="J47" s="69">
        <f>TRUNC(E47*I47,0)</f>
        <v>102151</v>
      </c>
      <c r="K47" s="68">
        <f>일위대가총괄표!H35</f>
        <v>0</v>
      </c>
      <c r="L47" s="69">
        <f>TRUNC(E47*K47,0)</f>
        <v>0</v>
      </c>
      <c r="M47" s="68">
        <f>일위대가총괄표!I35</f>
        <v>0</v>
      </c>
      <c r="N47" s="69">
        <f>TRUNC(E47*M47,0)</f>
        <v>0</v>
      </c>
      <c r="O47" s="36" t="s">
        <v>107</v>
      </c>
    </row>
    <row r="48" spans="2:15" ht="19.7" customHeight="1" x14ac:dyDescent="0.2">
      <c r="B48" s="71" t="s">
        <v>350</v>
      </c>
      <c r="C48" s="33" t="s">
        <v>283</v>
      </c>
      <c r="D48" s="33" t="s">
        <v>180</v>
      </c>
      <c r="E48" s="35">
        <v>90</v>
      </c>
      <c r="F48" s="34" t="s">
        <v>198</v>
      </c>
      <c r="G48" s="41">
        <f t="shared" si="12"/>
        <v>9071</v>
      </c>
      <c r="H48" s="69" t="str">
        <f t="shared" si="17"/>
        <v>816,390</v>
      </c>
      <c r="I48" s="68">
        <f>일위대가총괄표!G12</f>
        <v>9071</v>
      </c>
      <c r="J48" s="69">
        <f>TRUNC(E48*I48,0)</f>
        <v>816390</v>
      </c>
      <c r="K48" s="68">
        <f>일위대가총괄표!H38</f>
        <v>0</v>
      </c>
      <c r="L48" s="69">
        <f>TRUNC(E48*K48,0)</f>
        <v>0</v>
      </c>
      <c r="M48" s="68">
        <f>일위대가총괄표!I38</f>
        <v>0</v>
      </c>
      <c r="N48" s="69">
        <f>TRUNC(E48*M48,0)</f>
        <v>0</v>
      </c>
      <c r="O48" s="36" t="s">
        <v>204</v>
      </c>
    </row>
    <row r="49" spans="2:15" ht="19.7" customHeight="1" x14ac:dyDescent="0.2">
      <c r="B49" s="71" t="s">
        <v>261</v>
      </c>
      <c r="C49" s="33" t="s">
        <v>197</v>
      </c>
      <c r="D49" s="33" t="s">
        <v>350</v>
      </c>
      <c r="E49" s="35"/>
      <c r="F49" s="34" t="s">
        <v>350</v>
      </c>
      <c r="G49" s="41"/>
      <c r="H49" s="69"/>
      <c r="I49" s="41"/>
      <c r="J49" s="35"/>
      <c r="K49" s="41"/>
      <c r="L49" s="35"/>
      <c r="M49" s="41"/>
      <c r="N49" s="35"/>
      <c r="O49" s="36" t="s">
        <v>350</v>
      </c>
    </row>
    <row r="50" spans="2:15" ht="19.7" customHeight="1" x14ac:dyDescent="0.2">
      <c r="B50" s="71" t="s">
        <v>350</v>
      </c>
      <c r="C50" s="33" t="s">
        <v>335</v>
      </c>
      <c r="D50" s="33" t="s">
        <v>350</v>
      </c>
      <c r="E50" s="35">
        <f>X8</f>
        <v>17</v>
      </c>
      <c r="F50" s="34" t="s">
        <v>199</v>
      </c>
      <c r="G50" s="41">
        <f t="shared" si="12"/>
        <v>106</v>
      </c>
      <c r="H50" s="69" t="str">
        <f t="shared" si="17"/>
        <v>1,802</v>
      </c>
      <c r="I50" s="68">
        <f>자재단가!AA32</f>
        <v>0</v>
      </c>
      <c r="J50" s="69">
        <f t="shared" ref="J50:J55" si="18">TRUNC(E50*I50,0)</f>
        <v>0</v>
      </c>
      <c r="K50" s="68">
        <f>자재단가!R6</f>
        <v>106</v>
      </c>
      <c r="L50" s="69">
        <f t="shared" ref="L50:L55" si="19">TRUNC(E50*K50,0)</f>
        <v>1802</v>
      </c>
      <c r="M50" s="68">
        <f>자재단가!AC32</f>
        <v>0</v>
      </c>
      <c r="N50" s="69">
        <f t="shared" ref="N50:N55" si="20">TRUNC(E50*M50,0)</f>
        <v>0</v>
      </c>
      <c r="O50" s="36" t="s">
        <v>350</v>
      </c>
    </row>
    <row r="51" spans="2:15" ht="19.7" customHeight="1" x14ac:dyDescent="0.2">
      <c r="B51" s="71" t="s">
        <v>350</v>
      </c>
      <c r="C51" s="33" t="s">
        <v>145</v>
      </c>
      <c r="D51" s="33" t="s">
        <v>324</v>
      </c>
      <c r="E51" s="131">
        <f>X9</f>
        <v>1.2246000000000002E-2</v>
      </c>
      <c r="F51" s="34" t="s">
        <v>243</v>
      </c>
      <c r="G51" s="41">
        <f t="shared" si="12"/>
        <v>22000</v>
      </c>
      <c r="H51" s="69" t="str">
        <f t="shared" si="17"/>
        <v>269</v>
      </c>
      <c r="I51" s="68">
        <f>자재단가!AA33</f>
        <v>0</v>
      </c>
      <c r="J51" s="69">
        <f t="shared" si="18"/>
        <v>0</v>
      </c>
      <c r="K51" s="68">
        <f>자재단가!R7</f>
        <v>22000</v>
      </c>
      <c r="L51" s="69">
        <f t="shared" si="19"/>
        <v>269</v>
      </c>
      <c r="M51" s="68">
        <f>자재단가!AC33</f>
        <v>0</v>
      </c>
      <c r="N51" s="69">
        <f t="shared" si="20"/>
        <v>0</v>
      </c>
      <c r="O51" s="36" t="s">
        <v>350</v>
      </c>
    </row>
    <row r="52" spans="2:15" ht="19.7" customHeight="1" x14ac:dyDescent="0.2">
      <c r="B52" s="71" t="s">
        <v>168</v>
      </c>
      <c r="C52" s="33" t="s">
        <v>287</v>
      </c>
      <c r="D52" s="33" t="s">
        <v>127</v>
      </c>
      <c r="E52" s="95">
        <v>1.6</v>
      </c>
      <c r="F52" s="34" t="s">
        <v>243</v>
      </c>
      <c r="G52" s="41">
        <f t="shared" si="12"/>
        <v>12563</v>
      </c>
      <c r="H52" s="69" t="str">
        <f t="shared" si="17"/>
        <v>20,100</v>
      </c>
      <c r="I52" s="68" t="str">
        <f>단가산출총괄표!G4</f>
        <v>11,745</v>
      </c>
      <c r="J52" s="69">
        <f t="shared" si="18"/>
        <v>18792</v>
      </c>
      <c r="K52" s="68" t="str">
        <f>단가산출총괄표!H4</f>
        <v>363</v>
      </c>
      <c r="L52" s="69">
        <f t="shared" si="19"/>
        <v>580</v>
      </c>
      <c r="M52" s="68" t="str">
        <f>단가산출총괄표!I4</f>
        <v>455</v>
      </c>
      <c r="N52" s="69">
        <f t="shared" si="20"/>
        <v>728</v>
      </c>
      <c r="O52" s="36" t="s">
        <v>58</v>
      </c>
    </row>
    <row r="53" spans="2:15" ht="19.7" customHeight="1" x14ac:dyDescent="0.2">
      <c r="B53" s="71" t="s">
        <v>350</v>
      </c>
      <c r="C53" s="33" t="s">
        <v>288</v>
      </c>
      <c r="D53" s="33" t="s">
        <v>68</v>
      </c>
      <c r="E53" s="95">
        <v>0.3</v>
      </c>
      <c r="F53" s="34" t="s">
        <v>243</v>
      </c>
      <c r="G53" s="41">
        <f t="shared" si="12"/>
        <v>218992</v>
      </c>
      <c r="H53" s="69" t="str">
        <f t="shared" si="17"/>
        <v>65,697</v>
      </c>
      <c r="I53" s="68">
        <f>일위대가총괄표!G14</f>
        <v>85974</v>
      </c>
      <c r="J53" s="69">
        <f t="shared" si="18"/>
        <v>25792</v>
      </c>
      <c r="K53" s="68">
        <f>일위대가총괄표!H14</f>
        <v>133018</v>
      </c>
      <c r="L53" s="69">
        <f t="shared" si="19"/>
        <v>39905</v>
      </c>
      <c r="M53" s="68">
        <f>일위대가총괄표!I40</f>
        <v>0</v>
      </c>
      <c r="N53" s="69">
        <f t="shared" si="20"/>
        <v>0</v>
      </c>
      <c r="O53" s="36" t="s">
        <v>29</v>
      </c>
    </row>
    <row r="54" spans="2:15" ht="19.7" customHeight="1" x14ac:dyDescent="0.2">
      <c r="B54" s="71" t="s">
        <v>350</v>
      </c>
      <c r="C54" s="33" t="s">
        <v>206</v>
      </c>
      <c r="D54" s="33" t="s">
        <v>350</v>
      </c>
      <c r="E54" s="95">
        <v>1.1000000000000001</v>
      </c>
      <c r="F54" s="34" t="s">
        <v>243</v>
      </c>
      <c r="G54" s="41">
        <f t="shared" si="12"/>
        <v>13026</v>
      </c>
      <c r="H54" s="69" t="str">
        <f t="shared" si="17"/>
        <v>14,328</v>
      </c>
      <c r="I54" s="68">
        <f>일위대가총괄표!G15</f>
        <v>13026</v>
      </c>
      <c r="J54" s="69">
        <f t="shared" si="18"/>
        <v>14328</v>
      </c>
      <c r="K54" s="68">
        <f>일위대가총괄표!H41</f>
        <v>0</v>
      </c>
      <c r="L54" s="69">
        <f t="shared" si="19"/>
        <v>0</v>
      </c>
      <c r="M54" s="68">
        <f>일위대가총괄표!I41</f>
        <v>0</v>
      </c>
      <c r="N54" s="69">
        <f t="shared" si="20"/>
        <v>0</v>
      </c>
      <c r="O54" s="36" t="s">
        <v>236</v>
      </c>
    </row>
    <row r="55" spans="2:15" ht="19.7" customHeight="1" x14ac:dyDescent="0.2">
      <c r="B55" s="71" t="s">
        <v>350</v>
      </c>
      <c r="C55" s="33" t="s">
        <v>82</v>
      </c>
      <c r="D55" s="33" t="s">
        <v>350</v>
      </c>
      <c r="E55" s="95">
        <v>0.5</v>
      </c>
      <c r="F55" s="34" t="s">
        <v>243</v>
      </c>
      <c r="G55" s="41">
        <f t="shared" si="12"/>
        <v>26052</v>
      </c>
      <c r="H55" s="69" t="str">
        <f t="shared" si="17"/>
        <v>13,026</v>
      </c>
      <c r="I55" s="68">
        <f>일위대가총괄표!G16</f>
        <v>26052</v>
      </c>
      <c r="J55" s="69">
        <f t="shared" si="18"/>
        <v>13026</v>
      </c>
      <c r="K55" s="68">
        <f>일위대가총괄표!H42</f>
        <v>0</v>
      </c>
      <c r="L55" s="69">
        <f t="shared" si="19"/>
        <v>0</v>
      </c>
      <c r="M55" s="68">
        <f>일위대가총괄표!I42</f>
        <v>0</v>
      </c>
      <c r="N55" s="69">
        <f t="shared" si="20"/>
        <v>0</v>
      </c>
      <c r="O55" s="36" t="s">
        <v>20</v>
      </c>
    </row>
    <row r="56" spans="2:15" ht="19.7" customHeight="1" x14ac:dyDescent="0.2">
      <c r="B56" s="71" t="s">
        <v>350</v>
      </c>
      <c r="C56" s="33" t="s">
        <v>350</v>
      </c>
      <c r="D56" s="33" t="s">
        <v>350</v>
      </c>
      <c r="E56" s="35"/>
      <c r="F56" s="34"/>
      <c r="G56" s="41"/>
      <c r="H56" s="69"/>
      <c r="I56" s="41"/>
      <c r="J56" s="35"/>
      <c r="K56" s="41"/>
      <c r="L56" s="35"/>
      <c r="M56" s="41"/>
      <c r="N56" s="35"/>
      <c r="O56" s="36" t="s">
        <v>350</v>
      </c>
    </row>
    <row r="57" spans="2:15" ht="19.7" customHeight="1" x14ac:dyDescent="0.2">
      <c r="B57" s="65">
        <v>5</v>
      </c>
      <c r="C57" s="66" t="s">
        <v>352</v>
      </c>
      <c r="D57" s="66" t="s">
        <v>379</v>
      </c>
      <c r="E57" s="35"/>
      <c r="F57" s="92" t="s">
        <v>350</v>
      </c>
      <c r="G57" s="41"/>
      <c r="H57" s="93" t="str">
        <f>TEXT(J57+L57+N57,"#,##0")</f>
        <v>1,478,334</v>
      </c>
      <c r="I57" s="41"/>
      <c r="J57" s="93" t="str">
        <f>TEXT(J58+J59+J60+J61+J63+J64+J65+J66+J67+J68,"#,##0")</f>
        <v>1,284,539</v>
      </c>
      <c r="K57" s="41"/>
      <c r="L57" s="93" t="str">
        <f>TEXT(L58+L59+L60+L61+L63+L64+L65+L66+L67+L68,"#,##0")</f>
        <v>117,657</v>
      </c>
      <c r="M57" s="41"/>
      <c r="N57" s="93" t="str">
        <f>TEXT(N58+N59+N60+N61+N63+N64+N65+N66+N67+N68,"#,##0")</f>
        <v>76,138</v>
      </c>
      <c r="O57" s="94" t="s">
        <v>350</v>
      </c>
    </row>
    <row r="58" spans="2:15" ht="19.7" customHeight="1" x14ac:dyDescent="0.2">
      <c r="B58" s="71" t="s">
        <v>350</v>
      </c>
      <c r="C58" s="33" t="s">
        <v>238</v>
      </c>
      <c r="D58" s="33" t="s">
        <v>375</v>
      </c>
      <c r="E58" s="35">
        <v>1</v>
      </c>
      <c r="F58" s="34" t="s">
        <v>222</v>
      </c>
      <c r="G58" s="41">
        <f t="shared" ref="G58:G68" si="21">I58+K58+M58</f>
        <v>75410</v>
      </c>
      <c r="H58" s="69" t="str">
        <f>TEXT(J58+L58+N58,"#,##0")</f>
        <v>75,410</v>
      </c>
      <c r="I58" s="68"/>
      <c r="J58" s="69">
        <f>TRUNC(E58*I58,0)</f>
        <v>0</v>
      </c>
      <c r="K58" s="68"/>
      <c r="L58" s="69">
        <f>TRUNC(E58*K58,0)</f>
        <v>0</v>
      </c>
      <c r="M58" s="68">
        <f>자재단가!R5</f>
        <v>75410</v>
      </c>
      <c r="N58" s="69">
        <f>TRUNC(E58*M58,0)</f>
        <v>75410</v>
      </c>
      <c r="O58" s="36" t="s">
        <v>350</v>
      </c>
    </row>
    <row r="59" spans="2:15" ht="19.7" customHeight="1" x14ac:dyDescent="0.2">
      <c r="B59" s="71" t="s">
        <v>350</v>
      </c>
      <c r="C59" s="33" t="s">
        <v>15</v>
      </c>
      <c r="D59" s="33" t="s">
        <v>274</v>
      </c>
      <c r="E59" s="35">
        <v>1</v>
      </c>
      <c r="F59" s="34" t="s">
        <v>72</v>
      </c>
      <c r="G59" s="41">
        <f t="shared" si="21"/>
        <v>133528</v>
      </c>
      <c r="H59" s="69" t="str">
        <f>TEXT(J59+L59+N59,"#,##0")</f>
        <v>133,528</v>
      </c>
      <c r="I59" s="68">
        <f>일위대가총괄표!G6</f>
        <v>133528</v>
      </c>
      <c r="J59" s="69">
        <f>TRUNC(E59*I59,0)</f>
        <v>133528</v>
      </c>
      <c r="K59" s="68">
        <f>일위대가총괄표!H46</f>
        <v>0</v>
      </c>
      <c r="L59" s="69">
        <f>TRUNC(E59*K59,0)</f>
        <v>0</v>
      </c>
      <c r="M59" s="68">
        <f>일위대가총괄표!I46</f>
        <v>0</v>
      </c>
      <c r="N59" s="69">
        <f>TRUNC(E59*M59,0)</f>
        <v>0</v>
      </c>
      <c r="O59" s="36" t="s">
        <v>92</v>
      </c>
    </row>
    <row r="60" spans="2:15" ht="19.7" customHeight="1" x14ac:dyDescent="0.2">
      <c r="B60" s="71" t="s">
        <v>350</v>
      </c>
      <c r="C60" s="33" t="s">
        <v>360</v>
      </c>
      <c r="D60" s="33" t="s">
        <v>274</v>
      </c>
      <c r="E60" s="35">
        <v>9</v>
      </c>
      <c r="F60" s="34" t="s">
        <v>198</v>
      </c>
      <c r="G60" s="41">
        <f t="shared" si="21"/>
        <v>29187</v>
      </c>
      <c r="H60" s="69" t="str">
        <f>TEXT(J60+L60+N60,"#,##0")</f>
        <v>262,683</v>
      </c>
      <c r="I60" s="68">
        <f>일위대가총괄표!G9</f>
        <v>29187</v>
      </c>
      <c r="J60" s="69">
        <f>TRUNC(E60*I60,0)</f>
        <v>262683</v>
      </c>
      <c r="K60" s="68">
        <f>일위대가총괄표!H48</f>
        <v>0</v>
      </c>
      <c r="L60" s="69">
        <f>TRUNC(E60*K60,0)</f>
        <v>0</v>
      </c>
      <c r="M60" s="68">
        <f>일위대가총괄표!I48</f>
        <v>0</v>
      </c>
      <c r="N60" s="69">
        <f>TRUNC(E60*M60,0)</f>
        <v>0</v>
      </c>
      <c r="O60" s="36" t="s">
        <v>107</v>
      </c>
    </row>
    <row r="61" spans="2:15" ht="19.7" customHeight="1" x14ac:dyDescent="0.2">
      <c r="B61" s="71" t="s">
        <v>350</v>
      </c>
      <c r="C61" s="33" t="s">
        <v>283</v>
      </c>
      <c r="D61" s="33" t="s">
        <v>180</v>
      </c>
      <c r="E61" s="35">
        <v>90</v>
      </c>
      <c r="F61" s="34" t="s">
        <v>198</v>
      </c>
      <c r="G61" s="41">
        <f t="shared" si="21"/>
        <v>9071</v>
      </c>
      <c r="H61" s="69" t="str">
        <f>TEXT(J61+L61+N61,"#,##0")</f>
        <v>816,390</v>
      </c>
      <c r="I61" s="68">
        <f>일위대가총괄표!G12</f>
        <v>9071</v>
      </c>
      <c r="J61" s="69">
        <f>TRUNC(E61*I61,0)</f>
        <v>816390</v>
      </c>
      <c r="K61" s="68">
        <f>일위대가총괄표!H51</f>
        <v>0</v>
      </c>
      <c r="L61" s="69">
        <f>TRUNC(E61*K61,0)</f>
        <v>0</v>
      </c>
      <c r="M61" s="68">
        <f>일위대가총괄표!I51</f>
        <v>0</v>
      </c>
      <c r="N61" s="69">
        <f>TRUNC(E61*M61,0)</f>
        <v>0</v>
      </c>
      <c r="O61" s="36" t="s">
        <v>204</v>
      </c>
    </row>
    <row r="62" spans="2:15" ht="19.7" customHeight="1" x14ac:dyDescent="0.2">
      <c r="B62" s="71" t="s">
        <v>261</v>
      </c>
      <c r="C62" s="33" t="s">
        <v>197</v>
      </c>
      <c r="D62" s="33" t="s">
        <v>350</v>
      </c>
      <c r="E62" s="35"/>
      <c r="F62" s="34" t="s">
        <v>350</v>
      </c>
      <c r="G62" s="41"/>
      <c r="H62" s="69"/>
      <c r="I62" s="41"/>
      <c r="J62" s="35"/>
      <c r="K62" s="41"/>
      <c r="L62" s="35"/>
      <c r="M62" s="41"/>
      <c r="N62" s="35"/>
      <c r="O62" s="36" t="s">
        <v>350</v>
      </c>
    </row>
    <row r="63" spans="2:15" ht="19.7" customHeight="1" x14ac:dyDescent="0.2">
      <c r="B63" s="71" t="s">
        <v>350</v>
      </c>
      <c r="C63" s="33" t="s">
        <v>335</v>
      </c>
      <c r="D63" s="33" t="s">
        <v>350</v>
      </c>
      <c r="E63" s="35">
        <f>Y8</f>
        <v>634</v>
      </c>
      <c r="F63" s="34" t="s">
        <v>199</v>
      </c>
      <c r="G63" s="41">
        <f t="shared" si="21"/>
        <v>106</v>
      </c>
      <c r="H63" s="69" t="str">
        <f t="shared" ref="H63:H68" si="22">TEXT(J63+L63+N63,"#,##0")</f>
        <v>67,204</v>
      </c>
      <c r="I63" s="68">
        <f>자재단가!AA45</f>
        <v>0</v>
      </c>
      <c r="J63" s="69">
        <f t="shared" ref="J63:J68" si="23">TRUNC(E63*I63,0)</f>
        <v>0</v>
      </c>
      <c r="K63" s="68">
        <f>자재단가!R6</f>
        <v>106</v>
      </c>
      <c r="L63" s="69">
        <f t="shared" ref="L63:L68" si="24">TRUNC(E63*K63,0)</f>
        <v>67204</v>
      </c>
      <c r="M63" s="68">
        <f>자재단가!AC45</f>
        <v>0</v>
      </c>
      <c r="N63" s="69">
        <f t="shared" ref="N63:N68" si="25">TRUNC(E63*M63,0)</f>
        <v>0</v>
      </c>
      <c r="O63" s="36" t="s">
        <v>350</v>
      </c>
    </row>
    <row r="64" spans="2:15" ht="19.7" customHeight="1" x14ac:dyDescent="0.2">
      <c r="B64" s="71" t="s">
        <v>350</v>
      </c>
      <c r="C64" s="33" t="s">
        <v>145</v>
      </c>
      <c r="D64" s="33" t="s">
        <v>324</v>
      </c>
      <c r="E64" s="131">
        <f>Y9</f>
        <v>0.45310200000000006</v>
      </c>
      <c r="F64" s="34" t="s">
        <v>243</v>
      </c>
      <c r="G64" s="41">
        <f t="shared" si="21"/>
        <v>22000</v>
      </c>
      <c r="H64" s="69" t="str">
        <f t="shared" si="22"/>
        <v>9,968</v>
      </c>
      <c r="I64" s="68">
        <f>자재단가!AA46</f>
        <v>0</v>
      </c>
      <c r="J64" s="69">
        <f t="shared" si="23"/>
        <v>0</v>
      </c>
      <c r="K64" s="68">
        <f>자재단가!R7</f>
        <v>22000</v>
      </c>
      <c r="L64" s="69">
        <f t="shared" si="24"/>
        <v>9968</v>
      </c>
      <c r="M64" s="68">
        <f>자재단가!AC46</f>
        <v>0</v>
      </c>
      <c r="N64" s="69">
        <f t="shared" si="25"/>
        <v>0</v>
      </c>
      <c r="O64" s="36" t="s">
        <v>350</v>
      </c>
    </row>
    <row r="65" spans="2:15" ht="19.7" customHeight="1" x14ac:dyDescent="0.2">
      <c r="B65" s="71" t="s">
        <v>168</v>
      </c>
      <c r="C65" s="33" t="s">
        <v>287</v>
      </c>
      <c r="D65" s="33" t="s">
        <v>127</v>
      </c>
      <c r="E65" s="95">
        <v>1.6</v>
      </c>
      <c r="F65" s="34" t="s">
        <v>243</v>
      </c>
      <c r="G65" s="41">
        <f t="shared" si="21"/>
        <v>12563</v>
      </c>
      <c r="H65" s="69" t="str">
        <f t="shared" si="22"/>
        <v>20,100</v>
      </c>
      <c r="I65" s="68" t="str">
        <f>단가산출총괄표!G4</f>
        <v>11,745</v>
      </c>
      <c r="J65" s="69">
        <f t="shared" si="23"/>
        <v>18792</v>
      </c>
      <c r="K65" s="68" t="str">
        <f>단가산출총괄표!H4</f>
        <v>363</v>
      </c>
      <c r="L65" s="69">
        <f t="shared" si="24"/>
        <v>580</v>
      </c>
      <c r="M65" s="68" t="str">
        <f>단가산출총괄표!I4</f>
        <v>455</v>
      </c>
      <c r="N65" s="69">
        <f t="shared" si="25"/>
        <v>728</v>
      </c>
      <c r="O65" s="36" t="s">
        <v>58</v>
      </c>
    </row>
    <row r="66" spans="2:15" ht="19.7" customHeight="1" x14ac:dyDescent="0.2">
      <c r="B66" s="71" t="s">
        <v>350</v>
      </c>
      <c r="C66" s="33" t="s">
        <v>288</v>
      </c>
      <c r="D66" s="33" t="s">
        <v>68</v>
      </c>
      <c r="E66" s="95">
        <v>0.3</v>
      </c>
      <c r="F66" s="34" t="s">
        <v>243</v>
      </c>
      <c r="G66" s="41">
        <f t="shared" si="21"/>
        <v>218992</v>
      </c>
      <c r="H66" s="69" t="str">
        <f t="shared" si="22"/>
        <v>65,697</v>
      </c>
      <c r="I66" s="68">
        <f>일위대가총괄표!G14</f>
        <v>85974</v>
      </c>
      <c r="J66" s="69">
        <f t="shared" si="23"/>
        <v>25792</v>
      </c>
      <c r="K66" s="68">
        <f>일위대가총괄표!H14</f>
        <v>133018</v>
      </c>
      <c r="L66" s="69">
        <f t="shared" si="24"/>
        <v>39905</v>
      </c>
      <c r="M66" s="68">
        <f>일위대가총괄표!I53</f>
        <v>0</v>
      </c>
      <c r="N66" s="69">
        <f t="shared" si="25"/>
        <v>0</v>
      </c>
      <c r="O66" s="36" t="s">
        <v>29</v>
      </c>
    </row>
    <row r="67" spans="2:15" ht="19.7" customHeight="1" x14ac:dyDescent="0.2">
      <c r="B67" s="71" t="s">
        <v>350</v>
      </c>
      <c r="C67" s="33" t="s">
        <v>206</v>
      </c>
      <c r="D67" s="33" t="s">
        <v>350</v>
      </c>
      <c r="E67" s="95">
        <v>1.1000000000000001</v>
      </c>
      <c r="F67" s="34" t="s">
        <v>243</v>
      </c>
      <c r="G67" s="41">
        <f t="shared" si="21"/>
        <v>13026</v>
      </c>
      <c r="H67" s="69" t="str">
        <f t="shared" si="22"/>
        <v>14,328</v>
      </c>
      <c r="I67" s="68">
        <f>일위대가총괄표!G15</f>
        <v>13026</v>
      </c>
      <c r="J67" s="69">
        <f t="shared" si="23"/>
        <v>14328</v>
      </c>
      <c r="K67" s="68">
        <f>일위대가총괄표!H54</f>
        <v>0</v>
      </c>
      <c r="L67" s="69">
        <f t="shared" si="24"/>
        <v>0</v>
      </c>
      <c r="M67" s="68">
        <f>일위대가총괄표!I54</f>
        <v>0</v>
      </c>
      <c r="N67" s="69">
        <f t="shared" si="25"/>
        <v>0</v>
      </c>
      <c r="O67" s="36" t="s">
        <v>236</v>
      </c>
    </row>
    <row r="68" spans="2:15" ht="19.7" customHeight="1" x14ac:dyDescent="0.2">
      <c r="B68" s="71" t="s">
        <v>350</v>
      </c>
      <c r="C68" s="33" t="s">
        <v>82</v>
      </c>
      <c r="D68" s="33" t="s">
        <v>350</v>
      </c>
      <c r="E68" s="95">
        <v>0.5</v>
      </c>
      <c r="F68" s="34" t="s">
        <v>243</v>
      </c>
      <c r="G68" s="41">
        <f t="shared" si="21"/>
        <v>26052</v>
      </c>
      <c r="H68" s="69" t="str">
        <f t="shared" si="22"/>
        <v>13,026</v>
      </c>
      <c r="I68" s="68">
        <f>일위대가총괄표!G16</f>
        <v>26052</v>
      </c>
      <c r="J68" s="69">
        <f t="shared" si="23"/>
        <v>13026</v>
      </c>
      <c r="K68" s="68">
        <f>일위대가총괄표!H55</f>
        <v>0</v>
      </c>
      <c r="L68" s="69">
        <f t="shared" si="24"/>
        <v>0</v>
      </c>
      <c r="M68" s="68">
        <f>일위대가총괄표!I55</f>
        <v>0</v>
      </c>
      <c r="N68" s="69">
        <f t="shared" si="25"/>
        <v>0</v>
      </c>
      <c r="O68" s="36" t="s">
        <v>20</v>
      </c>
    </row>
    <row r="69" spans="2:15" ht="19.7" customHeight="1" x14ac:dyDescent="0.2">
      <c r="B69" s="71" t="s">
        <v>350</v>
      </c>
      <c r="C69" s="33" t="s">
        <v>350</v>
      </c>
      <c r="D69" s="33" t="s">
        <v>350</v>
      </c>
      <c r="E69" s="35"/>
      <c r="F69" s="34" t="s">
        <v>350</v>
      </c>
      <c r="G69" s="41"/>
      <c r="H69" s="69"/>
      <c r="I69" s="41"/>
      <c r="J69" s="35"/>
      <c r="K69" s="41"/>
      <c r="L69" s="35"/>
      <c r="M69" s="41"/>
      <c r="N69" s="35"/>
      <c r="O69" s="36" t="s">
        <v>350</v>
      </c>
    </row>
    <row r="70" spans="2:15" ht="19.7" customHeight="1" x14ac:dyDescent="0.2">
      <c r="B70" s="65">
        <v>6</v>
      </c>
      <c r="C70" s="66" t="s">
        <v>352</v>
      </c>
      <c r="D70" s="66" t="s">
        <v>378</v>
      </c>
      <c r="E70" s="35"/>
      <c r="F70" s="92" t="s">
        <v>350</v>
      </c>
      <c r="G70" s="41"/>
      <c r="H70" s="93" t="str">
        <f t="shared" ref="H70:H81" si="26">TEXT(J70+L70+N70,"#,##0")</f>
        <v>1,267,651</v>
      </c>
      <c r="I70" s="41"/>
      <c r="J70" s="93" t="str">
        <f>TEXT(J71+J72+J73+J74+J76+J77+J78+J79+J80+J81,"#,##0")</f>
        <v>1,138,600</v>
      </c>
      <c r="K70" s="41"/>
      <c r="L70" s="93" t="str">
        <f>TEXT(L71+L72+L73+L74+L76+L77+L78+L79+L80+L81,"#,##0")</f>
        <v>52,913</v>
      </c>
      <c r="M70" s="41"/>
      <c r="N70" s="93" t="str">
        <f>TEXT(N71+N72+N73+N74+N76+N77+N78+N79+N80+N81,"#,##0")</f>
        <v>76,138</v>
      </c>
      <c r="O70" s="94" t="s">
        <v>350</v>
      </c>
    </row>
    <row r="71" spans="2:15" ht="19.7" customHeight="1" x14ac:dyDescent="0.2">
      <c r="B71" s="71" t="s">
        <v>350</v>
      </c>
      <c r="C71" s="33" t="s">
        <v>238</v>
      </c>
      <c r="D71" s="33" t="s">
        <v>375</v>
      </c>
      <c r="E71" s="35">
        <v>1</v>
      </c>
      <c r="F71" s="34" t="s">
        <v>222</v>
      </c>
      <c r="G71" s="41">
        <f t="shared" si="12"/>
        <v>75410</v>
      </c>
      <c r="H71" s="69" t="str">
        <f t="shared" si="26"/>
        <v>75,410</v>
      </c>
      <c r="I71" s="68"/>
      <c r="J71" s="69">
        <f>TRUNC(E71*I71,0)</f>
        <v>0</v>
      </c>
      <c r="K71" s="68"/>
      <c r="L71" s="69">
        <f>TRUNC(E71*K71,0)</f>
        <v>0</v>
      </c>
      <c r="M71" s="68">
        <f>자재단가!R5</f>
        <v>75410</v>
      </c>
      <c r="N71" s="69">
        <f>TRUNC(E71*M71,0)</f>
        <v>75410</v>
      </c>
      <c r="O71" s="36" t="s">
        <v>350</v>
      </c>
    </row>
    <row r="72" spans="2:15" ht="19.7" customHeight="1" x14ac:dyDescent="0.2">
      <c r="B72" s="71" t="s">
        <v>350</v>
      </c>
      <c r="C72" s="33" t="s">
        <v>15</v>
      </c>
      <c r="D72" s="33" t="s">
        <v>274</v>
      </c>
      <c r="E72" s="35">
        <v>1</v>
      </c>
      <c r="F72" s="34" t="s">
        <v>72</v>
      </c>
      <c r="G72" s="41">
        <f t="shared" si="12"/>
        <v>133528</v>
      </c>
      <c r="H72" s="69" t="str">
        <f t="shared" si="26"/>
        <v>133,528</v>
      </c>
      <c r="I72" s="68">
        <f>일위대가총괄표!G6</f>
        <v>133528</v>
      </c>
      <c r="J72" s="69">
        <f>TRUNC(E72*I72,0)</f>
        <v>133528</v>
      </c>
      <c r="K72" s="68">
        <f>일위대가총괄표!H59</f>
        <v>0</v>
      </c>
      <c r="L72" s="69">
        <f>TRUNC(E72*K72,0)</f>
        <v>0</v>
      </c>
      <c r="M72" s="68">
        <f>일위대가총괄표!I59</f>
        <v>0</v>
      </c>
      <c r="N72" s="69">
        <f>TRUNC(E72*M72,0)</f>
        <v>0</v>
      </c>
      <c r="O72" s="36" t="s">
        <v>92</v>
      </c>
    </row>
    <row r="73" spans="2:15" ht="19.7" customHeight="1" x14ac:dyDescent="0.2">
      <c r="B73" s="71" t="s">
        <v>350</v>
      </c>
      <c r="C73" s="33" t="s">
        <v>369</v>
      </c>
      <c r="D73" s="33" t="s">
        <v>2</v>
      </c>
      <c r="E73" s="35">
        <v>8</v>
      </c>
      <c r="F73" s="34" t="s">
        <v>198</v>
      </c>
      <c r="G73" s="41">
        <f t="shared" si="12"/>
        <v>14593</v>
      </c>
      <c r="H73" s="69" t="str">
        <f t="shared" si="26"/>
        <v>116,744</v>
      </c>
      <c r="I73" s="68">
        <f>일위대가총괄표!G10</f>
        <v>14593</v>
      </c>
      <c r="J73" s="69">
        <f>TRUNC(E73*I73,0)</f>
        <v>116744</v>
      </c>
      <c r="K73" s="68">
        <f>일위대가총괄표!H61</f>
        <v>0</v>
      </c>
      <c r="L73" s="69">
        <f>TRUNC(E73*K73,0)</f>
        <v>0</v>
      </c>
      <c r="M73" s="68">
        <f>일위대가총괄표!I61</f>
        <v>0</v>
      </c>
      <c r="N73" s="69">
        <f>TRUNC(E73*M73,0)</f>
        <v>0</v>
      </c>
      <c r="O73" s="36" t="s">
        <v>107</v>
      </c>
    </row>
    <row r="74" spans="2:15" ht="19.7" customHeight="1" x14ac:dyDescent="0.2">
      <c r="B74" s="71" t="s">
        <v>350</v>
      </c>
      <c r="C74" s="33" t="s">
        <v>283</v>
      </c>
      <c r="D74" s="33" t="s">
        <v>180</v>
      </c>
      <c r="E74" s="35">
        <v>90</v>
      </c>
      <c r="F74" s="34" t="s">
        <v>198</v>
      </c>
      <c r="G74" s="41">
        <f t="shared" si="12"/>
        <v>9071</v>
      </c>
      <c r="H74" s="69" t="str">
        <f t="shared" si="26"/>
        <v>816,390</v>
      </c>
      <c r="I74" s="68">
        <f>일위대가총괄표!G12</f>
        <v>9071</v>
      </c>
      <c r="J74" s="69">
        <f>TRUNC(E74*I74,0)</f>
        <v>816390</v>
      </c>
      <c r="K74" s="68">
        <f>일위대가총괄표!H64</f>
        <v>0</v>
      </c>
      <c r="L74" s="69">
        <f>TRUNC(E74*K74,0)</f>
        <v>0</v>
      </c>
      <c r="M74" s="68">
        <f>일위대가총괄표!I64</f>
        <v>0</v>
      </c>
      <c r="N74" s="69">
        <f>TRUNC(E74*M74,0)</f>
        <v>0</v>
      </c>
      <c r="O74" s="36" t="s">
        <v>204</v>
      </c>
    </row>
    <row r="75" spans="2:15" ht="19.7" customHeight="1" x14ac:dyDescent="0.2">
      <c r="B75" s="71" t="s">
        <v>261</v>
      </c>
      <c r="C75" s="33" t="s">
        <v>197</v>
      </c>
      <c r="D75" s="33" t="s">
        <v>350</v>
      </c>
      <c r="E75" s="35"/>
      <c r="F75" s="34" t="s">
        <v>350</v>
      </c>
      <c r="G75" s="41"/>
      <c r="H75" s="69"/>
      <c r="I75" s="41"/>
      <c r="J75" s="35"/>
      <c r="K75" s="41"/>
      <c r="L75" s="35"/>
      <c r="M75" s="41"/>
      <c r="N75" s="35"/>
      <c r="O75" s="36" t="s">
        <v>350</v>
      </c>
    </row>
    <row r="76" spans="2:15" ht="19.7" customHeight="1" x14ac:dyDescent="0.2">
      <c r="B76" s="71" t="s">
        <v>350</v>
      </c>
      <c r="C76" s="33" t="s">
        <v>335</v>
      </c>
      <c r="D76" s="33" t="s">
        <v>350</v>
      </c>
      <c r="E76" s="35">
        <f>Z8</f>
        <v>102</v>
      </c>
      <c r="F76" s="34" t="s">
        <v>199</v>
      </c>
      <c r="G76" s="41">
        <f t="shared" si="12"/>
        <v>106</v>
      </c>
      <c r="H76" s="69" t="str">
        <f t="shared" si="26"/>
        <v>10,812</v>
      </c>
      <c r="I76" s="68">
        <f>자재단가!AA58</f>
        <v>0</v>
      </c>
      <c r="J76" s="69">
        <f t="shared" ref="J76:J81" si="27">TRUNC(E76*I76,0)</f>
        <v>0</v>
      </c>
      <c r="K76" s="68">
        <f>자재단가!R6</f>
        <v>106</v>
      </c>
      <c r="L76" s="69">
        <f t="shared" ref="L76:L81" si="28">TRUNC(E76*K76,0)</f>
        <v>10812</v>
      </c>
      <c r="M76" s="68">
        <f>자재단가!AC58</f>
        <v>0</v>
      </c>
      <c r="N76" s="69">
        <f t="shared" ref="N76:N81" si="29">TRUNC(E76*M76,0)</f>
        <v>0</v>
      </c>
      <c r="O76" s="36" t="s">
        <v>350</v>
      </c>
    </row>
    <row r="77" spans="2:15" ht="19.7" customHeight="1" x14ac:dyDescent="0.2">
      <c r="B77" s="71" t="s">
        <v>350</v>
      </c>
      <c r="C77" s="33" t="s">
        <v>145</v>
      </c>
      <c r="D77" s="33" t="s">
        <v>324</v>
      </c>
      <c r="E77" s="131">
        <f>Z9</f>
        <v>7.3476000000000014E-2</v>
      </c>
      <c r="F77" s="34" t="s">
        <v>243</v>
      </c>
      <c r="G77" s="41">
        <f t="shared" si="12"/>
        <v>22000</v>
      </c>
      <c r="H77" s="69" t="str">
        <f t="shared" si="26"/>
        <v>1,616</v>
      </c>
      <c r="I77" s="68">
        <f>자재단가!AA59</f>
        <v>0</v>
      </c>
      <c r="J77" s="69">
        <f t="shared" si="27"/>
        <v>0</v>
      </c>
      <c r="K77" s="68">
        <f>자재단가!R7</f>
        <v>22000</v>
      </c>
      <c r="L77" s="69">
        <f t="shared" si="28"/>
        <v>1616</v>
      </c>
      <c r="M77" s="68">
        <f>자재단가!AC59</f>
        <v>0</v>
      </c>
      <c r="N77" s="69">
        <f t="shared" si="29"/>
        <v>0</v>
      </c>
      <c r="O77" s="36" t="s">
        <v>350</v>
      </c>
    </row>
    <row r="78" spans="2:15" ht="19.7" customHeight="1" x14ac:dyDescent="0.2">
      <c r="B78" s="71" t="s">
        <v>168</v>
      </c>
      <c r="C78" s="33" t="s">
        <v>287</v>
      </c>
      <c r="D78" s="33" t="s">
        <v>127</v>
      </c>
      <c r="E78" s="95">
        <v>1.6</v>
      </c>
      <c r="F78" s="34" t="s">
        <v>243</v>
      </c>
      <c r="G78" s="41">
        <f t="shared" si="12"/>
        <v>12563</v>
      </c>
      <c r="H78" s="69" t="str">
        <f t="shared" si="26"/>
        <v>20,100</v>
      </c>
      <c r="I78" s="68" t="str">
        <f>단가산출총괄표!G4</f>
        <v>11,745</v>
      </c>
      <c r="J78" s="69">
        <f t="shared" si="27"/>
        <v>18792</v>
      </c>
      <c r="K78" s="68" t="str">
        <f>단가산출총괄표!H4</f>
        <v>363</v>
      </c>
      <c r="L78" s="69">
        <f t="shared" si="28"/>
        <v>580</v>
      </c>
      <c r="M78" s="68" t="str">
        <f>단가산출총괄표!I4</f>
        <v>455</v>
      </c>
      <c r="N78" s="69">
        <f t="shared" si="29"/>
        <v>728</v>
      </c>
      <c r="O78" s="36" t="s">
        <v>58</v>
      </c>
    </row>
    <row r="79" spans="2:15" ht="19.7" customHeight="1" x14ac:dyDescent="0.2">
      <c r="B79" s="71" t="s">
        <v>350</v>
      </c>
      <c r="C79" s="33" t="s">
        <v>288</v>
      </c>
      <c r="D79" s="33" t="s">
        <v>68</v>
      </c>
      <c r="E79" s="95">
        <v>0.3</v>
      </c>
      <c r="F79" s="34" t="s">
        <v>243</v>
      </c>
      <c r="G79" s="41">
        <f t="shared" si="12"/>
        <v>218992</v>
      </c>
      <c r="H79" s="69" t="str">
        <f t="shared" si="26"/>
        <v>65,697</v>
      </c>
      <c r="I79" s="68">
        <f>일위대가총괄표!G14</f>
        <v>85974</v>
      </c>
      <c r="J79" s="69">
        <f t="shared" si="27"/>
        <v>25792</v>
      </c>
      <c r="K79" s="68">
        <f>일위대가총괄표!H14</f>
        <v>133018</v>
      </c>
      <c r="L79" s="69">
        <f t="shared" si="28"/>
        <v>39905</v>
      </c>
      <c r="M79" s="68">
        <f>일위대가총괄표!I66</f>
        <v>0</v>
      </c>
      <c r="N79" s="69">
        <f t="shared" si="29"/>
        <v>0</v>
      </c>
      <c r="O79" s="36" t="s">
        <v>29</v>
      </c>
    </row>
    <row r="80" spans="2:15" ht="19.7" customHeight="1" x14ac:dyDescent="0.2">
      <c r="B80" s="71" t="s">
        <v>350</v>
      </c>
      <c r="C80" s="33" t="s">
        <v>206</v>
      </c>
      <c r="D80" s="33" t="s">
        <v>350</v>
      </c>
      <c r="E80" s="95">
        <v>1.1000000000000001</v>
      </c>
      <c r="F80" s="34" t="s">
        <v>243</v>
      </c>
      <c r="G80" s="41">
        <f t="shared" si="12"/>
        <v>13026</v>
      </c>
      <c r="H80" s="69" t="str">
        <f t="shared" si="26"/>
        <v>14,328</v>
      </c>
      <c r="I80" s="68">
        <f>일위대가총괄표!G15</f>
        <v>13026</v>
      </c>
      <c r="J80" s="69">
        <f t="shared" si="27"/>
        <v>14328</v>
      </c>
      <c r="K80" s="68">
        <f>일위대가총괄표!H67</f>
        <v>0</v>
      </c>
      <c r="L80" s="69">
        <f t="shared" si="28"/>
        <v>0</v>
      </c>
      <c r="M80" s="68">
        <f>일위대가총괄표!I67</f>
        <v>0</v>
      </c>
      <c r="N80" s="69">
        <f t="shared" si="29"/>
        <v>0</v>
      </c>
      <c r="O80" s="36" t="s">
        <v>236</v>
      </c>
    </row>
    <row r="81" spans="2:15" ht="19.7" customHeight="1" x14ac:dyDescent="0.2">
      <c r="B81" s="71" t="s">
        <v>350</v>
      </c>
      <c r="C81" s="33" t="s">
        <v>82</v>
      </c>
      <c r="D81" s="33" t="s">
        <v>350</v>
      </c>
      <c r="E81" s="95">
        <v>0.5</v>
      </c>
      <c r="F81" s="34" t="s">
        <v>243</v>
      </c>
      <c r="G81" s="41">
        <f t="shared" si="12"/>
        <v>26052</v>
      </c>
      <c r="H81" s="69" t="str">
        <f t="shared" si="26"/>
        <v>13,026</v>
      </c>
      <c r="I81" s="68">
        <f>일위대가총괄표!G16</f>
        <v>26052</v>
      </c>
      <c r="J81" s="69">
        <f t="shared" si="27"/>
        <v>13026</v>
      </c>
      <c r="K81" s="68">
        <f>일위대가총괄표!H68</f>
        <v>0</v>
      </c>
      <c r="L81" s="69">
        <f t="shared" si="28"/>
        <v>0</v>
      </c>
      <c r="M81" s="68">
        <f>일위대가총괄표!I68</f>
        <v>0</v>
      </c>
      <c r="N81" s="69">
        <f t="shared" si="29"/>
        <v>0</v>
      </c>
      <c r="O81" s="36" t="s">
        <v>20</v>
      </c>
    </row>
    <row r="82" spans="2:15" ht="19.7" customHeight="1" x14ac:dyDescent="0.2">
      <c r="B82" s="71"/>
      <c r="C82" s="33"/>
      <c r="D82" s="33"/>
      <c r="E82" s="95"/>
      <c r="F82" s="34"/>
      <c r="G82" s="41"/>
      <c r="H82" s="69"/>
      <c r="I82" s="68"/>
      <c r="J82" s="69"/>
      <c r="K82" s="68"/>
      <c r="L82" s="69"/>
      <c r="M82" s="68"/>
      <c r="N82" s="69"/>
      <c r="O82" s="36"/>
    </row>
    <row r="83" spans="2:15" ht="19.7" customHeight="1" x14ac:dyDescent="0.2">
      <c r="B83" s="65">
        <v>7</v>
      </c>
      <c r="C83" s="66" t="s">
        <v>352</v>
      </c>
      <c r="D83" s="66" t="s">
        <v>380</v>
      </c>
      <c r="E83" s="35"/>
      <c r="F83" s="92" t="s">
        <v>350</v>
      </c>
      <c r="G83" s="41"/>
      <c r="H83" s="93" t="str">
        <f t="shared" ref="H83:H94" si="30">TEXT(J83+L83+N83,"#,##0")</f>
        <v>1,346,983</v>
      </c>
      <c r="I83" s="41"/>
      <c r="J83" s="93" t="str">
        <f>TEXT(J84+J85+J86+J87+J89+J90+J91+J92+J93+J94,"#,##0")</f>
        <v>1,151,011</v>
      </c>
      <c r="K83" s="41"/>
      <c r="L83" s="93" t="str">
        <f>TEXT(L84+L85+L86+L87+L89+L90+L91+L92+L93+L94,"#,##0")</f>
        <v>119,834</v>
      </c>
      <c r="M83" s="41"/>
      <c r="N83" s="93" t="str">
        <f>TEXT(N84+N85+N86+N87+N89+N90+N91+N92+N93+N94,"#,##0")</f>
        <v>76,138</v>
      </c>
      <c r="O83" s="94" t="s">
        <v>350</v>
      </c>
    </row>
    <row r="84" spans="2:15" ht="19.7" customHeight="1" x14ac:dyDescent="0.2">
      <c r="B84" s="71" t="s">
        <v>350</v>
      </c>
      <c r="C84" s="33" t="s">
        <v>238</v>
      </c>
      <c r="D84" s="33" t="s">
        <v>375</v>
      </c>
      <c r="E84" s="35">
        <v>1</v>
      </c>
      <c r="F84" s="34" t="s">
        <v>222</v>
      </c>
      <c r="G84" s="41">
        <f t="shared" ref="G84:G94" si="31">I84+K84+M84</f>
        <v>75410</v>
      </c>
      <c r="H84" s="69" t="str">
        <f t="shared" si="30"/>
        <v>75,410</v>
      </c>
      <c r="I84" s="68"/>
      <c r="J84" s="69">
        <f>TRUNC(E84*I84,0)</f>
        <v>0</v>
      </c>
      <c r="K84" s="68"/>
      <c r="L84" s="69">
        <f>TRUNC(E84*K84,0)</f>
        <v>0</v>
      </c>
      <c r="M84" s="68">
        <f>자재단가!R5</f>
        <v>75410</v>
      </c>
      <c r="N84" s="69">
        <f>TRUNC(E84*M84,0)</f>
        <v>75410</v>
      </c>
      <c r="O84" s="36" t="s">
        <v>350</v>
      </c>
    </row>
    <row r="85" spans="2:15" ht="19.7" customHeight="1" x14ac:dyDescent="0.2">
      <c r="B85" s="71" t="s">
        <v>350</v>
      </c>
      <c r="C85" s="33" t="s">
        <v>15</v>
      </c>
      <c r="D85" s="33" t="s">
        <v>274</v>
      </c>
      <c r="E85" s="35">
        <v>0</v>
      </c>
      <c r="F85" s="34" t="s">
        <v>72</v>
      </c>
      <c r="G85" s="41">
        <f t="shared" si="31"/>
        <v>133528</v>
      </c>
      <c r="H85" s="69" t="str">
        <f t="shared" si="30"/>
        <v>0</v>
      </c>
      <c r="I85" s="68">
        <f>일위대가총괄표!G6</f>
        <v>133528</v>
      </c>
      <c r="J85" s="69">
        <f>TRUNC(E85*I85,0)</f>
        <v>0</v>
      </c>
      <c r="K85" s="68">
        <f>일위대가총괄표!H71</f>
        <v>0</v>
      </c>
      <c r="L85" s="69">
        <f>TRUNC(E85*K85,0)</f>
        <v>0</v>
      </c>
      <c r="M85" s="68">
        <f>일위대가총괄표!I71</f>
        <v>0</v>
      </c>
      <c r="N85" s="69">
        <f>TRUNC(E85*M85,0)</f>
        <v>0</v>
      </c>
      <c r="O85" s="36" t="s">
        <v>92</v>
      </c>
    </row>
    <row r="86" spans="2:15" ht="19.7" customHeight="1" x14ac:dyDescent="0.2">
      <c r="B86" s="71" t="s">
        <v>350</v>
      </c>
      <c r="C86" s="33" t="s">
        <v>360</v>
      </c>
      <c r="D86" s="33" t="s">
        <v>274</v>
      </c>
      <c r="E86" s="35">
        <v>9</v>
      </c>
      <c r="F86" s="34" t="s">
        <v>198</v>
      </c>
      <c r="G86" s="41">
        <f t="shared" si="31"/>
        <v>29187</v>
      </c>
      <c r="H86" s="69" t="str">
        <f t="shared" si="30"/>
        <v>262,683</v>
      </c>
      <c r="I86" s="68">
        <f>일위대가총괄표!G9</f>
        <v>29187</v>
      </c>
      <c r="J86" s="69">
        <f>TRUNC(E86*I86,0)</f>
        <v>262683</v>
      </c>
      <c r="K86" s="68">
        <f>일위대가총괄표!H73</f>
        <v>0</v>
      </c>
      <c r="L86" s="69">
        <f>TRUNC(E86*K86,0)</f>
        <v>0</v>
      </c>
      <c r="M86" s="68">
        <f>일위대가총괄표!I73</f>
        <v>0</v>
      </c>
      <c r="N86" s="69">
        <f>TRUNC(E86*M86,0)</f>
        <v>0</v>
      </c>
      <c r="O86" s="36" t="s">
        <v>107</v>
      </c>
    </row>
    <row r="87" spans="2:15" ht="19.7" customHeight="1" x14ac:dyDescent="0.2">
      <c r="B87" s="71" t="s">
        <v>350</v>
      </c>
      <c r="C87" s="33" t="s">
        <v>283</v>
      </c>
      <c r="D87" s="33" t="s">
        <v>180</v>
      </c>
      <c r="E87" s="35">
        <v>90</v>
      </c>
      <c r="F87" s="34" t="s">
        <v>198</v>
      </c>
      <c r="G87" s="41">
        <f t="shared" si="31"/>
        <v>9071</v>
      </c>
      <c r="H87" s="69" t="str">
        <f t="shared" si="30"/>
        <v>816,390</v>
      </c>
      <c r="I87" s="68">
        <f>일위대가총괄표!G12</f>
        <v>9071</v>
      </c>
      <c r="J87" s="69">
        <f>TRUNC(E87*I87,0)</f>
        <v>816390</v>
      </c>
      <c r="K87" s="68">
        <f>일위대가총괄표!H76</f>
        <v>0</v>
      </c>
      <c r="L87" s="69">
        <f>TRUNC(E87*K87,0)</f>
        <v>0</v>
      </c>
      <c r="M87" s="68">
        <f>일위대가총괄표!I76</f>
        <v>0</v>
      </c>
      <c r="N87" s="69">
        <f>TRUNC(E87*M87,0)</f>
        <v>0</v>
      </c>
      <c r="O87" s="36" t="s">
        <v>204</v>
      </c>
    </row>
    <row r="88" spans="2:15" ht="19.7" customHeight="1" x14ac:dyDescent="0.2">
      <c r="B88" s="71" t="s">
        <v>261</v>
      </c>
      <c r="C88" s="33" t="s">
        <v>197</v>
      </c>
      <c r="D88" s="33" t="s">
        <v>350</v>
      </c>
      <c r="E88" s="35"/>
      <c r="F88" s="34"/>
      <c r="G88" s="41"/>
      <c r="H88" s="69"/>
      <c r="I88" s="41"/>
      <c r="J88" s="35"/>
      <c r="K88" s="41"/>
      <c r="L88" s="35"/>
      <c r="M88" s="41"/>
      <c r="N88" s="35"/>
      <c r="O88" s="36" t="s">
        <v>350</v>
      </c>
    </row>
    <row r="89" spans="2:15" ht="19.7" customHeight="1" x14ac:dyDescent="0.2">
      <c r="B89" s="71" t="s">
        <v>350</v>
      </c>
      <c r="C89" s="33" t="s">
        <v>335</v>
      </c>
      <c r="D89" s="33" t="s">
        <v>350</v>
      </c>
      <c r="E89" s="35">
        <f>AA8</f>
        <v>652</v>
      </c>
      <c r="F89" s="34" t="s">
        <v>199</v>
      </c>
      <c r="G89" s="41">
        <f t="shared" si="31"/>
        <v>106</v>
      </c>
      <c r="H89" s="69" t="str">
        <f t="shared" si="30"/>
        <v>69,112</v>
      </c>
      <c r="I89" s="68">
        <f>자재단가!AA70</f>
        <v>0</v>
      </c>
      <c r="J89" s="69">
        <f t="shared" ref="J89:J94" si="32">TRUNC(E89*I89,0)</f>
        <v>0</v>
      </c>
      <c r="K89" s="68">
        <f>자재단가!R6</f>
        <v>106</v>
      </c>
      <c r="L89" s="69">
        <f t="shared" ref="L89:L94" si="33">TRUNC(E89*K89,0)</f>
        <v>69112</v>
      </c>
      <c r="M89" s="68">
        <f>자재단가!AC70</f>
        <v>0</v>
      </c>
      <c r="N89" s="69">
        <f t="shared" ref="N89:N94" si="34">TRUNC(E89*M89,0)</f>
        <v>0</v>
      </c>
      <c r="O89" s="36" t="s">
        <v>350</v>
      </c>
    </row>
    <row r="90" spans="2:15" ht="19.7" customHeight="1" x14ac:dyDescent="0.2">
      <c r="B90" s="71" t="s">
        <v>350</v>
      </c>
      <c r="C90" s="33" t="s">
        <v>145</v>
      </c>
      <c r="D90" s="33" t="s">
        <v>324</v>
      </c>
      <c r="E90" s="131">
        <f>AA9</f>
        <v>0.46534800000000009</v>
      </c>
      <c r="F90" s="34" t="s">
        <v>243</v>
      </c>
      <c r="G90" s="41">
        <f t="shared" si="31"/>
        <v>22000</v>
      </c>
      <c r="H90" s="69" t="str">
        <f t="shared" si="30"/>
        <v>10,237</v>
      </c>
      <c r="I90" s="68">
        <f>자재단가!AA71</f>
        <v>0</v>
      </c>
      <c r="J90" s="69">
        <f t="shared" si="32"/>
        <v>0</v>
      </c>
      <c r="K90" s="68">
        <f>자재단가!R7</f>
        <v>22000</v>
      </c>
      <c r="L90" s="69">
        <f t="shared" si="33"/>
        <v>10237</v>
      </c>
      <c r="M90" s="68">
        <f>자재단가!AC71</f>
        <v>0</v>
      </c>
      <c r="N90" s="69">
        <f t="shared" si="34"/>
        <v>0</v>
      </c>
      <c r="O90" s="36" t="s">
        <v>350</v>
      </c>
    </row>
    <row r="91" spans="2:15" ht="19.7" customHeight="1" x14ac:dyDescent="0.2">
      <c r="B91" s="71" t="s">
        <v>168</v>
      </c>
      <c r="C91" s="33" t="s">
        <v>287</v>
      </c>
      <c r="D91" s="33" t="s">
        <v>127</v>
      </c>
      <c r="E91" s="95">
        <v>1.6</v>
      </c>
      <c r="F91" s="34" t="s">
        <v>243</v>
      </c>
      <c r="G91" s="41">
        <f t="shared" si="31"/>
        <v>12563</v>
      </c>
      <c r="H91" s="69" t="str">
        <f t="shared" si="30"/>
        <v>20,100</v>
      </c>
      <c r="I91" s="68" t="str">
        <f>단가산출총괄표!G4</f>
        <v>11,745</v>
      </c>
      <c r="J91" s="69">
        <f t="shared" si="32"/>
        <v>18792</v>
      </c>
      <c r="K91" s="68" t="str">
        <f>단가산출총괄표!H4</f>
        <v>363</v>
      </c>
      <c r="L91" s="69">
        <f t="shared" si="33"/>
        <v>580</v>
      </c>
      <c r="M91" s="68" t="str">
        <f>단가산출총괄표!I4</f>
        <v>455</v>
      </c>
      <c r="N91" s="69">
        <f t="shared" si="34"/>
        <v>728</v>
      </c>
      <c r="O91" s="36" t="s">
        <v>58</v>
      </c>
    </row>
    <row r="92" spans="2:15" ht="19.7" customHeight="1" x14ac:dyDescent="0.2">
      <c r="B92" s="71" t="s">
        <v>350</v>
      </c>
      <c r="C92" s="33" t="s">
        <v>288</v>
      </c>
      <c r="D92" s="33" t="s">
        <v>68</v>
      </c>
      <c r="E92" s="95">
        <v>0.3</v>
      </c>
      <c r="F92" s="34" t="s">
        <v>243</v>
      </c>
      <c r="G92" s="41">
        <f t="shared" si="31"/>
        <v>218992</v>
      </c>
      <c r="H92" s="69" t="str">
        <f t="shared" si="30"/>
        <v>65,697</v>
      </c>
      <c r="I92" s="68">
        <f>일위대가총괄표!G14</f>
        <v>85974</v>
      </c>
      <c r="J92" s="69">
        <f t="shared" si="32"/>
        <v>25792</v>
      </c>
      <c r="K92" s="68">
        <f>일위대가총괄표!H14</f>
        <v>133018</v>
      </c>
      <c r="L92" s="69">
        <f t="shared" si="33"/>
        <v>39905</v>
      </c>
      <c r="M92" s="68">
        <f>일위대가총괄표!I78</f>
        <v>0</v>
      </c>
      <c r="N92" s="69">
        <f t="shared" si="34"/>
        <v>0</v>
      </c>
      <c r="O92" s="36" t="s">
        <v>29</v>
      </c>
    </row>
    <row r="93" spans="2:15" ht="19.7" customHeight="1" x14ac:dyDescent="0.2">
      <c r="B93" s="71" t="s">
        <v>350</v>
      </c>
      <c r="C93" s="33" t="s">
        <v>206</v>
      </c>
      <c r="D93" s="33" t="s">
        <v>350</v>
      </c>
      <c r="E93" s="95">
        <v>1.1000000000000001</v>
      </c>
      <c r="F93" s="34" t="s">
        <v>243</v>
      </c>
      <c r="G93" s="41">
        <f t="shared" si="31"/>
        <v>13026</v>
      </c>
      <c r="H93" s="69" t="str">
        <f t="shared" si="30"/>
        <v>14,328</v>
      </c>
      <c r="I93" s="68">
        <f>일위대가총괄표!G15</f>
        <v>13026</v>
      </c>
      <c r="J93" s="69">
        <f t="shared" si="32"/>
        <v>14328</v>
      </c>
      <c r="K93" s="68">
        <f>일위대가총괄표!H79</f>
        <v>0</v>
      </c>
      <c r="L93" s="69">
        <f t="shared" si="33"/>
        <v>0</v>
      </c>
      <c r="M93" s="68">
        <f>일위대가총괄표!I79</f>
        <v>0</v>
      </c>
      <c r="N93" s="69">
        <f t="shared" si="34"/>
        <v>0</v>
      </c>
      <c r="O93" s="36" t="s">
        <v>236</v>
      </c>
    </row>
    <row r="94" spans="2:15" ht="19.7" customHeight="1" x14ac:dyDescent="0.2">
      <c r="B94" s="71" t="s">
        <v>350</v>
      </c>
      <c r="C94" s="33" t="s">
        <v>82</v>
      </c>
      <c r="D94" s="33" t="s">
        <v>350</v>
      </c>
      <c r="E94" s="95">
        <v>0.5</v>
      </c>
      <c r="F94" s="34" t="s">
        <v>243</v>
      </c>
      <c r="G94" s="41">
        <f t="shared" si="31"/>
        <v>26052</v>
      </c>
      <c r="H94" s="69" t="str">
        <f t="shared" si="30"/>
        <v>13,026</v>
      </c>
      <c r="I94" s="68">
        <f>일위대가총괄표!G16</f>
        <v>26052</v>
      </c>
      <c r="J94" s="69">
        <f t="shared" si="32"/>
        <v>13026</v>
      </c>
      <c r="K94" s="68">
        <f>일위대가총괄표!H80</f>
        <v>0</v>
      </c>
      <c r="L94" s="69">
        <f t="shared" si="33"/>
        <v>0</v>
      </c>
      <c r="M94" s="68">
        <f>일위대가총괄표!I80</f>
        <v>0</v>
      </c>
      <c r="N94" s="69">
        <f t="shared" si="34"/>
        <v>0</v>
      </c>
      <c r="O94" s="36" t="s">
        <v>20</v>
      </c>
    </row>
    <row r="95" spans="2:15" ht="19.7" customHeight="1" x14ac:dyDescent="0.2">
      <c r="B95" s="71"/>
      <c r="C95" s="33"/>
      <c r="D95" s="33"/>
      <c r="E95" s="95"/>
      <c r="F95" s="34"/>
      <c r="G95" s="41"/>
      <c r="H95" s="69"/>
      <c r="I95" s="68"/>
      <c r="J95" s="69"/>
      <c r="K95" s="68"/>
      <c r="L95" s="69"/>
      <c r="M95" s="68"/>
      <c r="N95" s="69"/>
      <c r="O95" s="36"/>
    </row>
    <row r="96" spans="2:15" ht="19.7" customHeight="1" x14ac:dyDescent="0.2">
      <c r="B96" s="65" t="s">
        <v>350</v>
      </c>
      <c r="C96" s="66" t="s">
        <v>347</v>
      </c>
      <c r="D96" s="66" t="s">
        <v>350</v>
      </c>
      <c r="E96" s="35"/>
      <c r="F96" s="92" t="s">
        <v>350</v>
      </c>
      <c r="G96" s="41"/>
      <c r="H96" s="93" t="str">
        <f>TEXT(J96+L96+N96,"#,##0")</f>
        <v>9,050,321</v>
      </c>
      <c r="I96" s="41"/>
      <c r="J96" s="93" t="str">
        <f>TEXT(J5+J18+J31+J44+J57+J70+J83,"#,##0")</f>
        <v>8,064,800</v>
      </c>
      <c r="K96" s="41"/>
      <c r="L96" s="93" t="str">
        <f>TEXT(L5+L18+L31+L44+L57+L70+L83,"#,##0")</f>
        <v>511,395</v>
      </c>
      <c r="M96" s="41"/>
      <c r="N96" s="93" t="str">
        <f>TEXT(N5+N18+N31+N44+N57+N70+N83,"#,##0")</f>
        <v>474,126</v>
      </c>
      <c r="O96" s="94" t="s">
        <v>350</v>
      </c>
    </row>
    <row r="97" spans="2:15" ht="19.7" customHeight="1" x14ac:dyDescent="0.2">
      <c r="B97" s="71" t="s">
        <v>350</v>
      </c>
      <c r="C97" s="33" t="s">
        <v>292</v>
      </c>
      <c r="D97" s="33" t="s">
        <v>350</v>
      </c>
      <c r="E97" s="95">
        <v>11.6</v>
      </c>
      <c r="F97" s="34" t="s">
        <v>70</v>
      </c>
      <c r="G97" s="41">
        <f t="shared" si="12"/>
        <v>0</v>
      </c>
      <c r="H97" s="69">
        <f>원가계산서!F9</f>
        <v>935516</v>
      </c>
      <c r="I97" s="41"/>
      <c r="J97" s="35"/>
      <c r="K97" s="41"/>
      <c r="L97" s="35"/>
      <c r="M97" s="41"/>
      <c r="N97" s="35"/>
      <c r="O97" s="36" t="s">
        <v>350</v>
      </c>
    </row>
    <row r="98" spans="2:15" ht="19.7" customHeight="1" x14ac:dyDescent="0.2">
      <c r="B98" s="71" t="s">
        <v>350</v>
      </c>
      <c r="C98" s="33" t="s">
        <v>155</v>
      </c>
      <c r="D98" s="33" t="s">
        <v>350</v>
      </c>
      <c r="E98" s="95">
        <v>3.9</v>
      </c>
      <c r="F98" s="34" t="s">
        <v>70</v>
      </c>
      <c r="G98" s="41">
        <f t="shared" si="12"/>
        <v>0</v>
      </c>
      <c r="H98" s="69">
        <f>원가계산서!F12</f>
        <v>351012</v>
      </c>
      <c r="I98" s="41"/>
      <c r="J98" s="35"/>
      <c r="K98" s="41"/>
      <c r="L98" s="35"/>
      <c r="M98" s="41"/>
      <c r="N98" s="35"/>
      <c r="O98" s="36" t="s">
        <v>350</v>
      </c>
    </row>
    <row r="99" spans="2:15" ht="19.7" customHeight="1" x14ac:dyDescent="0.2">
      <c r="B99" s="71" t="s">
        <v>350</v>
      </c>
      <c r="C99" s="33" t="s">
        <v>130</v>
      </c>
      <c r="D99" s="33" t="s">
        <v>350</v>
      </c>
      <c r="E99" s="95">
        <v>0.87</v>
      </c>
      <c r="F99" s="34" t="s">
        <v>70</v>
      </c>
      <c r="G99" s="41">
        <f t="shared" si="12"/>
        <v>0</v>
      </c>
      <c r="H99" s="69">
        <f>원가계산서!F13</f>
        <v>78302</v>
      </c>
      <c r="I99" s="41"/>
      <c r="J99" s="35"/>
      <c r="K99" s="41"/>
      <c r="L99" s="35"/>
      <c r="M99" s="41"/>
      <c r="N99" s="35"/>
      <c r="O99" s="36" t="s">
        <v>350</v>
      </c>
    </row>
    <row r="100" spans="2:15" ht="19.7" customHeight="1" x14ac:dyDescent="0.2">
      <c r="B100" s="71" t="s">
        <v>350</v>
      </c>
      <c r="C100" s="33" t="s">
        <v>174</v>
      </c>
      <c r="D100" s="33" t="s">
        <v>350</v>
      </c>
      <c r="E100" s="95">
        <v>0.41</v>
      </c>
      <c r="F100" s="34" t="s">
        <v>70</v>
      </c>
      <c r="G100" s="41">
        <f t="shared" si="12"/>
        <v>0</v>
      </c>
      <c r="H100" s="69">
        <f>원가계산서!F18</f>
        <v>37106</v>
      </c>
      <c r="I100" s="41"/>
      <c r="J100" s="35"/>
      <c r="K100" s="41"/>
      <c r="L100" s="35"/>
      <c r="M100" s="41"/>
      <c r="N100" s="35"/>
      <c r="O100" s="36" t="s">
        <v>350</v>
      </c>
    </row>
    <row r="101" spans="2:15" ht="19.7" customHeight="1" x14ac:dyDescent="0.2">
      <c r="B101" s="71" t="s">
        <v>350</v>
      </c>
      <c r="C101" s="33" t="s">
        <v>308</v>
      </c>
      <c r="D101" s="33" t="s">
        <v>350</v>
      </c>
      <c r="E101" s="95">
        <v>5</v>
      </c>
      <c r="F101" s="34" t="s">
        <v>70</v>
      </c>
      <c r="G101" s="41">
        <f t="shared" si="12"/>
        <v>0</v>
      </c>
      <c r="H101" s="69">
        <f>원가계산서!F19</f>
        <v>251282</v>
      </c>
      <c r="I101" s="41"/>
      <c r="J101" s="35"/>
      <c r="K101" s="41"/>
      <c r="L101" s="35"/>
      <c r="M101" s="41"/>
      <c r="N101" s="35"/>
      <c r="O101" s="36" t="s">
        <v>350</v>
      </c>
    </row>
    <row r="102" spans="2:15" ht="19.7" customHeight="1" x14ac:dyDescent="0.2">
      <c r="B102" s="71" t="s">
        <v>350</v>
      </c>
      <c r="C102" s="33" t="s">
        <v>286</v>
      </c>
      <c r="D102" s="33" t="s">
        <v>350</v>
      </c>
      <c r="E102" s="95">
        <v>0.8</v>
      </c>
      <c r="F102" s="34" t="s">
        <v>70</v>
      </c>
      <c r="G102" s="41">
        <f t="shared" si="12"/>
        <v>0</v>
      </c>
      <c r="H102" s="69">
        <f>원가계산서!F20</f>
        <v>72402</v>
      </c>
      <c r="I102" s="41"/>
      <c r="J102" s="35"/>
      <c r="K102" s="41"/>
      <c r="L102" s="35"/>
      <c r="M102" s="41"/>
      <c r="N102" s="35"/>
      <c r="O102" s="36" t="s">
        <v>350</v>
      </c>
    </row>
    <row r="103" spans="2:15" ht="19.7" customHeight="1" x14ac:dyDescent="0.2">
      <c r="B103" s="71" t="s">
        <v>350</v>
      </c>
      <c r="C103" s="33" t="s">
        <v>161</v>
      </c>
      <c r="D103" s="33" t="s">
        <v>350</v>
      </c>
      <c r="E103" s="95">
        <v>8.1000000000000003E-2</v>
      </c>
      <c r="F103" s="34" t="s">
        <v>70</v>
      </c>
      <c r="G103" s="41">
        <f t="shared" si="12"/>
        <v>0</v>
      </c>
      <c r="H103" s="69">
        <f>원가계산서!F22</f>
        <v>7330</v>
      </c>
      <c r="I103" s="41"/>
      <c r="J103" s="35"/>
      <c r="K103" s="41"/>
      <c r="L103" s="35"/>
      <c r="M103" s="41"/>
      <c r="N103" s="35"/>
      <c r="O103" s="36" t="s">
        <v>350</v>
      </c>
    </row>
    <row r="104" spans="2:15" ht="19.7" customHeight="1" x14ac:dyDescent="0.2">
      <c r="B104" s="71" t="s">
        <v>350</v>
      </c>
      <c r="C104" s="33" t="s">
        <v>339</v>
      </c>
      <c r="D104" s="33" t="s">
        <v>350</v>
      </c>
      <c r="E104" s="35">
        <v>6</v>
      </c>
      <c r="F104" s="34" t="s">
        <v>70</v>
      </c>
      <c r="G104" s="41">
        <f t="shared" si="12"/>
        <v>0</v>
      </c>
      <c r="H104" s="69">
        <f>원가계산서!F23</f>
        <v>570702</v>
      </c>
      <c r="I104" s="41"/>
      <c r="J104" s="35"/>
      <c r="K104" s="41"/>
      <c r="L104" s="35"/>
      <c r="M104" s="41"/>
      <c r="N104" s="35"/>
      <c r="O104" s="36" t="s">
        <v>350</v>
      </c>
    </row>
    <row r="105" spans="2:15" ht="19.7" customHeight="1" x14ac:dyDescent="0.2">
      <c r="B105" s="71" t="s">
        <v>350</v>
      </c>
      <c r="C105" s="33" t="s">
        <v>327</v>
      </c>
      <c r="D105" s="33" t="s">
        <v>350</v>
      </c>
      <c r="E105" s="35"/>
      <c r="F105" s="34" t="s">
        <v>350</v>
      </c>
      <c r="G105" s="41">
        <f t="shared" si="12"/>
        <v>0</v>
      </c>
      <c r="H105" s="69">
        <f>원가계산서!F25</f>
        <v>11353973</v>
      </c>
      <c r="I105" s="41"/>
      <c r="J105" s="35"/>
      <c r="K105" s="41"/>
      <c r="L105" s="35"/>
      <c r="M105" s="41"/>
      <c r="N105" s="35"/>
      <c r="O105" s="36" t="s">
        <v>350</v>
      </c>
    </row>
    <row r="106" spans="2:15" ht="19.7" customHeight="1" x14ac:dyDescent="0.2">
      <c r="B106" s="73" t="s">
        <v>350</v>
      </c>
      <c r="C106" s="38" t="s">
        <v>297</v>
      </c>
      <c r="D106" s="38" t="s">
        <v>350</v>
      </c>
      <c r="E106" s="24">
        <v>6</v>
      </c>
      <c r="F106" s="39" t="s">
        <v>70</v>
      </c>
      <c r="G106" s="23">
        <f t="shared" si="12"/>
        <v>0</v>
      </c>
      <c r="H106" s="74">
        <f>원가계산서!F26</f>
        <v>681238</v>
      </c>
      <c r="I106" s="23"/>
      <c r="J106" s="24"/>
      <c r="K106" s="23"/>
      <c r="L106" s="24"/>
      <c r="M106" s="23"/>
      <c r="N106" s="24"/>
      <c r="O106" s="40" t="s">
        <v>350</v>
      </c>
    </row>
    <row r="107" spans="2:15" ht="19.7" customHeight="1" x14ac:dyDescent="0.2">
      <c r="B107" s="71" t="s">
        <v>350</v>
      </c>
      <c r="C107" s="33" t="s">
        <v>122</v>
      </c>
      <c r="D107" s="33" t="s">
        <v>350</v>
      </c>
      <c r="E107" s="95">
        <v>5</v>
      </c>
      <c r="F107" s="34" t="s">
        <v>70</v>
      </c>
      <c r="G107" s="41">
        <f t="shared" si="12"/>
        <v>0</v>
      </c>
      <c r="H107" s="69">
        <f>원가계산서!F27</f>
        <v>622286.06400000001</v>
      </c>
      <c r="I107" s="41"/>
      <c r="J107" s="35"/>
      <c r="K107" s="41"/>
      <c r="L107" s="35"/>
      <c r="M107" s="41"/>
      <c r="N107" s="35"/>
      <c r="O107" s="36" t="s">
        <v>350</v>
      </c>
    </row>
    <row r="108" spans="2:15" ht="19.7" customHeight="1" x14ac:dyDescent="0.2">
      <c r="B108" s="71" t="s">
        <v>350</v>
      </c>
      <c r="C108" s="33" t="s">
        <v>296</v>
      </c>
      <c r="D108" s="33" t="s">
        <v>350</v>
      </c>
      <c r="E108" s="35"/>
      <c r="F108" s="34" t="s">
        <v>350</v>
      </c>
      <c r="G108" s="41">
        <f t="shared" si="12"/>
        <v>0</v>
      </c>
      <c r="H108" s="69">
        <f>원가계산서!F28</f>
        <v>12657497</v>
      </c>
      <c r="I108" s="41"/>
      <c r="J108" s="35"/>
      <c r="K108" s="41"/>
      <c r="L108" s="35"/>
      <c r="M108" s="41"/>
      <c r="N108" s="35"/>
      <c r="O108" s="36" t="s">
        <v>350</v>
      </c>
    </row>
    <row r="109" spans="2:15" ht="19.7" customHeight="1" x14ac:dyDescent="0.2">
      <c r="B109" s="71" t="s">
        <v>350</v>
      </c>
      <c r="C109" s="33" t="s">
        <v>25</v>
      </c>
      <c r="D109" s="33" t="s">
        <v>350</v>
      </c>
      <c r="E109" s="35">
        <v>10</v>
      </c>
      <c r="F109" s="34" t="s">
        <v>70</v>
      </c>
      <c r="G109" s="41">
        <f t="shared" si="12"/>
        <v>0</v>
      </c>
      <c r="H109" s="69">
        <f>원가계산서!F29</f>
        <v>1265749</v>
      </c>
      <c r="I109" s="41"/>
      <c r="J109" s="35"/>
      <c r="K109" s="41"/>
      <c r="L109" s="35"/>
      <c r="M109" s="41"/>
      <c r="N109" s="35"/>
      <c r="O109" s="36" t="s">
        <v>350</v>
      </c>
    </row>
    <row r="110" spans="2:15" ht="19.7" customHeight="1" x14ac:dyDescent="0.2">
      <c r="B110" s="71" t="s">
        <v>350</v>
      </c>
      <c r="C110" s="33" t="s">
        <v>3</v>
      </c>
      <c r="D110" s="33" t="s">
        <v>350</v>
      </c>
      <c r="E110" s="35"/>
      <c r="F110" s="34" t="s">
        <v>350</v>
      </c>
      <c r="G110" s="41">
        <f t="shared" si="12"/>
        <v>0</v>
      </c>
      <c r="H110" s="69">
        <f>원가계산서!F30</f>
        <v>13923246</v>
      </c>
      <c r="I110" s="41"/>
      <c r="J110" s="35"/>
      <c r="K110" s="41"/>
      <c r="L110" s="35"/>
      <c r="M110" s="41"/>
      <c r="N110" s="35"/>
      <c r="O110" s="36" t="s">
        <v>350</v>
      </c>
    </row>
    <row r="111" spans="2:15" ht="19.7" customHeight="1" x14ac:dyDescent="0.2">
      <c r="B111" s="71" t="s">
        <v>350</v>
      </c>
      <c r="C111" s="33" t="s">
        <v>148</v>
      </c>
      <c r="D111" s="33" t="s">
        <v>350</v>
      </c>
      <c r="E111" s="35"/>
      <c r="F111" s="34" t="s">
        <v>350</v>
      </c>
      <c r="G111" s="41">
        <f t="shared" si="12"/>
        <v>0</v>
      </c>
      <c r="H111" s="69">
        <f>원가계산서!F33</f>
        <v>13924000</v>
      </c>
      <c r="I111" s="41"/>
      <c r="J111" s="35"/>
      <c r="K111" s="41"/>
      <c r="L111" s="35"/>
      <c r="M111" s="41"/>
      <c r="N111" s="35"/>
      <c r="O111" s="36" t="s">
        <v>350</v>
      </c>
    </row>
    <row r="112" spans="2:15" ht="19.7" customHeight="1" x14ac:dyDescent="0.2">
      <c r="B112" s="71" t="s">
        <v>350</v>
      </c>
      <c r="C112" s="33" t="s">
        <v>350</v>
      </c>
      <c r="D112" s="33" t="s">
        <v>350</v>
      </c>
      <c r="E112" s="35"/>
      <c r="F112" s="34" t="s">
        <v>350</v>
      </c>
      <c r="G112" s="41"/>
      <c r="H112" s="69"/>
      <c r="I112" s="41"/>
      <c r="J112" s="35"/>
      <c r="K112" s="41"/>
      <c r="L112" s="35"/>
      <c r="M112" s="41"/>
      <c r="N112" s="35"/>
      <c r="O112" s="36" t="s">
        <v>350</v>
      </c>
    </row>
    <row r="113" spans="2:15" ht="19.7" customHeight="1" x14ac:dyDescent="0.2">
      <c r="B113" s="71" t="s">
        <v>350</v>
      </c>
      <c r="C113" s="33" t="s">
        <v>350</v>
      </c>
      <c r="D113" s="33" t="s">
        <v>350</v>
      </c>
      <c r="E113" s="35"/>
      <c r="F113" s="34" t="s">
        <v>350</v>
      </c>
      <c r="G113" s="41"/>
      <c r="H113" s="69"/>
      <c r="I113" s="41"/>
      <c r="J113" s="35"/>
      <c r="K113" s="41"/>
      <c r="L113" s="35"/>
      <c r="M113" s="41"/>
      <c r="N113" s="35"/>
      <c r="O113" s="36" t="s">
        <v>350</v>
      </c>
    </row>
    <row r="114" spans="2:15" ht="19.7" customHeight="1" x14ac:dyDescent="0.2">
      <c r="B114" s="71" t="s">
        <v>350</v>
      </c>
      <c r="C114" s="33" t="s">
        <v>350</v>
      </c>
      <c r="D114" s="33" t="s">
        <v>350</v>
      </c>
      <c r="E114" s="35"/>
      <c r="F114" s="34" t="s">
        <v>350</v>
      </c>
      <c r="G114" s="41"/>
      <c r="H114" s="69"/>
      <c r="I114" s="41"/>
      <c r="J114" s="35"/>
      <c r="K114" s="41"/>
      <c r="L114" s="35"/>
      <c r="M114" s="41"/>
      <c r="N114" s="35"/>
      <c r="O114" s="36" t="s">
        <v>350</v>
      </c>
    </row>
    <row r="115" spans="2:15" ht="19.7" customHeight="1" x14ac:dyDescent="0.2">
      <c r="B115" s="71" t="s">
        <v>350</v>
      </c>
      <c r="C115" s="33" t="s">
        <v>350</v>
      </c>
      <c r="D115" s="33" t="s">
        <v>350</v>
      </c>
      <c r="E115" s="35"/>
      <c r="F115" s="34" t="s">
        <v>350</v>
      </c>
      <c r="G115" s="41"/>
      <c r="H115" s="69"/>
      <c r="I115" s="41"/>
      <c r="J115" s="35"/>
      <c r="K115" s="41"/>
      <c r="L115" s="35"/>
      <c r="M115" s="41"/>
      <c r="N115" s="35"/>
      <c r="O115" s="36" t="s">
        <v>350</v>
      </c>
    </row>
    <row r="116" spans="2:15" ht="19.7" customHeight="1" x14ac:dyDescent="0.2">
      <c r="B116" s="71" t="s">
        <v>350</v>
      </c>
      <c r="C116" s="33" t="s">
        <v>350</v>
      </c>
      <c r="D116" s="33" t="s">
        <v>350</v>
      </c>
      <c r="E116" s="35"/>
      <c r="F116" s="34" t="s">
        <v>350</v>
      </c>
      <c r="G116" s="41"/>
      <c r="H116" s="69"/>
      <c r="I116" s="41"/>
      <c r="J116" s="35"/>
      <c r="K116" s="41"/>
      <c r="L116" s="35"/>
      <c r="M116" s="41"/>
      <c r="N116" s="35"/>
      <c r="O116" s="36" t="s">
        <v>350</v>
      </c>
    </row>
    <row r="117" spans="2:15" ht="19.7" customHeight="1" x14ac:dyDescent="0.2">
      <c r="B117" s="71" t="s">
        <v>350</v>
      </c>
      <c r="C117" s="33" t="s">
        <v>350</v>
      </c>
      <c r="D117" s="33" t="s">
        <v>350</v>
      </c>
      <c r="E117" s="35"/>
      <c r="F117" s="34" t="s">
        <v>350</v>
      </c>
      <c r="G117" s="41"/>
      <c r="H117" s="69"/>
      <c r="I117" s="41"/>
      <c r="J117" s="35"/>
      <c r="K117" s="41"/>
      <c r="L117" s="35"/>
      <c r="M117" s="41"/>
      <c r="N117" s="35"/>
      <c r="O117" s="36" t="s">
        <v>350</v>
      </c>
    </row>
    <row r="118" spans="2:15" ht="19.7" customHeight="1" x14ac:dyDescent="0.2">
      <c r="B118" s="71" t="s">
        <v>350</v>
      </c>
      <c r="C118" s="33" t="s">
        <v>350</v>
      </c>
      <c r="D118" s="33" t="s">
        <v>350</v>
      </c>
      <c r="E118" s="35"/>
      <c r="F118" s="34" t="s">
        <v>350</v>
      </c>
      <c r="G118" s="41"/>
      <c r="H118" s="69"/>
      <c r="I118" s="41"/>
      <c r="J118" s="35"/>
      <c r="K118" s="41"/>
      <c r="L118" s="35"/>
      <c r="M118" s="41"/>
      <c r="N118" s="35"/>
      <c r="O118" s="36" t="s">
        <v>350</v>
      </c>
    </row>
    <row r="119" spans="2:15" ht="19.7" customHeight="1" x14ac:dyDescent="0.2">
      <c r="B119" s="71" t="s">
        <v>350</v>
      </c>
      <c r="C119" s="33" t="s">
        <v>350</v>
      </c>
      <c r="D119" s="33" t="s">
        <v>350</v>
      </c>
      <c r="E119" s="35"/>
      <c r="F119" s="34" t="s">
        <v>350</v>
      </c>
      <c r="G119" s="41"/>
      <c r="H119" s="69"/>
      <c r="I119" s="41"/>
      <c r="J119" s="35"/>
      <c r="K119" s="41"/>
      <c r="L119" s="35"/>
      <c r="M119" s="41"/>
      <c r="N119" s="35"/>
      <c r="O119" s="36" t="s">
        <v>350</v>
      </c>
    </row>
    <row r="120" spans="2:15" ht="19.7" customHeight="1" x14ac:dyDescent="0.2">
      <c r="B120" s="71" t="s">
        <v>350</v>
      </c>
      <c r="C120" s="33" t="s">
        <v>350</v>
      </c>
      <c r="D120" s="33" t="s">
        <v>350</v>
      </c>
      <c r="E120" s="35"/>
      <c r="F120" s="34" t="s">
        <v>350</v>
      </c>
      <c r="G120" s="41"/>
      <c r="H120" s="69"/>
      <c r="I120" s="41"/>
      <c r="J120" s="35"/>
      <c r="K120" s="41"/>
      <c r="L120" s="35"/>
      <c r="M120" s="41"/>
      <c r="N120" s="35"/>
      <c r="O120" s="36" t="s">
        <v>350</v>
      </c>
    </row>
    <row r="121" spans="2:15" x14ac:dyDescent="0.2">
      <c r="B121" s="73" t="s">
        <v>350</v>
      </c>
      <c r="C121" s="38" t="s">
        <v>350</v>
      </c>
      <c r="D121" s="38" t="s">
        <v>350</v>
      </c>
      <c r="E121" s="24"/>
      <c r="F121" s="39" t="s">
        <v>350</v>
      </c>
      <c r="G121" s="23"/>
      <c r="H121" s="74"/>
      <c r="I121" s="23"/>
      <c r="J121" s="24"/>
      <c r="K121" s="23"/>
      <c r="L121" s="24"/>
      <c r="M121" s="23"/>
      <c r="N121" s="24"/>
      <c r="O121" s="40" t="s">
        <v>350</v>
      </c>
    </row>
    <row r="122" spans="2:15" x14ac:dyDescent="0.2"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</row>
  </sheetData>
  <mergeCells count="11">
    <mergeCell ref="B1:O2"/>
    <mergeCell ref="B3:B4"/>
    <mergeCell ref="C3:C4"/>
    <mergeCell ref="D3:D4"/>
    <mergeCell ref="E3:E4"/>
    <mergeCell ref="F3:F4"/>
    <mergeCell ref="G3:H3"/>
    <mergeCell ref="I3:J3"/>
    <mergeCell ref="K3:L3"/>
    <mergeCell ref="M3:N3"/>
    <mergeCell ref="O3:O4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2" manualBreakCount="2">
    <brk id="30" min="2" max="15" man="1"/>
    <brk id="106" min="2" max="1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C17"/>
  <sheetViews>
    <sheetView tabSelected="1" workbookViewId="0">
      <pane ySplit="3" topLeftCell="A4" activePane="bottomLeft" state="frozen"/>
      <selection pane="bottomLeft" activeCell="N11" sqref="N11"/>
    </sheetView>
  </sheetViews>
  <sheetFormatPr defaultRowHeight="12.75" x14ac:dyDescent="0.2"/>
  <cols>
    <col min="1" max="1" width="0.7109375" customWidth="1"/>
    <col min="2" max="2" width="13.140625" customWidth="1"/>
    <col min="3" max="3" width="26.42578125" customWidth="1"/>
    <col min="4" max="4" width="24.140625" customWidth="1"/>
    <col min="5" max="5" width="8.85546875" customWidth="1"/>
    <col min="6" max="9" width="16.42578125" customWidth="1"/>
    <col min="10" max="10" width="15.42578125" customWidth="1"/>
  </cols>
  <sheetData>
    <row r="1" spans="2:29" ht="24.95" customHeight="1" x14ac:dyDescent="0.2">
      <c r="B1" s="137" t="s">
        <v>220</v>
      </c>
      <c r="C1" s="137"/>
      <c r="D1" s="137"/>
      <c r="E1" s="137"/>
      <c r="F1" s="137"/>
      <c r="G1" s="137"/>
      <c r="H1" s="137"/>
      <c r="I1" s="137"/>
      <c r="J1" s="137"/>
    </row>
    <row r="2" spans="2:29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</row>
    <row r="3" spans="2:29" ht="30.75" customHeight="1" x14ac:dyDescent="0.2">
      <c r="B3" s="27" t="s">
        <v>246</v>
      </c>
      <c r="C3" s="19" t="s">
        <v>331</v>
      </c>
      <c r="D3" s="19" t="s">
        <v>265</v>
      </c>
      <c r="E3" s="19" t="s">
        <v>131</v>
      </c>
      <c r="F3" s="19" t="s">
        <v>334</v>
      </c>
      <c r="G3" s="19" t="s">
        <v>295</v>
      </c>
      <c r="H3" s="19" t="s">
        <v>209</v>
      </c>
      <c r="I3" s="19" t="s">
        <v>18</v>
      </c>
      <c r="J3" s="20" t="s">
        <v>79</v>
      </c>
      <c r="Z3" t="s">
        <v>216</v>
      </c>
      <c r="AA3" t="s">
        <v>244</v>
      </c>
      <c r="AB3" t="s">
        <v>344</v>
      </c>
      <c r="AC3" t="s">
        <v>230</v>
      </c>
    </row>
    <row r="4" spans="2:29" ht="19.7" customHeight="1" x14ac:dyDescent="0.2">
      <c r="B4" s="32" t="s">
        <v>108</v>
      </c>
      <c r="C4" s="33" t="s">
        <v>214</v>
      </c>
      <c r="D4" s="33" t="s">
        <v>132</v>
      </c>
      <c r="E4" s="34" t="s">
        <v>72</v>
      </c>
      <c r="F4" s="69" t="str">
        <f t="shared" ref="F4:F16" si="0">TEXT(G4+H4+I4,"#,##0")</f>
        <v>445,094</v>
      </c>
      <c r="G4" s="69">
        <f>일위대가!J5</f>
        <v>445094</v>
      </c>
      <c r="H4" s="69">
        <f>일위대가!L5</f>
        <v>0</v>
      </c>
      <c r="I4" s="69">
        <f>일위대가!N5</f>
        <v>0</v>
      </c>
      <c r="J4" s="36" t="s">
        <v>350</v>
      </c>
      <c r="Z4" s="31">
        <v>334510</v>
      </c>
      <c r="AA4" s="31">
        <v>334510</v>
      </c>
    </row>
    <row r="5" spans="2:29" ht="19.7" customHeight="1" x14ac:dyDescent="0.2">
      <c r="B5" s="32" t="s">
        <v>305</v>
      </c>
      <c r="C5" s="33" t="s">
        <v>214</v>
      </c>
      <c r="D5" s="33" t="s">
        <v>310</v>
      </c>
      <c r="E5" s="34" t="s">
        <v>72</v>
      </c>
      <c r="F5" s="69" t="str">
        <f t="shared" si="0"/>
        <v>537,276</v>
      </c>
      <c r="G5" s="69">
        <f>일위대가!J9</f>
        <v>537276</v>
      </c>
      <c r="H5" s="69">
        <f>일위대가!L9</f>
        <v>0</v>
      </c>
      <c r="I5" s="69">
        <f>일위대가!N9</f>
        <v>0</v>
      </c>
      <c r="J5" s="36" t="s">
        <v>350</v>
      </c>
      <c r="Z5" s="31">
        <v>403790</v>
      </c>
      <c r="AA5" s="31">
        <v>403790</v>
      </c>
    </row>
    <row r="6" spans="2:29" ht="19.7" customHeight="1" x14ac:dyDescent="0.2">
      <c r="B6" s="32" t="s">
        <v>93</v>
      </c>
      <c r="C6" s="33" t="s">
        <v>15</v>
      </c>
      <c r="D6" s="33" t="s">
        <v>274</v>
      </c>
      <c r="E6" s="34" t="s">
        <v>72</v>
      </c>
      <c r="F6" s="69" t="str">
        <f t="shared" si="0"/>
        <v>133,528</v>
      </c>
      <c r="G6" s="69">
        <f>일위대가!J13</f>
        <v>133528</v>
      </c>
      <c r="H6" s="69">
        <f>일위대가!L13</f>
        <v>0</v>
      </c>
      <c r="I6" s="69">
        <f>일위대가!N13</f>
        <v>0</v>
      </c>
      <c r="J6" s="36" t="s">
        <v>350</v>
      </c>
      <c r="Z6" s="31">
        <v>100353</v>
      </c>
      <c r="AA6" s="31">
        <v>100353</v>
      </c>
    </row>
    <row r="7" spans="2:29" ht="19.7" customHeight="1" x14ac:dyDescent="0.2">
      <c r="B7" s="32" t="s">
        <v>341</v>
      </c>
      <c r="C7" s="33" t="s">
        <v>314</v>
      </c>
      <c r="D7" s="33" t="s">
        <v>274</v>
      </c>
      <c r="E7" s="34" t="s">
        <v>72</v>
      </c>
      <c r="F7" s="69" t="str">
        <f t="shared" si="0"/>
        <v>161,182</v>
      </c>
      <c r="G7" s="69">
        <f>일위대가!J16</f>
        <v>161182</v>
      </c>
      <c r="H7" s="69">
        <f>일위대가!L16</f>
        <v>0</v>
      </c>
      <c r="I7" s="69">
        <f>일위대가!N16</f>
        <v>0</v>
      </c>
      <c r="J7" s="36" t="s">
        <v>350</v>
      </c>
      <c r="Z7" s="31">
        <v>121137</v>
      </c>
      <c r="AA7" s="31">
        <v>121137</v>
      </c>
    </row>
    <row r="8" spans="2:29" ht="19.7" customHeight="1" x14ac:dyDescent="0.2">
      <c r="B8" s="32" t="s">
        <v>123</v>
      </c>
      <c r="C8" s="33" t="s">
        <v>320</v>
      </c>
      <c r="D8" s="33" t="s">
        <v>267</v>
      </c>
      <c r="E8" s="34" t="s">
        <v>198</v>
      </c>
      <c r="F8" s="69" t="str">
        <f t="shared" si="0"/>
        <v>97,292</v>
      </c>
      <c r="G8" s="69">
        <f>일위대가!J19</f>
        <v>97292</v>
      </c>
      <c r="H8" s="69">
        <f>일위대가!L19</f>
        <v>0</v>
      </c>
      <c r="I8" s="69">
        <f>일위대가!N19</f>
        <v>0</v>
      </c>
      <c r="J8" s="36" t="s">
        <v>350</v>
      </c>
      <c r="Z8" s="31">
        <v>77364</v>
      </c>
      <c r="AA8" s="31">
        <v>77364</v>
      </c>
    </row>
    <row r="9" spans="2:29" ht="19.7" customHeight="1" x14ac:dyDescent="0.2">
      <c r="B9" s="32" t="s">
        <v>332</v>
      </c>
      <c r="C9" s="33" t="s">
        <v>228</v>
      </c>
      <c r="D9" s="33" t="s">
        <v>274</v>
      </c>
      <c r="E9" s="34" t="s">
        <v>198</v>
      </c>
      <c r="F9" s="69" t="str">
        <f t="shared" si="0"/>
        <v>29,187</v>
      </c>
      <c r="G9" s="69">
        <f>일위대가!J26</f>
        <v>29187</v>
      </c>
      <c r="H9" s="69">
        <f>일위대가!L26</f>
        <v>0</v>
      </c>
      <c r="I9" s="69">
        <f>일위대가!N26</f>
        <v>0</v>
      </c>
      <c r="J9" s="36" t="s">
        <v>350</v>
      </c>
      <c r="Z9" s="31">
        <v>23209</v>
      </c>
      <c r="AA9" s="31">
        <v>23209</v>
      </c>
    </row>
    <row r="10" spans="2:29" ht="19.7" customHeight="1" x14ac:dyDescent="0.2">
      <c r="B10" s="32" t="s">
        <v>114</v>
      </c>
      <c r="C10" s="33" t="s">
        <v>56</v>
      </c>
      <c r="D10" s="33" t="s">
        <v>2</v>
      </c>
      <c r="E10" s="34" t="s">
        <v>198</v>
      </c>
      <c r="F10" s="69" t="str">
        <f t="shared" si="0"/>
        <v>14,593</v>
      </c>
      <c r="G10" s="69">
        <f>일위대가!J29</f>
        <v>14593</v>
      </c>
      <c r="H10" s="69">
        <f>일위대가!L29</f>
        <v>0</v>
      </c>
      <c r="I10" s="69">
        <f>일위대가!N29</f>
        <v>0</v>
      </c>
      <c r="J10" s="36" t="s">
        <v>350</v>
      </c>
      <c r="Z10" s="31">
        <v>11604</v>
      </c>
      <c r="AA10" s="31">
        <v>11604</v>
      </c>
    </row>
    <row r="11" spans="2:29" ht="19.7" customHeight="1" x14ac:dyDescent="0.2">
      <c r="B11" s="32" t="s">
        <v>182</v>
      </c>
      <c r="C11" s="33" t="s">
        <v>318</v>
      </c>
      <c r="D11" s="33" t="s">
        <v>76</v>
      </c>
      <c r="E11" s="34" t="s">
        <v>198</v>
      </c>
      <c r="F11" s="69" t="str">
        <f t="shared" si="0"/>
        <v>11,339</v>
      </c>
      <c r="G11" s="69">
        <f>일위대가!J32</f>
        <v>11339</v>
      </c>
      <c r="H11" s="69">
        <f>일위대가!L32</f>
        <v>0</v>
      </c>
      <c r="I11" s="69">
        <f>일위대가!N32</f>
        <v>0</v>
      </c>
      <c r="J11" s="36" t="s">
        <v>350</v>
      </c>
      <c r="Z11" s="31">
        <v>9146</v>
      </c>
      <c r="AA11" s="31">
        <v>9146</v>
      </c>
    </row>
    <row r="12" spans="2:29" ht="19.7" customHeight="1" x14ac:dyDescent="0.2">
      <c r="B12" s="32" t="s">
        <v>39</v>
      </c>
      <c r="C12" s="33" t="s">
        <v>283</v>
      </c>
      <c r="D12" s="33" t="s">
        <v>180</v>
      </c>
      <c r="E12" s="34" t="s">
        <v>198</v>
      </c>
      <c r="F12" s="69" t="str">
        <f t="shared" si="0"/>
        <v>9,071</v>
      </c>
      <c r="G12" s="69">
        <f>일위대가!J38</f>
        <v>9071</v>
      </c>
      <c r="H12" s="69">
        <f>일위대가!L38</f>
        <v>0</v>
      </c>
      <c r="I12" s="69">
        <f>일위대가!N38</f>
        <v>0</v>
      </c>
      <c r="J12" s="36" t="s">
        <v>350</v>
      </c>
      <c r="Z12" s="31">
        <v>7316</v>
      </c>
      <c r="AA12" s="31">
        <v>7316</v>
      </c>
    </row>
    <row r="13" spans="2:29" ht="19.7" customHeight="1" x14ac:dyDescent="0.2">
      <c r="B13" s="32" t="s">
        <v>224</v>
      </c>
      <c r="C13" s="33" t="s">
        <v>101</v>
      </c>
      <c r="D13" s="33" t="s">
        <v>31</v>
      </c>
      <c r="E13" s="34" t="s">
        <v>198</v>
      </c>
      <c r="F13" s="69" t="str">
        <f t="shared" si="0"/>
        <v>13,606</v>
      </c>
      <c r="G13" s="69">
        <f>일위대가!J41</f>
        <v>13606</v>
      </c>
      <c r="H13" s="69">
        <f>일위대가!L41</f>
        <v>0</v>
      </c>
      <c r="I13" s="69">
        <f>일위대가!N41</f>
        <v>0</v>
      </c>
      <c r="J13" s="36" t="s">
        <v>350</v>
      </c>
      <c r="Z13" s="31">
        <v>10975</v>
      </c>
      <c r="AA13" s="31">
        <v>10975</v>
      </c>
    </row>
    <row r="14" spans="2:29" ht="19.7" customHeight="1" x14ac:dyDescent="0.2">
      <c r="B14" s="32" t="s">
        <v>12</v>
      </c>
      <c r="C14" s="33" t="s">
        <v>288</v>
      </c>
      <c r="D14" s="33" t="s">
        <v>68</v>
      </c>
      <c r="E14" s="34" t="s">
        <v>243</v>
      </c>
      <c r="F14" s="69" t="str">
        <f t="shared" si="0"/>
        <v>218,992</v>
      </c>
      <c r="G14" s="69">
        <f>일위대가!J44</f>
        <v>85974</v>
      </c>
      <c r="H14" s="69">
        <f>일위대가!L44</f>
        <v>133018</v>
      </c>
      <c r="I14" s="69">
        <f>일위대가!N44</f>
        <v>0</v>
      </c>
      <c r="J14" s="36" t="s">
        <v>350</v>
      </c>
      <c r="Z14" s="31">
        <v>198940</v>
      </c>
      <c r="AA14" s="31">
        <v>65922</v>
      </c>
      <c r="AB14" s="31">
        <v>133018</v>
      </c>
    </row>
    <row r="15" spans="2:29" ht="19.7" customHeight="1" x14ac:dyDescent="0.2">
      <c r="B15" s="32" t="s">
        <v>217</v>
      </c>
      <c r="C15" s="33" t="s">
        <v>206</v>
      </c>
      <c r="D15" s="33" t="s">
        <v>350</v>
      </c>
      <c r="E15" s="34" t="s">
        <v>243</v>
      </c>
      <c r="F15" s="69" t="str">
        <f t="shared" si="0"/>
        <v>13,026</v>
      </c>
      <c r="G15" s="69">
        <f>일위대가!J49</f>
        <v>13026</v>
      </c>
      <c r="H15" s="69">
        <f>일위대가!L49</f>
        <v>0</v>
      </c>
      <c r="I15" s="69">
        <f>일위대가!N49</f>
        <v>0</v>
      </c>
      <c r="J15" s="36" t="s">
        <v>350</v>
      </c>
      <c r="Z15" s="31">
        <v>9988</v>
      </c>
      <c r="AA15" s="31">
        <v>9988</v>
      </c>
    </row>
    <row r="16" spans="2:29" ht="19.7" customHeight="1" x14ac:dyDescent="0.2">
      <c r="B16" s="37" t="s">
        <v>5</v>
      </c>
      <c r="C16" s="38" t="s">
        <v>82</v>
      </c>
      <c r="D16" s="38" t="s">
        <v>350</v>
      </c>
      <c r="E16" s="39" t="s">
        <v>243</v>
      </c>
      <c r="F16" s="74" t="str">
        <f t="shared" si="0"/>
        <v>26,052</v>
      </c>
      <c r="G16" s="74">
        <f>일위대가!J52</f>
        <v>26052</v>
      </c>
      <c r="H16" s="74">
        <f>일위대가!L52</f>
        <v>0</v>
      </c>
      <c r="I16" s="74">
        <f>일위대가!N52</f>
        <v>0</v>
      </c>
      <c r="J16" s="40" t="s">
        <v>350</v>
      </c>
      <c r="Z16" s="31">
        <v>19976</v>
      </c>
      <c r="AA16" s="31">
        <v>19976</v>
      </c>
    </row>
    <row r="17" spans="2:10" x14ac:dyDescent="0.2">
      <c r="B17" s="26"/>
      <c r="C17" s="26"/>
      <c r="D17" s="26"/>
      <c r="E17" s="26"/>
      <c r="F17" s="26"/>
      <c r="G17" s="26"/>
      <c r="H17" s="26"/>
      <c r="I17" s="26"/>
      <c r="J17" s="26"/>
    </row>
  </sheetData>
  <mergeCells count="1">
    <mergeCell ref="B1:J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59"/>
  <sheetViews>
    <sheetView workbookViewId="0">
      <pane ySplit="4" topLeftCell="A8" activePane="bottomLeft" state="frozen"/>
      <selection pane="bottomLeft" activeCell="E26" sqref="E26"/>
    </sheetView>
  </sheetViews>
  <sheetFormatPr defaultRowHeight="12.75" x14ac:dyDescent="0.2"/>
  <cols>
    <col min="1" max="1" width="0.7109375" customWidth="1"/>
    <col min="2" max="2" width="7.5703125" customWidth="1"/>
    <col min="3" max="3" width="24.7109375" customWidth="1"/>
    <col min="4" max="4" width="21.85546875" customWidth="1"/>
    <col min="5" max="5" width="6.7109375" customWidth="1"/>
    <col min="6" max="6" width="3.85546875" customWidth="1"/>
    <col min="7" max="7" width="9.42578125" customWidth="1"/>
    <col min="8" max="8" width="11" customWidth="1"/>
    <col min="9" max="9" width="9.42578125" customWidth="1"/>
    <col min="10" max="10" width="11" customWidth="1"/>
    <col min="11" max="11" width="9.140625" customWidth="1"/>
    <col min="12" max="12" width="10.5703125" customWidth="1"/>
    <col min="13" max="13" width="9.140625" customWidth="1"/>
    <col min="14" max="14" width="10.5703125" customWidth="1"/>
    <col min="15" max="15" width="9" customWidth="1"/>
  </cols>
  <sheetData>
    <row r="1" spans="2:15" ht="24.95" customHeight="1" x14ac:dyDescent="0.2">
      <c r="B1" s="137" t="s">
        <v>32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2:15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</row>
    <row r="3" spans="2:15" ht="15.4" customHeight="1" x14ac:dyDescent="0.2">
      <c r="B3" s="139" t="s">
        <v>246</v>
      </c>
      <c r="C3" s="141" t="s">
        <v>221</v>
      </c>
      <c r="D3" s="141" t="s">
        <v>265</v>
      </c>
      <c r="E3" s="141" t="s">
        <v>188</v>
      </c>
      <c r="F3" s="141" t="s">
        <v>131</v>
      </c>
      <c r="G3" s="143" t="s">
        <v>298</v>
      </c>
      <c r="H3" s="144"/>
      <c r="I3" s="143" t="s">
        <v>141</v>
      </c>
      <c r="J3" s="144"/>
      <c r="K3" s="143" t="s">
        <v>229</v>
      </c>
      <c r="L3" s="144"/>
      <c r="M3" s="143" t="s">
        <v>275</v>
      </c>
      <c r="N3" s="144"/>
      <c r="O3" s="145" t="s">
        <v>79</v>
      </c>
    </row>
    <row r="4" spans="2:15" ht="19.7" customHeight="1" x14ac:dyDescent="0.2">
      <c r="B4" s="140"/>
      <c r="C4" s="142"/>
      <c r="D4" s="142"/>
      <c r="E4" s="142"/>
      <c r="F4" s="142"/>
      <c r="G4" s="30" t="s">
        <v>1</v>
      </c>
      <c r="H4" s="29" t="s">
        <v>177</v>
      </c>
      <c r="I4" s="30" t="s">
        <v>1</v>
      </c>
      <c r="J4" s="29" t="s">
        <v>177</v>
      </c>
      <c r="K4" s="30" t="s">
        <v>1</v>
      </c>
      <c r="L4" s="29" t="s">
        <v>177</v>
      </c>
      <c r="M4" s="30" t="s">
        <v>1</v>
      </c>
      <c r="N4" s="29" t="s">
        <v>177</v>
      </c>
      <c r="O4" s="146"/>
    </row>
    <row r="5" spans="2:15" ht="19.7" customHeight="1" x14ac:dyDescent="0.2">
      <c r="B5" s="91" t="s">
        <v>108</v>
      </c>
      <c r="C5" s="66" t="s">
        <v>214</v>
      </c>
      <c r="D5" s="66" t="s">
        <v>132</v>
      </c>
      <c r="E5" s="35"/>
      <c r="F5" s="92" t="s">
        <v>72</v>
      </c>
      <c r="G5" s="41"/>
      <c r="H5" s="93" t="str">
        <f>TEXT(J5+L5+N5,"#,##0")</f>
        <v>445,094</v>
      </c>
      <c r="I5" s="41"/>
      <c r="J5" s="93">
        <f>TRUNC(J6+J7)</f>
        <v>445094</v>
      </c>
      <c r="K5" s="41"/>
      <c r="L5" s="69">
        <f>TRUNC(L6+L7)</f>
        <v>0</v>
      </c>
      <c r="M5" s="41"/>
      <c r="N5" s="69">
        <f>TRUNC(N6+N7)</f>
        <v>0</v>
      </c>
      <c r="O5" s="94" t="s">
        <v>350</v>
      </c>
    </row>
    <row r="6" spans="2:15" ht="19.7" customHeight="1" x14ac:dyDescent="0.2">
      <c r="B6" s="32" t="s">
        <v>350</v>
      </c>
      <c r="C6" s="33" t="s">
        <v>30</v>
      </c>
      <c r="D6" s="33" t="s">
        <v>350</v>
      </c>
      <c r="E6" s="95">
        <v>2.0049999999999999</v>
      </c>
      <c r="F6" s="34" t="s">
        <v>317</v>
      </c>
      <c r="G6" s="41">
        <f>I6+K6+M6</f>
        <v>175669</v>
      </c>
      <c r="H6" s="96" t="str">
        <f>TEXT(J6+L6+N6,"#,##0")</f>
        <v>352,216</v>
      </c>
      <c r="I6" s="68">
        <f>노임단가!L4</f>
        <v>175669</v>
      </c>
      <c r="J6" s="96">
        <f>TRUNC(E6*I6,1)</f>
        <v>352216.3</v>
      </c>
      <c r="K6" s="68">
        <f>노임단가!AB4</f>
        <v>0</v>
      </c>
      <c r="L6" s="96">
        <f>TRUNC(E6*K6,1)</f>
        <v>0</v>
      </c>
      <c r="M6" s="68">
        <f>노임단가!AC4</f>
        <v>0</v>
      </c>
      <c r="N6" s="96">
        <f>TRUNC(E6*M6,1)</f>
        <v>0</v>
      </c>
      <c r="O6" s="36" t="s">
        <v>350</v>
      </c>
    </row>
    <row r="7" spans="2:15" ht="19.7" customHeight="1" x14ac:dyDescent="0.2">
      <c r="B7" s="32" t="s">
        <v>350</v>
      </c>
      <c r="C7" s="33" t="s">
        <v>17</v>
      </c>
      <c r="D7" s="33" t="s">
        <v>350</v>
      </c>
      <c r="E7" s="95">
        <v>0.71299999999999997</v>
      </c>
      <c r="F7" s="34" t="s">
        <v>317</v>
      </c>
      <c r="G7" s="41">
        <f>I7+K7+M7</f>
        <v>130264</v>
      </c>
      <c r="H7" s="96" t="str">
        <f>TEXT(J7+L7+N7,"#,##0")</f>
        <v>92,878</v>
      </c>
      <c r="I7" s="68">
        <f>노임단가!L5</f>
        <v>130264</v>
      </c>
      <c r="J7" s="96">
        <f>TRUNC(E7*I7,1)</f>
        <v>92878.2</v>
      </c>
      <c r="K7" s="68">
        <f>노임단가!AB5</f>
        <v>0</v>
      </c>
      <c r="L7" s="96">
        <f>TRUNC(E7*K7,1)</f>
        <v>0</v>
      </c>
      <c r="M7" s="68">
        <f>노임단가!AC5</f>
        <v>0</v>
      </c>
      <c r="N7" s="96">
        <f>TRUNC(E7*M7,1)</f>
        <v>0</v>
      </c>
      <c r="O7" s="36" t="s">
        <v>350</v>
      </c>
    </row>
    <row r="8" spans="2:15" ht="19.7" customHeight="1" x14ac:dyDescent="0.2">
      <c r="B8" s="32" t="s">
        <v>350</v>
      </c>
      <c r="C8" s="33" t="s">
        <v>350</v>
      </c>
      <c r="D8" s="33" t="s">
        <v>350</v>
      </c>
      <c r="E8" s="35"/>
      <c r="F8" s="34" t="s">
        <v>350</v>
      </c>
      <c r="G8" s="41"/>
      <c r="H8" s="35"/>
      <c r="I8" s="41"/>
      <c r="J8" s="69">
        <f>TRUNC(E8*I8,1)</f>
        <v>0</v>
      </c>
      <c r="K8" s="41"/>
      <c r="L8" s="69">
        <f>TRUNC(E8*K8,1)</f>
        <v>0</v>
      </c>
      <c r="M8" s="41"/>
      <c r="N8" s="69">
        <f>TRUNC(E8*M8,1)</f>
        <v>0</v>
      </c>
      <c r="O8" s="36" t="s">
        <v>350</v>
      </c>
    </row>
    <row r="9" spans="2:15" ht="19.7" customHeight="1" x14ac:dyDescent="0.2">
      <c r="B9" s="91" t="s">
        <v>305</v>
      </c>
      <c r="C9" s="66" t="s">
        <v>214</v>
      </c>
      <c r="D9" s="66" t="s">
        <v>310</v>
      </c>
      <c r="E9" s="35"/>
      <c r="F9" s="92" t="s">
        <v>72</v>
      </c>
      <c r="G9" s="41"/>
      <c r="H9" s="93" t="str">
        <f>TEXT(J9+L9+N9,"#,##0")</f>
        <v>537,276</v>
      </c>
      <c r="I9" s="41"/>
      <c r="J9" s="93">
        <f>TRUNC(J10+J11)</f>
        <v>537276</v>
      </c>
      <c r="K9" s="41"/>
      <c r="L9" s="69">
        <f>TRUNC(L10+L11)</f>
        <v>0</v>
      </c>
      <c r="M9" s="41"/>
      <c r="N9" s="69">
        <f>TRUNC(N10+N11)</f>
        <v>0</v>
      </c>
      <c r="O9" s="94" t="s">
        <v>350</v>
      </c>
    </row>
    <row r="10" spans="2:15" ht="19.7" customHeight="1" x14ac:dyDescent="0.2">
      <c r="B10" s="32" t="s">
        <v>350</v>
      </c>
      <c r="C10" s="33" t="s">
        <v>30</v>
      </c>
      <c r="D10" s="33" t="s">
        <v>350</v>
      </c>
      <c r="E10" s="95">
        <v>2.42</v>
      </c>
      <c r="F10" s="34" t="s">
        <v>317</v>
      </c>
      <c r="G10" s="41">
        <f>I10+K10+M10</f>
        <v>175669</v>
      </c>
      <c r="H10" s="96" t="str">
        <f>TEXT(J10+L10+N10,"#,##0")</f>
        <v>425,119</v>
      </c>
      <c r="I10" s="68">
        <f>노임단가!L4</f>
        <v>175669</v>
      </c>
      <c r="J10" s="96">
        <f>TRUNC(E10*I10,1)</f>
        <v>425118.9</v>
      </c>
      <c r="K10" s="68">
        <f>노임단가!AB4</f>
        <v>0</v>
      </c>
      <c r="L10" s="96">
        <f>TRUNC(E10*K10,1)</f>
        <v>0</v>
      </c>
      <c r="M10" s="68">
        <f>노임단가!AC4</f>
        <v>0</v>
      </c>
      <c r="N10" s="96">
        <f>TRUNC(E10*M10,1)</f>
        <v>0</v>
      </c>
      <c r="O10" s="36" t="s">
        <v>350</v>
      </c>
    </row>
    <row r="11" spans="2:15" ht="19.7" customHeight="1" x14ac:dyDescent="0.2">
      <c r="B11" s="32" t="s">
        <v>350</v>
      </c>
      <c r="C11" s="33" t="s">
        <v>17</v>
      </c>
      <c r="D11" s="33" t="s">
        <v>350</v>
      </c>
      <c r="E11" s="95">
        <v>0.86099999999999999</v>
      </c>
      <c r="F11" s="34" t="s">
        <v>317</v>
      </c>
      <c r="G11" s="41">
        <f>I11+K11+M11</f>
        <v>130264</v>
      </c>
      <c r="H11" s="96" t="str">
        <f>TEXT(J11+L11+N11,"#,##0")</f>
        <v>112,157</v>
      </c>
      <c r="I11" s="68">
        <f>노임단가!L5</f>
        <v>130264</v>
      </c>
      <c r="J11" s="96">
        <f>TRUNC(E11*I11,1)</f>
        <v>112157.3</v>
      </c>
      <c r="K11" s="68">
        <f>노임단가!AB5</f>
        <v>0</v>
      </c>
      <c r="L11" s="96">
        <f>TRUNC(E11*K11,1)</f>
        <v>0</v>
      </c>
      <c r="M11" s="68">
        <f>노임단가!AC5</f>
        <v>0</v>
      </c>
      <c r="N11" s="96">
        <f>TRUNC(E11*M11,1)</f>
        <v>0</v>
      </c>
      <c r="O11" s="36" t="s">
        <v>350</v>
      </c>
    </row>
    <row r="12" spans="2:15" ht="19.7" customHeight="1" x14ac:dyDescent="0.2">
      <c r="B12" s="32" t="s">
        <v>350</v>
      </c>
      <c r="C12" s="33" t="s">
        <v>350</v>
      </c>
      <c r="D12" s="33" t="s">
        <v>350</v>
      </c>
      <c r="E12" s="35"/>
      <c r="F12" s="34" t="s">
        <v>350</v>
      </c>
      <c r="G12" s="41"/>
      <c r="H12" s="35"/>
      <c r="I12" s="41"/>
      <c r="J12" s="69">
        <f>TRUNC(E12*I12,1)</f>
        <v>0</v>
      </c>
      <c r="K12" s="41"/>
      <c r="L12" s="69">
        <f>TRUNC(E12*K12,1)</f>
        <v>0</v>
      </c>
      <c r="M12" s="41"/>
      <c r="N12" s="69">
        <f>TRUNC(E12*M12,1)</f>
        <v>0</v>
      </c>
      <c r="O12" s="36" t="s">
        <v>350</v>
      </c>
    </row>
    <row r="13" spans="2:15" ht="19.7" customHeight="1" x14ac:dyDescent="0.2">
      <c r="B13" s="91" t="s">
        <v>93</v>
      </c>
      <c r="C13" s="66" t="s">
        <v>15</v>
      </c>
      <c r="D13" s="66" t="s">
        <v>274</v>
      </c>
      <c r="E13" s="35"/>
      <c r="F13" s="92" t="s">
        <v>72</v>
      </c>
      <c r="G13" s="41"/>
      <c r="H13" s="93" t="str">
        <f>TEXT(J13+L13+N13,"#,##0")</f>
        <v>133,528</v>
      </c>
      <c r="I13" s="41"/>
      <c r="J13" s="93">
        <f>TRUNC(J14)</f>
        <v>133528</v>
      </c>
      <c r="K13" s="41"/>
      <c r="L13" s="69">
        <f>TRUNC(L14)</f>
        <v>0</v>
      </c>
      <c r="M13" s="41"/>
      <c r="N13" s="69">
        <f>TRUNC(N14)</f>
        <v>0</v>
      </c>
      <c r="O13" s="94" t="s">
        <v>350</v>
      </c>
    </row>
    <row r="14" spans="2:15" ht="19.7" customHeight="1" x14ac:dyDescent="0.2">
      <c r="B14" s="32" t="s">
        <v>350</v>
      </c>
      <c r="C14" s="33" t="s">
        <v>214</v>
      </c>
      <c r="D14" s="33" t="s">
        <v>132</v>
      </c>
      <c r="E14" s="95">
        <v>0.3</v>
      </c>
      <c r="F14" s="34" t="s">
        <v>72</v>
      </c>
      <c r="G14" s="41">
        <f>I14+K14+M14</f>
        <v>445094</v>
      </c>
      <c r="H14" s="96" t="str">
        <f>TEXT(J14+L14+N14,"#,##0")</f>
        <v>133,528</v>
      </c>
      <c r="I14" s="68">
        <f>일위대가총괄표!G4</f>
        <v>445094</v>
      </c>
      <c r="J14" s="96">
        <f>TRUNC(E14*I14,1)</f>
        <v>133528.20000000001</v>
      </c>
      <c r="K14" s="68">
        <f>일위대가총괄표!H4</f>
        <v>0</v>
      </c>
      <c r="L14" s="96">
        <f>TRUNC(E14*K14,1)</f>
        <v>0</v>
      </c>
      <c r="M14" s="68">
        <f>일위대가총괄표!I4</f>
        <v>0</v>
      </c>
      <c r="N14" s="96">
        <f>TRUNC(E14*M14,1)</f>
        <v>0</v>
      </c>
      <c r="O14" s="36" t="s">
        <v>333</v>
      </c>
    </row>
    <row r="15" spans="2:15" ht="19.7" customHeight="1" x14ac:dyDescent="0.2">
      <c r="B15" s="32" t="s">
        <v>350</v>
      </c>
      <c r="C15" s="33" t="s">
        <v>350</v>
      </c>
      <c r="D15" s="33" t="s">
        <v>350</v>
      </c>
      <c r="E15" s="35"/>
      <c r="F15" s="34" t="s">
        <v>350</v>
      </c>
      <c r="G15" s="41"/>
      <c r="H15" s="35"/>
      <c r="I15" s="41"/>
      <c r="J15" s="69">
        <f>TRUNC(E15*I15,1)</f>
        <v>0</v>
      </c>
      <c r="K15" s="41"/>
      <c r="L15" s="69">
        <f>TRUNC(E15*K15,1)</f>
        <v>0</v>
      </c>
      <c r="M15" s="41"/>
      <c r="N15" s="69">
        <f>TRUNC(E15*M15,1)</f>
        <v>0</v>
      </c>
      <c r="O15" s="36" t="s">
        <v>350</v>
      </c>
    </row>
    <row r="16" spans="2:15" ht="19.7" customHeight="1" x14ac:dyDescent="0.2">
      <c r="B16" s="91" t="s">
        <v>341</v>
      </c>
      <c r="C16" s="66" t="s">
        <v>314</v>
      </c>
      <c r="D16" s="66" t="s">
        <v>274</v>
      </c>
      <c r="E16" s="35"/>
      <c r="F16" s="92" t="s">
        <v>72</v>
      </c>
      <c r="G16" s="41"/>
      <c r="H16" s="93" t="str">
        <f>TEXT(J16+L16+N16,"#,##0")</f>
        <v>161,182</v>
      </c>
      <c r="I16" s="41"/>
      <c r="J16" s="93">
        <f>TRUNC(J17)</f>
        <v>161182</v>
      </c>
      <c r="K16" s="41"/>
      <c r="L16" s="69">
        <f>TRUNC(L17)</f>
        <v>0</v>
      </c>
      <c r="M16" s="41"/>
      <c r="N16" s="69">
        <f>TRUNC(N17)</f>
        <v>0</v>
      </c>
      <c r="O16" s="94" t="s">
        <v>350</v>
      </c>
    </row>
    <row r="17" spans="2:15" ht="19.7" customHeight="1" x14ac:dyDescent="0.2">
      <c r="B17" s="32" t="s">
        <v>350</v>
      </c>
      <c r="C17" s="33" t="s">
        <v>214</v>
      </c>
      <c r="D17" s="33" t="s">
        <v>310</v>
      </c>
      <c r="E17" s="95">
        <v>0.3</v>
      </c>
      <c r="F17" s="34" t="s">
        <v>72</v>
      </c>
      <c r="G17" s="41">
        <f>I17+K17+M17</f>
        <v>537276</v>
      </c>
      <c r="H17" s="96" t="str">
        <f>TEXT(J17+L17+N17,"#,##0")</f>
        <v>161,183</v>
      </c>
      <c r="I17" s="68">
        <f>일위대가총괄표!G5</f>
        <v>537276</v>
      </c>
      <c r="J17" s="96">
        <f>TRUNC(E17*I17,1)</f>
        <v>161182.79999999999</v>
      </c>
      <c r="K17" s="68">
        <f>일위대가총괄표!H5</f>
        <v>0</v>
      </c>
      <c r="L17" s="96">
        <f>TRUNC(E17*K17,1)</f>
        <v>0</v>
      </c>
      <c r="M17" s="68">
        <f>일위대가총괄표!I5</f>
        <v>0</v>
      </c>
      <c r="N17" s="96">
        <f>TRUNC(E17*M17,1)</f>
        <v>0</v>
      </c>
      <c r="O17" s="36" t="s">
        <v>124</v>
      </c>
    </row>
    <row r="18" spans="2:15" ht="19.7" customHeight="1" x14ac:dyDescent="0.2">
      <c r="B18" s="32" t="s">
        <v>350</v>
      </c>
      <c r="C18" s="33" t="s">
        <v>350</v>
      </c>
      <c r="D18" s="33" t="s">
        <v>350</v>
      </c>
      <c r="E18" s="35"/>
      <c r="F18" s="34" t="s">
        <v>350</v>
      </c>
      <c r="G18" s="41"/>
      <c r="H18" s="35"/>
      <c r="I18" s="41"/>
      <c r="J18" s="69">
        <f>TRUNC(E18*I18,1)</f>
        <v>0</v>
      </c>
      <c r="K18" s="41"/>
      <c r="L18" s="69">
        <f>TRUNC(E18*K18,1)</f>
        <v>0</v>
      </c>
      <c r="M18" s="41"/>
      <c r="N18" s="69">
        <f>TRUNC(E18*M18,1)</f>
        <v>0</v>
      </c>
      <c r="O18" s="36" t="s">
        <v>350</v>
      </c>
    </row>
    <row r="19" spans="2:15" ht="19.7" customHeight="1" x14ac:dyDescent="0.2">
      <c r="B19" s="91" t="s">
        <v>123</v>
      </c>
      <c r="C19" s="66" t="s">
        <v>320</v>
      </c>
      <c r="D19" s="66" t="s">
        <v>267</v>
      </c>
      <c r="E19" s="35"/>
      <c r="F19" s="92" t="s">
        <v>198</v>
      </c>
      <c r="G19" s="41"/>
      <c r="H19" s="93" t="str">
        <f t="shared" ref="H19:H24" si="0">TEXT(J19+L19+N19,"#,##0")</f>
        <v>97,292</v>
      </c>
      <c r="I19" s="41"/>
      <c r="J19" s="93">
        <f>TRUNC(J20+J21+J22+J23+J24)</f>
        <v>97292</v>
      </c>
      <c r="K19" s="41"/>
      <c r="L19" s="69">
        <f>TRUNC(L20+L21+L22+L23+L24)</f>
        <v>0</v>
      </c>
      <c r="M19" s="41"/>
      <c r="N19" s="69">
        <f>TRUNC(N20+N21+N22+N23+N24)</f>
        <v>0</v>
      </c>
      <c r="O19" s="94" t="s">
        <v>350</v>
      </c>
    </row>
    <row r="20" spans="2:15" ht="19.7" customHeight="1" x14ac:dyDescent="0.2">
      <c r="B20" s="32" t="s">
        <v>350</v>
      </c>
      <c r="C20" s="33" t="s">
        <v>27</v>
      </c>
      <c r="D20" s="33" t="s">
        <v>350</v>
      </c>
      <c r="E20" s="95">
        <v>0.03</v>
      </c>
      <c r="F20" s="34" t="s">
        <v>317</v>
      </c>
      <c r="G20" s="41">
        <f>I20+K20+M20</f>
        <v>204145</v>
      </c>
      <c r="H20" s="96" t="str">
        <f t="shared" si="0"/>
        <v>6,124</v>
      </c>
      <c r="I20" s="68">
        <f>노임단가!L6</f>
        <v>204145</v>
      </c>
      <c r="J20" s="96">
        <f t="shared" ref="J20:J25" si="1">TRUNC(E20*I20,1)</f>
        <v>6124.3</v>
      </c>
      <c r="K20" s="68">
        <f>노임단가!AB6</f>
        <v>0</v>
      </c>
      <c r="L20" s="96">
        <f t="shared" ref="L20:L25" si="2">TRUNC(E20*K20,1)</f>
        <v>0</v>
      </c>
      <c r="M20" s="68">
        <f>노임단가!AC6</f>
        <v>0</v>
      </c>
      <c r="N20" s="96">
        <f t="shared" ref="N20:N25" si="3">TRUNC(E20*M20,1)</f>
        <v>0</v>
      </c>
      <c r="O20" s="36" t="s">
        <v>350</v>
      </c>
    </row>
    <row r="21" spans="2:15" ht="19.7" customHeight="1" x14ac:dyDescent="0.2">
      <c r="B21" s="32" t="s">
        <v>350</v>
      </c>
      <c r="C21" s="33" t="s">
        <v>40</v>
      </c>
      <c r="D21" s="33" t="s">
        <v>350</v>
      </c>
      <c r="E21" s="95">
        <v>0.13</v>
      </c>
      <c r="F21" s="34" t="s">
        <v>317</v>
      </c>
      <c r="G21" s="41">
        <f>I21+K21+M21</f>
        <v>175886</v>
      </c>
      <c r="H21" s="96" t="str">
        <f t="shared" si="0"/>
        <v>22,865</v>
      </c>
      <c r="I21" s="68">
        <f>노임단가!L7</f>
        <v>175886</v>
      </c>
      <c r="J21" s="96">
        <f t="shared" si="1"/>
        <v>22865.1</v>
      </c>
      <c r="K21" s="68">
        <f>노임단가!AB7</f>
        <v>0</v>
      </c>
      <c r="L21" s="96">
        <f t="shared" si="2"/>
        <v>0</v>
      </c>
      <c r="M21" s="68">
        <f>노임단가!AC7</f>
        <v>0</v>
      </c>
      <c r="N21" s="96">
        <f t="shared" si="3"/>
        <v>0</v>
      </c>
      <c r="O21" s="36" t="s">
        <v>350</v>
      </c>
    </row>
    <row r="22" spans="2:15" ht="19.7" customHeight="1" x14ac:dyDescent="0.2">
      <c r="B22" s="32" t="s">
        <v>350</v>
      </c>
      <c r="C22" s="33" t="s">
        <v>259</v>
      </c>
      <c r="D22" s="33" t="s">
        <v>350</v>
      </c>
      <c r="E22" s="95">
        <v>0.13</v>
      </c>
      <c r="F22" s="34" t="s">
        <v>317</v>
      </c>
      <c r="G22" s="41">
        <f>I22+K22+M22</f>
        <v>169406</v>
      </c>
      <c r="H22" s="96" t="str">
        <f t="shared" si="0"/>
        <v>22,023</v>
      </c>
      <c r="I22" s="68">
        <f>노임단가!L8</f>
        <v>169406</v>
      </c>
      <c r="J22" s="96">
        <f t="shared" si="1"/>
        <v>22022.7</v>
      </c>
      <c r="K22" s="68">
        <f>노임단가!AB8</f>
        <v>0</v>
      </c>
      <c r="L22" s="96">
        <f t="shared" si="2"/>
        <v>0</v>
      </c>
      <c r="M22" s="68">
        <f>노임단가!AC8</f>
        <v>0</v>
      </c>
      <c r="N22" s="96">
        <f t="shared" si="3"/>
        <v>0</v>
      </c>
      <c r="O22" s="36" t="s">
        <v>350</v>
      </c>
    </row>
    <row r="23" spans="2:15" ht="19.7" customHeight="1" x14ac:dyDescent="0.2">
      <c r="B23" s="32" t="s">
        <v>350</v>
      </c>
      <c r="C23" s="33" t="s">
        <v>13</v>
      </c>
      <c r="D23" s="33" t="s">
        <v>350</v>
      </c>
      <c r="E23" s="95">
        <v>0.13</v>
      </c>
      <c r="F23" s="34" t="s">
        <v>317</v>
      </c>
      <c r="G23" s="41">
        <f>I23+K23+M23</f>
        <v>155599</v>
      </c>
      <c r="H23" s="96" t="str">
        <f t="shared" si="0"/>
        <v>20,228</v>
      </c>
      <c r="I23" s="68">
        <f>노임단가!L9</f>
        <v>155599</v>
      </c>
      <c r="J23" s="96">
        <f t="shared" si="1"/>
        <v>20227.8</v>
      </c>
      <c r="K23" s="68">
        <f>노임단가!AB9</f>
        <v>0</v>
      </c>
      <c r="L23" s="96">
        <f t="shared" si="2"/>
        <v>0</v>
      </c>
      <c r="M23" s="68">
        <f>노임단가!AC9</f>
        <v>0</v>
      </c>
      <c r="N23" s="96">
        <f t="shared" si="3"/>
        <v>0</v>
      </c>
      <c r="O23" s="36" t="s">
        <v>350</v>
      </c>
    </row>
    <row r="24" spans="2:15" ht="19.7" customHeight="1" x14ac:dyDescent="0.2">
      <c r="B24" s="32" t="s">
        <v>350</v>
      </c>
      <c r="C24" s="33" t="s">
        <v>17</v>
      </c>
      <c r="D24" s="33" t="s">
        <v>350</v>
      </c>
      <c r="E24" s="95">
        <v>0.2</v>
      </c>
      <c r="F24" s="34" t="s">
        <v>317</v>
      </c>
      <c r="G24" s="41">
        <f>I24+K24+M24</f>
        <v>130264</v>
      </c>
      <c r="H24" s="96" t="str">
        <f t="shared" si="0"/>
        <v>26,053</v>
      </c>
      <c r="I24" s="68">
        <f>노임단가!L5</f>
        <v>130264</v>
      </c>
      <c r="J24" s="96">
        <f t="shared" si="1"/>
        <v>26052.799999999999</v>
      </c>
      <c r="K24" s="68">
        <f>노임단가!AB5</f>
        <v>0</v>
      </c>
      <c r="L24" s="96">
        <f t="shared" si="2"/>
        <v>0</v>
      </c>
      <c r="M24" s="68">
        <f>노임단가!AC5</f>
        <v>0</v>
      </c>
      <c r="N24" s="96">
        <f t="shared" si="3"/>
        <v>0</v>
      </c>
      <c r="O24" s="36" t="s">
        <v>350</v>
      </c>
    </row>
    <row r="25" spans="2:15" ht="19.7" customHeight="1" x14ac:dyDescent="0.2">
      <c r="B25" s="32" t="s">
        <v>350</v>
      </c>
      <c r="C25" s="33" t="s">
        <v>350</v>
      </c>
      <c r="D25" s="33" t="s">
        <v>350</v>
      </c>
      <c r="E25" s="35"/>
      <c r="F25" s="34" t="s">
        <v>350</v>
      </c>
      <c r="G25" s="41"/>
      <c r="H25" s="35"/>
      <c r="I25" s="41"/>
      <c r="J25" s="69">
        <f t="shared" si="1"/>
        <v>0</v>
      </c>
      <c r="K25" s="41"/>
      <c r="L25" s="69">
        <f t="shared" si="2"/>
        <v>0</v>
      </c>
      <c r="M25" s="41"/>
      <c r="N25" s="69">
        <f t="shared" si="3"/>
        <v>0</v>
      </c>
      <c r="O25" s="36" t="s">
        <v>350</v>
      </c>
    </row>
    <row r="26" spans="2:15" ht="19.7" customHeight="1" x14ac:dyDescent="0.2">
      <c r="B26" s="91" t="s">
        <v>332</v>
      </c>
      <c r="C26" s="66" t="s">
        <v>355</v>
      </c>
      <c r="D26" s="66" t="s">
        <v>274</v>
      </c>
      <c r="E26" s="35"/>
      <c r="F26" s="92" t="s">
        <v>198</v>
      </c>
      <c r="G26" s="41"/>
      <c r="H26" s="93" t="str">
        <f>TEXT(J26+L26+N26,"#,##0")</f>
        <v>29,187</v>
      </c>
      <c r="I26" s="41"/>
      <c r="J26" s="93">
        <f>TRUNC(J27)</f>
        <v>29187</v>
      </c>
      <c r="K26" s="41"/>
      <c r="L26" s="69">
        <f>TRUNC(L27)</f>
        <v>0</v>
      </c>
      <c r="M26" s="41"/>
      <c r="N26" s="69">
        <f>TRUNC(N27)</f>
        <v>0</v>
      </c>
      <c r="O26" s="94" t="s">
        <v>350</v>
      </c>
    </row>
    <row r="27" spans="2:15" ht="19.7" customHeight="1" x14ac:dyDescent="0.2">
      <c r="B27" s="32" t="s">
        <v>350</v>
      </c>
      <c r="C27" s="33" t="s">
        <v>320</v>
      </c>
      <c r="D27" s="33" t="s">
        <v>267</v>
      </c>
      <c r="E27" s="95">
        <v>0.3</v>
      </c>
      <c r="F27" s="34" t="s">
        <v>198</v>
      </c>
      <c r="G27" s="41">
        <f>I27+K27+M27</f>
        <v>97292</v>
      </c>
      <c r="H27" s="96" t="str">
        <f>TEXT(J27+L27+N27,"#,##0")</f>
        <v>29,188</v>
      </c>
      <c r="I27" s="68">
        <f>일위대가총괄표!G8</f>
        <v>97292</v>
      </c>
      <c r="J27" s="96">
        <f>TRUNC(E27*I27,1)</f>
        <v>29187.599999999999</v>
      </c>
      <c r="K27" s="68">
        <f>일위대가총괄표!H8</f>
        <v>0</v>
      </c>
      <c r="L27" s="96">
        <f>TRUNC(E27*K27,1)</f>
        <v>0</v>
      </c>
      <c r="M27" s="68">
        <f>일위대가총괄표!I8</f>
        <v>0</v>
      </c>
      <c r="N27" s="96">
        <f>TRUNC(E27*M27,1)</f>
        <v>0</v>
      </c>
      <c r="O27" s="36" t="s">
        <v>304</v>
      </c>
    </row>
    <row r="28" spans="2:15" ht="19.7" customHeight="1" x14ac:dyDescent="0.2">
      <c r="B28" s="32" t="s">
        <v>350</v>
      </c>
      <c r="C28" s="33" t="s">
        <v>350</v>
      </c>
      <c r="D28" s="33" t="s">
        <v>350</v>
      </c>
      <c r="E28" s="35"/>
      <c r="F28" s="34" t="s">
        <v>350</v>
      </c>
      <c r="G28" s="41"/>
      <c r="H28" s="35"/>
      <c r="I28" s="41"/>
      <c r="J28" s="69">
        <f>TRUNC(E28*I28,1)</f>
        <v>0</v>
      </c>
      <c r="K28" s="41"/>
      <c r="L28" s="69">
        <f>TRUNC(E28*K28,1)</f>
        <v>0</v>
      </c>
      <c r="M28" s="41"/>
      <c r="N28" s="69">
        <f>TRUNC(E28*M28,1)</f>
        <v>0</v>
      </c>
      <c r="O28" s="36" t="s">
        <v>350</v>
      </c>
    </row>
    <row r="29" spans="2:15" ht="19.7" customHeight="1" x14ac:dyDescent="0.2">
      <c r="B29" s="91" t="s">
        <v>114</v>
      </c>
      <c r="C29" s="66" t="s">
        <v>56</v>
      </c>
      <c r="D29" s="66" t="s">
        <v>2</v>
      </c>
      <c r="E29" s="35"/>
      <c r="F29" s="92" t="s">
        <v>198</v>
      </c>
      <c r="G29" s="41"/>
      <c r="H29" s="93" t="str">
        <f>TEXT(J29+L29+N29,"#,##0")</f>
        <v>14,593</v>
      </c>
      <c r="I29" s="41"/>
      <c r="J29" s="93">
        <f>TRUNC(J30)</f>
        <v>14593</v>
      </c>
      <c r="K29" s="41"/>
      <c r="L29" s="69">
        <f>TRUNC(L30)</f>
        <v>0</v>
      </c>
      <c r="M29" s="41"/>
      <c r="N29" s="69">
        <f>TRUNC(N30)</f>
        <v>0</v>
      </c>
      <c r="O29" s="94" t="s">
        <v>350</v>
      </c>
    </row>
    <row r="30" spans="2:15" ht="19.7" customHeight="1" x14ac:dyDescent="0.2">
      <c r="B30" s="37" t="s">
        <v>350</v>
      </c>
      <c r="C30" s="38" t="s">
        <v>228</v>
      </c>
      <c r="D30" s="38" t="s">
        <v>274</v>
      </c>
      <c r="E30" s="97">
        <v>0.5</v>
      </c>
      <c r="F30" s="39" t="s">
        <v>198</v>
      </c>
      <c r="G30" s="23">
        <f>I30+K30+M30</f>
        <v>29187</v>
      </c>
      <c r="H30" s="98" t="str">
        <f>TEXT(J30+L30+N30,"#,##0")</f>
        <v>14,594</v>
      </c>
      <c r="I30" s="99">
        <f>일위대가총괄표!G9</f>
        <v>29187</v>
      </c>
      <c r="J30" s="98">
        <f>TRUNC(E30*I30,1)</f>
        <v>14593.5</v>
      </c>
      <c r="K30" s="99">
        <f>일위대가총괄표!H9</f>
        <v>0</v>
      </c>
      <c r="L30" s="98">
        <f>TRUNC(E30*K30,1)</f>
        <v>0</v>
      </c>
      <c r="M30" s="99">
        <f>일위대가총괄표!I9</f>
        <v>0</v>
      </c>
      <c r="N30" s="98">
        <f>TRUNC(E30*M30,1)</f>
        <v>0</v>
      </c>
      <c r="O30" s="40" t="s">
        <v>107</v>
      </c>
    </row>
    <row r="31" spans="2:15" ht="19.7" customHeight="1" x14ac:dyDescent="0.2">
      <c r="B31" s="32" t="s">
        <v>350</v>
      </c>
      <c r="C31" s="33" t="s">
        <v>350</v>
      </c>
      <c r="D31" s="33" t="s">
        <v>350</v>
      </c>
      <c r="E31" s="35"/>
      <c r="F31" s="34" t="s">
        <v>350</v>
      </c>
      <c r="G31" s="41"/>
      <c r="H31" s="35"/>
      <c r="I31" s="41"/>
      <c r="J31" s="69">
        <f>TRUNC(E31*I31,1)</f>
        <v>0</v>
      </c>
      <c r="K31" s="41"/>
      <c r="L31" s="69">
        <f>TRUNC(E31*K31,1)</f>
        <v>0</v>
      </c>
      <c r="M31" s="41"/>
      <c r="N31" s="69">
        <f>TRUNC(E31*M31,1)</f>
        <v>0</v>
      </c>
      <c r="O31" s="36" t="s">
        <v>350</v>
      </c>
    </row>
    <row r="32" spans="2:15" ht="19.7" customHeight="1" x14ac:dyDescent="0.2">
      <c r="B32" s="91" t="s">
        <v>182</v>
      </c>
      <c r="C32" s="66" t="s">
        <v>318</v>
      </c>
      <c r="D32" s="66" t="s">
        <v>76</v>
      </c>
      <c r="E32" s="35"/>
      <c r="F32" s="92" t="s">
        <v>198</v>
      </c>
      <c r="G32" s="41"/>
      <c r="H32" s="93" t="str">
        <f>TEXT(J32+L32+N32,"#,##0")</f>
        <v>11,339</v>
      </c>
      <c r="I32" s="41"/>
      <c r="J32" s="93">
        <f>TRUNC(J33+J34+J35+J36)</f>
        <v>11339</v>
      </c>
      <c r="K32" s="41"/>
      <c r="L32" s="69">
        <f>TRUNC(L33+L34+L35+L36)</f>
        <v>0</v>
      </c>
      <c r="M32" s="41"/>
      <c r="N32" s="69">
        <f>TRUNC(N33+N34+N35+N36)</f>
        <v>0</v>
      </c>
      <c r="O32" s="94" t="s">
        <v>350</v>
      </c>
    </row>
    <row r="33" spans="2:15" ht="19.7" customHeight="1" x14ac:dyDescent="0.2">
      <c r="B33" s="32" t="s">
        <v>350</v>
      </c>
      <c r="C33" s="33" t="s">
        <v>27</v>
      </c>
      <c r="D33" s="33" t="s">
        <v>350</v>
      </c>
      <c r="E33" s="95">
        <v>6.7000000000000002E-3</v>
      </c>
      <c r="F33" s="34" t="s">
        <v>317</v>
      </c>
      <c r="G33" s="41">
        <f>I33+K33+M33</f>
        <v>204145</v>
      </c>
      <c r="H33" s="96" t="str">
        <f>TEXT(J33+L33+N33,"#,##0")</f>
        <v>1,368</v>
      </c>
      <c r="I33" s="68">
        <f>노임단가!L6</f>
        <v>204145</v>
      </c>
      <c r="J33" s="96">
        <f>TRUNC(E33*I33,1)</f>
        <v>1367.7</v>
      </c>
      <c r="K33" s="68">
        <f>노임단가!AB6</f>
        <v>0</v>
      </c>
      <c r="L33" s="96">
        <f>TRUNC(E33*K33,1)</f>
        <v>0</v>
      </c>
      <c r="M33" s="68">
        <f>노임단가!AC6</f>
        <v>0</v>
      </c>
      <c r="N33" s="96">
        <f>TRUNC(E33*M33,1)</f>
        <v>0</v>
      </c>
      <c r="O33" s="36" t="s">
        <v>350</v>
      </c>
    </row>
    <row r="34" spans="2:15" ht="19.7" customHeight="1" x14ac:dyDescent="0.2">
      <c r="B34" s="32" t="s">
        <v>350</v>
      </c>
      <c r="C34" s="33" t="s">
        <v>40</v>
      </c>
      <c r="D34" s="33" t="s">
        <v>350</v>
      </c>
      <c r="E34" s="95">
        <v>1.3299999999999999E-2</v>
      </c>
      <c r="F34" s="34" t="s">
        <v>317</v>
      </c>
      <c r="G34" s="41">
        <f>I34+K34+M34</f>
        <v>175886</v>
      </c>
      <c r="H34" s="96" t="str">
        <f>TEXT(J34+L34+N34,"#,##0")</f>
        <v>2,339</v>
      </c>
      <c r="I34" s="68">
        <f>노임단가!L7</f>
        <v>175886</v>
      </c>
      <c r="J34" s="96">
        <f>TRUNC(E34*I34,1)</f>
        <v>2339.1999999999998</v>
      </c>
      <c r="K34" s="68">
        <f>노임단가!AB7</f>
        <v>0</v>
      </c>
      <c r="L34" s="96">
        <f>TRUNC(E34*K34,1)</f>
        <v>0</v>
      </c>
      <c r="M34" s="68">
        <f>노임단가!AC7</f>
        <v>0</v>
      </c>
      <c r="N34" s="96">
        <f>TRUNC(E34*M34,1)</f>
        <v>0</v>
      </c>
      <c r="O34" s="36" t="s">
        <v>350</v>
      </c>
    </row>
    <row r="35" spans="2:15" ht="19.7" customHeight="1" x14ac:dyDescent="0.2">
      <c r="B35" s="32" t="s">
        <v>350</v>
      </c>
      <c r="C35" s="33" t="s">
        <v>13</v>
      </c>
      <c r="D35" s="33" t="s">
        <v>350</v>
      </c>
      <c r="E35" s="95">
        <v>2.6700000000000002E-2</v>
      </c>
      <c r="F35" s="34" t="s">
        <v>317</v>
      </c>
      <c r="G35" s="41">
        <f>I35+K35+M35</f>
        <v>155599</v>
      </c>
      <c r="H35" s="96" t="str">
        <f>TEXT(J35+L35+N35,"#,##0")</f>
        <v>4,154</v>
      </c>
      <c r="I35" s="68">
        <f>노임단가!L9</f>
        <v>155599</v>
      </c>
      <c r="J35" s="96">
        <f>TRUNC(E35*I35,1)</f>
        <v>4154.3999999999996</v>
      </c>
      <c r="K35" s="68">
        <f>노임단가!AB9</f>
        <v>0</v>
      </c>
      <c r="L35" s="96">
        <f>TRUNC(E35*K35,1)</f>
        <v>0</v>
      </c>
      <c r="M35" s="68">
        <f>노임단가!AC9</f>
        <v>0</v>
      </c>
      <c r="N35" s="96">
        <f>TRUNC(E35*M35,1)</f>
        <v>0</v>
      </c>
      <c r="O35" s="36" t="s">
        <v>350</v>
      </c>
    </row>
    <row r="36" spans="2:15" ht="19.7" customHeight="1" x14ac:dyDescent="0.2">
      <c r="B36" s="32" t="s">
        <v>350</v>
      </c>
      <c r="C36" s="33" t="s">
        <v>17</v>
      </c>
      <c r="D36" s="33" t="s">
        <v>350</v>
      </c>
      <c r="E36" s="95">
        <v>2.6700000000000002E-2</v>
      </c>
      <c r="F36" s="34" t="s">
        <v>317</v>
      </c>
      <c r="G36" s="41">
        <f>I36+K36+M36</f>
        <v>130264</v>
      </c>
      <c r="H36" s="96" t="str">
        <f>TEXT(J36+L36+N36,"#,##0")</f>
        <v>3,478</v>
      </c>
      <c r="I36" s="68">
        <f>노임단가!L5</f>
        <v>130264</v>
      </c>
      <c r="J36" s="96">
        <f>TRUNC(E36*I36,1)</f>
        <v>3478</v>
      </c>
      <c r="K36" s="68">
        <f>노임단가!AB5</f>
        <v>0</v>
      </c>
      <c r="L36" s="96">
        <f>TRUNC(E36*K36,1)</f>
        <v>0</v>
      </c>
      <c r="M36" s="68">
        <f>노임단가!AC5</f>
        <v>0</v>
      </c>
      <c r="N36" s="96">
        <f>TRUNC(E36*M36,1)</f>
        <v>0</v>
      </c>
      <c r="O36" s="36" t="s">
        <v>350</v>
      </c>
    </row>
    <row r="37" spans="2:15" ht="19.7" customHeight="1" x14ac:dyDescent="0.2">
      <c r="B37" s="32" t="s">
        <v>350</v>
      </c>
      <c r="C37" s="33" t="s">
        <v>350</v>
      </c>
      <c r="D37" s="33" t="s">
        <v>350</v>
      </c>
      <c r="E37" s="35"/>
      <c r="F37" s="34" t="s">
        <v>350</v>
      </c>
      <c r="G37" s="41"/>
      <c r="H37" s="35"/>
      <c r="I37" s="41"/>
      <c r="J37" s="69">
        <f>TRUNC(E37*I37,1)</f>
        <v>0</v>
      </c>
      <c r="K37" s="41"/>
      <c r="L37" s="69">
        <f>TRUNC(E37*K37,1)</f>
        <v>0</v>
      </c>
      <c r="M37" s="41"/>
      <c r="N37" s="69">
        <f>TRUNC(E37*M37,1)</f>
        <v>0</v>
      </c>
      <c r="O37" s="36" t="s">
        <v>350</v>
      </c>
    </row>
    <row r="38" spans="2:15" ht="19.7" customHeight="1" x14ac:dyDescent="0.2">
      <c r="B38" s="91" t="s">
        <v>39</v>
      </c>
      <c r="C38" s="66" t="s">
        <v>283</v>
      </c>
      <c r="D38" s="66" t="s">
        <v>180</v>
      </c>
      <c r="E38" s="35"/>
      <c r="F38" s="92" t="s">
        <v>198</v>
      </c>
      <c r="G38" s="41"/>
      <c r="H38" s="93" t="str">
        <f>TEXT(J38+L38+N38,"#,##0")</f>
        <v>9,071</v>
      </c>
      <c r="I38" s="41"/>
      <c r="J38" s="93">
        <f>TRUNC(J39)</f>
        <v>9071</v>
      </c>
      <c r="K38" s="41"/>
      <c r="L38" s="69">
        <f>TRUNC(L39)</f>
        <v>0</v>
      </c>
      <c r="M38" s="41"/>
      <c r="N38" s="69">
        <f>TRUNC(N39)</f>
        <v>0</v>
      </c>
      <c r="O38" s="94" t="s">
        <v>350</v>
      </c>
    </row>
    <row r="39" spans="2:15" ht="19.7" customHeight="1" x14ac:dyDescent="0.2">
      <c r="B39" s="32" t="s">
        <v>350</v>
      </c>
      <c r="C39" s="33" t="s">
        <v>318</v>
      </c>
      <c r="D39" s="33" t="s">
        <v>76</v>
      </c>
      <c r="E39" s="95">
        <v>0.8</v>
      </c>
      <c r="F39" s="34" t="s">
        <v>198</v>
      </c>
      <c r="G39" s="41">
        <f>I39+K39+M39</f>
        <v>11339</v>
      </c>
      <c r="H39" s="96" t="str">
        <f>TEXT(J39+L39+N39,"#,##0")</f>
        <v>9,071</v>
      </c>
      <c r="I39" s="68">
        <f>일위대가총괄표!G11</f>
        <v>11339</v>
      </c>
      <c r="J39" s="96">
        <f>TRUNC(E39*I39,1)</f>
        <v>9071.2000000000007</v>
      </c>
      <c r="K39" s="68">
        <f>일위대가총괄표!H11</f>
        <v>0</v>
      </c>
      <c r="L39" s="96">
        <f>TRUNC(E39*K39,1)</f>
        <v>0</v>
      </c>
      <c r="M39" s="68">
        <f>일위대가총괄표!I11</f>
        <v>0</v>
      </c>
      <c r="N39" s="96">
        <f>TRUNC(E39*M39,1)</f>
        <v>0</v>
      </c>
      <c r="O39" s="36" t="s">
        <v>85</v>
      </c>
    </row>
    <row r="40" spans="2:15" ht="19.7" customHeight="1" x14ac:dyDescent="0.2">
      <c r="B40" s="32" t="s">
        <v>350</v>
      </c>
      <c r="C40" s="33" t="s">
        <v>350</v>
      </c>
      <c r="D40" s="33" t="s">
        <v>350</v>
      </c>
      <c r="E40" s="35"/>
      <c r="F40" s="34" t="s">
        <v>350</v>
      </c>
      <c r="G40" s="41"/>
      <c r="H40" s="35"/>
      <c r="I40" s="41"/>
      <c r="J40" s="69">
        <f>TRUNC(E40*I40,1)</f>
        <v>0</v>
      </c>
      <c r="K40" s="41"/>
      <c r="L40" s="69">
        <f>TRUNC(E40*K40,1)</f>
        <v>0</v>
      </c>
      <c r="M40" s="41"/>
      <c r="N40" s="69">
        <f>TRUNC(E40*M40,1)</f>
        <v>0</v>
      </c>
      <c r="O40" s="36" t="s">
        <v>350</v>
      </c>
    </row>
    <row r="41" spans="2:15" ht="19.7" customHeight="1" x14ac:dyDescent="0.2">
      <c r="B41" s="91" t="s">
        <v>224</v>
      </c>
      <c r="C41" s="66" t="s">
        <v>101</v>
      </c>
      <c r="D41" s="66" t="s">
        <v>31</v>
      </c>
      <c r="E41" s="35"/>
      <c r="F41" s="92" t="s">
        <v>198</v>
      </c>
      <c r="G41" s="41"/>
      <c r="H41" s="93" t="str">
        <f>TEXT(J41+L41+N41,"#,##0")</f>
        <v>13,606</v>
      </c>
      <c r="I41" s="41"/>
      <c r="J41" s="93">
        <f>TRUNC(J42)</f>
        <v>13606</v>
      </c>
      <c r="K41" s="41"/>
      <c r="L41" s="69">
        <f>TRUNC(L42)</f>
        <v>0</v>
      </c>
      <c r="M41" s="41"/>
      <c r="N41" s="69">
        <f>TRUNC(N42)</f>
        <v>0</v>
      </c>
      <c r="O41" s="94" t="s">
        <v>350</v>
      </c>
    </row>
    <row r="42" spans="2:15" ht="19.7" customHeight="1" x14ac:dyDescent="0.2">
      <c r="B42" s="32" t="s">
        <v>350</v>
      </c>
      <c r="C42" s="33" t="s">
        <v>318</v>
      </c>
      <c r="D42" s="33" t="s">
        <v>76</v>
      </c>
      <c r="E42" s="95">
        <v>1.2</v>
      </c>
      <c r="F42" s="34" t="s">
        <v>198</v>
      </c>
      <c r="G42" s="41">
        <f>I42+K42+M42</f>
        <v>11339</v>
      </c>
      <c r="H42" s="96" t="str">
        <f>TEXT(J42+L42+N42,"#,##0")</f>
        <v>13,607</v>
      </c>
      <c r="I42" s="68">
        <f>일위대가총괄표!G11</f>
        <v>11339</v>
      </c>
      <c r="J42" s="96">
        <f>TRUNC(E42*I42,1)</f>
        <v>13606.8</v>
      </c>
      <c r="K42" s="68">
        <f>일위대가총괄표!H11</f>
        <v>0</v>
      </c>
      <c r="L42" s="96">
        <f>TRUNC(E42*K42,1)</f>
        <v>0</v>
      </c>
      <c r="M42" s="68">
        <f>일위대가총괄표!I11</f>
        <v>0</v>
      </c>
      <c r="N42" s="96">
        <f>TRUNC(E42*M42,1)</f>
        <v>0</v>
      </c>
      <c r="O42" s="36" t="s">
        <v>85</v>
      </c>
    </row>
    <row r="43" spans="2:15" ht="19.7" customHeight="1" x14ac:dyDescent="0.2">
      <c r="B43" s="32" t="s">
        <v>350</v>
      </c>
      <c r="C43" s="33" t="s">
        <v>350</v>
      </c>
      <c r="D43" s="33" t="s">
        <v>350</v>
      </c>
      <c r="E43" s="35"/>
      <c r="F43" s="34" t="s">
        <v>350</v>
      </c>
      <c r="G43" s="41"/>
      <c r="H43" s="35"/>
      <c r="I43" s="41"/>
      <c r="J43" s="69">
        <f>TRUNC(E43*I43,1)</f>
        <v>0</v>
      </c>
      <c r="K43" s="41"/>
      <c r="L43" s="69">
        <f>TRUNC(E43*K43,1)</f>
        <v>0</v>
      </c>
      <c r="M43" s="41"/>
      <c r="N43" s="69">
        <f>TRUNC(E43*M43,1)</f>
        <v>0</v>
      </c>
      <c r="O43" s="36" t="s">
        <v>350</v>
      </c>
    </row>
    <row r="44" spans="2:15" ht="19.7" customHeight="1" x14ac:dyDescent="0.2">
      <c r="B44" s="91" t="s">
        <v>12</v>
      </c>
      <c r="C44" s="66" t="s">
        <v>288</v>
      </c>
      <c r="D44" s="66" t="s">
        <v>68</v>
      </c>
      <c r="E44" s="35"/>
      <c r="F44" s="92" t="s">
        <v>243</v>
      </c>
      <c r="G44" s="41"/>
      <c r="H44" s="93" t="str">
        <f>TEXT(J44+L44+N44,"#,##0")</f>
        <v>218,992</v>
      </c>
      <c r="I44" s="41"/>
      <c r="J44" s="93">
        <f>TRUNC(J45+J46+J47)</f>
        <v>85974</v>
      </c>
      <c r="K44" s="41"/>
      <c r="L44" s="93">
        <f>TRUNC(L45+L46+L47)</f>
        <v>133018</v>
      </c>
      <c r="M44" s="41"/>
      <c r="N44" s="69">
        <f>TRUNC(N45+N46+N47)</f>
        <v>0</v>
      </c>
      <c r="O44" s="94" t="s">
        <v>350</v>
      </c>
    </row>
    <row r="45" spans="2:15" ht="19.7" customHeight="1" x14ac:dyDescent="0.2">
      <c r="B45" s="32" t="s">
        <v>350</v>
      </c>
      <c r="C45" s="33" t="s">
        <v>335</v>
      </c>
      <c r="D45" s="33" t="s">
        <v>350</v>
      </c>
      <c r="E45" s="35">
        <v>1093</v>
      </c>
      <c r="F45" s="34" t="s">
        <v>199</v>
      </c>
      <c r="G45" s="41">
        <f>I45+K45+M45</f>
        <v>106</v>
      </c>
      <c r="H45" s="96" t="str">
        <f>TEXT(J45+L45+N45,"#,##0")</f>
        <v>115,858</v>
      </c>
      <c r="I45" s="68">
        <f>자재단가!AA6</f>
        <v>0</v>
      </c>
      <c r="J45" s="96">
        <f>TRUNC(E45*I45,1)</f>
        <v>0</v>
      </c>
      <c r="K45" s="68">
        <f>자재단가!R6</f>
        <v>106</v>
      </c>
      <c r="L45" s="96">
        <f>TRUNC(E45*K45,1)</f>
        <v>115858</v>
      </c>
      <c r="M45" s="68">
        <f>자재단가!AC6</f>
        <v>0</v>
      </c>
      <c r="N45" s="96">
        <f>TRUNC(E45*M45,1)</f>
        <v>0</v>
      </c>
      <c r="O45" s="36" t="s">
        <v>350</v>
      </c>
    </row>
    <row r="46" spans="2:15" ht="19.7" customHeight="1" x14ac:dyDescent="0.2">
      <c r="B46" s="32" t="s">
        <v>350</v>
      </c>
      <c r="C46" s="33" t="s">
        <v>145</v>
      </c>
      <c r="D46" s="33" t="s">
        <v>324</v>
      </c>
      <c r="E46" s="95">
        <v>0.78</v>
      </c>
      <c r="F46" s="34" t="s">
        <v>243</v>
      </c>
      <c r="G46" s="41">
        <f>I46+K46+M46</f>
        <v>22000</v>
      </c>
      <c r="H46" s="96" t="str">
        <f>TEXT(J46+L46+N46,"#,##0")</f>
        <v>17,160</v>
      </c>
      <c r="I46" s="68">
        <f>자재단가!AA7</f>
        <v>0</v>
      </c>
      <c r="J46" s="96">
        <f>TRUNC(E46*I46,1)</f>
        <v>0</v>
      </c>
      <c r="K46" s="68">
        <f>자재단가!R7</f>
        <v>22000</v>
      </c>
      <c r="L46" s="96">
        <f>TRUNC(E46*K46,1)</f>
        <v>17160</v>
      </c>
      <c r="M46" s="68">
        <f>자재단가!AC7</f>
        <v>0</v>
      </c>
      <c r="N46" s="96">
        <f>TRUNC(E46*M46,1)</f>
        <v>0</v>
      </c>
      <c r="O46" s="36" t="s">
        <v>350</v>
      </c>
    </row>
    <row r="47" spans="2:15" ht="19.7" customHeight="1" x14ac:dyDescent="0.2">
      <c r="B47" s="32" t="s">
        <v>350</v>
      </c>
      <c r="C47" s="33" t="s">
        <v>17</v>
      </c>
      <c r="D47" s="33" t="s">
        <v>350</v>
      </c>
      <c r="E47" s="95">
        <v>0.66</v>
      </c>
      <c r="F47" s="34" t="s">
        <v>317</v>
      </c>
      <c r="G47" s="41">
        <f>I47+K47+M47</f>
        <v>130264</v>
      </c>
      <c r="H47" s="96" t="str">
        <f>TEXT(J47+L47+N47,"#,##0")</f>
        <v>85,974</v>
      </c>
      <c r="I47" s="68">
        <f>노임단가!L5</f>
        <v>130264</v>
      </c>
      <c r="J47" s="96">
        <f>TRUNC(E47*I47,1)</f>
        <v>85974.2</v>
      </c>
      <c r="K47" s="68">
        <f>노임단가!AB5</f>
        <v>0</v>
      </c>
      <c r="L47" s="96">
        <f>TRUNC(E47*K47,1)</f>
        <v>0</v>
      </c>
      <c r="M47" s="68">
        <f>노임단가!AC5</f>
        <v>0</v>
      </c>
      <c r="N47" s="96">
        <f>TRUNC(E47*M47,1)</f>
        <v>0</v>
      </c>
      <c r="O47" s="36" t="s">
        <v>350</v>
      </c>
    </row>
    <row r="48" spans="2:15" ht="19.7" customHeight="1" x14ac:dyDescent="0.2">
      <c r="B48" s="32" t="s">
        <v>350</v>
      </c>
      <c r="C48" s="33" t="s">
        <v>350</v>
      </c>
      <c r="D48" s="33" t="s">
        <v>350</v>
      </c>
      <c r="E48" s="35"/>
      <c r="F48" s="34" t="s">
        <v>350</v>
      </c>
      <c r="G48" s="41"/>
      <c r="H48" s="35"/>
      <c r="I48" s="41"/>
      <c r="J48" s="69">
        <f>TRUNC(E48*I48,1)</f>
        <v>0</v>
      </c>
      <c r="K48" s="41"/>
      <c r="L48" s="69">
        <f>TRUNC(E48*K48,1)</f>
        <v>0</v>
      </c>
      <c r="M48" s="41"/>
      <c r="N48" s="69">
        <f>TRUNC(E48*M48,1)</f>
        <v>0</v>
      </c>
      <c r="O48" s="36" t="s">
        <v>350</v>
      </c>
    </row>
    <row r="49" spans="2:15" ht="19.7" customHeight="1" x14ac:dyDescent="0.2">
      <c r="B49" s="91" t="s">
        <v>217</v>
      </c>
      <c r="C49" s="66" t="s">
        <v>206</v>
      </c>
      <c r="D49" s="66" t="s">
        <v>350</v>
      </c>
      <c r="E49" s="35"/>
      <c r="F49" s="92" t="s">
        <v>243</v>
      </c>
      <c r="G49" s="41"/>
      <c r="H49" s="93" t="str">
        <f>TEXT(J49+L49+N49,"#,##0")</f>
        <v>13,026</v>
      </c>
      <c r="I49" s="41"/>
      <c r="J49" s="93">
        <f>TRUNC(J50)</f>
        <v>13026</v>
      </c>
      <c r="K49" s="41"/>
      <c r="L49" s="69">
        <f>TRUNC(L50)</f>
        <v>0</v>
      </c>
      <c r="M49" s="41"/>
      <c r="N49" s="69">
        <f>TRUNC(N50)</f>
        <v>0</v>
      </c>
      <c r="O49" s="94" t="s">
        <v>350</v>
      </c>
    </row>
    <row r="50" spans="2:15" ht="19.7" customHeight="1" x14ac:dyDescent="0.2">
      <c r="B50" s="32" t="s">
        <v>350</v>
      </c>
      <c r="C50" s="33" t="s">
        <v>17</v>
      </c>
      <c r="D50" s="33" t="s">
        <v>350</v>
      </c>
      <c r="E50" s="95">
        <v>0.1</v>
      </c>
      <c r="F50" s="34" t="s">
        <v>317</v>
      </c>
      <c r="G50" s="41">
        <f>I50+K50+M50</f>
        <v>130264</v>
      </c>
      <c r="H50" s="96" t="str">
        <f>TEXT(J50+L50+N50,"#,##0")</f>
        <v>13,026</v>
      </c>
      <c r="I50" s="68">
        <f>노임단가!L5</f>
        <v>130264</v>
      </c>
      <c r="J50" s="96">
        <f>TRUNC(E50*I50,1)</f>
        <v>13026.4</v>
      </c>
      <c r="K50" s="68">
        <f>노임단가!AB5</f>
        <v>0</v>
      </c>
      <c r="L50" s="96">
        <f>TRUNC(E50*K50,1)</f>
        <v>0</v>
      </c>
      <c r="M50" s="68">
        <f>노임단가!AC5</f>
        <v>0</v>
      </c>
      <c r="N50" s="96">
        <f>TRUNC(E50*M50,1)</f>
        <v>0</v>
      </c>
      <c r="O50" s="36" t="s">
        <v>350</v>
      </c>
    </row>
    <row r="51" spans="2:15" ht="19.7" customHeight="1" x14ac:dyDescent="0.2">
      <c r="B51" s="32" t="s">
        <v>350</v>
      </c>
      <c r="C51" s="33" t="s">
        <v>350</v>
      </c>
      <c r="D51" s="33" t="s">
        <v>350</v>
      </c>
      <c r="E51" s="35"/>
      <c r="F51" s="34" t="s">
        <v>350</v>
      </c>
      <c r="G51" s="41"/>
      <c r="H51" s="35"/>
      <c r="I51" s="41"/>
      <c r="J51" s="69">
        <f>TRUNC(E51*I51,1)</f>
        <v>0</v>
      </c>
      <c r="K51" s="41"/>
      <c r="L51" s="69">
        <f>TRUNC(E51*K51,1)</f>
        <v>0</v>
      </c>
      <c r="M51" s="41"/>
      <c r="N51" s="69">
        <f>TRUNC(E51*M51,1)</f>
        <v>0</v>
      </c>
      <c r="O51" s="36" t="s">
        <v>350</v>
      </c>
    </row>
    <row r="52" spans="2:15" ht="19.7" customHeight="1" x14ac:dyDescent="0.2">
      <c r="B52" s="91" t="s">
        <v>5</v>
      </c>
      <c r="C52" s="66" t="s">
        <v>82</v>
      </c>
      <c r="D52" s="66" t="s">
        <v>350</v>
      </c>
      <c r="E52" s="35"/>
      <c r="F52" s="92" t="s">
        <v>243</v>
      </c>
      <c r="G52" s="41"/>
      <c r="H52" s="93" t="str">
        <f>TEXT(J52+L52+N52,"#,##0")</f>
        <v>26,052</v>
      </c>
      <c r="I52" s="41"/>
      <c r="J52" s="93">
        <f>TRUNC(J53)</f>
        <v>26052</v>
      </c>
      <c r="K52" s="41"/>
      <c r="L52" s="69">
        <f>TRUNC(L53)</f>
        <v>0</v>
      </c>
      <c r="M52" s="41"/>
      <c r="N52" s="69">
        <f>TRUNC(N53)</f>
        <v>0</v>
      </c>
      <c r="O52" s="94" t="s">
        <v>350</v>
      </c>
    </row>
    <row r="53" spans="2:15" ht="19.7" customHeight="1" x14ac:dyDescent="0.2">
      <c r="B53" s="32" t="s">
        <v>350</v>
      </c>
      <c r="C53" s="33" t="s">
        <v>17</v>
      </c>
      <c r="D53" s="33" t="s">
        <v>350</v>
      </c>
      <c r="E53" s="95">
        <v>0.2</v>
      </c>
      <c r="F53" s="34" t="s">
        <v>317</v>
      </c>
      <c r="G53" s="41">
        <f>I53+K53+M53</f>
        <v>130264</v>
      </c>
      <c r="H53" s="96" t="str">
        <f>TEXT(J53+L53+N53,"#,##0")</f>
        <v>26,053</v>
      </c>
      <c r="I53" s="68">
        <f>노임단가!L5</f>
        <v>130264</v>
      </c>
      <c r="J53" s="96">
        <f t="shared" ref="J53:J58" si="4">TRUNC(E53*I53,1)</f>
        <v>26052.799999999999</v>
      </c>
      <c r="K53" s="68">
        <f>노임단가!AB5</f>
        <v>0</v>
      </c>
      <c r="L53" s="96">
        <f t="shared" ref="L53:L58" si="5">TRUNC(E53*K53,1)</f>
        <v>0</v>
      </c>
      <c r="M53" s="68">
        <f>노임단가!AC5</f>
        <v>0</v>
      </c>
      <c r="N53" s="96">
        <f t="shared" ref="N53:N58" si="6">TRUNC(E53*M53,1)</f>
        <v>0</v>
      </c>
      <c r="O53" s="36" t="s">
        <v>350</v>
      </c>
    </row>
    <row r="54" spans="2:15" ht="19.7" customHeight="1" x14ac:dyDescent="0.2">
      <c r="B54" s="32" t="s">
        <v>350</v>
      </c>
      <c r="C54" s="33" t="s">
        <v>350</v>
      </c>
      <c r="D54" s="33" t="s">
        <v>350</v>
      </c>
      <c r="E54" s="35"/>
      <c r="F54" s="34" t="s">
        <v>350</v>
      </c>
      <c r="G54" s="41"/>
      <c r="H54" s="35"/>
      <c r="I54" s="41"/>
      <c r="J54" s="69">
        <f t="shared" si="4"/>
        <v>0</v>
      </c>
      <c r="K54" s="41"/>
      <c r="L54" s="69">
        <f t="shared" si="5"/>
        <v>0</v>
      </c>
      <c r="M54" s="41"/>
      <c r="N54" s="69">
        <f t="shared" si="6"/>
        <v>0</v>
      </c>
      <c r="O54" s="36" t="s">
        <v>350</v>
      </c>
    </row>
    <row r="55" spans="2:15" ht="19.7" customHeight="1" x14ac:dyDescent="0.2">
      <c r="B55" s="32" t="s">
        <v>350</v>
      </c>
      <c r="C55" s="33" t="s">
        <v>350</v>
      </c>
      <c r="D55" s="33" t="s">
        <v>350</v>
      </c>
      <c r="E55" s="35"/>
      <c r="F55" s="34" t="s">
        <v>350</v>
      </c>
      <c r="G55" s="41"/>
      <c r="H55" s="35"/>
      <c r="I55" s="41"/>
      <c r="J55" s="69">
        <f t="shared" si="4"/>
        <v>0</v>
      </c>
      <c r="K55" s="41"/>
      <c r="L55" s="69">
        <f t="shared" si="5"/>
        <v>0</v>
      </c>
      <c r="M55" s="41"/>
      <c r="N55" s="69">
        <f t="shared" si="6"/>
        <v>0</v>
      </c>
      <c r="O55" s="36" t="s">
        <v>350</v>
      </c>
    </row>
    <row r="56" spans="2:15" ht="19.7" customHeight="1" x14ac:dyDescent="0.2">
      <c r="B56" s="37" t="s">
        <v>350</v>
      </c>
      <c r="C56" s="38" t="s">
        <v>350</v>
      </c>
      <c r="D56" s="38" t="s">
        <v>350</v>
      </c>
      <c r="E56" s="24"/>
      <c r="F56" s="39" t="s">
        <v>350</v>
      </c>
      <c r="G56" s="23"/>
      <c r="H56" s="24"/>
      <c r="I56" s="23"/>
      <c r="J56" s="74">
        <f t="shared" si="4"/>
        <v>0</v>
      </c>
      <c r="K56" s="23"/>
      <c r="L56" s="74">
        <f t="shared" si="5"/>
        <v>0</v>
      </c>
      <c r="M56" s="23"/>
      <c r="N56" s="74">
        <f t="shared" si="6"/>
        <v>0</v>
      </c>
      <c r="O56" s="40" t="s">
        <v>350</v>
      </c>
    </row>
    <row r="57" spans="2:15" ht="19.7" customHeight="1" x14ac:dyDescent="0.2">
      <c r="B57" s="32" t="s">
        <v>350</v>
      </c>
      <c r="C57" s="33" t="s">
        <v>350</v>
      </c>
      <c r="D57" s="33" t="s">
        <v>350</v>
      </c>
      <c r="E57" s="35"/>
      <c r="F57" s="34" t="s">
        <v>350</v>
      </c>
      <c r="G57" s="41"/>
      <c r="H57" s="35"/>
      <c r="I57" s="41"/>
      <c r="J57" s="69">
        <f t="shared" si="4"/>
        <v>0</v>
      </c>
      <c r="K57" s="41"/>
      <c r="L57" s="69">
        <f t="shared" si="5"/>
        <v>0</v>
      </c>
      <c r="M57" s="41"/>
      <c r="N57" s="69">
        <f t="shared" si="6"/>
        <v>0</v>
      </c>
      <c r="O57" s="36" t="s">
        <v>350</v>
      </c>
    </row>
    <row r="58" spans="2:15" x14ac:dyDescent="0.2">
      <c r="B58" s="37" t="s">
        <v>350</v>
      </c>
      <c r="C58" s="38" t="s">
        <v>350</v>
      </c>
      <c r="D58" s="38" t="s">
        <v>350</v>
      </c>
      <c r="E58" s="24"/>
      <c r="F58" s="39" t="s">
        <v>350</v>
      </c>
      <c r="G58" s="23"/>
      <c r="H58" s="24"/>
      <c r="I58" s="23"/>
      <c r="J58" s="74">
        <f t="shared" si="4"/>
        <v>0</v>
      </c>
      <c r="K58" s="23"/>
      <c r="L58" s="74">
        <f t="shared" si="5"/>
        <v>0</v>
      </c>
      <c r="M58" s="23"/>
      <c r="N58" s="74">
        <f t="shared" si="6"/>
        <v>0</v>
      </c>
      <c r="O58" s="40" t="s">
        <v>350</v>
      </c>
    </row>
    <row r="59" spans="2:15" x14ac:dyDescent="0.2"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</row>
  </sheetData>
  <mergeCells count="11">
    <mergeCell ref="B1:O2"/>
    <mergeCell ref="B3:B4"/>
    <mergeCell ref="C3:C4"/>
    <mergeCell ref="D3:D4"/>
    <mergeCell ref="E3:E4"/>
    <mergeCell ref="F3:F4"/>
    <mergeCell ref="G3:H3"/>
    <mergeCell ref="I3:J3"/>
    <mergeCell ref="K3:L3"/>
    <mergeCell ref="M3:N3"/>
    <mergeCell ref="O3:O4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2" manualBreakCount="2">
    <brk id="30" min="2" max="15" man="1"/>
    <brk id="56" min="2" max="15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AC5"/>
  <sheetViews>
    <sheetView workbookViewId="0">
      <pane ySplit="3" topLeftCell="A4" activePane="bottomLeft" state="frozen"/>
      <selection pane="bottomLeft" activeCell="J4" sqref="J4"/>
    </sheetView>
  </sheetViews>
  <sheetFormatPr defaultRowHeight="12.75" x14ac:dyDescent="0.2"/>
  <cols>
    <col min="1" max="1" width="0.7109375" customWidth="1"/>
    <col min="2" max="2" width="4.28515625" customWidth="1"/>
    <col min="3" max="3" width="18.140625" customWidth="1"/>
    <col min="4" max="4" width="16.7109375" customWidth="1"/>
    <col min="5" max="5" width="6" customWidth="1"/>
    <col min="6" max="9" width="11.28515625" customWidth="1"/>
    <col min="10" max="10" width="10.5703125" customWidth="1"/>
  </cols>
  <sheetData>
    <row r="1" spans="2:29" ht="24.95" customHeight="1" x14ac:dyDescent="0.2">
      <c r="B1" s="137" t="s">
        <v>138</v>
      </c>
      <c r="C1" s="137"/>
      <c r="D1" s="137"/>
      <c r="E1" s="137"/>
      <c r="F1" s="137"/>
      <c r="G1" s="137"/>
      <c r="H1" s="137"/>
      <c r="I1" s="137"/>
      <c r="J1" s="137"/>
    </row>
    <row r="2" spans="2:29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</row>
    <row r="3" spans="2:29" ht="27.95" customHeight="1" x14ac:dyDescent="0.2">
      <c r="B3" s="27" t="s">
        <v>90</v>
      </c>
      <c r="C3" s="19" t="s">
        <v>331</v>
      </c>
      <c r="D3" s="19" t="s">
        <v>265</v>
      </c>
      <c r="E3" s="19" t="s">
        <v>131</v>
      </c>
      <c r="F3" s="19" t="s">
        <v>334</v>
      </c>
      <c r="G3" s="19" t="s">
        <v>295</v>
      </c>
      <c r="H3" s="19" t="s">
        <v>209</v>
      </c>
      <c r="I3" s="19" t="s">
        <v>18</v>
      </c>
      <c r="J3" s="20" t="s">
        <v>79</v>
      </c>
      <c r="Z3" t="s">
        <v>216</v>
      </c>
      <c r="AA3" t="s">
        <v>244</v>
      </c>
      <c r="AB3" t="s">
        <v>344</v>
      </c>
      <c r="AC3" t="s">
        <v>230</v>
      </c>
    </row>
    <row r="4" spans="2:29" ht="22.35" customHeight="1" x14ac:dyDescent="0.2">
      <c r="B4" s="37" t="s">
        <v>100</v>
      </c>
      <c r="C4" s="38" t="s">
        <v>287</v>
      </c>
      <c r="D4" s="38" t="s">
        <v>127</v>
      </c>
      <c r="E4" s="39" t="s">
        <v>243</v>
      </c>
      <c r="F4" s="74" t="str">
        <f>TEXT(G4+H4+I4,"#,##0")</f>
        <v>12,563</v>
      </c>
      <c r="G4" s="74" t="str">
        <f>단가산출!CY4</f>
        <v>11,745</v>
      </c>
      <c r="H4" s="74" t="str">
        <f>단가산출!CZ4</f>
        <v>363</v>
      </c>
      <c r="I4" s="74" t="str">
        <f>단가산출!DA4</f>
        <v>455</v>
      </c>
      <c r="J4" s="40" t="s">
        <v>350</v>
      </c>
      <c r="Z4" s="31">
        <v>9710</v>
      </c>
      <c r="AA4" s="31">
        <v>8987</v>
      </c>
      <c r="AB4" s="31">
        <v>268</v>
      </c>
      <c r="AC4" s="31">
        <v>455</v>
      </c>
    </row>
    <row r="5" spans="2:29" x14ac:dyDescent="0.2">
      <c r="B5" s="26"/>
      <c r="C5" s="26"/>
      <c r="D5" s="26"/>
      <c r="E5" s="26"/>
      <c r="F5" s="26"/>
      <c r="G5" s="26"/>
      <c r="H5" s="26"/>
      <c r="I5" s="26"/>
      <c r="J5" s="26"/>
    </row>
  </sheetData>
  <mergeCells count="1">
    <mergeCell ref="B1:J2"/>
  </mergeCells>
  <phoneticPr fontId="6" type="noConversion"/>
  <pageMargins left="0.78740157480314965" right="7.874015748031496E-2" top="0.94488188976377963" bottom="0.59055118110236215" header="0.5" footer="0.5"/>
  <pageSetup paperSize="9" scale="8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DB94"/>
  <sheetViews>
    <sheetView workbookViewId="0">
      <pane ySplit="3" topLeftCell="A14" activePane="bottomLeft" state="frozen"/>
      <selection pane="bottomLeft" activeCell="Q19" sqref="Q19"/>
    </sheetView>
  </sheetViews>
  <sheetFormatPr defaultRowHeight="12.75" x14ac:dyDescent="0.2"/>
  <cols>
    <col min="1" max="1" width="0.7109375" customWidth="1"/>
    <col min="2" max="91" width="1" customWidth="1"/>
    <col min="92" max="92" width="0.85546875" customWidth="1"/>
    <col min="93" max="94" width="1" hidden="1" customWidth="1"/>
    <col min="95" max="95" width="0.5703125" hidden="1" customWidth="1"/>
    <col min="96" max="101" width="1" hidden="1" customWidth="1"/>
    <col min="102" max="102" width="12" customWidth="1"/>
    <col min="103" max="103" width="10.5703125" customWidth="1"/>
    <col min="104" max="105" width="10.140625" customWidth="1"/>
  </cols>
  <sheetData>
    <row r="1" spans="2:106" ht="24.95" customHeight="1" x14ac:dyDescent="0.2">
      <c r="B1" s="137" t="s">
        <v>208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</row>
    <row r="2" spans="2:106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8"/>
      <c r="CR2" s="138"/>
      <c r="CS2" s="138"/>
      <c r="CT2" s="138"/>
      <c r="CU2" s="138"/>
      <c r="CV2" s="138"/>
      <c r="CW2" s="138"/>
      <c r="CX2" s="138"/>
      <c r="CY2" s="138"/>
      <c r="CZ2" s="138"/>
      <c r="DA2" s="138"/>
    </row>
    <row r="3" spans="2:106" ht="27.95" customHeight="1" x14ac:dyDescent="0.2">
      <c r="B3" s="147" t="s">
        <v>160</v>
      </c>
      <c r="C3" s="148" t="s">
        <v>334</v>
      </c>
      <c r="D3" s="148" t="s">
        <v>295</v>
      </c>
      <c r="E3" s="148" t="s">
        <v>209</v>
      </c>
      <c r="F3" s="148" t="s">
        <v>18</v>
      </c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76" t="s">
        <v>334</v>
      </c>
      <c r="CY3" s="76" t="s">
        <v>295</v>
      </c>
      <c r="CZ3" s="76" t="s">
        <v>209</v>
      </c>
      <c r="DA3" s="77" t="s">
        <v>18</v>
      </c>
    </row>
    <row r="4" spans="2:106" ht="11.25" customHeight="1" x14ac:dyDescent="0.2">
      <c r="B4" s="82" t="s">
        <v>289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83">
        <f>CX32</f>
        <v>12563</v>
      </c>
      <c r="CY4" s="83" t="str">
        <f>CY32</f>
        <v>11,745</v>
      </c>
      <c r="CZ4" s="83" t="str">
        <f>CZ32</f>
        <v>363</v>
      </c>
      <c r="DA4" s="84" t="str">
        <f>DA32</f>
        <v>455</v>
      </c>
      <c r="DB4" s="85"/>
    </row>
    <row r="5" spans="2:106" ht="11.25" customHeight="1" x14ac:dyDescent="0.2">
      <c r="B5" s="78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86"/>
      <c r="CY5" s="86"/>
      <c r="CZ5" s="86"/>
      <c r="DA5" s="87"/>
      <c r="DB5" s="85"/>
    </row>
    <row r="6" spans="2:106" ht="11.25" customHeight="1" x14ac:dyDescent="0.2">
      <c r="B6" s="78"/>
      <c r="C6" s="79"/>
      <c r="D6" s="79" t="s">
        <v>170</v>
      </c>
      <c r="E6" s="79"/>
      <c r="F6" s="79"/>
      <c r="G6" s="79" t="s">
        <v>33</v>
      </c>
      <c r="H6" s="79"/>
      <c r="I6" s="79"/>
      <c r="J6" s="79" t="s">
        <v>185</v>
      </c>
      <c r="K6" s="79"/>
      <c r="L6" s="79" t="s">
        <v>183</v>
      </c>
      <c r="M6" s="79" t="s">
        <v>200</v>
      </c>
      <c r="N6" s="79"/>
      <c r="O6" s="79" t="s">
        <v>70</v>
      </c>
      <c r="P6" s="79" t="s">
        <v>34</v>
      </c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86"/>
      <c r="CY6" s="86"/>
      <c r="CZ6" s="86"/>
      <c r="DA6" s="87"/>
      <c r="DB6" s="85"/>
    </row>
    <row r="7" spans="2:106" ht="11.25" customHeight="1" x14ac:dyDescent="0.2">
      <c r="B7" s="78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86"/>
      <c r="CY7" s="86"/>
      <c r="CZ7" s="86"/>
      <c r="DA7" s="87"/>
      <c r="DB7" s="85"/>
    </row>
    <row r="8" spans="2:106" ht="11.25" customHeight="1" x14ac:dyDescent="0.2">
      <c r="B8" s="78"/>
      <c r="C8" s="79"/>
      <c r="D8" s="79"/>
      <c r="E8" s="79"/>
      <c r="F8" s="79"/>
      <c r="G8" s="79" t="s">
        <v>110</v>
      </c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 t="s">
        <v>162</v>
      </c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86"/>
      <c r="CY8" s="86"/>
      <c r="CZ8" s="86"/>
      <c r="DA8" s="87"/>
      <c r="DB8" s="85"/>
    </row>
    <row r="9" spans="2:106" ht="11.25" customHeight="1" x14ac:dyDescent="0.2">
      <c r="B9" s="78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86"/>
      <c r="CY9" s="86"/>
      <c r="CZ9" s="86"/>
      <c r="DA9" s="87"/>
      <c r="DB9" s="85"/>
    </row>
    <row r="10" spans="2:106" ht="11.25" customHeight="1" x14ac:dyDescent="0.2">
      <c r="B10" s="78"/>
      <c r="C10" s="79"/>
      <c r="D10" s="79"/>
      <c r="E10" s="79"/>
      <c r="F10" s="79"/>
      <c r="G10" s="79" t="s">
        <v>293</v>
      </c>
      <c r="H10" s="79"/>
      <c r="I10" s="79" t="s">
        <v>136</v>
      </c>
      <c r="J10" s="79"/>
      <c r="K10" s="79" t="str">
        <f>TEXT(0.2,"#,##0.#######")</f>
        <v>0.2</v>
      </c>
      <c r="L10" s="79"/>
      <c r="M10" s="79"/>
      <c r="N10" s="79" t="s">
        <v>243</v>
      </c>
      <c r="O10" s="79"/>
      <c r="P10" s="79"/>
      <c r="Q10" s="79"/>
      <c r="R10" s="79"/>
      <c r="S10" s="79"/>
      <c r="T10" s="79"/>
      <c r="U10" s="79"/>
      <c r="V10" s="79" t="s">
        <v>37</v>
      </c>
      <c r="W10" s="79"/>
      <c r="X10" s="79" t="s">
        <v>136</v>
      </c>
      <c r="Y10" s="79"/>
      <c r="Z10" s="79" t="str">
        <f>TEXT(1,"#,##0.#######")</f>
        <v>1.</v>
      </c>
      <c r="AA10" s="79"/>
      <c r="AB10" s="79" t="s">
        <v>53</v>
      </c>
      <c r="AC10" s="79"/>
      <c r="AD10" s="79" t="str">
        <f>TEXT(1.24,"#,##0.#######")</f>
        <v>1.24</v>
      </c>
      <c r="AE10" s="79"/>
      <c r="AF10" s="79"/>
      <c r="AG10" s="79"/>
      <c r="AH10" s="79"/>
      <c r="AI10" s="79" t="s">
        <v>136</v>
      </c>
      <c r="AJ10" s="79"/>
      <c r="AK10" s="79" t="str">
        <f>TEXT(ROUND(Z10/AD10,2),"#,##0.#######")</f>
        <v>0.81</v>
      </c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 t="s">
        <v>143</v>
      </c>
      <c r="AW10" s="79"/>
      <c r="AX10" s="79" t="s">
        <v>136</v>
      </c>
      <c r="AY10" s="79"/>
      <c r="AZ10" s="79" t="str">
        <f>TEXT(0.9,"#,##0.#######")</f>
        <v>0.9</v>
      </c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86"/>
      <c r="CY10" s="86"/>
      <c r="CZ10" s="86"/>
      <c r="DA10" s="87"/>
      <c r="DB10" s="85"/>
    </row>
    <row r="11" spans="2:106" ht="11.25" customHeight="1" x14ac:dyDescent="0.2">
      <c r="B11" s="78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86"/>
      <c r="CY11" s="86"/>
      <c r="CZ11" s="86"/>
      <c r="DA11" s="87"/>
      <c r="DB11" s="85"/>
    </row>
    <row r="12" spans="2:106" ht="11.25" customHeight="1" x14ac:dyDescent="0.2">
      <c r="B12" s="78"/>
      <c r="C12" s="79"/>
      <c r="D12" s="79"/>
      <c r="E12" s="79"/>
      <c r="F12" s="79"/>
      <c r="G12" s="79" t="s">
        <v>149</v>
      </c>
      <c r="H12" s="79"/>
      <c r="I12" s="79" t="s">
        <v>136</v>
      </c>
      <c r="J12" s="79"/>
      <c r="K12" s="79" t="s">
        <v>183</v>
      </c>
      <c r="L12" s="79" t="str">
        <f>TEXT(0.7,"#,##0.#######")</f>
        <v>0.7</v>
      </c>
      <c r="M12" s="79"/>
      <c r="N12" s="79"/>
      <c r="O12" s="79" t="s">
        <v>63</v>
      </c>
      <c r="P12" s="79" t="str">
        <f>TEXT(0.6,"#,##0.#######")</f>
        <v>0.6</v>
      </c>
      <c r="Q12" s="79"/>
      <c r="R12" s="79"/>
      <c r="S12" s="79" t="s">
        <v>34</v>
      </c>
      <c r="T12" s="79" t="s">
        <v>53</v>
      </c>
      <c r="U12" s="79" t="str">
        <f>TEXT(2,"#,##0.#######")</f>
        <v>2.</v>
      </c>
      <c r="V12" s="79" t="s">
        <v>6</v>
      </c>
      <c r="W12" s="79" t="str">
        <f>TEXT(0.05,"#,##0.#######")</f>
        <v>0.05</v>
      </c>
      <c r="X12" s="79"/>
      <c r="Y12" s="79"/>
      <c r="Z12" s="79"/>
      <c r="AA12" s="79"/>
      <c r="AB12" s="79" t="s">
        <v>136</v>
      </c>
      <c r="AC12" s="79"/>
      <c r="AD12" s="79" t="str">
        <f>TEXT(ROUND((L12+P12)/U12-W12,2),"#,##0.#######")</f>
        <v>0.6</v>
      </c>
      <c r="AE12" s="79"/>
      <c r="AF12" s="79"/>
      <c r="AG12" s="79"/>
      <c r="AH12" s="79"/>
      <c r="AI12" s="79"/>
      <c r="AJ12" s="79"/>
      <c r="AK12" s="79"/>
      <c r="AL12" s="79"/>
      <c r="AM12" s="79"/>
      <c r="AN12" s="79" t="s">
        <v>42</v>
      </c>
      <c r="AO12" s="79"/>
      <c r="AP12" s="79"/>
      <c r="AQ12" s="79" t="s">
        <v>136</v>
      </c>
      <c r="AR12" s="79"/>
      <c r="AS12" s="79" t="str">
        <f>TEXT(18,"#,##0.#######")</f>
        <v>18.</v>
      </c>
      <c r="AT12" s="79"/>
      <c r="AU12" s="79" t="s">
        <v>307</v>
      </c>
      <c r="AV12" s="79"/>
      <c r="AW12" s="79"/>
      <c r="AX12" s="79"/>
      <c r="AY12" s="79" t="s">
        <v>183</v>
      </c>
      <c r="AZ12" s="79" t="s">
        <v>126</v>
      </c>
      <c r="BA12" s="79"/>
      <c r="BB12" s="79"/>
      <c r="BC12" s="79" t="s">
        <v>240</v>
      </c>
      <c r="BD12" s="79"/>
      <c r="BE12" s="79" t="s">
        <v>34</v>
      </c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86"/>
      <c r="CY12" s="86"/>
      <c r="CZ12" s="86"/>
      <c r="DA12" s="87"/>
      <c r="DB12" s="85"/>
    </row>
    <row r="13" spans="2:106" ht="11.25" customHeight="1" x14ac:dyDescent="0.2">
      <c r="B13" s="78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86"/>
      <c r="CY13" s="86"/>
      <c r="CZ13" s="86"/>
      <c r="DA13" s="87"/>
      <c r="DB13" s="85"/>
    </row>
    <row r="14" spans="2:106" ht="11.25" customHeight="1" x14ac:dyDescent="0.2">
      <c r="B14" s="78"/>
      <c r="C14" s="79"/>
      <c r="D14" s="79"/>
      <c r="E14" s="79"/>
      <c r="F14" s="79"/>
      <c r="G14" s="79"/>
      <c r="H14" s="79"/>
      <c r="I14" s="79"/>
      <c r="J14" s="79"/>
      <c r="K14" s="79"/>
      <c r="L14" s="79" t="str">
        <f>TEXT(3600,"#,##0.#######")</f>
        <v>3,600.</v>
      </c>
      <c r="M14" s="79"/>
      <c r="N14" s="79"/>
      <c r="O14" s="79"/>
      <c r="P14" s="79"/>
      <c r="Q14" s="79" t="s">
        <v>294</v>
      </c>
      <c r="R14" s="79"/>
      <c r="S14" s="79" t="s">
        <v>293</v>
      </c>
      <c r="T14" s="79" t="s">
        <v>294</v>
      </c>
      <c r="U14" s="79"/>
      <c r="V14" s="79" t="s">
        <v>143</v>
      </c>
      <c r="W14" s="79" t="s">
        <v>294</v>
      </c>
      <c r="X14" s="79"/>
      <c r="Y14" s="79" t="s">
        <v>37</v>
      </c>
      <c r="Z14" s="79" t="s">
        <v>294</v>
      </c>
      <c r="AA14" s="79"/>
      <c r="AB14" s="79" t="s">
        <v>149</v>
      </c>
      <c r="AC14" s="79"/>
      <c r="AD14" s="79"/>
      <c r="AE14" s="79"/>
      <c r="AF14" s="79"/>
      <c r="AG14" s="79"/>
      <c r="AH14" s="79"/>
      <c r="AI14" s="79" t="str">
        <f>TEXT(L14,"#,##0.#######")</f>
        <v>3,600.</v>
      </c>
      <c r="AJ14" s="79"/>
      <c r="AK14" s="79"/>
      <c r="AL14" s="79"/>
      <c r="AM14" s="79"/>
      <c r="AN14" s="79" t="s">
        <v>294</v>
      </c>
      <c r="AO14" s="79"/>
      <c r="AP14" s="79" t="str">
        <f>TEXT(K10,"#,##0.#######")</f>
        <v>0.2</v>
      </c>
      <c r="AQ14" s="79"/>
      <c r="AR14" s="79"/>
      <c r="AS14" s="79" t="s">
        <v>294</v>
      </c>
      <c r="AT14" s="79"/>
      <c r="AU14" s="79" t="str">
        <f>TEXT(AZ10,"#,##0.#######")</f>
        <v>0.9</v>
      </c>
      <c r="AV14" s="79"/>
      <c r="AW14" s="79"/>
      <c r="AX14" s="79" t="s">
        <v>294</v>
      </c>
      <c r="AY14" s="79"/>
      <c r="AZ14" s="79" t="str">
        <f>TEXT(AK10,"#,##0.#######")</f>
        <v>0.81</v>
      </c>
      <c r="BA14" s="79"/>
      <c r="BB14" s="79"/>
      <c r="BC14" s="79"/>
      <c r="BD14" s="79" t="s">
        <v>294</v>
      </c>
      <c r="BE14" s="79"/>
      <c r="BF14" s="79" t="str">
        <f>TEXT(AD12,"#,##0.#######")</f>
        <v>0.6</v>
      </c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86"/>
      <c r="CY14" s="86"/>
      <c r="CZ14" s="86"/>
      <c r="DA14" s="87"/>
      <c r="DB14" s="85"/>
    </row>
    <row r="15" spans="2:106" ht="11.25" customHeight="1" x14ac:dyDescent="0.2">
      <c r="B15" s="78"/>
      <c r="C15" s="79"/>
      <c r="D15" s="79"/>
      <c r="E15" s="79"/>
      <c r="F15" s="79"/>
      <c r="G15" s="79" t="s">
        <v>14</v>
      </c>
      <c r="H15" s="79"/>
      <c r="I15" s="79" t="s">
        <v>136</v>
      </c>
      <c r="J15" s="79"/>
      <c r="K15" s="79" t="s">
        <v>98</v>
      </c>
      <c r="L15" s="79"/>
      <c r="M15" s="79" t="s">
        <v>98</v>
      </c>
      <c r="N15" s="79"/>
      <c r="O15" s="79" t="s">
        <v>98</v>
      </c>
      <c r="P15" s="79"/>
      <c r="Q15" s="79" t="s">
        <v>98</v>
      </c>
      <c r="R15" s="79"/>
      <c r="S15" s="79" t="s">
        <v>98</v>
      </c>
      <c r="T15" s="79"/>
      <c r="U15" s="79" t="s">
        <v>98</v>
      </c>
      <c r="V15" s="79"/>
      <c r="W15" s="79" t="s">
        <v>98</v>
      </c>
      <c r="X15" s="79"/>
      <c r="Y15" s="79" t="s">
        <v>98</v>
      </c>
      <c r="Z15" s="79"/>
      <c r="AA15" s="79" t="s">
        <v>98</v>
      </c>
      <c r="AB15" s="79"/>
      <c r="AC15" s="79" t="s">
        <v>98</v>
      </c>
      <c r="AD15" s="79"/>
      <c r="AE15" s="79"/>
      <c r="AF15" s="79" t="s">
        <v>136</v>
      </c>
      <c r="AG15" s="79"/>
      <c r="AH15" s="79" t="s">
        <v>98</v>
      </c>
      <c r="AI15" s="79"/>
      <c r="AJ15" s="79" t="s">
        <v>98</v>
      </c>
      <c r="AK15" s="79"/>
      <c r="AL15" s="79" t="s">
        <v>98</v>
      </c>
      <c r="AM15" s="79"/>
      <c r="AN15" s="79" t="s">
        <v>98</v>
      </c>
      <c r="AO15" s="79"/>
      <c r="AP15" s="79" t="s">
        <v>98</v>
      </c>
      <c r="AQ15" s="79"/>
      <c r="AR15" s="79" t="s">
        <v>98</v>
      </c>
      <c r="AS15" s="79"/>
      <c r="AT15" s="79" t="s">
        <v>98</v>
      </c>
      <c r="AU15" s="79"/>
      <c r="AV15" s="79" t="s">
        <v>98</v>
      </c>
      <c r="AW15" s="79"/>
      <c r="AX15" s="79" t="s">
        <v>98</v>
      </c>
      <c r="AY15" s="79"/>
      <c r="AZ15" s="79" t="s">
        <v>98</v>
      </c>
      <c r="BA15" s="79"/>
      <c r="BB15" s="79" t="s">
        <v>98</v>
      </c>
      <c r="BC15" s="79"/>
      <c r="BD15" s="79" t="s">
        <v>98</v>
      </c>
      <c r="BE15" s="79"/>
      <c r="BF15" s="79" t="s">
        <v>98</v>
      </c>
      <c r="BG15" s="79"/>
      <c r="BH15" s="79" t="s">
        <v>98</v>
      </c>
      <c r="BI15" s="79"/>
      <c r="BJ15" s="79" t="s">
        <v>136</v>
      </c>
      <c r="BK15" s="79"/>
      <c r="BL15" s="79" t="str">
        <f>TEXT(ROUND((3600*K10*AZ10*AK10*AD12)/(AS12),2),"#,##0.#######")</f>
        <v>17.5</v>
      </c>
      <c r="BM15" s="79"/>
      <c r="BN15" s="79"/>
      <c r="BO15" s="79"/>
      <c r="BP15" s="79"/>
      <c r="BQ15" s="79"/>
      <c r="BR15" s="79"/>
      <c r="BS15" s="79" t="s">
        <v>243</v>
      </c>
      <c r="BT15" s="79"/>
      <c r="BU15" s="79" t="s">
        <v>53</v>
      </c>
      <c r="BV15" s="79" t="s">
        <v>251</v>
      </c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86"/>
      <c r="CY15" s="86"/>
      <c r="CZ15" s="86"/>
      <c r="DA15" s="87"/>
      <c r="DB15" s="85"/>
    </row>
    <row r="16" spans="2:106" ht="11.25" customHeight="1" x14ac:dyDescent="0.2">
      <c r="B16" s="78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 t="s">
        <v>42</v>
      </c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 t="str">
        <f>TEXT(AS12,"#,##0.#######")</f>
        <v>18.</v>
      </c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86"/>
      <c r="CY16" s="86"/>
      <c r="CZ16" s="86"/>
      <c r="DA16" s="87"/>
      <c r="DB16" s="85"/>
    </row>
    <row r="17" spans="2:106" ht="11.25" customHeight="1" x14ac:dyDescent="0.2">
      <c r="B17" s="78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86"/>
      <c r="CY17" s="86"/>
      <c r="CZ17" s="86"/>
      <c r="DA17" s="87"/>
      <c r="DB17" s="85"/>
    </row>
    <row r="18" spans="2:106" ht="11.25" customHeight="1" x14ac:dyDescent="0.2">
      <c r="B18" s="78"/>
      <c r="C18" s="79"/>
      <c r="D18" s="79"/>
      <c r="E18" s="79"/>
      <c r="F18" s="79"/>
      <c r="G18" s="79" t="s">
        <v>295</v>
      </c>
      <c r="H18" s="79"/>
      <c r="I18" s="79"/>
      <c r="J18" s="79"/>
      <c r="K18" s="79"/>
      <c r="L18" s="79"/>
      <c r="M18" s="79"/>
      <c r="N18" s="79" t="s">
        <v>253</v>
      </c>
      <c r="O18" s="79"/>
      <c r="P18" s="79" t="str">
        <f>TEXT(기계경비총괄표!G4,"#,##0")</f>
        <v>39,632</v>
      </c>
      <c r="Q18" s="79"/>
      <c r="R18" s="79"/>
      <c r="S18" s="79"/>
      <c r="T18" s="79"/>
      <c r="U18" s="79"/>
      <c r="V18" s="79"/>
      <c r="W18" s="79"/>
      <c r="X18" s="79"/>
      <c r="Y18" s="79" t="s">
        <v>165</v>
      </c>
      <c r="Z18" s="79"/>
      <c r="AA18" s="79"/>
      <c r="AB18" s="79" t="str">
        <f>TEXT(BL15,"#,##0.#######")</f>
        <v>17.5</v>
      </c>
      <c r="AC18" s="79"/>
      <c r="AD18" s="79"/>
      <c r="AE18" s="79"/>
      <c r="AF18" s="79"/>
      <c r="AG18" s="79"/>
      <c r="AH18" s="79"/>
      <c r="AI18" s="79" t="s">
        <v>294</v>
      </c>
      <c r="AJ18" s="79"/>
      <c r="AK18" s="79" t="str">
        <f>TEXT(0.7,"#,##0.#######")</f>
        <v>0.7</v>
      </c>
      <c r="AL18" s="79"/>
      <c r="AM18" s="79"/>
      <c r="AN18" s="79"/>
      <c r="AO18" s="79" t="s">
        <v>136</v>
      </c>
      <c r="AP18" s="79"/>
      <c r="AQ18" s="79"/>
      <c r="AR18" s="79" t="str">
        <f>TEXT(TRUNC(P18/BL15*AK18,1),"#,##0.#")</f>
        <v>1,585.2</v>
      </c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86"/>
      <c r="CY18" s="86"/>
      <c r="CZ18" s="86"/>
      <c r="DA18" s="87"/>
      <c r="DB18" s="85"/>
    </row>
    <row r="19" spans="2:106" ht="11.25" customHeight="1" x14ac:dyDescent="0.2">
      <c r="B19" s="78"/>
      <c r="C19" s="79"/>
      <c r="D19" s="79"/>
      <c r="E19" s="79"/>
      <c r="F19" s="79"/>
      <c r="G19" s="79" t="s">
        <v>209</v>
      </c>
      <c r="H19" s="79"/>
      <c r="I19" s="79"/>
      <c r="J19" s="79"/>
      <c r="K19" s="79"/>
      <c r="L19" s="79"/>
      <c r="M19" s="79"/>
      <c r="N19" s="79" t="s">
        <v>253</v>
      </c>
      <c r="O19" s="79"/>
      <c r="P19" s="79"/>
      <c r="Q19" s="79" t="str">
        <f>TEXT(기계경비총괄표!H4,"#,##0")</f>
        <v>9,075</v>
      </c>
      <c r="R19" s="79"/>
      <c r="S19" s="79"/>
      <c r="T19" s="79"/>
      <c r="U19" s="79"/>
      <c r="V19" s="79"/>
      <c r="W19" s="79"/>
      <c r="X19" s="79"/>
      <c r="Y19" s="79" t="s">
        <v>165</v>
      </c>
      <c r="Z19" s="79"/>
      <c r="AA19" s="79"/>
      <c r="AB19" s="79" t="str">
        <f>TEXT(BL15,"#,##0.#######")</f>
        <v>17.5</v>
      </c>
      <c r="AC19" s="79"/>
      <c r="AD19" s="79"/>
      <c r="AE19" s="79"/>
      <c r="AF19" s="79"/>
      <c r="AG19" s="79"/>
      <c r="AH19" s="79"/>
      <c r="AI19" s="79" t="s">
        <v>294</v>
      </c>
      <c r="AJ19" s="79"/>
      <c r="AK19" s="79" t="str">
        <f>TEXT(0.7,"#,##0.#######")</f>
        <v>0.7</v>
      </c>
      <c r="AL19" s="79"/>
      <c r="AM19" s="79"/>
      <c r="AN19" s="79"/>
      <c r="AO19" s="79" t="s">
        <v>136</v>
      </c>
      <c r="AP19" s="79"/>
      <c r="AQ19" s="79"/>
      <c r="AR19" s="79" t="str">
        <f>TEXT(TRUNC(Q19/BL15*AK19,1),"#,##0.#")</f>
        <v>363.</v>
      </c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86"/>
      <c r="CY19" s="86"/>
      <c r="CZ19" s="86"/>
      <c r="DA19" s="87"/>
      <c r="DB19" s="85"/>
    </row>
    <row r="20" spans="2:106" ht="11.25" customHeight="1" x14ac:dyDescent="0.2">
      <c r="B20" s="78"/>
      <c r="C20" s="79"/>
      <c r="D20" s="79"/>
      <c r="E20" s="79"/>
      <c r="F20" s="79"/>
      <c r="G20" s="79" t="s">
        <v>73</v>
      </c>
      <c r="H20" s="79"/>
      <c r="I20" s="79"/>
      <c r="J20" s="79"/>
      <c r="K20" s="79" t="s">
        <v>187</v>
      </c>
      <c r="L20" s="79"/>
      <c r="M20" s="79"/>
      <c r="N20" s="79" t="s">
        <v>253</v>
      </c>
      <c r="O20" s="79"/>
      <c r="P20" s="79" t="str">
        <f>TEXT(기계경비총괄표!I4,"#,##0")</f>
        <v>11,390</v>
      </c>
      <c r="Q20" s="79"/>
      <c r="R20" s="79"/>
      <c r="S20" s="79"/>
      <c r="T20" s="79"/>
      <c r="U20" s="79"/>
      <c r="V20" s="79"/>
      <c r="W20" s="79"/>
      <c r="X20" s="79"/>
      <c r="Y20" s="79" t="s">
        <v>165</v>
      </c>
      <c r="Z20" s="79"/>
      <c r="AA20" s="79"/>
      <c r="AB20" s="79" t="str">
        <f>TEXT(BL15,"#,##0.#######")</f>
        <v>17.5</v>
      </c>
      <c r="AC20" s="79"/>
      <c r="AD20" s="79"/>
      <c r="AE20" s="79"/>
      <c r="AF20" s="79"/>
      <c r="AG20" s="79"/>
      <c r="AH20" s="79"/>
      <c r="AI20" s="79" t="s">
        <v>294</v>
      </c>
      <c r="AJ20" s="79"/>
      <c r="AK20" s="79" t="str">
        <f>TEXT(0.7,"#,##0.#######")</f>
        <v>0.7</v>
      </c>
      <c r="AL20" s="79"/>
      <c r="AM20" s="79"/>
      <c r="AN20" s="79"/>
      <c r="AO20" s="79" t="s">
        <v>136</v>
      </c>
      <c r="AP20" s="79"/>
      <c r="AQ20" s="79"/>
      <c r="AR20" s="79" t="str">
        <f>TEXT(TRUNC(P20/BL15*AK20,1),"#,##0.#")</f>
        <v>455.6</v>
      </c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86"/>
      <c r="CY20" s="86"/>
      <c r="CZ20" s="86"/>
      <c r="DA20" s="87"/>
      <c r="DB20" s="85"/>
    </row>
    <row r="21" spans="2:106" ht="11.25" customHeight="1" x14ac:dyDescent="0.2">
      <c r="B21" s="78"/>
      <c r="C21" s="79"/>
      <c r="D21" s="79"/>
      <c r="E21" s="79"/>
      <c r="F21" s="79"/>
      <c r="G21" s="79" t="s">
        <v>135</v>
      </c>
      <c r="H21" s="79"/>
      <c r="I21" s="79"/>
      <c r="J21" s="79"/>
      <c r="K21" s="79" t="s">
        <v>185</v>
      </c>
      <c r="L21" s="79"/>
      <c r="M21" s="79"/>
      <c r="N21" s="79" t="s">
        <v>253</v>
      </c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 t="str">
        <f>TEXT(AR18+AR19+AR20,"#,##0.#######")</f>
        <v>2,403.8</v>
      </c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86">
        <f>CY21+CZ21+DA21</f>
        <v>2403.8000000000002</v>
      </c>
      <c r="CY21" s="86" t="str">
        <f>TEXT(AR18,"#,###.0")</f>
        <v>1,585.2</v>
      </c>
      <c r="CZ21" s="86" t="str">
        <f>TEXT(AR19,"#,###.0")</f>
        <v>363.0</v>
      </c>
      <c r="DA21" s="87" t="str">
        <f>TEXT(AR20,"#,###.0")</f>
        <v>455.6</v>
      </c>
      <c r="DB21" s="85"/>
    </row>
    <row r="22" spans="2:106" ht="11.25" customHeight="1" x14ac:dyDescent="0.2">
      <c r="B22" s="78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86"/>
      <c r="CY22" s="86"/>
      <c r="CZ22" s="86"/>
      <c r="DA22" s="87"/>
      <c r="DB22" s="85"/>
    </row>
    <row r="23" spans="2:106" ht="11.25" customHeight="1" x14ac:dyDescent="0.2">
      <c r="B23" s="78"/>
      <c r="C23" s="79"/>
      <c r="D23" s="79" t="s">
        <v>249</v>
      </c>
      <c r="E23" s="79"/>
      <c r="F23" s="79"/>
      <c r="G23" s="79" t="s">
        <v>317</v>
      </c>
      <c r="H23" s="79"/>
      <c r="I23" s="79"/>
      <c r="J23" s="79" t="s">
        <v>125</v>
      </c>
      <c r="K23" s="79"/>
      <c r="L23" s="79" t="s">
        <v>183</v>
      </c>
      <c r="M23" s="79" t="s">
        <v>207</v>
      </c>
      <c r="N23" s="79"/>
      <c r="O23" s="79" t="s">
        <v>70</v>
      </c>
      <c r="P23" s="79" t="s">
        <v>34</v>
      </c>
      <c r="Q23" s="79"/>
      <c r="R23" s="79" t="s">
        <v>253</v>
      </c>
      <c r="S23" s="79"/>
      <c r="T23" s="79" t="s">
        <v>183</v>
      </c>
      <c r="U23" s="79" t="s">
        <v>89</v>
      </c>
      <c r="V23" s="79"/>
      <c r="W23" s="79"/>
      <c r="X23" s="79"/>
      <c r="Y23" s="79"/>
      <c r="Z23" s="79"/>
      <c r="AA23" s="79" t="s">
        <v>84</v>
      </c>
      <c r="AB23" s="79"/>
      <c r="AC23" s="79"/>
      <c r="AD23" s="79"/>
      <c r="AE23" s="79"/>
      <c r="AF23" s="79"/>
      <c r="AG23" s="79"/>
      <c r="AH23" s="79" t="s">
        <v>97</v>
      </c>
      <c r="AI23" s="79"/>
      <c r="AJ23" s="79"/>
      <c r="AK23" s="79"/>
      <c r="AL23" s="79"/>
      <c r="AM23" s="79"/>
      <c r="AN23" s="79"/>
      <c r="AO23" s="79" t="s">
        <v>34</v>
      </c>
      <c r="AP23" s="79" t="s">
        <v>109</v>
      </c>
      <c r="AQ23" s="79"/>
      <c r="AR23" s="79"/>
      <c r="AS23" s="79" t="s">
        <v>250</v>
      </c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86"/>
      <c r="CY23" s="86"/>
      <c r="CZ23" s="86"/>
      <c r="DA23" s="87"/>
      <c r="DB23" s="85"/>
    </row>
    <row r="24" spans="2:106" ht="11.25" customHeight="1" x14ac:dyDescent="0.2">
      <c r="B24" s="78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86"/>
      <c r="CY24" s="86"/>
      <c r="CZ24" s="86"/>
      <c r="DA24" s="87"/>
      <c r="DB24" s="85"/>
    </row>
    <row r="25" spans="2:106" ht="11.25" customHeight="1" x14ac:dyDescent="0.2">
      <c r="B25" s="78"/>
      <c r="C25" s="79"/>
      <c r="D25" s="79"/>
      <c r="E25" s="79"/>
      <c r="F25" s="79"/>
      <c r="G25" s="79" t="s">
        <v>17</v>
      </c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 t="s">
        <v>253</v>
      </c>
      <c r="S25" s="79"/>
      <c r="T25" s="79" t="str">
        <f>TEXT(노임단가!L5,"#,##0")</f>
        <v>130,264</v>
      </c>
      <c r="U25" s="79"/>
      <c r="V25" s="79"/>
      <c r="W25" s="79"/>
      <c r="X25" s="79"/>
      <c r="Y25" s="79"/>
      <c r="Z25" s="79"/>
      <c r="AA25" s="79"/>
      <c r="AB25" s="79"/>
      <c r="AC25" s="79" t="s">
        <v>294</v>
      </c>
      <c r="AD25" s="79"/>
      <c r="AE25" s="79" t="s">
        <v>183</v>
      </c>
      <c r="AF25" s="79" t="str">
        <f>TEXT(0.2,"#,##0.#######")</f>
        <v>0.2</v>
      </c>
      <c r="AG25" s="79"/>
      <c r="AH25" s="79"/>
      <c r="AI25" s="79" t="s">
        <v>63</v>
      </c>
      <c r="AJ25" s="79" t="str">
        <f>TEXT(0.26,"#,##0.#######")</f>
        <v>0.26</v>
      </c>
      <c r="AK25" s="79"/>
      <c r="AL25" s="79"/>
      <c r="AM25" s="79"/>
      <c r="AN25" s="79" t="s">
        <v>63</v>
      </c>
      <c r="AO25" s="79" t="str">
        <f>TEXT(0.32,"#,##0.#######")</f>
        <v>0.32</v>
      </c>
      <c r="AP25" s="79"/>
      <c r="AQ25" s="79"/>
      <c r="AR25" s="79"/>
      <c r="AS25" s="79" t="s">
        <v>34</v>
      </c>
      <c r="AT25" s="79" t="s">
        <v>53</v>
      </c>
      <c r="AU25" s="79" t="str">
        <f>TEXT(3,"#,##0.#######")</f>
        <v>3.</v>
      </c>
      <c r="AV25" s="79" t="s">
        <v>317</v>
      </c>
      <c r="AW25" s="79"/>
      <c r="AX25" s="79"/>
      <c r="AY25" s="79" t="s">
        <v>294</v>
      </c>
      <c r="AZ25" s="79"/>
      <c r="BA25" s="79"/>
      <c r="BB25" s="79" t="str">
        <f>TEXT(0.3,"#,##0.#######")</f>
        <v>0.3</v>
      </c>
      <c r="BC25" s="79"/>
      <c r="BD25" s="79"/>
      <c r="BE25" s="79"/>
      <c r="BF25" s="79" t="s">
        <v>136</v>
      </c>
      <c r="BG25" s="79"/>
      <c r="BH25" s="79" t="str">
        <f>TEXT(TRUNC(T25*(AF25+AJ25+AO25)/AU25*BB25,1),"#,##0.#")</f>
        <v>10,160.5</v>
      </c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86">
        <f>CY25+CZ25+DA25</f>
        <v>10160.5</v>
      </c>
      <c r="CY25" s="86" t="str">
        <f>BH25</f>
        <v>10,160.5</v>
      </c>
      <c r="CZ25" s="86"/>
      <c r="DA25" s="87"/>
      <c r="DB25" s="85"/>
    </row>
    <row r="26" spans="2:106" ht="11.25" customHeight="1" x14ac:dyDescent="0.2"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86"/>
      <c r="CY26" s="86"/>
      <c r="CZ26" s="86"/>
      <c r="DA26" s="87"/>
      <c r="DB26" s="85"/>
    </row>
    <row r="27" spans="2:106" ht="11.25" customHeight="1" x14ac:dyDescent="0.2">
      <c r="B27" s="78"/>
      <c r="C27" s="79"/>
      <c r="D27" s="79" t="s">
        <v>348</v>
      </c>
      <c r="E27" s="79"/>
      <c r="F27" s="79"/>
      <c r="G27" s="79" t="s">
        <v>234</v>
      </c>
      <c r="H27" s="79"/>
      <c r="I27" s="79"/>
      <c r="J27" s="79"/>
      <c r="K27" s="79" t="s">
        <v>185</v>
      </c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79"/>
      <c r="CQ27" s="79"/>
      <c r="CR27" s="79"/>
      <c r="CS27" s="79"/>
      <c r="CT27" s="79"/>
      <c r="CU27" s="79"/>
      <c r="CV27" s="79"/>
      <c r="CW27" s="79"/>
      <c r="CX27" s="86"/>
      <c r="CY27" s="86"/>
      <c r="CZ27" s="86"/>
      <c r="DA27" s="87"/>
      <c r="DB27" s="85"/>
    </row>
    <row r="28" spans="2:106" ht="11.25" customHeight="1" x14ac:dyDescent="0.2">
      <c r="B28" s="78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86"/>
      <c r="CY28" s="86"/>
      <c r="CZ28" s="86"/>
      <c r="DA28" s="87"/>
      <c r="DB28" s="85"/>
    </row>
    <row r="29" spans="2:106" ht="11.25" customHeight="1" x14ac:dyDescent="0.2">
      <c r="B29" s="78"/>
      <c r="C29" s="79"/>
      <c r="D29" s="79"/>
      <c r="E29" s="79"/>
      <c r="F29" s="79"/>
      <c r="G29" s="79"/>
      <c r="H29" s="79" t="s">
        <v>295</v>
      </c>
      <c r="I29" s="79"/>
      <c r="J29" s="79"/>
      <c r="K29" s="79"/>
      <c r="L29" s="79"/>
      <c r="M29" s="79"/>
      <c r="N29" s="79"/>
      <c r="O29" s="79" t="s">
        <v>253</v>
      </c>
      <c r="P29" s="79"/>
      <c r="Q29" s="79" t="str">
        <f>TEXT(CY21,"#,###.##")</f>
        <v>1,585.2</v>
      </c>
      <c r="R29" s="79"/>
      <c r="S29" s="79"/>
      <c r="T29" s="79"/>
      <c r="U29" s="79"/>
      <c r="V29" s="79"/>
      <c r="W29" s="79"/>
      <c r="X29" s="79"/>
      <c r="Y29" s="79" t="s">
        <v>63</v>
      </c>
      <c r="Z29" s="79"/>
      <c r="AA29" s="79" t="str">
        <f>TEXT(CY25,"#,###.##")</f>
        <v>10,160.5</v>
      </c>
      <c r="AB29" s="79"/>
      <c r="AC29" s="79"/>
      <c r="AD29" s="79"/>
      <c r="AE29" s="79"/>
      <c r="AF29" s="79"/>
      <c r="AG29" s="79"/>
      <c r="AH29" s="79"/>
      <c r="AI29" s="79" t="s">
        <v>136</v>
      </c>
      <c r="AJ29" s="79"/>
      <c r="AK29" s="79"/>
      <c r="AL29" s="79" t="str">
        <f>TEXT(TRUNC(CY21+CY25,0),"#,##0")</f>
        <v>11,745</v>
      </c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79"/>
      <c r="CQ29" s="79"/>
      <c r="CR29" s="79"/>
      <c r="CS29" s="79"/>
      <c r="CT29" s="79"/>
      <c r="CU29" s="79"/>
      <c r="CV29" s="79"/>
      <c r="CW29" s="79"/>
      <c r="CX29" s="86"/>
      <c r="CY29" s="86"/>
      <c r="CZ29" s="86"/>
      <c r="DA29" s="87"/>
      <c r="DB29" s="85"/>
    </row>
    <row r="30" spans="2:106" ht="11.25" customHeight="1" x14ac:dyDescent="0.2">
      <c r="B30" s="78"/>
      <c r="C30" s="79"/>
      <c r="D30" s="79"/>
      <c r="E30" s="79"/>
      <c r="F30" s="79"/>
      <c r="G30" s="79"/>
      <c r="H30" s="79" t="s">
        <v>209</v>
      </c>
      <c r="I30" s="79"/>
      <c r="J30" s="79"/>
      <c r="K30" s="79"/>
      <c r="L30" s="79"/>
      <c r="M30" s="79"/>
      <c r="N30" s="79"/>
      <c r="O30" s="79" t="s">
        <v>253</v>
      </c>
      <c r="P30" s="79"/>
      <c r="Q30" s="79" t="str">
        <f>TEXT(TRUNC(CZ21,0),"#,##0")</f>
        <v>363</v>
      </c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  <c r="CK30" s="79"/>
      <c r="CL30" s="79"/>
      <c r="CM30" s="79"/>
      <c r="CN30" s="79"/>
      <c r="CO30" s="79"/>
      <c r="CP30" s="79"/>
      <c r="CQ30" s="79"/>
      <c r="CR30" s="79"/>
      <c r="CS30" s="79"/>
      <c r="CT30" s="79"/>
      <c r="CU30" s="79"/>
      <c r="CV30" s="79"/>
      <c r="CW30" s="79"/>
      <c r="CX30" s="86"/>
      <c r="CY30" s="86"/>
      <c r="CZ30" s="86"/>
      <c r="DA30" s="87"/>
      <c r="DB30" s="85"/>
    </row>
    <row r="31" spans="2:106" ht="11.25" customHeight="1" x14ac:dyDescent="0.2">
      <c r="B31" s="78"/>
      <c r="C31" s="79"/>
      <c r="D31" s="79"/>
      <c r="E31" s="79"/>
      <c r="F31" s="79"/>
      <c r="G31" s="79"/>
      <c r="H31" s="79" t="s">
        <v>73</v>
      </c>
      <c r="I31" s="79"/>
      <c r="J31" s="79"/>
      <c r="K31" s="79"/>
      <c r="L31" s="79" t="s">
        <v>187</v>
      </c>
      <c r="M31" s="79"/>
      <c r="N31" s="79"/>
      <c r="O31" s="79" t="s">
        <v>253</v>
      </c>
      <c r="P31" s="79"/>
      <c r="Q31" s="79" t="str">
        <f>TEXT(TRUNC(DA21,0),"#,##0")</f>
        <v>455</v>
      </c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79"/>
      <c r="CQ31" s="79"/>
      <c r="CR31" s="79"/>
      <c r="CS31" s="79"/>
      <c r="CT31" s="79"/>
      <c r="CU31" s="79"/>
      <c r="CV31" s="79"/>
      <c r="CW31" s="79"/>
      <c r="CX31" s="86"/>
      <c r="CY31" s="86"/>
      <c r="CZ31" s="86"/>
      <c r="DA31" s="87"/>
      <c r="DB31" s="85"/>
    </row>
    <row r="32" spans="2:106" ht="11.25" customHeight="1" x14ac:dyDescent="0.2">
      <c r="B32" s="78"/>
      <c r="C32" s="79"/>
      <c r="D32" s="79"/>
      <c r="E32" s="79"/>
      <c r="F32" s="79"/>
      <c r="G32" s="79"/>
      <c r="H32" s="79"/>
      <c r="I32" s="79"/>
      <c r="J32" s="79" t="s">
        <v>185</v>
      </c>
      <c r="K32" s="79"/>
      <c r="L32" s="79"/>
      <c r="M32" s="79"/>
      <c r="N32" s="79"/>
      <c r="O32" s="79" t="s">
        <v>253</v>
      </c>
      <c r="P32" s="79"/>
      <c r="Q32" s="79"/>
      <c r="R32" s="79" t="str">
        <f>TEXT(AL29+Q30+Q31,"#,##0")</f>
        <v>12,563</v>
      </c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88">
        <f>CY32+CZ32+DA32</f>
        <v>12563</v>
      </c>
      <c r="CY32" s="86" t="str">
        <f>TEXT(AL29,"#,##0")</f>
        <v>11,745</v>
      </c>
      <c r="CZ32" s="86" t="str">
        <f>TEXT(Q30,"#,##0")</f>
        <v>363</v>
      </c>
      <c r="DA32" s="87" t="str">
        <f>TEXT(Q31,"#,##0")</f>
        <v>455</v>
      </c>
      <c r="DB32" s="85"/>
    </row>
    <row r="33" spans="2:106" ht="11.25" customHeight="1" x14ac:dyDescent="0.2">
      <c r="B33" s="78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79"/>
      <c r="CQ33" s="79"/>
      <c r="CR33" s="79"/>
      <c r="CS33" s="79"/>
      <c r="CT33" s="79"/>
      <c r="CU33" s="79"/>
      <c r="CV33" s="79"/>
      <c r="CW33" s="79"/>
      <c r="CX33" s="86"/>
      <c r="CY33" s="86"/>
      <c r="CZ33" s="86"/>
      <c r="DA33" s="87"/>
      <c r="DB33" s="85"/>
    </row>
    <row r="34" spans="2:106" ht="11.25" customHeight="1" x14ac:dyDescent="0.2">
      <c r="B34" s="78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86"/>
      <c r="CY34" s="86"/>
      <c r="CZ34" s="86"/>
      <c r="DA34" s="87"/>
      <c r="DB34" s="85"/>
    </row>
    <row r="35" spans="2:106" ht="11.25" customHeight="1" x14ac:dyDescent="0.2">
      <c r="B35" s="78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79"/>
      <c r="CQ35" s="79"/>
      <c r="CR35" s="79"/>
      <c r="CS35" s="79"/>
      <c r="CT35" s="79"/>
      <c r="CU35" s="79"/>
      <c r="CV35" s="79"/>
      <c r="CW35" s="79"/>
      <c r="CX35" s="86"/>
      <c r="CY35" s="86"/>
      <c r="CZ35" s="86"/>
      <c r="DA35" s="87"/>
      <c r="DB35" s="85"/>
    </row>
    <row r="36" spans="2:106" ht="11.25" customHeight="1" x14ac:dyDescent="0.2">
      <c r="B36" s="78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86"/>
      <c r="CY36" s="86"/>
      <c r="CZ36" s="86"/>
      <c r="DA36" s="87"/>
      <c r="DB36" s="85"/>
    </row>
    <row r="37" spans="2:106" ht="11.25" customHeight="1" x14ac:dyDescent="0.2">
      <c r="B37" s="78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86"/>
      <c r="CY37" s="86"/>
      <c r="CZ37" s="86"/>
      <c r="DA37" s="87"/>
      <c r="DB37" s="85"/>
    </row>
    <row r="38" spans="2:106" ht="11.25" customHeight="1" x14ac:dyDescent="0.2">
      <c r="B38" s="78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86"/>
      <c r="CY38" s="86"/>
      <c r="CZ38" s="86"/>
      <c r="DA38" s="87"/>
      <c r="DB38" s="85"/>
    </row>
    <row r="39" spans="2:106" ht="11.25" customHeight="1" x14ac:dyDescent="0.2">
      <c r="B39" s="78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86"/>
      <c r="CY39" s="86"/>
      <c r="CZ39" s="86"/>
      <c r="DA39" s="87"/>
      <c r="DB39" s="85"/>
    </row>
    <row r="40" spans="2:106" ht="11.25" customHeight="1" x14ac:dyDescent="0.2">
      <c r="B40" s="78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86"/>
      <c r="CY40" s="86"/>
      <c r="CZ40" s="86"/>
      <c r="DA40" s="87"/>
      <c r="DB40" s="85"/>
    </row>
    <row r="41" spans="2:106" ht="11.25" customHeight="1" x14ac:dyDescent="0.2">
      <c r="B41" s="78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86"/>
      <c r="CY41" s="86"/>
      <c r="CZ41" s="86"/>
      <c r="DA41" s="87"/>
      <c r="DB41" s="85"/>
    </row>
    <row r="42" spans="2:106" ht="11.25" customHeight="1" x14ac:dyDescent="0.2">
      <c r="B42" s="78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86"/>
      <c r="CY42" s="86"/>
      <c r="CZ42" s="86"/>
      <c r="DA42" s="87"/>
      <c r="DB42" s="85"/>
    </row>
    <row r="43" spans="2:106" ht="11.25" customHeight="1" x14ac:dyDescent="0.2">
      <c r="B43" s="78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86"/>
      <c r="CY43" s="86"/>
      <c r="CZ43" s="86"/>
      <c r="DA43" s="87"/>
      <c r="DB43" s="85"/>
    </row>
    <row r="44" spans="2:106" ht="11.25" customHeight="1" x14ac:dyDescent="0.2">
      <c r="B44" s="78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86"/>
      <c r="CY44" s="86"/>
      <c r="CZ44" s="86"/>
      <c r="DA44" s="87"/>
      <c r="DB44" s="85"/>
    </row>
    <row r="45" spans="2:106" ht="11.25" customHeight="1" x14ac:dyDescent="0.2">
      <c r="B45" s="78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86"/>
      <c r="CY45" s="86"/>
      <c r="CZ45" s="86"/>
      <c r="DA45" s="87"/>
      <c r="DB45" s="85"/>
    </row>
    <row r="46" spans="2:106" ht="11.25" customHeight="1" x14ac:dyDescent="0.2">
      <c r="B46" s="78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86"/>
      <c r="CY46" s="86"/>
      <c r="CZ46" s="86"/>
      <c r="DA46" s="87"/>
      <c r="DB46" s="85"/>
    </row>
    <row r="47" spans="2:106" ht="11.25" customHeight="1" x14ac:dyDescent="0.2">
      <c r="B47" s="78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86"/>
      <c r="CY47" s="86"/>
      <c r="CZ47" s="86"/>
      <c r="DA47" s="87"/>
      <c r="DB47" s="85"/>
    </row>
    <row r="48" spans="2:106" ht="11.25" customHeight="1" x14ac:dyDescent="0.2">
      <c r="B48" s="78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86"/>
      <c r="CY48" s="86"/>
      <c r="CZ48" s="86"/>
      <c r="DA48" s="87"/>
      <c r="DB48" s="85"/>
    </row>
    <row r="49" spans="2:106" ht="11.25" customHeight="1" x14ac:dyDescent="0.2">
      <c r="B49" s="78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86"/>
      <c r="CY49" s="86"/>
      <c r="CZ49" s="86"/>
      <c r="DA49" s="87"/>
      <c r="DB49" s="85"/>
    </row>
    <row r="50" spans="2:106" ht="11.25" customHeight="1" x14ac:dyDescent="0.2">
      <c r="B50" s="78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86"/>
      <c r="CY50" s="86"/>
      <c r="CZ50" s="86"/>
      <c r="DA50" s="87"/>
      <c r="DB50" s="85"/>
    </row>
    <row r="51" spans="2:106" ht="11.25" customHeight="1" x14ac:dyDescent="0.2">
      <c r="B51" s="78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86"/>
      <c r="CY51" s="86"/>
      <c r="CZ51" s="86"/>
      <c r="DA51" s="87"/>
      <c r="DB51" s="85"/>
    </row>
    <row r="52" spans="2:106" ht="11.25" customHeight="1" x14ac:dyDescent="0.2">
      <c r="B52" s="78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86"/>
      <c r="CY52" s="86"/>
      <c r="CZ52" s="86"/>
      <c r="DA52" s="87"/>
      <c r="DB52" s="85"/>
    </row>
    <row r="53" spans="2:106" ht="11.25" customHeight="1" x14ac:dyDescent="0.2">
      <c r="B53" s="78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79"/>
      <c r="CF53" s="79"/>
      <c r="CG53" s="79"/>
      <c r="CH53" s="79"/>
      <c r="CI53" s="79"/>
      <c r="CJ53" s="79"/>
      <c r="CK53" s="79"/>
      <c r="CL53" s="79"/>
      <c r="CM53" s="79"/>
      <c r="CN53" s="79"/>
      <c r="CO53" s="79"/>
      <c r="CP53" s="79"/>
      <c r="CQ53" s="79"/>
      <c r="CR53" s="79"/>
      <c r="CS53" s="79"/>
      <c r="CT53" s="79"/>
      <c r="CU53" s="79"/>
      <c r="CV53" s="79"/>
      <c r="CW53" s="79"/>
      <c r="CX53" s="86"/>
      <c r="CY53" s="86"/>
      <c r="CZ53" s="86"/>
      <c r="DA53" s="87"/>
      <c r="DB53" s="85"/>
    </row>
    <row r="54" spans="2:106" ht="11.25" customHeight="1" x14ac:dyDescent="0.2">
      <c r="B54" s="78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86"/>
      <c r="CY54" s="86"/>
      <c r="CZ54" s="86"/>
      <c r="DA54" s="87"/>
      <c r="DB54" s="85"/>
    </row>
    <row r="55" spans="2:106" ht="11.25" customHeight="1" x14ac:dyDescent="0.2">
      <c r="B55" s="78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86"/>
      <c r="CY55" s="86"/>
      <c r="CZ55" s="86"/>
      <c r="DA55" s="87"/>
      <c r="DB55" s="85"/>
    </row>
    <row r="56" spans="2:106" ht="11.25" customHeight="1" x14ac:dyDescent="0.2">
      <c r="B56" s="78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86"/>
      <c r="CY56" s="86"/>
      <c r="CZ56" s="86"/>
      <c r="DA56" s="87"/>
      <c r="DB56" s="85"/>
    </row>
    <row r="57" spans="2:106" ht="11.25" customHeight="1" x14ac:dyDescent="0.2">
      <c r="B57" s="78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86"/>
      <c r="CY57" s="86"/>
      <c r="CZ57" s="86"/>
      <c r="DA57" s="87"/>
      <c r="DB57" s="85"/>
    </row>
    <row r="58" spans="2:106" ht="11.25" customHeight="1" x14ac:dyDescent="0.2">
      <c r="B58" s="78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86"/>
      <c r="CY58" s="86"/>
      <c r="CZ58" s="86"/>
      <c r="DA58" s="87"/>
      <c r="DB58" s="85"/>
    </row>
    <row r="59" spans="2:106" ht="11.25" customHeight="1" x14ac:dyDescent="0.2">
      <c r="B59" s="78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86"/>
      <c r="CY59" s="86"/>
      <c r="CZ59" s="86"/>
      <c r="DA59" s="87"/>
      <c r="DB59" s="85"/>
    </row>
    <row r="60" spans="2:106" ht="11.25" customHeight="1" x14ac:dyDescent="0.2">
      <c r="B60" s="78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86"/>
      <c r="CY60" s="86"/>
      <c r="CZ60" s="86"/>
      <c r="DA60" s="87"/>
      <c r="DB60" s="85"/>
    </row>
    <row r="61" spans="2:106" ht="11.25" customHeight="1" x14ac:dyDescent="0.2">
      <c r="B61" s="78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79"/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79"/>
      <c r="CV61" s="79"/>
      <c r="CW61" s="79"/>
      <c r="CX61" s="86"/>
      <c r="CY61" s="86"/>
      <c r="CZ61" s="86"/>
      <c r="DA61" s="87"/>
      <c r="DB61" s="85"/>
    </row>
    <row r="62" spans="2:106" ht="11.25" customHeight="1" x14ac:dyDescent="0.2">
      <c r="B62" s="78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86"/>
      <c r="CY62" s="86"/>
      <c r="CZ62" s="86"/>
      <c r="DA62" s="87"/>
      <c r="DB62" s="85"/>
    </row>
    <row r="63" spans="2:106" ht="11.25" customHeight="1" x14ac:dyDescent="0.2">
      <c r="B63" s="78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86"/>
      <c r="CY63" s="86"/>
      <c r="CZ63" s="86"/>
      <c r="DA63" s="87"/>
      <c r="DB63" s="85"/>
    </row>
    <row r="64" spans="2:106" ht="11.25" customHeight="1" x14ac:dyDescent="0.2">
      <c r="B64" s="78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86"/>
      <c r="CY64" s="86"/>
      <c r="CZ64" s="86"/>
      <c r="DA64" s="87"/>
      <c r="DB64" s="85"/>
    </row>
    <row r="65" spans="2:106" ht="11.25" customHeight="1" x14ac:dyDescent="0.2">
      <c r="B65" s="78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86"/>
      <c r="CY65" s="86"/>
      <c r="CZ65" s="86"/>
      <c r="DA65" s="87"/>
      <c r="DB65" s="85"/>
    </row>
    <row r="66" spans="2:106" ht="11.25" customHeight="1" x14ac:dyDescent="0.2">
      <c r="B66" s="78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86"/>
      <c r="CY66" s="86"/>
      <c r="CZ66" s="86"/>
      <c r="DA66" s="87"/>
      <c r="DB66" s="85"/>
    </row>
    <row r="67" spans="2:106" ht="11.25" customHeight="1" x14ac:dyDescent="0.2">
      <c r="B67" s="78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86"/>
      <c r="CY67" s="86"/>
      <c r="CZ67" s="86"/>
      <c r="DA67" s="87"/>
      <c r="DB67" s="85"/>
    </row>
    <row r="68" spans="2:106" ht="11.25" customHeight="1" x14ac:dyDescent="0.2">
      <c r="B68" s="78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86"/>
      <c r="CY68" s="86"/>
      <c r="CZ68" s="86"/>
      <c r="DA68" s="87"/>
      <c r="DB68" s="85"/>
    </row>
    <row r="69" spans="2:106" ht="11.25" customHeight="1" x14ac:dyDescent="0.2">
      <c r="B69" s="78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79"/>
      <c r="CV69" s="79"/>
      <c r="CW69" s="79"/>
      <c r="CX69" s="86"/>
      <c r="CY69" s="86"/>
      <c r="CZ69" s="86"/>
      <c r="DA69" s="87"/>
      <c r="DB69" s="85"/>
    </row>
    <row r="70" spans="2:106" ht="11.25" customHeight="1" x14ac:dyDescent="0.2">
      <c r="B70" s="78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86"/>
      <c r="CY70" s="86"/>
      <c r="CZ70" s="86"/>
      <c r="DA70" s="87"/>
      <c r="DB70" s="85"/>
    </row>
    <row r="71" spans="2:106" ht="11.25" customHeight="1" x14ac:dyDescent="0.2">
      <c r="B71" s="78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86"/>
      <c r="CY71" s="86"/>
      <c r="CZ71" s="86"/>
      <c r="DA71" s="87"/>
      <c r="DB71" s="85"/>
    </row>
    <row r="72" spans="2:106" ht="11.25" customHeight="1" x14ac:dyDescent="0.2"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  <c r="AW72" s="79"/>
      <c r="AX72" s="79"/>
      <c r="AY72" s="79"/>
      <c r="AZ72" s="79"/>
      <c r="BA72" s="79"/>
      <c r="BB72" s="79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79"/>
      <c r="CV72" s="79"/>
      <c r="CW72" s="79"/>
      <c r="CX72" s="86"/>
      <c r="CY72" s="86"/>
      <c r="CZ72" s="86"/>
      <c r="DA72" s="87"/>
      <c r="DB72" s="85"/>
    </row>
    <row r="73" spans="2:106" ht="11.25" customHeight="1" x14ac:dyDescent="0.2">
      <c r="B73" s="78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86"/>
      <c r="CY73" s="86"/>
      <c r="CZ73" s="86"/>
      <c r="DA73" s="87"/>
      <c r="DB73" s="85"/>
    </row>
    <row r="74" spans="2:106" ht="11.25" customHeight="1" x14ac:dyDescent="0.2">
      <c r="B74" s="78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86"/>
      <c r="CY74" s="86"/>
      <c r="CZ74" s="86"/>
      <c r="DA74" s="87"/>
      <c r="DB74" s="85"/>
    </row>
    <row r="75" spans="2:106" ht="11.25" customHeight="1" x14ac:dyDescent="0.2">
      <c r="B75" s="78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86"/>
      <c r="CY75" s="86"/>
      <c r="CZ75" s="86"/>
      <c r="DA75" s="87"/>
      <c r="DB75" s="85"/>
    </row>
    <row r="76" spans="2:106" ht="11.25" customHeight="1" x14ac:dyDescent="0.2">
      <c r="B76" s="78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86"/>
      <c r="CY76" s="86"/>
      <c r="CZ76" s="86"/>
      <c r="DA76" s="87"/>
      <c r="DB76" s="85"/>
    </row>
    <row r="77" spans="2:106" ht="11.25" customHeight="1" x14ac:dyDescent="0.2">
      <c r="B77" s="78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86"/>
      <c r="CY77" s="86"/>
      <c r="CZ77" s="86"/>
      <c r="DA77" s="87"/>
      <c r="DB77" s="85"/>
    </row>
    <row r="78" spans="2:106" ht="11.25" customHeight="1" x14ac:dyDescent="0.2">
      <c r="B78" s="78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79"/>
      <c r="CF78" s="79"/>
      <c r="CG78" s="79"/>
      <c r="CH78" s="79"/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86"/>
      <c r="CY78" s="86"/>
      <c r="CZ78" s="86"/>
      <c r="DA78" s="87"/>
      <c r="DB78" s="85"/>
    </row>
    <row r="79" spans="2:106" ht="11.25" customHeight="1" x14ac:dyDescent="0.2">
      <c r="B79" s="78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79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79"/>
      <c r="CF79" s="79"/>
      <c r="CG79" s="79"/>
      <c r="CH79" s="79"/>
      <c r="CI79" s="79"/>
      <c r="CJ79" s="79"/>
      <c r="CK79" s="79"/>
      <c r="CL79" s="79"/>
      <c r="CM79" s="79"/>
      <c r="CN79" s="79"/>
      <c r="CO79" s="79"/>
      <c r="CP79" s="79"/>
      <c r="CQ79" s="79"/>
      <c r="CR79" s="79"/>
      <c r="CS79" s="79"/>
      <c r="CT79" s="79"/>
      <c r="CU79" s="79"/>
      <c r="CV79" s="79"/>
      <c r="CW79" s="79"/>
      <c r="CX79" s="86"/>
      <c r="CY79" s="86"/>
      <c r="CZ79" s="86"/>
      <c r="DA79" s="87"/>
      <c r="DB79" s="85"/>
    </row>
    <row r="80" spans="2:106" ht="11.25" customHeight="1" x14ac:dyDescent="0.2">
      <c r="B80" s="78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86"/>
      <c r="CY80" s="86"/>
      <c r="CZ80" s="86"/>
      <c r="DA80" s="87"/>
      <c r="DB80" s="85"/>
    </row>
    <row r="81" spans="2:106" ht="11.25" customHeight="1" x14ac:dyDescent="0.2">
      <c r="B81" s="78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  <c r="AW81" s="79"/>
      <c r="AX81" s="79"/>
      <c r="AY81" s="79"/>
      <c r="AZ81" s="79"/>
      <c r="BA81" s="79"/>
      <c r="BB81" s="79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79"/>
      <c r="CF81" s="79"/>
      <c r="CG81" s="79"/>
      <c r="CH81" s="79"/>
      <c r="CI81" s="79"/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79"/>
      <c r="CV81" s="79"/>
      <c r="CW81" s="79"/>
      <c r="CX81" s="86"/>
      <c r="CY81" s="86"/>
      <c r="CZ81" s="86"/>
      <c r="DA81" s="87"/>
      <c r="DB81" s="85"/>
    </row>
    <row r="82" spans="2:106" ht="11.25" customHeight="1" x14ac:dyDescent="0.2">
      <c r="B82" s="78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86"/>
      <c r="CY82" s="86"/>
      <c r="CZ82" s="86"/>
      <c r="DA82" s="87"/>
      <c r="DB82" s="85"/>
    </row>
    <row r="83" spans="2:106" ht="11.25" customHeight="1" x14ac:dyDescent="0.2">
      <c r="B83" s="78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86"/>
      <c r="CY83" s="86"/>
      <c r="CZ83" s="86"/>
      <c r="DA83" s="87"/>
      <c r="DB83" s="85"/>
    </row>
    <row r="84" spans="2:106" ht="11.25" customHeight="1" x14ac:dyDescent="0.2">
      <c r="B84" s="78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86"/>
      <c r="CY84" s="86"/>
      <c r="CZ84" s="86"/>
      <c r="DA84" s="87"/>
      <c r="DB84" s="85"/>
    </row>
    <row r="85" spans="2:106" ht="11.25" customHeight="1" x14ac:dyDescent="0.2">
      <c r="B85" s="78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79"/>
      <c r="AW85" s="79"/>
      <c r="AX85" s="79"/>
      <c r="AY85" s="79"/>
      <c r="AZ85" s="79"/>
      <c r="BA85" s="79"/>
      <c r="BB85" s="79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79"/>
      <c r="CF85" s="79"/>
      <c r="CG85" s="79"/>
      <c r="CH85" s="79"/>
      <c r="CI85" s="79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86"/>
      <c r="CY85" s="86"/>
      <c r="CZ85" s="86"/>
      <c r="DA85" s="87"/>
      <c r="DB85" s="85"/>
    </row>
    <row r="86" spans="2:106" ht="11.25" customHeight="1" x14ac:dyDescent="0.2">
      <c r="B86" s="78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86"/>
      <c r="CY86" s="86"/>
      <c r="CZ86" s="86"/>
      <c r="DA86" s="87"/>
      <c r="DB86" s="85"/>
    </row>
    <row r="87" spans="2:106" ht="11.25" customHeight="1" x14ac:dyDescent="0.2">
      <c r="B87" s="78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86"/>
      <c r="CY87" s="86"/>
      <c r="CZ87" s="86"/>
      <c r="DA87" s="87"/>
      <c r="DB87" s="85"/>
    </row>
    <row r="88" spans="2:106" ht="11.25" customHeight="1" x14ac:dyDescent="0.2">
      <c r="B88" s="78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86"/>
      <c r="CY88" s="86"/>
      <c r="CZ88" s="86"/>
      <c r="DA88" s="87"/>
      <c r="DB88" s="85"/>
    </row>
    <row r="89" spans="2:106" ht="11.25" customHeight="1" x14ac:dyDescent="0.2">
      <c r="B89" s="78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86"/>
      <c r="CY89" s="86"/>
      <c r="CZ89" s="86"/>
      <c r="DA89" s="87"/>
      <c r="DB89" s="85"/>
    </row>
    <row r="90" spans="2:106" ht="11.25" customHeight="1" x14ac:dyDescent="0.2">
      <c r="B90" s="80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81"/>
      <c r="CK90" s="81"/>
      <c r="CL90" s="81"/>
      <c r="CM90" s="81"/>
      <c r="CN90" s="81"/>
      <c r="CO90" s="81"/>
      <c r="CP90" s="81"/>
      <c r="CQ90" s="81"/>
      <c r="CR90" s="81"/>
      <c r="CS90" s="81"/>
      <c r="CT90" s="81"/>
      <c r="CU90" s="81"/>
      <c r="CV90" s="81"/>
      <c r="CW90" s="81"/>
      <c r="CX90" s="89"/>
      <c r="CY90" s="89"/>
      <c r="CZ90" s="89"/>
      <c r="DA90" s="90"/>
      <c r="DB90" s="85"/>
    </row>
    <row r="91" spans="2:106" ht="11.25" customHeight="1" x14ac:dyDescent="0.2">
      <c r="B91" s="78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86"/>
      <c r="CY91" s="86"/>
      <c r="CZ91" s="86"/>
      <c r="DA91" s="87"/>
      <c r="DB91" s="85"/>
    </row>
    <row r="92" spans="2:106" ht="11.25" customHeight="1" x14ac:dyDescent="0.2">
      <c r="B92" s="78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86"/>
      <c r="CY92" s="86"/>
      <c r="CZ92" s="86"/>
      <c r="DA92" s="87"/>
      <c r="DB92" s="85"/>
    </row>
    <row r="93" spans="2:106" ht="11.25" customHeight="1" x14ac:dyDescent="0.2">
      <c r="B93" s="80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  <c r="BA93" s="81"/>
      <c r="BB93" s="81"/>
      <c r="BC93" s="81"/>
      <c r="BD93" s="81"/>
      <c r="BE93" s="81"/>
      <c r="BF93" s="81"/>
      <c r="BG93" s="81"/>
      <c r="BH93" s="81"/>
      <c r="BI93" s="81"/>
      <c r="BJ93" s="81"/>
      <c r="BK93" s="81"/>
      <c r="BL93" s="81"/>
      <c r="BM93" s="81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1"/>
      <c r="CI93" s="81"/>
      <c r="CJ93" s="81"/>
      <c r="CK93" s="81"/>
      <c r="CL93" s="81"/>
      <c r="CM93" s="81"/>
      <c r="CN93" s="81"/>
      <c r="CO93" s="81"/>
      <c r="CP93" s="81"/>
      <c r="CQ93" s="81"/>
      <c r="CR93" s="81"/>
      <c r="CS93" s="81"/>
      <c r="CT93" s="81"/>
      <c r="CU93" s="81"/>
      <c r="CV93" s="81"/>
      <c r="CW93" s="81"/>
      <c r="CX93" s="89"/>
      <c r="CY93" s="89"/>
      <c r="CZ93" s="89"/>
      <c r="DA93" s="90"/>
      <c r="DB93" s="85"/>
    </row>
    <row r="94" spans="2:106" x14ac:dyDescent="0.2">
      <c r="B94" s="26"/>
      <c r="C94" s="26"/>
      <c r="D94" s="26"/>
      <c r="E94" s="26"/>
      <c r="F94" s="26"/>
    </row>
  </sheetData>
  <mergeCells count="2">
    <mergeCell ref="B3:CW3"/>
    <mergeCell ref="B1:DA2"/>
  </mergeCells>
  <phoneticPr fontId="6" type="noConversion"/>
  <pageMargins left="0.51181102362204722" right="3.937007874015748E-2" top="0.94488188976377963" bottom="0.59055118110236215" header="0.5" footer="0.5"/>
  <pageSetup paperSize="9" scale="70" orientation="portrait" r:id="rId1"/>
  <headerFooter alignWithMargins="0"/>
  <rowBreaks count="1" manualBreakCount="1">
    <brk id="90" min="2" max="10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C5"/>
  <sheetViews>
    <sheetView workbookViewId="0">
      <pane ySplit="3" topLeftCell="A4" activePane="bottomLeft" state="frozen"/>
      <selection pane="bottomLeft" activeCell="H4" sqref="H4"/>
    </sheetView>
  </sheetViews>
  <sheetFormatPr defaultRowHeight="12.75" x14ac:dyDescent="0.2"/>
  <cols>
    <col min="1" max="1" width="0.7109375" customWidth="1"/>
    <col min="2" max="2" width="7.140625" customWidth="1"/>
    <col min="3" max="3" width="30.85546875" customWidth="1"/>
    <col min="4" max="4" width="28.28515625" customWidth="1"/>
    <col min="5" max="5" width="10.28515625" customWidth="1"/>
    <col min="6" max="9" width="19.28515625" customWidth="1"/>
  </cols>
  <sheetData>
    <row r="1" spans="2:29" ht="24.95" customHeight="1" x14ac:dyDescent="0.2">
      <c r="B1" s="137" t="s">
        <v>167</v>
      </c>
      <c r="C1" s="137"/>
      <c r="D1" s="137"/>
      <c r="E1" s="137"/>
      <c r="F1" s="137"/>
      <c r="G1" s="137"/>
      <c r="H1" s="137"/>
      <c r="I1" s="137"/>
    </row>
    <row r="2" spans="2:29" ht="9.9499999999999993" customHeight="1" x14ac:dyDescent="0.2">
      <c r="B2" s="138"/>
      <c r="C2" s="138"/>
      <c r="D2" s="138"/>
      <c r="E2" s="138"/>
      <c r="F2" s="138"/>
      <c r="G2" s="138"/>
      <c r="H2" s="138"/>
      <c r="I2" s="138"/>
    </row>
    <row r="3" spans="2:29" ht="30.75" customHeight="1" x14ac:dyDescent="0.2">
      <c r="B3" s="27" t="s">
        <v>90</v>
      </c>
      <c r="C3" s="19" t="s">
        <v>221</v>
      </c>
      <c r="D3" s="19" t="s">
        <v>265</v>
      </c>
      <c r="E3" s="19" t="s">
        <v>131</v>
      </c>
      <c r="F3" s="19" t="s">
        <v>334</v>
      </c>
      <c r="G3" s="19" t="s">
        <v>295</v>
      </c>
      <c r="H3" s="19" t="s">
        <v>209</v>
      </c>
      <c r="I3" s="20" t="s">
        <v>18</v>
      </c>
      <c r="Z3" t="s">
        <v>216</v>
      </c>
      <c r="AA3" t="s">
        <v>244</v>
      </c>
      <c r="AB3" t="s">
        <v>344</v>
      </c>
      <c r="AC3" t="s">
        <v>230</v>
      </c>
    </row>
    <row r="4" spans="2:29" ht="19.7" customHeight="1" x14ac:dyDescent="0.2">
      <c r="B4" s="37" t="s">
        <v>100</v>
      </c>
      <c r="C4" s="38" t="s">
        <v>110</v>
      </c>
      <c r="D4" s="38" t="s">
        <v>83</v>
      </c>
      <c r="E4" s="39" t="s">
        <v>251</v>
      </c>
      <c r="F4" s="74" t="str">
        <f>TEXT(G4+H4+I4,"#,##0")</f>
        <v>60,097</v>
      </c>
      <c r="G4" s="74">
        <f>기계경비!AA4</f>
        <v>39632</v>
      </c>
      <c r="H4" s="74">
        <f>기계경비!AB4</f>
        <v>9075</v>
      </c>
      <c r="I4" s="75">
        <f>기계경비!AC4</f>
        <v>11390</v>
      </c>
      <c r="Z4" s="31">
        <v>48021</v>
      </c>
      <c r="AA4" s="31">
        <v>29916</v>
      </c>
      <c r="AB4" s="31">
        <v>6715</v>
      </c>
      <c r="AC4" s="31">
        <v>11390</v>
      </c>
    </row>
    <row r="5" spans="2:29" x14ac:dyDescent="0.2">
      <c r="B5" s="26"/>
      <c r="C5" s="26"/>
      <c r="D5" s="26"/>
      <c r="E5" s="26"/>
      <c r="F5" s="26"/>
      <c r="G5" s="26"/>
      <c r="H5" s="26"/>
      <c r="I5" s="26"/>
    </row>
  </sheetData>
  <mergeCells count="1">
    <mergeCell ref="B1:I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copies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D39"/>
  <sheetViews>
    <sheetView workbookViewId="0">
      <pane ySplit="3" topLeftCell="A4" activePane="bottomLeft" state="frozen"/>
      <selection pane="bottomLeft" activeCell="I8" sqref="I8:L8"/>
    </sheetView>
  </sheetViews>
  <sheetFormatPr defaultRowHeight="12.75" x14ac:dyDescent="0.2"/>
  <cols>
    <col min="1" max="1" width="0.7109375" customWidth="1"/>
    <col min="2" max="2" width="30.5703125" customWidth="1"/>
    <col min="3" max="3" width="25" customWidth="1"/>
    <col min="4" max="25" width="2" customWidth="1"/>
    <col min="26" max="26" width="11.140625" customWidth="1"/>
    <col min="27" max="29" width="10.42578125" customWidth="1"/>
    <col min="30" max="30" width="12.140625" customWidth="1"/>
  </cols>
  <sheetData>
    <row r="1" spans="2:30" ht="24.95" customHeight="1" x14ac:dyDescent="0.2">
      <c r="B1" s="137" t="s">
        <v>45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</row>
    <row r="2" spans="2:30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30" ht="30.75" customHeight="1" x14ac:dyDescent="0.2">
      <c r="B3" s="27" t="s">
        <v>233</v>
      </c>
      <c r="C3" s="19" t="s">
        <v>0</v>
      </c>
      <c r="D3" s="136" t="s">
        <v>205</v>
      </c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8" t="s">
        <v>334</v>
      </c>
      <c r="AA3" s="19" t="s">
        <v>295</v>
      </c>
      <c r="AB3" s="19" t="s">
        <v>209</v>
      </c>
      <c r="AC3" s="19" t="s">
        <v>18</v>
      </c>
      <c r="AD3" s="20" t="s">
        <v>79</v>
      </c>
    </row>
    <row r="4" spans="2:30" ht="19.7" customHeight="1" x14ac:dyDescent="0.2">
      <c r="B4" s="65" t="s">
        <v>10</v>
      </c>
      <c r="C4" s="66" t="s">
        <v>83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8" t="str">
        <f>TEXT(AA4+AB4+AC4,"#,##0")</f>
        <v>60,097</v>
      </c>
      <c r="AA4" s="69">
        <f>TRUNC(AA5+AA6+AA7+AA8)</f>
        <v>39632</v>
      </c>
      <c r="AB4" s="69">
        <f>TRUNC(AB5+AB6+AB7+AB8)</f>
        <v>9075</v>
      </c>
      <c r="AC4" s="69">
        <f>TRUNC(AC5+AC6+AC7+AC8)</f>
        <v>11390</v>
      </c>
      <c r="AD4" s="70"/>
    </row>
    <row r="5" spans="2:30" ht="19.7" customHeight="1" x14ac:dyDescent="0.2">
      <c r="B5" s="71" t="s">
        <v>105</v>
      </c>
      <c r="C5" s="33" t="s">
        <v>350</v>
      </c>
      <c r="D5" s="149">
        <v>55890000</v>
      </c>
      <c r="E5" s="149"/>
      <c r="F5" s="149"/>
      <c r="G5" s="149"/>
      <c r="H5" s="149"/>
      <c r="I5" s="149" t="s">
        <v>64</v>
      </c>
      <c r="J5" s="149"/>
      <c r="K5" s="149">
        <v>2038</v>
      </c>
      <c r="L5" s="149"/>
      <c r="M5" s="149"/>
      <c r="N5" s="67" t="s">
        <v>294</v>
      </c>
      <c r="O5" s="149" t="s">
        <v>312</v>
      </c>
      <c r="P5" s="149"/>
      <c r="Q5" s="149"/>
      <c r="R5" s="67"/>
      <c r="S5" s="67"/>
      <c r="T5" s="67"/>
      <c r="U5" s="67"/>
      <c r="V5" s="67"/>
      <c r="W5" s="67"/>
      <c r="X5" s="67"/>
      <c r="Y5" s="67"/>
      <c r="Z5" s="41"/>
      <c r="AA5" s="35"/>
      <c r="AB5" s="35"/>
      <c r="AC5" s="72">
        <f>TRUNC(D5*K5*0.0000001,1)</f>
        <v>11390.3</v>
      </c>
      <c r="AD5" s="36" t="s">
        <v>74</v>
      </c>
    </row>
    <row r="6" spans="2:30" ht="19.7" customHeight="1" x14ac:dyDescent="0.2">
      <c r="B6" s="71" t="s">
        <v>284</v>
      </c>
      <c r="C6" s="33" t="s">
        <v>16</v>
      </c>
      <c r="D6" s="150">
        <v>5</v>
      </c>
      <c r="E6" s="149"/>
      <c r="F6" s="149"/>
      <c r="G6" s="149"/>
      <c r="H6" s="67" t="s">
        <v>269</v>
      </c>
      <c r="I6" s="67" t="s">
        <v>294</v>
      </c>
      <c r="J6" s="149">
        <f>자재단가!R8</f>
        <v>1500</v>
      </c>
      <c r="K6" s="149"/>
      <c r="L6" s="149"/>
      <c r="M6" s="149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41"/>
      <c r="AA6" s="35"/>
      <c r="AB6" s="72">
        <f>TRUNC(D6*J6,1)</f>
        <v>7500</v>
      </c>
      <c r="AC6" s="72"/>
      <c r="AD6" s="36" t="s">
        <v>350</v>
      </c>
    </row>
    <row r="7" spans="2:30" ht="19.7" customHeight="1" x14ac:dyDescent="0.2">
      <c r="B7" s="71" t="s">
        <v>24</v>
      </c>
      <c r="C7" s="33" t="s">
        <v>196</v>
      </c>
      <c r="D7" s="150">
        <v>21</v>
      </c>
      <c r="E7" s="149"/>
      <c r="F7" s="149"/>
      <c r="G7" s="149"/>
      <c r="H7" s="67" t="s">
        <v>70</v>
      </c>
      <c r="I7" s="67" t="s">
        <v>294</v>
      </c>
      <c r="J7" s="149">
        <f>AB6</f>
        <v>7500</v>
      </c>
      <c r="K7" s="149"/>
      <c r="L7" s="149"/>
      <c r="M7" s="149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41"/>
      <c r="AA7" s="35"/>
      <c r="AB7" s="72">
        <f>TRUNC(D7/100*J7,1)</f>
        <v>1575</v>
      </c>
      <c r="AC7" s="72"/>
      <c r="AD7" s="36" t="s">
        <v>350</v>
      </c>
    </row>
    <row r="8" spans="2:30" ht="19.7" customHeight="1" x14ac:dyDescent="0.2">
      <c r="B8" s="71" t="s">
        <v>78</v>
      </c>
      <c r="C8" s="33" t="s">
        <v>350</v>
      </c>
      <c r="D8" s="151">
        <v>1</v>
      </c>
      <c r="E8" s="149"/>
      <c r="F8" s="149"/>
      <c r="G8" s="67" t="s">
        <v>317</v>
      </c>
      <c r="H8" s="67" t="s">
        <v>294</v>
      </c>
      <c r="I8" s="149">
        <f>노임단가!L10</f>
        <v>190235</v>
      </c>
      <c r="J8" s="149"/>
      <c r="K8" s="149"/>
      <c r="L8" s="149"/>
      <c r="M8" s="67" t="s">
        <v>294</v>
      </c>
      <c r="N8" s="149" t="s">
        <v>239</v>
      </c>
      <c r="O8" s="149"/>
      <c r="P8" s="149"/>
      <c r="Q8" s="149"/>
      <c r="R8" s="149"/>
      <c r="S8" s="149"/>
      <c r="T8" s="149"/>
      <c r="U8" s="149"/>
      <c r="V8" s="149"/>
      <c r="W8" s="67"/>
      <c r="X8" s="67"/>
      <c r="Y8" s="67"/>
      <c r="Z8" s="41"/>
      <c r="AA8" s="72">
        <f>TRUNC(D8*I8*기계경비적용기준!E21,1)</f>
        <v>39632.199999999997</v>
      </c>
      <c r="AB8" s="72"/>
      <c r="AC8" s="72"/>
      <c r="AD8" s="36" t="s">
        <v>350</v>
      </c>
    </row>
    <row r="9" spans="2:30" ht="19.7" customHeight="1" x14ac:dyDescent="0.2">
      <c r="B9" s="71" t="s">
        <v>350</v>
      </c>
      <c r="C9" s="33" t="s">
        <v>350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41"/>
      <c r="AA9" s="35"/>
      <c r="AB9" s="35"/>
      <c r="AC9" s="35"/>
      <c r="AD9" s="36" t="s">
        <v>350</v>
      </c>
    </row>
    <row r="10" spans="2:30" ht="19.7" customHeight="1" x14ac:dyDescent="0.2">
      <c r="B10" s="71" t="s">
        <v>350</v>
      </c>
      <c r="C10" s="33" t="s">
        <v>350</v>
      </c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41"/>
      <c r="AA10" s="35"/>
      <c r="AB10" s="35"/>
      <c r="AC10" s="35"/>
      <c r="AD10" s="36" t="s">
        <v>350</v>
      </c>
    </row>
    <row r="11" spans="2:30" ht="19.7" customHeight="1" x14ac:dyDescent="0.2">
      <c r="B11" s="71" t="s">
        <v>350</v>
      </c>
      <c r="C11" s="33" t="s">
        <v>350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41"/>
      <c r="AA11" s="35"/>
      <c r="AB11" s="35"/>
      <c r="AC11" s="35"/>
      <c r="AD11" s="36" t="s">
        <v>350</v>
      </c>
    </row>
    <row r="12" spans="2:30" ht="19.7" customHeight="1" x14ac:dyDescent="0.2">
      <c r="B12" s="71" t="s">
        <v>350</v>
      </c>
      <c r="C12" s="33" t="s">
        <v>350</v>
      </c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41"/>
      <c r="AA12" s="35"/>
      <c r="AB12" s="35"/>
      <c r="AC12" s="35"/>
      <c r="AD12" s="36" t="s">
        <v>350</v>
      </c>
    </row>
    <row r="13" spans="2:30" ht="19.7" customHeight="1" x14ac:dyDescent="0.2">
      <c r="B13" s="71" t="s">
        <v>350</v>
      </c>
      <c r="C13" s="33" t="s">
        <v>350</v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41"/>
      <c r="AA13" s="35"/>
      <c r="AB13" s="35"/>
      <c r="AC13" s="35"/>
      <c r="AD13" s="36" t="s">
        <v>350</v>
      </c>
    </row>
    <row r="14" spans="2:30" ht="19.7" customHeight="1" x14ac:dyDescent="0.2">
      <c r="B14" s="71" t="s">
        <v>350</v>
      </c>
      <c r="C14" s="33" t="s">
        <v>350</v>
      </c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41"/>
      <c r="AA14" s="35"/>
      <c r="AB14" s="35"/>
      <c r="AC14" s="35"/>
      <c r="AD14" s="36" t="s">
        <v>350</v>
      </c>
    </row>
    <row r="15" spans="2:30" ht="19.7" customHeight="1" x14ac:dyDescent="0.2">
      <c r="B15" s="71" t="s">
        <v>350</v>
      </c>
      <c r="C15" s="33" t="s">
        <v>350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41"/>
      <c r="AA15" s="35"/>
      <c r="AB15" s="35"/>
      <c r="AC15" s="35"/>
      <c r="AD15" s="36" t="s">
        <v>350</v>
      </c>
    </row>
    <row r="16" spans="2:30" ht="19.7" customHeight="1" x14ac:dyDescent="0.2">
      <c r="B16" s="71" t="s">
        <v>350</v>
      </c>
      <c r="C16" s="33" t="s">
        <v>350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41"/>
      <c r="AA16" s="35"/>
      <c r="AB16" s="35"/>
      <c r="AC16" s="35"/>
      <c r="AD16" s="36" t="s">
        <v>350</v>
      </c>
    </row>
    <row r="17" spans="2:30" ht="19.7" customHeight="1" x14ac:dyDescent="0.2">
      <c r="B17" s="71" t="s">
        <v>350</v>
      </c>
      <c r="C17" s="33" t="s">
        <v>350</v>
      </c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41"/>
      <c r="AA17" s="35"/>
      <c r="AB17" s="35"/>
      <c r="AC17" s="35"/>
      <c r="AD17" s="36" t="s">
        <v>350</v>
      </c>
    </row>
    <row r="18" spans="2:30" ht="19.7" customHeight="1" x14ac:dyDescent="0.2">
      <c r="B18" s="71" t="s">
        <v>350</v>
      </c>
      <c r="C18" s="33" t="s">
        <v>350</v>
      </c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41"/>
      <c r="AA18" s="35"/>
      <c r="AB18" s="35"/>
      <c r="AC18" s="35"/>
      <c r="AD18" s="36" t="s">
        <v>350</v>
      </c>
    </row>
    <row r="19" spans="2:30" ht="19.7" customHeight="1" x14ac:dyDescent="0.2">
      <c r="B19" s="71" t="s">
        <v>350</v>
      </c>
      <c r="C19" s="33" t="s">
        <v>350</v>
      </c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41"/>
      <c r="AA19" s="35"/>
      <c r="AB19" s="35"/>
      <c r="AC19" s="35"/>
      <c r="AD19" s="36" t="s">
        <v>350</v>
      </c>
    </row>
    <row r="20" spans="2:30" ht="19.7" customHeight="1" x14ac:dyDescent="0.2">
      <c r="B20" s="71" t="s">
        <v>350</v>
      </c>
      <c r="C20" s="33" t="s">
        <v>350</v>
      </c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41"/>
      <c r="AA20" s="35"/>
      <c r="AB20" s="35"/>
      <c r="AC20" s="35"/>
      <c r="AD20" s="36" t="s">
        <v>350</v>
      </c>
    </row>
    <row r="21" spans="2:30" ht="19.7" customHeight="1" x14ac:dyDescent="0.2">
      <c r="B21" s="71" t="s">
        <v>350</v>
      </c>
      <c r="C21" s="33" t="s">
        <v>350</v>
      </c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41"/>
      <c r="AA21" s="35"/>
      <c r="AB21" s="35"/>
      <c r="AC21" s="35"/>
      <c r="AD21" s="36" t="s">
        <v>350</v>
      </c>
    </row>
    <row r="22" spans="2:30" ht="19.7" customHeight="1" x14ac:dyDescent="0.2">
      <c r="B22" s="71" t="s">
        <v>350</v>
      </c>
      <c r="C22" s="33" t="s">
        <v>350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41"/>
      <c r="AA22" s="35"/>
      <c r="AB22" s="35"/>
      <c r="AC22" s="35"/>
      <c r="AD22" s="36" t="s">
        <v>350</v>
      </c>
    </row>
    <row r="23" spans="2:30" ht="19.7" customHeight="1" x14ac:dyDescent="0.2">
      <c r="B23" s="71" t="s">
        <v>350</v>
      </c>
      <c r="C23" s="33" t="s">
        <v>350</v>
      </c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41"/>
      <c r="AA23" s="35"/>
      <c r="AB23" s="35"/>
      <c r="AC23" s="35"/>
      <c r="AD23" s="36" t="s">
        <v>350</v>
      </c>
    </row>
    <row r="24" spans="2:30" ht="19.7" customHeight="1" x14ac:dyDescent="0.2">
      <c r="B24" s="71" t="s">
        <v>350</v>
      </c>
      <c r="C24" s="33" t="s">
        <v>350</v>
      </c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41"/>
      <c r="AA24" s="35"/>
      <c r="AB24" s="35"/>
      <c r="AC24" s="35"/>
      <c r="AD24" s="36" t="s">
        <v>350</v>
      </c>
    </row>
    <row r="25" spans="2:30" ht="19.7" customHeight="1" x14ac:dyDescent="0.2">
      <c r="B25" s="71" t="s">
        <v>350</v>
      </c>
      <c r="C25" s="33" t="s">
        <v>350</v>
      </c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41"/>
      <c r="AA25" s="35"/>
      <c r="AB25" s="35"/>
      <c r="AC25" s="35"/>
      <c r="AD25" s="36" t="s">
        <v>350</v>
      </c>
    </row>
    <row r="26" spans="2:30" ht="19.7" customHeight="1" x14ac:dyDescent="0.2">
      <c r="B26" s="71" t="s">
        <v>350</v>
      </c>
      <c r="C26" s="33" t="s">
        <v>350</v>
      </c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41"/>
      <c r="AA26" s="35"/>
      <c r="AB26" s="35"/>
      <c r="AC26" s="35"/>
      <c r="AD26" s="36" t="s">
        <v>350</v>
      </c>
    </row>
    <row r="27" spans="2:30" ht="19.7" customHeight="1" x14ac:dyDescent="0.2">
      <c r="B27" s="71" t="s">
        <v>350</v>
      </c>
      <c r="C27" s="33" t="s">
        <v>350</v>
      </c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41"/>
      <c r="AA27" s="35"/>
      <c r="AB27" s="35"/>
      <c r="AC27" s="35"/>
      <c r="AD27" s="36" t="s">
        <v>350</v>
      </c>
    </row>
    <row r="28" spans="2:30" ht="19.7" customHeight="1" x14ac:dyDescent="0.2">
      <c r="B28" s="71" t="s">
        <v>350</v>
      </c>
      <c r="C28" s="33" t="s">
        <v>350</v>
      </c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41"/>
      <c r="AA28" s="35"/>
      <c r="AB28" s="35"/>
      <c r="AC28" s="35"/>
      <c r="AD28" s="36" t="s">
        <v>350</v>
      </c>
    </row>
    <row r="29" spans="2:30" ht="19.7" customHeight="1" x14ac:dyDescent="0.2">
      <c r="B29" s="71" t="s">
        <v>350</v>
      </c>
      <c r="C29" s="33" t="s">
        <v>350</v>
      </c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41"/>
      <c r="AA29" s="35"/>
      <c r="AB29" s="35"/>
      <c r="AC29" s="35"/>
      <c r="AD29" s="36" t="s">
        <v>350</v>
      </c>
    </row>
    <row r="30" spans="2:30" ht="19.7" customHeight="1" x14ac:dyDescent="0.2">
      <c r="B30" s="73" t="s">
        <v>350</v>
      </c>
      <c r="C30" s="38" t="s">
        <v>350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3"/>
      <c r="AA30" s="24"/>
      <c r="AB30" s="24"/>
      <c r="AC30" s="24"/>
      <c r="AD30" s="40" t="s">
        <v>350</v>
      </c>
    </row>
    <row r="31" spans="2:30" ht="19.7" customHeight="1" x14ac:dyDescent="0.2">
      <c r="B31" s="71" t="s">
        <v>350</v>
      </c>
      <c r="C31" s="33" t="s">
        <v>350</v>
      </c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41"/>
      <c r="AA31" s="35"/>
      <c r="AB31" s="35"/>
      <c r="AC31" s="35"/>
      <c r="AD31" s="36" t="s">
        <v>350</v>
      </c>
    </row>
    <row r="32" spans="2:30" ht="19.7" customHeight="1" x14ac:dyDescent="0.2">
      <c r="B32" s="71" t="s">
        <v>350</v>
      </c>
      <c r="C32" s="33" t="s">
        <v>350</v>
      </c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41"/>
      <c r="AA32" s="35"/>
      <c r="AB32" s="35"/>
      <c r="AC32" s="35"/>
      <c r="AD32" s="36" t="s">
        <v>350</v>
      </c>
    </row>
    <row r="33" spans="2:30" ht="19.7" customHeight="1" x14ac:dyDescent="0.2">
      <c r="B33" s="71" t="s">
        <v>350</v>
      </c>
      <c r="C33" s="33" t="s">
        <v>350</v>
      </c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41"/>
      <c r="AA33" s="35"/>
      <c r="AB33" s="35"/>
      <c r="AC33" s="35"/>
      <c r="AD33" s="36" t="s">
        <v>350</v>
      </c>
    </row>
    <row r="34" spans="2:30" ht="19.7" customHeight="1" x14ac:dyDescent="0.2">
      <c r="B34" s="71" t="s">
        <v>350</v>
      </c>
      <c r="C34" s="33" t="s">
        <v>350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41"/>
      <c r="AA34" s="35"/>
      <c r="AB34" s="35"/>
      <c r="AC34" s="35"/>
      <c r="AD34" s="36" t="s">
        <v>350</v>
      </c>
    </row>
    <row r="35" spans="2:30" ht="19.7" customHeight="1" x14ac:dyDescent="0.2">
      <c r="B35" s="71" t="s">
        <v>350</v>
      </c>
      <c r="C35" s="33" t="s">
        <v>350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41"/>
      <c r="AA35" s="35"/>
      <c r="AB35" s="35"/>
      <c r="AC35" s="35"/>
      <c r="AD35" s="36" t="s">
        <v>350</v>
      </c>
    </row>
    <row r="36" spans="2:30" ht="19.7" customHeight="1" x14ac:dyDescent="0.2">
      <c r="B36" s="71" t="s">
        <v>350</v>
      </c>
      <c r="C36" s="33" t="s">
        <v>350</v>
      </c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41"/>
      <c r="AA36" s="35"/>
      <c r="AB36" s="35"/>
      <c r="AC36" s="35"/>
      <c r="AD36" s="36" t="s">
        <v>350</v>
      </c>
    </row>
    <row r="37" spans="2:30" ht="19.7" customHeight="1" x14ac:dyDescent="0.2">
      <c r="B37" s="71" t="s">
        <v>350</v>
      </c>
      <c r="C37" s="33" t="s">
        <v>350</v>
      </c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41"/>
      <c r="AA37" s="35"/>
      <c r="AB37" s="35"/>
      <c r="AC37" s="35"/>
      <c r="AD37" s="36" t="s">
        <v>350</v>
      </c>
    </row>
    <row r="38" spans="2:30" ht="19.7" customHeight="1" x14ac:dyDescent="0.2">
      <c r="B38" s="73" t="s">
        <v>350</v>
      </c>
      <c r="C38" s="38" t="s">
        <v>350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3"/>
      <c r="AA38" s="24"/>
      <c r="AB38" s="24"/>
      <c r="AC38" s="24"/>
      <c r="AD38" s="40" t="s">
        <v>350</v>
      </c>
    </row>
    <row r="39" spans="2:30" x14ac:dyDescent="0.2"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</row>
  </sheetData>
  <mergeCells count="13">
    <mergeCell ref="N8:V8"/>
    <mergeCell ref="D6:G6"/>
    <mergeCell ref="J6:M6"/>
    <mergeCell ref="D7:G7"/>
    <mergeCell ref="J7:M7"/>
    <mergeCell ref="D8:F8"/>
    <mergeCell ref="I8:L8"/>
    <mergeCell ref="D3:Y3"/>
    <mergeCell ref="B1:AD2"/>
    <mergeCell ref="D5:H5"/>
    <mergeCell ref="I5:J5"/>
    <mergeCell ref="K5:M5"/>
    <mergeCell ref="O5:Q5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copies="0"/>
  <headerFooter alignWithMargins="0"/>
  <rowBreaks count="1" manualBreakCount="1">
    <brk id="30" min="2" max="3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N31"/>
  <sheetViews>
    <sheetView workbookViewId="0"/>
  </sheetViews>
  <sheetFormatPr defaultRowHeight="12.75" x14ac:dyDescent="0.2"/>
  <cols>
    <col min="1" max="1" width="0.7109375" customWidth="1"/>
    <col min="2" max="2" width="2.140625" customWidth="1"/>
    <col min="3" max="3" width="10.42578125" customWidth="1"/>
    <col min="4" max="5" width="25" customWidth="1"/>
    <col min="6" max="6" width="2.140625" customWidth="1"/>
    <col min="7" max="7" width="4.140625" customWidth="1"/>
    <col min="8" max="8" width="16.5703125" customWidth="1"/>
    <col min="9" max="9" width="12.42578125" customWidth="1"/>
    <col min="10" max="10" width="6.28515625" customWidth="1"/>
    <col min="11" max="11" width="16.5703125" customWidth="1"/>
    <col min="12" max="12" width="2.140625" customWidth="1"/>
  </cols>
  <sheetData>
    <row r="1" spans="2:14" ht="24.95" customHeight="1" x14ac:dyDescent="0.2">
      <c r="B1" s="137" t="s">
        <v>225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42"/>
      <c r="N1" s="42"/>
    </row>
    <row r="2" spans="2:14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</row>
    <row r="3" spans="2:14" ht="30" customHeight="1" x14ac:dyDescent="0.2">
      <c r="B3" s="61"/>
      <c r="C3" s="60"/>
      <c r="D3" s="60"/>
      <c r="E3" s="60"/>
      <c r="F3" s="60"/>
      <c r="G3" s="60"/>
      <c r="H3" s="60"/>
      <c r="I3" s="60"/>
      <c r="J3" s="60"/>
      <c r="K3" s="60"/>
      <c r="L3" s="62"/>
    </row>
    <row r="4" spans="2:14" ht="16.5" x14ac:dyDescent="0.2">
      <c r="B4" s="16"/>
      <c r="C4" s="155" t="s">
        <v>309</v>
      </c>
      <c r="D4" s="155"/>
      <c r="E4" s="155"/>
      <c r="G4" s="155" t="s">
        <v>46</v>
      </c>
      <c r="H4" s="155"/>
      <c r="I4" s="155"/>
      <c r="L4" s="13"/>
    </row>
    <row r="5" spans="2:14" ht="7.5" customHeight="1" x14ac:dyDescent="0.2">
      <c r="B5" s="16"/>
      <c r="L5" s="13"/>
    </row>
    <row r="6" spans="2:14" ht="19.7" customHeight="1" x14ac:dyDescent="0.2">
      <c r="B6" s="16"/>
      <c r="C6" s="44" t="s">
        <v>47</v>
      </c>
      <c r="D6" s="44" t="s">
        <v>54</v>
      </c>
      <c r="E6" s="44" t="s">
        <v>4</v>
      </c>
      <c r="F6" s="49"/>
      <c r="G6" s="44" t="s">
        <v>90</v>
      </c>
      <c r="H6" s="44" t="s">
        <v>189</v>
      </c>
      <c r="I6" s="44" t="s">
        <v>0</v>
      </c>
      <c r="J6" s="44" t="s">
        <v>131</v>
      </c>
      <c r="K6" s="44" t="s">
        <v>1</v>
      </c>
      <c r="L6" s="63"/>
    </row>
    <row r="7" spans="2:14" ht="16.899999999999999" customHeight="1" x14ac:dyDescent="0.2">
      <c r="B7" s="16"/>
      <c r="C7" s="45" t="s">
        <v>232</v>
      </c>
      <c r="D7" s="47">
        <v>1168</v>
      </c>
      <c r="E7" s="45" t="s">
        <v>163</v>
      </c>
      <c r="F7" s="49"/>
      <c r="G7" s="50" t="s">
        <v>262</v>
      </c>
      <c r="H7" s="45" t="s">
        <v>52</v>
      </c>
      <c r="I7" s="45" t="s">
        <v>350</v>
      </c>
      <c r="J7" s="44" t="s">
        <v>269</v>
      </c>
      <c r="K7" s="51">
        <f>자재단가!R8</f>
        <v>1500</v>
      </c>
      <c r="L7" s="63"/>
    </row>
    <row r="8" spans="2:14" ht="16.899999999999999" customHeight="1" x14ac:dyDescent="0.2">
      <c r="B8" s="16"/>
      <c r="C8" s="45" t="s">
        <v>60</v>
      </c>
      <c r="D8" s="48">
        <v>1020.76</v>
      </c>
      <c r="E8" s="45" t="s">
        <v>163</v>
      </c>
      <c r="F8" s="49"/>
      <c r="G8" s="46"/>
      <c r="H8" s="46"/>
      <c r="I8" s="46"/>
      <c r="J8" s="46"/>
      <c r="K8" s="46"/>
      <c r="L8" s="63"/>
    </row>
    <row r="9" spans="2:14" ht="16.899999999999999" customHeight="1" x14ac:dyDescent="0.2">
      <c r="B9" s="16"/>
      <c r="C9" s="45" t="s">
        <v>49</v>
      </c>
      <c r="D9" s="47">
        <v>123767</v>
      </c>
      <c r="E9" s="45" t="s">
        <v>163</v>
      </c>
      <c r="F9" s="49"/>
      <c r="G9" s="46"/>
      <c r="H9" s="46"/>
      <c r="I9" s="46"/>
      <c r="J9" s="46"/>
      <c r="K9" s="46"/>
      <c r="L9" s="63"/>
    </row>
    <row r="10" spans="2:14" ht="16.899999999999999" customHeight="1" x14ac:dyDescent="0.2">
      <c r="B10" s="16"/>
      <c r="C10" s="45" t="s">
        <v>247</v>
      </c>
      <c r="D10" s="46"/>
      <c r="E10" s="45" t="s">
        <v>350</v>
      </c>
      <c r="F10" s="49"/>
      <c r="G10" s="46"/>
      <c r="H10" s="46"/>
      <c r="I10" s="46"/>
      <c r="J10" s="46"/>
      <c r="K10" s="46"/>
      <c r="L10" s="63"/>
    </row>
    <row r="11" spans="2:14" ht="16.899999999999999" customHeight="1" x14ac:dyDescent="0.2">
      <c r="B11" s="16"/>
      <c r="C11" s="45" t="s">
        <v>349</v>
      </c>
      <c r="D11" s="48">
        <v>1461.58</v>
      </c>
      <c r="E11" s="45" t="s">
        <v>163</v>
      </c>
      <c r="F11" s="49"/>
      <c r="G11" s="46"/>
      <c r="H11" s="46"/>
      <c r="I11" s="46"/>
      <c r="J11" s="46"/>
      <c r="K11" s="46"/>
      <c r="L11" s="63"/>
    </row>
    <row r="12" spans="2:14" ht="16.899999999999999" customHeight="1" x14ac:dyDescent="0.2">
      <c r="B12" s="16"/>
      <c r="C12" s="45" t="s">
        <v>350</v>
      </c>
      <c r="D12" s="46"/>
      <c r="E12" s="45" t="s">
        <v>350</v>
      </c>
      <c r="F12" s="49"/>
      <c r="G12" s="46"/>
      <c r="H12" s="46"/>
      <c r="I12" s="46"/>
      <c r="J12" s="46"/>
      <c r="K12" s="46"/>
      <c r="L12" s="63"/>
    </row>
    <row r="13" spans="2:14" ht="16.899999999999999" customHeight="1" x14ac:dyDescent="0.2">
      <c r="B13" s="16"/>
      <c r="C13" s="46"/>
      <c r="D13" s="46"/>
      <c r="E13" s="46"/>
      <c r="F13" s="49"/>
      <c r="G13" s="46"/>
      <c r="H13" s="46"/>
      <c r="I13" s="46"/>
      <c r="J13" s="46"/>
      <c r="K13" s="46"/>
      <c r="L13" s="63"/>
    </row>
    <row r="14" spans="2:14" ht="16.899999999999999" customHeight="1" x14ac:dyDescent="0.2">
      <c r="B14" s="16"/>
      <c r="C14" s="46"/>
      <c r="D14" s="46"/>
      <c r="E14" s="46"/>
      <c r="F14" s="49"/>
      <c r="G14" s="46"/>
      <c r="H14" s="46"/>
      <c r="I14" s="46"/>
      <c r="J14" s="46"/>
      <c r="K14" s="46"/>
      <c r="L14" s="63"/>
    </row>
    <row r="15" spans="2:14" ht="16.899999999999999" customHeight="1" x14ac:dyDescent="0.2">
      <c r="B15" s="16"/>
      <c r="C15" s="46"/>
      <c r="D15" s="46"/>
      <c r="E15" s="46"/>
      <c r="F15" s="49"/>
      <c r="G15" s="46"/>
      <c r="H15" s="46"/>
      <c r="I15" s="46"/>
      <c r="J15" s="46"/>
      <c r="K15" s="46"/>
      <c r="L15" s="63"/>
    </row>
    <row r="16" spans="2:14" ht="16.899999999999999" customHeight="1" x14ac:dyDescent="0.2">
      <c r="B16" s="16"/>
      <c r="C16" s="46"/>
      <c r="D16" s="46"/>
      <c r="E16" s="46"/>
      <c r="F16" s="49"/>
      <c r="G16" s="46"/>
      <c r="H16" s="46"/>
      <c r="I16" s="46"/>
      <c r="J16" s="46"/>
      <c r="K16" s="46"/>
      <c r="L16" s="63"/>
    </row>
    <row r="17" spans="2:12" ht="30" customHeight="1" x14ac:dyDescent="0.2">
      <c r="B17" s="16"/>
      <c r="C17" s="43"/>
      <c r="D17" s="43"/>
      <c r="E17" s="43"/>
      <c r="G17" s="43"/>
      <c r="H17" s="43"/>
      <c r="I17" s="43"/>
      <c r="J17" s="43"/>
      <c r="K17" s="43"/>
      <c r="L17" s="13"/>
    </row>
    <row r="18" spans="2:12" ht="16.5" x14ac:dyDescent="0.2">
      <c r="B18" s="16"/>
      <c r="C18" s="155" t="s">
        <v>65</v>
      </c>
      <c r="D18" s="155"/>
      <c r="E18" s="155"/>
      <c r="G18" s="155" t="s">
        <v>181</v>
      </c>
      <c r="H18" s="155"/>
      <c r="I18" s="155"/>
      <c r="L18" s="13"/>
    </row>
    <row r="19" spans="2:12" ht="7.5" customHeight="1" x14ac:dyDescent="0.2">
      <c r="B19" s="16"/>
      <c r="L19" s="13"/>
    </row>
    <row r="20" spans="2:12" ht="19.7" customHeight="1" x14ac:dyDescent="0.2">
      <c r="B20" s="16"/>
      <c r="C20" s="44" t="s">
        <v>90</v>
      </c>
      <c r="D20" s="44" t="s">
        <v>65</v>
      </c>
      <c r="E20" s="44" t="s">
        <v>218</v>
      </c>
      <c r="F20" s="49"/>
      <c r="G20" s="44"/>
      <c r="H20" s="53"/>
      <c r="I20" s="53"/>
      <c r="J20" s="53"/>
      <c r="K20" s="55"/>
      <c r="L20" s="13"/>
    </row>
    <row r="21" spans="2:12" ht="16.899999999999999" customHeight="1" x14ac:dyDescent="0.2">
      <c r="B21" s="16"/>
      <c r="C21" s="50" t="s">
        <v>100</v>
      </c>
      <c r="D21" s="45" t="s">
        <v>239</v>
      </c>
      <c r="E21" s="48">
        <f>1/8*16/12*25/20</f>
        <v>0.20833333333333331</v>
      </c>
      <c r="F21" s="49"/>
      <c r="G21" s="54"/>
      <c r="H21" s="52"/>
      <c r="I21" s="52"/>
      <c r="J21" s="52"/>
      <c r="K21" s="56"/>
      <c r="L21" s="13"/>
    </row>
    <row r="22" spans="2:12" ht="16.899999999999999" customHeight="1" x14ac:dyDescent="0.2">
      <c r="B22" s="16"/>
      <c r="C22" s="50" t="s">
        <v>325</v>
      </c>
      <c r="D22" s="45" t="s">
        <v>215</v>
      </c>
      <c r="E22" s="48">
        <f>1/8*16/12*25/20*24/15</f>
        <v>0.33333333333333331</v>
      </c>
      <c r="F22" s="49"/>
      <c r="G22" s="152" t="s">
        <v>302</v>
      </c>
      <c r="H22" s="153"/>
      <c r="I22" s="153"/>
      <c r="J22" s="153"/>
      <c r="K22" s="154"/>
      <c r="L22" s="13"/>
    </row>
    <row r="23" spans="2:12" ht="16.899999999999999" customHeight="1" x14ac:dyDescent="0.2">
      <c r="B23" s="16"/>
      <c r="C23" s="50" t="s">
        <v>139</v>
      </c>
      <c r="D23" s="45" t="s">
        <v>38</v>
      </c>
      <c r="E23" s="48">
        <f>1/8*16/12*25/20*12/10</f>
        <v>0.25</v>
      </c>
      <c r="F23" s="49"/>
      <c r="G23" s="54"/>
      <c r="H23" s="52"/>
      <c r="I23" s="52"/>
      <c r="J23" s="52"/>
      <c r="K23" s="56"/>
      <c r="L23" s="13"/>
    </row>
    <row r="24" spans="2:12" ht="16.899999999999999" customHeight="1" x14ac:dyDescent="0.2">
      <c r="B24" s="16"/>
      <c r="C24" s="50" t="s">
        <v>262</v>
      </c>
      <c r="D24" s="45" t="s">
        <v>276</v>
      </c>
      <c r="E24" s="48">
        <f>1/8*16/12*25/20*14/12</f>
        <v>0.24305555555555555</v>
      </c>
      <c r="F24" s="49"/>
      <c r="G24" s="152" t="s">
        <v>11</v>
      </c>
      <c r="H24" s="153"/>
      <c r="I24" s="153"/>
      <c r="J24" s="153"/>
      <c r="K24" s="154"/>
      <c r="L24" s="13"/>
    </row>
    <row r="25" spans="2:12" ht="16.899999999999999" customHeight="1" x14ac:dyDescent="0.2">
      <c r="B25" s="16"/>
      <c r="C25" s="50" t="s">
        <v>111</v>
      </c>
      <c r="D25" s="45" t="s">
        <v>137</v>
      </c>
      <c r="E25" s="47">
        <f>1/8*16/12*25/20*24/5</f>
        <v>1</v>
      </c>
      <c r="F25" s="49"/>
      <c r="G25" s="54"/>
      <c r="H25" s="52"/>
      <c r="I25" s="52"/>
      <c r="J25" s="52"/>
      <c r="K25" s="56"/>
      <c r="L25" s="13"/>
    </row>
    <row r="26" spans="2:12" ht="16.899999999999999" customHeight="1" x14ac:dyDescent="0.2">
      <c r="B26" s="16"/>
      <c r="C26" s="46"/>
      <c r="D26" s="46"/>
      <c r="E26" s="46"/>
      <c r="F26" s="49"/>
      <c r="G26" s="152" t="s">
        <v>99</v>
      </c>
      <c r="H26" s="153"/>
      <c r="I26" s="153"/>
      <c r="J26" s="153"/>
      <c r="K26" s="154"/>
      <c r="L26" s="13"/>
    </row>
    <row r="27" spans="2:12" ht="16.899999999999999" customHeight="1" x14ac:dyDescent="0.2">
      <c r="B27" s="16"/>
      <c r="C27" s="46"/>
      <c r="D27" s="46"/>
      <c r="E27" s="46"/>
      <c r="F27" s="49"/>
      <c r="G27" s="54"/>
      <c r="H27" s="52"/>
      <c r="I27" s="52"/>
      <c r="J27" s="52"/>
      <c r="K27" s="56"/>
      <c r="L27" s="13"/>
    </row>
    <row r="28" spans="2:12" ht="16.899999999999999" customHeight="1" x14ac:dyDescent="0.2">
      <c r="B28" s="16"/>
      <c r="C28" s="46"/>
      <c r="D28" s="46"/>
      <c r="E28" s="46"/>
      <c r="F28" s="49"/>
      <c r="G28" s="54"/>
      <c r="H28" s="52"/>
      <c r="I28" s="52"/>
      <c r="J28" s="52"/>
      <c r="K28" s="56"/>
      <c r="L28" s="13"/>
    </row>
    <row r="29" spans="2:12" ht="16.899999999999999" customHeight="1" x14ac:dyDescent="0.2">
      <c r="B29" s="16"/>
      <c r="C29" s="46"/>
      <c r="D29" s="46"/>
      <c r="E29" s="46"/>
      <c r="F29" s="49"/>
      <c r="G29" s="54"/>
      <c r="H29" s="52"/>
      <c r="I29" s="52"/>
      <c r="J29" s="52"/>
      <c r="K29" s="56"/>
      <c r="L29" s="13"/>
    </row>
    <row r="30" spans="2:12" ht="16.899999999999999" customHeight="1" x14ac:dyDescent="0.2">
      <c r="B30" s="16"/>
      <c r="C30" s="46"/>
      <c r="D30" s="46"/>
      <c r="E30" s="46"/>
      <c r="F30" s="49"/>
      <c r="G30" s="57"/>
      <c r="H30" s="58"/>
      <c r="I30" s="58"/>
      <c r="J30" s="58"/>
      <c r="K30" s="59"/>
      <c r="L30" s="13"/>
    </row>
    <row r="31" spans="2:12" ht="15" customHeight="1" x14ac:dyDescent="0.2">
      <c r="B31" s="17"/>
      <c r="C31" s="64"/>
      <c r="D31" s="64"/>
      <c r="E31" s="64"/>
      <c r="F31" s="10"/>
      <c r="G31" s="10"/>
      <c r="H31" s="10"/>
      <c r="I31" s="10"/>
      <c r="J31" s="10"/>
      <c r="K31" s="10"/>
      <c r="L31" s="14"/>
    </row>
  </sheetData>
  <mergeCells count="8">
    <mergeCell ref="G24:K24"/>
    <mergeCell ref="G26:K26"/>
    <mergeCell ref="B1:L2"/>
    <mergeCell ref="C4:E4"/>
    <mergeCell ref="G4:I4"/>
    <mergeCell ref="C18:E18"/>
    <mergeCell ref="G18:I18"/>
    <mergeCell ref="G22:K22"/>
  </mergeCells>
  <phoneticPr fontId="6" type="noConversion"/>
  <pageMargins left="0.98425196850393704" right="7.874015748031496E-2" top="0.6692913385826772" bottom="0.59055118110236215" header="0.5" footer="0.5"/>
  <pageSetup paperSize="9" orientation="landscape" copies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AC35"/>
  <sheetViews>
    <sheetView workbookViewId="0">
      <pane ySplit="4" topLeftCell="A5" activePane="bottomLeft" state="frozen"/>
      <selection pane="bottomLeft" activeCell="N11" sqref="N11"/>
    </sheetView>
  </sheetViews>
  <sheetFormatPr defaultRowHeight="12.75" x14ac:dyDescent="0.2"/>
  <cols>
    <col min="1" max="1" width="0.7109375" customWidth="1"/>
    <col min="2" max="2" width="3.42578125" customWidth="1"/>
    <col min="3" max="3" width="18.5703125" customWidth="1"/>
    <col min="4" max="4" width="16.42578125" customWidth="1"/>
    <col min="5" max="5" width="4.140625" customWidth="1"/>
    <col min="6" max="6" width="7.140625" customWidth="1"/>
    <col min="7" max="7" width="6.85546875" customWidth="1"/>
    <col min="8" max="8" width="7.42578125" customWidth="1"/>
    <col min="9" max="11" width="6.140625" customWidth="1"/>
    <col min="12" max="12" width="7.140625" customWidth="1"/>
    <col min="13" max="17" width="6.140625" customWidth="1"/>
    <col min="18" max="18" width="7.42578125" customWidth="1"/>
    <col min="19" max="19" width="6.7109375" customWidth="1"/>
    <col min="20" max="20" width="4.140625" customWidth="1"/>
    <col min="21" max="22" width="7.7109375" customWidth="1"/>
  </cols>
  <sheetData>
    <row r="1" spans="2:29" ht="24.95" customHeight="1" x14ac:dyDescent="0.2">
      <c r="B1" s="137" t="s">
        <v>120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</row>
    <row r="2" spans="2:29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</row>
    <row r="3" spans="2:29" ht="15.4" customHeight="1" x14ac:dyDescent="0.2">
      <c r="B3" s="139" t="s">
        <v>90</v>
      </c>
      <c r="C3" s="141" t="s">
        <v>331</v>
      </c>
      <c r="D3" s="141" t="s">
        <v>265</v>
      </c>
      <c r="E3" s="141" t="s">
        <v>131</v>
      </c>
      <c r="F3" s="143" t="s">
        <v>157</v>
      </c>
      <c r="G3" s="144"/>
      <c r="H3" s="143" t="s">
        <v>329</v>
      </c>
      <c r="I3" s="144"/>
      <c r="J3" s="143" t="s">
        <v>256</v>
      </c>
      <c r="K3" s="144"/>
      <c r="L3" s="143" t="s">
        <v>41</v>
      </c>
      <c r="M3" s="144"/>
      <c r="N3" s="143" t="s">
        <v>113</v>
      </c>
      <c r="O3" s="144"/>
      <c r="P3" s="143" t="s">
        <v>95</v>
      </c>
      <c r="Q3" s="144"/>
      <c r="R3" s="141" t="s">
        <v>281</v>
      </c>
      <c r="S3" s="141" t="s">
        <v>59</v>
      </c>
      <c r="T3" s="141" t="s">
        <v>26</v>
      </c>
      <c r="U3" s="141" t="s">
        <v>175</v>
      </c>
      <c r="V3" s="145" t="s">
        <v>112</v>
      </c>
      <c r="Z3" t="s">
        <v>216</v>
      </c>
      <c r="AA3" t="s">
        <v>244</v>
      </c>
      <c r="AB3" t="s">
        <v>344</v>
      </c>
      <c r="AC3" t="s">
        <v>230</v>
      </c>
    </row>
    <row r="4" spans="2:29" ht="19.7" customHeight="1" x14ac:dyDescent="0.2">
      <c r="B4" s="140"/>
      <c r="C4" s="142"/>
      <c r="D4" s="142"/>
      <c r="E4" s="142"/>
      <c r="F4" s="30" t="s">
        <v>1</v>
      </c>
      <c r="G4" s="29" t="s">
        <v>303</v>
      </c>
      <c r="H4" s="30" t="s">
        <v>1</v>
      </c>
      <c r="I4" s="29" t="s">
        <v>303</v>
      </c>
      <c r="J4" s="30" t="s">
        <v>1</v>
      </c>
      <c r="K4" s="29" t="s">
        <v>303</v>
      </c>
      <c r="L4" s="30" t="s">
        <v>1</v>
      </c>
      <c r="M4" s="29" t="s">
        <v>303</v>
      </c>
      <c r="N4" s="30" t="s">
        <v>1</v>
      </c>
      <c r="O4" s="29" t="s">
        <v>303</v>
      </c>
      <c r="P4" s="30" t="s">
        <v>1</v>
      </c>
      <c r="Q4" s="29" t="s">
        <v>303</v>
      </c>
      <c r="R4" s="142"/>
      <c r="S4" s="142"/>
      <c r="T4" s="142"/>
      <c r="U4" s="142"/>
      <c r="V4" s="146"/>
    </row>
    <row r="5" spans="2:29" ht="19.7" customHeight="1" x14ac:dyDescent="0.2">
      <c r="B5" s="32" t="s">
        <v>100</v>
      </c>
      <c r="C5" s="33" t="s">
        <v>238</v>
      </c>
      <c r="D5" s="33" t="s">
        <v>226</v>
      </c>
      <c r="E5" s="34" t="s">
        <v>222</v>
      </c>
      <c r="F5" s="41"/>
      <c r="G5" s="33" t="s">
        <v>350</v>
      </c>
      <c r="H5" s="41"/>
      <c r="I5" s="33" t="s">
        <v>350</v>
      </c>
      <c r="J5" s="41"/>
      <c r="K5" s="33" t="s">
        <v>350</v>
      </c>
      <c r="L5" s="41">
        <v>75410</v>
      </c>
      <c r="M5" s="33" t="s">
        <v>21</v>
      </c>
      <c r="N5" s="41"/>
      <c r="O5" s="33" t="s">
        <v>350</v>
      </c>
      <c r="P5" s="41"/>
      <c r="Q5" s="33" t="s">
        <v>350</v>
      </c>
      <c r="R5" s="35">
        <f t="shared" ref="R5:R34" si="0">MIN(F5,H5,J5,L5,N5,P5)</f>
        <v>75410</v>
      </c>
      <c r="S5" s="33" t="s">
        <v>151</v>
      </c>
      <c r="T5" s="35" t="s">
        <v>342</v>
      </c>
      <c r="U5" s="35" t="s">
        <v>44</v>
      </c>
      <c r="V5" s="36" t="s">
        <v>201</v>
      </c>
      <c r="Z5" s="31">
        <v>75410</v>
      </c>
    </row>
    <row r="6" spans="2:29" ht="19.7" customHeight="1" x14ac:dyDescent="0.2">
      <c r="B6" s="32" t="s">
        <v>325</v>
      </c>
      <c r="C6" s="33" t="s">
        <v>335</v>
      </c>
      <c r="D6" s="33" t="s">
        <v>350</v>
      </c>
      <c r="E6" s="34" t="s">
        <v>199</v>
      </c>
      <c r="F6" s="41"/>
      <c r="G6" s="33" t="s">
        <v>350</v>
      </c>
      <c r="H6" s="41">
        <v>109</v>
      </c>
      <c r="I6" s="33" t="s">
        <v>260</v>
      </c>
      <c r="J6" s="41">
        <v>109</v>
      </c>
      <c r="K6" s="33" t="s">
        <v>146</v>
      </c>
      <c r="L6" s="41">
        <v>106</v>
      </c>
      <c r="M6" s="33" t="s">
        <v>80</v>
      </c>
      <c r="N6" s="41">
        <v>109</v>
      </c>
      <c r="O6" s="33" t="s">
        <v>43</v>
      </c>
      <c r="P6" s="41"/>
      <c r="Q6" s="33" t="s">
        <v>350</v>
      </c>
      <c r="R6" s="35">
        <f t="shared" si="0"/>
        <v>106</v>
      </c>
      <c r="S6" s="33" t="s">
        <v>86</v>
      </c>
      <c r="T6" s="35" t="s">
        <v>342</v>
      </c>
      <c r="U6" s="35" t="s">
        <v>44</v>
      </c>
      <c r="V6" s="36" t="s">
        <v>128</v>
      </c>
      <c r="Z6" s="31">
        <v>106</v>
      </c>
    </row>
    <row r="7" spans="2:29" ht="19.7" customHeight="1" x14ac:dyDescent="0.2">
      <c r="B7" s="32" t="s">
        <v>139</v>
      </c>
      <c r="C7" s="33" t="s">
        <v>145</v>
      </c>
      <c r="D7" s="33" t="s">
        <v>324</v>
      </c>
      <c r="E7" s="34" t="s">
        <v>243</v>
      </c>
      <c r="F7" s="41"/>
      <c r="G7" s="33" t="s">
        <v>350</v>
      </c>
      <c r="H7" s="41"/>
      <c r="I7" s="33" t="s">
        <v>350</v>
      </c>
      <c r="J7" s="41">
        <v>22000</v>
      </c>
      <c r="K7" s="33" t="s">
        <v>227</v>
      </c>
      <c r="L7" s="41"/>
      <c r="M7" s="33" t="s">
        <v>350</v>
      </c>
      <c r="N7" s="41"/>
      <c r="O7" s="33" t="s">
        <v>350</v>
      </c>
      <c r="P7" s="41"/>
      <c r="Q7" s="33" t="s">
        <v>350</v>
      </c>
      <c r="R7" s="35">
        <f t="shared" si="0"/>
        <v>22000</v>
      </c>
      <c r="S7" s="33" t="s">
        <v>350</v>
      </c>
      <c r="T7" s="35" t="s">
        <v>342</v>
      </c>
      <c r="U7" s="35" t="s">
        <v>44</v>
      </c>
      <c r="V7" s="36" t="s">
        <v>128</v>
      </c>
      <c r="Z7" s="31">
        <v>22000</v>
      </c>
    </row>
    <row r="8" spans="2:29" ht="19.7" customHeight="1" x14ac:dyDescent="0.2">
      <c r="B8" s="32" t="s">
        <v>262</v>
      </c>
      <c r="C8" s="33" t="s">
        <v>52</v>
      </c>
      <c r="D8" s="33" t="s">
        <v>350</v>
      </c>
      <c r="E8" s="34" t="s">
        <v>269</v>
      </c>
      <c r="F8" s="41">
        <v>1500</v>
      </c>
      <c r="G8" s="126" t="s">
        <v>359</v>
      </c>
      <c r="H8" s="41"/>
      <c r="I8" s="33" t="s">
        <v>350</v>
      </c>
      <c r="J8" s="41"/>
      <c r="K8" s="33" t="s">
        <v>350</v>
      </c>
      <c r="L8" s="41"/>
      <c r="M8" s="33" t="s">
        <v>350</v>
      </c>
      <c r="N8" s="41"/>
      <c r="O8" s="33" t="s">
        <v>350</v>
      </c>
      <c r="P8" s="41"/>
      <c r="Q8" s="33" t="s">
        <v>350</v>
      </c>
      <c r="R8" s="35">
        <f t="shared" si="0"/>
        <v>1500</v>
      </c>
      <c r="S8" s="33" t="s">
        <v>144</v>
      </c>
      <c r="T8" s="35" t="s">
        <v>342</v>
      </c>
      <c r="U8" s="35" t="s">
        <v>44</v>
      </c>
      <c r="V8" s="36" t="s">
        <v>128</v>
      </c>
      <c r="Z8" s="31">
        <v>1110</v>
      </c>
    </row>
    <row r="9" spans="2:29" ht="19.7" customHeight="1" x14ac:dyDescent="0.2">
      <c r="B9" s="32" t="s">
        <v>111</v>
      </c>
      <c r="C9" s="33" t="s">
        <v>238</v>
      </c>
      <c r="D9" s="33" t="s">
        <v>285</v>
      </c>
      <c r="E9" s="34" t="s">
        <v>222</v>
      </c>
      <c r="F9" s="41"/>
      <c r="G9" s="33" t="s">
        <v>350</v>
      </c>
      <c r="H9" s="41"/>
      <c r="I9" s="33" t="s">
        <v>350</v>
      </c>
      <c r="J9" s="41"/>
      <c r="K9" s="33" t="s">
        <v>350</v>
      </c>
      <c r="L9" s="41">
        <v>45990</v>
      </c>
      <c r="M9" s="33" t="s">
        <v>21</v>
      </c>
      <c r="N9" s="41"/>
      <c r="O9" s="33" t="s">
        <v>350</v>
      </c>
      <c r="P9" s="41"/>
      <c r="Q9" s="33" t="s">
        <v>350</v>
      </c>
      <c r="R9" s="35">
        <f t="shared" si="0"/>
        <v>45990</v>
      </c>
      <c r="S9" s="33" t="s">
        <v>151</v>
      </c>
      <c r="T9" s="35" t="s">
        <v>342</v>
      </c>
      <c r="U9" s="35" t="s">
        <v>44</v>
      </c>
      <c r="V9" s="36" t="s">
        <v>201</v>
      </c>
      <c r="Z9" s="31">
        <v>45990</v>
      </c>
    </row>
    <row r="10" spans="2:29" ht="19.7" customHeight="1" x14ac:dyDescent="0.2">
      <c r="B10" s="32" t="s">
        <v>171</v>
      </c>
      <c r="C10" s="33" t="s">
        <v>350</v>
      </c>
      <c r="D10" s="33" t="s">
        <v>350</v>
      </c>
      <c r="E10" s="34" t="s">
        <v>350</v>
      </c>
      <c r="F10" s="41"/>
      <c r="G10" s="33" t="s">
        <v>350</v>
      </c>
      <c r="H10" s="41"/>
      <c r="I10" s="33" t="s">
        <v>350</v>
      </c>
      <c r="J10" s="41"/>
      <c r="K10" s="33" t="s">
        <v>350</v>
      </c>
      <c r="L10" s="41"/>
      <c r="M10" s="33" t="s">
        <v>350</v>
      </c>
      <c r="N10" s="41"/>
      <c r="O10" s="33" t="s">
        <v>350</v>
      </c>
      <c r="P10" s="41"/>
      <c r="Q10" s="33" t="s">
        <v>350</v>
      </c>
      <c r="R10" s="35">
        <f t="shared" si="0"/>
        <v>0</v>
      </c>
      <c r="S10" s="33" t="s">
        <v>350</v>
      </c>
      <c r="T10" s="35" t="s">
        <v>342</v>
      </c>
      <c r="U10" s="35" t="s">
        <v>44</v>
      </c>
      <c r="V10" s="36" t="s">
        <v>88</v>
      </c>
    </row>
    <row r="11" spans="2:29" ht="19.7" customHeight="1" x14ac:dyDescent="0.2">
      <c r="B11" s="32" t="s">
        <v>316</v>
      </c>
      <c r="C11" s="33" t="s">
        <v>350</v>
      </c>
      <c r="D11" s="33" t="s">
        <v>350</v>
      </c>
      <c r="E11" s="34" t="s">
        <v>350</v>
      </c>
      <c r="F11" s="41"/>
      <c r="G11" s="33" t="s">
        <v>350</v>
      </c>
      <c r="H11" s="41"/>
      <c r="I11" s="33" t="s">
        <v>350</v>
      </c>
      <c r="J11" s="41"/>
      <c r="K11" s="33" t="s">
        <v>350</v>
      </c>
      <c r="L11" s="41"/>
      <c r="M11" s="33" t="s">
        <v>350</v>
      </c>
      <c r="N11" s="41"/>
      <c r="O11" s="33" t="s">
        <v>350</v>
      </c>
      <c r="P11" s="41"/>
      <c r="Q11" s="33" t="s">
        <v>350</v>
      </c>
      <c r="R11" s="35">
        <f t="shared" si="0"/>
        <v>0</v>
      </c>
      <c r="S11" s="33" t="s">
        <v>350</v>
      </c>
      <c r="T11" s="35" t="s">
        <v>342</v>
      </c>
      <c r="U11" s="35" t="s">
        <v>44</v>
      </c>
      <c r="V11" s="36" t="s">
        <v>88</v>
      </c>
    </row>
    <row r="12" spans="2:29" ht="19.7" customHeight="1" x14ac:dyDescent="0.2">
      <c r="B12" s="32" t="s">
        <v>166</v>
      </c>
      <c r="C12" s="33" t="s">
        <v>350</v>
      </c>
      <c r="D12" s="33" t="s">
        <v>350</v>
      </c>
      <c r="E12" s="34" t="s">
        <v>350</v>
      </c>
      <c r="F12" s="41"/>
      <c r="G12" s="33" t="s">
        <v>350</v>
      </c>
      <c r="H12" s="41"/>
      <c r="I12" s="33" t="s">
        <v>350</v>
      </c>
      <c r="J12" s="41"/>
      <c r="K12" s="33" t="s">
        <v>350</v>
      </c>
      <c r="L12" s="41"/>
      <c r="M12" s="33" t="s">
        <v>350</v>
      </c>
      <c r="N12" s="41"/>
      <c r="O12" s="33" t="s">
        <v>350</v>
      </c>
      <c r="P12" s="41"/>
      <c r="Q12" s="33" t="s">
        <v>350</v>
      </c>
      <c r="R12" s="35">
        <f t="shared" si="0"/>
        <v>0</v>
      </c>
      <c r="S12" s="33" t="s">
        <v>350</v>
      </c>
      <c r="T12" s="35" t="s">
        <v>342</v>
      </c>
      <c r="U12" s="35" t="s">
        <v>44</v>
      </c>
      <c r="V12" s="36" t="s">
        <v>88</v>
      </c>
    </row>
    <row r="13" spans="2:29" ht="19.7" customHeight="1" x14ac:dyDescent="0.2">
      <c r="B13" s="32" t="s">
        <v>35</v>
      </c>
      <c r="C13" s="33" t="s">
        <v>350</v>
      </c>
      <c r="D13" s="33" t="s">
        <v>350</v>
      </c>
      <c r="E13" s="34" t="s">
        <v>350</v>
      </c>
      <c r="F13" s="41"/>
      <c r="G13" s="33" t="s">
        <v>350</v>
      </c>
      <c r="H13" s="41"/>
      <c r="I13" s="33" t="s">
        <v>350</v>
      </c>
      <c r="J13" s="41"/>
      <c r="K13" s="33" t="s">
        <v>350</v>
      </c>
      <c r="L13" s="41"/>
      <c r="M13" s="33" t="s">
        <v>350</v>
      </c>
      <c r="N13" s="41"/>
      <c r="O13" s="33" t="s">
        <v>350</v>
      </c>
      <c r="P13" s="41"/>
      <c r="Q13" s="33" t="s">
        <v>350</v>
      </c>
      <c r="R13" s="35">
        <f t="shared" si="0"/>
        <v>0</v>
      </c>
      <c r="S13" s="33" t="s">
        <v>350</v>
      </c>
      <c r="T13" s="35" t="s">
        <v>342</v>
      </c>
      <c r="U13" s="35" t="s">
        <v>44</v>
      </c>
      <c r="V13" s="36" t="s">
        <v>88</v>
      </c>
    </row>
    <row r="14" spans="2:29" ht="19.7" customHeight="1" x14ac:dyDescent="0.2">
      <c r="B14" s="32" t="s">
        <v>184</v>
      </c>
      <c r="C14" s="33" t="s">
        <v>350</v>
      </c>
      <c r="D14" s="33" t="s">
        <v>350</v>
      </c>
      <c r="E14" s="34" t="s">
        <v>350</v>
      </c>
      <c r="F14" s="41"/>
      <c r="G14" s="33" t="s">
        <v>350</v>
      </c>
      <c r="H14" s="41"/>
      <c r="I14" s="33" t="s">
        <v>350</v>
      </c>
      <c r="J14" s="41"/>
      <c r="K14" s="33" t="s">
        <v>350</v>
      </c>
      <c r="L14" s="41"/>
      <c r="M14" s="33" t="s">
        <v>350</v>
      </c>
      <c r="N14" s="41"/>
      <c r="O14" s="33" t="s">
        <v>350</v>
      </c>
      <c r="P14" s="41"/>
      <c r="Q14" s="33" t="s">
        <v>350</v>
      </c>
      <c r="R14" s="35">
        <f t="shared" si="0"/>
        <v>0</v>
      </c>
      <c r="S14" s="33" t="s">
        <v>350</v>
      </c>
      <c r="T14" s="35" t="s">
        <v>342</v>
      </c>
      <c r="U14" s="35" t="s">
        <v>44</v>
      </c>
      <c r="V14" s="36" t="s">
        <v>88</v>
      </c>
    </row>
    <row r="15" spans="2:29" ht="19.7" customHeight="1" x14ac:dyDescent="0.2">
      <c r="B15" s="32" t="s">
        <v>66</v>
      </c>
      <c r="C15" s="33" t="s">
        <v>350</v>
      </c>
      <c r="D15" s="33" t="s">
        <v>350</v>
      </c>
      <c r="E15" s="34" t="s">
        <v>350</v>
      </c>
      <c r="F15" s="41"/>
      <c r="G15" s="33" t="s">
        <v>350</v>
      </c>
      <c r="H15" s="41"/>
      <c r="I15" s="33" t="s">
        <v>350</v>
      </c>
      <c r="J15" s="41"/>
      <c r="K15" s="33" t="s">
        <v>350</v>
      </c>
      <c r="L15" s="41"/>
      <c r="M15" s="33" t="s">
        <v>350</v>
      </c>
      <c r="N15" s="41"/>
      <c r="O15" s="33" t="s">
        <v>350</v>
      </c>
      <c r="P15" s="41"/>
      <c r="Q15" s="33" t="s">
        <v>350</v>
      </c>
      <c r="R15" s="35">
        <f t="shared" si="0"/>
        <v>0</v>
      </c>
      <c r="S15" s="33" t="s">
        <v>350</v>
      </c>
      <c r="T15" s="35" t="s">
        <v>342</v>
      </c>
      <c r="U15" s="35" t="s">
        <v>44</v>
      </c>
      <c r="V15" s="36" t="s">
        <v>88</v>
      </c>
    </row>
    <row r="16" spans="2:29" ht="19.7" customHeight="1" x14ac:dyDescent="0.2">
      <c r="B16" s="32" t="s">
        <v>219</v>
      </c>
      <c r="C16" s="33" t="s">
        <v>350</v>
      </c>
      <c r="D16" s="33" t="s">
        <v>350</v>
      </c>
      <c r="E16" s="34" t="s">
        <v>350</v>
      </c>
      <c r="F16" s="41"/>
      <c r="G16" s="33" t="s">
        <v>350</v>
      </c>
      <c r="H16" s="41"/>
      <c r="I16" s="33" t="s">
        <v>350</v>
      </c>
      <c r="J16" s="41"/>
      <c r="K16" s="33" t="s">
        <v>350</v>
      </c>
      <c r="L16" s="41"/>
      <c r="M16" s="33" t="s">
        <v>350</v>
      </c>
      <c r="N16" s="41"/>
      <c r="O16" s="33" t="s">
        <v>350</v>
      </c>
      <c r="P16" s="41"/>
      <c r="Q16" s="33" t="s">
        <v>350</v>
      </c>
      <c r="R16" s="35">
        <f t="shared" si="0"/>
        <v>0</v>
      </c>
      <c r="S16" s="33" t="s">
        <v>350</v>
      </c>
      <c r="T16" s="35" t="s">
        <v>342</v>
      </c>
      <c r="U16" s="35" t="s">
        <v>44</v>
      </c>
      <c r="V16" s="36" t="s">
        <v>88</v>
      </c>
    </row>
    <row r="17" spans="2:22" ht="19.7" customHeight="1" x14ac:dyDescent="0.2">
      <c r="B17" s="32" t="s">
        <v>7</v>
      </c>
      <c r="C17" s="33" t="s">
        <v>350</v>
      </c>
      <c r="D17" s="33" t="s">
        <v>350</v>
      </c>
      <c r="E17" s="34" t="s">
        <v>350</v>
      </c>
      <c r="F17" s="41"/>
      <c r="G17" s="33" t="s">
        <v>350</v>
      </c>
      <c r="H17" s="41"/>
      <c r="I17" s="33" t="s">
        <v>350</v>
      </c>
      <c r="J17" s="41"/>
      <c r="K17" s="33" t="s">
        <v>350</v>
      </c>
      <c r="L17" s="41"/>
      <c r="M17" s="33" t="s">
        <v>350</v>
      </c>
      <c r="N17" s="41"/>
      <c r="O17" s="33" t="s">
        <v>350</v>
      </c>
      <c r="P17" s="41"/>
      <c r="Q17" s="33" t="s">
        <v>350</v>
      </c>
      <c r="R17" s="35">
        <f t="shared" si="0"/>
        <v>0</v>
      </c>
      <c r="S17" s="33" t="s">
        <v>350</v>
      </c>
      <c r="T17" s="35" t="s">
        <v>342</v>
      </c>
      <c r="U17" s="35" t="s">
        <v>44</v>
      </c>
      <c r="V17" s="36" t="s">
        <v>88</v>
      </c>
    </row>
    <row r="18" spans="2:22" ht="19.7" customHeight="1" x14ac:dyDescent="0.2">
      <c r="B18" s="32" t="s">
        <v>193</v>
      </c>
      <c r="C18" s="33" t="s">
        <v>350</v>
      </c>
      <c r="D18" s="33" t="s">
        <v>350</v>
      </c>
      <c r="E18" s="34" t="s">
        <v>350</v>
      </c>
      <c r="F18" s="41"/>
      <c r="G18" s="33" t="s">
        <v>350</v>
      </c>
      <c r="H18" s="41"/>
      <c r="I18" s="33" t="s">
        <v>350</v>
      </c>
      <c r="J18" s="41"/>
      <c r="K18" s="33" t="s">
        <v>350</v>
      </c>
      <c r="L18" s="41"/>
      <c r="M18" s="33" t="s">
        <v>350</v>
      </c>
      <c r="N18" s="41"/>
      <c r="O18" s="33" t="s">
        <v>350</v>
      </c>
      <c r="P18" s="41"/>
      <c r="Q18" s="33" t="s">
        <v>350</v>
      </c>
      <c r="R18" s="35">
        <f t="shared" si="0"/>
        <v>0</v>
      </c>
      <c r="S18" s="33" t="s">
        <v>350</v>
      </c>
      <c r="T18" s="35" t="s">
        <v>342</v>
      </c>
      <c r="U18" s="35" t="s">
        <v>44</v>
      </c>
      <c r="V18" s="36" t="s">
        <v>88</v>
      </c>
    </row>
    <row r="19" spans="2:22" ht="19.7" customHeight="1" x14ac:dyDescent="0.2">
      <c r="B19" s="32" t="s">
        <v>55</v>
      </c>
      <c r="C19" s="33" t="s">
        <v>350</v>
      </c>
      <c r="D19" s="33" t="s">
        <v>350</v>
      </c>
      <c r="E19" s="34" t="s">
        <v>350</v>
      </c>
      <c r="F19" s="41"/>
      <c r="G19" s="33" t="s">
        <v>350</v>
      </c>
      <c r="H19" s="41"/>
      <c r="I19" s="33" t="s">
        <v>350</v>
      </c>
      <c r="J19" s="41"/>
      <c r="K19" s="33" t="s">
        <v>350</v>
      </c>
      <c r="L19" s="41"/>
      <c r="M19" s="33" t="s">
        <v>350</v>
      </c>
      <c r="N19" s="41"/>
      <c r="O19" s="33" t="s">
        <v>350</v>
      </c>
      <c r="P19" s="41"/>
      <c r="Q19" s="33" t="s">
        <v>350</v>
      </c>
      <c r="R19" s="35">
        <f t="shared" si="0"/>
        <v>0</v>
      </c>
      <c r="S19" s="33" t="s">
        <v>350</v>
      </c>
      <c r="T19" s="35" t="s">
        <v>342</v>
      </c>
      <c r="U19" s="35" t="s">
        <v>44</v>
      </c>
      <c r="V19" s="36" t="s">
        <v>88</v>
      </c>
    </row>
    <row r="20" spans="2:22" ht="19.7" customHeight="1" x14ac:dyDescent="0.2">
      <c r="B20" s="32" t="s">
        <v>248</v>
      </c>
      <c r="C20" s="33" t="s">
        <v>350</v>
      </c>
      <c r="D20" s="33" t="s">
        <v>350</v>
      </c>
      <c r="E20" s="34" t="s">
        <v>350</v>
      </c>
      <c r="F20" s="41"/>
      <c r="G20" s="33" t="s">
        <v>350</v>
      </c>
      <c r="H20" s="41"/>
      <c r="I20" s="33" t="s">
        <v>350</v>
      </c>
      <c r="J20" s="41"/>
      <c r="K20" s="33" t="s">
        <v>350</v>
      </c>
      <c r="L20" s="41"/>
      <c r="M20" s="33" t="s">
        <v>350</v>
      </c>
      <c r="N20" s="41"/>
      <c r="O20" s="33" t="s">
        <v>350</v>
      </c>
      <c r="P20" s="41"/>
      <c r="Q20" s="33" t="s">
        <v>350</v>
      </c>
      <c r="R20" s="35">
        <f t="shared" si="0"/>
        <v>0</v>
      </c>
      <c r="S20" s="33" t="s">
        <v>350</v>
      </c>
      <c r="T20" s="35" t="s">
        <v>342</v>
      </c>
      <c r="U20" s="35" t="s">
        <v>44</v>
      </c>
      <c r="V20" s="36" t="s">
        <v>88</v>
      </c>
    </row>
    <row r="21" spans="2:22" ht="19.7" customHeight="1" x14ac:dyDescent="0.2">
      <c r="B21" s="32" t="s">
        <v>57</v>
      </c>
      <c r="C21" s="33" t="s">
        <v>350</v>
      </c>
      <c r="D21" s="33" t="s">
        <v>350</v>
      </c>
      <c r="E21" s="34" t="s">
        <v>350</v>
      </c>
      <c r="F21" s="41"/>
      <c r="G21" s="33" t="s">
        <v>350</v>
      </c>
      <c r="H21" s="41"/>
      <c r="I21" s="33" t="s">
        <v>350</v>
      </c>
      <c r="J21" s="41"/>
      <c r="K21" s="33" t="s">
        <v>350</v>
      </c>
      <c r="L21" s="41"/>
      <c r="M21" s="33" t="s">
        <v>350</v>
      </c>
      <c r="N21" s="41"/>
      <c r="O21" s="33" t="s">
        <v>350</v>
      </c>
      <c r="P21" s="41"/>
      <c r="Q21" s="33" t="s">
        <v>350</v>
      </c>
      <c r="R21" s="35">
        <f t="shared" si="0"/>
        <v>0</v>
      </c>
      <c r="S21" s="33" t="s">
        <v>350</v>
      </c>
      <c r="T21" s="35" t="s">
        <v>342</v>
      </c>
      <c r="U21" s="35" t="s">
        <v>44</v>
      </c>
      <c r="V21" s="36" t="s">
        <v>88</v>
      </c>
    </row>
    <row r="22" spans="2:22" ht="19.7" customHeight="1" x14ac:dyDescent="0.2">
      <c r="B22" s="32" t="s">
        <v>242</v>
      </c>
      <c r="C22" s="33" t="s">
        <v>350</v>
      </c>
      <c r="D22" s="33" t="s">
        <v>350</v>
      </c>
      <c r="E22" s="34" t="s">
        <v>350</v>
      </c>
      <c r="F22" s="41"/>
      <c r="G22" s="33" t="s">
        <v>350</v>
      </c>
      <c r="H22" s="41"/>
      <c r="I22" s="33" t="s">
        <v>350</v>
      </c>
      <c r="J22" s="41"/>
      <c r="K22" s="33" t="s">
        <v>350</v>
      </c>
      <c r="L22" s="41"/>
      <c r="M22" s="33" t="s">
        <v>350</v>
      </c>
      <c r="N22" s="41"/>
      <c r="O22" s="33" t="s">
        <v>350</v>
      </c>
      <c r="P22" s="41"/>
      <c r="Q22" s="33" t="s">
        <v>350</v>
      </c>
      <c r="R22" s="35">
        <f t="shared" si="0"/>
        <v>0</v>
      </c>
      <c r="S22" s="33" t="s">
        <v>350</v>
      </c>
      <c r="T22" s="35" t="s">
        <v>342</v>
      </c>
      <c r="U22" s="35" t="s">
        <v>44</v>
      </c>
      <c r="V22" s="36" t="s">
        <v>88</v>
      </c>
    </row>
    <row r="23" spans="2:22" ht="19.7" customHeight="1" x14ac:dyDescent="0.2">
      <c r="B23" s="32" t="s">
        <v>301</v>
      </c>
      <c r="C23" s="33" t="s">
        <v>350</v>
      </c>
      <c r="D23" s="33" t="s">
        <v>350</v>
      </c>
      <c r="E23" s="34" t="s">
        <v>350</v>
      </c>
      <c r="F23" s="41"/>
      <c r="G23" s="33" t="s">
        <v>350</v>
      </c>
      <c r="H23" s="41"/>
      <c r="I23" s="33" t="s">
        <v>350</v>
      </c>
      <c r="J23" s="41"/>
      <c r="K23" s="33" t="s">
        <v>350</v>
      </c>
      <c r="L23" s="41"/>
      <c r="M23" s="33" t="s">
        <v>350</v>
      </c>
      <c r="N23" s="41"/>
      <c r="O23" s="33" t="s">
        <v>350</v>
      </c>
      <c r="P23" s="41"/>
      <c r="Q23" s="33" t="s">
        <v>350</v>
      </c>
      <c r="R23" s="35">
        <f t="shared" si="0"/>
        <v>0</v>
      </c>
      <c r="S23" s="33" t="s">
        <v>350</v>
      </c>
      <c r="T23" s="35" t="s">
        <v>342</v>
      </c>
      <c r="U23" s="35" t="s">
        <v>44</v>
      </c>
      <c r="V23" s="36" t="s">
        <v>88</v>
      </c>
    </row>
    <row r="24" spans="2:22" ht="19.7" customHeight="1" x14ac:dyDescent="0.2">
      <c r="B24" s="32" t="s">
        <v>104</v>
      </c>
      <c r="C24" s="33" t="s">
        <v>350</v>
      </c>
      <c r="D24" s="33" t="s">
        <v>350</v>
      </c>
      <c r="E24" s="34" t="s">
        <v>350</v>
      </c>
      <c r="F24" s="41"/>
      <c r="G24" s="33" t="s">
        <v>350</v>
      </c>
      <c r="H24" s="41"/>
      <c r="I24" s="33" t="s">
        <v>350</v>
      </c>
      <c r="J24" s="41"/>
      <c r="K24" s="33" t="s">
        <v>350</v>
      </c>
      <c r="L24" s="41"/>
      <c r="M24" s="33" t="s">
        <v>350</v>
      </c>
      <c r="N24" s="41"/>
      <c r="O24" s="33" t="s">
        <v>350</v>
      </c>
      <c r="P24" s="41"/>
      <c r="Q24" s="33" t="s">
        <v>350</v>
      </c>
      <c r="R24" s="35">
        <f t="shared" si="0"/>
        <v>0</v>
      </c>
      <c r="S24" s="33" t="s">
        <v>350</v>
      </c>
      <c r="T24" s="35" t="s">
        <v>342</v>
      </c>
      <c r="U24" s="35" t="s">
        <v>44</v>
      </c>
      <c r="V24" s="36" t="s">
        <v>88</v>
      </c>
    </row>
    <row r="25" spans="2:22" ht="19.7" customHeight="1" x14ac:dyDescent="0.2">
      <c r="B25" s="32" t="s">
        <v>323</v>
      </c>
      <c r="C25" s="33" t="s">
        <v>350</v>
      </c>
      <c r="D25" s="33" t="s">
        <v>350</v>
      </c>
      <c r="E25" s="34" t="s">
        <v>350</v>
      </c>
      <c r="F25" s="41"/>
      <c r="G25" s="33" t="s">
        <v>350</v>
      </c>
      <c r="H25" s="41"/>
      <c r="I25" s="33" t="s">
        <v>350</v>
      </c>
      <c r="J25" s="41"/>
      <c r="K25" s="33" t="s">
        <v>350</v>
      </c>
      <c r="L25" s="41"/>
      <c r="M25" s="33" t="s">
        <v>350</v>
      </c>
      <c r="N25" s="41"/>
      <c r="O25" s="33" t="s">
        <v>350</v>
      </c>
      <c r="P25" s="41"/>
      <c r="Q25" s="33" t="s">
        <v>350</v>
      </c>
      <c r="R25" s="35">
        <f t="shared" si="0"/>
        <v>0</v>
      </c>
      <c r="S25" s="33" t="s">
        <v>350</v>
      </c>
      <c r="T25" s="35" t="s">
        <v>342</v>
      </c>
      <c r="U25" s="35" t="s">
        <v>44</v>
      </c>
      <c r="V25" s="36" t="s">
        <v>88</v>
      </c>
    </row>
    <row r="26" spans="2:22" ht="19.7" customHeight="1" x14ac:dyDescent="0.2">
      <c r="B26" s="32" t="s">
        <v>140</v>
      </c>
      <c r="C26" s="33" t="s">
        <v>350</v>
      </c>
      <c r="D26" s="33" t="s">
        <v>350</v>
      </c>
      <c r="E26" s="34" t="s">
        <v>350</v>
      </c>
      <c r="F26" s="41"/>
      <c r="G26" s="33" t="s">
        <v>350</v>
      </c>
      <c r="H26" s="41"/>
      <c r="I26" s="33" t="s">
        <v>350</v>
      </c>
      <c r="J26" s="41"/>
      <c r="K26" s="33" t="s">
        <v>350</v>
      </c>
      <c r="L26" s="41"/>
      <c r="M26" s="33" t="s">
        <v>350</v>
      </c>
      <c r="N26" s="41"/>
      <c r="O26" s="33" t="s">
        <v>350</v>
      </c>
      <c r="P26" s="41"/>
      <c r="Q26" s="33" t="s">
        <v>350</v>
      </c>
      <c r="R26" s="35">
        <f t="shared" si="0"/>
        <v>0</v>
      </c>
      <c r="S26" s="33" t="s">
        <v>350</v>
      </c>
      <c r="T26" s="35" t="s">
        <v>342</v>
      </c>
      <c r="U26" s="35" t="s">
        <v>44</v>
      </c>
      <c r="V26" s="36" t="s">
        <v>88</v>
      </c>
    </row>
    <row r="27" spans="2:22" ht="19.7" customHeight="1" x14ac:dyDescent="0.2">
      <c r="B27" s="32" t="s">
        <v>258</v>
      </c>
      <c r="C27" s="33" t="s">
        <v>350</v>
      </c>
      <c r="D27" s="33" t="s">
        <v>350</v>
      </c>
      <c r="E27" s="34" t="s">
        <v>350</v>
      </c>
      <c r="F27" s="41"/>
      <c r="G27" s="33" t="s">
        <v>350</v>
      </c>
      <c r="H27" s="41"/>
      <c r="I27" s="33" t="s">
        <v>350</v>
      </c>
      <c r="J27" s="41"/>
      <c r="K27" s="33" t="s">
        <v>350</v>
      </c>
      <c r="L27" s="41"/>
      <c r="M27" s="33" t="s">
        <v>350</v>
      </c>
      <c r="N27" s="41"/>
      <c r="O27" s="33" t="s">
        <v>350</v>
      </c>
      <c r="P27" s="41"/>
      <c r="Q27" s="33" t="s">
        <v>350</v>
      </c>
      <c r="R27" s="35">
        <f t="shared" si="0"/>
        <v>0</v>
      </c>
      <c r="S27" s="33" t="s">
        <v>350</v>
      </c>
      <c r="T27" s="35" t="s">
        <v>342</v>
      </c>
      <c r="U27" s="35" t="s">
        <v>44</v>
      </c>
      <c r="V27" s="36" t="s">
        <v>88</v>
      </c>
    </row>
    <row r="28" spans="2:22" ht="19.7" customHeight="1" x14ac:dyDescent="0.2">
      <c r="B28" s="32" t="s">
        <v>115</v>
      </c>
      <c r="C28" s="33" t="s">
        <v>350</v>
      </c>
      <c r="D28" s="33" t="s">
        <v>350</v>
      </c>
      <c r="E28" s="34" t="s">
        <v>350</v>
      </c>
      <c r="F28" s="41"/>
      <c r="G28" s="33" t="s">
        <v>350</v>
      </c>
      <c r="H28" s="41"/>
      <c r="I28" s="33" t="s">
        <v>350</v>
      </c>
      <c r="J28" s="41"/>
      <c r="K28" s="33" t="s">
        <v>350</v>
      </c>
      <c r="L28" s="41"/>
      <c r="M28" s="33" t="s">
        <v>350</v>
      </c>
      <c r="N28" s="41"/>
      <c r="O28" s="33" t="s">
        <v>350</v>
      </c>
      <c r="P28" s="41"/>
      <c r="Q28" s="33" t="s">
        <v>350</v>
      </c>
      <c r="R28" s="35">
        <f t="shared" si="0"/>
        <v>0</v>
      </c>
      <c r="S28" s="33" t="s">
        <v>350</v>
      </c>
      <c r="T28" s="35" t="s">
        <v>342</v>
      </c>
      <c r="U28" s="35" t="s">
        <v>44</v>
      </c>
      <c r="V28" s="36" t="s">
        <v>88</v>
      </c>
    </row>
    <row r="29" spans="2:22" ht="19.7" customHeight="1" x14ac:dyDescent="0.2">
      <c r="B29" s="32" t="s">
        <v>313</v>
      </c>
      <c r="C29" s="33" t="s">
        <v>350</v>
      </c>
      <c r="D29" s="33" t="s">
        <v>350</v>
      </c>
      <c r="E29" s="34" t="s">
        <v>350</v>
      </c>
      <c r="F29" s="41"/>
      <c r="G29" s="33" t="s">
        <v>350</v>
      </c>
      <c r="H29" s="41"/>
      <c r="I29" s="33" t="s">
        <v>350</v>
      </c>
      <c r="J29" s="41"/>
      <c r="K29" s="33" t="s">
        <v>350</v>
      </c>
      <c r="L29" s="41"/>
      <c r="M29" s="33" t="s">
        <v>350</v>
      </c>
      <c r="N29" s="41"/>
      <c r="O29" s="33" t="s">
        <v>350</v>
      </c>
      <c r="P29" s="41"/>
      <c r="Q29" s="33" t="s">
        <v>350</v>
      </c>
      <c r="R29" s="35">
        <f t="shared" si="0"/>
        <v>0</v>
      </c>
      <c r="S29" s="33" t="s">
        <v>350</v>
      </c>
      <c r="T29" s="35" t="s">
        <v>342</v>
      </c>
      <c r="U29" s="35" t="s">
        <v>44</v>
      </c>
      <c r="V29" s="36" t="s">
        <v>88</v>
      </c>
    </row>
    <row r="30" spans="2:22" ht="19.7" customHeight="1" x14ac:dyDescent="0.2">
      <c r="B30" s="37" t="s">
        <v>172</v>
      </c>
      <c r="C30" s="38" t="s">
        <v>350</v>
      </c>
      <c r="D30" s="38" t="s">
        <v>350</v>
      </c>
      <c r="E30" s="39" t="s">
        <v>350</v>
      </c>
      <c r="F30" s="23"/>
      <c r="G30" s="38" t="s">
        <v>350</v>
      </c>
      <c r="H30" s="23"/>
      <c r="I30" s="38" t="s">
        <v>350</v>
      </c>
      <c r="J30" s="23"/>
      <c r="K30" s="38" t="s">
        <v>350</v>
      </c>
      <c r="L30" s="23"/>
      <c r="M30" s="38" t="s">
        <v>350</v>
      </c>
      <c r="N30" s="23"/>
      <c r="O30" s="38" t="s">
        <v>350</v>
      </c>
      <c r="P30" s="23"/>
      <c r="Q30" s="38" t="s">
        <v>350</v>
      </c>
      <c r="R30" s="24">
        <f t="shared" si="0"/>
        <v>0</v>
      </c>
      <c r="S30" s="38" t="s">
        <v>350</v>
      </c>
      <c r="T30" s="24" t="s">
        <v>342</v>
      </c>
      <c r="U30" s="24" t="s">
        <v>44</v>
      </c>
      <c r="V30" s="40" t="s">
        <v>88</v>
      </c>
    </row>
    <row r="31" spans="2:22" ht="19.7" customHeight="1" x14ac:dyDescent="0.2">
      <c r="B31" s="32" t="s">
        <v>319</v>
      </c>
      <c r="C31" s="33" t="s">
        <v>350</v>
      </c>
      <c r="D31" s="33" t="s">
        <v>350</v>
      </c>
      <c r="E31" s="34" t="s">
        <v>350</v>
      </c>
      <c r="F31" s="41"/>
      <c r="G31" s="33" t="s">
        <v>350</v>
      </c>
      <c r="H31" s="41"/>
      <c r="I31" s="33" t="s">
        <v>350</v>
      </c>
      <c r="J31" s="41"/>
      <c r="K31" s="33" t="s">
        <v>350</v>
      </c>
      <c r="L31" s="41"/>
      <c r="M31" s="33" t="s">
        <v>350</v>
      </c>
      <c r="N31" s="41"/>
      <c r="O31" s="33" t="s">
        <v>350</v>
      </c>
      <c r="P31" s="41"/>
      <c r="Q31" s="33" t="s">
        <v>350</v>
      </c>
      <c r="R31" s="35">
        <f t="shared" si="0"/>
        <v>0</v>
      </c>
      <c r="S31" s="33" t="s">
        <v>350</v>
      </c>
      <c r="T31" s="35" t="s">
        <v>342</v>
      </c>
      <c r="U31" s="35" t="s">
        <v>44</v>
      </c>
      <c r="V31" s="36" t="s">
        <v>88</v>
      </c>
    </row>
    <row r="32" spans="2:22" ht="19.7" customHeight="1" x14ac:dyDescent="0.2">
      <c r="B32" s="32" t="s">
        <v>164</v>
      </c>
      <c r="C32" s="33" t="s">
        <v>350</v>
      </c>
      <c r="D32" s="33" t="s">
        <v>350</v>
      </c>
      <c r="E32" s="34" t="s">
        <v>350</v>
      </c>
      <c r="F32" s="41"/>
      <c r="G32" s="33" t="s">
        <v>350</v>
      </c>
      <c r="H32" s="41"/>
      <c r="I32" s="33" t="s">
        <v>350</v>
      </c>
      <c r="J32" s="41"/>
      <c r="K32" s="33" t="s">
        <v>350</v>
      </c>
      <c r="L32" s="41"/>
      <c r="M32" s="33" t="s">
        <v>350</v>
      </c>
      <c r="N32" s="41"/>
      <c r="O32" s="33" t="s">
        <v>350</v>
      </c>
      <c r="P32" s="41"/>
      <c r="Q32" s="33" t="s">
        <v>350</v>
      </c>
      <c r="R32" s="35">
        <f t="shared" si="0"/>
        <v>0</v>
      </c>
      <c r="S32" s="33" t="s">
        <v>350</v>
      </c>
      <c r="T32" s="35" t="s">
        <v>342</v>
      </c>
      <c r="U32" s="35" t="s">
        <v>44</v>
      </c>
      <c r="V32" s="36" t="s">
        <v>88</v>
      </c>
    </row>
    <row r="33" spans="2:22" ht="19.7" customHeight="1" x14ac:dyDescent="0.2">
      <c r="B33" s="32" t="s">
        <v>207</v>
      </c>
      <c r="C33" s="33" t="s">
        <v>350</v>
      </c>
      <c r="D33" s="33" t="s">
        <v>350</v>
      </c>
      <c r="E33" s="34" t="s">
        <v>350</v>
      </c>
      <c r="F33" s="41"/>
      <c r="G33" s="33" t="s">
        <v>350</v>
      </c>
      <c r="H33" s="41"/>
      <c r="I33" s="33" t="s">
        <v>350</v>
      </c>
      <c r="J33" s="41"/>
      <c r="K33" s="33" t="s">
        <v>350</v>
      </c>
      <c r="L33" s="41"/>
      <c r="M33" s="33" t="s">
        <v>350</v>
      </c>
      <c r="N33" s="41"/>
      <c r="O33" s="33" t="s">
        <v>350</v>
      </c>
      <c r="P33" s="41"/>
      <c r="Q33" s="33" t="s">
        <v>350</v>
      </c>
      <c r="R33" s="35">
        <f t="shared" si="0"/>
        <v>0</v>
      </c>
      <c r="S33" s="33" t="s">
        <v>350</v>
      </c>
      <c r="T33" s="35" t="s">
        <v>342</v>
      </c>
      <c r="U33" s="35" t="s">
        <v>44</v>
      </c>
      <c r="V33" s="36" t="s">
        <v>88</v>
      </c>
    </row>
    <row r="34" spans="2:22" x14ac:dyDescent="0.2">
      <c r="B34" s="37" t="s">
        <v>207</v>
      </c>
      <c r="C34" s="38" t="s">
        <v>350</v>
      </c>
      <c r="D34" s="38" t="s">
        <v>350</v>
      </c>
      <c r="E34" s="39" t="s">
        <v>350</v>
      </c>
      <c r="F34" s="23"/>
      <c r="G34" s="38" t="s">
        <v>350</v>
      </c>
      <c r="H34" s="23"/>
      <c r="I34" s="38" t="s">
        <v>350</v>
      </c>
      <c r="J34" s="23"/>
      <c r="K34" s="38" t="s">
        <v>350</v>
      </c>
      <c r="L34" s="23"/>
      <c r="M34" s="38" t="s">
        <v>350</v>
      </c>
      <c r="N34" s="23"/>
      <c r="O34" s="38" t="s">
        <v>350</v>
      </c>
      <c r="P34" s="23"/>
      <c r="Q34" s="38" t="s">
        <v>350</v>
      </c>
      <c r="R34" s="24">
        <f t="shared" si="0"/>
        <v>0</v>
      </c>
      <c r="S34" s="38" t="s">
        <v>350</v>
      </c>
      <c r="T34" s="24" t="s">
        <v>342</v>
      </c>
      <c r="U34" s="24" t="s">
        <v>44</v>
      </c>
      <c r="V34" s="40" t="s">
        <v>88</v>
      </c>
    </row>
    <row r="35" spans="2:22" x14ac:dyDescent="0.2"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</row>
  </sheetData>
  <mergeCells count="16">
    <mergeCell ref="T3:T4"/>
    <mergeCell ref="U3:U4"/>
    <mergeCell ref="V3:V4"/>
    <mergeCell ref="B1:V2"/>
    <mergeCell ref="J3:K3"/>
    <mergeCell ref="L3:M3"/>
    <mergeCell ref="N3:O3"/>
    <mergeCell ref="P3:Q3"/>
    <mergeCell ref="R3:R4"/>
    <mergeCell ref="S3:S4"/>
    <mergeCell ref="B3:B4"/>
    <mergeCell ref="C3:C4"/>
    <mergeCell ref="D3:D4"/>
    <mergeCell ref="E3:E4"/>
    <mergeCell ref="F3:G3"/>
    <mergeCell ref="H3:I3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1" manualBreakCount="1">
    <brk id="30" min="2" max="22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AC11"/>
  <sheetViews>
    <sheetView workbookViewId="0">
      <pane ySplit="3" topLeftCell="A4" activePane="bottomLeft" state="frozen"/>
      <selection pane="bottomLeft" activeCell="I14" sqref="I14"/>
    </sheetView>
  </sheetViews>
  <sheetFormatPr defaultRowHeight="12.75" x14ac:dyDescent="0.2"/>
  <cols>
    <col min="1" max="1" width="0.7109375" customWidth="1"/>
    <col min="2" max="2" width="3.42578125" customWidth="1"/>
    <col min="3" max="3" width="15" customWidth="1"/>
    <col min="4" max="4" width="12.28515625" customWidth="1"/>
    <col min="5" max="5" width="3.42578125" customWidth="1"/>
    <col min="6" max="6" width="7.7109375" bestFit="1" customWidth="1"/>
    <col min="7" max="11" width="5.85546875" customWidth="1"/>
    <col min="12" max="12" width="10.42578125" customWidth="1"/>
    <col min="13" max="13" width="10" customWidth="1"/>
    <col min="14" max="14" width="7.85546875" customWidth="1"/>
    <col min="15" max="15" width="10.28515625" bestFit="1" customWidth="1"/>
  </cols>
  <sheetData>
    <row r="1" spans="2:29" ht="24.95" customHeight="1" x14ac:dyDescent="0.2">
      <c r="B1" s="137" t="s">
        <v>264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2:29" ht="9.9499999999999993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</row>
    <row r="3" spans="2:29" ht="27.95" customHeight="1" x14ac:dyDescent="0.2">
      <c r="B3" s="27" t="s">
        <v>90</v>
      </c>
      <c r="C3" s="19" t="s">
        <v>331</v>
      </c>
      <c r="D3" s="19" t="s">
        <v>133</v>
      </c>
      <c r="E3" s="19" t="s">
        <v>131</v>
      </c>
      <c r="F3" s="19" t="s">
        <v>152</v>
      </c>
      <c r="G3" s="19" t="s">
        <v>231</v>
      </c>
      <c r="H3" s="19" t="s">
        <v>328</v>
      </c>
      <c r="I3" s="19" t="s">
        <v>69</v>
      </c>
      <c r="J3" s="19" t="s">
        <v>156</v>
      </c>
      <c r="K3" s="19" t="s">
        <v>237</v>
      </c>
      <c r="L3" s="19" t="s">
        <v>281</v>
      </c>
      <c r="M3" s="19" t="s">
        <v>79</v>
      </c>
      <c r="N3" s="19" t="s">
        <v>175</v>
      </c>
      <c r="O3" s="20" t="s">
        <v>112</v>
      </c>
      <c r="Z3" t="s">
        <v>216</v>
      </c>
      <c r="AA3" t="s">
        <v>244</v>
      </c>
      <c r="AB3" t="s">
        <v>344</v>
      </c>
      <c r="AC3" t="s">
        <v>230</v>
      </c>
    </row>
    <row r="4" spans="2:29" ht="22.35" customHeight="1" x14ac:dyDescent="0.2">
      <c r="B4" s="32" t="s">
        <v>100</v>
      </c>
      <c r="C4" s="33" t="s">
        <v>30</v>
      </c>
      <c r="D4" s="33" t="s">
        <v>350</v>
      </c>
      <c r="E4" s="34" t="s">
        <v>317</v>
      </c>
      <c r="F4" s="35">
        <v>175669</v>
      </c>
      <c r="G4" s="35"/>
      <c r="H4" s="35"/>
      <c r="I4" s="35"/>
      <c r="J4" s="35"/>
      <c r="K4" s="35"/>
      <c r="L4" s="35">
        <f>F4</f>
        <v>175669</v>
      </c>
      <c r="M4" s="33" t="s">
        <v>384</v>
      </c>
      <c r="N4" s="35" t="s">
        <v>44</v>
      </c>
      <c r="O4" s="112">
        <v>43709</v>
      </c>
      <c r="Z4" s="31">
        <v>131319</v>
      </c>
    </row>
    <row r="5" spans="2:29" ht="22.35" customHeight="1" x14ac:dyDescent="0.2">
      <c r="B5" s="32" t="s">
        <v>325</v>
      </c>
      <c r="C5" s="33" t="s">
        <v>17</v>
      </c>
      <c r="D5" s="33" t="s">
        <v>350</v>
      </c>
      <c r="E5" s="34" t="s">
        <v>317</v>
      </c>
      <c r="F5" s="35">
        <v>130264</v>
      </c>
      <c r="G5" s="35"/>
      <c r="H5" s="35"/>
      <c r="I5" s="35"/>
      <c r="J5" s="35"/>
      <c r="K5" s="35"/>
      <c r="L5" s="35">
        <f t="shared" ref="L5:L10" si="0">F5</f>
        <v>130264</v>
      </c>
      <c r="M5" s="33" t="s">
        <v>384</v>
      </c>
      <c r="N5" s="35" t="s">
        <v>44</v>
      </c>
      <c r="O5" s="112">
        <v>43709</v>
      </c>
      <c r="Z5" s="31">
        <v>99882</v>
      </c>
    </row>
    <row r="6" spans="2:29" ht="22.35" customHeight="1" x14ac:dyDescent="0.2">
      <c r="B6" s="32" t="s">
        <v>139</v>
      </c>
      <c r="C6" s="33" t="s">
        <v>27</v>
      </c>
      <c r="D6" s="33" t="s">
        <v>350</v>
      </c>
      <c r="E6" s="34" t="s">
        <v>317</v>
      </c>
      <c r="F6" s="35">
        <v>204145</v>
      </c>
      <c r="G6" s="35"/>
      <c r="H6" s="35"/>
      <c r="I6" s="35"/>
      <c r="J6" s="35"/>
      <c r="K6" s="35"/>
      <c r="L6" s="35">
        <f t="shared" si="0"/>
        <v>204145</v>
      </c>
      <c r="M6" s="33" t="s">
        <v>384</v>
      </c>
      <c r="N6" s="35" t="s">
        <v>44</v>
      </c>
      <c r="O6" s="112">
        <v>43709</v>
      </c>
      <c r="Z6" s="31">
        <v>190910</v>
      </c>
    </row>
    <row r="7" spans="2:29" s="117" customFormat="1" ht="22.35" customHeight="1" x14ac:dyDescent="0.2">
      <c r="B7" s="113" t="s">
        <v>262</v>
      </c>
      <c r="C7" s="114" t="s">
        <v>40</v>
      </c>
      <c r="D7" s="114" t="s">
        <v>350</v>
      </c>
      <c r="E7" s="115" t="s">
        <v>317</v>
      </c>
      <c r="F7" s="116">
        <v>175886</v>
      </c>
      <c r="G7" s="116"/>
      <c r="H7" s="116"/>
      <c r="I7" s="116"/>
      <c r="J7" s="116"/>
      <c r="K7" s="116"/>
      <c r="L7" s="35">
        <f t="shared" si="0"/>
        <v>175886</v>
      </c>
      <c r="M7" s="33" t="s">
        <v>384</v>
      </c>
      <c r="N7" s="116" t="s">
        <v>44</v>
      </c>
      <c r="O7" s="112">
        <v>43709</v>
      </c>
      <c r="Z7" s="118">
        <v>148700</v>
      </c>
    </row>
    <row r="8" spans="2:29" ht="22.35" customHeight="1" x14ac:dyDescent="0.2">
      <c r="B8" s="32" t="s">
        <v>111</v>
      </c>
      <c r="C8" s="33" t="s">
        <v>259</v>
      </c>
      <c r="D8" s="33" t="s">
        <v>350</v>
      </c>
      <c r="E8" s="34" t="s">
        <v>317</v>
      </c>
      <c r="F8" s="35">
        <v>169406</v>
      </c>
      <c r="G8" s="35"/>
      <c r="H8" s="35"/>
      <c r="I8" s="35"/>
      <c r="J8" s="35"/>
      <c r="K8" s="35"/>
      <c r="L8" s="35">
        <f t="shared" si="0"/>
        <v>169406</v>
      </c>
      <c r="M8" s="33" t="s">
        <v>384</v>
      </c>
      <c r="N8" s="35" t="s">
        <v>44</v>
      </c>
      <c r="O8" s="112">
        <v>43709</v>
      </c>
      <c r="Z8" s="31">
        <v>127977</v>
      </c>
    </row>
    <row r="9" spans="2:29" ht="22.35" customHeight="1" x14ac:dyDescent="0.2">
      <c r="B9" s="32" t="s">
        <v>315</v>
      </c>
      <c r="C9" s="33" t="s">
        <v>13</v>
      </c>
      <c r="D9" s="33" t="s">
        <v>350</v>
      </c>
      <c r="E9" s="34" t="s">
        <v>317</v>
      </c>
      <c r="F9" s="35">
        <v>155599</v>
      </c>
      <c r="G9" s="35"/>
      <c r="H9" s="35"/>
      <c r="I9" s="35"/>
      <c r="J9" s="35"/>
      <c r="K9" s="35"/>
      <c r="L9" s="35">
        <f t="shared" si="0"/>
        <v>155599</v>
      </c>
      <c r="M9" s="33" t="s">
        <v>384</v>
      </c>
      <c r="N9" s="35" t="s">
        <v>44</v>
      </c>
      <c r="O9" s="112">
        <v>43709</v>
      </c>
      <c r="Z9" s="31">
        <v>120716</v>
      </c>
    </row>
    <row r="10" spans="2:29" ht="22.35" customHeight="1" x14ac:dyDescent="0.2">
      <c r="B10" s="37" t="s">
        <v>171</v>
      </c>
      <c r="C10" s="38" t="s">
        <v>78</v>
      </c>
      <c r="D10" s="38" t="s">
        <v>350</v>
      </c>
      <c r="E10" s="39" t="s">
        <v>317</v>
      </c>
      <c r="F10" s="24">
        <v>190235</v>
      </c>
      <c r="G10" s="24"/>
      <c r="H10" s="24"/>
      <c r="I10" s="24"/>
      <c r="J10" s="24"/>
      <c r="K10" s="24"/>
      <c r="L10" s="24">
        <f t="shared" si="0"/>
        <v>190235</v>
      </c>
      <c r="M10" s="38" t="s">
        <v>384</v>
      </c>
      <c r="N10" s="24" t="s">
        <v>44</v>
      </c>
      <c r="O10" s="132">
        <v>43709</v>
      </c>
      <c r="Z10" s="31">
        <v>143601</v>
      </c>
    </row>
    <row r="11" spans="2:29" x14ac:dyDescent="0.2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</row>
  </sheetData>
  <mergeCells count="1">
    <mergeCell ref="B1:O2"/>
  </mergeCells>
  <phoneticPr fontId="6" type="noConversion"/>
  <pageMargins left="0.78740157480314965" right="7.874015748031496E-2" top="0.94488188976377963" bottom="0.59055118110236215" header="0.5" footer="0.5"/>
  <pageSetup paperSize="9" scale="8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</vt:i4>
      </vt:variant>
    </vt:vector>
  </HeadingPairs>
  <TitlesOfParts>
    <vt:vector size="36" baseType="lpstr">
      <vt:lpstr>표지</vt:lpstr>
      <vt:lpstr>갑지</vt:lpstr>
      <vt:lpstr>원가계산서</vt:lpstr>
      <vt:lpstr>내역서총괄표</vt:lpstr>
      <vt:lpstr>내역서</vt:lpstr>
      <vt:lpstr>일위대가총괄표</vt:lpstr>
      <vt:lpstr>일위대가</vt:lpstr>
      <vt:lpstr>단가산출총괄표</vt:lpstr>
      <vt:lpstr>단가산출</vt:lpstr>
      <vt:lpstr>기계경비총괄표</vt:lpstr>
      <vt:lpstr>기계경비</vt:lpstr>
      <vt:lpstr>기계경비적용기준</vt:lpstr>
      <vt:lpstr>자재단가</vt:lpstr>
      <vt:lpstr>노임단가</vt:lpstr>
      <vt:lpstr>기계경비!Print_Area</vt:lpstr>
      <vt:lpstr>기계경비총괄표!Print_Area</vt:lpstr>
      <vt:lpstr>내역서!Print_Area</vt:lpstr>
      <vt:lpstr>내역서총괄표!Print_Area</vt:lpstr>
      <vt:lpstr>노임단가!Print_Area</vt:lpstr>
      <vt:lpstr>단가산출!Print_Area</vt:lpstr>
      <vt:lpstr>단가산출총괄표!Print_Area</vt:lpstr>
      <vt:lpstr>원가계산서!Print_Area</vt:lpstr>
      <vt:lpstr>일위대가!Print_Area</vt:lpstr>
      <vt:lpstr>일위대가총괄표!Print_Area</vt:lpstr>
      <vt:lpstr>자재단가!Print_Area</vt:lpstr>
      <vt:lpstr>기계경비!Print_Titles</vt:lpstr>
      <vt:lpstr>기계경비총괄표!Print_Titles</vt:lpstr>
      <vt:lpstr>내역서!Print_Titles</vt:lpstr>
      <vt:lpstr>내역서총괄표!Print_Titles</vt:lpstr>
      <vt:lpstr>노임단가!Print_Titles</vt:lpstr>
      <vt:lpstr>단가산출!Print_Titles</vt:lpstr>
      <vt:lpstr>단가산출총괄표!Print_Titles</vt:lpstr>
      <vt:lpstr>원가계산서!Print_Titles</vt:lpstr>
      <vt:lpstr>일위대가!Print_Titles</vt:lpstr>
      <vt:lpstr>일위대가총괄표!Print_Titles</vt:lpstr>
      <vt:lpstr>자재단가!Print_Titles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user;ihanseol</dc:creator>
  <cp:lastModifiedBy>minhwasoo</cp:lastModifiedBy>
  <cp:lastPrinted>2018-11-22T02:00:40Z</cp:lastPrinted>
  <dcterms:created xsi:type="dcterms:W3CDTF">2017-07-04T01:15:29Z</dcterms:created>
  <dcterms:modified xsi:type="dcterms:W3CDTF">2019-11-27T04:14:02Z</dcterms:modified>
</cp:coreProperties>
</file>