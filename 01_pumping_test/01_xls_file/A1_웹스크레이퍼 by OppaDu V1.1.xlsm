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6A50157F-C48B-4893-82B9-71B0C6606D0E}" xr6:coauthVersionLast="45" xr6:coauthVersionMax="45" xr10:uidLastSave="{00000000-0000-0000-0000-000000000000}"/>
  <bookViews>
    <workbookView xWindow="-120" yWindow="-120" windowWidth="29040" windowHeight="1584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<sst xmlns="http://schemas.openxmlformats.org/spreadsheetml/2006/main" count="284" uniqueCount="189">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</sst>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4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390525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11</xdr:row>
          <xdr:rowOff>142875</xdr:rowOff>
        </xdr:from>
        <xdr:to>
          <xdr:col>22</xdr:col>
          <xdr:colOff>400050</xdr:colOff>
          <xdr:row>13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735E1A2B-8FF5-4B56-9BBF-35DDAC355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B2:W62"/>
  <sheetViews>
    <sheetView tabSelected="1" zoomScaleNormal="100" workbookViewId="0">
      <selection activeCell="T16" sqref="T16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183</v>
      </c>
      <c r="U3" s="122" t="s">
        <v>184</v>
      </c>
      <c r="V3" s="123"/>
    </row>
    <row r="4" spans="2:22" ht="21.75" customHeight="1" thickBot="1">
      <c r="T4" s="124" t="s">
        <v>185</v>
      </c>
      <c r="U4" s="120" t="s">
        <v>186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187</v>
      </c>
      <c r="U5" s="127" t="s">
        <v>188</v>
      </c>
      <c r="V5" s="128"/>
    </row>
    <row r="6" spans="2:22" ht="21.95" customHeight="1">
      <c r="B6" s="102">
        <v>1990</v>
      </c>
      <c r="C6" s="38">
        <v>73.400000000000006</v>
      </c>
      <c r="D6" s="38">
        <v>111.1</v>
      </c>
      <c r="E6" s="38">
        <v>58.9</v>
      </c>
      <c r="F6" s="38">
        <v>88.4</v>
      </c>
      <c r="G6" s="38">
        <v>113.4</v>
      </c>
      <c r="H6" s="38">
        <v>277.8</v>
      </c>
      <c r="I6" s="38">
        <v>334.6</v>
      </c>
      <c r="J6" s="130">
        <v>215</v>
      </c>
      <c r="K6" s="38">
        <v>151.6</v>
      </c>
      <c r="L6" s="38">
        <v>4.2</v>
      </c>
      <c r="M6" s="38">
        <v>48.8</v>
      </c>
      <c r="N6" s="46">
        <v>19.2</v>
      </c>
      <c r="O6" s="55">
        <f t="shared" ref="O6:O35" si="0">ROUND(SUM(C6:N6),1)</f>
        <v>1496.4</v>
      </c>
      <c r="P6" s="54">
        <f>ROUND(O6/12,1)</f>
        <v>124.7</v>
      </c>
      <c r="Q6" s="29"/>
    </row>
    <row r="7" spans="2:22" ht="21.95" customHeight="1">
      <c r="B7" s="103">
        <v>1991</v>
      </c>
      <c r="C7" s="39">
        <v>23.2</v>
      </c>
      <c r="D7" s="39">
        <v>56.9</v>
      </c>
      <c r="E7" s="39">
        <v>89.4</v>
      </c>
      <c r="F7" s="39">
        <v>69.400000000000006</v>
      </c>
      <c r="G7" s="39">
        <v>50.2</v>
      </c>
      <c r="H7" s="39">
        <v>169</v>
      </c>
      <c r="I7" s="39">
        <v>275</v>
      </c>
      <c r="J7" s="129">
        <v>139</v>
      </c>
      <c r="K7" s="39">
        <v>218.3</v>
      </c>
      <c r="L7" s="39">
        <v>16.100000000000001</v>
      </c>
      <c r="M7" s="39">
        <v>18.600000000000001</v>
      </c>
      <c r="N7" s="48">
        <v>57</v>
      </c>
      <c r="O7" s="55">
        <f t="shared" si="0"/>
        <v>1182.0999999999999</v>
      </c>
      <c r="P7" s="49">
        <f t="shared" ref="P7:P35" si="1">ROUND(O7/12,1)</f>
        <v>98.5</v>
      </c>
      <c r="Q7" s="29"/>
      <c r="T7" s="116" t="s">
        <v>179</v>
      </c>
    </row>
    <row r="8" spans="2:22" ht="21.95" customHeight="1">
      <c r="B8" s="103">
        <v>1992</v>
      </c>
      <c r="C8" s="39">
        <v>12.6</v>
      </c>
      <c r="D8" s="39">
        <v>27</v>
      </c>
      <c r="E8" s="39">
        <v>46.5</v>
      </c>
      <c r="F8" s="39">
        <v>119.9</v>
      </c>
      <c r="G8" s="39">
        <v>92.3</v>
      </c>
      <c r="H8" s="39">
        <v>24.4</v>
      </c>
      <c r="I8" s="39">
        <v>187.7</v>
      </c>
      <c r="J8" s="39">
        <v>232.1</v>
      </c>
      <c r="K8" s="39">
        <v>163.6</v>
      </c>
      <c r="L8" s="39">
        <v>34.200000000000003</v>
      </c>
      <c r="M8" s="39">
        <v>47.4</v>
      </c>
      <c r="N8" s="48">
        <v>49.2</v>
      </c>
      <c r="O8" s="55">
        <f t="shared" si="0"/>
        <v>1036.9000000000001</v>
      </c>
      <c r="P8" s="49">
        <f t="shared" si="1"/>
        <v>86.4</v>
      </c>
      <c r="Q8" s="29"/>
    </row>
    <row r="9" spans="2:22" ht="21.95" customHeight="1">
      <c r="B9" s="103">
        <v>1993</v>
      </c>
      <c r="C9" s="39">
        <v>8</v>
      </c>
      <c r="D9" s="39">
        <v>82.9</v>
      </c>
      <c r="E9" s="39">
        <v>40.1</v>
      </c>
      <c r="F9" s="39">
        <v>64.8</v>
      </c>
      <c r="G9" s="39">
        <v>154.9</v>
      </c>
      <c r="H9" s="39">
        <v>222.4</v>
      </c>
      <c r="I9" s="39">
        <v>295.60000000000002</v>
      </c>
      <c r="J9" s="39">
        <v>364.3</v>
      </c>
      <c r="K9" s="39">
        <v>142.4</v>
      </c>
      <c r="L9" s="39">
        <v>39.299999999999997</v>
      </c>
      <c r="M9" s="39">
        <v>93.7</v>
      </c>
      <c r="N9" s="48">
        <v>24.7</v>
      </c>
      <c r="O9" s="55">
        <f t="shared" si="0"/>
        <v>1533.1</v>
      </c>
      <c r="P9" s="49">
        <f t="shared" si="1"/>
        <v>127.8</v>
      </c>
      <c r="Q9" s="29"/>
    </row>
    <row r="10" spans="2:22" ht="21.95" customHeight="1">
      <c r="B10" s="103">
        <v>1994</v>
      </c>
      <c r="C10" s="39">
        <v>17.899999999999999</v>
      </c>
      <c r="D10" s="39">
        <v>16.8</v>
      </c>
      <c r="E10" s="39">
        <v>46.5</v>
      </c>
      <c r="F10" s="39">
        <v>38.700000000000003</v>
      </c>
      <c r="G10" s="39">
        <v>138.4</v>
      </c>
      <c r="H10" s="39">
        <v>115.1</v>
      </c>
      <c r="I10" s="39">
        <v>105.3</v>
      </c>
      <c r="J10" s="39">
        <v>145.9</v>
      </c>
      <c r="K10" s="39">
        <v>37.9</v>
      </c>
      <c r="L10" s="39">
        <v>145.30000000000001</v>
      </c>
      <c r="M10" s="39">
        <v>24.3</v>
      </c>
      <c r="N10" s="48">
        <v>25.8</v>
      </c>
      <c r="O10" s="55">
        <f t="shared" si="0"/>
        <v>857.9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23.5</v>
      </c>
      <c r="D11" s="39">
        <v>16.899999999999999</v>
      </c>
      <c r="E11" s="39">
        <v>33.799999999999997</v>
      </c>
      <c r="F11" s="39">
        <v>54.7</v>
      </c>
      <c r="G11" s="39">
        <v>62.2</v>
      </c>
      <c r="H11" s="39">
        <v>33.6</v>
      </c>
      <c r="I11" s="39">
        <v>155.4</v>
      </c>
      <c r="J11" s="39">
        <v>641.9</v>
      </c>
      <c r="K11" s="39">
        <v>53.4</v>
      </c>
      <c r="L11" s="39">
        <v>36</v>
      </c>
      <c r="M11" s="39">
        <v>17.5</v>
      </c>
      <c r="N11" s="48">
        <v>7.3</v>
      </c>
      <c r="O11" s="55">
        <f t="shared" si="0"/>
        <v>1136.2</v>
      </c>
      <c r="P11" s="49">
        <f t="shared" si="1"/>
        <v>94.7</v>
      </c>
      <c r="Q11" s="29"/>
    </row>
    <row r="12" spans="2:22" ht="21.95" customHeight="1">
      <c r="B12" s="103">
        <v>1996</v>
      </c>
      <c r="C12" s="39">
        <v>32.700000000000003</v>
      </c>
      <c r="D12" s="39">
        <v>4.4000000000000004</v>
      </c>
      <c r="E12" s="39">
        <v>138</v>
      </c>
      <c r="F12" s="39">
        <v>49.8</v>
      </c>
      <c r="G12" s="39">
        <v>62.9</v>
      </c>
      <c r="H12" s="39">
        <v>411.4</v>
      </c>
      <c r="I12" s="39">
        <v>257.7</v>
      </c>
      <c r="J12" s="39">
        <v>114.4</v>
      </c>
      <c r="K12" s="39">
        <v>11.4</v>
      </c>
      <c r="L12" s="39">
        <v>90.8</v>
      </c>
      <c r="M12" s="39">
        <v>77.099999999999994</v>
      </c>
      <c r="N12" s="48">
        <v>28.6</v>
      </c>
      <c r="O12" s="55">
        <f t="shared" si="0"/>
        <v>1279.2</v>
      </c>
      <c r="P12" s="49">
        <f t="shared" si="1"/>
        <v>106.6</v>
      </c>
    </row>
    <row r="13" spans="2:22" ht="21.95" customHeight="1">
      <c r="B13" s="103">
        <v>1997</v>
      </c>
      <c r="C13" s="39">
        <v>15.6</v>
      </c>
      <c r="D13" s="39">
        <v>51.1</v>
      </c>
      <c r="E13" s="39">
        <v>37.1</v>
      </c>
      <c r="F13" s="39">
        <v>55.4</v>
      </c>
      <c r="G13" s="39">
        <v>200.9</v>
      </c>
      <c r="H13" s="39">
        <v>267.5</v>
      </c>
      <c r="I13" s="39">
        <v>424.2</v>
      </c>
      <c r="J13" s="39">
        <v>463.5</v>
      </c>
      <c r="K13" s="39">
        <v>30.2</v>
      </c>
      <c r="L13" s="39">
        <v>7.7</v>
      </c>
      <c r="M13" s="39">
        <v>168.2</v>
      </c>
      <c r="N13" s="48">
        <v>44.5</v>
      </c>
      <c r="O13" s="55">
        <f t="shared" si="0"/>
        <v>1765.9</v>
      </c>
      <c r="P13" s="49">
        <f t="shared" si="1"/>
        <v>147.19999999999999</v>
      </c>
    </row>
    <row r="14" spans="2:22" ht="21.95" customHeight="1">
      <c r="B14" s="103">
        <v>1998</v>
      </c>
      <c r="C14" s="39">
        <v>33.299999999999997</v>
      </c>
      <c r="D14" s="39">
        <v>36.299999999999997</v>
      </c>
      <c r="E14" s="39">
        <v>31.1</v>
      </c>
      <c r="F14" s="39">
        <v>154.30000000000001</v>
      </c>
      <c r="G14" s="39">
        <v>119.5</v>
      </c>
      <c r="H14" s="39">
        <v>297.2</v>
      </c>
      <c r="I14" s="39">
        <v>256.10000000000002</v>
      </c>
      <c r="J14" s="39">
        <v>781.7</v>
      </c>
      <c r="K14" s="39">
        <v>254.7</v>
      </c>
      <c r="L14" s="39">
        <v>71.5</v>
      </c>
      <c r="M14" s="39">
        <v>31.6</v>
      </c>
      <c r="N14" s="48">
        <v>2.7</v>
      </c>
      <c r="O14" s="55">
        <f t="shared" si="0"/>
        <v>2070</v>
      </c>
      <c r="P14" s="49">
        <f t="shared" si="1"/>
        <v>172.5</v>
      </c>
      <c r="R14" s="119">
        <v>273</v>
      </c>
    </row>
    <row r="15" spans="2:22" ht="21.95" customHeight="1">
      <c r="B15" s="103">
        <v>1999</v>
      </c>
      <c r="C15" s="39">
        <v>1.8</v>
      </c>
      <c r="D15" s="39">
        <v>12.2</v>
      </c>
      <c r="E15" s="39">
        <v>79.400000000000006</v>
      </c>
      <c r="F15" s="39">
        <v>103</v>
      </c>
      <c r="G15" s="39">
        <v>116.8</v>
      </c>
      <c r="H15" s="39">
        <v>245.7</v>
      </c>
      <c r="I15" s="39">
        <v>137.80000000000001</v>
      </c>
      <c r="J15" s="39">
        <v>203</v>
      </c>
      <c r="K15" s="39">
        <v>359.5</v>
      </c>
      <c r="L15" s="39">
        <v>171.6</v>
      </c>
      <c r="M15" s="39">
        <v>16.5</v>
      </c>
      <c r="N15" s="48">
        <v>7.9</v>
      </c>
      <c r="O15" s="55">
        <f t="shared" si="0"/>
        <v>1455.2</v>
      </c>
      <c r="P15" s="49">
        <f t="shared" si="1"/>
        <v>121.3</v>
      </c>
    </row>
    <row r="16" spans="2:22" ht="21.95" customHeight="1">
      <c r="B16" s="103">
        <v>2000</v>
      </c>
      <c r="C16" s="39">
        <v>27.5</v>
      </c>
      <c r="D16" s="39">
        <v>4.0999999999999996</v>
      </c>
      <c r="E16" s="39">
        <v>17.8</v>
      </c>
      <c r="F16" s="39">
        <v>67.8</v>
      </c>
      <c r="G16" s="39">
        <v>54.3</v>
      </c>
      <c r="H16" s="39">
        <v>238.3</v>
      </c>
      <c r="I16" s="39">
        <v>470.1</v>
      </c>
      <c r="J16" s="39">
        <v>473.6</v>
      </c>
      <c r="K16" s="39">
        <v>263.2</v>
      </c>
      <c r="L16" s="39">
        <v>24.6</v>
      </c>
      <c r="M16" s="39">
        <v>44.6</v>
      </c>
      <c r="N16" s="48">
        <v>21.6</v>
      </c>
      <c r="O16" s="55">
        <f t="shared" si="0"/>
        <v>1707.5</v>
      </c>
      <c r="P16" s="49">
        <f t="shared" si="1"/>
        <v>142.30000000000001</v>
      </c>
    </row>
    <row r="17" spans="2:23" ht="21.95" customHeight="1">
      <c r="B17" s="103">
        <v>2001</v>
      </c>
      <c r="C17" s="39">
        <v>61.2</v>
      </c>
      <c r="D17" s="39">
        <v>70</v>
      </c>
      <c r="E17" s="39">
        <v>16</v>
      </c>
      <c r="F17" s="39">
        <v>20.399999999999999</v>
      </c>
      <c r="G17" s="39">
        <v>30.2</v>
      </c>
      <c r="H17" s="39">
        <v>234.2</v>
      </c>
      <c r="I17" s="39">
        <v>171</v>
      </c>
      <c r="J17" s="39">
        <v>78.099999999999994</v>
      </c>
      <c r="K17" s="39">
        <v>25.2</v>
      </c>
      <c r="L17" s="39">
        <v>91.2</v>
      </c>
      <c r="M17" s="39">
        <v>10.8</v>
      </c>
      <c r="N17" s="48">
        <v>20.399999999999999</v>
      </c>
      <c r="O17" s="55">
        <f t="shared" si="0"/>
        <v>828.7</v>
      </c>
      <c r="P17" s="49">
        <f t="shared" si="1"/>
        <v>69.099999999999994</v>
      </c>
    </row>
    <row r="18" spans="2:23" ht="21.95" customHeight="1">
      <c r="B18" s="103">
        <v>2002</v>
      </c>
      <c r="C18" s="39">
        <v>92.1</v>
      </c>
      <c r="D18" s="39">
        <v>12</v>
      </c>
      <c r="E18" s="39">
        <v>33.5</v>
      </c>
      <c r="F18" s="39">
        <v>155.5</v>
      </c>
      <c r="G18" s="39">
        <v>130.5</v>
      </c>
      <c r="H18" s="39">
        <v>55.4</v>
      </c>
      <c r="I18" s="39">
        <v>149.1</v>
      </c>
      <c r="J18" s="39">
        <v>538.79999999999995</v>
      </c>
      <c r="K18" s="39">
        <v>77</v>
      </c>
      <c r="L18" s="39">
        <v>67.8</v>
      </c>
      <c r="M18" s="39">
        <v>24</v>
      </c>
      <c r="N18" s="48">
        <v>43</v>
      </c>
      <c r="O18" s="55">
        <f t="shared" si="0"/>
        <v>1378.7</v>
      </c>
      <c r="P18" s="49">
        <f t="shared" si="1"/>
        <v>114.9</v>
      </c>
    </row>
    <row r="19" spans="2:23" ht="21.95" customHeight="1">
      <c r="B19" s="103">
        <v>2003</v>
      </c>
      <c r="C19" s="39">
        <v>11.2</v>
      </c>
      <c r="D19" s="39">
        <v>59.2</v>
      </c>
      <c r="E19" s="39">
        <v>44.2</v>
      </c>
      <c r="F19" s="39">
        <v>217.5</v>
      </c>
      <c r="G19" s="39">
        <v>119.5</v>
      </c>
      <c r="H19" s="39">
        <v>186.4</v>
      </c>
      <c r="I19" s="39">
        <v>576.29999999999995</v>
      </c>
      <c r="J19" s="39">
        <v>254.9</v>
      </c>
      <c r="K19" s="39">
        <v>208.5</v>
      </c>
      <c r="L19" s="39">
        <v>21.5</v>
      </c>
      <c r="M19" s="39">
        <v>32.6</v>
      </c>
      <c r="N19" s="48">
        <v>17.100000000000001</v>
      </c>
      <c r="O19" s="55">
        <f t="shared" si="0"/>
        <v>1748.9</v>
      </c>
      <c r="P19" s="49">
        <f t="shared" si="1"/>
        <v>145.69999999999999</v>
      </c>
    </row>
    <row r="20" spans="2:23" ht="21.95" customHeight="1">
      <c r="B20" s="103">
        <v>2004</v>
      </c>
      <c r="C20" s="39">
        <v>10.9</v>
      </c>
      <c r="D20" s="39">
        <v>30.6</v>
      </c>
      <c r="E20" s="39">
        <v>83.2</v>
      </c>
      <c r="F20" s="39">
        <v>73.099999999999994</v>
      </c>
      <c r="G20" s="39">
        <v>109</v>
      </c>
      <c r="H20" s="39">
        <v>383.5</v>
      </c>
      <c r="I20" s="39">
        <v>391</v>
      </c>
      <c r="J20" s="39">
        <v>198.3</v>
      </c>
      <c r="K20" s="39">
        <v>133.69999999999999</v>
      </c>
      <c r="L20" s="39">
        <v>5</v>
      </c>
      <c r="M20" s="39">
        <v>37.1</v>
      </c>
      <c r="N20" s="48">
        <v>41.1</v>
      </c>
      <c r="O20" s="55">
        <f t="shared" si="0"/>
        <v>1496.5</v>
      </c>
      <c r="P20" s="49">
        <f t="shared" si="1"/>
        <v>124.7</v>
      </c>
    </row>
    <row r="21" spans="2:23" ht="21.95" customHeight="1">
      <c r="B21" s="103">
        <v>2005</v>
      </c>
      <c r="C21" s="39">
        <v>6</v>
      </c>
      <c r="D21" s="39">
        <v>37.5</v>
      </c>
      <c r="E21" s="39">
        <v>38.799999999999997</v>
      </c>
      <c r="F21" s="39">
        <v>48.5</v>
      </c>
      <c r="G21" s="39">
        <v>60.5</v>
      </c>
      <c r="H21" s="39">
        <v>209.6</v>
      </c>
      <c r="I21" s="39">
        <v>463.3</v>
      </c>
      <c r="J21" s="39">
        <v>499.5</v>
      </c>
      <c r="K21" s="39">
        <v>226.4</v>
      </c>
      <c r="L21" s="39">
        <v>30.5</v>
      </c>
      <c r="M21" s="39">
        <v>20.3</v>
      </c>
      <c r="N21" s="48">
        <v>15.2</v>
      </c>
      <c r="O21" s="55">
        <f t="shared" si="0"/>
        <v>1656.1</v>
      </c>
      <c r="P21" s="49">
        <f t="shared" si="1"/>
        <v>138</v>
      </c>
      <c r="V21" s="2" t="s">
        <v>180</v>
      </c>
      <c r="W21" s="2">
        <v>273</v>
      </c>
    </row>
    <row r="22" spans="2:23" ht="21.95" customHeight="1">
      <c r="B22" s="103">
        <v>2006</v>
      </c>
      <c r="C22" s="39">
        <v>31.2</v>
      </c>
      <c r="D22" s="39">
        <v>33.1</v>
      </c>
      <c r="E22" s="39">
        <v>8.1</v>
      </c>
      <c r="F22" s="39">
        <v>94.2</v>
      </c>
      <c r="G22" s="39">
        <v>119.7</v>
      </c>
      <c r="H22" s="39">
        <v>131</v>
      </c>
      <c r="I22" s="39">
        <v>531</v>
      </c>
      <c r="J22" s="39">
        <v>113.6</v>
      </c>
      <c r="K22" s="39">
        <v>24.1</v>
      </c>
      <c r="L22" s="39">
        <v>19.3</v>
      </c>
      <c r="M22" s="39">
        <v>60</v>
      </c>
      <c r="N22" s="48">
        <v>29.9</v>
      </c>
      <c r="O22" s="55">
        <f t="shared" si="0"/>
        <v>1195.2</v>
      </c>
      <c r="P22" s="49">
        <f t="shared" si="1"/>
        <v>99.6</v>
      </c>
      <c r="V22" s="2" t="s">
        <v>181</v>
      </c>
      <c r="W22" s="2">
        <v>226</v>
      </c>
    </row>
    <row r="23" spans="2:23" ht="21.95" customHeight="1">
      <c r="B23" s="103">
        <v>2007</v>
      </c>
      <c r="C23" s="39">
        <v>14</v>
      </c>
      <c r="D23" s="39">
        <v>45</v>
      </c>
      <c r="E23" s="39">
        <v>117.5</v>
      </c>
      <c r="F23" s="39">
        <v>28.6</v>
      </c>
      <c r="G23" s="39">
        <v>130.1</v>
      </c>
      <c r="H23" s="39">
        <v>133</v>
      </c>
      <c r="I23" s="39">
        <v>275.7</v>
      </c>
      <c r="J23" s="39">
        <v>373</v>
      </c>
      <c r="K23" s="39">
        <v>549.9</v>
      </c>
      <c r="L23" s="39">
        <v>47.4</v>
      </c>
      <c r="M23" s="39">
        <v>9.8000000000000007</v>
      </c>
      <c r="N23" s="48">
        <v>26.9</v>
      </c>
      <c r="O23" s="55">
        <f t="shared" si="0"/>
        <v>1750.9</v>
      </c>
      <c r="P23" s="49">
        <f t="shared" si="1"/>
        <v>145.9</v>
      </c>
      <c r="V23" s="2" t="s">
        <v>182</v>
      </c>
      <c r="W23" s="2">
        <v>137</v>
      </c>
    </row>
    <row r="24" spans="2:23" ht="21.95" customHeight="1">
      <c r="B24" s="103">
        <v>2008</v>
      </c>
      <c r="C24" s="39">
        <v>45.3</v>
      </c>
      <c r="D24" s="39">
        <v>9.1</v>
      </c>
      <c r="E24" s="39">
        <v>29.1</v>
      </c>
      <c r="F24" s="39">
        <v>34.4</v>
      </c>
      <c r="G24" s="39">
        <v>59.2</v>
      </c>
      <c r="H24" s="39">
        <v>148.30000000000001</v>
      </c>
      <c r="I24" s="39">
        <v>253.4</v>
      </c>
      <c r="J24" s="39">
        <v>325.2</v>
      </c>
      <c r="K24" s="39">
        <v>85.5</v>
      </c>
      <c r="L24" s="39">
        <v>19.600000000000001</v>
      </c>
      <c r="M24" s="39">
        <v>12.1</v>
      </c>
      <c r="N24" s="48">
        <v>16.399999999999999</v>
      </c>
      <c r="O24" s="55">
        <f t="shared" si="0"/>
        <v>1037.5999999999999</v>
      </c>
      <c r="P24" s="49">
        <f t="shared" si="1"/>
        <v>86.5</v>
      </c>
    </row>
    <row r="25" spans="2:23" ht="21.95" customHeight="1">
      <c r="B25" s="103">
        <v>2009</v>
      </c>
      <c r="C25" s="39">
        <v>15.4</v>
      </c>
      <c r="D25" s="39">
        <v>27.5</v>
      </c>
      <c r="E25" s="39">
        <v>60.3</v>
      </c>
      <c r="F25" s="39">
        <v>34.5</v>
      </c>
      <c r="G25" s="39">
        <v>124.3</v>
      </c>
      <c r="H25" s="39">
        <v>87.3</v>
      </c>
      <c r="I25" s="39">
        <v>429.2</v>
      </c>
      <c r="J25" s="39">
        <v>148.30000000000001</v>
      </c>
      <c r="K25" s="39">
        <v>46</v>
      </c>
      <c r="L25" s="39">
        <v>24.7</v>
      </c>
      <c r="M25" s="39">
        <v>54.7</v>
      </c>
      <c r="N25" s="48">
        <v>38.200000000000003</v>
      </c>
      <c r="O25" s="55">
        <f t="shared" si="0"/>
        <v>1090.4000000000001</v>
      </c>
      <c r="P25" s="49">
        <f t="shared" si="1"/>
        <v>90.9</v>
      </c>
    </row>
    <row r="26" spans="2:23" ht="21.95" customHeight="1">
      <c r="B26" s="103">
        <v>2010</v>
      </c>
      <c r="C26" s="39">
        <v>46.4</v>
      </c>
      <c r="D26" s="39">
        <v>81.5</v>
      </c>
      <c r="E26" s="39">
        <v>100.1</v>
      </c>
      <c r="F26" s="39">
        <v>88.5</v>
      </c>
      <c r="G26" s="39">
        <v>117.6</v>
      </c>
      <c r="H26" s="39">
        <v>65.599999999999994</v>
      </c>
      <c r="I26" s="39">
        <v>223.1</v>
      </c>
      <c r="J26" s="39">
        <v>376.4</v>
      </c>
      <c r="K26" s="39">
        <v>250.5</v>
      </c>
      <c r="L26" s="39">
        <v>17.899999999999999</v>
      </c>
      <c r="M26" s="39">
        <v>16.399999999999999</v>
      </c>
      <c r="N26" s="48">
        <v>35.700000000000003</v>
      </c>
      <c r="O26" s="55">
        <f t="shared" si="0"/>
        <v>1419.7</v>
      </c>
      <c r="P26" s="49">
        <f t="shared" si="1"/>
        <v>118.3</v>
      </c>
    </row>
    <row r="27" spans="2:23" ht="21.95" customHeight="1">
      <c r="B27" s="103">
        <v>2011</v>
      </c>
      <c r="C27" s="39">
        <v>4</v>
      </c>
      <c r="D27" s="39">
        <v>44.8</v>
      </c>
      <c r="E27" s="39">
        <v>19</v>
      </c>
      <c r="F27" s="39">
        <v>71</v>
      </c>
      <c r="G27" s="39">
        <v>162</v>
      </c>
      <c r="H27" s="39">
        <v>391.6</v>
      </c>
      <c r="I27" s="39">
        <v>587.29999999999995</v>
      </c>
      <c r="J27" s="39">
        <v>420.3</v>
      </c>
      <c r="K27" s="39">
        <v>91.7</v>
      </c>
      <c r="L27" s="39">
        <v>37</v>
      </c>
      <c r="M27" s="39">
        <v>103.2</v>
      </c>
      <c r="N27" s="48">
        <v>11.5</v>
      </c>
      <c r="O27" s="55">
        <f t="shared" si="0"/>
        <v>1943.4</v>
      </c>
      <c r="P27" s="49">
        <f t="shared" si="1"/>
        <v>162</v>
      </c>
    </row>
    <row r="28" spans="2:23" ht="21.95" customHeight="1">
      <c r="B28" s="103">
        <v>2012</v>
      </c>
      <c r="C28" s="39">
        <v>16.399999999999999</v>
      </c>
      <c r="D28" s="39">
        <v>2.5</v>
      </c>
      <c r="E28" s="39">
        <v>54.6</v>
      </c>
      <c r="F28" s="39">
        <v>66.2</v>
      </c>
      <c r="G28" s="39">
        <v>24</v>
      </c>
      <c r="H28" s="39">
        <v>57.8</v>
      </c>
      <c r="I28" s="39">
        <v>277.60000000000002</v>
      </c>
      <c r="J28" s="39">
        <v>463.6</v>
      </c>
      <c r="K28" s="39">
        <v>242.5</v>
      </c>
      <c r="L28" s="39">
        <v>81.3</v>
      </c>
      <c r="M28" s="39">
        <v>58.4</v>
      </c>
      <c r="N28" s="48">
        <v>64.599999999999994</v>
      </c>
      <c r="O28" s="55">
        <f t="shared" si="0"/>
        <v>1409.5</v>
      </c>
      <c r="P28" s="49">
        <f t="shared" si="1"/>
        <v>117.5</v>
      </c>
    </row>
    <row r="29" spans="2:23" ht="21.95" customHeight="1">
      <c r="B29" s="103">
        <v>2013</v>
      </c>
      <c r="C29" s="39">
        <v>46.2</v>
      </c>
      <c r="D29" s="39">
        <v>54.2</v>
      </c>
      <c r="E29" s="39">
        <v>52.8</v>
      </c>
      <c r="F29" s="39">
        <v>86.8</v>
      </c>
      <c r="G29" s="39">
        <v>110.4</v>
      </c>
      <c r="H29" s="39">
        <v>162.6</v>
      </c>
      <c r="I29" s="39">
        <v>218.7</v>
      </c>
      <c r="J29" s="39">
        <v>126.6</v>
      </c>
      <c r="K29" s="39">
        <v>146.4</v>
      </c>
      <c r="L29" s="39">
        <v>19.899999999999999</v>
      </c>
      <c r="M29" s="39">
        <v>63.5</v>
      </c>
      <c r="N29" s="48">
        <v>32.799999999999997</v>
      </c>
      <c r="O29" s="55">
        <f t="shared" si="0"/>
        <v>1120.9000000000001</v>
      </c>
      <c r="P29" s="49">
        <f t="shared" si="1"/>
        <v>93.4</v>
      </c>
    </row>
    <row r="30" spans="2:23" ht="21.95" customHeight="1">
      <c r="B30" s="103">
        <v>2014</v>
      </c>
      <c r="C30" s="39">
        <v>6.5</v>
      </c>
      <c r="D30" s="39">
        <v>8.5</v>
      </c>
      <c r="E30" s="39">
        <v>67.2</v>
      </c>
      <c r="F30" s="39">
        <v>59.4</v>
      </c>
      <c r="G30" s="39">
        <v>49.7</v>
      </c>
      <c r="H30" s="39">
        <v>143.69999999999999</v>
      </c>
      <c r="I30" s="39">
        <v>177.2</v>
      </c>
      <c r="J30" s="39">
        <v>240.9</v>
      </c>
      <c r="K30" s="39">
        <v>118</v>
      </c>
      <c r="L30" s="39">
        <v>169.4</v>
      </c>
      <c r="M30" s="39">
        <v>40.700000000000003</v>
      </c>
      <c r="N30" s="48">
        <v>36.700000000000003</v>
      </c>
      <c r="O30" s="55">
        <f t="shared" si="0"/>
        <v>1117.9000000000001</v>
      </c>
      <c r="P30" s="49">
        <f t="shared" si="1"/>
        <v>93.2</v>
      </c>
    </row>
    <row r="31" spans="2:23" ht="21.95" customHeight="1">
      <c r="B31" s="103">
        <v>2015</v>
      </c>
      <c r="C31" s="39">
        <v>31.5</v>
      </c>
      <c r="D31" s="39">
        <v>27</v>
      </c>
      <c r="E31" s="39">
        <v>44.7</v>
      </c>
      <c r="F31" s="39">
        <v>95.2</v>
      </c>
      <c r="G31" s="39">
        <v>28.9</v>
      </c>
      <c r="H31" s="39">
        <v>119.8</v>
      </c>
      <c r="I31" s="39">
        <v>145.6</v>
      </c>
      <c r="J31" s="39">
        <v>51.6</v>
      </c>
      <c r="K31" s="39">
        <v>18.5</v>
      </c>
      <c r="L31" s="39">
        <v>94.1</v>
      </c>
      <c r="M31" s="39">
        <v>126</v>
      </c>
      <c r="N31" s="48">
        <v>39.700000000000003</v>
      </c>
      <c r="O31" s="55">
        <f t="shared" si="0"/>
        <v>822.6</v>
      </c>
      <c r="P31" s="49">
        <f t="shared" si="1"/>
        <v>68.599999999999994</v>
      </c>
    </row>
    <row r="32" spans="2:23" ht="21.95" customHeight="1">
      <c r="B32" s="103">
        <v>2016</v>
      </c>
      <c r="C32" s="39">
        <v>11.6</v>
      </c>
      <c r="D32" s="39">
        <v>45.8</v>
      </c>
      <c r="E32" s="39">
        <v>40.299999999999997</v>
      </c>
      <c r="F32" s="39">
        <v>154.9</v>
      </c>
      <c r="G32" s="39">
        <v>85.1</v>
      </c>
      <c r="H32" s="39">
        <v>62.5</v>
      </c>
      <c r="I32" s="39">
        <v>367.9</v>
      </c>
      <c r="J32" s="39">
        <v>57.4</v>
      </c>
      <c r="K32" s="39">
        <v>196</v>
      </c>
      <c r="L32" s="39">
        <v>122.6</v>
      </c>
      <c r="M32" s="39">
        <v>29.5</v>
      </c>
      <c r="N32" s="48">
        <v>54.8</v>
      </c>
      <c r="O32" s="55">
        <f t="shared" si="0"/>
        <v>1228.4000000000001</v>
      </c>
      <c r="P32" s="49">
        <f t="shared" si="1"/>
        <v>102.4</v>
      </c>
    </row>
    <row r="33" spans="2:16" ht="21.95" customHeight="1">
      <c r="B33" s="103">
        <v>2017</v>
      </c>
      <c r="C33" s="39">
        <v>15</v>
      </c>
      <c r="D33" s="39">
        <v>42</v>
      </c>
      <c r="E33" s="39">
        <v>11.6</v>
      </c>
      <c r="F33" s="39">
        <v>77.7</v>
      </c>
      <c r="G33" s="39">
        <v>29.3</v>
      </c>
      <c r="H33" s="39">
        <v>35.299999999999997</v>
      </c>
      <c r="I33" s="39">
        <v>434.5</v>
      </c>
      <c r="J33" s="39">
        <v>293.8</v>
      </c>
      <c r="K33" s="39">
        <v>111.4</v>
      </c>
      <c r="L33" s="39">
        <v>28.3</v>
      </c>
      <c r="M33" s="39">
        <v>15.1</v>
      </c>
      <c r="N33" s="48">
        <v>33.5</v>
      </c>
      <c r="O33" s="55">
        <f t="shared" si="0"/>
        <v>1127.5</v>
      </c>
      <c r="P33" s="49">
        <f t="shared" si="1"/>
        <v>94</v>
      </c>
    </row>
    <row r="34" spans="2:16" ht="21.95" customHeight="1">
      <c r="B34" s="103">
        <v>2018</v>
      </c>
      <c r="C34" s="39">
        <v>23.9</v>
      </c>
      <c r="D34" s="39">
        <v>40.5</v>
      </c>
      <c r="E34" s="39">
        <v>108.4</v>
      </c>
      <c r="F34" s="39">
        <v>155.30000000000001</v>
      </c>
      <c r="G34" s="39">
        <v>95.9</v>
      </c>
      <c r="H34" s="39">
        <v>115.8</v>
      </c>
      <c r="I34" s="39">
        <v>226.9</v>
      </c>
      <c r="J34" s="39">
        <v>408.6</v>
      </c>
      <c r="K34" s="39">
        <v>149.4</v>
      </c>
      <c r="L34" s="39">
        <v>133.9</v>
      </c>
      <c r="M34" s="39">
        <v>49.8</v>
      </c>
      <c r="N34" s="48">
        <v>33.700000000000003</v>
      </c>
      <c r="O34" s="55">
        <f t="shared" si="0"/>
        <v>1542.1</v>
      </c>
      <c r="P34" s="49">
        <f t="shared" si="1"/>
        <v>128.5</v>
      </c>
    </row>
    <row r="35" spans="2:16" ht="21.95" customHeight="1" thickBot="1">
      <c r="B35" s="104">
        <v>2019</v>
      </c>
      <c r="C35" s="60">
        <v>1.7</v>
      </c>
      <c r="D35" s="60">
        <v>46.3</v>
      </c>
      <c r="E35" s="60">
        <v>33.700000000000003</v>
      </c>
      <c r="F35" s="60">
        <v>91.6</v>
      </c>
      <c r="G35" s="60">
        <v>35.6</v>
      </c>
      <c r="H35" s="60">
        <v>77.900000000000006</v>
      </c>
      <c r="I35" s="60">
        <v>199</v>
      </c>
      <c r="J35" s="60">
        <v>104.3</v>
      </c>
      <c r="K35" s="60">
        <v>167</v>
      </c>
      <c r="L35" s="60">
        <v>106.1</v>
      </c>
      <c r="M35" s="60">
        <v>94</v>
      </c>
      <c r="N35" s="61">
        <v>27</v>
      </c>
      <c r="O35" s="62">
        <f t="shared" si="0"/>
        <v>984.2</v>
      </c>
      <c r="P35" s="63">
        <f t="shared" si="1"/>
        <v>82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25.3</v>
      </c>
      <c r="D38" s="51">
        <f t="shared" ref="D38:N38" si="4">ROUND(AVERAGE(D6:D35),1)</f>
        <v>37.9</v>
      </c>
      <c r="E38" s="51">
        <f t="shared" si="4"/>
        <v>52.7</v>
      </c>
      <c r="F38" s="51">
        <f t="shared" si="4"/>
        <v>84</v>
      </c>
      <c r="G38" s="51">
        <f t="shared" si="4"/>
        <v>92.9</v>
      </c>
      <c r="H38" s="51">
        <f t="shared" si="4"/>
        <v>170.1</v>
      </c>
      <c r="I38" s="51">
        <f t="shared" si="4"/>
        <v>299.89999999999998</v>
      </c>
      <c r="J38" s="51">
        <f t="shared" si="4"/>
        <v>294.89999999999998</v>
      </c>
      <c r="K38" s="51">
        <f t="shared" si="4"/>
        <v>151.80000000000001</v>
      </c>
      <c r="L38" s="51">
        <f t="shared" si="4"/>
        <v>59.3</v>
      </c>
      <c r="M38" s="51">
        <f t="shared" si="4"/>
        <v>48.2</v>
      </c>
      <c r="N38" s="52">
        <f t="shared" si="4"/>
        <v>30.2</v>
      </c>
      <c r="O38" s="57">
        <f>ROUND(AVERAGE(O6:O35),1)</f>
        <v>1347.3</v>
      </c>
      <c r="P38" s="58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46.4</v>
      </c>
      <c r="D44" s="106">
        <f t="shared" si="5"/>
        <v>81.5</v>
      </c>
      <c r="E44" s="106">
        <f t="shared" si="5"/>
        <v>100.1</v>
      </c>
      <c r="F44" s="106">
        <f t="shared" si="5"/>
        <v>88.5</v>
      </c>
      <c r="G44" s="106">
        <f t="shared" si="5"/>
        <v>117.6</v>
      </c>
      <c r="H44" s="106">
        <f t="shared" si="5"/>
        <v>65.599999999999994</v>
      </c>
      <c r="I44" s="106">
        <f t="shared" si="5"/>
        <v>223.1</v>
      </c>
      <c r="J44" s="106">
        <f t="shared" si="5"/>
        <v>376.4</v>
      </c>
      <c r="K44" s="106">
        <f t="shared" si="5"/>
        <v>250.5</v>
      </c>
      <c r="L44" s="106">
        <f t="shared" si="5"/>
        <v>17.899999999999999</v>
      </c>
      <c r="M44" s="106">
        <f t="shared" si="5"/>
        <v>16.399999999999999</v>
      </c>
      <c r="N44" s="113">
        <f t="shared" si="5"/>
        <v>35.700000000000003</v>
      </c>
      <c r="O44" s="41">
        <f>ROUND(SUM(C44:N44),1)</f>
        <v>1419.7</v>
      </c>
      <c r="P44" s="48">
        <f>ROUND(O44/12,1)</f>
        <v>118.3</v>
      </c>
    </row>
    <row r="45" spans="2:16" ht="21.95" customHeight="1">
      <c r="B45" s="105">
        <f t="shared" ref="B45:N45" si="6">B27</f>
        <v>2011</v>
      </c>
      <c r="C45" s="106">
        <f t="shared" si="6"/>
        <v>4</v>
      </c>
      <c r="D45" s="106">
        <f t="shared" si="6"/>
        <v>44.8</v>
      </c>
      <c r="E45" s="106">
        <f t="shared" si="6"/>
        <v>19</v>
      </c>
      <c r="F45" s="106">
        <f t="shared" si="6"/>
        <v>71</v>
      </c>
      <c r="G45" s="106">
        <f t="shared" si="6"/>
        <v>162</v>
      </c>
      <c r="H45" s="106">
        <f t="shared" si="6"/>
        <v>391.6</v>
      </c>
      <c r="I45" s="106">
        <f t="shared" si="6"/>
        <v>587.29999999999995</v>
      </c>
      <c r="J45" s="106">
        <f t="shared" si="6"/>
        <v>420.3</v>
      </c>
      <c r="K45" s="106">
        <f t="shared" si="6"/>
        <v>91.7</v>
      </c>
      <c r="L45" s="106">
        <f t="shared" si="6"/>
        <v>37</v>
      </c>
      <c r="M45" s="106">
        <f t="shared" si="6"/>
        <v>103.2</v>
      </c>
      <c r="N45" s="113">
        <f t="shared" si="6"/>
        <v>11.5</v>
      </c>
      <c r="O45" s="41">
        <f t="shared" ref="O45:O53" si="7">ROUND(SUM(C45:N45),1)</f>
        <v>1943.4</v>
      </c>
      <c r="P45" s="48">
        <f t="shared" ref="P45:P53" si="8">ROUND(O45/12,1)</f>
        <v>162</v>
      </c>
    </row>
    <row r="46" spans="2:16" ht="21.95" customHeight="1">
      <c r="B46" s="105">
        <f t="shared" ref="B46:N46" si="9">B28</f>
        <v>2012</v>
      </c>
      <c r="C46" s="106">
        <f t="shared" si="9"/>
        <v>16.399999999999999</v>
      </c>
      <c r="D46" s="106">
        <f t="shared" si="9"/>
        <v>2.5</v>
      </c>
      <c r="E46" s="106">
        <f t="shared" si="9"/>
        <v>54.6</v>
      </c>
      <c r="F46" s="106">
        <f t="shared" si="9"/>
        <v>66.2</v>
      </c>
      <c r="G46" s="106">
        <f t="shared" si="9"/>
        <v>24</v>
      </c>
      <c r="H46" s="106">
        <f t="shared" si="9"/>
        <v>57.8</v>
      </c>
      <c r="I46" s="106">
        <f t="shared" si="9"/>
        <v>277.60000000000002</v>
      </c>
      <c r="J46" s="106">
        <f t="shared" si="9"/>
        <v>463.6</v>
      </c>
      <c r="K46" s="106">
        <f t="shared" si="9"/>
        <v>242.5</v>
      </c>
      <c r="L46" s="106">
        <f t="shared" si="9"/>
        <v>81.3</v>
      </c>
      <c r="M46" s="106">
        <f t="shared" si="9"/>
        <v>58.4</v>
      </c>
      <c r="N46" s="113">
        <f t="shared" si="9"/>
        <v>64.599999999999994</v>
      </c>
      <c r="O46" s="41">
        <f t="shared" si="7"/>
        <v>1409.5</v>
      </c>
      <c r="P46" s="48">
        <f t="shared" si="8"/>
        <v>117.5</v>
      </c>
    </row>
    <row r="47" spans="2:16" ht="21.95" customHeight="1">
      <c r="B47" s="105">
        <f t="shared" ref="B47:N47" si="10">B29</f>
        <v>2013</v>
      </c>
      <c r="C47" s="106">
        <f t="shared" si="10"/>
        <v>46.2</v>
      </c>
      <c r="D47" s="106">
        <f t="shared" si="10"/>
        <v>54.2</v>
      </c>
      <c r="E47" s="106">
        <f t="shared" si="10"/>
        <v>52.8</v>
      </c>
      <c r="F47" s="106">
        <f t="shared" si="10"/>
        <v>86.8</v>
      </c>
      <c r="G47" s="106">
        <f t="shared" si="10"/>
        <v>110.4</v>
      </c>
      <c r="H47" s="106">
        <f t="shared" si="10"/>
        <v>162.6</v>
      </c>
      <c r="I47" s="106">
        <f t="shared" si="10"/>
        <v>218.7</v>
      </c>
      <c r="J47" s="106">
        <f t="shared" si="10"/>
        <v>126.6</v>
      </c>
      <c r="K47" s="106">
        <f t="shared" si="10"/>
        <v>146.4</v>
      </c>
      <c r="L47" s="106">
        <f t="shared" si="10"/>
        <v>19.899999999999999</v>
      </c>
      <c r="M47" s="106">
        <f t="shared" si="10"/>
        <v>63.5</v>
      </c>
      <c r="N47" s="113">
        <f t="shared" si="10"/>
        <v>32.799999999999997</v>
      </c>
      <c r="O47" s="41">
        <f>ROUND(SUM(C47:N47),1)</f>
        <v>1120.9000000000001</v>
      </c>
      <c r="P47" s="48">
        <f t="shared" si="8"/>
        <v>93.4</v>
      </c>
    </row>
    <row r="48" spans="2:16" ht="21.95" customHeight="1">
      <c r="B48" s="105">
        <f t="shared" ref="B48:N48" si="11">B30</f>
        <v>2014</v>
      </c>
      <c r="C48" s="106">
        <f t="shared" si="11"/>
        <v>6.5</v>
      </c>
      <c r="D48" s="106">
        <f t="shared" si="11"/>
        <v>8.5</v>
      </c>
      <c r="E48" s="106">
        <f t="shared" si="11"/>
        <v>67.2</v>
      </c>
      <c r="F48" s="106">
        <f t="shared" si="11"/>
        <v>59.4</v>
      </c>
      <c r="G48" s="106">
        <f t="shared" si="11"/>
        <v>49.7</v>
      </c>
      <c r="H48" s="106">
        <f t="shared" si="11"/>
        <v>143.69999999999999</v>
      </c>
      <c r="I48" s="106">
        <f t="shared" si="11"/>
        <v>177.2</v>
      </c>
      <c r="J48" s="106">
        <f t="shared" si="11"/>
        <v>240.9</v>
      </c>
      <c r="K48" s="106">
        <f t="shared" si="11"/>
        <v>118</v>
      </c>
      <c r="L48" s="106">
        <f t="shared" si="11"/>
        <v>169.4</v>
      </c>
      <c r="M48" s="106">
        <f t="shared" si="11"/>
        <v>40.700000000000003</v>
      </c>
      <c r="N48" s="113">
        <f t="shared" si="11"/>
        <v>36.700000000000003</v>
      </c>
      <c r="O48" s="41">
        <f t="shared" si="7"/>
        <v>1117.9000000000001</v>
      </c>
      <c r="P48" s="48">
        <f t="shared" si="8"/>
        <v>93.2</v>
      </c>
    </row>
    <row r="49" spans="2:17" ht="21.95" customHeight="1">
      <c r="B49" s="105">
        <f t="shared" ref="B49:N49" si="12">B31</f>
        <v>2015</v>
      </c>
      <c r="C49" s="106">
        <f t="shared" si="12"/>
        <v>31.5</v>
      </c>
      <c r="D49" s="106">
        <f t="shared" si="12"/>
        <v>27</v>
      </c>
      <c r="E49" s="106">
        <f t="shared" si="12"/>
        <v>44.7</v>
      </c>
      <c r="F49" s="106">
        <f t="shared" si="12"/>
        <v>95.2</v>
      </c>
      <c r="G49" s="106">
        <f t="shared" si="12"/>
        <v>28.9</v>
      </c>
      <c r="H49" s="106">
        <f t="shared" si="12"/>
        <v>119.8</v>
      </c>
      <c r="I49" s="106">
        <f t="shared" si="12"/>
        <v>145.6</v>
      </c>
      <c r="J49" s="106">
        <f t="shared" si="12"/>
        <v>51.6</v>
      </c>
      <c r="K49" s="106">
        <f t="shared" si="12"/>
        <v>18.5</v>
      </c>
      <c r="L49" s="106">
        <f t="shared" si="12"/>
        <v>94.1</v>
      </c>
      <c r="M49" s="106">
        <f t="shared" si="12"/>
        <v>126</v>
      </c>
      <c r="N49" s="113">
        <f t="shared" si="12"/>
        <v>39.700000000000003</v>
      </c>
      <c r="O49" s="41">
        <f t="shared" si="7"/>
        <v>822.6</v>
      </c>
      <c r="P49" s="48">
        <f t="shared" si="8"/>
        <v>68.599999999999994</v>
      </c>
    </row>
    <row r="50" spans="2:17" ht="21.95" customHeight="1">
      <c r="B50" s="105">
        <f t="shared" ref="B50:N50" si="13">B32</f>
        <v>2016</v>
      </c>
      <c r="C50" s="106">
        <f t="shared" si="13"/>
        <v>11.6</v>
      </c>
      <c r="D50" s="106">
        <f t="shared" si="13"/>
        <v>45.8</v>
      </c>
      <c r="E50" s="106">
        <f t="shared" si="13"/>
        <v>40.299999999999997</v>
      </c>
      <c r="F50" s="106">
        <f t="shared" si="13"/>
        <v>154.9</v>
      </c>
      <c r="G50" s="106">
        <f t="shared" si="13"/>
        <v>85.1</v>
      </c>
      <c r="H50" s="106">
        <f t="shared" si="13"/>
        <v>62.5</v>
      </c>
      <c r="I50" s="106">
        <f t="shared" si="13"/>
        <v>367.9</v>
      </c>
      <c r="J50" s="106">
        <f t="shared" si="13"/>
        <v>57.4</v>
      </c>
      <c r="K50" s="106">
        <f t="shared" si="13"/>
        <v>196</v>
      </c>
      <c r="L50" s="106">
        <f t="shared" si="13"/>
        <v>122.6</v>
      </c>
      <c r="M50" s="106">
        <f t="shared" si="13"/>
        <v>29.5</v>
      </c>
      <c r="N50" s="113">
        <f t="shared" si="13"/>
        <v>54.8</v>
      </c>
      <c r="O50" s="41">
        <f t="shared" si="7"/>
        <v>1228.4000000000001</v>
      </c>
      <c r="P50" s="48">
        <f t="shared" si="8"/>
        <v>102.4</v>
      </c>
    </row>
    <row r="51" spans="2:17" ht="21.95" customHeight="1">
      <c r="B51" s="105">
        <f t="shared" ref="B51:N51" si="14">B33</f>
        <v>2017</v>
      </c>
      <c r="C51" s="106">
        <f t="shared" si="14"/>
        <v>15</v>
      </c>
      <c r="D51" s="106">
        <f t="shared" si="14"/>
        <v>42</v>
      </c>
      <c r="E51" s="106">
        <f t="shared" si="14"/>
        <v>11.6</v>
      </c>
      <c r="F51" s="106">
        <f t="shared" si="14"/>
        <v>77.7</v>
      </c>
      <c r="G51" s="106">
        <f t="shared" si="14"/>
        <v>29.3</v>
      </c>
      <c r="H51" s="106">
        <f t="shared" si="14"/>
        <v>35.299999999999997</v>
      </c>
      <c r="I51" s="106">
        <f t="shared" si="14"/>
        <v>434.5</v>
      </c>
      <c r="J51" s="106">
        <f t="shared" si="14"/>
        <v>293.8</v>
      </c>
      <c r="K51" s="106">
        <f t="shared" si="14"/>
        <v>111.4</v>
      </c>
      <c r="L51" s="106">
        <f t="shared" si="14"/>
        <v>28.3</v>
      </c>
      <c r="M51" s="106">
        <f t="shared" si="14"/>
        <v>15.1</v>
      </c>
      <c r="N51" s="113">
        <f t="shared" si="14"/>
        <v>33.5</v>
      </c>
      <c r="O51" s="41">
        <f t="shared" si="7"/>
        <v>1127.5</v>
      </c>
      <c r="P51" s="48">
        <f t="shared" si="8"/>
        <v>94</v>
      </c>
    </row>
    <row r="52" spans="2:17" ht="21.95" customHeight="1">
      <c r="B52" s="105">
        <f t="shared" ref="B52:N52" si="15">B34</f>
        <v>2018</v>
      </c>
      <c r="C52" s="106">
        <f t="shared" si="15"/>
        <v>23.9</v>
      </c>
      <c r="D52" s="106">
        <f t="shared" si="15"/>
        <v>40.5</v>
      </c>
      <c r="E52" s="106">
        <f t="shared" si="15"/>
        <v>108.4</v>
      </c>
      <c r="F52" s="106">
        <f t="shared" si="15"/>
        <v>155.30000000000001</v>
      </c>
      <c r="G52" s="106">
        <f t="shared" si="15"/>
        <v>95.9</v>
      </c>
      <c r="H52" s="106">
        <f t="shared" si="15"/>
        <v>115.8</v>
      </c>
      <c r="I52" s="106">
        <f t="shared" si="15"/>
        <v>226.9</v>
      </c>
      <c r="J52" s="106">
        <f t="shared" si="15"/>
        <v>408.6</v>
      </c>
      <c r="K52" s="106">
        <f t="shared" si="15"/>
        <v>149.4</v>
      </c>
      <c r="L52" s="106">
        <f t="shared" si="15"/>
        <v>133.9</v>
      </c>
      <c r="M52" s="106">
        <f t="shared" si="15"/>
        <v>49.8</v>
      </c>
      <c r="N52" s="113">
        <f t="shared" si="15"/>
        <v>33.700000000000003</v>
      </c>
      <c r="O52" s="41">
        <f t="shared" si="7"/>
        <v>1542.1</v>
      </c>
      <c r="P52" s="48">
        <f t="shared" si="8"/>
        <v>128.5</v>
      </c>
    </row>
    <row r="53" spans="2:17" ht="21.95" customHeight="1" thickBot="1">
      <c r="B53" s="110">
        <f t="shared" ref="B53:N53" si="16">B35</f>
        <v>2019</v>
      </c>
      <c r="C53" s="111">
        <f t="shared" si="16"/>
        <v>1.7</v>
      </c>
      <c r="D53" s="111">
        <f t="shared" si="16"/>
        <v>46.3</v>
      </c>
      <c r="E53" s="111">
        <f t="shared" si="16"/>
        <v>33.700000000000003</v>
      </c>
      <c r="F53" s="111">
        <f t="shared" si="16"/>
        <v>91.6</v>
      </c>
      <c r="G53" s="111">
        <f t="shared" si="16"/>
        <v>35.6</v>
      </c>
      <c r="H53" s="111">
        <f t="shared" si="16"/>
        <v>77.900000000000006</v>
      </c>
      <c r="I53" s="111">
        <f t="shared" si="16"/>
        <v>199</v>
      </c>
      <c r="J53" s="111">
        <f t="shared" si="16"/>
        <v>104.3</v>
      </c>
      <c r="K53" s="111">
        <f t="shared" si="16"/>
        <v>167</v>
      </c>
      <c r="L53" s="111">
        <f t="shared" si="16"/>
        <v>106.1</v>
      </c>
      <c r="M53" s="111">
        <f t="shared" si="16"/>
        <v>94</v>
      </c>
      <c r="N53" s="114">
        <f t="shared" si="16"/>
        <v>27</v>
      </c>
      <c r="O53" s="81">
        <f t="shared" si="7"/>
        <v>984.2</v>
      </c>
      <c r="P53" s="58">
        <f t="shared" si="8"/>
        <v>82</v>
      </c>
    </row>
    <row r="54" spans="2:17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7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59.4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7" ht="21.95" customHeight="1" thickBot="1">
      <c r="B56" s="74" t="s">
        <v>18</v>
      </c>
      <c r="C56" s="75">
        <f>ROUND(AVERAGE(C44:C53),1)</f>
        <v>20.3</v>
      </c>
      <c r="D56" s="75">
        <f t="shared" ref="D56:N56" si="19">ROUND(AVERAGE(D44:D53),1)</f>
        <v>39.299999999999997</v>
      </c>
      <c r="E56" s="75">
        <f t="shared" si="19"/>
        <v>53.2</v>
      </c>
      <c r="F56" s="75">
        <f t="shared" si="19"/>
        <v>94.7</v>
      </c>
      <c r="G56" s="75">
        <f t="shared" si="19"/>
        <v>73.900000000000006</v>
      </c>
      <c r="H56" s="75">
        <f t="shared" si="19"/>
        <v>123.3</v>
      </c>
      <c r="I56" s="75">
        <f t="shared" si="19"/>
        <v>285.8</v>
      </c>
      <c r="J56" s="75">
        <f t="shared" si="19"/>
        <v>254.4</v>
      </c>
      <c r="K56" s="75">
        <f t="shared" si="19"/>
        <v>149.1</v>
      </c>
      <c r="L56" s="75">
        <f t="shared" si="19"/>
        <v>81.099999999999994</v>
      </c>
      <c r="M56" s="75">
        <f t="shared" si="19"/>
        <v>59.7</v>
      </c>
      <c r="N56" s="58">
        <f t="shared" si="19"/>
        <v>37</v>
      </c>
      <c r="O56" s="81">
        <f>ROUND(AVERAGE(O44:O53),1)</f>
        <v>1271.5999999999999</v>
      </c>
      <c r="P56" s="58">
        <f>ROUND(AVERAGE(P44:P53),1)</f>
        <v>106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autoPict="0" r:id="rId5">
            <anchor moveWithCells="1">
              <from>
                <xdr:col>19</xdr:col>
                <xdr:colOff>295275</xdr:colOff>
                <xdr:row>11</xdr:row>
                <xdr:rowOff>142875</xdr:rowOff>
              </from>
              <to>
                <xdr:col>22</xdr:col>
                <xdr:colOff>400050</xdr:colOff>
                <xdr:row>13</xdr:row>
                <xdr:rowOff>38100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405" r:id="rId6" name="OptionButton8">
          <controlPr defaultSize="0" autoLine="0" r:id="rId7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6" name="OptionButton8"/>
      </mc:Fallback>
    </mc:AlternateContent>
    <mc:AlternateContent xmlns:mc="http://schemas.openxmlformats.org/markup-compatibility/2006">
      <mc:Choice Requires="x14">
        <control shapeId="59396" r:id="rId8" name="OptionButton3">
          <controlPr defaultSize="0" autoLine="0" r:id="rId9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8" name="OptionButton3"/>
      </mc:Fallback>
    </mc:AlternateContent>
    <mc:AlternateContent xmlns:mc="http://schemas.openxmlformats.org/markup-compatibility/2006">
      <mc:Choice Requires="x14">
        <control shapeId="59395" r:id="rId10" name="OptionButton2">
          <controlPr defaultSize="0" autoLine="0" r:id="rId11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0" name="OptionButton2"/>
      </mc:Fallback>
    </mc:AlternateContent>
    <mc:AlternateContent xmlns:mc="http://schemas.openxmlformats.org/markup-compatibility/2006">
      <mc:Choice Requires="x14">
        <control shapeId="59394" r:id="rId12" name="OptionButton1">
          <controlPr defaultSize="0" autoLine="0" r:id="rId13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2" name="OptionButton1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autoPict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400" r:id="rId16" name="CommandButton2">
          <controlPr defaultSize="0" autoLine="0" autoPict="0" r:id="rId17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00" r:id="rId16" name="CommandButton2"/>
      </mc:Fallback>
    </mc:AlternateContent>
    <mc:AlternateContent xmlns:mc="http://schemas.openxmlformats.org/markup-compatibility/2006">
      <mc:Choice Requires="x14">
        <control shapeId="59401" r:id="rId18" name="OptionButton4">
          <controlPr defaultSize="0" autoLine="0" r:id="rId19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8" name="OptionButton4"/>
      </mc:Fallback>
    </mc:AlternateContent>
    <mc:AlternateContent xmlns:mc="http://schemas.openxmlformats.org/markup-compatibility/2006">
      <mc:Choice Requires="x14">
        <control shapeId="59402" r:id="rId20" name="OptionButton5">
          <controlPr defaultSize="0" autoLine="0" r:id="rId21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20" name="OptionButton5"/>
      </mc:Fallback>
    </mc:AlternateContent>
    <mc:AlternateContent xmlns:mc="http://schemas.openxmlformats.org/markup-compatibility/2006">
      <mc:Choice Requires="x14">
        <control shapeId="59403" r:id="rId22" name="OptionButton6">
          <controlPr defaultSize="0" autoLine="0" r:id="rId23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22" name="OptionButton6"/>
      </mc:Fallback>
    </mc:AlternateContent>
    <mc:AlternateContent xmlns:mc="http://schemas.openxmlformats.org/markup-compatibility/2006">
      <mc:Choice Requires="x14">
        <control shapeId="59404" r:id="rId24" name="OptionButton7">
          <controlPr defaultSize="0" autoLine="0" r:id="rId2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24" name="Option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2020-12-17T13:56:52Z</dcterms:modified>
</cp:coreProperties>
</file>